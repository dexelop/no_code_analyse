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찌르레기\"/>
    </mc:Choice>
  </mc:AlternateContent>
  <xr:revisionPtr revIDLastSave="0" documentId="13_ncr:1_{AF80908D-BB94-4A1C-A2E0-C930C1E020C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1.분개장" sheetId="65" r:id="rId1"/>
    <sheet name="2.피벗" sheetId="66" r:id="rId2"/>
    <sheet name="3. 중간결산" sheetId="17" r:id="rId3"/>
    <sheet name="4. 가결산" sheetId="18" r:id="rId4"/>
    <sheet name="검토표" sheetId="50" r:id="rId5"/>
    <sheet name="확인" sheetId="4" state="hidden" r:id="rId6"/>
    <sheet name="dummy" sheetId="6" state="hidden" r:id="rId7"/>
    <sheet name="시트내용숨김" sheetId="5" state="hidden" r:id="rId8"/>
    <sheet name="rate" sheetId="2" r:id="rId9"/>
    <sheet name="tax_rate" sheetId="3" r:id="rId10"/>
    <sheet name="표준산업분류표" sheetId="44" r:id="rId11"/>
    <sheet name="업황" sheetId="7" r:id="rId12"/>
  </sheets>
  <calcPr calcId="191029"/>
  <pivotCaches>
    <pivotCache cacheId="3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8" l="1"/>
  <c r="P4" i="17"/>
  <c r="Q14" i="17"/>
  <c r="P21" i="17"/>
  <c r="P15" i="17"/>
  <c r="K26" i="17"/>
  <c r="J26" i="17"/>
  <c r="I26" i="17"/>
  <c r="K25" i="17"/>
  <c r="J25" i="17"/>
  <c r="I25" i="17"/>
  <c r="K18" i="17"/>
  <c r="J18" i="17"/>
  <c r="I18" i="17"/>
  <c r="K17" i="17"/>
  <c r="J17" i="17"/>
  <c r="I17" i="17"/>
  <c r="K16" i="17"/>
  <c r="J16" i="17"/>
  <c r="I16" i="17"/>
  <c r="B2" i="65"/>
  <c r="G2" i="65"/>
  <c r="J2" i="65"/>
  <c r="B3" i="65"/>
  <c r="G3" i="65"/>
  <c r="J3" i="65"/>
  <c r="B4" i="65"/>
  <c r="G4" i="65"/>
  <c r="J4" i="65"/>
  <c r="B5" i="65"/>
  <c r="G5" i="65"/>
  <c r="J5" i="65"/>
  <c r="B6" i="65"/>
  <c r="G6" i="65"/>
  <c r="J6" i="65"/>
  <c r="B7" i="65"/>
  <c r="G7" i="65"/>
  <c r="J7" i="65"/>
  <c r="B8" i="65"/>
  <c r="G8" i="65"/>
  <c r="J8" i="65"/>
  <c r="B9" i="65"/>
  <c r="G9" i="65"/>
  <c r="J9" i="65"/>
  <c r="B10" i="65"/>
  <c r="G10" i="65"/>
  <c r="J10" i="65"/>
  <c r="B11" i="65"/>
  <c r="G11" i="65"/>
  <c r="J11" i="65"/>
  <c r="B12" i="65"/>
  <c r="G12" i="65"/>
  <c r="J12" i="65"/>
  <c r="B13" i="65"/>
  <c r="G13" i="65"/>
  <c r="J13" i="65"/>
  <c r="B14" i="65"/>
  <c r="G14" i="65"/>
  <c r="J14" i="65"/>
  <c r="B15" i="65"/>
  <c r="G15" i="65"/>
  <c r="J15" i="65"/>
  <c r="B16" i="65"/>
  <c r="G16" i="65"/>
  <c r="J16" i="65"/>
  <c r="B17" i="65"/>
  <c r="G17" i="65"/>
  <c r="J17" i="65"/>
  <c r="B18" i="65"/>
  <c r="G18" i="65"/>
  <c r="J18" i="65"/>
  <c r="B19" i="65"/>
  <c r="G19" i="65"/>
  <c r="J19" i="65"/>
  <c r="B20" i="65"/>
  <c r="G20" i="65"/>
  <c r="J20" i="65"/>
  <c r="B21" i="65"/>
  <c r="G21" i="65"/>
  <c r="J21" i="65"/>
  <c r="B22" i="65"/>
  <c r="G22" i="65"/>
  <c r="J22" i="65"/>
  <c r="B23" i="65"/>
  <c r="G23" i="65"/>
  <c r="J23" i="65"/>
  <c r="B24" i="65"/>
  <c r="G24" i="65"/>
  <c r="J24" i="65"/>
  <c r="B25" i="65"/>
  <c r="G25" i="65"/>
  <c r="J25" i="65"/>
  <c r="B26" i="65"/>
  <c r="G26" i="65"/>
  <c r="J26" i="65"/>
  <c r="B27" i="65"/>
  <c r="G27" i="65"/>
  <c r="J27" i="65"/>
  <c r="B28" i="65"/>
  <c r="G28" i="65"/>
  <c r="J28" i="65"/>
  <c r="B29" i="65"/>
  <c r="G29" i="65"/>
  <c r="J29" i="65"/>
  <c r="B30" i="65"/>
  <c r="G30" i="65"/>
  <c r="J30" i="65"/>
  <c r="B31" i="65"/>
  <c r="G31" i="65"/>
  <c r="J31" i="65"/>
  <c r="B32" i="65"/>
  <c r="G32" i="65"/>
  <c r="J32" i="65"/>
  <c r="B33" i="65"/>
  <c r="G33" i="65"/>
  <c r="J33" i="65"/>
  <c r="B34" i="65"/>
  <c r="G34" i="65"/>
  <c r="J34" i="65"/>
  <c r="B35" i="65"/>
  <c r="G35" i="65"/>
  <c r="J35" i="65"/>
  <c r="B36" i="65"/>
  <c r="G36" i="65"/>
  <c r="J36" i="65"/>
  <c r="B37" i="65"/>
  <c r="G37" i="65"/>
  <c r="J37" i="65"/>
  <c r="B38" i="65"/>
  <c r="G38" i="65"/>
  <c r="J38" i="65"/>
  <c r="B39" i="65"/>
  <c r="G39" i="65"/>
  <c r="J39" i="65"/>
  <c r="B40" i="65"/>
  <c r="G40" i="65"/>
  <c r="J40" i="65"/>
  <c r="B41" i="65"/>
  <c r="G41" i="65"/>
  <c r="J41" i="65"/>
  <c r="B42" i="65"/>
  <c r="G42" i="65"/>
  <c r="J42" i="65"/>
  <c r="B43" i="65"/>
  <c r="G43" i="65"/>
  <c r="J43" i="65"/>
  <c r="B44" i="65"/>
  <c r="G44" i="65"/>
  <c r="J44" i="65"/>
  <c r="B45" i="65"/>
  <c r="G45" i="65"/>
  <c r="J45" i="65"/>
  <c r="B46" i="65"/>
  <c r="G46" i="65"/>
  <c r="J46" i="65"/>
  <c r="B47" i="65"/>
  <c r="G47" i="65"/>
  <c r="J47" i="65"/>
  <c r="B48" i="65"/>
  <c r="G48" i="65"/>
  <c r="J48" i="65"/>
  <c r="B49" i="65"/>
  <c r="G49" i="65"/>
  <c r="J49" i="65"/>
  <c r="B50" i="65"/>
  <c r="G50" i="65"/>
  <c r="J50" i="65"/>
  <c r="B51" i="65"/>
  <c r="G51" i="65"/>
  <c r="J51" i="65"/>
  <c r="B52" i="65"/>
  <c r="G52" i="65"/>
  <c r="J52" i="65"/>
  <c r="B53" i="65"/>
  <c r="G53" i="65"/>
  <c r="J53" i="65"/>
  <c r="B54" i="65"/>
  <c r="G54" i="65"/>
  <c r="J54" i="65"/>
  <c r="B55" i="65"/>
  <c r="G55" i="65"/>
  <c r="J55" i="65"/>
  <c r="B56" i="65"/>
  <c r="G56" i="65"/>
  <c r="J56" i="65"/>
  <c r="B57" i="65"/>
  <c r="G57" i="65"/>
  <c r="J57" i="65"/>
  <c r="B58" i="65"/>
  <c r="G58" i="65"/>
  <c r="J58" i="65"/>
  <c r="B59" i="65"/>
  <c r="G59" i="65"/>
  <c r="J59" i="65"/>
  <c r="B60" i="65"/>
  <c r="G60" i="65"/>
  <c r="J60" i="65"/>
  <c r="B61" i="65"/>
  <c r="G61" i="65"/>
  <c r="J61" i="65"/>
  <c r="B62" i="65"/>
  <c r="G62" i="65"/>
  <c r="J62" i="65"/>
  <c r="B63" i="65"/>
  <c r="G63" i="65"/>
  <c r="J63" i="65"/>
  <c r="B64" i="65"/>
  <c r="G64" i="65"/>
  <c r="J64" i="65"/>
  <c r="B65" i="65"/>
  <c r="G65" i="65"/>
  <c r="J65" i="65"/>
  <c r="B66" i="65"/>
  <c r="G66" i="65"/>
  <c r="J66" i="65"/>
  <c r="B67" i="65"/>
  <c r="G67" i="65"/>
  <c r="J67" i="65"/>
  <c r="B68" i="65"/>
  <c r="G68" i="65"/>
  <c r="J68" i="65"/>
  <c r="B69" i="65"/>
  <c r="G69" i="65"/>
  <c r="J69" i="65"/>
  <c r="B70" i="65"/>
  <c r="G70" i="65"/>
  <c r="J70" i="65"/>
  <c r="B71" i="65"/>
  <c r="G71" i="65"/>
  <c r="J71" i="65"/>
  <c r="B72" i="65"/>
  <c r="G72" i="65"/>
  <c r="J72" i="65"/>
  <c r="B73" i="65"/>
  <c r="G73" i="65"/>
  <c r="J73" i="65"/>
  <c r="B74" i="65"/>
  <c r="G74" i="65"/>
  <c r="J74" i="65"/>
  <c r="B75" i="65"/>
  <c r="G75" i="65"/>
  <c r="J75" i="65"/>
  <c r="B76" i="65"/>
  <c r="G76" i="65"/>
  <c r="J76" i="65"/>
  <c r="B77" i="65"/>
  <c r="G77" i="65"/>
  <c r="J77" i="65"/>
  <c r="B78" i="65"/>
  <c r="G78" i="65"/>
  <c r="J78" i="65"/>
  <c r="B79" i="65"/>
  <c r="G79" i="65"/>
  <c r="J79" i="65"/>
  <c r="B80" i="65"/>
  <c r="G80" i="65"/>
  <c r="J80" i="65"/>
  <c r="B81" i="65"/>
  <c r="G81" i="65"/>
  <c r="J81" i="65"/>
  <c r="B82" i="65"/>
  <c r="G82" i="65"/>
  <c r="J82" i="65"/>
  <c r="B83" i="65"/>
  <c r="G83" i="65"/>
  <c r="J83" i="65"/>
  <c r="B84" i="65"/>
  <c r="G84" i="65"/>
  <c r="J84" i="65"/>
  <c r="B85" i="65"/>
  <c r="G85" i="65"/>
  <c r="J85" i="65"/>
  <c r="B86" i="65"/>
  <c r="G86" i="65"/>
  <c r="J86" i="65"/>
  <c r="B87" i="65"/>
  <c r="G87" i="65"/>
  <c r="J87" i="65"/>
  <c r="B88" i="65"/>
  <c r="G88" i="65"/>
  <c r="J88" i="65"/>
  <c r="B89" i="65"/>
  <c r="G89" i="65"/>
  <c r="J89" i="65"/>
  <c r="B90" i="65"/>
  <c r="G90" i="65"/>
  <c r="J90" i="65"/>
  <c r="B91" i="65"/>
  <c r="G91" i="65"/>
  <c r="J91" i="65"/>
  <c r="B92" i="65"/>
  <c r="G92" i="65"/>
  <c r="J92" i="65"/>
  <c r="B93" i="65"/>
  <c r="G93" i="65"/>
  <c r="J93" i="65"/>
  <c r="B94" i="65"/>
  <c r="G94" i="65"/>
  <c r="J94" i="65"/>
  <c r="B95" i="65"/>
  <c r="G95" i="65"/>
  <c r="J95" i="65"/>
  <c r="B96" i="65"/>
  <c r="G96" i="65"/>
  <c r="J96" i="65"/>
  <c r="B97" i="65"/>
  <c r="G97" i="65"/>
  <c r="J97" i="65"/>
  <c r="B98" i="65"/>
  <c r="G98" i="65"/>
  <c r="J98" i="65"/>
  <c r="B99" i="65"/>
  <c r="G99" i="65"/>
  <c r="J99" i="65"/>
  <c r="B100" i="65"/>
  <c r="G100" i="65"/>
  <c r="J100" i="65"/>
  <c r="B101" i="65"/>
  <c r="G101" i="65"/>
  <c r="J101" i="65"/>
  <c r="B102" i="65"/>
  <c r="G102" i="65"/>
  <c r="J102" i="65"/>
  <c r="B103" i="65"/>
  <c r="G103" i="65"/>
  <c r="J103" i="65"/>
  <c r="B104" i="65"/>
  <c r="G104" i="65"/>
  <c r="J104" i="65"/>
  <c r="B105" i="65"/>
  <c r="G105" i="65"/>
  <c r="J105" i="65"/>
  <c r="B106" i="65"/>
  <c r="G106" i="65"/>
  <c r="J106" i="65"/>
  <c r="B107" i="65"/>
  <c r="G107" i="65"/>
  <c r="J107" i="65"/>
  <c r="B108" i="65"/>
  <c r="G108" i="65"/>
  <c r="J108" i="65"/>
  <c r="B109" i="65"/>
  <c r="G109" i="65"/>
  <c r="J109" i="65"/>
  <c r="B110" i="65"/>
  <c r="G110" i="65"/>
  <c r="J110" i="65"/>
  <c r="B111" i="65"/>
  <c r="G111" i="65"/>
  <c r="J111" i="65"/>
  <c r="B112" i="65"/>
  <c r="G112" i="65"/>
  <c r="J112" i="65"/>
  <c r="B113" i="65"/>
  <c r="G113" i="65"/>
  <c r="J113" i="65"/>
  <c r="B114" i="65"/>
  <c r="G114" i="65"/>
  <c r="J114" i="65"/>
  <c r="B115" i="65"/>
  <c r="G115" i="65"/>
  <c r="J115" i="65"/>
  <c r="B116" i="65"/>
  <c r="G116" i="65"/>
  <c r="J116" i="65"/>
  <c r="B117" i="65"/>
  <c r="G117" i="65"/>
  <c r="J117" i="65"/>
  <c r="B118" i="65"/>
  <c r="G118" i="65"/>
  <c r="J118" i="65"/>
  <c r="B119" i="65"/>
  <c r="G119" i="65"/>
  <c r="J119" i="65"/>
  <c r="B120" i="65"/>
  <c r="G120" i="65"/>
  <c r="J120" i="65"/>
  <c r="B121" i="65"/>
  <c r="G121" i="65"/>
  <c r="J121" i="65"/>
  <c r="B122" i="65"/>
  <c r="G122" i="65"/>
  <c r="J122" i="65"/>
  <c r="B123" i="65"/>
  <c r="G123" i="65"/>
  <c r="J123" i="65"/>
  <c r="B124" i="65"/>
  <c r="G124" i="65"/>
  <c r="J124" i="65"/>
  <c r="B125" i="65"/>
  <c r="G125" i="65"/>
  <c r="J125" i="65"/>
  <c r="B126" i="65"/>
  <c r="G126" i="65"/>
  <c r="J126" i="65"/>
  <c r="B127" i="65"/>
  <c r="G127" i="65"/>
  <c r="J127" i="65"/>
  <c r="B128" i="65"/>
  <c r="G128" i="65"/>
  <c r="J128" i="65"/>
  <c r="B129" i="65"/>
  <c r="G129" i="65"/>
  <c r="J129" i="65"/>
  <c r="B130" i="65"/>
  <c r="G130" i="65"/>
  <c r="J130" i="65"/>
  <c r="B131" i="65"/>
  <c r="G131" i="65"/>
  <c r="J131" i="65"/>
  <c r="B132" i="65"/>
  <c r="G132" i="65"/>
  <c r="J132" i="65"/>
  <c r="B133" i="65"/>
  <c r="G133" i="65"/>
  <c r="J133" i="65"/>
  <c r="B134" i="65"/>
  <c r="G134" i="65"/>
  <c r="J134" i="65"/>
  <c r="B135" i="65"/>
  <c r="G135" i="65"/>
  <c r="J135" i="65"/>
  <c r="B136" i="65"/>
  <c r="G136" i="65"/>
  <c r="J136" i="65"/>
  <c r="B137" i="65"/>
  <c r="G137" i="65"/>
  <c r="J137" i="65"/>
  <c r="B138" i="65"/>
  <c r="G138" i="65"/>
  <c r="J138" i="65"/>
  <c r="B139" i="65"/>
  <c r="G139" i="65"/>
  <c r="J139" i="65"/>
  <c r="B140" i="65"/>
  <c r="G140" i="65"/>
  <c r="J140" i="65"/>
  <c r="B141" i="65"/>
  <c r="G141" i="65"/>
  <c r="J141" i="65"/>
  <c r="B142" i="65"/>
  <c r="G142" i="65"/>
  <c r="J142" i="65"/>
  <c r="B143" i="65"/>
  <c r="G143" i="65"/>
  <c r="J143" i="65"/>
  <c r="B144" i="65"/>
  <c r="G144" i="65"/>
  <c r="J144" i="65"/>
  <c r="B145" i="65"/>
  <c r="G145" i="65"/>
  <c r="J145" i="65"/>
  <c r="B146" i="65"/>
  <c r="G146" i="65"/>
  <c r="J146" i="65"/>
  <c r="B147" i="65"/>
  <c r="G147" i="65"/>
  <c r="J147" i="65"/>
  <c r="B148" i="65"/>
  <c r="G148" i="65"/>
  <c r="J148" i="65"/>
  <c r="B149" i="65"/>
  <c r="G149" i="65"/>
  <c r="J149" i="65"/>
  <c r="B150" i="65"/>
  <c r="G150" i="65"/>
  <c r="J150" i="65"/>
  <c r="B151" i="65"/>
  <c r="G151" i="65"/>
  <c r="J151" i="65"/>
  <c r="B152" i="65"/>
  <c r="G152" i="65"/>
  <c r="J152" i="65"/>
  <c r="B153" i="65"/>
  <c r="G153" i="65"/>
  <c r="J153" i="65"/>
  <c r="B154" i="65"/>
  <c r="G154" i="65"/>
  <c r="J154" i="65"/>
  <c r="B155" i="65"/>
  <c r="G155" i="65"/>
  <c r="J155" i="65"/>
  <c r="B156" i="65"/>
  <c r="G156" i="65"/>
  <c r="J156" i="65"/>
  <c r="B157" i="65"/>
  <c r="G157" i="65"/>
  <c r="J157" i="65"/>
  <c r="B158" i="65"/>
  <c r="G158" i="65"/>
  <c r="J158" i="65"/>
  <c r="B159" i="65"/>
  <c r="G159" i="65"/>
  <c r="J159" i="65"/>
  <c r="B160" i="65"/>
  <c r="G160" i="65"/>
  <c r="J160" i="65"/>
  <c r="B161" i="65"/>
  <c r="G161" i="65"/>
  <c r="J161" i="65"/>
  <c r="B162" i="65"/>
  <c r="G162" i="65"/>
  <c r="J162" i="65"/>
  <c r="B163" i="65"/>
  <c r="G163" i="65"/>
  <c r="J163" i="65"/>
  <c r="B164" i="65"/>
  <c r="G164" i="65"/>
  <c r="J164" i="65"/>
  <c r="B165" i="65"/>
  <c r="G165" i="65"/>
  <c r="J165" i="65"/>
  <c r="B166" i="65"/>
  <c r="G166" i="65"/>
  <c r="J166" i="65"/>
  <c r="B167" i="65"/>
  <c r="G167" i="65"/>
  <c r="J167" i="65"/>
  <c r="B168" i="65"/>
  <c r="G168" i="65"/>
  <c r="J168" i="65"/>
  <c r="B169" i="65"/>
  <c r="G169" i="65"/>
  <c r="J169" i="65"/>
  <c r="B170" i="65"/>
  <c r="G170" i="65"/>
  <c r="J170" i="65"/>
  <c r="B171" i="65"/>
  <c r="G171" i="65"/>
  <c r="J171" i="65"/>
  <c r="B172" i="65"/>
  <c r="G172" i="65"/>
  <c r="J172" i="65"/>
  <c r="B173" i="65"/>
  <c r="G173" i="65"/>
  <c r="J173" i="65"/>
  <c r="B174" i="65"/>
  <c r="G174" i="65"/>
  <c r="J174" i="65"/>
  <c r="B175" i="65"/>
  <c r="G175" i="65"/>
  <c r="J175" i="65"/>
  <c r="B176" i="65"/>
  <c r="G176" i="65"/>
  <c r="J176" i="65"/>
  <c r="B177" i="65"/>
  <c r="G177" i="65"/>
  <c r="J177" i="65"/>
  <c r="B178" i="65"/>
  <c r="G178" i="65"/>
  <c r="J178" i="65"/>
  <c r="B179" i="65"/>
  <c r="G179" i="65"/>
  <c r="J179" i="65"/>
  <c r="B180" i="65"/>
  <c r="G180" i="65"/>
  <c r="J180" i="65"/>
  <c r="B181" i="65"/>
  <c r="G181" i="65"/>
  <c r="J181" i="65"/>
  <c r="B182" i="65"/>
  <c r="G182" i="65"/>
  <c r="J182" i="65"/>
  <c r="B183" i="65"/>
  <c r="G183" i="65"/>
  <c r="J183" i="65"/>
  <c r="B184" i="65"/>
  <c r="G184" i="65"/>
  <c r="J184" i="65"/>
  <c r="B185" i="65"/>
  <c r="G185" i="65"/>
  <c r="J185" i="65"/>
  <c r="B186" i="65"/>
  <c r="G186" i="65"/>
  <c r="J186" i="65"/>
  <c r="B187" i="65"/>
  <c r="G187" i="65"/>
  <c r="J187" i="65"/>
  <c r="B188" i="65"/>
  <c r="G188" i="65"/>
  <c r="J188" i="65"/>
  <c r="B189" i="65"/>
  <c r="G189" i="65"/>
  <c r="J189" i="65"/>
  <c r="B190" i="65"/>
  <c r="G190" i="65"/>
  <c r="J190" i="65"/>
  <c r="B191" i="65"/>
  <c r="G191" i="65"/>
  <c r="J191" i="65"/>
  <c r="B192" i="65"/>
  <c r="G192" i="65"/>
  <c r="J192" i="65"/>
  <c r="B193" i="65"/>
  <c r="G193" i="65"/>
  <c r="J193" i="65"/>
  <c r="B194" i="65"/>
  <c r="G194" i="65"/>
  <c r="J194" i="65"/>
  <c r="B195" i="65"/>
  <c r="G195" i="65"/>
  <c r="J195" i="65"/>
  <c r="B196" i="65"/>
  <c r="G196" i="65"/>
  <c r="J196" i="65"/>
  <c r="B197" i="65"/>
  <c r="G197" i="65"/>
  <c r="J197" i="65"/>
  <c r="B198" i="65"/>
  <c r="G198" i="65"/>
  <c r="J198" i="65"/>
  <c r="B199" i="65"/>
  <c r="G199" i="65"/>
  <c r="J199" i="65"/>
  <c r="B200" i="65"/>
  <c r="G200" i="65"/>
  <c r="J200" i="65"/>
  <c r="B201" i="65"/>
  <c r="G201" i="65"/>
  <c r="J201" i="65"/>
  <c r="B202" i="65"/>
  <c r="G202" i="65"/>
  <c r="J202" i="65"/>
  <c r="B203" i="65"/>
  <c r="G203" i="65"/>
  <c r="J203" i="65"/>
  <c r="B204" i="65"/>
  <c r="G204" i="65"/>
  <c r="J204" i="65"/>
  <c r="B205" i="65"/>
  <c r="G205" i="65"/>
  <c r="J205" i="65"/>
  <c r="B206" i="65"/>
  <c r="G206" i="65"/>
  <c r="J206" i="65"/>
  <c r="B207" i="65"/>
  <c r="G207" i="65"/>
  <c r="J207" i="65"/>
  <c r="B208" i="65"/>
  <c r="G208" i="65"/>
  <c r="J208" i="65"/>
  <c r="B209" i="65"/>
  <c r="G209" i="65"/>
  <c r="J209" i="65"/>
  <c r="B210" i="65"/>
  <c r="G210" i="65"/>
  <c r="J210" i="65"/>
  <c r="B211" i="65"/>
  <c r="G211" i="65"/>
  <c r="J211" i="65"/>
  <c r="B212" i="65"/>
  <c r="G212" i="65"/>
  <c r="J212" i="65"/>
  <c r="B213" i="65"/>
  <c r="G213" i="65"/>
  <c r="J213" i="65"/>
  <c r="B214" i="65"/>
  <c r="G214" i="65"/>
  <c r="J214" i="65"/>
  <c r="B215" i="65"/>
  <c r="G215" i="65"/>
  <c r="J215" i="65"/>
  <c r="B216" i="65"/>
  <c r="G216" i="65"/>
  <c r="J216" i="65"/>
  <c r="B217" i="65"/>
  <c r="G217" i="65"/>
  <c r="J217" i="65"/>
  <c r="B218" i="65"/>
  <c r="G218" i="65"/>
  <c r="J218" i="65"/>
  <c r="B219" i="65"/>
  <c r="G219" i="65"/>
  <c r="J219" i="65"/>
  <c r="B220" i="65"/>
  <c r="G220" i="65"/>
  <c r="J220" i="65"/>
  <c r="B221" i="65"/>
  <c r="G221" i="65"/>
  <c r="J221" i="65"/>
  <c r="B222" i="65"/>
  <c r="G222" i="65"/>
  <c r="J222" i="65"/>
  <c r="B223" i="65"/>
  <c r="G223" i="65"/>
  <c r="J223" i="65"/>
  <c r="B224" i="65"/>
  <c r="G224" i="65"/>
  <c r="J224" i="65"/>
  <c r="B225" i="65"/>
  <c r="G225" i="65"/>
  <c r="J225" i="65"/>
  <c r="B226" i="65"/>
  <c r="G226" i="65"/>
  <c r="J226" i="65"/>
  <c r="B227" i="65"/>
  <c r="G227" i="65"/>
  <c r="J227" i="65"/>
  <c r="B228" i="65"/>
  <c r="G228" i="65"/>
  <c r="J228" i="65"/>
  <c r="B229" i="65"/>
  <c r="G229" i="65"/>
  <c r="J229" i="65"/>
  <c r="B230" i="65"/>
  <c r="G230" i="65"/>
  <c r="J230" i="65"/>
  <c r="B231" i="65"/>
  <c r="G231" i="65"/>
  <c r="J231" i="65"/>
  <c r="B232" i="65"/>
  <c r="G232" i="65"/>
  <c r="J232" i="65"/>
  <c r="B233" i="65"/>
  <c r="G233" i="65"/>
  <c r="J233" i="65"/>
  <c r="B234" i="65"/>
  <c r="G234" i="65"/>
  <c r="J234" i="65"/>
  <c r="B235" i="65"/>
  <c r="G235" i="65"/>
  <c r="J235" i="65"/>
  <c r="B236" i="65"/>
  <c r="G236" i="65"/>
  <c r="J236" i="65"/>
  <c r="B237" i="65"/>
  <c r="G237" i="65"/>
  <c r="J237" i="65"/>
  <c r="B238" i="65"/>
  <c r="G238" i="65"/>
  <c r="J238" i="65"/>
  <c r="B239" i="65"/>
  <c r="G239" i="65"/>
  <c r="J239" i="65"/>
  <c r="B240" i="65"/>
  <c r="G240" i="65"/>
  <c r="J240" i="65"/>
  <c r="B241" i="65"/>
  <c r="G241" i="65"/>
  <c r="J241" i="65"/>
  <c r="B242" i="65"/>
  <c r="G242" i="65"/>
  <c r="J242" i="65"/>
  <c r="B243" i="65"/>
  <c r="G243" i="65"/>
  <c r="J243" i="65"/>
  <c r="B244" i="65"/>
  <c r="G244" i="65"/>
  <c r="J244" i="65"/>
  <c r="B245" i="65"/>
  <c r="G245" i="65"/>
  <c r="J245" i="65"/>
  <c r="B246" i="65"/>
  <c r="G246" i="65"/>
  <c r="J246" i="65"/>
  <c r="B247" i="65"/>
  <c r="G247" i="65"/>
  <c r="J247" i="65"/>
  <c r="B248" i="65"/>
  <c r="G248" i="65"/>
  <c r="J248" i="65"/>
  <c r="B249" i="65"/>
  <c r="G249" i="65"/>
  <c r="J249" i="65"/>
  <c r="B250" i="65"/>
  <c r="G250" i="65"/>
  <c r="J250" i="65"/>
  <c r="B251" i="65"/>
  <c r="G251" i="65"/>
  <c r="J251" i="65"/>
  <c r="B252" i="65"/>
  <c r="G252" i="65"/>
  <c r="J252" i="65"/>
  <c r="B253" i="65"/>
  <c r="G253" i="65"/>
  <c r="J253" i="65"/>
  <c r="B254" i="65"/>
  <c r="G254" i="65"/>
  <c r="J254" i="65"/>
  <c r="B255" i="65"/>
  <c r="G255" i="65"/>
  <c r="J255" i="65"/>
  <c r="B256" i="65"/>
  <c r="G256" i="65"/>
  <c r="J256" i="65"/>
  <c r="B257" i="65"/>
  <c r="G257" i="65"/>
  <c r="J257" i="65"/>
  <c r="B258" i="65"/>
  <c r="G258" i="65"/>
  <c r="J258" i="65"/>
  <c r="B259" i="65"/>
  <c r="G259" i="65"/>
  <c r="J259" i="65"/>
  <c r="B260" i="65"/>
  <c r="G260" i="65"/>
  <c r="J260" i="65"/>
  <c r="B261" i="65"/>
  <c r="G261" i="65"/>
  <c r="J261" i="65"/>
  <c r="B262" i="65"/>
  <c r="G262" i="65"/>
  <c r="J262" i="65"/>
  <c r="B263" i="65"/>
  <c r="G263" i="65"/>
  <c r="J263" i="65"/>
  <c r="B264" i="65"/>
  <c r="G264" i="65"/>
  <c r="J264" i="65"/>
  <c r="B265" i="65"/>
  <c r="G265" i="65"/>
  <c r="J265" i="65"/>
  <c r="B266" i="65"/>
  <c r="G266" i="65"/>
  <c r="J266" i="65"/>
  <c r="B267" i="65"/>
  <c r="G267" i="65"/>
  <c r="J267" i="65"/>
  <c r="B268" i="65"/>
  <c r="G268" i="65"/>
  <c r="J268" i="65"/>
  <c r="B269" i="65"/>
  <c r="G269" i="65"/>
  <c r="J269" i="65"/>
  <c r="B270" i="65"/>
  <c r="G270" i="65"/>
  <c r="J270" i="65"/>
  <c r="B271" i="65"/>
  <c r="G271" i="65"/>
  <c r="J271" i="65"/>
  <c r="B272" i="65"/>
  <c r="G272" i="65"/>
  <c r="J272" i="65"/>
  <c r="B273" i="65"/>
  <c r="G273" i="65"/>
  <c r="J273" i="65"/>
  <c r="B274" i="65"/>
  <c r="G274" i="65"/>
  <c r="J274" i="65"/>
  <c r="B275" i="65"/>
  <c r="G275" i="65"/>
  <c r="J275" i="65"/>
  <c r="B276" i="65"/>
  <c r="G276" i="65"/>
  <c r="J276" i="65"/>
  <c r="B277" i="65"/>
  <c r="G277" i="65"/>
  <c r="J277" i="65"/>
  <c r="B278" i="65"/>
  <c r="G278" i="65"/>
  <c r="J278" i="65"/>
  <c r="B279" i="65"/>
  <c r="G279" i="65"/>
  <c r="J279" i="65"/>
  <c r="B280" i="65"/>
  <c r="G280" i="65"/>
  <c r="J280" i="65"/>
  <c r="B281" i="65"/>
  <c r="G281" i="65"/>
  <c r="J281" i="65"/>
  <c r="B282" i="65"/>
  <c r="G282" i="65"/>
  <c r="J282" i="65"/>
  <c r="B283" i="65"/>
  <c r="G283" i="65"/>
  <c r="J283" i="65"/>
  <c r="B284" i="65"/>
  <c r="G284" i="65"/>
  <c r="J284" i="65"/>
  <c r="B285" i="65"/>
  <c r="G285" i="65"/>
  <c r="J285" i="65"/>
  <c r="B286" i="65"/>
  <c r="G286" i="65"/>
  <c r="J286" i="65"/>
  <c r="B287" i="65"/>
  <c r="G287" i="65"/>
  <c r="J287" i="65"/>
  <c r="B288" i="65"/>
  <c r="G288" i="65"/>
  <c r="J288" i="65"/>
  <c r="B289" i="65"/>
  <c r="G289" i="65"/>
  <c r="J289" i="65"/>
  <c r="B290" i="65"/>
  <c r="G290" i="65"/>
  <c r="J290" i="65"/>
  <c r="B291" i="65"/>
  <c r="G291" i="65"/>
  <c r="J291" i="65"/>
  <c r="B292" i="65"/>
  <c r="G292" i="65"/>
  <c r="J292" i="65"/>
  <c r="B293" i="65"/>
  <c r="G293" i="65"/>
  <c r="J293" i="65"/>
  <c r="B294" i="65"/>
  <c r="G294" i="65"/>
  <c r="J294" i="65"/>
  <c r="B295" i="65"/>
  <c r="G295" i="65"/>
  <c r="J295" i="65"/>
  <c r="B296" i="65"/>
  <c r="G296" i="65"/>
  <c r="J296" i="65"/>
  <c r="B297" i="65"/>
  <c r="G297" i="65"/>
  <c r="J297" i="65"/>
  <c r="B298" i="65"/>
  <c r="G298" i="65"/>
  <c r="J298" i="65"/>
  <c r="B299" i="65"/>
  <c r="G299" i="65"/>
  <c r="J299" i="65"/>
  <c r="B300" i="65"/>
  <c r="G300" i="65"/>
  <c r="J300" i="65"/>
  <c r="B301" i="65"/>
  <c r="G301" i="65"/>
  <c r="J301" i="65"/>
  <c r="B302" i="65"/>
  <c r="G302" i="65"/>
  <c r="J302" i="65"/>
  <c r="B303" i="65"/>
  <c r="G303" i="65"/>
  <c r="J303" i="65"/>
  <c r="B304" i="65"/>
  <c r="G304" i="65"/>
  <c r="J304" i="65"/>
  <c r="B305" i="65"/>
  <c r="G305" i="65"/>
  <c r="J305" i="65"/>
  <c r="B306" i="65"/>
  <c r="G306" i="65"/>
  <c r="J306" i="65"/>
  <c r="B307" i="65"/>
  <c r="G307" i="65"/>
  <c r="J307" i="65"/>
  <c r="B308" i="65"/>
  <c r="G308" i="65"/>
  <c r="J308" i="65"/>
  <c r="B309" i="65"/>
  <c r="G309" i="65"/>
  <c r="J309" i="65"/>
  <c r="B310" i="65"/>
  <c r="G310" i="65"/>
  <c r="J310" i="65"/>
  <c r="B311" i="65"/>
  <c r="G311" i="65"/>
  <c r="J311" i="65"/>
  <c r="B312" i="65"/>
  <c r="G312" i="65"/>
  <c r="J312" i="65"/>
  <c r="B313" i="65"/>
  <c r="G313" i="65"/>
  <c r="J313" i="65"/>
  <c r="B314" i="65"/>
  <c r="G314" i="65"/>
  <c r="J314" i="65"/>
  <c r="B315" i="65"/>
  <c r="G315" i="65"/>
  <c r="J315" i="65"/>
  <c r="B316" i="65"/>
  <c r="G316" i="65"/>
  <c r="J316" i="65"/>
  <c r="B317" i="65"/>
  <c r="G317" i="65"/>
  <c r="J317" i="65"/>
  <c r="B318" i="65"/>
  <c r="G318" i="65"/>
  <c r="J318" i="65"/>
  <c r="B319" i="65"/>
  <c r="G319" i="65"/>
  <c r="J319" i="65"/>
  <c r="B320" i="65"/>
  <c r="G320" i="65"/>
  <c r="J320" i="65"/>
  <c r="B321" i="65"/>
  <c r="G321" i="65"/>
  <c r="J321" i="65"/>
  <c r="B322" i="65"/>
  <c r="G322" i="65"/>
  <c r="J322" i="65"/>
  <c r="B323" i="65"/>
  <c r="G323" i="65"/>
  <c r="J323" i="65"/>
  <c r="B324" i="65"/>
  <c r="G324" i="65"/>
  <c r="J324" i="65"/>
  <c r="B325" i="65"/>
  <c r="G325" i="65"/>
  <c r="J325" i="65"/>
  <c r="B326" i="65"/>
  <c r="G326" i="65"/>
  <c r="J326" i="65"/>
  <c r="B327" i="65"/>
  <c r="G327" i="65"/>
  <c r="J327" i="65"/>
  <c r="B328" i="65"/>
  <c r="G328" i="65"/>
  <c r="J328" i="65"/>
  <c r="B329" i="65"/>
  <c r="G329" i="65"/>
  <c r="J329" i="65"/>
  <c r="B330" i="65"/>
  <c r="G330" i="65"/>
  <c r="J330" i="65"/>
  <c r="B331" i="65"/>
  <c r="G331" i="65"/>
  <c r="J331" i="65"/>
  <c r="B332" i="65"/>
  <c r="G332" i="65"/>
  <c r="J332" i="65"/>
  <c r="B333" i="65"/>
  <c r="G333" i="65"/>
  <c r="J333" i="65"/>
  <c r="B334" i="65"/>
  <c r="G334" i="65"/>
  <c r="J334" i="65"/>
  <c r="B335" i="65"/>
  <c r="G335" i="65"/>
  <c r="J335" i="65"/>
  <c r="B336" i="65"/>
  <c r="G336" i="65"/>
  <c r="J336" i="65"/>
  <c r="B337" i="65"/>
  <c r="G337" i="65"/>
  <c r="J337" i="65"/>
  <c r="B338" i="65"/>
  <c r="G338" i="65"/>
  <c r="J338" i="65"/>
  <c r="B339" i="65"/>
  <c r="G339" i="65"/>
  <c r="J339" i="65"/>
  <c r="B340" i="65"/>
  <c r="G340" i="65"/>
  <c r="J340" i="65"/>
  <c r="B341" i="65"/>
  <c r="G341" i="65"/>
  <c r="J341" i="65"/>
  <c r="B342" i="65"/>
  <c r="G342" i="65"/>
  <c r="J342" i="65"/>
  <c r="B343" i="65"/>
  <c r="G343" i="65"/>
  <c r="J343" i="65"/>
  <c r="B344" i="65"/>
  <c r="G344" i="65"/>
  <c r="J344" i="65"/>
  <c r="B345" i="65"/>
  <c r="G345" i="65"/>
  <c r="J345" i="65"/>
  <c r="B346" i="65"/>
  <c r="G346" i="65"/>
  <c r="J346" i="65"/>
  <c r="B347" i="65"/>
  <c r="G347" i="65"/>
  <c r="J347" i="65"/>
  <c r="B348" i="65"/>
  <c r="G348" i="65"/>
  <c r="J348" i="65"/>
  <c r="B349" i="65"/>
  <c r="G349" i="65"/>
  <c r="J349" i="65"/>
  <c r="B350" i="65"/>
  <c r="G350" i="65"/>
  <c r="J350" i="65"/>
  <c r="B351" i="65"/>
  <c r="G351" i="65"/>
  <c r="J351" i="65"/>
  <c r="B352" i="65"/>
  <c r="G352" i="65"/>
  <c r="J352" i="65"/>
  <c r="B353" i="65"/>
  <c r="G353" i="65"/>
  <c r="J353" i="65"/>
  <c r="B354" i="65"/>
  <c r="G354" i="65"/>
  <c r="J354" i="65"/>
  <c r="B355" i="65"/>
  <c r="G355" i="65"/>
  <c r="J355" i="65"/>
  <c r="B356" i="65"/>
  <c r="G356" i="65"/>
  <c r="J356" i="65"/>
  <c r="B357" i="65"/>
  <c r="G357" i="65"/>
  <c r="J357" i="65"/>
  <c r="B358" i="65"/>
  <c r="G358" i="65"/>
  <c r="J358" i="65"/>
  <c r="B359" i="65"/>
  <c r="G359" i="65"/>
  <c r="J359" i="65"/>
  <c r="B360" i="65"/>
  <c r="G360" i="65"/>
  <c r="J360" i="65"/>
  <c r="B361" i="65"/>
  <c r="G361" i="65"/>
  <c r="J361" i="65"/>
  <c r="B362" i="65"/>
  <c r="G362" i="65"/>
  <c r="J362" i="65"/>
  <c r="B363" i="65"/>
  <c r="G363" i="65"/>
  <c r="J363" i="65"/>
  <c r="B364" i="65"/>
  <c r="G364" i="65"/>
  <c r="J364" i="65"/>
  <c r="B365" i="65"/>
  <c r="G365" i="65"/>
  <c r="J365" i="65"/>
  <c r="B366" i="65"/>
  <c r="G366" i="65"/>
  <c r="J366" i="65"/>
  <c r="B367" i="65"/>
  <c r="G367" i="65"/>
  <c r="J367" i="65"/>
  <c r="B368" i="65"/>
  <c r="G368" i="65"/>
  <c r="J368" i="65"/>
  <c r="B369" i="65"/>
  <c r="G369" i="65"/>
  <c r="J369" i="65"/>
  <c r="B370" i="65"/>
  <c r="G370" i="65"/>
  <c r="J370" i="65"/>
  <c r="B371" i="65"/>
  <c r="G371" i="65"/>
  <c r="J371" i="65"/>
  <c r="B372" i="65"/>
  <c r="G372" i="65"/>
  <c r="J372" i="65"/>
  <c r="B373" i="65"/>
  <c r="G373" i="65"/>
  <c r="J373" i="65"/>
  <c r="B374" i="65"/>
  <c r="G374" i="65"/>
  <c r="J374" i="65"/>
  <c r="B375" i="65"/>
  <c r="G375" i="65"/>
  <c r="J375" i="65"/>
  <c r="B376" i="65"/>
  <c r="G376" i="65"/>
  <c r="J376" i="65"/>
  <c r="B377" i="65"/>
  <c r="G377" i="65"/>
  <c r="J377" i="65"/>
  <c r="B378" i="65"/>
  <c r="G378" i="65"/>
  <c r="J378" i="65"/>
  <c r="B379" i="65"/>
  <c r="G379" i="65"/>
  <c r="J379" i="65"/>
  <c r="B380" i="65"/>
  <c r="G380" i="65"/>
  <c r="J380" i="65"/>
  <c r="B381" i="65"/>
  <c r="G381" i="65"/>
  <c r="J381" i="65"/>
  <c r="B382" i="65"/>
  <c r="G382" i="65"/>
  <c r="J382" i="65"/>
  <c r="B383" i="65"/>
  <c r="G383" i="65"/>
  <c r="J383" i="65"/>
  <c r="B384" i="65"/>
  <c r="G384" i="65"/>
  <c r="J384" i="65"/>
  <c r="B385" i="65"/>
  <c r="G385" i="65"/>
  <c r="J385" i="65"/>
  <c r="B386" i="65"/>
  <c r="G386" i="65"/>
  <c r="J386" i="65"/>
  <c r="B387" i="65"/>
  <c r="G387" i="65"/>
  <c r="J387" i="65"/>
  <c r="B388" i="65"/>
  <c r="G388" i="65"/>
  <c r="J388" i="65"/>
  <c r="B389" i="65"/>
  <c r="G389" i="65"/>
  <c r="J389" i="65"/>
  <c r="B390" i="65"/>
  <c r="G390" i="65"/>
  <c r="J390" i="65"/>
  <c r="B391" i="65"/>
  <c r="G391" i="65"/>
  <c r="J391" i="65"/>
  <c r="B392" i="65"/>
  <c r="G392" i="65"/>
  <c r="J392" i="65"/>
  <c r="B393" i="65"/>
  <c r="G393" i="65"/>
  <c r="J393" i="65"/>
  <c r="B394" i="65"/>
  <c r="G394" i="65"/>
  <c r="J394" i="65"/>
  <c r="B395" i="65"/>
  <c r="G395" i="65"/>
  <c r="J395" i="65"/>
  <c r="B396" i="65"/>
  <c r="G396" i="65"/>
  <c r="J396" i="65"/>
  <c r="B397" i="65"/>
  <c r="G397" i="65"/>
  <c r="J397" i="65"/>
  <c r="B398" i="65"/>
  <c r="G398" i="65"/>
  <c r="J398" i="65"/>
  <c r="B399" i="65"/>
  <c r="G399" i="65"/>
  <c r="J399" i="65"/>
  <c r="B400" i="65"/>
  <c r="G400" i="65"/>
  <c r="J400" i="65"/>
  <c r="B401" i="65"/>
  <c r="G401" i="65"/>
  <c r="J401" i="65"/>
  <c r="B402" i="65"/>
  <c r="G402" i="65"/>
  <c r="J402" i="65"/>
  <c r="B403" i="65"/>
  <c r="G403" i="65"/>
  <c r="J403" i="65"/>
  <c r="B404" i="65"/>
  <c r="G404" i="65"/>
  <c r="J404" i="65"/>
  <c r="B405" i="65"/>
  <c r="G405" i="65"/>
  <c r="J405" i="65"/>
  <c r="B406" i="65"/>
  <c r="G406" i="65"/>
  <c r="J406" i="65"/>
  <c r="B407" i="65"/>
  <c r="G407" i="65"/>
  <c r="J407" i="65"/>
  <c r="B408" i="65"/>
  <c r="G408" i="65"/>
  <c r="J408" i="65"/>
  <c r="B409" i="65"/>
  <c r="G409" i="65"/>
  <c r="J409" i="65"/>
  <c r="B410" i="65"/>
  <c r="G410" i="65"/>
  <c r="J410" i="65"/>
  <c r="B411" i="65"/>
  <c r="G411" i="65"/>
  <c r="J411" i="65"/>
  <c r="B412" i="65"/>
  <c r="G412" i="65"/>
  <c r="J412" i="65"/>
  <c r="B413" i="65"/>
  <c r="G413" i="65"/>
  <c r="J413" i="65"/>
  <c r="B414" i="65"/>
  <c r="G414" i="65"/>
  <c r="J414" i="65"/>
  <c r="B415" i="65"/>
  <c r="G415" i="65"/>
  <c r="J415" i="65"/>
  <c r="B416" i="65"/>
  <c r="G416" i="65"/>
  <c r="J416" i="65"/>
  <c r="B417" i="65"/>
  <c r="G417" i="65"/>
  <c r="J417" i="65"/>
  <c r="B418" i="65"/>
  <c r="G418" i="65"/>
  <c r="J418" i="65"/>
  <c r="B419" i="65"/>
  <c r="G419" i="65"/>
  <c r="J419" i="65"/>
  <c r="B420" i="65"/>
  <c r="G420" i="65"/>
  <c r="J420" i="65"/>
  <c r="B421" i="65"/>
  <c r="G421" i="65"/>
  <c r="J421" i="65"/>
  <c r="B422" i="65"/>
  <c r="G422" i="65"/>
  <c r="J422" i="65"/>
  <c r="B423" i="65"/>
  <c r="G423" i="65"/>
  <c r="J423" i="65"/>
  <c r="B424" i="65"/>
  <c r="G424" i="65"/>
  <c r="J424" i="65"/>
  <c r="B425" i="65"/>
  <c r="G425" i="65"/>
  <c r="J425" i="65"/>
  <c r="B426" i="65"/>
  <c r="G426" i="65"/>
  <c r="J426" i="65"/>
  <c r="B427" i="65"/>
  <c r="G427" i="65"/>
  <c r="J427" i="65"/>
  <c r="B428" i="65"/>
  <c r="G428" i="65"/>
  <c r="J428" i="65"/>
  <c r="B429" i="65"/>
  <c r="G429" i="65"/>
  <c r="J429" i="65"/>
  <c r="B430" i="65"/>
  <c r="G430" i="65"/>
  <c r="J430" i="65"/>
  <c r="B431" i="65"/>
  <c r="G431" i="65"/>
  <c r="J431" i="65"/>
  <c r="B432" i="65"/>
  <c r="G432" i="65"/>
  <c r="J432" i="65"/>
  <c r="B433" i="65"/>
  <c r="G433" i="65"/>
  <c r="J433" i="65"/>
  <c r="B434" i="65"/>
  <c r="G434" i="65"/>
  <c r="J434" i="65"/>
  <c r="B435" i="65"/>
  <c r="G435" i="65"/>
  <c r="J435" i="65"/>
  <c r="B436" i="65"/>
  <c r="G436" i="65"/>
  <c r="J436" i="65"/>
  <c r="B437" i="65"/>
  <c r="G437" i="65"/>
  <c r="J437" i="65"/>
  <c r="B438" i="65"/>
  <c r="G438" i="65"/>
  <c r="J438" i="65"/>
  <c r="B439" i="65"/>
  <c r="G439" i="65"/>
  <c r="J439" i="65"/>
  <c r="B440" i="65"/>
  <c r="G440" i="65"/>
  <c r="J440" i="65"/>
  <c r="B441" i="65"/>
  <c r="G441" i="65"/>
  <c r="J441" i="65"/>
  <c r="B442" i="65"/>
  <c r="G442" i="65"/>
  <c r="J442" i="65"/>
  <c r="B443" i="65"/>
  <c r="G443" i="65"/>
  <c r="J443" i="65"/>
  <c r="B444" i="65"/>
  <c r="G444" i="65"/>
  <c r="J444" i="65"/>
  <c r="B445" i="65"/>
  <c r="G445" i="65"/>
  <c r="J445" i="65"/>
  <c r="B446" i="65"/>
  <c r="G446" i="65"/>
  <c r="J446" i="65"/>
  <c r="B447" i="65"/>
  <c r="G447" i="65"/>
  <c r="J447" i="65"/>
  <c r="B448" i="65"/>
  <c r="G448" i="65"/>
  <c r="J448" i="65"/>
  <c r="B449" i="65"/>
  <c r="G449" i="65"/>
  <c r="J449" i="65"/>
  <c r="B450" i="65"/>
  <c r="G450" i="65"/>
  <c r="J450" i="65"/>
  <c r="B451" i="65"/>
  <c r="G451" i="65"/>
  <c r="J451" i="65"/>
  <c r="B452" i="65"/>
  <c r="G452" i="65"/>
  <c r="J452" i="65"/>
  <c r="B453" i="65"/>
  <c r="G453" i="65"/>
  <c r="J453" i="65"/>
  <c r="B454" i="65"/>
  <c r="G454" i="65"/>
  <c r="J454" i="65"/>
  <c r="B455" i="65"/>
  <c r="G455" i="65"/>
  <c r="J455" i="65"/>
  <c r="B456" i="65"/>
  <c r="G456" i="65"/>
  <c r="J456" i="65"/>
  <c r="B457" i="65"/>
  <c r="G457" i="65"/>
  <c r="J457" i="65"/>
  <c r="B458" i="65"/>
  <c r="G458" i="65"/>
  <c r="J458" i="65"/>
  <c r="B459" i="65"/>
  <c r="G459" i="65"/>
  <c r="J459" i="65"/>
  <c r="B460" i="65"/>
  <c r="G460" i="65"/>
  <c r="J460" i="65"/>
  <c r="B461" i="65"/>
  <c r="G461" i="65"/>
  <c r="J461" i="65"/>
  <c r="B462" i="65"/>
  <c r="G462" i="65"/>
  <c r="J462" i="65"/>
  <c r="B463" i="65"/>
  <c r="G463" i="65"/>
  <c r="J463" i="65"/>
  <c r="B464" i="65"/>
  <c r="G464" i="65"/>
  <c r="J464" i="65"/>
  <c r="B465" i="65"/>
  <c r="G465" i="65"/>
  <c r="J465" i="65"/>
  <c r="B466" i="65"/>
  <c r="G466" i="65"/>
  <c r="J466" i="65"/>
  <c r="B467" i="65"/>
  <c r="G467" i="65"/>
  <c r="J467" i="65"/>
  <c r="B468" i="65"/>
  <c r="G468" i="65"/>
  <c r="J468" i="65"/>
  <c r="B469" i="65"/>
  <c r="G469" i="65"/>
  <c r="J469" i="65"/>
  <c r="B470" i="65"/>
  <c r="G470" i="65"/>
  <c r="J470" i="65"/>
  <c r="B471" i="65"/>
  <c r="G471" i="65"/>
  <c r="J471" i="65"/>
  <c r="B472" i="65"/>
  <c r="G472" i="65"/>
  <c r="J472" i="65"/>
  <c r="B473" i="65"/>
  <c r="G473" i="65"/>
  <c r="J473" i="65"/>
  <c r="B474" i="65"/>
  <c r="G474" i="65"/>
  <c r="J474" i="65"/>
  <c r="B475" i="65"/>
  <c r="G475" i="65"/>
  <c r="J475" i="65"/>
  <c r="B476" i="65"/>
  <c r="G476" i="65"/>
  <c r="J476" i="65"/>
  <c r="B477" i="65"/>
  <c r="G477" i="65"/>
  <c r="J477" i="65"/>
  <c r="B478" i="65"/>
  <c r="G478" i="65"/>
  <c r="J478" i="65"/>
  <c r="B479" i="65"/>
  <c r="G479" i="65"/>
  <c r="J479" i="65"/>
  <c r="B480" i="65"/>
  <c r="G480" i="65"/>
  <c r="J480" i="65"/>
  <c r="B481" i="65"/>
  <c r="G481" i="65"/>
  <c r="J481" i="65"/>
  <c r="B482" i="65"/>
  <c r="G482" i="65"/>
  <c r="J482" i="65"/>
  <c r="B483" i="65"/>
  <c r="G483" i="65"/>
  <c r="J483" i="65"/>
  <c r="B484" i="65"/>
  <c r="G484" i="65"/>
  <c r="J484" i="65"/>
  <c r="B485" i="65"/>
  <c r="G485" i="65"/>
  <c r="J485" i="65"/>
  <c r="B486" i="65"/>
  <c r="G486" i="65"/>
  <c r="J486" i="65"/>
  <c r="B487" i="65"/>
  <c r="G487" i="65"/>
  <c r="J487" i="65"/>
  <c r="B488" i="65"/>
  <c r="G488" i="65"/>
  <c r="J488" i="65"/>
  <c r="B489" i="65"/>
  <c r="G489" i="65"/>
  <c r="J489" i="65"/>
  <c r="B490" i="65"/>
  <c r="G490" i="65"/>
  <c r="J490" i="65"/>
  <c r="B491" i="65"/>
  <c r="G491" i="65"/>
  <c r="J491" i="65"/>
  <c r="B492" i="65"/>
  <c r="G492" i="65"/>
  <c r="J492" i="65"/>
  <c r="B493" i="65"/>
  <c r="G493" i="65"/>
  <c r="J493" i="65"/>
  <c r="B494" i="65"/>
  <c r="G494" i="65"/>
  <c r="J494" i="65"/>
  <c r="B495" i="65"/>
  <c r="G495" i="65"/>
  <c r="J495" i="65"/>
  <c r="B496" i="65"/>
  <c r="G496" i="65"/>
  <c r="J496" i="65"/>
  <c r="B497" i="65"/>
  <c r="G497" i="65"/>
  <c r="J497" i="65"/>
  <c r="B498" i="65"/>
  <c r="G498" i="65"/>
  <c r="J498" i="65"/>
  <c r="B499" i="65"/>
  <c r="G499" i="65"/>
  <c r="J499" i="65"/>
  <c r="B500" i="65"/>
  <c r="G500" i="65"/>
  <c r="J500" i="65"/>
  <c r="B501" i="65"/>
  <c r="G501" i="65"/>
  <c r="J501" i="65"/>
  <c r="B502" i="65"/>
  <c r="G502" i="65"/>
  <c r="J502" i="65"/>
  <c r="B503" i="65"/>
  <c r="G503" i="65"/>
  <c r="J503" i="65"/>
  <c r="B504" i="65"/>
  <c r="G504" i="65"/>
  <c r="J504" i="65"/>
  <c r="B505" i="65"/>
  <c r="G505" i="65"/>
  <c r="J505" i="65"/>
  <c r="B506" i="65"/>
  <c r="G506" i="65"/>
  <c r="J506" i="65"/>
  <c r="B507" i="65"/>
  <c r="G507" i="65"/>
  <c r="J507" i="65"/>
  <c r="B508" i="65"/>
  <c r="G508" i="65"/>
  <c r="J508" i="65"/>
  <c r="B509" i="65"/>
  <c r="G509" i="65"/>
  <c r="J509" i="65"/>
  <c r="B510" i="65"/>
  <c r="G510" i="65"/>
  <c r="J510" i="65"/>
  <c r="B511" i="65"/>
  <c r="G511" i="65"/>
  <c r="J511" i="65"/>
  <c r="B512" i="65"/>
  <c r="G512" i="65"/>
  <c r="J512" i="65"/>
  <c r="B513" i="65"/>
  <c r="G513" i="65"/>
  <c r="J513" i="65"/>
  <c r="B514" i="65"/>
  <c r="G514" i="65"/>
  <c r="J514" i="65"/>
  <c r="B515" i="65"/>
  <c r="G515" i="65"/>
  <c r="J515" i="65"/>
  <c r="B516" i="65"/>
  <c r="G516" i="65"/>
  <c r="J516" i="65"/>
  <c r="B517" i="65"/>
  <c r="G517" i="65"/>
  <c r="J517" i="65"/>
  <c r="B518" i="65"/>
  <c r="G518" i="65"/>
  <c r="J518" i="65"/>
  <c r="B519" i="65"/>
  <c r="G519" i="65"/>
  <c r="J519" i="65"/>
  <c r="B520" i="65"/>
  <c r="G520" i="65"/>
  <c r="J520" i="65"/>
  <c r="B521" i="65"/>
  <c r="G521" i="65"/>
  <c r="J521" i="65"/>
  <c r="B522" i="65"/>
  <c r="G522" i="65"/>
  <c r="J522" i="65"/>
  <c r="B523" i="65"/>
  <c r="G523" i="65"/>
  <c r="J523" i="65"/>
  <c r="B524" i="65"/>
  <c r="G524" i="65"/>
  <c r="J524" i="65"/>
  <c r="B525" i="65"/>
  <c r="G525" i="65"/>
  <c r="J525" i="65"/>
  <c r="B526" i="65"/>
  <c r="G526" i="65"/>
  <c r="J526" i="65"/>
  <c r="B527" i="65"/>
  <c r="G527" i="65"/>
  <c r="J527" i="65"/>
  <c r="B528" i="65"/>
  <c r="G528" i="65"/>
  <c r="J528" i="65"/>
  <c r="B529" i="65"/>
  <c r="G529" i="65"/>
  <c r="J529" i="65"/>
  <c r="B530" i="65"/>
  <c r="G530" i="65"/>
  <c r="J530" i="65"/>
  <c r="B531" i="65"/>
  <c r="G531" i="65"/>
  <c r="J531" i="65"/>
  <c r="B532" i="65"/>
  <c r="G532" i="65"/>
  <c r="J532" i="65"/>
  <c r="B533" i="65"/>
  <c r="G533" i="65"/>
  <c r="J533" i="65"/>
  <c r="B534" i="65"/>
  <c r="G534" i="65"/>
  <c r="J534" i="65"/>
  <c r="B535" i="65"/>
  <c r="G535" i="65"/>
  <c r="J535" i="65"/>
  <c r="B536" i="65"/>
  <c r="G536" i="65"/>
  <c r="J536" i="65"/>
  <c r="B537" i="65"/>
  <c r="G537" i="65"/>
  <c r="J537" i="65"/>
  <c r="B538" i="65"/>
  <c r="G538" i="65"/>
  <c r="J538" i="65"/>
  <c r="B539" i="65"/>
  <c r="G539" i="65"/>
  <c r="J539" i="65"/>
  <c r="B540" i="65"/>
  <c r="G540" i="65"/>
  <c r="J540" i="65"/>
  <c r="B541" i="65"/>
  <c r="G541" i="65"/>
  <c r="J541" i="65"/>
  <c r="B542" i="65"/>
  <c r="G542" i="65"/>
  <c r="J542" i="65"/>
  <c r="B543" i="65"/>
  <c r="G543" i="65"/>
  <c r="J543" i="65"/>
  <c r="B544" i="65"/>
  <c r="G544" i="65"/>
  <c r="J544" i="65"/>
  <c r="B545" i="65"/>
  <c r="G545" i="65"/>
  <c r="J545" i="65"/>
  <c r="B546" i="65"/>
  <c r="G546" i="65"/>
  <c r="J546" i="65"/>
  <c r="B547" i="65"/>
  <c r="G547" i="65"/>
  <c r="J547" i="65"/>
  <c r="B548" i="65"/>
  <c r="G548" i="65"/>
  <c r="J548" i="65"/>
  <c r="B549" i="65"/>
  <c r="G549" i="65"/>
  <c r="J549" i="65"/>
  <c r="B550" i="65"/>
  <c r="G550" i="65"/>
  <c r="J550" i="65"/>
  <c r="B551" i="65"/>
  <c r="G551" i="65"/>
  <c r="J551" i="65"/>
  <c r="B552" i="65"/>
  <c r="G552" i="65"/>
  <c r="J552" i="65"/>
  <c r="B553" i="65"/>
  <c r="G553" i="65"/>
  <c r="J553" i="65"/>
  <c r="B554" i="65"/>
  <c r="G554" i="65"/>
  <c r="J554" i="65"/>
  <c r="B555" i="65"/>
  <c r="G555" i="65"/>
  <c r="J555" i="65"/>
  <c r="B556" i="65"/>
  <c r="G556" i="65"/>
  <c r="J556" i="65"/>
  <c r="B557" i="65"/>
  <c r="G557" i="65"/>
  <c r="J557" i="65"/>
  <c r="B558" i="65"/>
  <c r="G558" i="65"/>
  <c r="J558" i="65"/>
  <c r="B559" i="65"/>
  <c r="G559" i="65"/>
  <c r="J559" i="65"/>
  <c r="B560" i="65"/>
  <c r="G560" i="65"/>
  <c r="J560" i="65"/>
  <c r="B561" i="65"/>
  <c r="G561" i="65"/>
  <c r="J561" i="65"/>
  <c r="B562" i="65"/>
  <c r="G562" i="65"/>
  <c r="J562" i="65"/>
  <c r="B563" i="65"/>
  <c r="G563" i="65"/>
  <c r="J563" i="65"/>
  <c r="B564" i="65"/>
  <c r="G564" i="65"/>
  <c r="J564" i="65"/>
  <c r="B565" i="65"/>
  <c r="G565" i="65"/>
  <c r="J565" i="65"/>
  <c r="B566" i="65"/>
  <c r="G566" i="65"/>
  <c r="J566" i="65"/>
  <c r="B567" i="65"/>
  <c r="G567" i="65"/>
  <c r="J567" i="65"/>
  <c r="B568" i="65"/>
  <c r="G568" i="65"/>
  <c r="J568" i="65"/>
  <c r="B569" i="65"/>
  <c r="G569" i="65"/>
  <c r="J569" i="65"/>
  <c r="B570" i="65"/>
  <c r="G570" i="65"/>
  <c r="J570" i="65"/>
  <c r="B571" i="65"/>
  <c r="G571" i="65"/>
  <c r="J571" i="65"/>
  <c r="B572" i="65"/>
  <c r="G572" i="65"/>
  <c r="J572" i="65"/>
  <c r="B573" i="65"/>
  <c r="G573" i="65"/>
  <c r="J573" i="65"/>
  <c r="B574" i="65"/>
  <c r="G574" i="65"/>
  <c r="J574" i="65"/>
  <c r="B575" i="65"/>
  <c r="G575" i="65"/>
  <c r="J575" i="65"/>
  <c r="B576" i="65"/>
  <c r="G576" i="65"/>
  <c r="J576" i="65"/>
  <c r="B577" i="65"/>
  <c r="G577" i="65"/>
  <c r="J577" i="65"/>
  <c r="B578" i="65"/>
  <c r="G578" i="65"/>
  <c r="J578" i="65"/>
  <c r="B579" i="65"/>
  <c r="G579" i="65"/>
  <c r="J579" i="65"/>
  <c r="B580" i="65"/>
  <c r="G580" i="65"/>
  <c r="J580" i="65"/>
  <c r="B581" i="65"/>
  <c r="G581" i="65"/>
  <c r="J581" i="65"/>
  <c r="B582" i="65"/>
  <c r="G582" i="65"/>
  <c r="J582" i="65"/>
  <c r="B583" i="65"/>
  <c r="G583" i="65"/>
  <c r="J583" i="65"/>
  <c r="B584" i="65"/>
  <c r="G584" i="65"/>
  <c r="J584" i="65"/>
  <c r="B585" i="65"/>
  <c r="G585" i="65"/>
  <c r="J585" i="65"/>
  <c r="B586" i="65"/>
  <c r="G586" i="65"/>
  <c r="J586" i="65"/>
  <c r="B587" i="65"/>
  <c r="G587" i="65"/>
  <c r="J587" i="65"/>
  <c r="B588" i="65"/>
  <c r="G588" i="65"/>
  <c r="J588" i="65"/>
  <c r="B589" i="65"/>
  <c r="G589" i="65"/>
  <c r="J589" i="65"/>
  <c r="B590" i="65"/>
  <c r="G590" i="65"/>
  <c r="J590" i="65"/>
  <c r="B591" i="65"/>
  <c r="G591" i="65"/>
  <c r="J591" i="65"/>
  <c r="B592" i="65"/>
  <c r="G592" i="65"/>
  <c r="J592" i="65"/>
  <c r="B593" i="65"/>
  <c r="G593" i="65"/>
  <c r="J593" i="65"/>
  <c r="B594" i="65"/>
  <c r="G594" i="65"/>
  <c r="J594" i="65"/>
  <c r="B595" i="65"/>
  <c r="G595" i="65"/>
  <c r="J595" i="65"/>
  <c r="B596" i="65"/>
  <c r="G596" i="65"/>
  <c r="J596" i="65"/>
  <c r="B597" i="65"/>
  <c r="G597" i="65"/>
  <c r="J597" i="65"/>
  <c r="B598" i="65"/>
  <c r="G598" i="65"/>
  <c r="J598" i="65"/>
  <c r="B599" i="65"/>
  <c r="G599" i="65"/>
  <c r="J599" i="65"/>
  <c r="B600" i="65"/>
  <c r="G600" i="65"/>
  <c r="J600" i="65"/>
  <c r="B601" i="65"/>
  <c r="G601" i="65"/>
  <c r="J601" i="65"/>
  <c r="B602" i="65"/>
  <c r="G602" i="65"/>
  <c r="J602" i="65"/>
  <c r="B603" i="65"/>
  <c r="G603" i="65"/>
  <c r="J603" i="65"/>
  <c r="B604" i="65"/>
  <c r="G604" i="65"/>
  <c r="J604" i="65"/>
  <c r="B605" i="65"/>
  <c r="G605" i="65"/>
  <c r="J605" i="65"/>
  <c r="B606" i="65"/>
  <c r="G606" i="65"/>
  <c r="J606" i="65"/>
  <c r="B607" i="65"/>
  <c r="G607" i="65"/>
  <c r="J607" i="65"/>
  <c r="B608" i="65"/>
  <c r="G608" i="65"/>
  <c r="J608" i="65"/>
  <c r="B609" i="65"/>
  <c r="G609" i="65"/>
  <c r="J609" i="65"/>
  <c r="B610" i="65"/>
  <c r="G610" i="65"/>
  <c r="J610" i="65"/>
  <c r="B611" i="65"/>
  <c r="G611" i="65"/>
  <c r="J611" i="65"/>
  <c r="B612" i="65"/>
  <c r="G612" i="65"/>
  <c r="J612" i="65"/>
  <c r="B613" i="65"/>
  <c r="G613" i="65"/>
  <c r="J613" i="65"/>
  <c r="B614" i="65"/>
  <c r="G614" i="65"/>
  <c r="J614" i="65"/>
  <c r="B615" i="65"/>
  <c r="G615" i="65"/>
  <c r="J615" i="65"/>
  <c r="B616" i="65"/>
  <c r="G616" i="65"/>
  <c r="J616" i="65"/>
  <c r="B617" i="65"/>
  <c r="G617" i="65"/>
  <c r="J617" i="65"/>
  <c r="B618" i="65"/>
  <c r="G618" i="65"/>
  <c r="J618" i="65"/>
  <c r="B619" i="65"/>
  <c r="G619" i="65"/>
  <c r="J619" i="65"/>
  <c r="B620" i="65"/>
  <c r="G620" i="65"/>
  <c r="J620" i="65"/>
  <c r="B621" i="65"/>
  <c r="G621" i="65"/>
  <c r="J621" i="65"/>
  <c r="B622" i="65"/>
  <c r="G622" i="65"/>
  <c r="J622" i="65"/>
  <c r="B623" i="65"/>
  <c r="G623" i="65"/>
  <c r="J623" i="65"/>
  <c r="B624" i="65"/>
  <c r="G624" i="65"/>
  <c r="J624" i="65"/>
  <c r="B625" i="65"/>
  <c r="G625" i="65"/>
  <c r="J625" i="65"/>
  <c r="B626" i="65"/>
  <c r="G626" i="65"/>
  <c r="J626" i="65"/>
  <c r="B627" i="65"/>
  <c r="G627" i="65"/>
  <c r="J627" i="65"/>
  <c r="B628" i="65"/>
  <c r="G628" i="65"/>
  <c r="J628" i="65"/>
  <c r="B629" i="65"/>
  <c r="G629" i="65"/>
  <c r="J629" i="65"/>
  <c r="B630" i="65"/>
  <c r="G630" i="65"/>
  <c r="J630" i="65"/>
  <c r="B631" i="65"/>
  <c r="G631" i="65"/>
  <c r="J631" i="65"/>
  <c r="B632" i="65"/>
  <c r="G632" i="65"/>
  <c r="J632" i="65"/>
  <c r="B633" i="65"/>
  <c r="G633" i="65"/>
  <c r="J633" i="65"/>
  <c r="B634" i="65"/>
  <c r="G634" i="65"/>
  <c r="J634" i="65"/>
  <c r="B635" i="65"/>
  <c r="G635" i="65"/>
  <c r="J635" i="65"/>
  <c r="B636" i="65"/>
  <c r="G636" i="65"/>
  <c r="J636" i="65"/>
  <c r="B637" i="65"/>
  <c r="G637" i="65"/>
  <c r="J637" i="65"/>
  <c r="B638" i="65"/>
  <c r="G638" i="65"/>
  <c r="J638" i="65"/>
  <c r="B639" i="65"/>
  <c r="G639" i="65"/>
  <c r="J639" i="65"/>
  <c r="B640" i="65"/>
  <c r="G640" i="65"/>
  <c r="J640" i="65"/>
  <c r="B641" i="65"/>
  <c r="G641" i="65"/>
  <c r="J641" i="65"/>
  <c r="B642" i="65"/>
  <c r="G642" i="65"/>
  <c r="J642" i="65"/>
  <c r="B643" i="65"/>
  <c r="G643" i="65"/>
  <c r="J643" i="65"/>
  <c r="B644" i="65"/>
  <c r="G644" i="65"/>
  <c r="J644" i="65"/>
  <c r="B645" i="65"/>
  <c r="G645" i="65"/>
  <c r="J645" i="65"/>
  <c r="B646" i="65"/>
  <c r="G646" i="65"/>
  <c r="J646" i="65"/>
  <c r="B647" i="65"/>
  <c r="G647" i="65"/>
  <c r="J647" i="65"/>
  <c r="B648" i="65"/>
  <c r="G648" i="65"/>
  <c r="J648" i="65"/>
  <c r="B649" i="65"/>
  <c r="G649" i="65"/>
  <c r="J649" i="65"/>
  <c r="B650" i="65"/>
  <c r="G650" i="65"/>
  <c r="J650" i="65"/>
  <c r="B651" i="65"/>
  <c r="G651" i="65"/>
  <c r="J651" i="65"/>
  <c r="B652" i="65"/>
  <c r="G652" i="65"/>
  <c r="J652" i="65"/>
  <c r="B653" i="65"/>
  <c r="G653" i="65"/>
  <c r="J653" i="65"/>
  <c r="B654" i="65"/>
  <c r="G654" i="65"/>
  <c r="J654" i="65"/>
  <c r="B655" i="65"/>
  <c r="G655" i="65"/>
  <c r="J655" i="65"/>
  <c r="B656" i="65"/>
  <c r="G656" i="65"/>
  <c r="J656" i="65"/>
  <c r="B657" i="65"/>
  <c r="G657" i="65"/>
  <c r="J657" i="65"/>
  <c r="B658" i="65"/>
  <c r="G658" i="65"/>
  <c r="J658" i="65"/>
  <c r="B659" i="65"/>
  <c r="G659" i="65"/>
  <c r="J659" i="65"/>
  <c r="B660" i="65"/>
  <c r="G660" i="65"/>
  <c r="J660" i="65"/>
  <c r="B661" i="65"/>
  <c r="G661" i="65"/>
  <c r="J661" i="65"/>
  <c r="B662" i="65"/>
  <c r="G662" i="65"/>
  <c r="J662" i="65"/>
  <c r="B663" i="65"/>
  <c r="G663" i="65"/>
  <c r="J663" i="65"/>
  <c r="B664" i="65"/>
  <c r="G664" i="65"/>
  <c r="J664" i="65"/>
  <c r="B665" i="65"/>
  <c r="G665" i="65"/>
  <c r="J665" i="65"/>
  <c r="B666" i="65"/>
  <c r="G666" i="65"/>
  <c r="J666" i="65"/>
  <c r="B667" i="65"/>
  <c r="G667" i="65"/>
  <c r="J667" i="65"/>
  <c r="B668" i="65"/>
  <c r="G668" i="65"/>
  <c r="J668" i="65"/>
  <c r="B669" i="65"/>
  <c r="G669" i="65"/>
  <c r="J669" i="65"/>
  <c r="B670" i="65"/>
  <c r="G670" i="65"/>
  <c r="J670" i="65"/>
  <c r="B671" i="65"/>
  <c r="G671" i="65"/>
  <c r="J671" i="65"/>
  <c r="B672" i="65"/>
  <c r="G672" i="65"/>
  <c r="J672" i="65"/>
  <c r="B673" i="65"/>
  <c r="G673" i="65"/>
  <c r="J673" i="65"/>
  <c r="B674" i="65"/>
  <c r="G674" i="65"/>
  <c r="J674" i="65"/>
  <c r="B675" i="65"/>
  <c r="G675" i="65"/>
  <c r="J675" i="65"/>
  <c r="B676" i="65"/>
  <c r="G676" i="65"/>
  <c r="J676" i="65"/>
  <c r="B677" i="65"/>
  <c r="G677" i="65"/>
  <c r="J677" i="65"/>
  <c r="B678" i="65"/>
  <c r="G678" i="65"/>
  <c r="J678" i="65"/>
  <c r="B679" i="65"/>
  <c r="G679" i="65"/>
  <c r="J679" i="65"/>
  <c r="B680" i="65"/>
  <c r="G680" i="65"/>
  <c r="J680" i="65"/>
  <c r="B681" i="65"/>
  <c r="G681" i="65"/>
  <c r="J681" i="65"/>
  <c r="B682" i="65"/>
  <c r="G682" i="65"/>
  <c r="J682" i="65"/>
  <c r="B683" i="65"/>
  <c r="G683" i="65"/>
  <c r="J683" i="65"/>
  <c r="B684" i="65"/>
  <c r="G684" i="65"/>
  <c r="J684" i="65"/>
  <c r="B685" i="65"/>
  <c r="G685" i="65"/>
  <c r="J685" i="65"/>
  <c r="B686" i="65"/>
  <c r="G686" i="65"/>
  <c r="J686" i="65"/>
  <c r="B687" i="65"/>
  <c r="G687" i="65"/>
  <c r="J687" i="65"/>
  <c r="B688" i="65"/>
  <c r="G688" i="65"/>
  <c r="J688" i="65"/>
  <c r="B689" i="65"/>
  <c r="G689" i="65"/>
  <c r="J689" i="65"/>
  <c r="B690" i="65"/>
  <c r="G690" i="65"/>
  <c r="J690" i="65"/>
  <c r="B691" i="65"/>
  <c r="G691" i="65"/>
  <c r="J691" i="65"/>
  <c r="B692" i="65"/>
  <c r="G692" i="65"/>
  <c r="J692" i="65"/>
  <c r="B693" i="65"/>
  <c r="G693" i="65"/>
  <c r="J693" i="65"/>
  <c r="B694" i="65"/>
  <c r="G694" i="65"/>
  <c r="J694" i="65"/>
  <c r="B695" i="65"/>
  <c r="G695" i="65"/>
  <c r="J695" i="65"/>
  <c r="B696" i="65"/>
  <c r="G696" i="65"/>
  <c r="J696" i="65"/>
  <c r="B697" i="65"/>
  <c r="G697" i="65"/>
  <c r="J697" i="65"/>
  <c r="B698" i="65"/>
  <c r="G698" i="65"/>
  <c r="J698" i="65"/>
  <c r="B699" i="65"/>
  <c r="G699" i="65"/>
  <c r="J699" i="65"/>
  <c r="B700" i="65"/>
  <c r="G700" i="65"/>
  <c r="J700" i="65"/>
  <c r="B701" i="65"/>
  <c r="G701" i="65"/>
  <c r="J701" i="65"/>
  <c r="B702" i="65"/>
  <c r="G702" i="65"/>
  <c r="J702" i="65"/>
  <c r="B703" i="65"/>
  <c r="G703" i="65"/>
  <c r="J703" i="65"/>
  <c r="B704" i="65"/>
  <c r="G704" i="65"/>
  <c r="J704" i="65"/>
  <c r="B705" i="65"/>
  <c r="G705" i="65"/>
  <c r="J705" i="65"/>
  <c r="B706" i="65"/>
  <c r="G706" i="65"/>
  <c r="J706" i="65"/>
  <c r="B707" i="65"/>
  <c r="G707" i="65"/>
  <c r="J707" i="65"/>
  <c r="B708" i="65"/>
  <c r="G708" i="65"/>
  <c r="J708" i="65"/>
  <c r="B709" i="65"/>
  <c r="G709" i="65"/>
  <c r="J709" i="65"/>
  <c r="B710" i="65"/>
  <c r="G710" i="65"/>
  <c r="J710" i="65"/>
  <c r="B711" i="65"/>
  <c r="G711" i="65"/>
  <c r="J711" i="65"/>
  <c r="B712" i="65"/>
  <c r="G712" i="65"/>
  <c r="J712" i="65"/>
  <c r="B713" i="65"/>
  <c r="G713" i="65"/>
  <c r="J713" i="65"/>
  <c r="B714" i="65"/>
  <c r="G714" i="65"/>
  <c r="J714" i="65"/>
  <c r="B715" i="65"/>
  <c r="G715" i="65"/>
  <c r="J715" i="65"/>
  <c r="B716" i="65"/>
  <c r="G716" i="65"/>
  <c r="J716" i="65"/>
  <c r="B717" i="65"/>
  <c r="G717" i="65"/>
  <c r="J717" i="65"/>
  <c r="B718" i="65"/>
  <c r="G718" i="65"/>
  <c r="J718" i="65"/>
  <c r="B719" i="65"/>
  <c r="G719" i="65"/>
  <c r="J719" i="65"/>
  <c r="B720" i="65"/>
  <c r="G720" i="65"/>
  <c r="J720" i="65"/>
  <c r="B721" i="65"/>
  <c r="G721" i="65"/>
  <c r="J721" i="65"/>
  <c r="B722" i="65"/>
  <c r="G722" i="65"/>
  <c r="J722" i="65"/>
  <c r="B723" i="65"/>
  <c r="G723" i="65"/>
  <c r="J723" i="65"/>
  <c r="B724" i="65"/>
  <c r="G724" i="65"/>
  <c r="J724" i="65"/>
  <c r="B725" i="65"/>
  <c r="G725" i="65"/>
  <c r="J725" i="65"/>
  <c r="B726" i="65"/>
  <c r="G726" i="65"/>
  <c r="J726" i="65"/>
  <c r="B727" i="65"/>
  <c r="G727" i="65"/>
  <c r="J727" i="65"/>
  <c r="B728" i="65"/>
  <c r="G728" i="65"/>
  <c r="J728" i="65"/>
  <c r="B729" i="65"/>
  <c r="G729" i="65"/>
  <c r="J729" i="65"/>
  <c r="B730" i="65"/>
  <c r="G730" i="65"/>
  <c r="J730" i="65"/>
  <c r="B731" i="65"/>
  <c r="G731" i="65"/>
  <c r="J731" i="65"/>
  <c r="B732" i="65"/>
  <c r="G732" i="65"/>
  <c r="J732" i="65"/>
  <c r="B733" i="65"/>
  <c r="G733" i="65"/>
  <c r="J733" i="65"/>
  <c r="B734" i="65"/>
  <c r="G734" i="65"/>
  <c r="J734" i="65"/>
  <c r="B735" i="65"/>
  <c r="G735" i="65"/>
  <c r="J735" i="65"/>
  <c r="B736" i="65"/>
  <c r="G736" i="65"/>
  <c r="J736" i="65"/>
  <c r="B737" i="65"/>
  <c r="G737" i="65"/>
  <c r="J737" i="65"/>
  <c r="B738" i="65"/>
  <c r="G738" i="65"/>
  <c r="J738" i="65"/>
  <c r="B739" i="65"/>
  <c r="G739" i="65"/>
  <c r="J739" i="65"/>
  <c r="B740" i="65"/>
  <c r="G740" i="65"/>
  <c r="J740" i="65"/>
  <c r="B741" i="65"/>
  <c r="G741" i="65"/>
  <c r="J741" i="65"/>
  <c r="B742" i="65"/>
  <c r="G742" i="65"/>
  <c r="J742" i="65"/>
  <c r="B743" i="65"/>
  <c r="G743" i="65"/>
  <c r="J743" i="65"/>
  <c r="B744" i="65"/>
  <c r="G744" i="65"/>
  <c r="J744" i="65"/>
  <c r="B745" i="65"/>
  <c r="G745" i="65"/>
  <c r="J745" i="65"/>
  <c r="B746" i="65"/>
  <c r="G746" i="65"/>
  <c r="J746" i="65"/>
  <c r="B747" i="65"/>
  <c r="G747" i="65"/>
  <c r="J747" i="65"/>
  <c r="B748" i="65"/>
  <c r="G748" i="65"/>
  <c r="J748" i="65"/>
  <c r="B749" i="65"/>
  <c r="G749" i="65"/>
  <c r="J749" i="65"/>
  <c r="B750" i="65"/>
  <c r="G750" i="65"/>
  <c r="J750" i="65"/>
  <c r="B751" i="65"/>
  <c r="G751" i="65"/>
  <c r="J751" i="65"/>
  <c r="B752" i="65"/>
  <c r="G752" i="65"/>
  <c r="J752" i="65"/>
  <c r="B753" i="65"/>
  <c r="G753" i="65"/>
  <c r="J753" i="65"/>
  <c r="B754" i="65"/>
  <c r="G754" i="65"/>
  <c r="J754" i="65"/>
  <c r="B755" i="65"/>
  <c r="G755" i="65"/>
  <c r="J755" i="65"/>
  <c r="B756" i="65"/>
  <c r="G756" i="65"/>
  <c r="J756" i="65"/>
  <c r="B757" i="65"/>
  <c r="G757" i="65"/>
  <c r="J757" i="65"/>
  <c r="B758" i="65"/>
  <c r="G758" i="65"/>
  <c r="J758" i="65"/>
  <c r="B759" i="65"/>
  <c r="G759" i="65"/>
  <c r="J759" i="65"/>
  <c r="B760" i="65"/>
  <c r="G760" i="65"/>
  <c r="J760" i="65"/>
  <c r="B761" i="65"/>
  <c r="G761" i="65"/>
  <c r="J761" i="65"/>
  <c r="B762" i="65"/>
  <c r="G762" i="65"/>
  <c r="J762" i="65"/>
  <c r="B763" i="65"/>
  <c r="G763" i="65"/>
  <c r="J763" i="65"/>
  <c r="B764" i="65"/>
  <c r="G764" i="65"/>
  <c r="J764" i="65"/>
  <c r="B765" i="65"/>
  <c r="G765" i="65"/>
  <c r="J765" i="65"/>
  <c r="B766" i="65"/>
  <c r="G766" i="65"/>
  <c r="J766" i="65"/>
  <c r="B767" i="65"/>
  <c r="G767" i="65"/>
  <c r="J767" i="65"/>
  <c r="B768" i="65"/>
  <c r="G768" i="65"/>
  <c r="J768" i="65"/>
  <c r="B769" i="65"/>
  <c r="G769" i="65"/>
  <c r="J769" i="65"/>
  <c r="B770" i="65"/>
  <c r="G770" i="65"/>
  <c r="J770" i="65"/>
  <c r="B771" i="65"/>
  <c r="G771" i="65"/>
  <c r="J771" i="65"/>
  <c r="B772" i="65"/>
  <c r="G772" i="65"/>
  <c r="J772" i="65"/>
  <c r="B773" i="65"/>
  <c r="G773" i="65"/>
  <c r="J773" i="65"/>
  <c r="B774" i="65"/>
  <c r="G774" i="65"/>
  <c r="J774" i="65"/>
  <c r="B775" i="65"/>
  <c r="G775" i="65"/>
  <c r="J775" i="65"/>
  <c r="B776" i="65"/>
  <c r="G776" i="65"/>
  <c r="J776" i="65"/>
  <c r="B777" i="65"/>
  <c r="G777" i="65"/>
  <c r="J777" i="65"/>
  <c r="B778" i="65"/>
  <c r="G778" i="65"/>
  <c r="J778" i="65"/>
  <c r="B779" i="65"/>
  <c r="G779" i="65"/>
  <c r="J779" i="65"/>
  <c r="B780" i="65"/>
  <c r="G780" i="65"/>
  <c r="J780" i="65"/>
  <c r="B781" i="65"/>
  <c r="G781" i="65"/>
  <c r="J781" i="65"/>
  <c r="B782" i="65"/>
  <c r="G782" i="65"/>
  <c r="J782" i="65"/>
  <c r="B783" i="65"/>
  <c r="G783" i="65"/>
  <c r="J783" i="65"/>
  <c r="B784" i="65"/>
  <c r="G784" i="65"/>
  <c r="J784" i="65"/>
  <c r="B785" i="65"/>
  <c r="G785" i="65"/>
  <c r="J785" i="65"/>
  <c r="B786" i="65"/>
  <c r="G786" i="65"/>
  <c r="J786" i="65"/>
  <c r="B787" i="65"/>
  <c r="G787" i="65"/>
  <c r="J787" i="65"/>
  <c r="B788" i="65"/>
  <c r="G788" i="65"/>
  <c r="J788" i="65"/>
  <c r="B789" i="65"/>
  <c r="G789" i="65"/>
  <c r="J789" i="65"/>
  <c r="B790" i="65"/>
  <c r="G790" i="65"/>
  <c r="J790" i="65"/>
  <c r="B791" i="65"/>
  <c r="G791" i="65"/>
  <c r="J791" i="65"/>
  <c r="B792" i="65"/>
  <c r="G792" i="65"/>
  <c r="J792" i="65"/>
  <c r="B793" i="65"/>
  <c r="G793" i="65"/>
  <c r="J793" i="65"/>
  <c r="B794" i="65"/>
  <c r="G794" i="65"/>
  <c r="J794" i="65"/>
  <c r="B795" i="65"/>
  <c r="G795" i="65"/>
  <c r="J795" i="65"/>
  <c r="B796" i="65"/>
  <c r="G796" i="65"/>
  <c r="J796" i="65"/>
  <c r="B797" i="65"/>
  <c r="G797" i="65"/>
  <c r="J797" i="65"/>
  <c r="B798" i="65"/>
  <c r="G798" i="65"/>
  <c r="J798" i="65"/>
  <c r="B799" i="65"/>
  <c r="G799" i="65"/>
  <c r="J799" i="65"/>
  <c r="B800" i="65"/>
  <c r="G800" i="65"/>
  <c r="J800" i="65"/>
  <c r="B801" i="65"/>
  <c r="G801" i="65"/>
  <c r="J801" i="65"/>
  <c r="B802" i="65"/>
  <c r="G802" i="65"/>
  <c r="J802" i="65"/>
  <c r="B803" i="65"/>
  <c r="G803" i="65"/>
  <c r="J803" i="65"/>
  <c r="B804" i="65"/>
  <c r="G804" i="65"/>
  <c r="J804" i="65"/>
  <c r="B805" i="65"/>
  <c r="G805" i="65"/>
  <c r="J805" i="65"/>
  <c r="B806" i="65"/>
  <c r="G806" i="65"/>
  <c r="J806" i="65"/>
  <c r="B807" i="65"/>
  <c r="G807" i="65"/>
  <c r="J807" i="65"/>
  <c r="B808" i="65"/>
  <c r="G808" i="65"/>
  <c r="J808" i="65"/>
  <c r="B809" i="65"/>
  <c r="G809" i="65"/>
  <c r="J809" i="65"/>
  <c r="B810" i="65"/>
  <c r="G810" i="65"/>
  <c r="J810" i="65"/>
  <c r="B811" i="65"/>
  <c r="G811" i="65"/>
  <c r="J811" i="65"/>
  <c r="B812" i="65"/>
  <c r="G812" i="65"/>
  <c r="J812" i="65"/>
  <c r="B813" i="65"/>
  <c r="G813" i="65"/>
  <c r="J813" i="65"/>
  <c r="B814" i="65"/>
  <c r="G814" i="65"/>
  <c r="J814" i="65"/>
  <c r="B815" i="65"/>
  <c r="G815" i="65"/>
  <c r="J815" i="65"/>
  <c r="B816" i="65"/>
  <c r="G816" i="65"/>
  <c r="J816" i="65"/>
  <c r="B817" i="65"/>
  <c r="G817" i="65"/>
  <c r="J817" i="65"/>
  <c r="B818" i="65"/>
  <c r="G818" i="65"/>
  <c r="J818" i="65"/>
  <c r="B819" i="65"/>
  <c r="G819" i="65"/>
  <c r="J819" i="65"/>
  <c r="B820" i="65"/>
  <c r="G820" i="65"/>
  <c r="J820" i="65"/>
  <c r="B821" i="65"/>
  <c r="G821" i="65"/>
  <c r="J821" i="65"/>
  <c r="B822" i="65"/>
  <c r="G822" i="65"/>
  <c r="J822" i="65"/>
  <c r="B823" i="65"/>
  <c r="G823" i="65"/>
  <c r="J823" i="65"/>
  <c r="B824" i="65"/>
  <c r="G824" i="65"/>
  <c r="J824" i="65"/>
  <c r="B825" i="65"/>
  <c r="G825" i="65"/>
  <c r="J825" i="65"/>
  <c r="B826" i="65"/>
  <c r="G826" i="65"/>
  <c r="J826" i="65"/>
  <c r="B827" i="65"/>
  <c r="G827" i="65"/>
  <c r="J827" i="65"/>
  <c r="B828" i="65"/>
  <c r="G828" i="65"/>
  <c r="J828" i="65"/>
  <c r="B829" i="65"/>
  <c r="G829" i="65"/>
  <c r="J829" i="65"/>
  <c r="B830" i="65"/>
  <c r="G830" i="65"/>
  <c r="J830" i="65"/>
  <c r="B831" i="65"/>
  <c r="G831" i="65"/>
  <c r="J831" i="65"/>
  <c r="B832" i="65"/>
  <c r="G832" i="65"/>
  <c r="J832" i="65"/>
  <c r="B833" i="65"/>
  <c r="G833" i="65"/>
  <c r="J833" i="65"/>
  <c r="B834" i="65"/>
  <c r="G834" i="65"/>
  <c r="J834" i="65"/>
  <c r="B835" i="65"/>
  <c r="G835" i="65"/>
  <c r="J835" i="65"/>
  <c r="B836" i="65"/>
  <c r="G836" i="65"/>
  <c r="J836" i="65"/>
  <c r="B837" i="65"/>
  <c r="G837" i="65"/>
  <c r="J837" i="65"/>
  <c r="B838" i="65"/>
  <c r="G838" i="65"/>
  <c r="J838" i="65"/>
  <c r="B839" i="65"/>
  <c r="G839" i="65"/>
  <c r="J839" i="65"/>
  <c r="B840" i="65"/>
  <c r="G840" i="65"/>
  <c r="J840" i="65"/>
  <c r="B841" i="65"/>
  <c r="G841" i="65"/>
  <c r="J841" i="65"/>
  <c r="B842" i="65"/>
  <c r="G842" i="65"/>
  <c r="J842" i="65"/>
  <c r="B843" i="65"/>
  <c r="G843" i="65"/>
  <c r="J843" i="65"/>
  <c r="B844" i="65"/>
  <c r="G844" i="65"/>
  <c r="J844" i="65"/>
  <c r="B845" i="65"/>
  <c r="G845" i="65"/>
  <c r="J845" i="65"/>
  <c r="B846" i="65"/>
  <c r="G846" i="65"/>
  <c r="J846" i="65"/>
  <c r="B847" i="65"/>
  <c r="G847" i="65"/>
  <c r="J847" i="65"/>
  <c r="B848" i="65"/>
  <c r="G848" i="65"/>
  <c r="J848" i="65"/>
  <c r="B849" i="65"/>
  <c r="G849" i="65"/>
  <c r="J849" i="65"/>
  <c r="B850" i="65"/>
  <c r="G850" i="65"/>
  <c r="J850" i="65"/>
  <c r="B851" i="65"/>
  <c r="G851" i="65"/>
  <c r="J851" i="65"/>
  <c r="B852" i="65"/>
  <c r="G852" i="65"/>
  <c r="J852" i="65"/>
  <c r="B853" i="65"/>
  <c r="G853" i="65"/>
  <c r="J853" i="65"/>
  <c r="B854" i="65"/>
  <c r="G854" i="65"/>
  <c r="J854" i="65"/>
  <c r="B855" i="65"/>
  <c r="G855" i="65"/>
  <c r="J855" i="65"/>
  <c r="B856" i="65"/>
  <c r="G856" i="65"/>
  <c r="J856" i="65"/>
  <c r="B857" i="65"/>
  <c r="G857" i="65"/>
  <c r="J857" i="65"/>
  <c r="B858" i="65"/>
  <c r="G858" i="65"/>
  <c r="J858" i="65"/>
  <c r="B859" i="65"/>
  <c r="G859" i="65"/>
  <c r="J859" i="65"/>
  <c r="B860" i="65"/>
  <c r="G860" i="65"/>
  <c r="J860" i="65"/>
  <c r="B861" i="65"/>
  <c r="G861" i="65"/>
  <c r="J861" i="65"/>
  <c r="B862" i="65"/>
  <c r="G862" i="65"/>
  <c r="J862" i="65"/>
  <c r="B863" i="65"/>
  <c r="G863" i="65"/>
  <c r="J863" i="65"/>
  <c r="B864" i="65"/>
  <c r="G864" i="65"/>
  <c r="J864" i="65"/>
  <c r="B865" i="65"/>
  <c r="G865" i="65"/>
  <c r="J865" i="65"/>
  <c r="B866" i="65"/>
  <c r="G866" i="65"/>
  <c r="J866" i="65"/>
  <c r="B867" i="65"/>
  <c r="G867" i="65"/>
  <c r="J867" i="65"/>
  <c r="B868" i="65"/>
  <c r="G868" i="65"/>
  <c r="J868" i="65"/>
  <c r="B869" i="65"/>
  <c r="G869" i="65"/>
  <c r="J869" i="65"/>
  <c r="B870" i="65"/>
  <c r="G870" i="65"/>
  <c r="J870" i="65"/>
  <c r="B871" i="65"/>
  <c r="G871" i="65"/>
  <c r="J871" i="65"/>
  <c r="B872" i="65"/>
  <c r="G872" i="65"/>
  <c r="J872" i="65"/>
  <c r="B873" i="65"/>
  <c r="G873" i="65"/>
  <c r="J873" i="65"/>
  <c r="B874" i="65"/>
  <c r="G874" i="65"/>
  <c r="J874" i="65"/>
  <c r="B875" i="65"/>
  <c r="G875" i="65"/>
  <c r="J875" i="65"/>
  <c r="B876" i="65"/>
  <c r="G876" i="65"/>
  <c r="J876" i="65"/>
  <c r="B877" i="65"/>
  <c r="G877" i="65"/>
  <c r="J877" i="65"/>
  <c r="B878" i="65"/>
  <c r="G878" i="65"/>
  <c r="J878" i="65"/>
  <c r="B879" i="65"/>
  <c r="G879" i="65"/>
  <c r="J879" i="65"/>
  <c r="B880" i="65"/>
  <c r="G880" i="65"/>
  <c r="J880" i="65"/>
  <c r="B881" i="65"/>
  <c r="G881" i="65"/>
  <c r="J881" i="65"/>
  <c r="B882" i="65"/>
  <c r="G882" i="65"/>
  <c r="J882" i="65"/>
  <c r="B883" i="65"/>
  <c r="G883" i="65"/>
  <c r="J883" i="65"/>
  <c r="B884" i="65"/>
  <c r="G884" i="65"/>
  <c r="J884" i="65"/>
  <c r="B885" i="65"/>
  <c r="G885" i="65"/>
  <c r="J885" i="65"/>
  <c r="B886" i="65"/>
  <c r="G886" i="65"/>
  <c r="J886" i="65"/>
  <c r="B887" i="65"/>
  <c r="G887" i="65"/>
  <c r="J887" i="65"/>
  <c r="B888" i="65"/>
  <c r="G888" i="65"/>
  <c r="J888" i="65"/>
  <c r="B889" i="65"/>
  <c r="G889" i="65"/>
  <c r="J889" i="65"/>
  <c r="B890" i="65"/>
  <c r="G890" i="65"/>
  <c r="J890" i="65"/>
  <c r="B891" i="65"/>
  <c r="G891" i="65"/>
  <c r="J891" i="65"/>
  <c r="B892" i="65"/>
  <c r="G892" i="65"/>
  <c r="J892" i="65"/>
  <c r="B893" i="65"/>
  <c r="G893" i="65"/>
  <c r="J893" i="65"/>
  <c r="B894" i="65"/>
  <c r="G894" i="65"/>
  <c r="J894" i="65"/>
  <c r="B895" i="65"/>
  <c r="G895" i="65"/>
  <c r="J895" i="65"/>
  <c r="B896" i="65"/>
  <c r="G896" i="65"/>
  <c r="J896" i="65"/>
  <c r="B897" i="65"/>
  <c r="G897" i="65"/>
  <c r="J897" i="65"/>
  <c r="B898" i="65"/>
  <c r="G898" i="65"/>
  <c r="J898" i="65"/>
  <c r="B899" i="65"/>
  <c r="G899" i="65"/>
  <c r="J899" i="65"/>
  <c r="B900" i="65"/>
  <c r="G900" i="65"/>
  <c r="J900" i="65"/>
  <c r="B901" i="65"/>
  <c r="G901" i="65"/>
  <c r="J901" i="65"/>
  <c r="B902" i="65"/>
  <c r="G902" i="65"/>
  <c r="J902" i="65"/>
  <c r="B903" i="65"/>
  <c r="G903" i="65"/>
  <c r="J903" i="65"/>
  <c r="B904" i="65"/>
  <c r="G904" i="65"/>
  <c r="J904" i="65"/>
  <c r="B905" i="65"/>
  <c r="G905" i="65"/>
  <c r="J905" i="65"/>
  <c r="B906" i="65"/>
  <c r="G906" i="65"/>
  <c r="J906" i="65"/>
  <c r="B907" i="65"/>
  <c r="G907" i="65"/>
  <c r="J907" i="65"/>
  <c r="B908" i="65"/>
  <c r="G908" i="65"/>
  <c r="J908" i="65"/>
  <c r="B909" i="65"/>
  <c r="G909" i="65"/>
  <c r="J909" i="65"/>
  <c r="B910" i="65"/>
  <c r="G910" i="65"/>
  <c r="J910" i="65"/>
  <c r="B911" i="65"/>
  <c r="G911" i="65"/>
  <c r="J911" i="65"/>
  <c r="B912" i="65"/>
  <c r="G912" i="65"/>
  <c r="J912" i="65"/>
  <c r="B913" i="65"/>
  <c r="G913" i="65"/>
  <c r="J913" i="65"/>
  <c r="B914" i="65"/>
  <c r="G914" i="65"/>
  <c r="J914" i="65"/>
  <c r="B915" i="65"/>
  <c r="G915" i="65"/>
  <c r="J915" i="65"/>
  <c r="B916" i="65"/>
  <c r="G916" i="65"/>
  <c r="J916" i="65"/>
  <c r="B917" i="65"/>
  <c r="G917" i="65"/>
  <c r="J917" i="65"/>
  <c r="B918" i="65"/>
  <c r="G918" i="65"/>
  <c r="J918" i="65"/>
  <c r="B919" i="65"/>
  <c r="G919" i="65"/>
  <c r="J919" i="65"/>
  <c r="B920" i="65"/>
  <c r="G920" i="65"/>
  <c r="J920" i="65"/>
  <c r="B921" i="65"/>
  <c r="G921" i="65"/>
  <c r="J921" i="65"/>
  <c r="B922" i="65"/>
  <c r="G922" i="65"/>
  <c r="J922" i="65"/>
  <c r="B923" i="65"/>
  <c r="G923" i="65"/>
  <c r="J923" i="65"/>
  <c r="B924" i="65"/>
  <c r="G924" i="65"/>
  <c r="J924" i="65"/>
  <c r="B925" i="65"/>
  <c r="G925" i="65"/>
  <c r="J925" i="65"/>
  <c r="B926" i="65"/>
  <c r="G926" i="65"/>
  <c r="J926" i="65"/>
  <c r="B927" i="65"/>
  <c r="G927" i="65"/>
  <c r="J927" i="65"/>
  <c r="B928" i="65"/>
  <c r="G928" i="65"/>
  <c r="J928" i="65"/>
  <c r="B929" i="65"/>
  <c r="G929" i="65"/>
  <c r="J929" i="65"/>
  <c r="B930" i="65"/>
  <c r="G930" i="65"/>
  <c r="J930" i="65"/>
  <c r="B931" i="65"/>
  <c r="G931" i="65"/>
  <c r="J931" i="65"/>
  <c r="B932" i="65"/>
  <c r="G932" i="65"/>
  <c r="J932" i="65"/>
  <c r="B933" i="65"/>
  <c r="G933" i="65"/>
  <c r="J933" i="65"/>
  <c r="B934" i="65"/>
  <c r="G934" i="65"/>
  <c r="J934" i="65"/>
  <c r="B935" i="65"/>
  <c r="G935" i="65"/>
  <c r="J935" i="65"/>
  <c r="B936" i="65"/>
  <c r="G936" i="65"/>
  <c r="J936" i="65"/>
  <c r="B937" i="65"/>
  <c r="G937" i="65"/>
  <c r="J937" i="65"/>
  <c r="B938" i="65"/>
  <c r="G938" i="65"/>
  <c r="J938" i="65"/>
  <c r="B939" i="65"/>
  <c r="G939" i="65"/>
  <c r="J939" i="65"/>
  <c r="B940" i="65"/>
  <c r="G940" i="65"/>
  <c r="J940" i="65"/>
  <c r="B941" i="65"/>
  <c r="G941" i="65"/>
  <c r="J941" i="65"/>
  <c r="B942" i="65"/>
  <c r="G942" i="65"/>
  <c r="J942" i="65"/>
  <c r="B943" i="65"/>
  <c r="G943" i="65"/>
  <c r="J943" i="65"/>
  <c r="B944" i="65"/>
  <c r="G944" i="65"/>
  <c r="J944" i="65"/>
  <c r="B945" i="65"/>
  <c r="G945" i="65"/>
  <c r="J945" i="65"/>
  <c r="B946" i="65"/>
  <c r="G946" i="65"/>
  <c r="J946" i="65"/>
  <c r="B947" i="65"/>
  <c r="G947" i="65"/>
  <c r="J947" i="65"/>
  <c r="B948" i="65"/>
  <c r="G948" i="65"/>
  <c r="J948" i="65"/>
  <c r="B949" i="65"/>
  <c r="G949" i="65"/>
  <c r="J949" i="65"/>
  <c r="B950" i="65"/>
  <c r="G950" i="65"/>
  <c r="J950" i="65"/>
  <c r="B951" i="65"/>
  <c r="G951" i="65"/>
  <c r="J951" i="65"/>
  <c r="B952" i="65"/>
  <c r="G952" i="65"/>
  <c r="J952" i="65"/>
  <c r="B953" i="65"/>
  <c r="G953" i="65"/>
  <c r="J953" i="65"/>
  <c r="B954" i="65"/>
  <c r="G954" i="65"/>
  <c r="J954" i="65"/>
  <c r="B955" i="65"/>
  <c r="G955" i="65"/>
  <c r="J955" i="65"/>
  <c r="B956" i="65"/>
  <c r="G956" i="65"/>
  <c r="J956" i="65"/>
  <c r="B957" i="65"/>
  <c r="G957" i="65"/>
  <c r="J957" i="65"/>
  <c r="B958" i="65"/>
  <c r="G958" i="65"/>
  <c r="J958" i="65"/>
  <c r="B959" i="65"/>
  <c r="G959" i="65"/>
  <c r="J959" i="65"/>
  <c r="B960" i="65"/>
  <c r="G960" i="65"/>
  <c r="J960" i="65"/>
  <c r="B961" i="65"/>
  <c r="G961" i="65"/>
  <c r="J961" i="65"/>
  <c r="B962" i="65"/>
  <c r="G962" i="65"/>
  <c r="J962" i="65"/>
  <c r="B963" i="65"/>
  <c r="G963" i="65"/>
  <c r="J963" i="65"/>
  <c r="B964" i="65"/>
  <c r="G964" i="65"/>
  <c r="J964" i="65"/>
  <c r="B965" i="65"/>
  <c r="G965" i="65"/>
  <c r="J965" i="65"/>
  <c r="B966" i="65"/>
  <c r="G966" i="65"/>
  <c r="J966" i="65"/>
  <c r="B967" i="65"/>
  <c r="G967" i="65"/>
  <c r="J967" i="65"/>
  <c r="B968" i="65"/>
  <c r="G968" i="65"/>
  <c r="J968" i="65"/>
  <c r="B969" i="65"/>
  <c r="G969" i="65"/>
  <c r="J969" i="65"/>
  <c r="B970" i="65"/>
  <c r="G970" i="65"/>
  <c r="J970" i="65"/>
  <c r="B971" i="65"/>
  <c r="G971" i="65"/>
  <c r="J971" i="65"/>
  <c r="B972" i="65"/>
  <c r="G972" i="65"/>
  <c r="J972" i="65"/>
  <c r="B973" i="65"/>
  <c r="G973" i="65"/>
  <c r="J973" i="65"/>
  <c r="B974" i="65"/>
  <c r="G974" i="65"/>
  <c r="J974" i="65"/>
  <c r="B975" i="65"/>
  <c r="G975" i="65"/>
  <c r="J975" i="65"/>
  <c r="B976" i="65"/>
  <c r="G976" i="65"/>
  <c r="J976" i="65"/>
  <c r="B977" i="65"/>
  <c r="G977" i="65"/>
  <c r="J977" i="65"/>
  <c r="B978" i="65"/>
  <c r="G978" i="65"/>
  <c r="J978" i="65"/>
  <c r="B979" i="65"/>
  <c r="G979" i="65"/>
  <c r="J979" i="65"/>
  <c r="B980" i="65"/>
  <c r="G980" i="65"/>
  <c r="J980" i="65"/>
  <c r="B981" i="65"/>
  <c r="G981" i="65"/>
  <c r="J981" i="65"/>
  <c r="B982" i="65"/>
  <c r="G982" i="65"/>
  <c r="J982" i="65"/>
  <c r="B983" i="65"/>
  <c r="G983" i="65"/>
  <c r="J983" i="65"/>
  <c r="B984" i="65"/>
  <c r="G984" i="65"/>
  <c r="J984" i="65"/>
  <c r="B985" i="65"/>
  <c r="G985" i="65"/>
  <c r="J985" i="65"/>
  <c r="B986" i="65"/>
  <c r="G986" i="65"/>
  <c r="J986" i="65"/>
  <c r="B987" i="65"/>
  <c r="G987" i="65"/>
  <c r="J987" i="65"/>
  <c r="B988" i="65"/>
  <c r="G988" i="65"/>
  <c r="J988" i="65"/>
  <c r="B989" i="65"/>
  <c r="G989" i="65"/>
  <c r="J989" i="65"/>
  <c r="B990" i="65"/>
  <c r="G990" i="65"/>
  <c r="J990" i="65"/>
  <c r="B991" i="65"/>
  <c r="G991" i="65"/>
  <c r="J991" i="65"/>
  <c r="B992" i="65"/>
  <c r="G992" i="65"/>
  <c r="J992" i="65"/>
  <c r="B993" i="65"/>
  <c r="G993" i="65"/>
  <c r="J993" i="65"/>
  <c r="B994" i="65"/>
  <c r="G994" i="65"/>
  <c r="J994" i="65"/>
  <c r="B995" i="65"/>
  <c r="G995" i="65"/>
  <c r="J995" i="65"/>
  <c r="B996" i="65"/>
  <c r="G996" i="65"/>
  <c r="J996" i="65"/>
  <c r="B997" i="65"/>
  <c r="G997" i="65"/>
  <c r="J997" i="65"/>
  <c r="B998" i="65"/>
  <c r="G998" i="65"/>
  <c r="J998" i="65"/>
  <c r="B999" i="65"/>
  <c r="G999" i="65"/>
  <c r="J999" i="65"/>
  <c r="B1000" i="65"/>
  <c r="G1000" i="65"/>
  <c r="J1000" i="65"/>
  <c r="B1001" i="65"/>
  <c r="G1001" i="65"/>
  <c r="J1001" i="65"/>
  <c r="B1002" i="65"/>
  <c r="G1002" i="65"/>
  <c r="J1002" i="65"/>
  <c r="B1003" i="65"/>
  <c r="G1003" i="65"/>
  <c r="J1003" i="65"/>
  <c r="B1004" i="65"/>
  <c r="G1004" i="65"/>
  <c r="J1004" i="65"/>
  <c r="B1005" i="65"/>
  <c r="G1005" i="65"/>
  <c r="J1005" i="65"/>
  <c r="B1006" i="65"/>
  <c r="G1006" i="65"/>
  <c r="J1006" i="65"/>
  <c r="B1007" i="65"/>
  <c r="G1007" i="65"/>
  <c r="J1007" i="65"/>
  <c r="B1008" i="65"/>
  <c r="G1008" i="65"/>
  <c r="J1008" i="65"/>
  <c r="B1009" i="65"/>
  <c r="G1009" i="65"/>
  <c r="J1009" i="65"/>
  <c r="B1010" i="65"/>
  <c r="G1010" i="65"/>
  <c r="J1010" i="65"/>
  <c r="B1011" i="65"/>
  <c r="G1011" i="65"/>
  <c r="J1011" i="65"/>
  <c r="B1012" i="65"/>
  <c r="G1012" i="65"/>
  <c r="J1012" i="65"/>
  <c r="B1013" i="65"/>
  <c r="G1013" i="65"/>
  <c r="J1013" i="65"/>
  <c r="B1014" i="65"/>
  <c r="G1014" i="65"/>
  <c r="J1014" i="65"/>
  <c r="B1015" i="65"/>
  <c r="G1015" i="65"/>
  <c r="J1015" i="65"/>
  <c r="B1016" i="65"/>
  <c r="G1016" i="65"/>
  <c r="J1016" i="65"/>
  <c r="B1017" i="65"/>
  <c r="G1017" i="65"/>
  <c r="J1017" i="65"/>
  <c r="B1018" i="65"/>
  <c r="G1018" i="65"/>
  <c r="J1018" i="65"/>
  <c r="B1019" i="65"/>
  <c r="G1019" i="65"/>
  <c r="J1019" i="65"/>
  <c r="B1020" i="65"/>
  <c r="G1020" i="65"/>
  <c r="J1020" i="65"/>
  <c r="B1021" i="65"/>
  <c r="G1021" i="65"/>
  <c r="J1021" i="65"/>
  <c r="B1022" i="65"/>
  <c r="G1022" i="65"/>
  <c r="J1022" i="65"/>
  <c r="B1023" i="65"/>
  <c r="G1023" i="65"/>
  <c r="J1023" i="65"/>
  <c r="B1024" i="65"/>
  <c r="G1024" i="65"/>
  <c r="J1024" i="65"/>
  <c r="B1025" i="65"/>
  <c r="G1025" i="65"/>
  <c r="J1025" i="65"/>
  <c r="B1026" i="65"/>
  <c r="G1026" i="65"/>
  <c r="J1026" i="65"/>
  <c r="B1027" i="65"/>
  <c r="G1027" i="65"/>
  <c r="J1027" i="65"/>
  <c r="B1028" i="65"/>
  <c r="G1028" i="65"/>
  <c r="J1028" i="65"/>
  <c r="B1029" i="65"/>
  <c r="G1029" i="65"/>
  <c r="J1029" i="65"/>
  <c r="B1030" i="65"/>
  <c r="G1030" i="65"/>
  <c r="J1030" i="65"/>
  <c r="B1031" i="65"/>
  <c r="G1031" i="65"/>
  <c r="J1031" i="65"/>
  <c r="B1032" i="65"/>
  <c r="G1032" i="65"/>
  <c r="J1032" i="65"/>
  <c r="B1033" i="65"/>
  <c r="G1033" i="65"/>
  <c r="J1033" i="65"/>
  <c r="B1034" i="65"/>
  <c r="G1034" i="65"/>
  <c r="J1034" i="65"/>
  <c r="B1035" i="65"/>
  <c r="G1035" i="65"/>
  <c r="J1035" i="65"/>
  <c r="B1036" i="65"/>
  <c r="G1036" i="65"/>
  <c r="J1036" i="65"/>
  <c r="B1037" i="65"/>
  <c r="G1037" i="65"/>
  <c r="J1037" i="65"/>
  <c r="B1038" i="65"/>
  <c r="G1038" i="65"/>
  <c r="J1038" i="65"/>
  <c r="B1039" i="65"/>
  <c r="G1039" i="65"/>
  <c r="J1039" i="65"/>
  <c r="B1040" i="65"/>
  <c r="G1040" i="65"/>
  <c r="J1040" i="65"/>
  <c r="B1041" i="65"/>
  <c r="G1041" i="65"/>
  <c r="J1041" i="65"/>
  <c r="B1042" i="65"/>
  <c r="G1042" i="65"/>
  <c r="J1042" i="65"/>
  <c r="B1043" i="65"/>
  <c r="G1043" i="65"/>
  <c r="J1043" i="65"/>
  <c r="B1044" i="65"/>
  <c r="G1044" i="65"/>
  <c r="J1044" i="65"/>
  <c r="B1045" i="65"/>
  <c r="G1045" i="65"/>
  <c r="J1045" i="65"/>
  <c r="B1046" i="65"/>
  <c r="G1046" i="65"/>
  <c r="J1046" i="65"/>
  <c r="B1047" i="65"/>
  <c r="G1047" i="65"/>
  <c r="J1047" i="65"/>
  <c r="B1048" i="65"/>
  <c r="G1048" i="65"/>
  <c r="J1048" i="65"/>
  <c r="B1049" i="65"/>
  <c r="G1049" i="65"/>
  <c r="J1049" i="65"/>
  <c r="B1050" i="65"/>
  <c r="G1050" i="65"/>
  <c r="J1050" i="65"/>
  <c r="B1051" i="65"/>
  <c r="G1051" i="65"/>
  <c r="J1051" i="65"/>
  <c r="B1052" i="65"/>
  <c r="G1052" i="65"/>
  <c r="J1052" i="65"/>
  <c r="B1053" i="65"/>
  <c r="G1053" i="65"/>
  <c r="J1053" i="65"/>
  <c r="B1054" i="65"/>
  <c r="G1054" i="65"/>
  <c r="J1054" i="65"/>
  <c r="B1055" i="65"/>
  <c r="G1055" i="65"/>
  <c r="J1055" i="65"/>
  <c r="B1056" i="65"/>
  <c r="G1056" i="65"/>
  <c r="J1056" i="65"/>
  <c r="B1057" i="65"/>
  <c r="G1057" i="65"/>
  <c r="J1057" i="65"/>
  <c r="B1058" i="65"/>
  <c r="G1058" i="65"/>
  <c r="J1058" i="65"/>
  <c r="B1059" i="65"/>
  <c r="G1059" i="65"/>
  <c r="J1059" i="65"/>
  <c r="B1060" i="65"/>
  <c r="G1060" i="65"/>
  <c r="J1060" i="65"/>
  <c r="B1061" i="65"/>
  <c r="G1061" i="65"/>
  <c r="J1061" i="65"/>
  <c r="B1062" i="65"/>
  <c r="G1062" i="65"/>
  <c r="J1062" i="65"/>
  <c r="B1063" i="65"/>
  <c r="G1063" i="65"/>
  <c r="J1063" i="65"/>
  <c r="B1064" i="65"/>
  <c r="G1064" i="65"/>
  <c r="J1064" i="65"/>
  <c r="B1065" i="65"/>
  <c r="G1065" i="65"/>
  <c r="J1065" i="65"/>
  <c r="B1066" i="65"/>
  <c r="G1066" i="65"/>
  <c r="J1066" i="65"/>
  <c r="B1067" i="65"/>
  <c r="G1067" i="65"/>
  <c r="J1067" i="65"/>
  <c r="B1068" i="65"/>
  <c r="G1068" i="65"/>
  <c r="J1068" i="65"/>
  <c r="B1069" i="65"/>
  <c r="G1069" i="65"/>
  <c r="J1069" i="65"/>
  <c r="B1070" i="65"/>
  <c r="G1070" i="65"/>
  <c r="J1070" i="65"/>
  <c r="B1071" i="65"/>
  <c r="G1071" i="65"/>
  <c r="J1071" i="65"/>
  <c r="B1072" i="65"/>
  <c r="G1072" i="65"/>
  <c r="J1072" i="65"/>
  <c r="B1073" i="65"/>
  <c r="G1073" i="65"/>
  <c r="J1073" i="65"/>
  <c r="B1074" i="65"/>
  <c r="G1074" i="65"/>
  <c r="J1074" i="65"/>
  <c r="B1075" i="65"/>
  <c r="G1075" i="65"/>
  <c r="J1075" i="65"/>
  <c r="B1076" i="65"/>
  <c r="G1076" i="65"/>
  <c r="J1076" i="65"/>
  <c r="B1077" i="65"/>
  <c r="G1077" i="65"/>
  <c r="J1077" i="65"/>
  <c r="B1078" i="65"/>
  <c r="G1078" i="65"/>
  <c r="J1078" i="65"/>
  <c r="B1079" i="65"/>
  <c r="G1079" i="65"/>
  <c r="J1079" i="65"/>
  <c r="B1080" i="65"/>
  <c r="G1080" i="65"/>
  <c r="J1080" i="65"/>
  <c r="B1081" i="65"/>
  <c r="G1081" i="65"/>
  <c r="J1081" i="65"/>
  <c r="B1082" i="65"/>
  <c r="G1082" i="65"/>
  <c r="J1082" i="65"/>
  <c r="B1083" i="65"/>
  <c r="G1083" i="65"/>
  <c r="J1083" i="65"/>
  <c r="B1084" i="65"/>
  <c r="G1084" i="65"/>
  <c r="J1084" i="65"/>
  <c r="B1085" i="65"/>
  <c r="G1085" i="65"/>
  <c r="J1085" i="65"/>
  <c r="B1086" i="65"/>
  <c r="G1086" i="65"/>
  <c r="J1086" i="65"/>
  <c r="B1087" i="65"/>
  <c r="G1087" i="65"/>
  <c r="J1087" i="65"/>
  <c r="B1088" i="65"/>
  <c r="G1088" i="65"/>
  <c r="J1088" i="65"/>
  <c r="B1089" i="65"/>
  <c r="G1089" i="65"/>
  <c r="J1089" i="65"/>
  <c r="B1090" i="65"/>
  <c r="G1090" i="65"/>
  <c r="J1090" i="65"/>
  <c r="B1091" i="65"/>
  <c r="G1091" i="65"/>
  <c r="J1091" i="65"/>
  <c r="B1092" i="65"/>
  <c r="G1092" i="65"/>
  <c r="J1092" i="65"/>
  <c r="B1093" i="65"/>
  <c r="G1093" i="65"/>
  <c r="J1093" i="65"/>
  <c r="B1094" i="65"/>
  <c r="G1094" i="65"/>
  <c r="J1094" i="65"/>
  <c r="B1095" i="65"/>
  <c r="G1095" i="65"/>
  <c r="J1095" i="65"/>
  <c r="B1096" i="65"/>
  <c r="G1096" i="65"/>
  <c r="J1096" i="65"/>
  <c r="B1097" i="65"/>
  <c r="G1097" i="65"/>
  <c r="J1097" i="65"/>
  <c r="B1098" i="65"/>
  <c r="G1098" i="65"/>
  <c r="J1098" i="65"/>
  <c r="B1099" i="65"/>
  <c r="G1099" i="65"/>
  <c r="J1099" i="65"/>
  <c r="B1100" i="65"/>
  <c r="G1100" i="65"/>
  <c r="J1100" i="65"/>
  <c r="B1101" i="65"/>
  <c r="G1101" i="65"/>
  <c r="J1101" i="65"/>
  <c r="B1102" i="65"/>
  <c r="G1102" i="65"/>
  <c r="J1102" i="65"/>
  <c r="B1103" i="65"/>
  <c r="G1103" i="65"/>
  <c r="J1103" i="65"/>
  <c r="B1104" i="65"/>
  <c r="G1104" i="65"/>
  <c r="J1104" i="65"/>
  <c r="B1105" i="65"/>
  <c r="G1105" i="65"/>
  <c r="J1105" i="65"/>
  <c r="B1106" i="65"/>
  <c r="G1106" i="65"/>
  <c r="J1106" i="65"/>
  <c r="B1107" i="65"/>
  <c r="G1107" i="65"/>
  <c r="J1107" i="65"/>
  <c r="B1108" i="65"/>
  <c r="G1108" i="65"/>
  <c r="J1108" i="65"/>
  <c r="B1109" i="65"/>
  <c r="G1109" i="65"/>
  <c r="J1109" i="65"/>
  <c r="B1110" i="65"/>
  <c r="G1110" i="65"/>
  <c r="J1110" i="65"/>
  <c r="B1111" i="65"/>
  <c r="G1111" i="65"/>
  <c r="J1111" i="65"/>
  <c r="B1112" i="65"/>
  <c r="G1112" i="65"/>
  <c r="J1112" i="65"/>
  <c r="B1113" i="65"/>
  <c r="G1113" i="65"/>
  <c r="J1113" i="65"/>
  <c r="B1114" i="65"/>
  <c r="G1114" i="65"/>
  <c r="J1114" i="65"/>
  <c r="B1115" i="65"/>
  <c r="G1115" i="65"/>
  <c r="J1115" i="65"/>
  <c r="B1116" i="65"/>
  <c r="G1116" i="65"/>
  <c r="J1116" i="65"/>
  <c r="B1117" i="65"/>
  <c r="G1117" i="65"/>
  <c r="J1117" i="65"/>
  <c r="B1118" i="65"/>
  <c r="G1118" i="65"/>
  <c r="J1118" i="65"/>
  <c r="B1119" i="65"/>
  <c r="G1119" i="65"/>
  <c r="J1119" i="65"/>
  <c r="B1120" i="65"/>
  <c r="G1120" i="65"/>
  <c r="J1120" i="65"/>
  <c r="B1121" i="65"/>
  <c r="G1121" i="65"/>
  <c r="J1121" i="65"/>
  <c r="B1122" i="65"/>
  <c r="G1122" i="65"/>
  <c r="J1122" i="65"/>
  <c r="B1123" i="65"/>
  <c r="G1123" i="65"/>
  <c r="J1123" i="65"/>
  <c r="B1124" i="65"/>
  <c r="G1124" i="65"/>
  <c r="J1124" i="65"/>
  <c r="B1125" i="65"/>
  <c r="G1125" i="65"/>
  <c r="J1125" i="65"/>
  <c r="B1126" i="65"/>
  <c r="G1126" i="65"/>
  <c r="J1126" i="65"/>
  <c r="B1127" i="65"/>
  <c r="G1127" i="65"/>
  <c r="J1127" i="65"/>
  <c r="B1128" i="65"/>
  <c r="G1128" i="65"/>
  <c r="J1128" i="65"/>
  <c r="B1129" i="65"/>
  <c r="G1129" i="65"/>
  <c r="J1129" i="65"/>
  <c r="B1130" i="65"/>
  <c r="G1130" i="65"/>
  <c r="J1130" i="65"/>
  <c r="B1131" i="65"/>
  <c r="G1131" i="65"/>
  <c r="J1131" i="65"/>
  <c r="B1132" i="65"/>
  <c r="G1132" i="65"/>
  <c r="J1132" i="65"/>
  <c r="B1133" i="65"/>
  <c r="G1133" i="65"/>
  <c r="J1133" i="65"/>
  <c r="B1134" i="65"/>
  <c r="G1134" i="65"/>
  <c r="J1134" i="65"/>
  <c r="B1135" i="65"/>
  <c r="G1135" i="65"/>
  <c r="J1135" i="65"/>
  <c r="B1136" i="65"/>
  <c r="G1136" i="65"/>
  <c r="J1136" i="65"/>
  <c r="B1137" i="65"/>
  <c r="G1137" i="65"/>
  <c r="J1137" i="65"/>
  <c r="B1138" i="65"/>
  <c r="G1138" i="65"/>
  <c r="J1138" i="65"/>
  <c r="B1139" i="65"/>
  <c r="G1139" i="65"/>
  <c r="J1139" i="65"/>
  <c r="B1140" i="65"/>
  <c r="G1140" i="65"/>
  <c r="J1140" i="65"/>
  <c r="B1141" i="65"/>
  <c r="G1141" i="65"/>
  <c r="J1141" i="65"/>
  <c r="B1142" i="65"/>
  <c r="G1142" i="65"/>
  <c r="J1142" i="65"/>
  <c r="B1143" i="65"/>
  <c r="G1143" i="65"/>
  <c r="J1143" i="65"/>
  <c r="B1144" i="65"/>
  <c r="G1144" i="65"/>
  <c r="J1144" i="65"/>
  <c r="B1145" i="65"/>
  <c r="G1145" i="65"/>
  <c r="J1145" i="65"/>
  <c r="B1146" i="65"/>
  <c r="G1146" i="65"/>
  <c r="J1146" i="65"/>
  <c r="B1147" i="65"/>
  <c r="G1147" i="65"/>
  <c r="J1147" i="65"/>
  <c r="B1148" i="65"/>
  <c r="G1148" i="65"/>
  <c r="J1148" i="65"/>
  <c r="B1149" i="65"/>
  <c r="G1149" i="65"/>
  <c r="J1149" i="65"/>
  <c r="B1150" i="65"/>
  <c r="G1150" i="65"/>
  <c r="J1150" i="65"/>
  <c r="B1151" i="65"/>
  <c r="G1151" i="65"/>
  <c r="J1151" i="65"/>
  <c r="B1152" i="65"/>
  <c r="G1152" i="65"/>
  <c r="J1152" i="65"/>
  <c r="B1153" i="65"/>
  <c r="G1153" i="65"/>
  <c r="J1153" i="65"/>
  <c r="B1154" i="65"/>
  <c r="G1154" i="65"/>
  <c r="J1154" i="65"/>
  <c r="B1155" i="65"/>
  <c r="G1155" i="65"/>
  <c r="J1155" i="65"/>
  <c r="B1156" i="65"/>
  <c r="G1156" i="65"/>
  <c r="J1156" i="65"/>
  <c r="B1157" i="65"/>
  <c r="G1157" i="65"/>
  <c r="J1157" i="65"/>
  <c r="B1158" i="65"/>
  <c r="G1158" i="65"/>
  <c r="J1158" i="65"/>
  <c r="B1159" i="65"/>
  <c r="G1159" i="65"/>
  <c r="J1159" i="65"/>
  <c r="B1160" i="65"/>
  <c r="G1160" i="65"/>
  <c r="J1160" i="65"/>
  <c r="B1161" i="65"/>
  <c r="G1161" i="65"/>
  <c r="J1161" i="65"/>
  <c r="B1162" i="65"/>
  <c r="G1162" i="65"/>
  <c r="J1162" i="65"/>
  <c r="B1163" i="65"/>
  <c r="G1163" i="65"/>
  <c r="J1163" i="65"/>
  <c r="B1164" i="65"/>
  <c r="G1164" i="65"/>
  <c r="J1164" i="65"/>
  <c r="B1165" i="65"/>
  <c r="G1165" i="65"/>
  <c r="J1165" i="65"/>
  <c r="B1166" i="65"/>
  <c r="G1166" i="65"/>
  <c r="J1166" i="65"/>
  <c r="B1167" i="65"/>
  <c r="G1167" i="65"/>
  <c r="J1167" i="65"/>
  <c r="B1168" i="65"/>
  <c r="G1168" i="65"/>
  <c r="J1168" i="65"/>
  <c r="B1169" i="65"/>
  <c r="G1169" i="65"/>
  <c r="J1169" i="65"/>
  <c r="B1170" i="65"/>
  <c r="G1170" i="65"/>
  <c r="J1170" i="65"/>
  <c r="B1171" i="65"/>
  <c r="G1171" i="65"/>
  <c r="J1171" i="65"/>
  <c r="B1172" i="65"/>
  <c r="G1172" i="65"/>
  <c r="J1172" i="65"/>
  <c r="B1173" i="65"/>
  <c r="G1173" i="65"/>
  <c r="J1173" i="65"/>
  <c r="B1174" i="65"/>
  <c r="G1174" i="65"/>
  <c r="J1174" i="65"/>
  <c r="B1175" i="65"/>
  <c r="G1175" i="65"/>
  <c r="J1175" i="65"/>
  <c r="B1176" i="65"/>
  <c r="G1176" i="65"/>
  <c r="J1176" i="65"/>
  <c r="B1177" i="65"/>
  <c r="G1177" i="65"/>
  <c r="J1177" i="65"/>
  <c r="B1178" i="65"/>
  <c r="G1178" i="65"/>
  <c r="J1178" i="65"/>
  <c r="B1179" i="65"/>
  <c r="G1179" i="65"/>
  <c r="J1179" i="65"/>
  <c r="B1180" i="65"/>
  <c r="G1180" i="65"/>
  <c r="J1180" i="65"/>
  <c r="B1181" i="65"/>
  <c r="G1181" i="65"/>
  <c r="J1181" i="65"/>
  <c r="B1182" i="65"/>
  <c r="G1182" i="65"/>
  <c r="J1182" i="65"/>
  <c r="B1183" i="65"/>
  <c r="G1183" i="65"/>
  <c r="J1183" i="65"/>
  <c r="B1184" i="65"/>
  <c r="G1184" i="65"/>
  <c r="J1184" i="65"/>
  <c r="B1185" i="65"/>
  <c r="G1185" i="65"/>
  <c r="J1185" i="65"/>
  <c r="B1186" i="65"/>
  <c r="G1186" i="65"/>
  <c r="J1186" i="65"/>
  <c r="B1187" i="65"/>
  <c r="G1187" i="65"/>
  <c r="J1187" i="65"/>
  <c r="B1188" i="65"/>
  <c r="G1188" i="65"/>
  <c r="J1188" i="65"/>
  <c r="B1189" i="65"/>
  <c r="G1189" i="65"/>
  <c r="J1189" i="65"/>
  <c r="B1190" i="65"/>
  <c r="G1190" i="65"/>
  <c r="J1190" i="65"/>
  <c r="B1191" i="65"/>
  <c r="G1191" i="65"/>
  <c r="J1191" i="65"/>
  <c r="B1192" i="65"/>
  <c r="G1192" i="65"/>
  <c r="J1192" i="65"/>
  <c r="B1193" i="65"/>
  <c r="G1193" i="65"/>
  <c r="J1193" i="65"/>
  <c r="B1194" i="65"/>
  <c r="G1194" i="65"/>
  <c r="J1194" i="65"/>
  <c r="B1195" i="65"/>
  <c r="G1195" i="65"/>
  <c r="J1195" i="65"/>
  <c r="B1196" i="65"/>
  <c r="G1196" i="65"/>
  <c r="J1196" i="65"/>
  <c r="B1197" i="65"/>
  <c r="G1197" i="65"/>
  <c r="J1197" i="65"/>
  <c r="B1198" i="65"/>
  <c r="G1198" i="65"/>
  <c r="J1198" i="65"/>
  <c r="B1199" i="65"/>
  <c r="G1199" i="65"/>
  <c r="J1199" i="65"/>
  <c r="B1200" i="65"/>
  <c r="G1200" i="65"/>
  <c r="J1200" i="65"/>
  <c r="B1201" i="65"/>
  <c r="G1201" i="65"/>
  <c r="J1201" i="65"/>
  <c r="B1202" i="65"/>
  <c r="G1202" i="65"/>
  <c r="J1202" i="65"/>
  <c r="B1203" i="65"/>
  <c r="G1203" i="65"/>
  <c r="J1203" i="65"/>
  <c r="B1204" i="65"/>
  <c r="G1204" i="65"/>
  <c r="J1204" i="65"/>
  <c r="B1205" i="65"/>
  <c r="G1205" i="65"/>
  <c r="J1205" i="65"/>
  <c r="B1206" i="65"/>
  <c r="G1206" i="65"/>
  <c r="J1206" i="65"/>
  <c r="B1207" i="65"/>
  <c r="G1207" i="65"/>
  <c r="J1207" i="65"/>
  <c r="B1208" i="65"/>
  <c r="G1208" i="65"/>
  <c r="J1208" i="65"/>
  <c r="B1209" i="65"/>
  <c r="G1209" i="65"/>
  <c r="J1209" i="65"/>
  <c r="B1210" i="65"/>
  <c r="G1210" i="65"/>
  <c r="J1210" i="65"/>
  <c r="B1211" i="65"/>
  <c r="G1211" i="65"/>
  <c r="J1211" i="65"/>
  <c r="B1212" i="65"/>
  <c r="G1212" i="65"/>
  <c r="J1212" i="65"/>
  <c r="B1213" i="65"/>
  <c r="G1213" i="65"/>
  <c r="J1213" i="65"/>
  <c r="B1214" i="65"/>
  <c r="G1214" i="65"/>
  <c r="J1214" i="65"/>
  <c r="B1215" i="65"/>
  <c r="G1215" i="65"/>
  <c r="J1215" i="65"/>
  <c r="B1216" i="65"/>
  <c r="G1216" i="65"/>
  <c r="J1216" i="65"/>
  <c r="B1217" i="65"/>
  <c r="G1217" i="65"/>
  <c r="J1217" i="65"/>
  <c r="B1218" i="65"/>
  <c r="G1218" i="65"/>
  <c r="J1218" i="65"/>
  <c r="B1219" i="65"/>
  <c r="G1219" i="65"/>
  <c r="J1219" i="65"/>
  <c r="B1220" i="65"/>
  <c r="G1220" i="65"/>
  <c r="J1220" i="65"/>
  <c r="B1221" i="65"/>
  <c r="G1221" i="65"/>
  <c r="J1221" i="65"/>
  <c r="B1222" i="65"/>
  <c r="G1222" i="65"/>
  <c r="J1222" i="65"/>
  <c r="B1223" i="65"/>
  <c r="G1223" i="65"/>
  <c r="J1223" i="65"/>
  <c r="B1224" i="65"/>
  <c r="G1224" i="65"/>
  <c r="J1224" i="65"/>
  <c r="B1225" i="65"/>
  <c r="G1225" i="65"/>
  <c r="J1225" i="65"/>
  <c r="B1226" i="65"/>
  <c r="G1226" i="65"/>
  <c r="J1226" i="65"/>
  <c r="B1227" i="65"/>
  <c r="G1227" i="65"/>
  <c r="J1227" i="65"/>
  <c r="B1228" i="65"/>
  <c r="G1228" i="65"/>
  <c r="J1228" i="65"/>
  <c r="B1229" i="65"/>
  <c r="G1229" i="65"/>
  <c r="J1229" i="65"/>
  <c r="B1230" i="65"/>
  <c r="G1230" i="65"/>
  <c r="J1230" i="65"/>
  <c r="B1231" i="65"/>
  <c r="G1231" i="65"/>
  <c r="J1231" i="65"/>
  <c r="B1232" i="65"/>
  <c r="G1232" i="65"/>
  <c r="J1232" i="65"/>
  <c r="B1233" i="65"/>
  <c r="G1233" i="65"/>
  <c r="J1233" i="65"/>
  <c r="B1234" i="65"/>
  <c r="G1234" i="65"/>
  <c r="J1234" i="65"/>
  <c r="B1235" i="65"/>
  <c r="G1235" i="65"/>
  <c r="J1235" i="65"/>
  <c r="B1236" i="65"/>
  <c r="G1236" i="65"/>
  <c r="J1236" i="65"/>
  <c r="B1237" i="65"/>
  <c r="G1237" i="65"/>
  <c r="J1237" i="65"/>
  <c r="B1238" i="65"/>
  <c r="G1238" i="65"/>
  <c r="J1238" i="65"/>
  <c r="B1239" i="65"/>
  <c r="G1239" i="65"/>
  <c r="J1239" i="65"/>
  <c r="B1240" i="65"/>
  <c r="G1240" i="65"/>
  <c r="J1240" i="65"/>
  <c r="B1241" i="65"/>
  <c r="G1241" i="65"/>
  <c r="J1241" i="65"/>
  <c r="B1242" i="65"/>
  <c r="G1242" i="65"/>
  <c r="J1242" i="65"/>
  <c r="B1243" i="65"/>
  <c r="G1243" i="65"/>
  <c r="J1243" i="65"/>
  <c r="B1244" i="65"/>
  <c r="G1244" i="65"/>
  <c r="J1244" i="65"/>
  <c r="B1245" i="65"/>
  <c r="G1245" i="65"/>
  <c r="J1245" i="65"/>
  <c r="B1246" i="65"/>
  <c r="G1246" i="65"/>
  <c r="J1246" i="65"/>
  <c r="B1247" i="65"/>
  <c r="G1247" i="65"/>
  <c r="J1247" i="65"/>
  <c r="B1248" i="65"/>
  <c r="G1248" i="65"/>
  <c r="J1248" i="65"/>
  <c r="B1249" i="65"/>
  <c r="G1249" i="65"/>
  <c r="J1249" i="65"/>
  <c r="B1250" i="65"/>
  <c r="G1250" i="65"/>
  <c r="J1250" i="65"/>
  <c r="B1251" i="65"/>
  <c r="G1251" i="65"/>
  <c r="J1251" i="65"/>
  <c r="B1252" i="65"/>
  <c r="G1252" i="65"/>
  <c r="J1252" i="65"/>
  <c r="B1253" i="65"/>
  <c r="G1253" i="65"/>
  <c r="J1253" i="65"/>
  <c r="B1254" i="65"/>
  <c r="G1254" i="65"/>
  <c r="J1254" i="65"/>
  <c r="B1255" i="65"/>
  <c r="G1255" i="65"/>
  <c r="J1255" i="65"/>
  <c r="B1256" i="65"/>
  <c r="G1256" i="65"/>
  <c r="J1256" i="65"/>
  <c r="B1257" i="65"/>
  <c r="G1257" i="65"/>
  <c r="J1257" i="65"/>
  <c r="B1258" i="65"/>
  <c r="G1258" i="65"/>
  <c r="J1258" i="65"/>
  <c r="B1259" i="65"/>
  <c r="G1259" i="65"/>
  <c r="J1259" i="65"/>
  <c r="B1260" i="65"/>
  <c r="G1260" i="65"/>
  <c r="J1260" i="65"/>
  <c r="B1261" i="65"/>
  <c r="G1261" i="65"/>
  <c r="J1261" i="65"/>
  <c r="B1262" i="65"/>
  <c r="G1262" i="65"/>
  <c r="J1262" i="65"/>
  <c r="B1263" i="65"/>
  <c r="G1263" i="65"/>
  <c r="J1263" i="65"/>
  <c r="B1264" i="65"/>
  <c r="G1264" i="65"/>
  <c r="J1264" i="65"/>
  <c r="B1265" i="65"/>
  <c r="G1265" i="65"/>
  <c r="J1265" i="65"/>
  <c r="B1266" i="65"/>
  <c r="G1266" i="65"/>
  <c r="J1266" i="65"/>
  <c r="B1267" i="65"/>
  <c r="G1267" i="65"/>
  <c r="J1267" i="65"/>
  <c r="B1268" i="65"/>
  <c r="G1268" i="65"/>
  <c r="J1268" i="65"/>
  <c r="B1269" i="65"/>
  <c r="G1269" i="65"/>
  <c r="J1269" i="65"/>
  <c r="B1270" i="65"/>
  <c r="G1270" i="65"/>
  <c r="J1270" i="65"/>
  <c r="B1271" i="65"/>
  <c r="G1271" i="65"/>
  <c r="J1271" i="65"/>
  <c r="B1272" i="65"/>
  <c r="G1272" i="65"/>
  <c r="J1272" i="65"/>
  <c r="B1273" i="65"/>
  <c r="G1273" i="65"/>
  <c r="J1273" i="65"/>
  <c r="B1274" i="65"/>
  <c r="G1274" i="65"/>
  <c r="J1274" i="65"/>
  <c r="B1275" i="65"/>
  <c r="G1275" i="65"/>
  <c r="J1275" i="65"/>
  <c r="B1276" i="65"/>
  <c r="G1276" i="65"/>
  <c r="J1276" i="65"/>
  <c r="B1277" i="65"/>
  <c r="G1277" i="65"/>
  <c r="J1277" i="65"/>
  <c r="B1278" i="65"/>
  <c r="G1278" i="65"/>
  <c r="J1278" i="65"/>
  <c r="B1279" i="65"/>
  <c r="G1279" i="65"/>
  <c r="J1279" i="65"/>
  <c r="B1280" i="65"/>
  <c r="G1280" i="65"/>
  <c r="J1280" i="65"/>
  <c r="B1281" i="65"/>
  <c r="G1281" i="65"/>
  <c r="J1281" i="65"/>
  <c r="B1282" i="65"/>
  <c r="G1282" i="65"/>
  <c r="J1282" i="65"/>
  <c r="B1283" i="65"/>
  <c r="G1283" i="65"/>
  <c r="J1283" i="65"/>
  <c r="B1284" i="65"/>
  <c r="G1284" i="65"/>
  <c r="J1284" i="65"/>
  <c r="B1285" i="65"/>
  <c r="G1285" i="65"/>
  <c r="J1285" i="65"/>
  <c r="B1286" i="65"/>
  <c r="G1286" i="65"/>
  <c r="J1286" i="65"/>
  <c r="B1287" i="65"/>
  <c r="G1287" i="65"/>
  <c r="J1287" i="65"/>
  <c r="B1288" i="65"/>
  <c r="G1288" i="65"/>
  <c r="J1288" i="65"/>
  <c r="B1289" i="65"/>
  <c r="G1289" i="65"/>
  <c r="J1289" i="65"/>
  <c r="B1290" i="65"/>
  <c r="G1290" i="65"/>
  <c r="J1290" i="65"/>
  <c r="B1291" i="65"/>
  <c r="G1291" i="65"/>
  <c r="J1291" i="65"/>
  <c r="B1292" i="65"/>
  <c r="G1292" i="65"/>
  <c r="J1292" i="65"/>
  <c r="B1293" i="65"/>
  <c r="G1293" i="65"/>
  <c r="J1293" i="65"/>
  <c r="B1294" i="65"/>
  <c r="G1294" i="65"/>
  <c r="J1294" i="65"/>
  <c r="B1295" i="65"/>
  <c r="G1295" i="65"/>
  <c r="J1295" i="65"/>
  <c r="B1296" i="65"/>
  <c r="G1296" i="65"/>
  <c r="J1296" i="65"/>
  <c r="B1297" i="65"/>
  <c r="G1297" i="65"/>
  <c r="J1297" i="65"/>
  <c r="B1298" i="65"/>
  <c r="G1298" i="65"/>
  <c r="J1298" i="65"/>
  <c r="B1299" i="65"/>
  <c r="G1299" i="65"/>
  <c r="J1299" i="65"/>
  <c r="B1300" i="65"/>
  <c r="G1300" i="65"/>
  <c r="J1300" i="65"/>
  <c r="B1301" i="65"/>
  <c r="G1301" i="65"/>
  <c r="J1301" i="65"/>
  <c r="B1302" i="65"/>
  <c r="G1302" i="65"/>
  <c r="J1302" i="65"/>
  <c r="B1303" i="65"/>
  <c r="G1303" i="65"/>
  <c r="J1303" i="65"/>
  <c r="B1304" i="65"/>
  <c r="G1304" i="65"/>
  <c r="J1304" i="65"/>
  <c r="B1305" i="65"/>
  <c r="G1305" i="65"/>
  <c r="J1305" i="65"/>
  <c r="B1306" i="65"/>
  <c r="G1306" i="65"/>
  <c r="J1306" i="65"/>
  <c r="B1307" i="65"/>
  <c r="G1307" i="65"/>
  <c r="J1307" i="65"/>
  <c r="B1308" i="65"/>
  <c r="G1308" i="65"/>
  <c r="J1308" i="65"/>
  <c r="B1309" i="65"/>
  <c r="G1309" i="65"/>
  <c r="J1309" i="65"/>
  <c r="B1310" i="65"/>
  <c r="G1310" i="65"/>
  <c r="J1310" i="65"/>
  <c r="B1311" i="65"/>
  <c r="G1311" i="65"/>
  <c r="J1311" i="65"/>
  <c r="B1312" i="65"/>
  <c r="G1312" i="65"/>
  <c r="J1312" i="65"/>
  <c r="B1313" i="65"/>
  <c r="G1313" i="65"/>
  <c r="J1313" i="65"/>
  <c r="B1314" i="65"/>
  <c r="G1314" i="65"/>
  <c r="J1314" i="65"/>
  <c r="B1315" i="65"/>
  <c r="G1315" i="65"/>
  <c r="J1315" i="65"/>
  <c r="B1316" i="65"/>
  <c r="G1316" i="65"/>
  <c r="J1316" i="65"/>
  <c r="B1317" i="65"/>
  <c r="G1317" i="65"/>
  <c r="J1317" i="65"/>
  <c r="B1318" i="65"/>
  <c r="G1318" i="65"/>
  <c r="J1318" i="65"/>
  <c r="B1319" i="65"/>
  <c r="G1319" i="65"/>
  <c r="J1319" i="65"/>
  <c r="B1320" i="65"/>
  <c r="G1320" i="65"/>
  <c r="J1320" i="65"/>
  <c r="B1321" i="65"/>
  <c r="G1321" i="65"/>
  <c r="J1321" i="65"/>
  <c r="B1322" i="65"/>
  <c r="G1322" i="65"/>
  <c r="J1322" i="65"/>
  <c r="B1323" i="65"/>
  <c r="G1323" i="65"/>
  <c r="J1323" i="65"/>
  <c r="B1324" i="65"/>
  <c r="G1324" i="65"/>
  <c r="J1324" i="65"/>
  <c r="B1325" i="65"/>
  <c r="G1325" i="65"/>
  <c r="J1325" i="65"/>
  <c r="B1326" i="65"/>
  <c r="G1326" i="65"/>
  <c r="J1326" i="65"/>
  <c r="B1327" i="65"/>
  <c r="G1327" i="65"/>
  <c r="J1327" i="65"/>
  <c r="B1328" i="65"/>
  <c r="G1328" i="65"/>
  <c r="J1328" i="65"/>
  <c r="B1329" i="65"/>
  <c r="G1329" i="65"/>
  <c r="J1329" i="65"/>
  <c r="B1330" i="65"/>
  <c r="G1330" i="65"/>
  <c r="J1330" i="65"/>
  <c r="B1331" i="65"/>
  <c r="G1331" i="65"/>
  <c r="J1331" i="65"/>
  <c r="B1332" i="65"/>
  <c r="G1332" i="65"/>
  <c r="J1332" i="65"/>
  <c r="B1333" i="65"/>
  <c r="G1333" i="65"/>
  <c r="J1333" i="65"/>
  <c r="B1334" i="65"/>
  <c r="G1334" i="65"/>
  <c r="J1334" i="65"/>
  <c r="B1335" i="65"/>
  <c r="G1335" i="65"/>
  <c r="J1335" i="65"/>
  <c r="B1336" i="65"/>
  <c r="G1336" i="65"/>
  <c r="J1336" i="65"/>
  <c r="B1337" i="65"/>
  <c r="G1337" i="65"/>
  <c r="J1337" i="65"/>
  <c r="B1338" i="65"/>
  <c r="G1338" i="65"/>
  <c r="J1338" i="65"/>
  <c r="B1339" i="65"/>
  <c r="G1339" i="65"/>
  <c r="J1339" i="65"/>
  <c r="B1340" i="65"/>
  <c r="G1340" i="65"/>
  <c r="J1340" i="65"/>
  <c r="B1341" i="65"/>
  <c r="G1341" i="65"/>
  <c r="J1341" i="65"/>
  <c r="B1342" i="65"/>
  <c r="G1342" i="65"/>
  <c r="J1342" i="65"/>
  <c r="B1343" i="65"/>
  <c r="G1343" i="65"/>
  <c r="J1343" i="65"/>
  <c r="B1344" i="65"/>
  <c r="G1344" i="65"/>
  <c r="J1344" i="65"/>
  <c r="B1345" i="65"/>
  <c r="G1345" i="65"/>
  <c r="J1345" i="65"/>
  <c r="B1346" i="65"/>
  <c r="G1346" i="65"/>
  <c r="J1346" i="65"/>
  <c r="B1347" i="65"/>
  <c r="G1347" i="65"/>
  <c r="J1347" i="65"/>
  <c r="B1348" i="65"/>
  <c r="G1348" i="65"/>
  <c r="J1348" i="65"/>
  <c r="B1349" i="65"/>
  <c r="G1349" i="65"/>
  <c r="J1349" i="65"/>
  <c r="B1350" i="65"/>
  <c r="G1350" i="65"/>
  <c r="J1350" i="65"/>
  <c r="B1351" i="65"/>
  <c r="G1351" i="65"/>
  <c r="J1351" i="65"/>
  <c r="B1352" i="65"/>
  <c r="G1352" i="65"/>
  <c r="J1352" i="65"/>
  <c r="B1353" i="65"/>
  <c r="G1353" i="65"/>
  <c r="J1353" i="65"/>
  <c r="B1354" i="65"/>
  <c r="G1354" i="65"/>
  <c r="J1354" i="65"/>
  <c r="B1355" i="65"/>
  <c r="G1355" i="65"/>
  <c r="J1355" i="65"/>
  <c r="B1356" i="65"/>
  <c r="G1356" i="65"/>
  <c r="J1356" i="65"/>
  <c r="B1357" i="65"/>
  <c r="G1357" i="65"/>
  <c r="J1357" i="65"/>
  <c r="B1358" i="65"/>
  <c r="G1358" i="65"/>
  <c r="J1358" i="65"/>
  <c r="B1359" i="65"/>
  <c r="G1359" i="65"/>
  <c r="J1359" i="65"/>
  <c r="B1360" i="65"/>
  <c r="G1360" i="65"/>
  <c r="J1360" i="65"/>
  <c r="B1361" i="65"/>
  <c r="G1361" i="65"/>
  <c r="J1361" i="65"/>
  <c r="B1362" i="65"/>
  <c r="G1362" i="65"/>
  <c r="J1362" i="65"/>
  <c r="B1363" i="65"/>
  <c r="G1363" i="65"/>
  <c r="J1363" i="65"/>
  <c r="B1364" i="65"/>
  <c r="G1364" i="65"/>
  <c r="J1364" i="65"/>
  <c r="B1365" i="65"/>
  <c r="G1365" i="65"/>
  <c r="J1365" i="65"/>
  <c r="B1366" i="65"/>
  <c r="G1366" i="65"/>
  <c r="J1366" i="65"/>
  <c r="B1367" i="65"/>
  <c r="G1367" i="65"/>
  <c r="J1367" i="65"/>
  <c r="B1368" i="65"/>
  <c r="G1368" i="65"/>
  <c r="J1368" i="65"/>
  <c r="B1369" i="65"/>
  <c r="G1369" i="65"/>
  <c r="J1369" i="65"/>
  <c r="B1370" i="65"/>
  <c r="G1370" i="65"/>
  <c r="J1370" i="65"/>
  <c r="B1371" i="65"/>
  <c r="G1371" i="65"/>
  <c r="J1371" i="65"/>
  <c r="B1372" i="65"/>
  <c r="G1372" i="65"/>
  <c r="J1372" i="65"/>
  <c r="B1373" i="65"/>
  <c r="G1373" i="65"/>
  <c r="J1373" i="65"/>
  <c r="B1374" i="65"/>
  <c r="G1374" i="65"/>
  <c r="J1374" i="65"/>
  <c r="B1375" i="65"/>
  <c r="G1375" i="65"/>
  <c r="J1375" i="65"/>
  <c r="B1376" i="65"/>
  <c r="G1376" i="65"/>
  <c r="J1376" i="65"/>
  <c r="B1377" i="65"/>
  <c r="G1377" i="65"/>
  <c r="J1377" i="65"/>
  <c r="B1378" i="65"/>
  <c r="G1378" i="65"/>
  <c r="J1378" i="65"/>
  <c r="B1379" i="65"/>
  <c r="G1379" i="65"/>
  <c r="J1379" i="65"/>
  <c r="B1380" i="65"/>
  <c r="G1380" i="65"/>
  <c r="J1380" i="65"/>
  <c r="B1381" i="65"/>
  <c r="G1381" i="65"/>
  <c r="J1381" i="65"/>
  <c r="B1382" i="65"/>
  <c r="G1382" i="65"/>
  <c r="J1382" i="65"/>
  <c r="B1383" i="65"/>
  <c r="G1383" i="65"/>
  <c r="J1383" i="65"/>
  <c r="B1384" i="65"/>
  <c r="G1384" i="65"/>
  <c r="J1384" i="65"/>
  <c r="B1385" i="65"/>
  <c r="G1385" i="65"/>
  <c r="J1385" i="65"/>
  <c r="B1386" i="65"/>
  <c r="G1386" i="65"/>
  <c r="J1386" i="65"/>
  <c r="B1387" i="65"/>
  <c r="G1387" i="65"/>
  <c r="J1387" i="65"/>
  <c r="B1388" i="65"/>
  <c r="G1388" i="65"/>
  <c r="J1388" i="65"/>
  <c r="B1389" i="65"/>
  <c r="G1389" i="65"/>
  <c r="J1389" i="65"/>
  <c r="B1390" i="65"/>
  <c r="G1390" i="65"/>
  <c r="J1390" i="65"/>
  <c r="B1391" i="65"/>
  <c r="G1391" i="65"/>
  <c r="J1391" i="65"/>
  <c r="B1392" i="65"/>
  <c r="G1392" i="65"/>
  <c r="J1392" i="65"/>
  <c r="B1393" i="65"/>
  <c r="G1393" i="65"/>
  <c r="J1393" i="65"/>
  <c r="B1394" i="65"/>
  <c r="G1394" i="65"/>
  <c r="J1394" i="65"/>
  <c r="B1395" i="65"/>
  <c r="G1395" i="65"/>
  <c r="J1395" i="65"/>
  <c r="B1396" i="65"/>
  <c r="G1396" i="65"/>
  <c r="J1396" i="65"/>
  <c r="B1397" i="65"/>
  <c r="G1397" i="65"/>
  <c r="J1397" i="65"/>
  <c r="B1398" i="65"/>
  <c r="G1398" i="65"/>
  <c r="J1398" i="65"/>
  <c r="B1399" i="65"/>
  <c r="G1399" i="65"/>
  <c r="J1399" i="65"/>
  <c r="B1400" i="65"/>
  <c r="G1400" i="65"/>
  <c r="J1400" i="65"/>
  <c r="B1401" i="65"/>
  <c r="G1401" i="65"/>
  <c r="J1401" i="65"/>
  <c r="B1402" i="65"/>
  <c r="G1402" i="65"/>
  <c r="J1402" i="65"/>
  <c r="B1403" i="65"/>
  <c r="G1403" i="65"/>
  <c r="J1403" i="65"/>
  <c r="B1404" i="65"/>
  <c r="G1404" i="65"/>
  <c r="J1404" i="65"/>
  <c r="B1405" i="65"/>
  <c r="G1405" i="65"/>
  <c r="J1405" i="65"/>
  <c r="B1406" i="65"/>
  <c r="G1406" i="65"/>
  <c r="J1406" i="65"/>
  <c r="B1407" i="65"/>
  <c r="G1407" i="65"/>
  <c r="J1407" i="65"/>
  <c r="B1408" i="65"/>
  <c r="G1408" i="65"/>
  <c r="J1408" i="65"/>
  <c r="B1409" i="65"/>
  <c r="G1409" i="65"/>
  <c r="J1409" i="65"/>
  <c r="B1410" i="65"/>
  <c r="G1410" i="65"/>
  <c r="J1410" i="65"/>
  <c r="B1411" i="65"/>
  <c r="G1411" i="65"/>
  <c r="J1411" i="65"/>
  <c r="B1412" i="65"/>
  <c r="G1412" i="65"/>
  <c r="J1412" i="65"/>
  <c r="B1413" i="65"/>
  <c r="G1413" i="65"/>
  <c r="J1413" i="65"/>
  <c r="B1414" i="65"/>
  <c r="G1414" i="65"/>
  <c r="J1414" i="65"/>
  <c r="B1415" i="65"/>
  <c r="G1415" i="65"/>
  <c r="J1415" i="65"/>
  <c r="B1416" i="65"/>
  <c r="G1416" i="65"/>
  <c r="J1416" i="65"/>
  <c r="B1417" i="65"/>
  <c r="G1417" i="65"/>
  <c r="J1417" i="65"/>
  <c r="B1418" i="65"/>
  <c r="G1418" i="65"/>
  <c r="J1418" i="65"/>
  <c r="B1419" i="65"/>
  <c r="G1419" i="65"/>
  <c r="J1419" i="65"/>
  <c r="B1420" i="65"/>
  <c r="G1420" i="65"/>
  <c r="J1420" i="65"/>
  <c r="B1421" i="65"/>
  <c r="G1421" i="65"/>
  <c r="J1421" i="65"/>
  <c r="B1422" i="65"/>
  <c r="G1422" i="65"/>
  <c r="J1422" i="65"/>
  <c r="B1423" i="65"/>
  <c r="G1423" i="65"/>
  <c r="J1423" i="65"/>
  <c r="B1424" i="65"/>
  <c r="G1424" i="65"/>
  <c r="J1424" i="65"/>
  <c r="B1425" i="65"/>
  <c r="G1425" i="65"/>
  <c r="J1425" i="65"/>
  <c r="B1426" i="65"/>
  <c r="G1426" i="65"/>
  <c r="J1426" i="65"/>
  <c r="B1427" i="65"/>
  <c r="G1427" i="65"/>
  <c r="J1427" i="65"/>
  <c r="B1428" i="65"/>
  <c r="G1428" i="65"/>
  <c r="J1428" i="65"/>
  <c r="B1429" i="65"/>
  <c r="G1429" i="65"/>
  <c r="J1429" i="65"/>
  <c r="B1430" i="65"/>
  <c r="G1430" i="65"/>
  <c r="J1430" i="65"/>
  <c r="B1431" i="65"/>
  <c r="G1431" i="65"/>
  <c r="J1431" i="65"/>
  <c r="B1432" i="65"/>
  <c r="G1432" i="65"/>
  <c r="J1432" i="65"/>
  <c r="B1433" i="65"/>
  <c r="G1433" i="65"/>
  <c r="J1433" i="65"/>
  <c r="B1434" i="65"/>
  <c r="G1434" i="65"/>
  <c r="J1434" i="65"/>
  <c r="B1435" i="65"/>
  <c r="G1435" i="65"/>
  <c r="J1435" i="65"/>
  <c r="B1436" i="65"/>
  <c r="G1436" i="65"/>
  <c r="J1436" i="65"/>
  <c r="B1437" i="65"/>
  <c r="G1437" i="65"/>
  <c r="J1437" i="65"/>
  <c r="B1438" i="65"/>
  <c r="G1438" i="65"/>
  <c r="J1438" i="65"/>
  <c r="B1439" i="65"/>
  <c r="G1439" i="65"/>
  <c r="J1439" i="65"/>
  <c r="B1440" i="65"/>
  <c r="G1440" i="65"/>
  <c r="J1440" i="65"/>
  <c r="B1441" i="65"/>
  <c r="G1441" i="65"/>
  <c r="J1441" i="65"/>
  <c r="B1442" i="65"/>
  <c r="G1442" i="65"/>
  <c r="J1442" i="65"/>
  <c r="B1443" i="65"/>
  <c r="G1443" i="65"/>
  <c r="J1443" i="65"/>
  <c r="B1444" i="65"/>
  <c r="G1444" i="65"/>
  <c r="J1444" i="65"/>
  <c r="B1445" i="65"/>
  <c r="G1445" i="65"/>
  <c r="J1445" i="65"/>
  <c r="B1446" i="65"/>
  <c r="G1446" i="65"/>
  <c r="J1446" i="65"/>
  <c r="B1447" i="65"/>
  <c r="G1447" i="65"/>
  <c r="J1447" i="65"/>
  <c r="B1448" i="65"/>
  <c r="G1448" i="65"/>
  <c r="J1448" i="65"/>
  <c r="B1449" i="65"/>
  <c r="G1449" i="65"/>
  <c r="J1449" i="65"/>
  <c r="B1450" i="65"/>
  <c r="G1450" i="65"/>
  <c r="J1450" i="65"/>
  <c r="B1451" i="65"/>
  <c r="G1451" i="65"/>
  <c r="J1451" i="65"/>
  <c r="B1452" i="65"/>
  <c r="G1452" i="65"/>
  <c r="J1452" i="65"/>
  <c r="B1453" i="65"/>
  <c r="G1453" i="65"/>
  <c r="J1453" i="65"/>
  <c r="B1454" i="65"/>
  <c r="G1454" i="65"/>
  <c r="J1454" i="65"/>
  <c r="B1455" i="65"/>
  <c r="G1455" i="65"/>
  <c r="J1455" i="65"/>
  <c r="B1456" i="65"/>
  <c r="G1456" i="65"/>
  <c r="J1456" i="65"/>
  <c r="B1457" i="65"/>
  <c r="G1457" i="65"/>
  <c r="J1457" i="65"/>
  <c r="B1458" i="65"/>
  <c r="G1458" i="65"/>
  <c r="J1458" i="65"/>
  <c r="B1459" i="65"/>
  <c r="G1459" i="65"/>
  <c r="J1459" i="65"/>
  <c r="B1460" i="65"/>
  <c r="G1460" i="65"/>
  <c r="J1460" i="65"/>
  <c r="B1461" i="65"/>
  <c r="G1461" i="65"/>
  <c r="J1461" i="65"/>
  <c r="B1462" i="65"/>
  <c r="G1462" i="65"/>
  <c r="J1462" i="65"/>
  <c r="B1463" i="65"/>
  <c r="G1463" i="65"/>
  <c r="J1463" i="65"/>
  <c r="B1464" i="65"/>
  <c r="G1464" i="65"/>
  <c r="J1464" i="65"/>
  <c r="B1465" i="65"/>
  <c r="G1465" i="65"/>
  <c r="J1465" i="65"/>
  <c r="B1466" i="65"/>
  <c r="G1466" i="65"/>
  <c r="J1466" i="65"/>
  <c r="B1467" i="65"/>
  <c r="G1467" i="65"/>
  <c r="J1467" i="65"/>
  <c r="B1468" i="65"/>
  <c r="G1468" i="65"/>
  <c r="J1468" i="65"/>
  <c r="B1469" i="65"/>
  <c r="G1469" i="65"/>
  <c r="J1469" i="65"/>
  <c r="B1470" i="65"/>
  <c r="G1470" i="65"/>
  <c r="J1470" i="65"/>
  <c r="B1471" i="65"/>
  <c r="G1471" i="65"/>
  <c r="J1471" i="65"/>
  <c r="B1472" i="65"/>
  <c r="G1472" i="65"/>
  <c r="J1472" i="65"/>
  <c r="B1473" i="65"/>
  <c r="G1473" i="65"/>
  <c r="J1473" i="65"/>
  <c r="B1474" i="65"/>
  <c r="G1474" i="65"/>
  <c r="J1474" i="65"/>
  <c r="B1475" i="65"/>
  <c r="G1475" i="65"/>
  <c r="J1475" i="65"/>
  <c r="B1476" i="65"/>
  <c r="G1476" i="65"/>
  <c r="J1476" i="65"/>
  <c r="B1477" i="65"/>
  <c r="G1477" i="65"/>
  <c r="J1477" i="65"/>
  <c r="B1478" i="65"/>
  <c r="G1478" i="65"/>
  <c r="J1478" i="65"/>
  <c r="B1479" i="65"/>
  <c r="G1479" i="65"/>
  <c r="J1479" i="65"/>
  <c r="B1480" i="65"/>
  <c r="G1480" i="65"/>
  <c r="J1480" i="65"/>
  <c r="B1481" i="65"/>
  <c r="G1481" i="65"/>
  <c r="J1481" i="65"/>
  <c r="B1482" i="65"/>
  <c r="G1482" i="65"/>
  <c r="J1482" i="65"/>
  <c r="B1483" i="65"/>
  <c r="G1483" i="65"/>
  <c r="J1483" i="65"/>
  <c r="B1484" i="65"/>
  <c r="G1484" i="65"/>
  <c r="J1484" i="65"/>
  <c r="B1485" i="65"/>
  <c r="G1485" i="65"/>
  <c r="J1485" i="65"/>
  <c r="B1486" i="65"/>
  <c r="G1486" i="65"/>
  <c r="J1486" i="65"/>
  <c r="B1487" i="65"/>
  <c r="G1487" i="65"/>
  <c r="J1487" i="65"/>
  <c r="B1488" i="65"/>
  <c r="G1488" i="65"/>
  <c r="J1488" i="65"/>
  <c r="B1489" i="65"/>
  <c r="G1489" i="65"/>
  <c r="J1489" i="65"/>
  <c r="B1490" i="65"/>
  <c r="G1490" i="65"/>
  <c r="J1490" i="65"/>
  <c r="B1491" i="65"/>
  <c r="G1491" i="65"/>
  <c r="J1491" i="65"/>
  <c r="B1492" i="65"/>
  <c r="G1492" i="65"/>
  <c r="J1492" i="65"/>
  <c r="B1493" i="65"/>
  <c r="G1493" i="65"/>
  <c r="J1493" i="65"/>
  <c r="B1494" i="65"/>
  <c r="G1494" i="65"/>
  <c r="J1494" i="65"/>
  <c r="B1495" i="65"/>
  <c r="G1495" i="65"/>
  <c r="J1495" i="65"/>
  <c r="B1496" i="65"/>
  <c r="G1496" i="65"/>
  <c r="J1496" i="65"/>
  <c r="B1497" i="65"/>
  <c r="G1497" i="65"/>
  <c r="J1497" i="65"/>
  <c r="B1498" i="65"/>
  <c r="G1498" i="65"/>
  <c r="J1498" i="65"/>
  <c r="B1499" i="65"/>
  <c r="G1499" i="65"/>
  <c r="J1499" i="65"/>
  <c r="B1500" i="65"/>
  <c r="G1500" i="65"/>
  <c r="J1500" i="65"/>
  <c r="B1501" i="65"/>
  <c r="G1501" i="65"/>
  <c r="J1501" i="65"/>
  <c r="B1502" i="65"/>
  <c r="G1502" i="65"/>
  <c r="J1502" i="65"/>
  <c r="B1503" i="65"/>
  <c r="G1503" i="65"/>
  <c r="J1503" i="65"/>
  <c r="B1504" i="65"/>
  <c r="G1504" i="65"/>
  <c r="J1504" i="65"/>
  <c r="B1505" i="65"/>
  <c r="G1505" i="65"/>
  <c r="J1505" i="65"/>
  <c r="B1506" i="65"/>
  <c r="G1506" i="65"/>
  <c r="J1506" i="65"/>
  <c r="B1507" i="65"/>
  <c r="G1507" i="65"/>
  <c r="J1507" i="65"/>
  <c r="B1508" i="65"/>
  <c r="G1508" i="65"/>
  <c r="J1508" i="65"/>
  <c r="B1509" i="65"/>
  <c r="G1509" i="65"/>
  <c r="J1509" i="65"/>
  <c r="B1510" i="65"/>
  <c r="G1510" i="65"/>
  <c r="J1510" i="65"/>
  <c r="B1511" i="65"/>
  <c r="G1511" i="65"/>
  <c r="J1511" i="65"/>
  <c r="B1512" i="65"/>
  <c r="G1512" i="65"/>
  <c r="J1512" i="65"/>
  <c r="B1513" i="65"/>
  <c r="G1513" i="65"/>
  <c r="J1513" i="65"/>
  <c r="B1514" i="65"/>
  <c r="G1514" i="65"/>
  <c r="J1514" i="65"/>
  <c r="B1515" i="65"/>
  <c r="G1515" i="65"/>
  <c r="J1515" i="65"/>
  <c r="B1516" i="65"/>
  <c r="G1516" i="65"/>
  <c r="J1516" i="65"/>
  <c r="B1517" i="65"/>
  <c r="G1517" i="65"/>
  <c r="J1517" i="65"/>
  <c r="B1518" i="65"/>
  <c r="G1518" i="65"/>
  <c r="J1518" i="65"/>
  <c r="B1519" i="65"/>
  <c r="G1519" i="65"/>
  <c r="J1519" i="65"/>
  <c r="B1520" i="65"/>
  <c r="G1520" i="65"/>
  <c r="J1520" i="65"/>
  <c r="B1521" i="65"/>
  <c r="G1521" i="65"/>
  <c r="J1521" i="65"/>
  <c r="B1522" i="65"/>
  <c r="G1522" i="65"/>
  <c r="J1522" i="65"/>
  <c r="B1523" i="65"/>
  <c r="G1523" i="65"/>
  <c r="J1523" i="65"/>
  <c r="B1524" i="65"/>
  <c r="G1524" i="65"/>
  <c r="J1524" i="65"/>
  <c r="B1525" i="65"/>
  <c r="G1525" i="65"/>
  <c r="J1525" i="65"/>
  <c r="B1526" i="65"/>
  <c r="G1526" i="65"/>
  <c r="J1526" i="65"/>
  <c r="B1527" i="65"/>
  <c r="G1527" i="65"/>
  <c r="J1527" i="65"/>
  <c r="B1528" i="65"/>
  <c r="G1528" i="65"/>
  <c r="J1528" i="65"/>
  <c r="B1529" i="65"/>
  <c r="G1529" i="65"/>
  <c r="J1529" i="65"/>
  <c r="B1530" i="65"/>
  <c r="G1530" i="65"/>
  <c r="J1530" i="65"/>
  <c r="B1531" i="65"/>
  <c r="G1531" i="65"/>
  <c r="J1531" i="65"/>
  <c r="B1532" i="65"/>
  <c r="G1532" i="65"/>
  <c r="J1532" i="65"/>
  <c r="B1533" i="65"/>
  <c r="G1533" i="65"/>
  <c r="J1533" i="65"/>
  <c r="B1534" i="65"/>
  <c r="G1534" i="65"/>
  <c r="J1534" i="65"/>
  <c r="B1535" i="65"/>
  <c r="G1535" i="65"/>
  <c r="J1535" i="65"/>
  <c r="B1536" i="65"/>
  <c r="G1536" i="65"/>
  <c r="J1536" i="65"/>
  <c r="B1537" i="65"/>
  <c r="G1537" i="65"/>
  <c r="J1537" i="65"/>
  <c r="B1538" i="65"/>
  <c r="G1538" i="65"/>
  <c r="J1538" i="65"/>
  <c r="B1539" i="65"/>
  <c r="G1539" i="65"/>
  <c r="J1539" i="65"/>
  <c r="B1540" i="65"/>
  <c r="G1540" i="65"/>
  <c r="J1540" i="65"/>
  <c r="B1541" i="65"/>
  <c r="G1541" i="65"/>
  <c r="J1541" i="65"/>
  <c r="B1542" i="65"/>
  <c r="G1542" i="65"/>
  <c r="J1542" i="65"/>
  <c r="B1543" i="65"/>
  <c r="G1543" i="65"/>
  <c r="J1543" i="65"/>
  <c r="B1544" i="65"/>
  <c r="G1544" i="65"/>
  <c r="J1544" i="65"/>
  <c r="B1545" i="65"/>
  <c r="G1545" i="65"/>
  <c r="J1545" i="65"/>
  <c r="B1546" i="65"/>
  <c r="G1546" i="65"/>
  <c r="J1546" i="65"/>
  <c r="B1547" i="65"/>
  <c r="G1547" i="65"/>
  <c r="J1547" i="65"/>
  <c r="B1548" i="65"/>
  <c r="G1548" i="65"/>
  <c r="J1548" i="65"/>
  <c r="B1549" i="65"/>
  <c r="G1549" i="65"/>
  <c r="J1549" i="65"/>
  <c r="B1550" i="65"/>
  <c r="G1550" i="65"/>
  <c r="J1550" i="65"/>
  <c r="B1551" i="65"/>
  <c r="G1551" i="65"/>
  <c r="J1551" i="65"/>
  <c r="B1552" i="65"/>
  <c r="G1552" i="65"/>
  <c r="J1552" i="65"/>
  <c r="B1553" i="65"/>
  <c r="G1553" i="65"/>
  <c r="J1553" i="65"/>
  <c r="B1554" i="65"/>
  <c r="G1554" i="65"/>
  <c r="J1554" i="65"/>
  <c r="B1555" i="65"/>
  <c r="G1555" i="65"/>
  <c r="J1555" i="65"/>
  <c r="B1556" i="65"/>
  <c r="G1556" i="65"/>
  <c r="J1556" i="65"/>
  <c r="B1557" i="65"/>
  <c r="G1557" i="65"/>
  <c r="J1557" i="65"/>
  <c r="B1558" i="65"/>
  <c r="G1558" i="65"/>
  <c r="J1558" i="65"/>
  <c r="B1559" i="65"/>
  <c r="G1559" i="65"/>
  <c r="J1559" i="65"/>
  <c r="B1560" i="65"/>
  <c r="G1560" i="65"/>
  <c r="J1560" i="65"/>
  <c r="B1561" i="65"/>
  <c r="G1561" i="65"/>
  <c r="J1561" i="65"/>
  <c r="B1562" i="65"/>
  <c r="G1562" i="65"/>
  <c r="J1562" i="65"/>
  <c r="B1563" i="65"/>
  <c r="G1563" i="65"/>
  <c r="J1563" i="65"/>
  <c r="B1564" i="65"/>
  <c r="G1564" i="65"/>
  <c r="J1564" i="65"/>
  <c r="B1565" i="65"/>
  <c r="G1565" i="65"/>
  <c r="J1565" i="65"/>
  <c r="B1566" i="65"/>
  <c r="G1566" i="65"/>
  <c r="J1566" i="65"/>
  <c r="B1567" i="65"/>
  <c r="G1567" i="65"/>
  <c r="J1567" i="65"/>
  <c r="B1568" i="65"/>
  <c r="G1568" i="65"/>
  <c r="J1568" i="65"/>
  <c r="B1569" i="65"/>
  <c r="G1569" i="65"/>
  <c r="J1569" i="65"/>
  <c r="B1570" i="65"/>
  <c r="G1570" i="65"/>
  <c r="J1570" i="65"/>
  <c r="B1571" i="65"/>
  <c r="G1571" i="65"/>
  <c r="J1571" i="65"/>
  <c r="B1572" i="65"/>
  <c r="G1572" i="65"/>
  <c r="J1572" i="65"/>
  <c r="B1573" i="65"/>
  <c r="G1573" i="65"/>
  <c r="J1573" i="65"/>
  <c r="B1574" i="65"/>
  <c r="G1574" i="65"/>
  <c r="J1574" i="65"/>
  <c r="B1575" i="65"/>
  <c r="G1575" i="65"/>
  <c r="J1575" i="65"/>
  <c r="B1576" i="65"/>
  <c r="G1576" i="65"/>
  <c r="J1576" i="65"/>
  <c r="B1577" i="65"/>
  <c r="G1577" i="65"/>
  <c r="J1577" i="65"/>
  <c r="B1578" i="65"/>
  <c r="G1578" i="65"/>
  <c r="J1578" i="65"/>
  <c r="B1579" i="65"/>
  <c r="G1579" i="65"/>
  <c r="J1579" i="65"/>
  <c r="B1580" i="65"/>
  <c r="G1580" i="65"/>
  <c r="J1580" i="65"/>
  <c r="B1581" i="65"/>
  <c r="G1581" i="65"/>
  <c r="J1581" i="65"/>
  <c r="B1582" i="65"/>
  <c r="G1582" i="65"/>
  <c r="J1582" i="65"/>
  <c r="B1583" i="65"/>
  <c r="G1583" i="65"/>
  <c r="J1583" i="65"/>
  <c r="B1584" i="65"/>
  <c r="G1584" i="65"/>
  <c r="J1584" i="65"/>
  <c r="B1585" i="65"/>
  <c r="G1585" i="65"/>
  <c r="J1585" i="65"/>
  <c r="B1586" i="65"/>
  <c r="G1586" i="65"/>
  <c r="J1586" i="65"/>
  <c r="B1587" i="65"/>
  <c r="G1587" i="65"/>
  <c r="J1587" i="65"/>
  <c r="B1588" i="65"/>
  <c r="G1588" i="65"/>
  <c r="J1588" i="65"/>
  <c r="B1589" i="65"/>
  <c r="G1589" i="65"/>
  <c r="J1589" i="65"/>
  <c r="B1590" i="65"/>
  <c r="G1590" i="65"/>
  <c r="J1590" i="65"/>
  <c r="B1591" i="65"/>
  <c r="G1591" i="65"/>
  <c r="J1591" i="65"/>
  <c r="B1592" i="65"/>
  <c r="G1592" i="65"/>
  <c r="J1592" i="65"/>
  <c r="B1593" i="65"/>
  <c r="G1593" i="65"/>
  <c r="J1593" i="65"/>
  <c r="B1594" i="65"/>
  <c r="G1594" i="65"/>
  <c r="J1594" i="65"/>
  <c r="B1595" i="65"/>
  <c r="G1595" i="65"/>
  <c r="J1595" i="65"/>
  <c r="B1596" i="65"/>
  <c r="G1596" i="65"/>
  <c r="J1596" i="65"/>
  <c r="B1597" i="65"/>
  <c r="G1597" i="65"/>
  <c r="J1597" i="65"/>
  <c r="B1598" i="65"/>
  <c r="G1598" i="65"/>
  <c r="J1598" i="65"/>
  <c r="B1599" i="65"/>
  <c r="G1599" i="65"/>
  <c r="J1599" i="65"/>
  <c r="B1600" i="65"/>
  <c r="G1600" i="65"/>
  <c r="J1600" i="65"/>
  <c r="B1601" i="65"/>
  <c r="G1601" i="65"/>
  <c r="J1601" i="65"/>
  <c r="B1602" i="65"/>
  <c r="G1602" i="65"/>
  <c r="J1602" i="65"/>
  <c r="B1603" i="65"/>
  <c r="G1603" i="65"/>
  <c r="J1603" i="65"/>
  <c r="B1604" i="65"/>
  <c r="G1604" i="65"/>
  <c r="J1604" i="65"/>
  <c r="B1605" i="65"/>
  <c r="G1605" i="65"/>
  <c r="J1605" i="65"/>
  <c r="B1606" i="65"/>
  <c r="G1606" i="65"/>
  <c r="J1606" i="65"/>
  <c r="B1607" i="65"/>
  <c r="G1607" i="65"/>
  <c r="J1607" i="65"/>
  <c r="B1608" i="65"/>
  <c r="G1608" i="65"/>
  <c r="J1608" i="65"/>
  <c r="B1609" i="65"/>
  <c r="G1609" i="65"/>
  <c r="J1609" i="65"/>
  <c r="B1610" i="65"/>
  <c r="G1610" i="65"/>
  <c r="J1610" i="65"/>
  <c r="B1611" i="65"/>
  <c r="G1611" i="65"/>
  <c r="J1611" i="65"/>
  <c r="B1612" i="65"/>
  <c r="G1612" i="65"/>
  <c r="J1612" i="65"/>
  <c r="B1613" i="65"/>
  <c r="G1613" i="65"/>
  <c r="J1613" i="65"/>
  <c r="B1614" i="65"/>
  <c r="G1614" i="65"/>
  <c r="J1614" i="65"/>
  <c r="B1615" i="65"/>
  <c r="G1615" i="65"/>
  <c r="J1615" i="65"/>
  <c r="B1616" i="65"/>
  <c r="G1616" i="65"/>
  <c r="J1616" i="65"/>
  <c r="B1617" i="65"/>
  <c r="G1617" i="65"/>
  <c r="J1617" i="65"/>
  <c r="B1618" i="65"/>
  <c r="G1618" i="65"/>
  <c r="J1618" i="65"/>
  <c r="B1619" i="65"/>
  <c r="G1619" i="65"/>
  <c r="J1619" i="65"/>
  <c r="B1620" i="65"/>
  <c r="G1620" i="65"/>
  <c r="J1620" i="65"/>
  <c r="B1621" i="65"/>
  <c r="G1621" i="65"/>
  <c r="J1621" i="65"/>
  <c r="B1622" i="65"/>
  <c r="G1622" i="65"/>
  <c r="J1622" i="65"/>
  <c r="B1623" i="65"/>
  <c r="G1623" i="65"/>
  <c r="J1623" i="65"/>
  <c r="B1624" i="65"/>
  <c r="G1624" i="65"/>
  <c r="J1624" i="65"/>
  <c r="B1625" i="65"/>
  <c r="G1625" i="65"/>
  <c r="J1625" i="65"/>
  <c r="B1626" i="65"/>
  <c r="G1626" i="65"/>
  <c r="J1626" i="65"/>
  <c r="B1627" i="65"/>
  <c r="G1627" i="65"/>
  <c r="J1627" i="65"/>
  <c r="B1628" i="65"/>
  <c r="G1628" i="65"/>
  <c r="J1628" i="65"/>
  <c r="B1629" i="65"/>
  <c r="G1629" i="65"/>
  <c r="J1629" i="65"/>
  <c r="B1630" i="65"/>
  <c r="G1630" i="65"/>
  <c r="J1630" i="65"/>
  <c r="B1631" i="65"/>
  <c r="G1631" i="65"/>
  <c r="J1631" i="65"/>
  <c r="B1632" i="65"/>
  <c r="G1632" i="65"/>
  <c r="J1632" i="65"/>
  <c r="B1633" i="65"/>
  <c r="G1633" i="65"/>
  <c r="J1633" i="65"/>
  <c r="B1634" i="65"/>
  <c r="G1634" i="65"/>
  <c r="J1634" i="65"/>
  <c r="B1635" i="65"/>
  <c r="G1635" i="65"/>
  <c r="J1635" i="65"/>
  <c r="B1636" i="65"/>
  <c r="G1636" i="65"/>
  <c r="J1636" i="65"/>
  <c r="B1637" i="65"/>
  <c r="G1637" i="65"/>
  <c r="J1637" i="65"/>
  <c r="B1638" i="65"/>
  <c r="G1638" i="65"/>
  <c r="J1638" i="65"/>
  <c r="B1639" i="65"/>
  <c r="G1639" i="65"/>
  <c r="J1639" i="65"/>
  <c r="B1640" i="65"/>
  <c r="G1640" i="65"/>
  <c r="J1640" i="65"/>
  <c r="B1641" i="65"/>
  <c r="G1641" i="65"/>
  <c r="J1641" i="65"/>
  <c r="B1642" i="65"/>
  <c r="G1642" i="65"/>
  <c r="J1642" i="65"/>
  <c r="B1643" i="65"/>
  <c r="G1643" i="65"/>
  <c r="J1643" i="65"/>
  <c r="B1644" i="65"/>
  <c r="G1644" i="65"/>
  <c r="J1644" i="65"/>
  <c r="B1645" i="65"/>
  <c r="G1645" i="65"/>
  <c r="J1645" i="65"/>
  <c r="B1646" i="65"/>
  <c r="G1646" i="65"/>
  <c r="J1646" i="65"/>
  <c r="B1647" i="65"/>
  <c r="G1647" i="65"/>
  <c r="J1647" i="65"/>
  <c r="B1648" i="65"/>
  <c r="G1648" i="65"/>
  <c r="J1648" i="65"/>
  <c r="B1649" i="65"/>
  <c r="G1649" i="65"/>
  <c r="J1649" i="65"/>
  <c r="B1650" i="65"/>
  <c r="G1650" i="65"/>
  <c r="J1650" i="65"/>
  <c r="B1651" i="65"/>
  <c r="G1651" i="65"/>
  <c r="J1651" i="65"/>
  <c r="B1652" i="65"/>
  <c r="G1652" i="65"/>
  <c r="J1652" i="65"/>
  <c r="B1653" i="65"/>
  <c r="G1653" i="65"/>
  <c r="J1653" i="65"/>
  <c r="B1654" i="65"/>
  <c r="G1654" i="65"/>
  <c r="J1654" i="65"/>
  <c r="B1655" i="65"/>
  <c r="G1655" i="65"/>
  <c r="J1655" i="65"/>
  <c r="B1656" i="65"/>
  <c r="G1656" i="65"/>
  <c r="J1656" i="65"/>
  <c r="B1657" i="65"/>
  <c r="G1657" i="65"/>
  <c r="J1657" i="65"/>
  <c r="B1658" i="65"/>
  <c r="G1658" i="65"/>
  <c r="J1658" i="65"/>
  <c r="B1659" i="65"/>
  <c r="G1659" i="65"/>
  <c r="J1659" i="65"/>
  <c r="B1660" i="65"/>
  <c r="G1660" i="65"/>
  <c r="J1660" i="65"/>
  <c r="B1661" i="65"/>
  <c r="G1661" i="65"/>
  <c r="J1661" i="65"/>
  <c r="B1662" i="65"/>
  <c r="G1662" i="65"/>
  <c r="J1662" i="65"/>
  <c r="B1663" i="65"/>
  <c r="G1663" i="65"/>
  <c r="J1663" i="65"/>
  <c r="B1664" i="65"/>
  <c r="G1664" i="65"/>
  <c r="J1664" i="65"/>
  <c r="B1665" i="65"/>
  <c r="G1665" i="65"/>
  <c r="J1665" i="65"/>
  <c r="B1666" i="65"/>
  <c r="G1666" i="65"/>
  <c r="J1666" i="65"/>
  <c r="B1667" i="65"/>
  <c r="G1667" i="65"/>
  <c r="J1667" i="65"/>
  <c r="B1668" i="65"/>
  <c r="G1668" i="65"/>
  <c r="J1668" i="65"/>
  <c r="B1669" i="65"/>
  <c r="G1669" i="65"/>
  <c r="J1669" i="65"/>
  <c r="B1670" i="65"/>
  <c r="G1670" i="65"/>
  <c r="J1670" i="65"/>
  <c r="B1671" i="65"/>
  <c r="G1671" i="65"/>
  <c r="J1671" i="65"/>
  <c r="B1672" i="65"/>
  <c r="G1672" i="65"/>
  <c r="J1672" i="65"/>
  <c r="B1673" i="65"/>
  <c r="G1673" i="65"/>
  <c r="J1673" i="65"/>
  <c r="B1674" i="65"/>
  <c r="G1674" i="65"/>
  <c r="J1674" i="65"/>
  <c r="B1675" i="65"/>
  <c r="G1675" i="65"/>
  <c r="J1675" i="65"/>
  <c r="B1676" i="65"/>
  <c r="G1676" i="65"/>
  <c r="J1676" i="65"/>
  <c r="B1677" i="65"/>
  <c r="G1677" i="65"/>
  <c r="J1677" i="65"/>
  <c r="B1678" i="65"/>
  <c r="G1678" i="65"/>
  <c r="J1678" i="65"/>
  <c r="B1679" i="65"/>
  <c r="G1679" i="65"/>
  <c r="J1679" i="65"/>
  <c r="B1680" i="65"/>
  <c r="G1680" i="65"/>
  <c r="J1680" i="65"/>
  <c r="B1681" i="65"/>
  <c r="G1681" i="65"/>
  <c r="J1681" i="65"/>
  <c r="B1682" i="65"/>
  <c r="G1682" i="65"/>
  <c r="J1682" i="65"/>
  <c r="B1683" i="65"/>
  <c r="G1683" i="65"/>
  <c r="J1683" i="65"/>
  <c r="B1684" i="65"/>
  <c r="G1684" i="65"/>
  <c r="J1684" i="65"/>
  <c r="B1685" i="65"/>
  <c r="G1685" i="65"/>
  <c r="J1685" i="65"/>
  <c r="B1686" i="65"/>
  <c r="G1686" i="65"/>
  <c r="J1686" i="65"/>
  <c r="B1687" i="65"/>
  <c r="G1687" i="65"/>
  <c r="J1687" i="65"/>
  <c r="B1688" i="65"/>
  <c r="G1688" i="65"/>
  <c r="J1688" i="65"/>
  <c r="B1689" i="65"/>
  <c r="G1689" i="65"/>
  <c r="J1689" i="65"/>
  <c r="B1690" i="65"/>
  <c r="G1690" i="65"/>
  <c r="J1690" i="65"/>
  <c r="B1691" i="65"/>
  <c r="G1691" i="65"/>
  <c r="J1691" i="65"/>
  <c r="B1692" i="65"/>
  <c r="G1692" i="65"/>
  <c r="J1692" i="65"/>
  <c r="B1693" i="65"/>
  <c r="G1693" i="65"/>
  <c r="J1693" i="65"/>
  <c r="B1694" i="65"/>
  <c r="G1694" i="65"/>
  <c r="J1694" i="65"/>
  <c r="B1695" i="65"/>
  <c r="G1695" i="65"/>
  <c r="J1695" i="65"/>
  <c r="B1696" i="65"/>
  <c r="G1696" i="65"/>
  <c r="J1696" i="65"/>
  <c r="B1697" i="65"/>
  <c r="G1697" i="65"/>
  <c r="J1697" i="65"/>
  <c r="B1698" i="65"/>
  <c r="G1698" i="65"/>
  <c r="J1698" i="65"/>
  <c r="B1699" i="65"/>
  <c r="G1699" i="65"/>
  <c r="J1699" i="65"/>
  <c r="B1700" i="65"/>
  <c r="G1700" i="65"/>
  <c r="J1700" i="65"/>
  <c r="B1701" i="65"/>
  <c r="G1701" i="65"/>
  <c r="J1701" i="65"/>
  <c r="B1702" i="65"/>
  <c r="G1702" i="65"/>
  <c r="J1702" i="65"/>
  <c r="B1703" i="65"/>
  <c r="G1703" i="65"/>
  <c r="J1703" i="65"/>
  <c r="B1704" i="65"/>
  <c r="G1704" i="65"/>
  <c r="J1704" i="65"/>
  <c r="B1705" i="65"/>
  <c r="G1705" i="65"/>
  <c r="J1705" i="65"/>
  <c r="B1706" i="65"/>
  <c r="G1706" i="65"/>
  <c r="J1706" i="65"/>
  <c r="B1707" i="65"/>
  <c r="G1707" i="65"/>
  <c r="J1707" i="65"/>
  <c r="B1708" i="65"/>
  <c r="G1708" i="65"/>
  <c r="J1708" i="65"/>
  <c r="B1709" i="65"/>
  <c r="G1709" i="65"/>
  <c r="J1709" i="65"/>
  <c r="B1710" i="65"/>
  <c r="G1710" i="65"/>
  <c r="J1710" i="65"/>
  <c r="B1711" i="65"/>
  <c r="G1711" i="65"/>
  <c r="J1711" i="65"/>
  <c r="B1712" i="65"/>
  <c r="G1712" i="65"/>
  <c r="J1712" i="65"/>
  <c r="B1713" i="65"/>
  <c r="G1713" i="65"/>
  <c r="J1713" i="65"/>
  <c r="B1714" i="65"/>
  <c r="G1714" i="65"/>
  <c r="J1714" i="65"/>
  <c r="B1715" i="65"/>
  <c r="G1715" i="65"/>
  <c r="J1715" i="65"/>
  <c r="B1716" i="65"/>
  <c r="G1716" i="65"/>
  <c r="J1716" i="65"/>
  <c r="B1717" i="65"/>
  <c r="G1717" i="65"/>
  <c r="J1717" i="65"/>
  <c r="B1718" i="65"/>
  <c r="G1718" i="65"/>
  <c r="J1718" i="65"/>
  <c r="B1719" i="65"/>
  <c r="G1719" i="65"/>
  <c r="J1719" i="65"/>
  <c r="B1720" i="65"/>
  <c r="G1720" i="65"/>
  <c r="J1720" i="65"/>
  <c r="B1721" i="65"/>
  <c r="G1721" i="65"/>
  <c r="J1721" i="65"/>
  <c r="B1722" i="65"/>
  <c r="G1722" i="65"/>
  <c r="J1722" i="65"/>
  <c r="B1723" i="65"/>
  <c r="G1723" i="65"/>
  <c r="J1723" i="65"/>
  <c r="B1724" i="65"/>
  <c r="G1724" i="65"/>
  <c r="J1724" i="65"/>
  <c r="B1725" i="65"/>
  <c r="G1725" i="65"/>
  <c r="J1725" i="65"/>
  <c r="B1726" i="65"/>
  <c r="G1726" i="65"/>
  <c r="J1726" i="65"/>
  <c r="B1727" i="65"/>
  <c r="G1727" i="65"/>
  <c r="J1727" i="65"/>
  <c r="B1728" i="65"/>
  <c r="G1728" i="65"/>
  <c r="J1728" i="65"/>
  <c r="B1729" i="65"/>
  <c r="G1729" i="65"/>
  <c r="J1729" i="65"/>
  <c r="B1730" i="65"/>
  <c r="G1730" i="65"/>
  <c r="J1730" i="65"/>
  <c r="B1731" i="65"/>
  <c r="G1731" i="65"/>
  <c r="J1731" i="65"/>
  <c r="B1732" i="65"/>
  <c r="G1732" i="65"/>
  <c r="J1732" i="65"/>
  <c r="B1733" i="65"/>
  <c r="G1733" i="65"/>
  <c r="J1733" i="65"/>
  <c r="B1734" i="65"/>
  <c r="G1734" i="65"/>
  <c r="J1734" i="65"/>
  <c r="B1735" i="65"/>
  <c r="G1735" i="65"/>
  <c r="J1735" i="65"/>
  <c r="B1736" i="65"/>
  <c r="G1736" i="65"/>
  <c r="J1736" i="65"/>
  <c r="B1737" i="65"/>
  <c r="G1737" i="65"/>
  <c r="J1737" i="65"/>
  <c r="B1738" i="65"/>
  <c r="G1738" i="65"/>
  <c r="J1738" i="65"/>
  <c r="B1739" i="65"/>
  <c r="G1739" i="65"/>
  <c r="J1739" i="65"/>
  <c r="B1740" i="65"/>
  <c r="G1740" i="65"/>
  <c r="J1740" i="65"/>
  <c r="B1741" i="65"/>
  <c r="G1741" i="65"/>
  <c r="J1741" i="65"/>
  <c r="B1742" i="65"/>
  <c r="G1742" i="65"/>
  <c r="J1742" i="65"/>
  <c r="B1743" i="65"/>
  <c r="G1743" i="65"/>
  <c r="J1743" i="65"/>
  <c r="B1744" i="65"/>
  <c r="G1744" i="65"/>
  <c r="J1744" i="65"/>
  <c r="B1745" i="65"/>
  <c r="G1745" i="65"/>
  <c r="J1745" i="65"/>
  <c r="B1746" i="65"/>
  <c r="G1746" i="65"/>
  <c r="J1746" i="65"/>
  <c r="B1747" i="65"/>
  <c r="G1747" i="65"/>
  <c r="J1747" i="65"/>
  <c r="B1748" i="65"/>
  <c r="G1748" i="65"/>
  <c r="J1748" i="65"/>
  <c r="B1749" i="65"/>
  <c r="G1749" i="65"/>
  <c r="J1749" i="65"/>
  <c r="B1750" i="65"/>
  <c r="G1750" i="65"/>
  <c r="J1750" i="65"/>
  <c r="B1751" i="65"/>
  <c r="G1751" i="65"/>
  <c r="J1751" i="65"/>
  <c r="B1752" i="65"/>
  <c r="G1752" i="65"/>
  <c r="J1752" i="65"/>
  <c r="B1753" i="65"/>
  <c r="G1753" i="65"/>
  <c r="J1753" i="65"/>
  <c r="B1754" i="65"/>
  <c r="G1754" i="65"/>
  <c r="J1754" i="65"/>
  <c r="B1755" i="65"/>
  <c r="G1755" i="65"/>
  <c r="J1755" i="65"/>
  <c r="B1756" i="65"/>
  <c r="G1756" i="65"/>
  <c r="J1756" i="65"/>
  <c r="B1757" i="65"/>
  <c r="G1757" i="65"/>
  <c r="J1757" i="65"/>
  <c r="B1758" i="65"/>
  <c r="G1758" i="65"/>
  <c r="J1758" i="65"/>
  <c r="B1759" i="65"/>
  <c r="G1759" i="65"/>
  <c r="J1759" i="65"/>
  <c r="B1760" i="65"/>
  <c r="G1760" i="65"/>
  <c r="J1760" i="65"/>
  <c r="B1761" i="65"/>
  <c r="G1761" i="65"/>
  <c r="J1761" i="65"/>
  <c r="B1762" i="65"/>
  <c r="G1762" i="65"/>
  <c r="J1762" i="65"/>
  <c r="B1763" i="65"/>
  <c r="G1763" i="65"/>
  <c r="J1763" i="65"/>
  <c r="B1764" i="65"/>
  <c r="G1764" i="65"/>
  <c r="J1764" i="65"/>
  <c r="B1765" i="65"/>
  <c r="G1765" i="65"/>
  <c r="J1765" i="65"/>
  <c r="B1766" i="65"/>
  <c r="G1766" i="65"/>
  <c r="J1766" i="65"/>
  <c r="B1767" i="65"/>
  <c r="G1767" i="65"/>
  <c r="J1767" i="65"/>
  <c r="B1768" i="65"/>
  <c r="G1768" i="65"/>
  <c r="J1768" i="65"/>
  <c r="B1769" i="65"/>
  <c r="G1769" i="65"/>
  <c r="J1769" i="65"/>
  <c r="B1770" i="65"/>
  <c r="G1770" i="65"/>
  <c r="J1770" i="65"/>
  <c r="B1771" i="65"/>
  <c r="G1771" i="65"/>
  <c r="J1771" i="65"/>
  <c r="B1772" i="65"/>
  <c r="G1772" i="65"/>
  <c r="J1772" i="65"/>
  <c r="B1773" i="65"/>
  <c r="G1773" i="65"/>
  <c r="J1773" i="65"/>
  <c r="B1774" i="65"/>
  <c r="G1774" i="65"/>
  <c r="J1774" i="65"/>
  <c r="B1775" i="65"/>
  <c r="G1775" i="65"/>
  <c r="J1775" i="65"/>
  <c r="B1776" i="65"/>
  <c r="G1776" i="65"/>
  <c r="J1776" i="65"/>
  <c r="B1777" i="65"/>
  <c r="G1777" i="65"/>
  <c r="J1777" i="65"/>
  <c r="B1778" i="65"/>
  <c r="G1778" i="65"/>
  <c r="J1778" i="65"/>
  <c r="B1779" i="65"/>
  <c r="G1779" i="65"/>
  <c r="J1779" i="65"/>
  <c r="B1780" i="65"/>
  <c r="G1780" i="65"/>
  <c r="J1780" i="65"/>
  <c r="B1781" i="65"/>
  <c r="G1781" i="65"/>
  <c r="J1781" i="65"/>
  <c r="B1782" i="65"/>
  <c r="G1782" i="65"/>
  <c r="J1782" i="65"/>
  <c r="B1783" i="65"/>
  <c r="G1783" i="65"/>
  <c r="J1783" i="65"/>
  <c r="B1784" i="65"/>
  <c r="G1784" i="65"/>
  <c r="J1784" i="65"/>
  <c r="B1785" i="65"/>
  <c r="G1785" i="65"/>
  <c r="J1785" i="65"/>
  <c r="B1786" i="65"/>
  <c r="G1786" i="65"/>
  <c r="J1786" i="65"/>
  <c r="B1787" i="65"/>
  <c r="G1787" i="65"/>
  <c r="J1787" i="65"/>
  <c r="B1788" i="65"/>
  <c r="G1788" i="65"/>
  <c r="J1788" i="65"/>
  <c r="B1789" i="65"/>
  <c r="G1789" i="65"/>
  <c r="J1789" i="65"/>
  <c r="B1790" i="65"/>
  <c r="G1790" i="65"/>
  <c r="J1790" i="65"/>
  <c r="B1791" i="65"/>
  <c r="G1791" i="65"/>
  <c r="J1791" i="65"/>
  <c r="B1792" i="65"/>
  <c r="G1792" i="65"/>
  <c r="J1792" i="65"/>
  <c r="B1793" i="65"/>
  <c r="G1793" i="65"/>
  <c r="J1793" i="65"/>
  <c r="B1794" i="65"/>
  <c r="G1794" i="65"/>
  <c r="J1794" i="65"/>
  <c r="B1795" i="65"/>
  <c r="G1795" i="65"/>
  <c r="J1795" i="65"/>
  <c r="B1796" i="65"/>
  <c r="G1796" i="65"/>
  <c r="J1796" i="65"/>
  <c r="B1797" i="65"/>
  <c r="G1797" i="65"/>
  <c r="J1797" i="65"/>
  <c r="B1798" i="65"/>
  <c r="G1798" i="65"/>
  <c r="J1798" i="65"/>
  <c r="B1799" i="65"/>
  <c r="G1799" i="65"/>
  <c r="J1799" i="65"/>
  <c r="B1800" i="65"/>
  <c r="G1800" i="65"/>
  <c r="J1800" i="65"/>
  <c r="B1801" i="65"/>
  <c r="G1801" i="65"/>
  <c r="J1801" i="65"/>
  <c r="B1802" i="65"/>
  <c r="G1802" i="65"/>
  <c r="J1802" i="65"/>
  <c r="B1803" i="65"/>
  <c r="G1803" i="65"/>
  <c r="J1803" i="65"/>
  <c r="B1804" i="65"/>
  <c r="G1804" i="65"/>
  <c r="J1804" i="65"/>
  <c r="B1805" i="65"/>
  <c r="G1805" i="65"/>
  <c r="J1805" i="65"/>
  <c r="B1806" i="65"/>
  <c r="G1806" i="65"/>
  <c r="J1806" i="65"/>
  <c r="B1807" i="65"/>
  <c r="G1807" i="65"/>
  <c r="J1807" i="65"/>
  <c r="B1808" i="65"/>
  <c r="G1808" i="65"/>
  <c r="J1808" i="65"/>
  <c r="B1809" i="65"/>
  <c r="G1809" i="65"/>
  <c r="J1809" i="65"/>
  <c r="B1810" i="65"/>
  <c r="G1810" i="65"/>
  <c r="J1810" i="65"/>
  <c r="B1811" i="65"/>
  <c r="G1811" i="65"/>
  <c r="J1811" i="65"/>
  <c r="B1812" i="65"/>
  <c r="G1812" i="65"/>
  <c r="J1812" i="65"/>
  <c r="B1813" i="65"/>
  <c r="G1813" i="65"/>
  <c r="J1813" i="65"/>
  <c r="B1814" i="65"/>
  <c r="G1814" i="65"/>
  <c r="J1814" i="65"/>
  <c r="B1815" i="65"/>
  <c r="G1815" i="65"/>
  <c r="J1815" i="65"/>
  <c r="B1816" i="65"/>
  <c r="G1816" i="65"/>
  <c r="J1816" i="65"/>
  <c r="B1817" i="65"/>
  <c r="G1817" i="65"/>
  <c r="J1817" i="65"/>
  <c r="B1818" i="65"/>
  <c r="G1818" i="65"/>
  <c r="J1818" i="65"/>
  <c r="B1819" i="65"/>
  <c r="G1819" i="65"/>
  <c r="J1819" i="65"/>
  <c r="B1820" i="65"/>
  <c r="G1820" i="65"/>
  <c r="J1820" i="65"/>
  <c r="B1821" i="65"/>
  <c r="G1821" i="65"/>
  <c r="J1821" i="65"/>
  <c r="B1822" i="65"/>
  <c r="G1822" i="65"/>
  <c r="J1822" i="65"/>
  <c r="B1823" i="65"/>
  <c r="G1823" i="65"/>
  <c r="J1823" i="65"/>
  <c r="B1824" i="65"/>
  <c r="G1824" i="65"/>
  <c r="J1824" i="65"/>
  <c r="B1825" i="65"/>
  <c r="G1825" i="65"/>
  <c r="J1825" i="65"/>
  <c r="B1826" i="65"/>
  <c r="G1826" i="65"/>
  <c r="J1826" i="65"/>
  <c r="B1827" i="65"/>
  <c r="G1827" i="65"/>
  <c r="J1827" i="65"/>
  <c r="B1828" i="65"/>
  <c r="G1828" i="65"/>
  <c r="J1828" i="65"/>
  <c r="B1829" i="65"/>
  <c r="G1829" i="65"/>
  <c r="J1829" i="65"/>
  <c r="B1830" i="65"/>
  <c r="G1830" i="65"/>
  <c r="J1830" i="65"/>
  <c r="B1831" i="65"/>
  <c r="G1831" i="65"/>
  <c r="J1831" i="65"/>
  <c r="B1832" i="65"/>
  <c r="G1832" i="65"/>
  <c r="J1832" i="65"/>
  <c r="B1833" i="65"/>
  <c r="G1833" i="65"/>
  <c r="J1833" i="65"/>
  <c r="B1834" i="65"/>
  <c r="G1834" i="65"/>
  <c r="J1834" i="65"/>
  <c r="B1835" i="65"/>
  <c r="G1835" i="65"/>
  <c r="J1835" i="65"/>
  <c r="B1836" i="65"/>
  <c r="G1836" i="65"/>
  <c r="J1836" i="65"/>
  <c r="B1837" i="65"/>
  <c r="G1837" i="65"/>
  <c r="J1837" i="65"/>
  <c r="B1838" i="65"/>
  <c r="G1838" i="65"/>
  <c r="J1838" i="65"/>
  <c r="B1839" i="65"/>
  <c r="G1839" i="65"/>
  <c r="J1839" i="65"/>
  <c r="B1840" i="65"/>
  <c r="G1840" i="65"/>
  <c r="J1840" i="65"/>
  <c r="B1841" i="65"/>
  <c r="G1841" i="65"/>
  <c r="J1841" i="65"/>
  <c r="B1842" i="65"/>
  <c r="G1842" i="65"/>
  <c r="J1842" i="65"/>
  <c r="B1843" i="65"/>
  <c r="G1843" i="65"/>
  <c r="J1843" i="65"/>
  <c r="B1844" i="65"/>
  <c r="G1844" i="65"/>
  <c r="J1844" i="65"/>
  <c r="B1845" i="65"/>
  <c r="G1845" i="65"/>
  <c r="J1845" i="65"/>
  <c r="B1846" i="65"/>
  <c r="G1846" i="65"/>
  <c r="J1846" i="65"/>
  <c r="B1847" i="65"/>
  <c r="G1847" i="65"/>
  <c r="J1847" i="65"/>
  <c r="B1848" i="65"/>
  <c r="G1848" i="65"/>
  <c r="J1848" i="65"/>
  <c r="B1849" i="65"/>
  <c r="G1849" i="65"/>
  <c r="J1849" i="65"/>
  <c r="B1850" i="65"/>
  <c r="G1850" i="65"/>
  <c r="J1850" i="65"/>
  <c r="B1851" i="65"/>
  <c r="G1851" i="65"/>
  <c r="J1851" i="65"/>
  <c r="B1852" i="65"/>
  <c r="G1852" i="65"/>
  <c r="J1852" i="65"/>
  <c r="B1853" i="65"/>
  <c r="G1853" i="65"/>
  <c r="J1853" i="65"/>
  <c r="B1854" i="65"/>
  <c r="G1854" i="65"/>
  <c r="J1854" i="65"/>
  <c r="B1855" i="65"/>
  <c r="G1855" i="65"/>
  <c r="J1855" i="65"/>
  <c r="B1856" i="65"/>
  <c r="G1856" i="65"/>
  <c r="J1856" i="65"/>
  <c r="B1857" i="65"/>
  <c r="G1857" i="65"/>
  <c r="J1857" i="65"/>
  <c r="B1858" i="65"/>
  <c r="G1858" i="65"/>
  <c r="J1858" i="65"/>
  <c r="B1859" i="65"/>
  <c r="G1859" i="65"/>
  <c r="J1859" i="65"/>
  <c r="B1860" i="65"/>
  <c r="G1860" i="65"/>
  <c r="J1860" i="65"/>
  <c r="B1861" i="65"/>
  <c r="G1861" i="65"/>
  <c r="J1861" i="65"/>
  <c r="B1862" i="65"/>
  <c r="G1862" i="65"/>
  <c r="J1862" i="65"/>
  <c r="B1863" i="65"/>
  <c r="G1863" i="65"/>
  <c r="J1863" i="65"/>
  <c r="B1864" i="65"/>
  <c r="G1864" i="65"/>
  <c r="J1864" i="65"/>
  <c r="B1865" i="65"/>
  <c r="G1865" i="65"/>
  <c r="J1865" i="65"/>
  <c r="B1866" i="65"/>
  <c r="G1866" i="65"/>
  <c r="J1866" i="65"/>
  <c r="B1867" i="65"/>
  <c r="G1867" i="65"/>
  <c r="J1867" i="65"/>
  <c r="B1868" i="65"/>
  <c r="G1868" i="65"/>
  <c r="J1868" i="65"/>
  <c r="B1869" i="65"/>
  <c r="G1869" i="65"/>
  <c r="J1869" i="65"/>
  <c r="B1870" i="65"/>
  <c r="G1870" i="65"/>
  <c r="J1870" i="65"/>
  <c r="B1871" i="65"/>
  <c r="G1871" i="65"/>
  <c r="J1871" i="65"/>
  <c r="B1872" i="65"/>
  <c r="G1872" i="65"/>
  <c r="J1872" i="65"/>
  <c r="B1873" i="65"/>
  <c r="G1873" i="65"/>
  <c r="J1873" i="65"/>
  <c r="B1874" i="65"/>
  <c r="G1874" i="65"/>
  <c r="J1874" i="65"/>
  <c r="B1875" i="65"/>
  <c r="G1875" i="65"/>
  <c r="J1875" i="65"/>
  <c r="B1876" i="65"/>
  <c r="G1876" i="65"/>
  <c r="J1876" i="65"/>
  <c r="B1877" i="65"/>
  <c r="G1877" i="65"/>
  <c r="J1877" i="65"/>
  <c r="B1878" i="65"/>
  <c r="G1878" i="65"/>
  <c r="J1878" i="65"/>
  <c r="B1879" i="65"/>
  <c r="G1879" i="65"/>
  <c r="J1879" i="65"/>
  <c r="B1880" i="65"/>
  <c r="G1880" i="65"/>
  <c r="J1880" i="65"/>
  <c r="B1881" i="65"/>
  <c r="G1881" i="65"/>
  <c r="J1881" i="65"/>
  <c r="B1882" i="65"/>
  <c r="G1882" i="65"/>
  <c r="J1882" i="65"/>
  <c r="B1883" i="65"/>
  <c r="G1883" i="65"/>
  <c r="J1883" i="65"/>
  <c r="B1884" i="65"/>
  <c r="G1884" i="65"/>
  <c r="J1884" i="65"/>
  <c r="B1885" i="65"/>
  <c r="G1885" i="65"/>
  <c r="J1885" i="65"/>
  <c r="B1886" i="65"/>
  <c r="G1886" i="65"/>
  <c r="J1886" i="65"/>
  <c r="B1887" i="65"/>
  <c r="G1887" i="65"/>
  <c r="J1887" i="65"/>
  <c r="B1888" i="65"/>
  <c r="G1888" i="65"/>
  <c r="J1888" i="65"/>
  <c r="B1889" i="65"/>
  <c r="G1889" i="65"/>
  <c r="J1889" i="65"/>
  <c r="B1890" i="65"/>
  <c r="G1890" i="65"/>
  <c r="J1890" i="65"/>
  <c r="B1891" i="65"/>
  <c r="G1891" i="65"/>
  <c r="J1891" i="65"/>
  <c r="B1892" i="65"/>
  <c r="G1892" i="65"/>
  <c r="J1892" i="65"/>
  <c r="B1893" i="65"/>
  <c r="G1893" i="65"/>
  <c r="J1893" i="65"/>
  <c r="B1894" i="65"/>
  <c r="G1894" i="65"/>
  <c r="J1894" i="65"/>
  <c r="B1895" i="65"/>
  <c r="G1895" i="65"/>
  <c r="J1895" i="65"/>
  <c r="B1896" i="65"/>
  <c r="G1896" i="65"/>
  <c r="J1896" i="65"/>
  <c r="B1897" i="65"/>
  <c r="G1897" i="65"/>
  <c r="J1897" i="65"/>
  <c r="B1898" i="65"/>
  <c r="G1898" i="65"/>
  <c r="J1898" i="65"/>
  <c r="B1899" i="65"/>
  <c r="G1899" i="65"/>
  <c r="J1899" i="65"/>
  <c r="B1900" i="65"/>
  <c r="G1900" i="65"/>
  <c r="J1900" i="65"/>
  <c r="B1901" i="65"/>
  <c r="G1901" i="65"/>
  <c r="J1901" i="65"/>
  <c r="B1902" i="65"/>
  <c r="G1902" i="65"/>
  <c r="J1902" i="65"/>
  <c r="B1903" i="65"/>
  <c r="G1903" i="65"/>
  <c r="J1903" i="65"/>
  <c r="B1904" i="65"/>
  <c r="G1904" i="65"/>
  <c r="J1904" i="65"/>
  <c r="B1905" i="65"/>
  <c r="G1905" i="65"/>
  <c r="J1905" i="65"/>
  <c r="B1906" i="65"/>
  <c r="G1906" i="65"/>
  <c r="J1906" i="65"/>
  <c r="B1907" i="65"/>
  <c r="G1907" i="65"/>
  <c r="J1907" i="65"/>
  <c r="B1908" i="65"/>
  <c r="G1908" i="65"/>
  <c r="J1908" i="65"/>
  <c r="B1909" i="65"/>
  <c r="G1909" i="65"/>
  <c r="J1909" i="65"/>
  <c r="B1910" i="65"/>
  <c r="G1910" i="65"/>
  <c r="J1910" i="65"/>
  <c r="B1911" i="65"/>
  <c r="G1911" i="65"/>
  <c r="J1911" i="65"/>
  <c r="B1912" i="65"/>
  <c r="G1912" i="65"/>
  <c r="J1912" i="65"/>
  <c r="B1913" i="65"/>
  <c r="G1913" i="65"/>
  <c r="J1913" i="65"/>
  <c r="B1914" i="65"/>
  <c r="G1914" i="65"/>
  <c r="J1914" i="65"/>
  <c r="B1915" i="65"/>
  <c r="G1915" i="65"/>
  <c r="J1915" i="65"/>
  <c r="B1916" i="65"/>
  <c r="G1916" i="65"/>
  <c r="J1916" i="65"/>
  <c r="B1917" i="65"/>
  <c r="G1917" i="65"/>
  <c r="J1917" i="65"/>
  <c r="B1918" i="65"/>
  <c r="G1918" i="65"/>
  <c r="J1918" i="65"/>
  <c r="B1919" i="65"/>
  <c r="G1919" i="65"/>
  <c r="J1919" i="65"/>
  <c r="B1920" i="65"/>
  <c r="G1920" i="65"/>
  <c r="J1920" i="65"/>
  <c r="B1921" i="65"/>
  <c r="G1921" i="65"/>
  <c r="J1921" i="65"/>
  <c r="B1922" i="65"/>
  <c r="G1922" i="65"/>
  <c r="J1922" i="65"/>
  <c r="B1923" i="65"/>
  <c r="G1923" i="65"/>
  <c r="J1923" i="65"/>
  <c r="B1924" i="65"/>
  <c r="G1924" i="65"/>
  <c r="J1924" i="65"/>
  <c r="B1925" i="65"/>
  <c r="G1925" i="65"/>
  <c r="J1925" i="65"/>
  <c r="B1926" i="65"/>
  <c r="G1926" i="65"/>
  <c r="J1926" i="65"/>
  <c r="B1927" i="65"/>
  <c r="G1927" i="65"/>
  <c r="J1927" i="65"/>
  <c r="B1928" i="65"/>
  <c r="G1928" i="65"/>
  <c r="J1928" i="65"/>
  <c r="B1929" i="65"/>
  <c r="G1929" i="65"/>
  <c r="J1929" i="65"/>
  <c r="B1930" i="65"/>
  <c r="G1930" i="65"/>
  <c r="J1930" i="65"/>
  <c r="B1931" i="65"/>
  <c r="G1931" i="65"/>
  <c r="J1931" i="65"/>
  <c r="B1932" i="65"/>
  <c r="G1932" i="65"/>
  <c r="J1932" i="65"/>
  <c r="B1933" i="65"/>
  <c r="G1933" i="65"/>
  <c r="J1933" i="65"/>
  <c r="B1934" i="65"/>
  <c r="G1934" i="65"/>
  <c r="J1934" i="65"/>
  <c r="B1935" i="65"/>
  <c r="G1935" i="65"/>
  <c r="J1935" i="65"/>
  <c r="B1936" i="65"/>
  <c r="G1936" i="65"/>
  <c r="J1936" i="65"/>
  <c r="B1937" i="65"/>
  <c r="G1937" i="65"/>
  <c r="J1937" i="65"/>
  <c r="B1938" i="65"/>
  <c r="G1938" i="65"/>
  <c r="J1938" i="65"/>
  <c r="B1939" i="65"/>
  <c r="G1939" i="65"/>
  <c r="J1939" i="65"/>
  <c r="B1940" i="65"/>
  <c r="G1940" i="65"/>
  <c r="J1940" i="65"/>
  <c r="B1941" i="65"/>
  <c r="G1941" i="65"/>
  <c r="J1941" i="65"/>
  <c r="B1942" i="65"/>
  <c r="G1942" i="65"/>
  <c r="J1942" i="65"/>
  <c r="B1943" i="65"/>
  <c r="G1943" i="65"/>
  <c r="J1943" i="65"/>
  <c r="B1944" i="65"/>
  <c r="G1944" i="65"/>
  <c r="J1944" i="65"/>
  <c r="B1945" i="65"/>
  <c r="G1945" i="65"/>
  <c r="J1945" i="65"/>
  <c r="B1946" i="65"/>
  <c r="G1946" i="65"/>
  <c r="J1946" i="65"/>
  <c r="B1947" i="65"/>
  <c r="G1947" i="65"/>
  <c r="J1947" i="65"/>
  <c r="B1948" i="65"/>
  <c r="G1948" i="65"/>
  <c r="J1948" i="65"/>
  <c r="B1949" i="65"/>
  <c r="G1949" i="65"/>
  <c r="J1949" i="65"/>
  <c r="B1950" i="65"/>
  <c r="G1950" i="65"/>
  <c r="J1950" i="65"/>
  <c r="B1951" i="65"/>
  <c r="G1951" i="65"/>
  <c r="J1951" i="65"/>
  <c r="B1952" i="65"/>
  <c r="G1952" i="65"/>
  <c r="J1952" i="65"/>
  <c r="B1953" i="65"/>
  <c r="G1953" i="65"/>
  <c r="J1953" i="65"/>
  <c r="B1954" i="65"/>
  <c r="G1954" i="65"/>
  <c r="J1954" i="65"/>
  <c r="B1955" i="65"/>
  <c r="G1955" i="65"/>
  <c r="J1955" i="65"/>
  <c r="B1956" i="65"/>
  <c r="G1956" i="65"/>
  <c r="J1956" i="65"/>
  <c r="B1957" i="65"/>
  <c r="G1957" i="65"/>
  <c r="J1957" i="65"/>
  <c r="B1958" i="65"/>
  <c r="G1958" i="65"/>
  <c r="J1958" i="65"/>
  <c r="B1959" i="65"/>
  <c r="G1959" i="65"/>
  <c r="J1959" i="65"/>
  <c r="B1960" i="65"/>
  <c r="G1960" i="65"/>
  <c r="J1960" i="65"/>
  <c r="B1961" i="65"/>
  <c r="G1961" i="65"/>
  <c r="J1961" i="65"/>
  <c r="B1962" i="65"/>
  <c r="G1962" i="65"/>
  <c r="J1962" i="65"/>
  <c r="B1963" i="65"/>
  <c r="G1963" i="65"/>
  <c r="J1963" i="65"/>
  <c r="B1964" i="65"/>
  <c r="G1964" i="65"/>
  <c r="J1964" i="65"/>
  <c r="B1965" i="65"/>
  <c r="G1965" i="65"/>
  <c r="J1965" i="65"/>
  <c r="B1966" i="65"/>
  <c r="G1966" i="65"/>
  <c r="J1966" i="65"/>
  <c r="B1967" i="65"/>
  <c r="G1967" i="65"/>
  <c r="J1967" i="65"/>
  <c r="B1968" i="65"/>
  <c r="G1968" i="65"/>
  <c r="J1968" i="65"/>
  <c r="B1969" i="65"/>
  <c r="G1969" i="65"/>
  <c r="J1969" i="65"/>
  <c r="B1970" i="65"/>
  <c r="G1970" i="65"/>
  <c r="J1970" i="65"/>
  <c r="B1971" i="65"/>
  <c r="G1971" i="65"/>
  <c r="J1971" i="65"/>
  <c r="B1972" i="65"/>
  <c r="G1972" i="65"/>
  <c r="J1972" i="65"/>
  <c r="B1973" i="65"/>
  <c r="G1973" i="65"/>
  <c r="J1973" i="65"/>
  <c r="B1974" i="65"/>
  <c r="G1974" i="65"/>
  <c r="J1974" i="65"/>
  <c r="B1975" i="65"/>
  <c r="G1975" i="65"/>
  <c r="J1975" i="65"/>
  <c r="B1976" i="65"/>
  <c r="G1976" i="65"/>
  <c r="J1976" i="65"/>
  <c r="B1977" i="65"/>
  <c r="G1977" i="65"/>
  <c r="J1977" i="65"/>
  <c r="B1978" i="65"/>
  <c r="G1978" i="65"/>
  <c r="J1978" i="65"/>
  <c r="B1979" i="65"/>
  <c r="G1979" i="65"/>
  <c r="J1979" i="65"/>
  <c r="B1980" i="65"/>
  <c r="G1980" i="65"/>
  <c r="J1980" i="65"/>
  <c r="B1981" i="65"/>
  <c r="G1981" i="65"/>
  <c r="J1981" i="65"/>
  <c r="B1982" i="65"/>
  <c r="G1982" i="65"/>
  <c r="J1982" i="65"/>
  <c r="B1983" i="65"/>
  <c r="G1983" i="65"/>
  <c r="J1983" i="65"/>
  <c r="B1984" i="65"/>
  <c r="G1984" i="65"/>
  <c r="J1984" i="65"/>
  <c r="B1985" i="65"/>
  <c r="G1985" i="65"/>
  <c r="J1985" i="65"/>
  <c r="B1986" i="65"/>
  <c r="G1986" i="65"/>
  <c r="J1986" i="65"/>
  <c r="B1987" i="65"/>
  <c r="G1987" i="65"/>
  <c r="J1987" i="65"/>
  <c r="B1988" i="65"/>
  <c r="G1988" i="65"/>
  <c r="J1988" i="65"/>
  <c r="B1989" i="65"/>
  <c r="G1989" i="65"/>
  <c r="J1989" i="65"/>
  <c r="B1990" i="65"/>
  <c r="G1990" i="65"/>
  <c r="J1990" i="65"/>
  <c r="B1991" i="65"/>
  <c r="G1991" i="65"/>
  <c r="J1991" i="65"/>
  <c r="B1992" i="65"/>
  <c r="G1992" i="65"/>
  <c r="J1992" i="65"/>
  <c r="B1993" i="65"/>
  <c r="G1993" i="65"/>
  <c r="J1993" i="65"/>
  <c r="B1994" i="65"/>
  <c r="G1994" i="65"/>
  <c r="J1994" i="65"/>
  <c r="B1995" i="65"/>
  <c r="G1995" i="65"/>
  <c r="J1995" i="65"/>
  <c r="B1996" i="65"/>
  <c r="G1996" i="65"/>
  <c r="J1996" i="65"/>
  <c r="B1997" i="65"/>
  <c r="G1997" i="65"/>
  <c r="J1997" i="65"/>
  <c r="B1998" i="65"/>
  <c r="G1998" i="65"/>
  <c r="J1998" i="65"/>
  <c r="B1999" i="65"/>
  <c r="G1999" i="65"/>
  <c r="J1999" i="65"/>
  <c r="B2000" i="65"/>
  <c r="G2000" i="65"/>
  <c r="J2000" i="65"/>
  <c r="B2001" i="65"/>
  <c r="G2001" i="65"/>
  <c r="J2001" i="65"/>
  <c r="B2002" i="65"/>
  <c r="G2002" i="65"/>
  <c r="J2002" i="65"/>
  <c r="B2003" i="65"/>
  <c r="G2003" i="65"/>
  <c r="J2003" i="65"/>
  <c r="B2004" i="65"/>
  <c r="G2004" i="65"/>
  <c r="J2004" i="65"/>
  <c r="B2005" i="65"/>
  <c r="G2005" i="65"/>
  <c r="J2005" i="65"/>
  <c r="B2006" i="65"/>
  <c r="G2006" i="65"/>
  <c r="J2006" i="65"/>
  <c r="B2007" i="65"/>
  <c r="G2007" i="65"/>
  <c r="J2007" i="65"/>
  <c r="B2008" i="65"/>
  <c r="G2008" i="65"/>
  <c r="J2008" i="65"/>
  <c r="B2009" i="65"/>
  <c r="G2009" i="65"/>
  <c r="J2009" i="65"/>
  <c r="B2010" i="65"/>
  <c r="G2010" i="65"/>
  <c r="J2010" i="65"/>
  <c r="B2011" i="65"/>
  <c r="G2011" i="65"/>
  <c r="J2011" i="65"/>
  <c r="B2012" i="65"/>
  <c r="G2012" i="65"/>
  <c r="J2012" i="65"/>
  <c r="B2013" i="65"/>
  <c r="G2013" i="65"/>
  <c r="J2013" i="65"/>
  <c r="B2014" i="65"/>
  <c r="G2014" i="65"/>
  <c r="J2014" i="65"/>
  <c r="B2015" i="65"/>
  <c r="G2015" i="65"/>
  <c r="J2015" i="65"/>
  <c r="B2016" i="65"/>
  <c r="G2016" i="65"/>
  <c r="J2016" i="65"/>
  <c r="B2017" i="65"/>
  <c r="G2017" i="65"/>
  <c r="J2017" i="65"/>
  <c r="B2018" i="65"/>
  <c r="G2018" i="65"/>
  <c r="J2018" i="65"/>
  <c r="B2019" i="65"/>
  <c r="G2019" i="65"/>
  <c r="J2019" i="65"/>
  <c r="B2020" i="65"/>
  <c r="G2020" i="65"/>
  <c r="J2020" i="65"/>
  <c r="B2021" i="65"/>
  <c r="G2021" i="65"/>
  <c r="J2021" i="65"/>
  <c r="B2022" i="65"/>
  <c r="G2022" i="65"/>
  <c r="J2022" i="65"/>
  <c r="B2023" i="65"/>
  <c r="G2023" i="65"/>
  <c r="J2023" i="65"/>
  <c r="B2024" i="65"/>
  <c r="G2024" i="65"/>
  <c r="J2024" i="65"/>
  <c r="B2025" i="65"/>
  <c r="G2025" i="65"/>
  <c r="J2025" i="65"/>
  <c r="B2026" i="65"/>
  <c r="G2026" i="65"/>
  <c r="J2026" i="65"/>
  <c r="B2027" i="65"/>
  <c r="G2027" i="65"/>
  <c r="J2027" i="65"/>
  <c r="B2028" i="65"/>
  <c r="G2028" i="65"/>
  <c r="J2028" i="65"/>
  <c r="B2029" i="65"/>
  <c r="G2029" i="65"/>
  <c r="J2029" i="65"/>
  <c r="B2030" i="65"/>
  <c r="G2030" i="65"/>
  <c r="J2030" i="65"/>
  <c r="B2031" i="65"/>
  <c r="G2031" i="65"/>
  <c r="J2031" i="65"/>
  <c r="B2032" i="65"/>
  <c r="G2032" i="65"/>
  <c r="J2032" i="65"/>
  <c r="B2033" i="65"/>
  <c r="G2033" i="65"/>
  <c r="J2033" i="65"/>
  <c r="B2034" i="65"/>
  <c r="G2034" i="65"/>
  <c r="J2034" i="65"/>
  <c r="B2035" i="65"/>
  <c r="G2035" i="65"/>
  <c r="J2035" i="65"/>
  <c r="B2036" i="65"/>
  <c r="G2036" i="65"/>
  <c r="J2036" i="65"/>
  <c r="B2037" i="65"/>
  <c r="G2037" i="65"/>
  <c r="J2037" i="65"/>
  <c r="B2038" i="65"/>
  <c r="G2038" i="65"/>
  <c r="J2038" i="65"/>
  <c r="B2039" i="65"/>
  <c r="G2039" i="65"/>
  <c r="J2039" i="65"/>
  <c r="B2040" i="65"/>
  <c r="G2040" i="65"/>
  <c r="J2040" i="65"/>
  <c r="B2041" i="65"/>
  <c r="G2041" i="65"/>
  <c r="J2041" i="65"/>
  <c r="B2042" i="65"/>
  <c r="G2042" i="65"/>
  <c r="J2042" i="65"/>
  <c r="B2043" i="65"/>
  <c r="G2043" i="65"/>
  <c r="J2043" i="65"/>
  <c r="B2044" i="65"/>
  <c r="G2044" i="65"/>
  <c r="J2044" i="65"/>
  <c r="B2045" i="65"/>
  <c r="G2045" i="65"/>
  <c r="J2045" i="65"/>
  <c r="B2046" i="65"/>
  <c r="G2046" i="65"/>
  <c r="J2046" i="65"/>
  <c r="B2047" i="65"/>
  <c r="G2047" i="65"/>
  <c r="J2047" i="65"/>
  <c r="B2048" i="65"/>
  <c r="G2048" i="65"/>
  <c r="J2048" i="65"/>
  <c r="B2049" i="65"/>
  <c r="G2049" i="65"/>
  <c r="J2049" i="65"/>
  <c r="B2050" i="65"/>
  <c r="G2050" i="65"/>
  <c r="J2050" i="65"/>
  <c r="B2051" i="65"/>
  <c r="G2051" i="65"/>
  <c r="J2051" i="65"/>
  <c r="B2052" i="65"/>
  <c r="G2052" i="65"/>
  <c r="J2052" i="65"/>
  <c r="B2053" i="65"/>
  <c r="G2053" i="65"/>
  <c r="J2053" i="65"/>
  <c r="B2054" i="65"/>
  <c r="G2054" i="65"/>
  <c r="J2054" i="65"/>
  <c r="B2055" i="65"/>
  <c r="G2055" i="65"/>
  <c r="J2055" i="65"/>
  <c r="B2056" i="65"/>
  <c r="G2056" i="65"/>
  <c r="J2056" i="65"/>
  <c r="B2057" i="65"/>
  <c r="G2057" i="65"/>
  <c r="J2057" i="65"/>
  <c r="B2058" i="65"/>
  <c r="G2058" i="65"/>
  <c r="J2058" i="65"/>
  <c r="B2059" i="65"/>
  <c r="G2059" i="65"/>
  <c r="J2059" i="65"/>
  <c r="B2060" i="65"/>
  <c r="G2060" i="65"/>
  <c r="J2060" i="65"/>
  <c r="B2061" i="65"/>
  <c r="G2061" i="65"/>
  <c r="J2061" i="65"/>
  <c r="B2062" i="65"/>
  <c r="G2062" i="65"/>
  <c r="J2062" i="65"/>
  <c r="B2063" i="65"/>
  <c r="G2063" i="65"/>
  <c r="J2063" i="65"/>
  <c r="B2064" i="65"/>
  <c r="G2064" i="65"/>
  <c r="J2064" i="65"/>
  <c r="B2065" i="65"/>
  <c r="G2065" i="65"/>
  <c r="J2065" i="65"/>
  <c r="B2066" i="65"/>
  <c r="G2066" i="65"/>
  <c r="J2066" i="65"/>
  <c r="B2067" i="65"/>
  <c r="G2067" i="65"/>
  <c r="J2067" i="65"/>
  <c r="B2068" i="65"/>
  <c r="G2068" i="65"/>
  <c r="J2068" i="65"/>
  <c r="B2069" i="65"/>
  <c r="G2069" i="65"/>
  <c r="J2069" i="65"/>
  <c r="B2070" i="65"/>
  <c r="G2070" i="65"/>
  <c r="J2070" i="65"/>
  <c r="B2071" i="65"/>
  <c r="G2071" i="65"/>
  <c r="J2071" i="65"/>
  <c r="B2072" i="65"/>
  <c r="G2072" i="65"/>
  <c r="J2072" i="65"/>
  <c r="B2073" i="65"/>
  <c r="G2073" i="65"/>
  <c r="J2073" i="65"/>
  <c r="B2074" i="65"/>
  <c r="G2074" i="65"/>
  <c r="J2074" i="65"/>
  <c r="B2075" i="65"/>
  <c r="G2075" i="65"/>
  <c r="J2075" i="65"/>
  <c r="B2076" i="65"/>
  <c r="G2076" i="65"/>
  <c r="J2076" i="65"/>
  <c r="B2077" i="65"/>
  <c r="G2077" i="65"/>
  <c r="J2077" i="65"/>
  <c r="B2078" i="65"/>
  <c r="G2078" i="65"/>
  <c r="J2078" i="65"/>
  <c r="B2079" i="65"/>
  <c r="G2079" i="65"/>
  <c r="J2079" i="65"/>
  <c r="B2080" i="65"/>
  <c r="G2080" i="65"/>
  <c r="J2080" i="65"/>
  <c r="B2081" i="65"/>
  <c r="G2081" i="65"/>
  <c r="J2081" i="65"/>
  <c r="B2082" i="65"/>
  <c r="G2082" i="65"/>
  <c r="J2082" i="65"/>
  <c r="B2083" i="65"/>
  <c r="G2083" i="65"/>
  <c r="J2083" i="65"/>
  <c r="B2084" i="65"/>
  <c r="G2084" i="65"/>
  <c r="J2084" i="65"/>
  <c r="B2085" i="65"/>
  <c r="G2085" i="65"/>
  <c r="J2085" i="65"/>
  <c r="B2086" i="65"/>
  <c r="G2086" i="65"/>
  <c r="J2086" i="65"/>
  <c r="B2087" i="65"/>
  <c r="G2087" i="65"/>
  <c r="J2087" i="65"/>
  <c r="B2088" i="65"/>
  <c r="G2088" i="65"/>
  <c r="J2088" i="65"/>
  <c r="B2089" i="65"/>
  <c r="G2089" i="65"/>
  <c r="J2089" i="65"/>
  <c r="B2090" i="65"/>
  <c r="G2090" i="65"/>
  <c r="J2090" i="65"/>
  <c r="B2091" i="65"/>
  <c r="G2091" i="65"/>
  <c r="J2091" i="65"/>
  <c r="B2092" i="65"/>
  <c r="G2092" i="65"/>
  <c r="J2092" i="65"/>
  <c r="B2093" i="65"/>
  <c r="G2093" i="65"/>
  <c r="J2093" i="65"/>
  <c r="B2094" i="65"/>
  <c r="G2094" i="65"/>
  <c r="J2094" i="65"/>
  <c r="B2095" i="65"/>
  <c r="G2095" i="65"/>
  <c r="J2095" i="65"/>
  <c r="B2096" i="65"/>
  <c r="G2096" i="65"/>
  <c r="J2096" i="65"/>
  <c r="B2097" i="65"/>
  <c r="G2097" i="65"/>
  <c r="J2097" i="65"/>
  <c r="B2098" i="65"/>
  <c r="G2098" i="65"/>
  <c r="J2098" i="65"/>
  <c r="B2099" i="65"/>
  <c r="G2099" i="65"/>
  <c r="J2099" i="65"/>
  <c r="B2100" i="65"/>
  <c r="G2100" i="65"/>
  <c r="J2100" i="65"/>
  <c r="B2101" i="65"/>
  <c r="G2101" i="65"/>
  <c r="J2101" i="65"/>
  <c r="B2102" i="65"/>
  <c r="G2102" i="65"/>
  <c r="J2102" i="65"/>
  <c r="B2103" i="65"/>
  <c r="G2103" i="65"/>
  <c r="J2103" i="65"/>
  <c r="B2104" i="65"/>
  <c r="G2104" i="65"/>
  <c r="J2104" i="65"/>
  <c r="B2105" i="65"/>
  <c r="G2105" i="65"/>
  <c r="J2105" i="65"/>
  <c r="B2106" i="65"/>
  <c r="G2106" i="65"/>
  <c r="J2106" i="65"/>
  <c r="B2107" i="65"/>
  <c r="G2107" i="65"/>
  <c r="J2107" i="65"/>
  <c r="B2108" i="65"/>
  <c r="G2108" i="65"/>
  <c r="J2108" i="65"/>
  <c r="B2109" i="65"/>
  <c r="G2109" i="65"/>
  <c r="J2109" i="65"/>
  <c r="B2110" i="65"/>
  <c r="G2110" i="65"/>
  <c r="J2110" i="65"/>
  <c r="B2111" i="65"/>
  <c r="G2111" i="65"/>
  <c r="J2111" i="65"/>
  <c r="B2112" i="65"/>
  <c r="G2112" i="65"/>
  <c r="J2112" i="65"/>
  <c r="B2113" i="65"/>
  <c r="G2113" i="65"/>
  <c r="J2113" i="65"/>
  <c r="B2114" i="65"/>
  <c r="G2114" i="65"/>
  <c r="J2114" i="65"/>
  <c r="B2115" i="65"/>
  <c r="G2115" i="65"/>
  <c r="J2115" i="65"/>
  <c r="B2116" i="65"/>
  <c r="G2116" i="65"/>
  <c r="J2116" i="65"/>
  <c r="B2117" i="65"/>
  <c r="G2117" i="65"/>
  <c r="J2117" i="65"/>
  <c r="B2118" i="65"/>
  <c r="G2118" i="65"/>
  <c r="J2118" i="65"/>
  <c r="B2119" i="65"/>
  <c r="G2119" i="65"/>
  <c r="J2119" i="65"/>
  <c r="B2120" i="65"/>
  <c r="G2120" i="65"/>
  <c r="J2120" i="65"/>
  <c r="B2121" i="65"/>
  <c r="G2121" i="65"/>
  <c r="J2121" i="65"/>
  <c r="B2122" i="65"/>
  <c r="G2122" i="65"/>
  <c r="J2122" i="65"/>
  <c r="B2123" i="65"/>
  <c r="G2123" i="65"/>
  <c r="J2123" i="65"/>
  <c r="B2124" i="65"/>
  <c r="G2124" i="65"/>
  <c r="J2124" i="65"/>
  <c r="B2125" i="65"/>
  <c r="G2125" i="65"/>
  <c r="J2125" i="65"/>
  <c r="B2126" i="65"/>
  <c r="G2126" i="65"/>
  <c r="J2126" i="65"/>
  <c r="B2127" i="65"/>
  <c r="G2127" i="65"/>
  <c r="J2127" i="65"/>
  <c r="B2128" i="65"/>
  <c r="G2128" i="65"/>
  <c r="J2128" i="65"/>
  <c r="B2129" i="65"/>
  <c r="G2129" i="65"/>
  <c r="J2129" i="65"/>
  <c r="B2130" i="65"/>
  <c r="G2130" i="65"/>
  <c r="J2130" i="65"/>
  <c r="B2131" i="65"/>
  <c r="G2131" i="65"/>
  <c r="J2131" i="65"/>
  <c r="B2132" i="65"/>
  <c r="G2132" i="65"/>
  <c r="J2132" i="65"/>
  <c r="B2133" i="65"/>
  <c r="G2133" i="65"/>
  <c r="J2133" i="65"/>
  <c r="B2134" i="65"/>
  <c r="G2134" i="65"/>
  <c r="J2134" i="65"/>
  <c r="B2135" i="65"/>
  <c r="G2135" i="65"/>
  <c r="J2135" i="65"/>
  <c r="B2136" i="65"/>
  <c r="G2136" i="65"/>
  <c r="J2136" i="65"/>
  <c r="B2137" i="65"/>
  <c r="G2137" i="65"/>
  <c r="J2137" i="65"/>
  <c r="B2138" i="65"/>
  <c r="G2138" i="65"/>
  <c r="J2138" i="65"/>
  <c r="B2139" i="65"/>
  <c r="G2139" i="65"/>
  <c r="J2139" i="65"/>
  <c r="B2140" i="65"/>
  <c r="G2140" i="65"/>
  <c r="J2140" i="65"/>
  <c r="B2141" i="65"/>
  <c r="G2141" i="65"/>
  <c r="J2141" i="65"/>
  <c r="B2142" i="65"/>
  <c r="G2142" i="65"/>
  <c r="J2142" i="65"/>
  <c r="B2143" i="65"/>
  <c r="G2143" i="65"/>
  <c r="J2143" i="65"/>
  <c r="B2144" i="65"/>
  <c r="G2144" i="65"/>
  <c r="J2144" i="65"/>
  <c r="B2145" i="65"/>
  <c r="G2145" i="65"/>
  <c r="J2145" i="65"/>
  <c r="B2146" i="65"/>
  <c r="G2146" i="65"/>
  <c r="J2146" i="65"/>
  <c r="B2147" i="65"/>
  <c r="G2147" i="65"/>
  <c r="J2147" i="65"/>
  <c r="B2148" i="65"/>
  <c r="G2148" i="65"/>
  <c r="J2148" i="65"/>
  <c r="B2149" i="65"/>
  <c r="G2149" i="65"/>
  <c r="J2149" i="65"/>
  <c r="B2150" i="65"/>
  <c r="G2150" i="65"/>
  <c r="J2150" i="65"/>
  <c r="B2151" i="65"/>
  <c r="G2151" i="65"/>
  <c r="J2151" i="65"/>
  <c r="B2152" i="65"/>
  <c r="G2152" i="65"/>
  <c r="J2152" i="65"/>
  <c r="B2153" i="65"/>
  <c r="G2153" i="65"/>
  <c r="J2153" i="65"/>
  <c r="B2154" i="65"/>
  <c r="G2154" i="65"/>
  <c r="J2154" i="65"/>
  <c r="B2155" i="65"/>
  <c r="G2155" i="65"/>
  <c r="J2155" i="65"/>
  <c r="B2156" i="65"/>
  <c r="G2156" i="65"/>
  <c r="J2156" i="65"/>
  <c r="B2157" i="65"/>
  <c r="G2157" i="65"/>
  <c r="J2157" i="65"/>
  <c r="B2158" i="65"/>
  <c r="G2158" i="65"/>
  <c r="J2158" i="65"/>
  <c r="B2159" i="65"/>
  <c r="G2159" i="65"/>
  <c r="J2159" i="65"/>
  <c r="B2160" i="65"/>
  <c r="G2160" i="65"/>
  <c r="J2160" i="65"/>
  <c r="B2161" i="65"/>
  <c r="G2161" i="65"/>
  <c r="J2161" i="65"/>
  <c r="B2162" i="65"/>
  <c r="G2162" i="65"/>
  <c r="J2162" i="65"/>
  <c r="B2163" i="65"/>
  <c r="G2163" i="65"/>
  <c r="J2163" i="65"/>
  <c r="B2164" i="65"/>
  <c r="G2164" i="65"/>
  <c r="J2164" i="65"/>
  <c r="B2165" i="65"/>
  <c r="G2165" i="65"/>
  <c r="J2165" i="65"/>
  <c r="B2166" i="65"/>
  <c r="G2166" i="65"/>
  <c r="J2166" i="65"/>
  <c r="B2167" i="65"/>
  <c r="G2167" i="65"/>
  <c r="J2167" i="65"/>
  <c r="B2168" i="65"/>
  <c r="G2168" i="65"/>
  <c r="J2168" i="65"/>
  <c r="B2169" i="65"/>
  <c r="G2169" i="65"/>
  <c r="J2169" i="65"/>
  <c r="B2170" i="65"/>
  <c r="G2170" i="65"/>
  <c r="J2170" i="65"/>
  <c r="B2171" i="65"/>
  <c r="G2171" i="65"/>
  <c r="J2171" i="65"/>
  <c r="B2172" i="65"/>
  <c r="G2172" i="65"/>
  <c r="J2172" i="65"/>
  <c r="B2173" i="65"/>
  <c r="G2173" i="65"/>
  <c r="J2173" i="65"/>
  <c r="B2174" i="65"/>
  <c r="G2174" i="65"/>
  <c r="J2174" i="65"/>
  <c r="B2175" i="65"/>
  <c r="G2175" i="65"/>
  <c r="J2175" i="65"/>
  <c r="B2176" i="65"/>
  <c r="G2176" i="65"/>
  <c r="J2176" i="65"/>
  <c r="B2177" i="65"/>
  <c r="G2177" i="65"/>
  <c r="J2177" i="65"/>
  <c r="B2178" i="65"/>
  <c r="G2178" i="65"/>
  <c r="J2178" i="65"/>
  <c r="B2179" i="65"/>
  <c r="G2179" i="65"/>
  <c r="J2179" i="65"/>
  <c r="B2180" i="65"/>
  <c r="G2180" i="65"/>
  <c r="J2180" i="65"/>
  <c r="B2181" i="65"/>
  <c r="G2181" i="65"/>
  <c r="J2181" i="65"/>
  <c r="B2182" i="65"/>
  <c r="G2182" i="65"/>
  <c r="J2182" i="65"/>
  <c r="B2183" i="65"/>
  <c r="G2183" i="65"/>
  <c r="J2183" i="65"/>
  <c r="B2184" i="65"/>
  <c r="G2184" i="65"/>
  <c r="J2184" i="65"/>
  <c r="B2185" i="65"/>
  <c r="G2185" i="65"/>
  <c r="J2185" i="65"/>
  <c r="B2186" i="65"/>
  <c r="G2186" i="65"/>
  <c r="J2186" i="65"/>
  <c r="B2187" i="65"/>
  <c r="G2187" i="65"/>
  <c r="J2187" i="65"/>
  <c r="B2188" i="65"/>
  <c r="G2188" i="65"/>
  <c r="J2188" i="65"/>
  <c r="B2189" i="65"/>
  <c r="G2189" i="65"/>
  <c r="J2189" i="65"/>
  <c r="B2190" i="65"/>
  <c r="G2190" i="65"/>
  <c r="J2190" i="65"/>
  <c r="B2191" i="65"/>
  <c r="G2191" i="65"/>
  <c r="J2191" i="65"/>
  <c r="B2192" i="65"/>
  <c r="G2192" i="65"/>
  <c r="J2192" i="65"/>
  <c r="B2193" i="65"/>
  <c r="G2193" i="65"/>
  <c r="J2193" i="65"/>
  <c r="B2194" i="65"/>
  <c r="G2194" i="65"/>
  <c r="J2194" i="65"/>
  <c r="B2195" i="65"/>
  <c r="G2195" i="65"/>
  <c r="J2195" i="65"/>
  <c r="B2196" i="65"/>
  <c r="G2196" i="65"/>
  <c r="J2196" i="65"/>
  <c r="B2197" i="65"/>
  <c r="G2197" i="65"/>
  <c r="J2197" i="65"/>
  <c r="B2198" i="65"/>
  <c r="G2198" i="65"/>
  <c r="J2198" i="65"/>
  <c r="B2199" i="65"/>
  <c r="G2199" i="65"/>
  <c r="J2199" i="65"/>
  <c r="B2200" i="65"/>
  <c r="G2200" i="65"/>
  <c r="J2200" i="65"/>
  <c r="B2201" i="65"/>
  <c r="G2201" i="65"/>
  <c r="J2201" i="65"/>
  <c r="B2202" i="65"/>
  <c r="G2202" i="65"/>
  <c r="J2202" i="65"/>
  <c r="B2203" i="65"/>
  <c r="G2203" i="65"/>
  <c r="J2203" i="65"/>
  <c r="B2204" i="65"/>
  <c r="G2204" i="65"/>
  <c r="J2204" i="65"/>
  <c r="B2205" i="65"/>
  <c r="G2205" i="65"/>
  <c r="J2205" i="65"/>
  <c r="B2206" i="65"/>
  <c r="G2206" i="65"/>
  <c r="J2206" i="65"/>
  <c r="B2207" i="65"/>
  <c r="G2207" i="65"/>
  <c r="J2207" i="65"/>
  <c r="B2208" i="65"/>
  <c r="G2208" i="65"/>
  <c r="J2208" i="65"/>
  <c r="B2209" i="65"/>
  <c r="G2209" i="65"/>
  <c r="J2209" i="65"/>
  <c r="B2210" i="65"/>
  <c r="G2210" i="65"/>
  <c r="J2210" i="65"/>
  <c r="B2211" i="65"/>
  <c r="G2211" i="65"/>
  <c r="J2211" i="65"/>
  <c r="B2212" i="65"/>
  <c r="G2212" i="65"/>
  <c r="J2212" i="65"/>
  <c r="B2213" i="65"/>
  <c r="G2213" i="65"/>
  <c r="J2213" i="65"/>
  <c r="B2214" i="65"/>
  <c r="G2214" i="65"/>
  <c r="J2214" i="65"/>
  <c r="B2215" i="65"/>
  <c r="G2215" i="65"/>
  <c r="J2215" i="65"/>
  <c r="B2216" i="65"/>
  <c r="G2216" i="65"/>
  <c r="J2216" i="65"/>
  <c r="B2217" i="65"/>
  <c r="G2217" i="65"/>
  <c r="J2217" i="65"/>
  <c r="B2218" i="65"/>
  <c r="G2218" i="65"/>
  <c r="J2218" i="65"/>
  <c r="B2219" i="65"/>
  <c r="G2219" i="65"/>
  <c r="J2219" i="65"/>
  <c r="B2220" i="65"/>
  <c r="G2220" i="65"/>
  <c r="J2220" i="65"/>
  <c r="B2221" i="65"/>
  <c r="G2221" i="65"/>
  <c r="J2221" i="65"/>
  <c r="B2222" i="65"/>
  <c r="G2222" i="65"/>
  <c r="J2222" i="65"/>
  <c r="B2223" i="65"/>
  <c r="G2223" i="65"/>
  <c r="J2223" i="65"/>
  <c r="B2224" i="65"/>
  <c r="G2224" i="65"/>
  <c r="J2224" i="65"/>
  <c r="B2225" i="65"/>
  <c r="G2225" i="65"/>
  <c r="J2225" i="65"/>
  <c r="B2226" i="65"/>
  <c r="G2226" i="65"/>
  <c r="J2226" i="65"/>
  <c r="B2227" i="65"/>
  <c r="G2227" i="65"/>
  <c r="J2227" i="65"/>
  <c r="B2228" i="65"/>
  <c r="G2228" i="65"/>
  <c r="J2228" i="65"/>
  <c r="B2229" i="65"/>
  <c r="G2229" i="65"/>
  <c r="J2229" i="65"/>
  <c r="B2230" i="65"/>
  <c r="G2230" i="65"/>
  <c r="J2230" i="65"/>
  <c r="B2231" i="65"/>
  <c r="G2231" i="65"/>
  <c r="J2231" i="65"/>
  <c r="B2232" i="65"/>
  <c r="G2232" i="65"/>
  <c r="J2232" i="65"/>
  <c r="B2233" i="65"/>
  <c r="G2233" i="65"/>
  <c r="J2233" i="65"/>
  <c r="B2234" i="65"/>
  <c r="G2234" i="65"/>
  <c r="J2234" i="65"/>
  <c r="B2235" i="65"/>
  <c r="G2235" i="65"/>
  <c r="J2235" i="65"/>
  <c r="B2236" i="65"/>
  <c r="G2236" i="65"/>
  <c r="J2236" i="65"/>
  <c r="B2237" i="65"/>
  <c r="G2237" i="65"/>
  <c r="J2237" i="65"/>
  <c r="B2238" i="65"/>
  <c r="G2238" i="65"/>
  <c r="J2238" i="65"/>
  <c r="B2239" i="65"/>
  <c r="G2239" i="65"/>
  <c r="J2239" i="65"/>
  <c r="B2240" i="65"/>
  <c r="G2240" i="65"/>
  <c r="J2240" i="65"/>
  <c r="B2241" i="65"/>
  <c r="G2241" i="65"/>
  <c r="J2241" i="65"/>
  <c r="B2242" i="65"/>
  <c r="G2242" i="65"/>
  <c r="J2242" i="65"/>
  <c r="B2243" i="65"/>
  <c r="G2243" i="65"/>
  <c r="J2243" i="65"/>
  <c r="B2244" i="65"/>
  <c r="G2244" i="65"/>
  <c r="J2244" i="65"/>
  <c r="B2245" i="65"/>
  <c r="G2245" i="65"/>
  <c r="J2245" i="65"/>
  <c r="B2246" i="65"/>
  <c r="G2246" i="65"/>
  <c r="J2246" i="65"/>
  <c r="B2247" i="65"/>
  <c r="G2247" i="65"/>
  <c r="J2247" i="65"/>
  <c r="B2248" i="65"/>
  <c r="G2248" i="65"/>
  <c r="J2248" i="65"/>
  <c r="B2249" i="65"/>
  <c r="G2249" i="65"/>
  <c r="J2249" i="65"/>
  <c r="B2250" i="65"/>
  <c r="G2250" i="65"/>
  <c r="J2250" i="65"/>
  <c r="B2251" i="65"/>
  <c r="G2251" i="65"/>
  <c r="J2251" i="65"/>
  <c r="B2252" i="65"/>
  <c r="G2252" i="65"/>
  <c r="J2252" i="65"/>
  <c r="B2253" i="65"/>
  <c r="G2253" i="65"/>
  <c r="J2253" i="65"/>
  <c r="B2254" i="65"/>
  <c r="G2254" i="65"/>
  <c r="J2254" i="65"/>
  <c r="B2255" i="65"/>
  <c r="G2255" i="65"/>
  <c r="J2255" i="65"/>
  <c r="B2256" i="65"/>
  <c r="G2256" i="65"/>
  <c r="J2256" i="65"/>
  <c r="B2257" i="65"/>
  <c r="G2257" i="65"/>
  <c r="J2257" i="65"/>
  <c r="B2258" i="65"/>
  <c r="G2258" i="65"/>
  <c r="J2258" i="65"/>
  <c r="B2259" i="65"/>
  <c r="G2259" i="65"/>
  <c r="J2259" i="65"/>
  <c r="B2260" i="65"/>
  <c r="G2260" i="65"/>
  <c r="J2260" i="65"/>
  <c r="B2261" i="65"/>
  <c r="G2261" i="65"/>
  <c r="J2261" i="65"/>
  <c r="B2262" i="65"/>
  <c r="G2262" i="65"/>
  <c r="J2262" i="65"/>
  <c r="B2263" i="65"/>
  <c r="G2263" i="65"/>
  <c r="J2263" i="65"/>
  <c r="B2264" i="65"/>
  <c r="G2264" i="65"/>
  <c r="J2264" i="65"/>
  <c r="B2265" i="65"/>
  <c r="G2265" i="65"/>
  <c r="J2265" i="65"/>
  <c r="B2266" i="65"/>
  <c r="G2266" i="65"/>
  <c r="J2266" i="65"/>
  <c r="B2267" i="65"/>
  <c r="G2267" i="65"/>
  <c r="J2267" i="65"/>
  <c r="B2268" i="65"/>
  <c r="G2268" i="65"/>
  <c r="J2268" i="65"/>
  <c r="B2269" i="65"/>
  <c r="G2269" i="65"/>
  <c r="J2269" i="65"/>
  <c r="B2270" i="65"/>
  <c r="G2270" i="65"/>
  <c r="J2270" i="65"/>
  <c r="B2271" i="65"/>
  <c r="G2271" i="65"/>
  <c r="J2271" i="65"/>
  <c r="B2272" i="65"/>
  <c r="G2272" i="65"/>
  <c r="J2272" i="65"/>
  <c r="B2273" i="65"/>
  <c r="G2273" i="65"/>
  <c r="J2273" i="65"/>
  <c r="B2274" i="65"/>
  <c r="G2274" i="65"/>
  <c r="J2274" i="65"/>
  <c r="B2275" i="65"/>
  <c r="G2275" i="65"/>
  <c r="J2275" i="65"/>
  <c r="B2276" i="65"/>
  <c r="G2276" i="65"/>
  <c r="J2276" i="65"/>
  <c r="B2277" i="65"/>
  <c r="G2277" i="65"/>
  <c r="J2277" i="65"/>
  <c r="B2278" i="65"/>
  <c r="G2278" i="65"/>
  <c r="J2278" i="65"/>
  <c r="B2279" i="65"/>
  <c r="G2279" i="65"/>
  <c r="J2279" i="65"/>
  <c r="B2280" i="65"/>
  <c r="G2280" i="65"/>
  <c r="J2280" i="65"/>
  <c r="B2281" i="65"/>
  <c r="G2281" i="65"/>
  <c r="J2281" i="65"/>
  <c r="B2282" i="65"/>
  <c r="G2282" i="65"/>
  <c r="J2282" i="65"/>
  <c r="B2283" i="65"/>
  <c r="G2283" i="65"/>
  <c r="J2283" i="65"/>
  <c r="B2284" i="65"/>
  <c r="G2284" i="65"/>
  <c r="J2284" i="65"/>
  <c r="B2285" i="65"/>
  <c r="G2285" i="65"/>
  <c r="J2285" i="65"/>
  <c r="B2286" i="65"/>
  <c r="G2286" i="65"/>
  <c r="J2286" i="65"/>
  <c r="B2287" i="65"/>
  <c r="G2287" i="65"/>
  <c r="J2287" i="65"/>
  <c r="B2288" i="65"/>
  <c r="G2288" i="65"/>
  <c r="J2288" i="65"/>
  <c r="B2289" i="65"/>
  <c r="G2289" i="65"/>
  <c r="J2289" i="65"/>
  <c r="B2290" i="65"/>
  <c r="G2290" i="65"/>
  <c r="J2290" i="65"/>
  <c r="B2291" i="65"/>
  <c r="G2291" i="65"/>
  <c r="J2291" i="65"/>
  <c r="B2292" i="65"/>
  <c r="G2292" i="65"/>
  <c r="J2292" i="65"/>
  <c r="B2293" i="65"/>
  <c r="G2293" i="65"/>
  <c r="J2293" i="65"/>
  <c r="B2294" i="65"/>
  <c r="G2294" i="65"/>
  <c r="J2294" i="65"/>
  <c r="B2295" i="65"/>
  <c r="G2295" i="65"/>
  <c r="J2295" i="65"/>
  <c r="B2296" i="65"/>
  <c r="G2296" i="65"/>
  <c r="J2296" i="65"/>
  <c r="B2297" i="65"/>
  <c r="G2297" i="65"/>
  <c r="J2297" i="65"/>
  <c r="B2298" i="65"/>
  <c r="G2298" i="65"/>
  <c r="J2298" i="65"/>
  <c r="B2299" i="65"/>
  <c r="G2299" i="65"/>
  <c r="J2299" i="65"/>
  <c r="B2300" i="65"/>
  <c r="G2300" i="65"/>
  <c r="J2300" i="65"/>
  <c r="B2301" i="65"/>
  <c r="G2301" i="65"/>
  <c r="J2301" i="65"/>
  <c r="B2302" i="65"/>
  <c r="G2302" i="65"/>
  <c r="J2302" i="65"/>
  <c r="B2303" i="65"/>
  <c r="G2303" i="65"/>
  <c r="J2303" i="65"/>
  <c r="B2304" i="65"/>
  <c r="G2304" i="65"/>
  <c r="J2304" i="65"/>
  <c r="B2305" i="65"/>
  <c r="G2305" i="65"/>
  <c r="J2305" i="65"/>
  <c r="B2306" i="65"/>
  <c r="G2306" i="65"/>
  <c r="J2306" i="65"/>
  <c r="B2307" i="65"/>
  <c r="G2307" i="65"/>
  <c r="J2307" i="65"/>
  <c r="B2308" i="65"/>
  <c r="G2308" i="65"/>
  <c r="J2308" i="65"/>
  <c r="B2309" i="65"/>
  <c r="G2309" i="65"/>
  <c r="J2309" i="65"/>
  <c r="B2310" i="65"/>
  <c r="G2310" i="65"/>
  <c r="J2310" i="65"/>
  <c r="B2311" i="65"/>
  <c r="G2311" i="65"/>
  <c r="J2311" i="65"/>
  <c r="B2312" i="65"/>
  <c r="G2312" i="65"/>
  <c r="J2312" i="65"/>
  <c r="B2313" i="65"/>
  <c r="G2313" i="65"/>
  <c r="J2313" i="65"/>
  <c r="B2314" i="65"/>
  <c r="G2314" i="65"/>
  <c r="J2314" i="65"/>
  <c r="B2315" i="65"/>
  <c r="G2315" i="65"/>
  <c r="J2315" i="65"/>
  <c r="B2316" i="65"/>
  <c r="G2316" i="65"/>
  <c r="J2316" i="65"/>
  <c r="B2317" i="65"/>
  <c r="G2317" i="65"/>
  <c r="J2317" i="65"/>
  <c r="B2318" i="65"/>
  <c r="G2318" i="65"/>
  <c r="J2318" i="65"/>
  <c r="B2319" i="65"/>
  <c r="G2319" i="65"/>
  <c r="J2319" i="65"/>
  <c r="B2320" i="65"/>
  <c r="G2320" i="65"/>
  <c r="J2320" i="65"/>
  <c r="B2321" i="65"/>
  <c r="G2321" i="65"/>
  <c r="J2321" i="65"/>
  <c r="B2322" i="65"/>
  <c r="G2322" i="65"/>
  <c r="J2322" i="65"/>
  <c r="B2323" i="65"/>
  <c r="G2323" i="65"/>
  <c r="J2323" i="65"/>
  <c r="B2324" i="65"/>
  <c r="G2324" i="65"/>
  <c r="J2324" i="65"/>
  <c r="B2325" i="65"/>
  <c r="G2325" i="65"/>
  <c r="J2325" i="65"/>
  <c r="B2326" i="65"/>
  <c r="G2326" i="65"/>
  <c r="J2326" i="65"/>
  <c r="B2327" i="65"/>
  <c r="G2327" i="65"/>
  <c r="J2327" i="65"/>
  <c r="B2328" i="65"/>
  <c r="G2328" i="65"/>
  <c r="J2328" i="65"/>
  <c r="B2329" i="65"/>
  <c r="G2329" i="65"/>
  <c r="J2329" i="65"/>
  <c r="B2330" i="65"/>
  <c r="G2330" i="65"/>
  <c r="J2330" i="65"/>
  <c r="B2331" i="65"/>
  <c r="G2331" i="65"/>
  <c r="J2331" i="65"/>
  <c r="B2332" i="65"/>
  <c r="G2332" i="65"/>
  <c r="J2332" i="65"/>
  <c r="B2333" i="65"/>
  <c r="G2333" i="65"/>
  <c r="J2333" i="65"/>
  <c r="B2334" i="65"/>
  <c r="G2334" i="65"/>
  <c r="J2334" i="65"/>
  <c r="B2335" i="65"/>
  <c r="G2335" i="65"/>
  <c r="J2335" i="65"/>
  <c r="B2336" i="65"/>
  <c r="G2336" i="65"/>
  <c r="J2336" i="65"/>
  <c r="B2337" i="65"/>
  <c r="G2337" i="65"/>
  <c r="J2337" i="65"/>
  <c r="B2338" i="65"/>
  <c r="G2338" i="65"/>
  <c r="J2338" i="65"/>
  <c r="B2339" i="65"/>
  <c r="G2339" i="65"/>
  <c r="J2339" i="65"/>
  <c r="B2340" i="65"/>
  <c r="G2340" i="65"/>
  <c r="J2340" i="65"/>
  <c r="B2341" i="65"/>
  <c r="G2341" i="65"/>
  <c r="J2341" i="65"/>
  <c r="B2342" i="65"/>
  <c r="G2342" i="65"/>
  <c r="J2342" i="65"/>
  <c r="B2343" i="65"/>
  <c r="G2343" i="65"/>
  <c r="J2343" i="65"/>
  <c r="B2344" i="65"/>
  <c r="G2344" i="65"/>
  <c r="J2344" i="65"/>
  <c r="B2345" i="65"/>
  <c r="G2345" i="65"/>
  <c r="J2345" i="65"/>
  <c r="B2346" i="65"/>
  <c r="G2346" i="65"/>
  <c r="J2346" i="65"/>
  <c r="B2347" i="65"/>
  <c r="G2347" i="65"/>
  <c r="J2347" i="65"/>
  <c r="B2348" i="65"/>
  <c r="G2348" i="65"/>
  <c r="J2348" i="65"/>
  <c r="B2349" i="65"/>
  <c r="G2349" i="65"/>
  <c r="J2349" i="65"/>
  <c r="B2350" i="65"/>
  <c r="G2350" i="65"/>
  <c r="J2350" i="65"/>
  <c r="B2351" i="65"/>
  <c r="G2351" i="65"/>
  <c r="J2351" i="65"/>
  <c r="B2352" i="65"/>
  <c r="G2352" i="65"/>
  <c r="J2352" i="65"/>
  <c r="B2353" i="65"/>
  <c r="G2353" i="65"/>
  <c r="J2353" i="65"/>
  <c r="B2354" i="65"/>
  <c r="G2354" i="65"/>
  <c r="J2354" i="65"/>
  <c r="B2355" i="65"/>
  <c r="G2355" i="65"/>
  <c r="J2355" i="65"/>
  <c r="B2356" i="65"/>
  <c r="G2356" i="65"/>
  <c r="J2356" i="65"/>
  <c r="B2357" i="65"/>
  <c r="G2357" i="65"/>
  <c r="J2357" i="65"/>
  <c r="B2358" i="65"/>
  <c r="G2358" i="65"/>
  <c r="J2358" i="65"/>
  <c r="B2359" i="65"/>
  <c r="G2359" i="65"/>
  <c r="J2359" i="65"/>
  <c r="B2360" i="65"/>
  <c r="G2360" i="65"/>
  <c r="J2360" i="65"/>
  <c r="B2361" i="65"/>
  <c r="G2361" i="65"/>
  <c r="J2361" i="65"/>
  <c r="B2362" i="65"/>
  <c r="G2362" i="65"/>
  <c r="J2362" i="65"/>
  <c r="B2363" i="65"/>
  <c r="G2363" i="65"/>
  <c r="J2363" i="65"/>
  <c r="B2364" i="65"/>
  <c r="G2364" i="65"/>
  <c r="J2364" i="65"/>
  <c r="B2365" i="65"/>
  <c r="G2365" i="65"/>
  <c r="J2365" i="65"/>
  <c r="B2366" i="65"/>
  <c r="G2366" i="65"/>
  <c r="J2366" i="65"/>
  <c r="B2367" i="65"/>
  <c r="G2367" i="65"/>
  <c r="J2367" i="65"/>
  <c r="B2368" i="65"/>
  <c r="G2368" i="65"/>
  <c r="J2368" i="65"/>
  <c r="B2369" i="65"/>
  <c r="G2369" i="65"/>
  <c r="J2369" i="65"/>
  <c r="B2370" i="65"/>
  <c r="G2370" i="65"/>
  <c r="J2370" i="65"/>
  <c r="B2371" i="65"/>
  <c r="G2371" i="65"/>
  <c r="J2371" i="65"/>
  <c r="B2372" i="65"/>
  <c r="G2372" i="65"/>
  <c r="J2372" i="65"/>
  <c r="B2373" i="65"/>
  <c r="G2373" i="65"/>
  <c r="J2373" i="65"/>
  <c r="B2374" i="65"/>
  <c r="G2374" i="65"/>
  <c r="J2374" i="65"/>
  <c r="B2375" i="65"/>
  <c r="G2375" i="65"/>
  <c r="J2375" i="65"/>
  <c r="B2376" i="65"/>
  <c r="G2376" i="65"/>
  <c r="J2376" i="65"/>
  <c r="B2377" i="65"/>
  <c r="G2377" i="65"/>
  <c r="J2377" i="65"/>
  <c r="B2378" i="65"/>
  <c r="G2378" i="65"/>
  <c r="J2378" i="65"/>
  <c r="B2379" i="65"/>
  <c r="G2379" i="65"/>
  <c r="J2379" i="65"/>
  <c r="B2380" i="65"/>
  <c r="G2380" i="65"/>
  <c r="J2380" i="65"/>
  <c r="B2381" i="65"/>
  <c r="G2381" i="65"/>
  <c r="J2381" i="65"/>
  <c r="B2382" i="65"/>
  <c r="G2382" i="65"/>
  <c r="J2382" i="65"/>
  <c r="B2383" i="65"/>
  <c r="G2383" i="65"/>
  <c r="J2383" i="65"/>
  <c r="B2384" i="65"/>
  <c r="G2384" i="65"/>
  <c r="J2384" i="65"/>
  <c r="B2385" i="65"/>
  <c r="G2385" i="65"/>
  <c r="J2385" i="65"/>
  <c r="B2386" i="65"/>
  <c r="G2386" i="65"/>
  <c r="J2386" i="65"/>
  <c r="B2387" i="65"/>
  <c r="G2387" i="65"/>
  <c r="J2387" i="65"/>
  <c r="B2388" i="65"/>
  <c r="G2388" i="65"/>
  <c r="J2388" i="65"/>
  <c r="B2389" i="65"/>
  <c r="G2389" i="65"/>
  <c r="J2389" i="65"/>
  <c r="B2390" i="65"/>
  <c r="G2390" i="65"/>
  <c r="J2390" i="65"/>
  <c r="B2391" i="65"/>
  <c r="G2391" i="65"/>
  <c r="J2391" i="65"/>
  <c r="B2392" i="65"/>
  <c r="G2392" i="65"/>
  <c r="J2392" i="65"/>
  <c r="B2393" i="65"/>
  <c r="G2393" i="65"/>
  <c r="J2393" i="65"/>
  <c r="B2394" i="65"/>
  <c r="G2394" i="65"/>
  <c r="J2394" i="65"/>
  <c r="B2395" i="65"/>
  <c r="G2395" i="65"/>
  <c r="J2395" i="65"/>
  <c r="B2396" i="65"/>
  <c r="G2396" i="65"/>
  <c r="J2396" i="65"/>
  <c r="B2397" i="65"/>
  <c r="G2397" i="65"/>
  <c r="J2397" i="65"/>
  <c r="B2398" i="65"/>
  <c r="G2398" i="65"/>
  <c r="J2398" i="65"/>
  <c r="B2399" i="65"/>
  <c r="G2399" i="65"/>
  <c r="J2399" i="65"/>
  <c r="B2400" i="65"/>
  <c r="G2400" i="65"/>
  <c r="J2400" i="65"/>
  <c r="B2401" i="65"/>
  <c r="G2401" i="65"/>
  <c r="J2401" i="65"/>
  <c r="B2402" i="65"/>
  <c r="G2402" i="65"/>
  <c r="J2402" i="65"/>
  <c r="B2403" i="65"/>
  <c r="G2403" i="65"/>
  <c r="J2403" i="65"/>
  <c r="B2404" i="65"/>
  <c r="G2404" i="65"/>
  <c r="J2404" i="65"/>
  <c r="B2405" i="65"/>
  <c r="G2405" i="65"/>
  <c r="J2405" i="65"/>
  <c r="B2406" i="65"/>
  <c r="G2406" i="65"/>
  <c r="J2406" i="65"/>
  <c r="B2407" i="65"/>
  <c r="G2407" i="65"/>
  <c r="J2407" i="65"/>
  <c r="B2408" i="65"/>
  <c r="G2408" i="65"/>
  <c r="J2408" i="65"/>
  <c r="B2409" i="65"/>
  <c r="G2409" i="65"/>
  <c r="J2409" i="65"/>
  <c r="B2410" i="65"/>
  <c r="G2410" i="65"/>
  <c r="J2410" i="65"/>
  <c r="B2411" i="65"/>
  <c r="G2411" i="65"/>
  <c r="J2411" i="65"/>
  <c r="B2412" i="65"/>
  <c r="G2412" i="65"/>
  <c r="J2412" i="65"/>
  <c r="B2413" i="65"/>
  <c r="G2413" i="65"/>
  <c r="J2413" i="65"/>
  <c r="B2414" i="65"/>
  <c r="G2414" i="65"/>
  <c r="J2414" i="65"/>
  <c r="B2415" i="65"/>
  <c r="G2415" i="65"/>
  <c r="J2415" i="65"/>
  <c r="B2416" i="65"/>
  <c r="G2416" i="65"/>
  <c r="J2416" i="65"/>
  <c r="B2417" i="65"/>
  <c r="G2417" i="65"/>
  <c r="J2417" i="65"/>
  <c r="B2418" i="65"/>
  <c r="G2418" i="65"/>
  <c r="J2418" i="65"/>
  <c r="B2419" i="65"/>
  <c r="G2419" i="65"/>
  <c r="J2419" i="65"/>
  <c r="B2420" i="65"/>
  <c r="G2420" i="65"/>
  <c r="J2420" i="65"/>
  <c r="B2421" i="65"/>
  <c r="G2421" i="65"/>
  <c r="J2421" i="65"/>
  <c r="B2422" i="65"/>
  <c r="G2422" i="65"/>
  <c r="J2422" i="65"/>
  <c r="B2423" i="65"/>
  <c r="G2423" i="65"/>
  <c r="J2423" i="65"/>
  <c r="B2424" i="65"/>
  <c r="G2424" i="65"/>
  <c r="J2424" i="65"/>
  <c r="B2425" i="65"/>
  <c r="G2425" i="65"/>
  <c r="J2425" i="65"/>
  <c r="B2426" i="65"/>
  <c r="G2426" i="65"/>
  <c r="J2426" i="65"/>
  <c r="B2427" i="65"/>
  <c r="G2427" i="65"/>
  <c r="J2427" i="65"/>
  <c r="B2428" i="65"/>
  <c r="G2428" i="65"/>
  <c r="J2428" i="65"/>
  <c r="B2429" i="65"/>
  <c r="G2429" i="65"/>
  <c r="J2429" i="65"/>
  <c r="B2430" i="65"/>
  <c r="G2430" i="65"/>
  <c r="J2430" i="65"/>
  <c r="B2431" i="65"/>
  <c r="G2431" i="65"/>
  <c r="J2431" i="65"/>
  <c r="B2432" i="65"/>
  <c r="G2432" i="65"/>
  <c r="J2432" i="65"/>
  <c r="B2433" i="65"/>
  <c r="G2433" i="65"/>
  <c r="J2433" i="65"/>
  <c r="B2434" i="65"/>
  <c r="G2434" i="65"/>
  <c r="J2434" i="65"/>
  <c r="B2435" i="65"/>
  <c r="G2435" i="65"/>
  <c r="J2435" i="65"/>
  <c r="B2436" i="65"/>
  <c r="G2436" i="65"/>
  <c r="J2436" i="65"/>
  <c r="B2437" i="65"/>
  <c r="G2437" i="65"/>
  <c r="J2437" i="65"/>
  <c r="B2438" i="65"/>
  <c r="G2438" i="65"/>
  <c r="J2438" i="65"/>
  <c r="B2439" i="65"/>
  <c r="G2439" i="65"/>
  <c r="J2439" i="65"/>
  <c r="B2440" i="65"/>
  <c r="G2440" i="65"/>
  <c r="J2440" i="65"/>
  <c r="B2441" i="65"/>
  <c r="G2441" i="65"/>
  <c r="J2441" i="65"/>
  <c r="B2442" i="65"/>
  <c r="G2442" i="65"/>
  <c r="J2442" i="65"/>
  <c r="B2443" i="65"/>
  <c r="G2443" i="65"/>
  <c r="J2443" i="65"/>
  <c r="B2444" i="65"/>
  <c r="G2444" i="65"/>
  <c r="J2444" i="65"/>
  <c r="B2445" i="65"/>
  <c r="G2445" i="65"/>
  <c r="J2445" i="65"/>
  <c r="B2446" i="65"/>
  <c r="G2446" i="65"/>
  <c r="J2446" i="65"/>
  <c r="B2447" i="65"/>
  <c r="G2447" i="65"/>
  <c r="J2447" i="65"/>
  <c r="B2448" i="65"/>
  <c r="G2448" i="65"/>
  <c r="J2448" i="65"/>
  <c r="B2449" i="65"/>
  <c r="G2449" i="65"/>
  <c r="J2449" i="65"/>
  <c r="B2450" i="65"/>
  <c r="G2450" i="65"/>
  <c r="J2450" i="65"/>
  <c r="B2451" i="65"/>
  <c r="G2451" i="65"/>
  <c r="J2451" i="65"/>
  <c r="B2452" i="65"/>
  <c r="G2452" i="65"/>
  <c r="J2452" i="65"/>
  <c r="B2453" i="65"/>
  <c r="G2453" i="65"/>
  <c r="J2453" i="65"/>
  <c r="B2454" i="65"/>
  <c r="G2454" i="65"/>
  <c r="J2454" i="65"/>
  <c r="B2455" i="65"/>
  <c r="G2455" i="65"/>
  <c r="J2455" i="65"/>
  <c r="B2456" i="65"/>
  <c r="G2456" i="65"/>
  <c r="J2456" i="65"/>
  <c r="B2457" i="65"/>
  <c r="G2457" i="65"/>
  <c r="J2457" i="65"/>
  <c r="B2458" i="65"/>
  <c r="G2458" i="65"/>
  <c r="J2458" i="65"/>
  <c r="B2459" i="65"/>
  <c r="G2459" i="65"/>
  <c r="J2459" i="65"/>
  <c r="B2460" i="65"/>
  <c r="G2460" i="65"/>
  <c r="J2460" i="65"/>
  <c r="B2461" i="65"/>
  <c r="G2461" i="65"/>
  <c r="J2461" i="65"/>
  <c r="B2462" i="65"/>
  <c r="G2462" i="65"/>
  <c r="J2462" i="65"/>
  <c r="B2463" i="65"/>
  <c r="G2463" i="65"/>
  <c r="J2463" i="65"/>
  <c r="B2464" i="65"/>
  <c r="G2464" i="65"/>
  <c r="J2464" i="65"/>
  <c r="B2465" i="65"/>
  <c r="G2465" i="65"/>
  <c r="J2465" i="65"/>
  <c r="B2466" i="65"/>
  <c r="G2466" i="65"/>
  <c r="J2466" i="65"/>
  <c r="B2467" i="65"/>
  <c r="G2467" i="65"/>
  <c r="J2467" i="65"/>
  <c r="B2468" i="65"/>
  <c r="G2468" i="65"/>
  <c r="J2468" i="65"/>
  <c r="B2469" i="65"/>
  <c r="G2469" i="65"/>
  <c r="J2469" i="65"/>
  <c r="B2470" i="65"/>
  <c r="G2470" i="65"/>
  <c r="J2470" i="65"/>
  <c r="B2471" i="65"/>
  <c r="G2471" i="65"/>
  <c r="J2471" i="65"/>
  <c r="B2472" i="65"/>
  <c r="G2472" i="65"/>
  <c r="J2472" i="65"/>
  <c r="B2473" i="65"/>
  <c r="G2473" i="65"/>
  <c r="J2473" i="65"/>
  <c r="B2474" i="65"/>
  <c r="G2474" i="65"/>
  <c r="J2474" i="65"/>
  <c r="B2475" i="65"/>
  <c r="G2475" i="65"/>
  <c r="J2475" i="65"/>
  <c r="B2476" i="65"/>
  <c r="G2476" i="65"/>
  <c r="J2476" i="65"/>
  <c r="B2477" i="65"/>
  <c r="G2477" i="65"/>
  <c r="J2477" i="65"/>
  <c r="B2478" i="65"/>
  <c r="G2478" i="65"/>
  <c r="J2478" i="65"/>
  <c r="B2479" i="65"/>
  <c r="G2479" i="65"/>
  <c r="J2479" i="65"/>
  <c r="B2480" i="65"/>
  <c r="G2480" i="65"/>
  <c r="J2480" i="65"/>
  <c r="B2481" i="65"/>
  <c r="G2481" i="65"/>
  <c r="J2481" i="65"/>
  <c r="B2482" i="65"/>
  <c r="G2482" i="65"/>
  <c r="J2482" i="65"/>
  <c r="B2483" i="65"/>
  <c r="G2483" i="65"/>
  <c r="J2483" i="65"/>
  <c r="B2484" i="65"/>
  <c r="G2484" i="65"/>
  <c r="J2484" i="65"/>
  <c r="B2485" i="65"/>
  <c r="G2485" i="65"/>
  <c r="J2485" i="65"/>
  <c r="B2486" i="65"/>
  <c r="G2486" i="65"/>
  <c r="J2486" i="65"/>
  <c r="B2487" i="65"/>
  <c r="G2487" i="65"/>
  <c r="J2487" i="65"/>
  <c r="B2488" i="65"/>
  <c r="G2488" i="65"/>
  <c r="J2488" i="65"/>
  <c r="B2489" i="65"/>
  <c r="G2489" i="65"/>
  <c r="J2489" i="65"/>
  <c r="B2490" i="65"/>
  <c r="G2490" i="65"/>
  <c r="J2490" i="65"/>
  <c r="B2491" i="65"/>
  <c r="G2491" i="65"/>
  <c r="J2491" i="65"/>
  <c r="B2492" i="65"/>
  <c r="G2492" i="65"/>
  <c r="J2492" i="65"/>
  <c r="B2493" i="65"/>
  <c r="G2493" i="65"/>
  <c r="J2493" i="65"/>
  <c r="B2494" i="65"/>
  <c r="G2494" i="65"/>
  <c r="J2494" i="65"/>
  <c r="B2495" i="65"/>
  <c r="G2495" i="65"/>
  <c r="J2495" i="65"/>
  <c r="B2496" i="65"/>
  <c r="G2496" i="65"/>
  <c r="J2496" i="65"/>
  <c r="B2497" i="65"/>
  <c r="G2497" i="65"/>
  <c r="J2497" i="65"/>
  <c r="B2498" i="65"/>
  <c r="G2498" i="65"/>
  <c r="J2498" i="65"/>
  <c r="B2499" i="65"/>
  <c r="G2499" i="65"/>
  <c r="J2499" i="65"/>
  <c r="B2500" i="65"/>
  <c r="G2500" i="65"/>
  <c r="J2500" i="65"/>
  <c r="B2501" i="65"/>
  <c r="G2501" i="65"/>
  <c r="J2501" i="65"/>
  <c r="B2502" i="65"/>
  <c r="G2502" i="65"/>
  <c r="J2502" i="65"/>
  <c r="B2503" i="65"/>
  <c r="G2503" i="65"/>
  <c r="J2503" i="65"/>
  <c r="B2504" i="65"/>
  <c r="G2504" i="65"/>
  <c r="J2504" i="65"/>
  <c r="B2505" i="65"/>
  <c r="G2505" i="65"/>
  <c r="J2505" i="65"/>
  <c r="B2506" i="65"/>
  <c r="G2506" i="65"/>
  <c r="J2506" i="65"/>
  <c r="B2507" i="65"/>
  <c r="G2507" i="65"/>
  <c r="J2507" i="65"/>
  <c r="B2508" i="65"/>
  <c r="G2508" i="65"/>
  <c r="J2508" i="65"/>
  <c r="B2509" i="65"/>
  <c r="G2509" i="65"/>
  <c r="J2509" i="65"/>
  <c r="B2510" i="65"/>
  <c r="G2510" i="65"/>
  <c r="J2510" i="65"/>
  <c r="B2511" i="65"/>
  <c r="G2511" i="65"/>
  <c r="J2511" i="65"/>
  <c r="B2512" i="65"/>
  <c r="G2512" i="65"/>
  <c r="J2512" i="65"/>
  <c r="B2513" i="65"/>
  <c r="G2513" i="65"/>
  <c r="J2513" i="65"/>
  <c r="B2514" i="65"/>
  <c r="G2514" i="65"/>
  <c r="J2514" i="65"/>
  <c r="B2515" i="65"/>
  <c r="G2515" i="65"/>
  <c r="J2515" i="65"/>
  <c r="B2516" i="65"/>
  <c r="G2516" i="65"/>
  <c r="J2516" i="65"/>
  <c r="B2517" i="65"/>
  <c r="G2517" i="65"/>
  <c r="J2517" i="65"/>
  <c r="B2518" i="65"/>
  <c r="G2518" i="65"/>
  <c r="J2518" i="65"/>
  <c r="B2519" i="65"/>
  <c r="G2519" i="65"/>
  <c r="J2519" i="65"/>
  <c r="B2520" i="65"/>
  <c r="G2520" i="65"/>
  <c r="J2520" i="65"/>
  <c r="B2521" i="65"/>
  <c r="G2521" i="65"/>
  <c r="J2521" i="65"/>
  <c r="B2522" i="65"/>
  <c r="G2522" i="65"/>
  <c r="J2522" i="65"/>
  <c r="B2523" i="65"/>
  <c r="G2523" i="65"/>
  <c r="J2523" i="65"/>
  <c r="B2524" i="65"/>
  <c r="G2524" i="65"/>
  <c r="J2524" i="65"/>
  <c r="B2525" i="65"/>
  <c r="G2525" i="65"/>
  <c r="J2525" i="65"/>
  <c r="B2526" i="65"/>
  <c r="G2526" i="65"/>
  <c r="J2526" i="65"/>
  <c r="B2527" i="65"/>
  <c r="G2527" i="65"/>
  <c r="J2527" i="65"/>
  <c r="B2528" i="65"/>
  <c r="G2528" i="65"/>
  <c r="J2528" i="65"/>
  <c r="B2529" i="65"/>
  <c r="G2529" i="65"/>
  <c r="J2529" i="65"/>
  <c r="B2530" i="65"/>
  <c r="G2530" i="65"/>
  <c r="J2530" i="65"/>
  <c r="B2531" i="65"/>
  <c r="G2531" i="65"/>
  <c r="J2531" i="65"/>
  <c r="B2532" i="65"/>
  <c r="G2532" i="65"/>
  <c r="J2532" i="65"/>
  <c r="B2533" i="65"/>
  <c r="G2533" i="65"/>
  <c r="J2533" i="65"/>
  <c r="B2534" i="65"/>
  <c r="G2534" i="65"/>
  <c r="J2534" i="65"/>
  <c r="B2535" i="65"/>
  <c r="G2535" i="65"/>
  <c r="J2535" i="65"/>
  <c r="B2536" i="65"/>
  <c r="G2536" i="65"/>
  <c r="J2536" i="65"/>
  <c r="B2537" i="65"/>
  <c r="G2537" i="65"/>
  <c r="J2537" i="65"/>
  <c r="B2538" i="65"/>
  <c r="G2538" i="65"/>
  <c r="J2538" i="65"/>
  <c r="B2539" i="65"/>
  <c r="G2539" i="65"/>
  <c r="J2539" i="65"/>
  <c r="B2540" i="65"/>
  <c r="G2540" i="65"/>
  <c r="J2540" i="65"/>
  <c r="B2541" i="65"/>
  <c r="G2541" i="65"/>
  <c r="J2541" i="65"/>
  <c r="B2542" i="65"/>
  <c r="G2542" i="65"/>
  <c r="J2542" i="65"/>
  <c r="B2543" i="65"/>
  <c r="G2543" i="65"/>
  <c r="J2543" i="65"/>
  <c r="B2544" i="65"/>
  <c r="G2544" i="65"/>
  <c r="J2544" i="65"/>
  <c r="B2545" i="65"/>
  <c r="G2545" i="65"/>
  <c r="J2545" i="65"/>
  <c r="B2546" i="65"/>
  <c r="G2546" i="65"/>
  <c r="J2546" i="65"/>
  <c r="B2547" i="65"/>
  <c r="G2547" i="65"/>
  <c r="J2547" i="65"/>
  <c r="B2548" i="65"/>
  <c r="G2548" i="65"/>
  <c r="J2548" i="65"/>
  <c r="B2549" i="65"/>
  <c r="G2549" i="65"/>
  <c r="J2549" i="65"/>
  <c r="B2550" i="65"/>
  <c r="G2550" i="65"/>
  <c r="J2550" i="65"/>
  <c r="B2551" i="65"/>
  <c r="G2551" i="65"/>
  <c r="J2551" i="65"/>
  <c r="B2552" i="65"/>
  <c r="G2552" i="65"/>
  <c r="J2552" i="65"/>
  <c r="B2553" i="65"/>
  <c r="G2553" i="65"/>
  <c r="J2553" i="65"/>
  <c r="B2554" i="65"/>
  <c r="G2554" i="65"/>
  <c r="J2554" i="65"/>
  <c r="B2555" i="65"/>
  <c r="G2555" i="65"/>
  <c r="J2555" i="65"/>
  <c r="B2556" i="65"/>
  <c r="G2556" i="65"/>
  <c r="J2556" i="65"/>
  <c r="B2557" i="65"/>
  <c r="G2557" i="65"/>
  <c r="J2557" i="65"/>
  <c r="B2558" i="65"/>
  <c r="G2558" i="65"/>
  <c r="J2558" i="65"/>
  <c r="B2559" i="65"/>
  <c r="G2559" i="65"/>
  <c r="J2559" i="65"/>
  <c r="B2560" i="65"/>
  <c r="G2560" i="65"/>
  <c r="J2560" i="65"/>
  <c r="B2561" i="65"/>
  <c r="G2561" i="65"/>
  <c r="J2561" i="65"/>
  <c r="B2562" i="65"/>
  <c r="G2562" i="65"/>
  <c r="J2562" i="65"/>
  <c r="B2563" i="65"/>
  <c r="G2563" i="65"/>
  <c r="J2563" i="65"/>
  <c r="B2564" i="65"/>
  <c r="G2564" i="65"/>
  <c r="J2564" i="65"/>
  <c r="B2565" i="65"/>
  <c r="G2565" i="65"/>
  <c r="J2565" i="65"/>
  <c r="B2566" i="65"/>
  <c r="G2566" i="65"/>
  <c r="J2566" i="65"/>
  <c r="B2567" i="65"/>
  <c r="G2567" i="65"/>
  <c r="J2567" i="65"/>
  <c r="B2568" i="65"/>
  <c r="G2568" i="65"/>
  <c r="J2568" i="65"/>
  <c r="B2569" i="65"/>
  <c r="G2569" i="65"/>
  <c r="J2569" i="65"/>
  <c r="B2570" i="65"/>
  <c r="G2570" i="65"/>
  <c r="J2570" i="65"/>
  <c r="B2571" i="65"/>
  <c r="G2571" i="65"/>
  <c r="J2571" i="65"/>
  <c r="B2572" i="65"/>
  <c r="G2572" i="65"/>
  <c r="J2572" i="65"/>
  <c r="B2573" i="65"/>
  <c r="G2573" i="65"/>
  <c r="J2573" i="65"/>
  <c r="B2574" i="65"/>
  <c r="G2574" i="65"/>
  <c r="J2574" i="65"/>
  <c r="B2575" i="65"/>
  <c r="G2575" i="65"/>
  <c r="J2575" i="65"/>
  <c r="B2576" i="65"/>
  <c r="G2576" i="65"/>
  <c r="J2576" i="65"/>
  <c r="B2577" i="65"/>
  <c r="G2577" i="65"/>
  <c r="J2577" i="65"/>
  <c r="B2578" i="65"/>
  <c r="G2578" i="65"/>
  <c r="J2578" i="65"/>
  <c r="B2579" i="65"/>
  <c r="G2579" i="65"/>
  <c r="J2579" i="65"/>
  <c r="B2580" i="65"/>
  <c r="G2580" i="65"/>
  <c r="J2580" i="65"/>
  <c r="B2581" i="65"/>
  <c r="G2581" i="65"/>
  <c r="J2581" i="65"/>
  <c r="B2582" i="65"/>
  <c r="G2582" i="65"/>
  <c r="J2582" i="65"/>
  <c r="B2583" i="65"/>
  <c r="G2583" i="65"/>
  <c r="J2583" i="65"/>
  <c r="B2584" i="65"/>
  <c r="G2584" i="65"/>
  <c r="J2584" i="65"/>
  <c r="B2585" i="65"/>
  <c r="G2585" i="65"/>
  <c r="J2585" i="65"/>
  <c r="B2586" i="65"/>
  <c r="G2586" i="65"/>
  <c r="J2586" i="65"/>
  <c r="B2587" i="65"/>
  <c r="G2587" i="65"/>
  <c r="J2587" i="65"/>
  <c r="B2588" i="65"/>
  <c r="G2588" i="65"/>
  <c r="J2588" i="65"/>
  <c r="B2589" i="65"/>
  <c r="G2589" i="65"/>
  <c r="J2589" i="65"/>
  <c r="B2590" i="65"/>
  <c r="G2590" i="65"/>
  <c r="J2590" i="65"/>
  <c r="B2591" i="65"/>
  <c r="G2591" i="65"/>
  <c r="J2591" i="65"/>
  <c r="B2592" i="65"/>
  <c r="G2592" i="65"/>
  <c r="J2592" i="65"/>
  <c r="B2593" i="65"/>
  <c r="G2593" i="65"/>
  <c r="J2593" i="65"/>
  <c r="B2594" i="65"/>
  <c r="G2594" i="65"/>
  <c r="J2594" i="65"/>
  <c r="B2595" i="65"/>
  <c r="G2595" i="65"/>
  <c r="J2595" i="65"/>
  <c r="B2596" i="65"/>
  <c r="G2596" i="65"/>
  <c r="J2596" i="65"/>
  <c r="B2597" i="65"/>
  <c r="G2597" i="65"/>
  <c r="J2597" i="65"/>
  <c r="B2598" i="65"/>
  <c r="G2598" i="65"/>
  <c r="J2598" i="65"/>
  <c r="B2599" i="65"/>
  <c r="G2599" i="65"/>
  <c r="J2599" i="65"/>
  <c r="B2600" i="65"/>
  <c r="G2600" i="65"/>
  <c r="J2600" i="65"/>
  <c r="B2601" i="65"/>
  <c r="G2601" i="65"/>
  <c r="J2601" i="65"/>
  <c r="B2602" i="65"/>
  <c r="G2602" i="65"/>
  <c r="J2602" i="65"/>
  <c r="B2603" i="65"/>
  <c r="G2603" i="65"/>
  <c r="J2603" i="65"/>
  <c r="B2604" i="65"/>
  <c r="G2604" i="65"/>
  <c r="J2604" i="65"/>
  <c r="B2605" i="65"/>
  <c r="G2605" i="65"/>
  <c r="J2605" i="65"/>
  <c r="B2606" i="65"/>
  <c r="G2606" i="65"/>
  <c r="J2606" i="65"/>
  <c r="B2607" i="65"/>
  <c r="G2607" i="65"/>
  <c r="J2607" i="65"/>
  <c r="B2608" i="65"/>
  <c r="G2608" i="65"/>
  <c r="J2608" i="65"/>
  <c r="B2609" i="65"/>
  <c r="G2609" i="65"/>
  <c r="J2609" i="65"/>
  <c r="B2610" i="65"/>
  <c r="G2610" i="65"/>
  <c r="J2610" i="65"/>
  <c r="B2611" i="65"/>
  <c r="G2611" i="65"/>
  <c r="J2611" i="65"/>
  <c r="B2612" i="65"/>
  <c r="G2612" i="65"/>
  <c r="J2612" i="65"/>
  <c r="B2613" i="65"/>
  <c r="G2613" i="65"/>
  <c r="J2613" i="65"/>
  <c r="B2614" i="65"/>
  <c r="G2614" i="65"/>
  <c r="J2614" i="65"/>
  <c r="B2615" i="65"/>
  <c r="G2615" i="65"/>
  <c r="J2615" i="65"/>
  <c r="B2616" i="65"/>
  <c r="G2616" i="65"/>
  <c r="J2616" i="65"/>
  <c r="B2617" i="65"/>
  <c r="G2617" i="65"/>
  <c r="J2617" i="65"/>
  <c r="B2618" i="65"/>
  <c r="G2618" i="65"/>
  <c r="J2618" i="65"/>
  <c r="B2619" i="65"/>
  <c r="G2619" i="65"/>
  <c r="J2619" i="65"/>
  <c r="B2620" i="65"/>
  <c r="G2620" i="65"/>
  <c r="J2620" i="65"/>
  <c r="B2621" i="65"/>
  <c r="G2621" i="65"/>
  <c r="J2621" i="65"/>
  <c r="B2622" i="65"/>
  <c r="G2622" i="65"/>
  <c r="J2622" i="65"/>
  <c r="B2623" i="65"/>
  <c r="G2623" i="65"/>
  <c r="J2623" i="65"/>
  <c r="B2624" i="65"/>
  <c r="G2624" i="65"/>
  <c r="J2624" i="65"/>
  <c r="B2625" i="65"/>
  <c r="G2625" i="65"/>
  <c r="J2625" i="65"/>
  <c r="B2626" i="65"/>
  <c r="G2626" i="65"/>
  <c r="J2626" i="65"/>
  <c r="B2627" i="65"/>
  <c r="G2627" i="65"/>
  <c r="J2627" i="65"/>
  <c r="B2628" i="65"/>
  <c r="G2628" i="65"/>
  <c r="J2628" i="65"/>
  <c r="B2629" i="65"/>
  <c r="G2629" i="65"/>
  <c r="J2629" i="65"/>
  <c r="B2630" i="65"/>
  <c r="G2630" i="65"/>
  <c r="J2630" i="65"/>
  <c r="B2631" i="65"/>
  <c r="G2631" i="65"/>
  <c r="J2631" i="65"/>
  <c r="B2632" i="65"/>
  <c r="G2632" i="65"/>
  <c r="J2632" i="65"/>
  <c r="B2633" i="65"/>
  <c r="G2633" i="65"/>
  <c r="J2633" i="65"/>
  <c r="B2634" i="65"/>
  <c r="G2634" i="65"/>
  <c r="J2634" i="65"/>
  <c r="B2635" i="65"/>
  <c r="G2635" i="65"/>
  <c r="J2635" i="65"/>
  <c r="B2636" i="65"/>
  <c r="G2636" i="65"/>
  <c r="J2636" i="65"/>
  <c r="B2637" i="65"/>
  <c r="G2637" i="65"/>
  <c r="J2637" i="65"/>
  <c r="B2638" i="65"/>
  <c r="G2638" i="65"/>
  <c r="J2638" i="65"/>
  <c r="B2639" i="65"/>
  <c r="G2639" i="65"/>
  <c r="J2639" i="65"/>
  <c r="B2640" i="65"/>
  <c r="G2640" i="65"/>
  <c r="J2640" i="65"/>
  <c r="B2641" i="65"/>
  <c r="G2641" i="65"/>
  <c r="J2641" i="65"/>
  <c r="B2642" i="65"/>
  <c r="G2642" i="65"/>
  <c r="J2642" i="65"/>
  <c r="B2643" i="65"/>
  <c r="G2643" i="65"/>
  <c r="J2643" i="65"/>
  <c r="B2644" i="65"/>
  <c r="G2644" i="65"/>
  <c r="J2644" i="65"/>
  <c r="B2645" i="65"/>
  <c r="G2645" i="65"/>
  <c r="J2645" i="65"/>
  <c r="B2646" i="65"/>
  <c r="G2646" i="65"/>
  <c r="J2646" i="65"/>
  <c r="B2647" i="65"/>
  <c r="G2647" i="65"/>
  <c r="J2647" i="65"/>
  <c r="B2648" i="65"/>
  <c r="G2648" i="65"/>
  <c r="J2648" i="65"/>
  <c r="B2649" i="65"/>
  <c r="G2649" i="65"/>
  <c r="J2649" i="65"/>
  <c r="B2650" i="65"/>
  <c r="G2650" i="65"/>
  <c r="J2650" i="65"/>
  <c r="B2651" i="65"/>
  <c r="G2651" i="65"/>
  <c r="J2651" i="65"/>
  <c r="B2652" i="65"/>
  <c r="G2652" i="65"/>
  <c r="J2652" i="65"/>
  <c r="B2653" i="65"/>
  <c r="G2653" i="65"/>
  <c r="J2653" i="65"/>
  <c r="B2654" i="65"/>
  <c r="G2654" i="65"/>
  <c r="J2654" i="65"/>
  <c r="B2655" i="65"/>
  <c r="G2655" i="65"/>
  <c r="J2655" i="65"/>
  <c r="B2656" i="65"/>
  <c r="G2656" i="65"/>
  <c r="J2656" i="65"/>
  <c r="B2657" i="65"/>
  <c r="G2657" i="65"/>
  <c r="J2657" i="65"/>
  <c r="B2658" i="65"/>
  <c r="G2658" i="65"/>
  <c r="J2658" i="65"/>
  <c r="B2659" i="65"/>
  <c r="G2659" i="65"/>
  <c r="J2659" i="65"/>
  <c r="B2660" i="65"/>
  <c r="G2660" i="65"/>
  <c r="J2660" i="65"/>
  <c r="B2661" i="65"/>
  <c r="G2661" i="65"/>
  <c r="J2661" i="65"/>
  <c r="B2662" i="65"/>
  <c r="G2662" i="65"/>
  <c r="J2662" i="65"/>
  <c r="B2663" i="65"/>
  <c r="G2663" i="65"/>
  <c r="J2663" i="65"/>
  <c r="B2664" i="65"/>
  <c r="G2664" i="65"/>
  <c r="J2664" i="65"/>
  <c r="B2665" i="65"/>
  <c r="G2665" i="65"/>
  <c r="J2665" i="65"/>
  <c r="B2666" i="65"/>
  <c r="G2666" i="65"/>
  <c r="J2666" i="65"/>
  <c r="B2667" i="65"/>
  <c r="G2667" i="65"/>
  <c r="J2667" i="65"/>
  <c r="B2668" i="65"/>
  <c r="G2668" i="65"/>
  <c r="J2668" i="65"/>
  <c r="B2669" i="65"/>
  <c r="G2669" i="65"/>
  <c r="J2669" i="65"/>
  <c r="B2670" i="65"/>
  <c r="G2670" i="65"/>
  <c r="J2670" i="65"/>
  <c r="B2671" i="65"/>
  <c r="G2671" i="65"/>
  <c r="J2671" i="65"/>
  <c r="B2672" i="65"/>
  <c r="G2672" i="65"/>
  <c r="J2672" i="65"/>
  <c r="B2673" i="65"/>
  <c r="G2673" i="65"/>
  <c r="J2673" i="65"/>
  <c r="B2674" i="65"/>
  <c r="G2674" i="65"/>
  <c r="J2674" i="65"/>
  <c r="B2675" i="65"/>
  <c r="G2675" i="65"/>
  <c r="J2675" i="65"/>
  <c r="B2676" i="65"/>
  <c r="G2676" i="65"/>
  <c r="J2676" i="65"/>
  <c r="B2677" i="65"/>
  <c r="G2677" i="65"/>
  <c r="J2677" i="65"/>
  <c r="B2678" i="65"/>
  <c r="G2678" i="65"/>
  <c r="J2678" i="65"/>
  <c r="B2679" i="65"/>
  <c r="G2679" i="65"/>
  <c r="J2679" i="65"/>
  <c r="B2680" i="65"/>
  <c r="G2680" i="65"/>
  <c r="J2680" i="65"/>
  <c r="B2681" i="65"/>
  <c r="G2681" i="65"/>
  <c r="J2681" i="65"/>
  <c r="B2682" i="65"/>
  <c r="G2682" i="65"/>
  <c r="J2682" i="65"/>
  <c r="B2683" i="65"/>
  <c r="G2683" i="65"/>
  <c r="J2683" i="65"/>
  <c r="B2684" i="65"/>
  <c r="G2684" i="65"/>
  <c r="J2684" i="65"/>
  <c r="B2685" i="65"/>
  <c r="G2685" i="65"/>
  <c r="J2685" i="65"/>
  <c r="B2686" i="65"/>
  <c r="G2686" i="65"/>
  <c r="J2686" i="65"/>
  <c r="B2687" i="65"/>
  <c r="G2687" i="65"/>
  <c r="J2687" i="65"/>
  <c r="B2688" i="65"/>
  <c r="G2688" i="65"/>
  <c r="J2688" i="65"/>
  <c r="B2689" i="65"/>
  <c r="G2689" i="65"/>
  <c r="J2689" i="65"/>
  <c r="B2690" i="65"/>
  <c r="G2690" i="65"/>
  <c r="J2690" i="65"/>
  <c r="B2691" i="65"/>
  <c r="G2691" i="65"/>
  <c r="J2691" i="65"/>
  <c r="B2692" i="65"/>
  <c r="G2692" i="65"/>
  <c r="J2692" i="65"/>
  <c r="B2693" i="65"/>
  <c r="G2693" i="65"/>
  <c r="J2693" i="65"/>
  <c r="B2694" i="65"/>
  <c r="G2694" i="65"/>
  <c r="J2694" i="65"/>
  <c r="B2695" i="65"/>
  <c r="G2695" i="65"/>
  <c r="J2695" i="65"/>
  <c r="B2696" i="65"/>
  <c r="G2696" i="65"/>
  <c r="J2696" i="65"/>
  <c r="B2697" i="65"/>
  <c r="G2697" i="65"/>
  <c r="J2697" i="65"/>
  <c r="B2698" i="65"/>
  <c r="G2698" i="65"/>
  <c r="J2698" i="65"/>
  <c r="B2699" i="65"/>
  <c r="G2699" i="65"/>
  <c r="J2699" i="65"/>
  <c r="B2700" i="65"/>
  <c r="G2700" i="65"/>
  <c r="J2700" i="65"/>
  <c r="B2701" i="65"/>
  <c r="G2701" i="65"/>
  <c r="J2701" i="65"/>
  <c r="B2702" i="65"/>
  <c r="G2702" i="65"/>
  <c r="J2702" i="65"/>
  <c r="B2703" i="65"/>
  <c r="G2703" i="65"/>
  <c r="J2703" i="65"/>
  <c r="B2704" i="65"/>
  <c r="G2704" i="65"/>
  <c r="J2704" i="65"/>
  <c r="B2705" i="65"/>
  <c r="G2705" i="65"/>
  <c r="J2705" i="65"/>
  <c r="B2706" i="65"/>
  <c r="G2706" i="65"/>
  <c r="J2706" i="65"/>
  <c r="B2707" i="65"/>
  <c r="G2707" i="65"/>
  <c r="J2707" i="65"/>
  <c r="B2708" i="65"/>
  <c r="G2708" i="65"/>
  <c r="J2708" i="65"/>
  <c r="B2709" i="65"/>
  <c r="G2709" i="65"/>
  <c r="J2709" i="65"/>
  <c r="B2710" i="65"/>
  <c r="G2710" i="65"/>
  <c r="J2710" i="65"/>
  <c r="B2711" i="65"/>
  <c r="G2711" i="65"/>
  <c r="J2711" i="65"/>
  <c r="B2712" i="65"/>
  <c r="G2712" i="65"/>
  <c r="J2712" i="65"/>
  <c r="B2713" i="65"/>
  <c r="G2713" i="65"/>
  <c r="J2713" i="65"/>
  <c r="B2714" i="65"/>
  <c r="G2714" i="65"/>
  <c r="J2714" i="65"/>
  <c r="B2715" i="65"/>
  <c r="G2715" i="65"/>
  <c r="J2715" i="65"/>
  <c r="B2716" i="65"/>
  <c r="G2716" i="65"/>
  <c r="J2716" i="65"/>
  <c r="B2717" i="65"/>
  <c r="G2717" i="65"/>
  <c r="J2717" i="65"/>
  <c r="B2718" i="65"/>
  <c r="G2718" i="65"/>
  <c r="J2718" i="65"/>
  <c r="B2719" i="65"/>
  <c r="G2719" i="65"/>
  <c r="J2719" i="65"/>
  <c r="B2720" i="65"/>
  <c r="G2720" i="65"/>
  <c r="J2720" i="65"/>
  <c r="B2721" i="65"/>
  <c r="G2721" i="65"/>
  <c r="J2721" i="65"/>
  <c r="B2722" i="65"/>
  <c r="G2722" i="65"/>
  <c r="J2722" i="65"/>
  <c r="B2723" i="65"/>
  <c r="G2723" i="65"/>
  <c r="J2723" i="65"/>
  <c r="B2724" i="65"/>
  <c r="G2724" i="65"/>
  <c r="J2724" i="65"/>
  <c r="B2725" i="65"/>
  <c r="G2725" i="65"/>
  <c r="J2725" i="65"/>
  <c r="B2726" i="65"/>
  <c r="G2726" i="65"/>
  <c r="J2726" i="65"/>
  <c r="B2727" i="65"/>
  <c r="G2727" i="65"/>
  <c r="J2727" i="65"/>
  <c r="B2728" i="65"/>
  <c r="G2728" i="65"/>
  <c r="J2728" i="65"/>
  <c r="B2729" i="65"/>
  <c r="G2729" i="65"/>
  <c r="J2729" i="65"/>
  <c r="B2730" i="65"/>
  <c r="G2730" i="65"/>
  <c r="J2730" i="65"/>
  <c r="B2731" i="65"/>
  <c r="G2731" i="65"/>
  <c r="J2731" i="65"/>
  <c r="B2732" i="65"/>
  <c r="G2732" i="65"/>
  <c r="J2732" i="65"/>
  <c r="B2733" i="65"/>
  <c r="G2733" i="65"/>
  <c r="J2733" i="65"/>
  <c r="B2734" i="65"/>
  <c r="G2734" i="65"/>
  <c r="J2734" i="65"/>
  <c r="B2735" i="65"/>
  <c r="G2735" i="65"/>
  <c r="J2735" i="65"/>
  <c r="B2736" i="65"/>
  <c r="G2736" i="65"/>
  <c r="J2736" i="65"/>
  <c r="B2737" i="65"/>
  <c r="G2737" i="65"/>
  <c r="J2737" i="65"/>
  <c r="B2738" i="65"/>
  <c r="G2738" i="65"/>
  <c r="J2738" i="65"/>
  <c r="B2739" i="65"/>
  <c r="G2739" i="65"/>
  <c r="J2739" i="65"/>
  <c r="B2740" i="65"/>
  <c r="G2740" i="65"/>
  <c r="J2740" i="65"/>
  <c r="B2741" i="65"/>
  <c r="G2741" i="65"/>
  <c r="J2741" i="65"/>
  <c r="B2742" i="65"/>
  <c r="G2742" i="65"/>
  <c r="J2742" i="65"/>
  <c r="B2743" i="65"/>
  <c r="G2743" i="65"/>
  <c r="J2743" i="65"/>
  <c r="B2744" i="65"/>
  <c r="G2744" i="65"/>
  <c r="J2744" i="65"/>
  <c r="B2745" i="65"/>
  <c r="G2745" i="65"/>
  <c r="J2745" i="65"/>
  <c r="B2746" i="65"/>
  <c r="G2746" i="65"/>
  <c r="J2746" i="65"/>
  <c r="B2747" i="65"/>
  <c r="G2747" i="65"/>
  <c r="J2747" i="65"/>
  <c r="B2748" i="65"/>
  <c r="G2748" i="65"/>
  <c r="J2748" i="65"/>
  <c r="B2749" i="65"/>
  <c r="G2749" i="65"/>
  <c r="J2749" i="65"/>
  <c r="B2750" i="65"/>
  <c r="G2750" i="65"/>
  <c r="J2750" i="65"/>
  <c r="B2751" i="65"/>
  <c r="G2751" i="65"/>
  <c r="J2751" i="65"/>
  <c r="B2752" i="65"/>
  <c r="G2752" i="65"/>
  <c r="J2752" i="65"/>
  <c r="B2753" i="65"/>
  <c r="G2753" i="65"/>
  <c r="J2753" i="65"/>
  <c r="B2754" i="65"/>
  <c r="G2754" i="65"/>
  <c r="J2754" i="65"/>
  <c r="B2755" i="65"/>
  <c r="G2755" i="65"/>
  <c r="J2755" i="65"/>
  <c r="B2756" i="65"/>
  <c r="G2756" i="65"/>
  <c r="J2756" i="65"/>
  <c r="B2757" i="65"/>
  <c r="G2757" i="65"/>
  <c r="J2757" i="65"/>
  <c r="B2758" i="65"/>
  <c r="G2758" i="65"/>
  <c r="J2758" i="65"/>
  <c r="B2759" i="65"/>
  <c r="G2759" i="65"/>
  <c r="J2759" i="65"/>
  <c r="B2760" i="65"/>
  <c r="G2760" i="65"/>
  <c r="J2760" i="65"/>
  <c r="B2761" i="65"/>
  <c r="G2761" i="65"/>
  <c r="J2761" i="65"/>
  <c r="B2762" i="65"/>
  <c r="G2762" i="65"/>
  <c r="J2762" i="65"/>
  <c r="B2763" i="65"/>
  <c r="G2763" i="65"/>
  <c r="J2763" i="65"/>
  <c r="B2764" i="65"/>
  <c r="G2764" i="65"/>
  <c r="J2764" i="65"/>
  <c r="B2765" i="65"/>
  <c r="G2765" i="65"/>
  <c r="J2765" i="65"/>
  <c r="B2766" i="65"/>
  <c r="G2766" i="65"/>
  <c r="J2766" i="65"/>
  <c r="B2767" i="65"/>
  <c r="G2767" i="65"/>
  <c r="J2767" i="65"/>
  <c r="B2768" i="65"/>
  <c r="G2768" i="65"/>
  <c r="J2768" i="65"/>
  <c r="B2769" i="65"/>
  <c r="G2769" i="65"/>
  <c r="J2769" i="65"/>
  <c r="B2770" i="65"/>
  <c r="G2770" i="65"/>
  <c r="J2770" i="65"/>
  <c r="B2771" i="65"/>
  <c r="G2771" i="65"/>
  <c r="J2771" i="65"/>
  <c r="B2772" i="65"/>
  <c r="G2772" i="65"/>
  <c r="J2772" i="65"/>
  <c r="B2773" i="65"/>
  <c r="G2773" i="65"/>
  <c r="J2773" i="65"/>
  <c r="B2774" i="65"/>
  <c r="G2774" i="65"/>
  <c r="J2774" i="65"/>
  <c r="B2775" i="65"/>
  <c r="G2775" i="65"/>
  <c r="J2775" i="65"/>
  <c r="B2776" i="65"/>
  <c r="G2776" i="65"/>
  <c r="J2776" i="65"/>
  <c r="B2777" i="65"/>
  <c r="G2777" i="65"/>
  <c r="J2777" i="65"/>
  <c r="B2778" i="65"/>
  <c r="G2778" i="65"/>
  <c r="J2778" i="65"/>
  <c r="B2779" i="65"/>
  <c r="G2779" i="65"/>
  <c r="J2779" i="65"/>
  <c r="B2780" i="65"/>
  <c r="G2780" i="65"/>
  <c r="J2780" i="65"/>
  <c r="B2781" i="65"/>
  <c r="G2781" i="65"/>
  <c r="J2781" i="65"/>
  <c r="B2782" i="65"/>
  <c r="G2782" i="65"/>
  <c r="J2782" i="65"/>
  <c r="B2783" i="65"/>
  <c r="G2783" i="65"/>
  <c r="J2783" i="65"/>
  <c r="B2784" i="65"/>
  <c r="G2784" i="65"/>
  <c r="J2784" i="65"/>
  <c r="B2785" i="65"/>
  <c r="G2785" i="65"/>
  <c r="J2785" i="65"/>
  <c r="B2786" i="65"/>
  <c r="G2786" i="65"/>
  <c r="J2786" i="65"/>
  <c r="B2787" i="65"/>
  <c r="G2787" i="65"/>
  <c r="J2787" i="65"/>
  <c r="B2788" i="65"/>
  <c r="G2788" i="65"/>
  <c r="J2788" i="65"/>
  <c r="B2789" i="65"/>
  <c r="G2789" i="65"/>
  <c r="J2789" i="65"/>
  <c r="B2790" i="65"/>
  <c r="G2790" i="65"/>
  <c r="J2790" i="65"/>
  <c r="B2791" i="65"/>
  <c r="G2791" i="65"/>
  <c r="J2791" i="65"/>
  <c r="B2792" i="65"/>
  <c r="G2792" i="65"/>
  <c r="J2792" i="65"/>
  <c r="B2793" i="65"/>
  <c r="G2793" i="65"/>
  <c r="J2793" i="65"/>
  <c r="B2794" i="65"/>
  <c r="G2794" i="65"/>
  <c r="J2794" i="65"/>
  <c r="B2795" i="65"/>
  <c r="G2795" i="65"/>
  <c r="J2795" i="65"/>
  <c r="B2796" i="65"/>
  <c r="G2796" i="65"/>
  <c r="J2796" i="65"/>
  <c r="B2797" i="65"/>
  <c r="G2797" i="65"/>
  <c r="J2797" i="65"/>
  <c r="B2798" i="65"/>
  <c r="G2798" i="65"/>
  <c r="J2798" i="65"/>
  <c r="B2799" i="65"/>
  <c r="G2799" i="65"/>
  <c r="J2799" i="65"/>
  <c r="B2800" i="65"/>
  <c r="G2800" i="65"/>
  <c r="J2800" i="65"/>
  <c r="B2801" i="65"/>
  <c r="G2801" i="65"/>
  <c r="J2801" i="65"/>
  <c r="B2802" i="65"/>
  <c r="G2802" i="65"/>
  <c r="J2802" i="65"/>
  <c r="B2803" i="65"/>
  <c r="G2803" i="65"/>
  <c r="J2803" i="65"/>
  <c r="B2804" i="65"/>
  <c r="G2804" i="65"/>
  <c r="J2804" i="65"/>
  <c r="B2805" i="65"/>
  <c r="G2805" i="65"/>
  <c r="J2805" i="65"/>
  <c r="B2806" i="65"/>
  <c r="G2806" i="65"/>
  <c r="J2806" i="65"/>
  <c r="B2807" i="65"/>
  <c r="G2807" i="65"/>
  <c r="J2807" i="65"/>
  <c r="B2808" i="65"/>
  <c r="G2808" i="65"/>
  <c r="J2808" i="65"/>
  <c r="B2809" i="65"/>
  <c r="G2809" i="65"/>
  <c r="J2809" i="65"/>
  <c r="B2810" i="65"/>
  <c r="G2810" i="65"/>
  <c r="J2810" i="65"/>
  <c r="B2811" i="65"/>
  <c r="G2811" i="65"/>
  <c r="J2811" i="65"/>
  <c r="B2812" i="65"/>
  <c r="G2812" i="65"/>
  <c r="J2812" i="65"/>
  <c r="B2813" i="65"/>
  <c r="G2813" i="65"/>
  <c r="J2813" i="65"/>
  <c r="B2814" i="65"/>
  <c r="G2814" i="65"/>
  <c r="J2814" i="65"/>
  <c r="B2815" i="65"/>
  <c r="G2815" i="65"/>
  <c r="J2815" i="65"/>
  <c r="B2816" i="65"/>
  <c r="G2816" i="65"/>
  <c r="J2816" i="65"/>
  <c r="B2817" i="65"/>
  <c r="G2817" i="65"/>
  <c r="J2817" i="65"/>
  <c r="B2818" i="65"/>
  <c r="G2818" i="65"/>
  <c r="J2818" i="65"/>
  <c r="B2819" i="65"/>
  <c r="G2819" i="65"/>
  <c r="J2819" i="65"/>
  <c r="B2820" i="65"/>
  <c r="G2820" i="65"/>
  <c r="J2820" i="65"/>
  <c r="B2821" i="65"/>
  <c r="G2821" i="65"/>
  <c r="J2821" i="65"/>
  <c r="B2822" i="65"/>
  <c r="G2822" i="65"/>
  <c r="J2822" i="65"/>
  <c r="B2823" i="65"/>
  <c r="G2823" i="65"/>
  <c r="J2823" i="65"/>
  <c r="B2824" i="65"/>
  <c r="G2824" i="65"/>
  <c r="J2824" i="65"/>
  <c r="B2825" i="65"/>
  <c r="G2825" i="65"/>
  <c r="J2825" i="65"/>
  <c r="B2826" i="65"/>
  <c r="G2826" i="65"/>
  <c r="J2826" i="65"/>
  <c r="B2827" i="65"/>
  <c r="G2827" i="65"/>
  <c r="J2827" i="65"/>
  <c r="B2828" i="65"/>
  <c r="G2828" i="65"/>
  <c r="J2828" i="65"/>
  <c r="B2829" i="65"/>
  <c r="G2829" i="65"/>
  <c r="J2829" i="65"/>
  <c r="B2830" i="65"/>
  <c r="G2830" i="65"/>
  <c r="J2830" i="65"/>
  <c r="B2831" i="65"/>
  <c r="G2831" i="65"/>
  <c r="J2831" i="65"/>
  <c r="B2832" i="65"/>
  <c r="G2832" i="65"/>
  <c r="J2832" i="65"/>
  <c r="B2833" i="65"/>
  <c r="G2833" i="65"/>
  <c r="J2833" i="65"/>
  <c r="B2834" i="65"/>
  <c r="G2834" i="65"/>
  <c r="J2834" i="65"/>
  <c r="B2835" i="65"/>
  <c r="G2835" i="65"/>
  <c r="J2835" i="65"/>
  <c r="B2836" i="65"/>
  <c r="G2836" i="65"/>
  <c r="J2836" i="65"/>
  <c r="B2837" i="65"/>
  <c r="G2837" i="65"/>
  <c r="J2837" i="65"/>
  <c r="B2838" i="65"/>
  <c r="G2838" i="65"/>
  <c r="J2838" i="65"/>
  <c r="B2839" i="65"/>
  <c r="G2839" i="65"/>
  <c r="J2839" i="65"/>
  <c r="B2840" i="65"/>
  <c r="G2840" i="65"/>
  <c r="J2840" i="65"/>
  <c r="B2841" i="65"/>
  <c r="G2841" i="65"/>
  <c r="J2841" i="65"/>
  <c r="B2842" i="65"/>
  <c r="G2842" i="65"/>
  <c r="J2842" i="65"/>
  <c r="B2843" i="65"/>
  <c r="G2843" i="65"/>
  <c r="J2843" i="65"/>
  <c r="B2844" i="65"/>
  <c r="G2844" i="65"/>
  <c r="J2844" i="65"/>
  <c r="B2845" i="65"/>
  <c r="G2845" i="65"/>
  <c r="J2845" i="65"/>
  <c r="B2846" i="65"/>
  <c r="G2846" i="65"/>
  <c r="J2846" i="65"/>
  <c r="B2847" i="65"/>
  <c r="G2847" i="65"/>
  <c r="J2847" i="65"/>
  <c r="B2848" i="65"/>
  <c r="G2848" i="65"/>
  <c r="J2848" i="65"/>
  <c r="B2849" i="65"/>
  <c r="G2849" i="65"/>
  <c r="J2849" i="65"/>
  <c r="B2850" i="65"/>
  <c r="G2850" i="65"/>
  <c r="J2850" i="65"/>
  <c r="B2851" i="65"/>
  <c r="G2851" i="65"/>
  <c r="J2851" i="65"/>
  <c r="B2852" i="65"/>
  <c r="G2852" i="65"/>
  <c r="J2852" i="65"/>
  <c r="B2853" i="65"/>
  <c r="G2853" i="65"/>
  <c r="J2853" i="65"/>
  <c r="B2854" i="65"/>
  <c r="G2854" i="65"/>
  <c r="J2854" i="65"/>
  <c r="B2855" i="65"/>
  <c r="G2855" i="65"/>
  <c r="J2855" i="65"/>
  <c r="B2856" i="65"/>
  <c r="G2856" i="65"/>
  <c r="J2856" i="65"/>
  <c r="B2857" i="65"/>
  <c r="G2857" i="65"/>
  <c r="J2857" i="65"/>
  <c r="B2858" i="65"/>
  <c r="G2858" i="65"/>
  <c r="J2858" i="65"/>
  <c r="B2859" i="65"/>
  <c r="G2859" i="65"/>
  <c r="J2859" i="65"/>
  <c r="B2860" i="65"/>
  <c r="G2860" i="65"/>
  <c r="J2860" i="65"/>
  <c r="B2861" i="65"/>
  <c r="G2861" i="65"/>
  <c r="J2861" i="65"/>
  <c r="B2862" i="65"/>
  <c r="G2862" i="65"/>
  <c r="J2862" i="65"/>
  <c r="B2863" i="65"/>
  <c r="G2863" i="65"/>
  <c r="J2863" i="65"/>
  <c r="B2864" i="65"/>
  <c r="G2864" i="65"/>
  <c r="J2864" i="65"/>
  <c r="B2865" i="65"/>
  <c r="G2865" i="65"/>
  <c r="J2865" i="65"/>
  <c r="B2866" i="65"/>
  <c r="G2866" i="65"/>
  <c r="J2866" i="65"/>
  <c r="B2867" i="65"/>
  <c r="G2867" i="65"/>
  <c r="J2867" i="65"/>
  <c r="B2868" i="65"/>
  <c r="G2868" i="65"/>
  <c r="J2868" i="65"/>
  <c r="B2869" i="65"/>
  <c r="G2869" i="65"/>
  <c r="J2869" i="65"/>
  <c r="B2870" i="65"/>
  <c r="G2870" i="65"/>
  <c r="J2870" i="65"/>
  <c r="B2871" i="65"/>
  <c r="G2871" i="65"/>
  <c r="J2871" i="65"/>
  <c r="B2872" i="65"/>
  <c r="G2872" i="65"/>
  <c r="J2872" i="65"/>
  <c r="B2873" i="65"/>
  <c r="G2873" i="65"/>
  <c r="J2873" i="65"/>
  <c r="B2874" i="65"/>
  <c r="G2874" i="65"/>
  <c r="J2874" i="65"/>
  <c r="B2875" i="65"/>
  <c r="G2875" i="65"/>
  <c r="J2875" i="65"/>
  <c r="B2876" i="65"/>
  <c r="G2876" i="65"/>
  <c r="J2876" i="65"/>
  <c r="B2877" i="65"/>
  <c r="G2877" i="65"/>
  <c r="J2877" i="65"/>
  <c r="B2878" i="65"/>
  <c r="G2878" i="65"/>
  <c r="J2878" i="65"/>
  <c r="B2879" i="65"/>
  <c r="G2879" i="65"/>
  <c r="J2879" i="65"/>
  <c r="B2880" i="65"/>
  <c r="G2880" i="65"/>
  <c r="J2880" i="65"/>
  <c r="B2881" i="65"/>
  <c r="G2881" i="65"/>
  <c r="J2881" i="65"/>
  <c r="B2882" i="65"/>
  <c r="G2882" i="65"/>
  <c r="J2882" i="65"/>
  <c r="B2883" i="65"/>
  <c r="G2883" i="65"/>
  <c r="J2883" i="65"/>
  <c r="B2884" i="65"/>
  <c r="G2884" i="65"/>
  <c r="J2884" i="65"/>
  <c r="B2885" i="65"/>
  <c r="G2885" i="65"/>
  <c r="J2885" i="65"/>
  <c r="B2886" i="65"/>
  <c r="G2886" i="65"/>
  <c r="J2886" i="65"/>
  <c r="B2887" i="65"/>
  <c r="G2887" i="65"/>
  <c r="J2887" i="65"/>
  <c r="B2888" i="65"/>
  <c r="G2888" i="65"/>
  <c r="J2888" i="65"/>
  <c r="B2889" i="65"/>
  <c r="G2889" i="65"/>
  <c r="J2889" i="65"/>
  <c r="B2890" i="65"/>
  <c r="G2890" i="65"/>
  <c r="J2890" i="65"/>
  <c r="B2891" i="65"/>
  <c r="G2891" i="65"/>
  <c r="J2891" i="65"/>
  <c r="B2892" i="65"/>
  <c r="G2892" i="65"/>
  <c r="J2892" i="65"/>
  <c r="B2893" i="65"/>
  <c r="G2893" i="65"/>
  <c r="J2893" i="65"/>
  <c r="B2894" i="65"/>
  <c r="G2894" i="65"/>
  <c r="J2894" i="65"/>
  <c r="B2895" i="65"/>
  <c r="G2895" i="65"/>
  <c r="J2895" i="65"/>
  <c r="B2896" i="65"/>
  <c r="G2896" i="65"/>
  <c r="J2896" i="65"/>
  <c r="B2897" i="65"/>
  <c r="G2897" i="65"/>
  <c r="J2897" i="65"/>
  <c r="B2898" i="65"/>
  <c r="G2898" i="65"/>
  <c r="J2898" i="65"/>
  <c r="B2899" i="65"/>
  <c r="G2899" i="65"/>
  <c r="J2899" i="65"/>
  <c r="B2900" i="65"/>
  <c r="G2900" i="65"/>
  <c r="J2900" i="65"/>
  <c r="B2901" i="65"/>
  <c r="G2901" i="65"/>
  <c r="J2901" i="65"/>
  <c r="B2902" i="65"/>
  <c r="G2902" i="65"/>
  <c r="J2902" i="65"/>
  <c r="B2903" i="65"/>
  <c r="G2903" i="65"/>
  <c r="J2903" i="65"/>
  <c r="B2904" i="65"/>
  <c r="G2904" i="65"/>
  <c r="J2904" i="65"/>
  <c r="B2905" i="65"/>
  <c r="G2905" i="65"/>
  <c r="J2905" i="65"/>
  <c r="B2906" i="65"/>
  <c r="G2906" i="65"/>
  <c r="J2906" i="65"/>
  <c r="B2907" i="65"/>
  <c r="G2907" i="65"/>
  <c r="J2907" i="65"/>
  <c r="B2908" i="65"/>
  <c r="G2908" i="65"/>
  <c r="J2908" i="65"/>
  <c r="B2909" i="65"/>
  <c r="G2909" i="65"/>
  <c r="J2909" i="65"/>
  <c r="B2910" i="65"/>
  <c r="G2910" i="65"/>
  <c r="J2910" i="65"/>
  <c r="B2911" i="65"/>
  <c r="G2911" i="65"/>
  <c r="J2911" i="65"/>
  <c r="B2912" i="65"/>
  <c r="G2912" i="65"/>
  <c r="J2912" i="65"/>
  <c r="B2913" i="65"/>
  <c r="G2913" i="65"/>
  <c r="J2913" i="65"/>
  <c r="B2914" i="65"/>
  <c r="G2914" i="65"/>
  <c r="J2914" i="65"/>
  <c r="B2915" i="65"/>
  <c r="G2915" i="65"/>
  <c r="J2915" i="65"/>
  <c r="B2916" i="65"/>
  <c r="G2916" i="65"/>
  <c r="J2916" i="65"/>
  <c r="B2917" i="65"/>
  <c r="G2917" i="65"/>
  <c r="J2917" i="65"/>
  <c r="B2918" i="65"/>
  <c r="G2918" i="65"/>
  <c r="J2918" i="65"/>
  <c r="B2919" i="65"/>
  <c r="G2919" i="65"/>
  <c r="J2919" i="65"/>
  <c r="B2920" i="65"/>
  <c r="G2920" i="65"/>
  <c r="J2920" i="65"/>
  <c r="B2921" i="65"/>
  <c r="G2921" i="65"/>
  <c r="J2921" i="65"/>
  <c r="B2922" i="65"/>
  <c r="G2922" i="65"/>
  <c r="J2922" i="65"/>
  <c r="B2923" i="65"/>
  <c r="G2923" i="65"/>
  <c r="J2923" i="65"/>
  <c r="B2924" i="65"/>
  <c r="G2924" i="65"/>
  <c r="J2924" i="65"/>
  <c r="B2925" i="65"/>
  <c r="G2925" i="65"/>
  <c r="J2925" i="65"/>
  <c r="B2926" i="65"/>
  <c r="G2926" i="65"/>
  <c r="J2926" i="65"/>
  <c r="B2927" i="65"/>
  <c r="G2927" i="65"/>
  <c r="J2927" i="65"/>
  <c r="B2928" i="65"/>
  <c r="G2928" i="65"/>
  <c r="J2928" i="65"/>
  <c r="B2929" i="65"/>
  <c r="G2929" i="65"/>
  <c r="J2929" i="65"/>
  <c r="B2930" i="65"/>
  <c r="G2930" i="65"/>
  <c r="J2930" i="65"/>
  <c r="B2931" i="65"/>
  <c r="G2931" i="65"/>
  <c r="J2931" i="65"/>
  <c r="B2932" i="65"/>
  <c r="G2932" i="65"/>
  <c r="J2932" i="65"/>
  <c r="B2933" i="65"/>
  <c r="G2933" i="65"/>
  <c r="J2933" i="65"/>
  <c r="B2934" i="65"/>
  <c r="G2934" i="65"/>
  <c r="J2934" i="65"/>
  <c r="B2935" i="65"/>
  <c r="G2935" i="65"/>
  <c r="J2935" i="65"/>
  <c r="B2936" i="65"/>
  <c r="G2936" i="65"/>
  <c r="J2936" i="65"/>
  <c r="B2937" i="65"/>
  <c r="G2937" i="65"/>
  <c r="J2937" i="65"/>
  <c r="B2938" i="65"/>
  <c r="G2938" i="65"/>
  <c r="J2938" i="65"/>
  <c r="B2939" i="65"/>
  <c r="G2939" i="65"/>
  <c r="J2939" i="65"/>
  <c r="B2940" i="65"/>
  <c r="G2940" i="65"/>
  <c r="J2940" i="65"/>
  <c r="B2941" i="65"/>
  <c r="G2941" i="65"/>
  <c r="J2941" i="65"/>
  <c r="B2942" i="65"/>
  <c r="G2942" i="65"/>
  <c r="J2942" i="65"/>
  <c r="B2943" i="65"/>
  <c r="G2943" i="65"/>
  <c r="J2943" i="65"/>
  <c r="B2944" i="65"/>
  <c r="G2944" i="65"/>
  <c r="J2944" i="65"/>
  <c r="B2945" i="65"/>
  <c r="G2945" i="65"/>
  <c r="J2945" i="65"/>
  <c r="B2946" i="65"/>
  <c r="G2946" i="65"/>
  <c r="J2946" i="65"/>
  <c r="B2947" i="65"/>
  <c r="G2947" i="65"/>
  <c r="J2947" i="65"/>
  <c r="B2948" i="65"/>
  <c r="G2948" i="65"/>
  <c r="J2948" i="65"/>
  <c r="B2949" i="65"/>
  <c r="G2949" i="65"/>
  <c r="J2949" i="65"/>
  <c r="B2950" i="65"/>
  <c r="G2950" i="65"/>
  <c r="J2950" i="65"/>
  <c r="B2951" i="65"/>
  <c r="G2951" i="65"/>
  <c r="J2951" i="65"/>
  <c r="B2952" i="65"/>
  <c r="G2952" i="65"/>
  <c r="J2952" i="65"/>
  <c r="B2953" i="65"/>
  <c r="G2953" i="65"/>
  <c r="J2953" i="65"/>
  <c r="B2954" i="65"/>
  <c r="G2954" i="65"/>
  <c r="J2954" i="65"/>
  <c r="B2955" i="65"/>
  <c r="G2955" i="65"/>
  <c r="J2955" i="65"/>
  <c r="B2956" i="65"/>
  <c r="G2956" i="65"/>
  <c r="J2956" i="65"/>
  <c r="B2957" i="65"/>
  <c r="G2957" i="65"/>
  <c r="J2957" i="65"/>
  <c r="B2958" i="65"/>
  <c r="G2958" i="65"/>
  <c r="J2958" i="65"/>
  <c r="B2959" i="65"/>
  <c r="G2959" i="65"/>
  <c r="J2959" i="65"/>
  <c r="B2960" i="65"/>
  <c r="G2960" i="65"/>
  <c r="J2960" i="65"/>
  <c r="B2961" i="65"/>
  <c r="G2961" i="65"/>
  <c r="J2961" i="65"/>
  <c r="B2962" i="65"/>
  <c r="G2962" i="65"/>
  <c r="J2962" i="65"/>
  <c r="B2963" i="65"/>
  <c r="G2963" i="65"/>
  <c r="J2963" i="65"/>
  <c r="B2964" i="65"/>
  <c r="G2964" i="65"/>
  <c r="J2964" i="65"/>
  <c r="B2965" i="65"/>
  <c r="G2965" i="65"/>
  <c r="J2965" i="65"/>
  <c r="B2966" i="65"/>
  <c r="G2966" i="65"/>
  <c r="J2966" i="65"/>
  <c r="B2967" i="65"/>
  <c r="G2967" i="65"/>
  <c r="J2967" i="65"/>
  <c r="B2968" i="65"/>
  <c r="G2968" i="65"/>
  <c r="J2968" i="65"/>
  <c r="B2969" i="65"/>
  <c r="G2969" i="65"/>
  <c r="J2969" i="65"/>
  <c r="B2970" i="65"/>
  <c r="G2970" i="65"/>
  <c r="J2970" i="65"/>
  <c r="B2971" i="65"/>
  <c r="G2971" i="65"/>
  <c r="J2971" i="65"/>
  <c r="B2972" i="65"/>
  <c r="G2972" i="65"/>
  <c r="J2972" i="65"/>
  <c r="B2973" i="65"/>
  <c r="G2973" i="65"/>
  <c r="J2973" i="65"/>
  <c r="B2974" i="65"/>
  <c r="G2974" i="65"/>
  <c r="J2974" i="65"/>
  <c r="B2975" i="65"/>
  <c r="G2975" i="65"/>
  <c r="J2975" i="65"/>
  <c r="B2976" i="65"/>
  <c r="G2976" i="65"/>
  <c r="J2976" i="65"/>
  <c r="B2977" i="65"/>
  <c r="G2977" i="65"/>
  <c r="J2977" i="65"/>
  <c r="B2978" i="65"/>
  <c r="G2978" i="65"/>
  <c r="J2978" i="65"/>
  <c r="B2979" i="65"/>
  <c r="G2979" i="65"/>
  <c r="J2979" i="65"/>
  <c r="B2980" i="65"/>
  <c r="G2980" i="65"/>
  <c r="J2980" i="65"/>
  <c r="B2981" i="65"/>
  <c r="G2981" i="65"/>
  <c r="J2981" i="65"/>
  <c r="B2982" i="65"/>
  <c r="G2982" i="65"/>
  <c r="J2982" i="65"/>
  <c r="B2983" i="65"/>
  <c r="G2983" i="65"/>
  <c r="J2983" i="65"/>
  <c r="B2984" i="65"/>
  <c r="G2984" i="65"/>
  <c r="J2984" i="65"/>
  <c r="B2985" i="65"/>
  <c r="G2985" i="65"/>
  <c r="J2985" i="65"/>
  <c r="B2986" i="65"/>
  <c r="G2986" i="65"/>
  <c r="J2986" i="65"/>
  <c r="B2987" i="65"/>
  <c r="G2987" i="65"/>
  <c r="J2987" i="65"/>
  <c r="B2988" i="65"/>
  <c r="G2988" i="65"/>
  <c r="J2988" i="65"/>
  <c r="B2989" i="65"/>
  <c r="G2989" i="65"/>
  <c r="J2989" i="65"/>
  <c r="B2990" i="65"/>
  <c r="G2990" i="65"/>
  <c r="J2990" i="65"/>
  <c r="B2991" i="65"/>
  <c r="G2991" i="65"/>
  <c r="J2991" i="65"/>
  <c r="B2992" i="65"/>
  <c r="G2992" i="65"/>
  <c r="J2992" i="65"/>
  <c r="B2993" i="65"/>
  <c r="G2993" i="65"/>
  <c r="J2993" i="65"/>
  <c r="B2994" i="65"/>
  <c r="G2994" i="65"/>
  <c r="J2994" i="65"/>
  <c r="B2995" i="65"/>
  <c r="G2995" i="65"/>
  <c r="J2995" i="65"/>
  <c r="B2996" i="65"/>
  <c r="G2996" i="65"/>
  <c r="J2996" i="65"/>
  <c r="B2997" i="65"/>
  <c r="G2997" i="65"/>
  <c r="J2997" i="65"/>
  <c r="B2998" i="65"/>
  <c r="G2998" i="65"/>
  <c r="J2998" i="65"/>
  <c r="B2999" i="65"/>
  <c r="G2999" i="65"/>
  <c r="J2999" i="65"/>
  <c r="B3000" i="65"/>
  <c r="G3000" i="65"/>
  <c r="J3000" i="65"/>
  <c r="B3001" i="65"/>
  <c r="G3001" i="65"/>
  <c r="J3001" i="65"/>
  <c r="B3002" i="65"/>
  <c r="G3002" i="65"/>
  <c r="J3002" i="65"/>
  <c r="B3003" i="65"/>
  <c r="G3003" i="65"/>
  <c r="J3003" i="65"/>
  <c r="B3004" i="65"/>
  <c r="G3004" i="65"/>
  <c r="J3004" i="65"/>
  <c r="B3005" i="65"/>
  <c r="G3005" i="65"/>
  <c r="J3005" i="65"/>
  <c r="B3006" i="65"/>
  <c r="G3006" i="65"/>
  <c r="J3006" i="65"/>
  <c r="B3007" i="65"/>
  <c r="G3007" i="65"/>
  <c r="J3007" i="65"/>
  <c r="B3008" i="65"/>
  <c r="G3008" i="65"/>
  <c r="J3008" i="65"/>
  <c r="B3009" i="65"/>
  <c r="G3009" i="65"/>
  <c r="J3009" i="65"/>
  <c r="B3010" i="65"/>
  <c r="G3010" i="65"/>
  <c r="J3010" i="65"/>
  <c r="B3011" i="65"/>
  <c r="G3011" i="65"/>
  <c r="J3011" i="65"/>
  <c r="B3012" i="65"/>
  <c r="G3012" i="65"/>
  <c r="J3012" i="65"/>
  <c r="B3013" i="65"/>
  <c r="G3013" i="65"/>
  <c r="J3013" i="65"/>
  <c r="B3014" i="65"/>
  <c r="G3014" i="65"/>
  <c r="J3014" i="65"/>
  <c r="B3015" i="65"/>
  <c r="G3015" i="65"/>
  <c r="J3015" i="65"/>
  <c r="B3016" i="65"/>
  <c r="G3016" i="65"/>
  <c r="J3016" i="65"/>
  <c r="B3017" i="65"/>
  <c r="G3017" i="65"/>
  <c r="J3017" i="65"/>
  <c r="B3018" i="65"/>
  <c r="G3018" i="65"/>
  <c r="J3018" i="65"/>
  <c r="B3019" i="65"/>
  <c r="G3019" i="65"/>
  <c r="J3019" i="65"/>
  <c r="B3020" i="65"/>
  <c r="G3020" i="65"/>
  <c r="J3020" i="65"/>
  <c r="B3021" i="65"/>
  <c r="G3021" i="65"/>
  <c r="J3021" i="65"/>
  <c r="B3022" i="65"/>
  <c r="G3022" i="65"/>
  <c r="J3022" i="65"/>
  <c r="B3023" i="65"/>
  <c r="G3023" i="65"/>
  <c r="J3023" i="65"/>
  <c r="B3024" i="65"/>
  <c r="G3024" i="65"/>
  <c r="J3024" i="65"/>
  <c r="B3025" i="65"/>
  <c r="G3025" i="65"/>
  <c r="J3025" i="65"/>
  <c r="B3026" i="65"/>
  <c r="G3026" i="65"/>
  <c r="J3026" i="65"/>
  <c r="B3027" i="65"/>
  <c r="G3027" i="65"/>
  <c r="J3027" i="65"/>
  <c r="B3028" i="65"/>
  <c r="G3028" i="65"/>
  <c r="J3028" i="65"/>
  <c r="B3029" i="65"/>
  <c r="G3029" i="65"/>
  <c r="J3029" i="65"/>
  <c r="B3030" i="65"/>
  <c r="G3030" i="65"/>
  <c r="J3030" i="65"/>
  <c r="B3031" i="65"/>
  <c r="G3031" i="65"/>
  <c r="J3031" i="65"/>
  <c r="B3032" i="65"/>
  <c r="G3032" i="65"/>
  <c r="J3032" i="65"/>
  <c r="B3033" i="65"/>
  <c r="G3033" i="65"/>
  <c r="J3033" i="65"/>
  <c r="B3034" i="65"/>
  <c r="G3034" i="65"/>
  <c r="J3034" i="65"/>
  <c r="B3035" i="65"/>
  <c r="G3035" i="65"/>
  <c r="J3035" i="65"/>
  <c r="B3036" i="65"/>
  <c r="G3036" i="65"/>
  <c r="J3036" i="65"/>
  <c r="B3037" i="65"/>
  <c r="G3037" i="65"/>
  <c r="J3037" i="65"/>
  <c r="B3038" i="65"/>
  <c r="G3038" i="65"/>
  <c r="J3038" i="65"/>
  <c r="B3039" i="65"/>
  <c r="G3039" i="65"/>
  <c r="J3039" i="65"/>
  <c r="B3040" i="65"/>
  <c r="G3040" i="65"/>
  <c r="J3040" i="65"/>
  <c r="B3041" i="65"/>
  <c r="G3041" i="65"/>
  <c r="J3041" i="65"/>
  <c r="B3042" i="65"/>
  <c r="G3042" i="65"/>
  <c r="J3042" i="65"/>
  <c r="B3043" i="65"/>
  <c r="G3043" i="65"/>
  <c r="J3043" i="65"/>
  <c r="B3044" i="65"/>
  <c r="G3044" i="65"/>
  <c r="J3044" i="65"/>
  <c r="B3045" i="65"/>
  <c r="G3045" i="65"/>
  <c r="J3045" i="65"/>
  <c r="B3046" i="65"/>
  <c r="G3046" i="65"/>
  <c r="J3046" i="65"/>
  <c r="B3047" i="65"/>
  <c r="G3047" i="65"/>
  <c r="J3047" i="65"/>
  <c r="B3048" i="65"/>
  <c r="G3048" i="65"/>
  <c r="J3048" i="65"/>
  <c r="B3049" i="65"/>
  <c r="G3049" i="65"/>
  <c r="J3049" i="65"/>
  <c r="B3050" i="65"/>
  <c r="G3050" i="65"/>
  <c r="J3050" i="65"/>
  <c r="B3051" i="65"/>
  <c r="G3051" i="65"/>
  <c r="J3051" i="65"/>
  <c r="B3052" i="65"/>
  <c r="G3052" i="65"/>
  <c r="J3052" i="65"/>
  <c r="B3053" i="65"/>
  <c r="G3053" i="65"/>
  <c r="J3053" i="65"/>
  <c r="B3054" i="65"/>
  <c r="G3054" i="65"/>
  <c r="J3054" i="65"/>
  <c r="B3055" i="65"/>
  <c r="G3055" i="65"/>
  <c r="J3055" i="65"/>
  <c r="B3056" i="65"/>
  <c r="G3056" i="65"/>
  <c r="J3056" i="65"/>
  <c r="B3057" i="65"/>
  <c r="G3057" i="65"/>
  <c r="J3057" i="65"/>
  <c r="B3058" i="65"/>
  <c r="G3058" i="65"/>
  <c r="J3058" i="65"/>
  <c r="B3059" i="65"/>
  <c r="G3059" i="65"/>
  <c r="J3059" i="65"/>
  <c r="B3060" i="65"/>
  <c r="G3060" i="65"/>
  <c r="J3060" i="65"/>
  <c r="B3061" i="65"/>
  <c r="G3061" i="65"/>
  <c r="J3061" i="65"/>
  <c r="B3062" i="65"/>
  <c r="G3062" i="65"/>
  <c r="J3062" i="65"/>
  <c r="B3063" i="65"/>
  <c r="G3063" i="65"/>
  <c r="J3063" i="65"/>
  <c r="B3064" i="65"/>
  <c r="G3064" i="65"/>
  <c r="J3064" i="65"/>
  <c r="B3065" i="65"/>
  <c r="G3065" i="65"/>
  <c r="J3065" i="65"/>
  <c r="B3066" i="65"/>
  <c r="G3066" i="65"/>
  <c r="J3066" i="65"/>
  <c r="B3067" i="65"/>
  <c r="G3067" i="65"/>
  <c r="J3067" i="65"/>
  <c r="B3068" i="65"/>
  <c r="G3068" i="65"/>
  <c r="J3068" i="65"/>
  <c r="B3069" i="65"/>
  <c r="G3069" i="65"/>
  <c r="J3069" i="65"/>
  <c r="B3070" i="65"/>
  <c r="G3070" i="65"/>
  <c r="J3070" i="65"/>
  <c r="B3071" i="65"/>
  <c r="G3071" i="65"/>
  <c r="J3071" i="65"/>
  <c r="B3072" i="65"/>
  <c r="G3072" i="65"/>
  <c r="J3072" i="65"/>
  <c r="B3073" i="65"/>
  <c r="G3073" i="65"/>
  <c r="J3073" i="65"/>
  <c r="B3074" i="65"/>
  <c r="G3074" i="65"/>
  <c r="J3074" i="65"/>
  <c r="B3075" i="65"/>
  <c r="G3075" i="65"/>
  <c r="J3075" i="65"/>
  <c r="B3076" i="65"/>
  <c r="G3076" i="65"/>
  <c r="J3076" i="65"/>
  <c r="B3077" i="65"/>
  <c r="G3077" i="65"/>
  <c r="J3077" i="65"/>
  <c r="B3078" i="65"/>
  <c r="G3078" i="65"/>
  <c r="J3078" i="65"/>
  <c r="B3079" i="65"/>
  <c r="G3079" i="65"/>
  <c r="J3079" i="65"/>
  <c r="B3080" i="65"/>
  <c r="G3080" i="65"/>
  <c r="J3080" i="65"/>
  <c r="B3081" i="65"/>
  <c r="G3081" i="65"/>
  <c r="J3081" i="65"/>
  <c r="B3082" i="65"/>
  <c r="G3082" i="65"/>
  <c r="J3082" i="65"/>
  <c r="B3083" i="65"/>
  <c r="G3083" i="65"/>
  <c r="J3083" i="65"/>
  <c r="B3084" i="65"/>
  <c r="G3084" i="65"/>
  <c r="J3084" i="65"/>
  <c r="B3085" i="65"/>
  <c r="G3085" i="65"/>
  <c r="J3085" i="65"/>
  <c r="B3086" i="65"/>
  <c r="G3086" i="65"/>
  <c r="J3086" i="65"/>
  <c r="B3087" i="65"/>
  <c r="G3087" i="65"/>
  <c r="J3087" i="65"/>
  <c r="B3088" i="65"/>
  <c r="G3088" i="65"/>
  <c r="J3088" i="65"/>
  <c r="B3089" i="65"/>
  <c r="G3089" i="65"/>
  <c r="J3089" i="65"/>
  <c r="B3090" i="65"/>
  <c r="G3090" i="65"/>
  <c r="J3090" i="65"/>
  <c r="B3091" i="65"/>
  <c r="G3091" i="65"/>
  <c r="J3091" i="65"/>
  <c r="B3092" i="65"/>
  <c r="G3092" i="65"/>
  <c r="J3092" i="65"/>
  <c r="B3093" i="65"/>
  <c r="G3093" i="65"/>
  <c r="J3093" i="65"/>
  <c r="B3094" i="65"/>
  <c r="G3094" i="65"/>
  <c r="J3094" i="65"/>
  <c r="B3095" i="65"/>
  <c r="G3095" i="65"/>
  <c r="J3095" i="65"/>
  <c r="B3096" i="65"/>
  <c r="G3096" i="65"/>
  <c r="J3096" i="65"/>
  <c r="B3097" i="65"/>
  <c r="G3097" i="65"/>
  <c r="J3097" i="65"/>
  <c r="B3098" i="65"/>
  <c r="G3098" i="65"/>
  <c r="J3098" i="65"/>
  <c r="B3099" i="65"/>
  <c r="G3099" i="65"/>
  <c r="J3099" i="65"/>
  <c r="B3100" i="65"/>
  <c r="G3100" i="65"/>
  <c r="J3100" i="65"/>
  <c r="B3101" i="65"/>
  <c r="G3101" i="65"/>
  <c r="J3101" i="65"/>
  <c r="B3102" i="65"/>
  <c r="G3102" i="65"/>
  <c r="J3102" i="65"/>
  <c r="B3103" i="65"/>
  <c r="G3103" i="65"/>
  <c r="J3103" i="65"/>
  <c r="B3104" i="65"/>
  <c r="G3104" i="65"/>
  <c r="J3104" i="65"/>
  <c r="B3105" i="65"/>
  <c r="G3105" i="65"/>
  <c r="J3105" i="65"/>
  <c r="B3106" i="65"/>
  <c r="G3106" i="65"/>
  <c r="J3106" i="65"/>
  <c r="B3107" i="65"/>
  <c r="G3107" i="65"/>
  <c r="J3107" i="65"/>
  <c r="B3108" i="65"/>
  <c r="G3108" i="65"/>
  <c r="J3108" i="65"/>
  <c r="B3109" i="65"/>
  <c r="G3109" i="65"/>
  <c r="J3109" i="65"/>
  <c r="B3110" i="65"/>
  <c r="G3110" i="65"/>
  <c r="J3110" i="65"/>
  <c r="B3111" i="65"/>
  <c r="G3111" i="65"/>
  <c r="J3111" i="65"/>
  <c r="B3112" i="65"/>
  <c r="G3112" i="65"/>
  <c r="J3112" i="65"/>
  <c r="B3113" i="65"/>
  <c r="G3113" i="65"/>
  <c r="J3113" i="65"/>
  <c r="B3114" i="65"/>
  <c r="G3114" i="65"/>
  <c r="J3114" i="65"/>
  <c r="B3115" i="65"/>
  <c r="G3115" i="65"/>
  <c r="J3115" i="65"/>
  <c r="B3116" i="65"/>
  <c r="G3116" i="65"/>
  <c r="J3116" i="65"/>
  <c r="B3117" i="65"/>
  <c r="G3117" i="65"/>
  <c r="J3117" i="65"/>
  <c r="B3118" i="65"/>
  <c r="G3118" i="65"/>
  <c r="J3118" i="65"/>
  <c r="B3119" i="65"/>
  <c r="G3119" i="65"/>
  <c r="J3119" i="65"/>
  <c r="B3120" i="65"/>
  <c r="G3120" i="65"/>
  <c r="J3120" i="65"/>
  <c r="B3121" i="65"/>
  <c r="G3121" i="65"/>
  <c r="J3121" i="65"/>
  <c r="B3122" i="65"/>
  <c r="G3122" i="65"/>
  <c r="J3122" i="65"/>
  <c r="B3123" i="65"/>
  <c r="G3123" i="65"/>
  <c r="J3123" i="65"/>
  <c r="B3124" i="65"/>
  <c r="G3124" i="65"/>
  <c r="J3124" i="65"/>
  <c r="B3125" i="65"/>
  <c r="G3125" i="65"/>
  <c r="J3125" i="65"/>
  <c r="B3126" i="65"/>
  <c r="G3126" i="65"/>
  <c r="J3126" i="65"/>
  <c r="B3127" i="65"/>
  <c r="G3127" i="65"/>
  <c r="J3127" i="65"/>
  <c r="B3128" i="65"/>
  <c r="G3128" i="65"/>
  <c r="J3128" i="65"/>
  <c r="B3129" i="65"/>
  <c r="G3129" i="65"/>
  <c r="J3129" i="65"/>
  <c r="B3130" i="65"/>
  <c r="G3130" i="65"/>
  <c r="J3130" i="65"/>
  <c r="B3131" i="65"/>
  <c r="G3131" i="65"/>
  <c r="J3131" i="65"/>
  <c r="B3132" i="65"/>
  <c r="G3132" i="65"/>
  <c r="J3132" i="65"/>
  <c r="B3133" i="65"/>
  <c r="G3133" i="65"/>
  <c r="J3133" i="65"/>
  <c r="B3134" i="65"/>
  <c r="G3134" i="65"/>
  <c r="J3134" i="65"/>
  <c r="B3135" i="65"/>
  <c r="G3135" i="65"/>
  <c r="J3135" i="65"/>
  <c r="B3136" i="65"/>
  <c r="G3136" i="65"/>
  <c r="J3136" i="65"/>
  <c r="B3137" i="65"/>
  <c r="G3137" i="65"/>
  <c r="J3137" i="65"/>
  <c r="B3138" i="65"/>
  <c r="G3138" i="65"/>
  <c r="J3138" i="65"/>
  <c r="B3139" i="65"/>
  <c r="G3139" i="65"/>
  <c r="J3139" i="65"/>
  <c r="B3140" i="65"/>
  <c r="G3140" i="65"/>
  <c r="J3140" i="65"/>
  <c r="B3141" i="65"/>
  <c r="G3141" i="65"/>
  <c r="J3141" i="65"/>
  <c r="B3142" i="65"/>
  <c r="G3142" i="65"/>
  <c r="J3142" i="65"/>
  <c r="B3143" i="65"/>
  <c r="G3143" i="65"/>
  <c r="J3143" i="65"/>
  <c r="B3144" i="65"/>
  <c r="G3144" i="65"/>
  <c r="J3144" i="65"/>
  <c r="B3145" i="65"/>
  <c r="G3145" i="65"/>
  <c r="J3145" i="65"/>
  <c r="B3146" i="65"/>
  <c r="G3146" i="65"/>
  <c r="J3146" i="65"/>
  <c r="B3147" i="65"/>
  <c r="G3147" i="65"/>
  <c r="J3147" i="65"/>
  <c r="B3148" i="65"/>
  <c r="G3148" i="65"/>
  <c r="J3148" i="65"/>
  <c r="B3149" i="65"/>
  <c r="G3149" i="65"/>
  <c r="J3149" i="65"/>
  <c r="B3150" i="65"/>
  <c r="G3150" i="65"/>
  <c r="J3150" i="65"/>
  <c r="B3151" i="65"/>
  <c r="G3151" i="65"/>
  <c r="J3151" i="65"/>
  <c r="B3152" i="65"/>
  <c r="G3152" i="65"/>
  <c r="J3152" i="65"/>
  <c r="B3153" i="65"/>
  <c r="G3153" i="65"/>
  <c r="J3153" i="65"/>
  <c r="B3154" i="65"/>
  <c r="G3154" i="65"/>
  <c r="J3154" i="65"/>
  <c r="B3155" i="65"/>
  <c r="G3155" i="65"/>
  <c r="J3155" i="65"/>
  <c r="B3156" i="65"/>
  <c r="G3156" i="65"/>
  <c r="J3156" i="65"/>
  <c r="B3157" i="65"/>
  <c r="G3157" i="65"/>
  <c r="J3157" i="65"/>
  <c r="B3158" i="65"/>
  <c r="G3158" i="65"/>
  <c r="J3158" i="65"/>
  <c r="B3159" i="65"/>
  <c r="G3159" i="65"/>
  <c r="J3159" i="65"/>
  <c r="B3160" i="65"/>
  <c r="G3160" i="65"/>
  <c r="J3160" i="65"/>
  <c r="B3161" i="65"/>
  <c r="G3161" i="65"/>
  <c r="J3161" i="65"/>
  <c r="B3162" i="65"/>
  <c r="G3162" i="65"/>
  <c r="J3162" i="65"/>
  <c r="B3163" i="65"/>
  <c r="G3163" i="65"/>
  <c r="J3163" i="65"/>
  <c r="B3164" i="65"/>
  <c r="G3164" i="65"/>
  <c r="J3164" i="65"/>
  <c r="B3165" i="65"/>
  <c r="G3165" i="65"/>
  <c r="J3165" i="65"/>
  <c r="B3166" i="65"/>
  <c r="G3166" i="65"/>
  <c r="J3166" i="65"/>
  <c r="B3167" i="65"/>
  <c r="G3167" i="65"/>
  <c r="J3167" i="65"/>
  <c r="B3168" i="65"/>
  <c r="G3168" i="65"/>
  <c r="J3168" i="65"/>
  <c r="B3169" i="65"/>
  <c r="G3169" i="65"/>
  <c r="J3169" i="65"/>
  <c r="B3170" i="65"/>
  <c r="G3170" i="65"/>
  <c r="J3170" i="65"/>
  <c r="B3171" i="65"/>
  <c r="G3171" i="65"/>
  <c r="J3171" i="65"/>
  <c r="B3172" i="65"/>
  <c r="G3172" i="65"/>
  <c r="J3172" i="65"/>
  <c r="B3173" i="65"/>
  <c r="G3173" i="65"/>
  <c r="J3173" i="65"/>
  <c r="B3174" i="65"/>
  <c r="G3174" i="65"/>
  <c r="J3174" i="65"/>
  <c r="B3175" i="65"/>
  <c r="G3175" i="65"/>
  <c r="J3175" i="65"/>
  <c r="B3176" i="65"/>
  <c r="G3176" i="65"/>
  <c r="J3176" i="65"/>
  <c r="B3177" i="65"/>
  <c r="G3177" i="65"/>
  <c r="J3177" i="65"/>
  <c r="B3178" i="65"/>
  <c r="G3178" i="65"/>
  <c r="J3178" i="65"/>
  <c r="B3179" i="65"/>
  <c r="G3179" i="65"/>
  <c r="J3179" i="65"/>
  <c r="B3180" i="65"/>
  <c r="G3180" i="65"/>
  <c r="J3180" i="65"/>
  <c r="B3181" i="65"/>
  <c r="G3181" i="65"/>
  <c r="J3181" i="65"/>
  <c r="B3182" i="65"/>
  <c r="G3182" i="65"/>
  <c r="J3182" i="65"/>
  <c r="B3183" i="65"/>
  <c r="G3183" i="65"/>
  <c r="J3183" i="65"/>
  <c r="B3184" i="65"/>
  <c r="G3184" i="65"/>
  <c r="J3184" i="65"/>
  <c r="B3185" i="65"/>
  <c r="G3185" i="65"/>
  <c r="J3185" i="65"/>
  <c r="B3186" i="65"/>
  <c r="G3186" i="65"/>
  <c r="J3186" i="65"/>
  <c r="B3187" i="65"/>
  <c r="G3187" i="65"/>
  <c r="J3187" i="65"/>
  <c r="B3188" i="65"/>
  <c r="G3188" i="65"/>
  <c r="J3188" i="65"/>
  <c r="B3189" i="65"/>
  <c r="G3189" i="65"/>
  <c r="J3189" i="65"/>
  <c r="B3190" i="65"/>
  <c r="G3190" i="65"/>
  <c r="J3190" i="65"/>
  <c r="B3191" i="65"/>
  <c r="G3191" i="65"/>
  <c r="J3191" i="65"/>
  <c r="B3192" i="65"/>
  <c r="G3192" i="65"/>
  <c r="J3192" i="65"/>
  <c r="B3193" i="65"/>
  <c r="G3193" i="65"/>
  <c r="J3193" i="65"/>
  <c r="B3194" i="65"/>
  <c r="G3194" i="65"/>
  <c r="J3194" i="65"/>
  <c r="B3195" i="65"/>
  <c r="G3195" i="65"/>
  <c r="J3195" i="65"/>
  <c r="B3196" i="65"/>
  <c r="G3196" i="65"/>
  <c r="J3196" i="65"/>
  <c r="B3197" i="65"/>
  <c r="G3197" i="65"/>
  <c r="J3197" i="65"/>
  <c r="B3198" i="65"/>
  <c r="G3198" i="65"/>
  <c r="J3198" i="65"/>
  <c r="B3199" i="65"/>
  <c r="G3199" i="65"/>
  <c r="J3199" i="65"/>
  <c r="B3200" i="65"/>
  <c r="G3200" i="65"/>
  <c r="J3200" i="65"/>
  <c r="B3201" i="65"/>
  <c r="G3201" i="65"/>
  <c r="J3201" i="65"/>
  <c r="B3202" i="65"/>
  <c r="G3202" i="65"/>
  <c r="J3202" i="65"/>
  <c r="B3203" i="65"/>
  <c r="G3203" i="65"/>
  <c r="J3203" i="65"/>
  <c r="B3204" i="65"/>
  <c r="G3204" i="65"/>
  <c r="J3204" i="65"/>
  <c r="B3205" i="65"/>
  <c r="G3205" i="65"/>
  <c r="J3205" i="65"/>
  <c r="B3206" i="65"/>
  <c r="G3206" i="65"/>
  <c r="J3206" i="65"/>
  <c r="B3207" i="65"/>
  <c r="G3207" i="65"/>
  <c r="J3207" i="65"/>
  <c r="B3208" i="65"/>
  <c r="G3208" i="65"/>
  <c r="J3208" i="65"/>
  <c r="B3209" i="65"/>
  <c r="G3209" i="65"/>
  <c r="J3209" i="65"/>
  <c r="B3210" i="65"/>
  <c r="G3210" i="65"/>
  <c r="J3210" i="65"/>
  <c r="B3211" i="65"/>
  <c r="G3211" i="65"/>
  <c r="J3211" i="65"/>
  <c r="B3212" i="65"/>
  <c r="G3212" i="65"/>
  <c r="J3212" i="65"/>
  <c r="B3213" i="65"/>
  <c r="G3213" i="65"/>
  <c r="J3213" i="65"/>
  <c r="B3214" i="65"/>
  <c r="G3214" i="65"/>
  <c r="J3214" i="65"/>
  <c r="B3215" i="65"/>
  <c r="G3215" i="65"/>
  <c r="J3215" i="65"/>
  <c r="B3216" i="65"/>
  <c r="G3216" i="65"/>
  <c r="J3216" i="65"/>
  <c r="B3217" i="65"/>
  <c r="G3217" i="65"/>
  <c r="J3217" i="65"/>
  <c r="B3218" i="65"/>
  <c r="G3218" i="65"/>
  <c r="J3218" i="65"/>
  <c r="B3219" i="65"/>
  <c r="G3219" i="65"/>
  <c r="J3219" i="65"/>
  <c r="B3220" i="65"/>
  <c r="G3220" i="65"/>
  <c r="J3220" i="65"/>
  <c r="B3221" i="65"/>
  <c r="G3221" i="65"/>
  <c r="J3221" i="65"/>
  <c r="B3222" i="65"/>
  <c r="G3222" i="65"/>
  <c r="J3222" i="65"/>
  <c r="B3223" i="65"/>
  <c r="G3223" i="65"/>
  <c r="J3223" i="65"/>
  <c r="B3224" i="65"/>
  <c r="G3224" i="65"/>
  <c r="J3224" i="65"/>
  <c r="B3225" i="65"/>
  <c r="G3225" i="65"/>
  <c r="J3225" i="65"/>
  <c r="B3226" i="65"/>
  <c r="G3226" i="65"/>
  <c r="J3226" i="65"/>
  <c r="B3227" i="65"/>
  <c r="G3227" i="65"/>
  <c r="J3227" i="65"/>
  <c r="B3228" i="65"/>
  <c r="G3228" i="65"/>
  <c r="J3228" i="65"/>
  <c r="B3229" i="65"/>
  <c r="G3229" i="65"/>
  <c r="J3229" i="65"/>
  <c r="B3230" i="65"/>
  <c r="G3230" i="65"/>
  <c r="J3230" i="65"/>
  <c r="B3231" i="65"/>
  <c r="G3231" i="65"/>
  <c r="J3231" i="65"/>
  <c r="B3232" i="65"/>
  <c r="G3232" i="65"/>
  <c r="J3232" i="65"/>
  <c r="B3233" i="65"/>
  <c r="G3233" i="65"/>
  <c r="J3233" i="65"/>
  <c r="B3234" i="65"/>
  <c r="G3234" i="65"/>
  <c r="J3234" i="65"/>
  <c r="B3235" i="65"/>
  <c r="G3235" i="65"/>
  <c r="J3235" i="65"/>
  <c r="B3236" i="65"/>
  <c r="G3236" i="65"/>
  <c r="J3236" i="65"/>
  <c r="B3237" i="65"/>
  <c r="G3237" i="65"/>
  <c r="J3237" i="65"/>
  <c r="B3238" i="65"/>
  <c r="G3238" i="65"/>
  <c r="J3238" i="65"/>
  <c r="B3239" i="65"/>
  <c r="G3239" i="65"/>
  <c r="J3239" i="65"/>
  <c r="B3240" i="65"/>
  <c r="G3240" i="65"/>
  <c r="J3240" i="65"/>
  <c r="B3241" i="65"/>
  <c r="G3241" i="65"/>
  <c r="J3241" i="65"/>
  <c r="B3242" i="65"/>
  <c r="G3242" i="65"/>
  <c r="J3242" i="65"/>
  <c r="B3243" i="65"/>
  <c r="G3243" i="65"/>
  <c r="J3243" i="65"/>
  <c r="B3244" i="65"/>
  <c r="G3244" i="65"/>
  <c r="J3244" i="65"/>
  <c r="B3245" i="65"/>
  <c r="G3245" i="65"/>
  <c r="J3245" i="65"/>
  <c r="B3246" i="65"/>
  <c r="G3246" i="65"/>
  <c r="J3246" i="65"/>
  <c r="B3247" i="65"/>
  <c r="G3247" i="65"/>
  <c r="J3247" i="65"/>
  <c r="B3248" i="65"/>
  <c r="G3248" i="65"/>
  <c r="J3248" i="65"/>
  <c r="B3249" i="65"/>
  <c r="G3249" i="65"/>
  <c r="J3249" i="65"/>
  <c r="B3250" i="65"/>
  <c r="G3250" i="65"/>
  <c r="J3250" i="65"/>
  <c r="B3251" i="65"/>
  <c r="G3251" i="65"/>
  <c r="J3251" i="65"/>
  <c r="B3252" i="65"/>
  <c r="G3252" i="65"/>
  <c r="J3252" i="65"/>
  <c r="B3253" i="65"/>
  <c r="G3253" i="65"/>
  <c r="J3253" i="65"/>
  <c r="B3254" i="65"/>
  <c r="G3254" i="65"/>
  <c r="J3254" i="65"/>
  <c r="B3255" i="65"/>
  <c r="G3255" i="65"/>
  <c r="J3255" i="65"/>
  <c r="B3256" i="65"/>
  <c r="G3256" i="65"/>
  <c r="J3256" i="65"/>
  <c r="B3257" i="65"/>
  <c r="G3257" i="65"/>
  <c r="J3257" i="65"/>
  <c r="B3258" i="65"/>
  <c r="G3258" i="65"/>
  <c r="J3258" i="65"/>
  <c r="B3259" i="65"/>
  <c r="G3259" i="65"/>
  <c r="J3259" i="65"/>
  <c r="B3260" i="65"/>
  <c r="G3260" i="65"/>
  <c r="J3260" i="65"/>
  <c r="B3261" i="65"/>
  <c r="G3261" i="65"/>
  <c r="J3261" i="65"/>
  <c r="B3262" i="65"/>
  <c r="G3262" i="65"/>
  <c r="J3262" i="65"/>
  <c r="B3263" i="65"/>
  <c r="G3263" i="65"/>
  <c r="J3263" i="65"/>
  <c r="B3264" i="65"/>
  <c r="G3264" i="65"/>
  <c r="J3264" i="65"/>
  <c r="B3265" i="65"/>
  <c r="G3265" i="65"/>
  <c r="J3265" i="65"/>
  <c r="B3266" i="65"/>
  <c r="G3266" i="65"/>
  <c r="J3266" i="65"/>
  <c r="B3267" i="65"/>
  <c r="G3267" i="65"/>
  <c r="J3267" i="65"/>
  <c r="B3268" i="65"/>
  <c r="G3268" i="65"/>
  <c r="J3268" i="65"/>
  <c r="B3269" i="65"/>
  <c r="G3269" i="65"/>
  <c r="J3269" i="65"/>
  <c r="B3270" i="65"/>
  <c r="G3270" i="65"/>
  <c r="J3270" i="65"/>
  <c r="B3271" i="65"/>
  <c r="G3271" i="65"/>
  <c r="J3271" i="65"/>
  <c r="B3272" i="65"/>
  <c r="G3272" i="65"/>
  <c r="J3272" i="65"/>
  <c r="B3273" i="65"/>
  <c r="G3273" i="65"/>
  <c r="J3273" i="65"/>
  <c r="B3274" i="65"/>
  <c r="G3274" i="65"/>
  <c r="J3274" i="65"/>
  <c r="B3275" i="65"/>
  <c r="G3275" i="65"/>
  <c r="J3275" i="65"/>
  <c r="B3276" i="65"/>
  <c r="G3276" i="65"/>
  <c r="J3276" i="65"/>
  <c r="B3277" i="65"/>
  <c r="G3277" i="65"/>
  <c r="J3277" i="65"/>
  <c r="B3278" i="65"/>
  <c r="G3278" i="65"/>
  <c r="J3278" i="65"/>
  <c r="B3279" i="65"/>
  <c r="G3279" i="65"/>
  <c r="J3279" i="65"/>
  <c r="B3280" i="65"/>
  <c r="G3280" i="65"/>
  <c r="J3280" i="65"/>
  <c r="B3281" i="65"/>
  <c r="G3281" i="65"/>
  <c r="J3281" i="65"/>
  <c r="B3282" i="65"/>
  <c r="G3282" i="65"/>
  <c r="J3282" i="65"/>
  <c r="B3283" i="65"/>
  <c r="G3283" i="65"/>
  <c r="J3283" i="65"/>
  <c r="B3284" i="65"/>
  <c r="G3284" i="65"/>
  <c r="J3284" i="65"/>
  <c r="B3285" i="65"/>
  <c r="G3285" i="65"/>
  <c r="J3285" i="65"/>
  <c r="B3286" i="65"/>
  <c r="G3286" i="65"/>
  <c r="J3286" i="65"/>
  <c r="B3287" i="65"/>
  <c r="G3287" i="65"/>
  <c r="J3287" i="65"/>
  <c r="B3288" i="65"/>
  <c r="G3288" i="65"/>
  <c r="J3288" i="65"/>
  <c r="B3289" i="65"/>
  <c r="G3289" i="65"/>
  <c r="J3289" i="65"/>
  <c r="B3290" i="65"/>
  <c r="G3290" i="65"/>
  <c r="J3290" i="65"/>
  <c r="B3291" i="65"/>
  <c r="G3291" i="65"/>
  <c r="J3291" i="65"/>
  <c r="B3292" i="65"/>
  <c r="G3292" i="65"/>
  <c r="J3292" i="65"/>
  <c r="B3293" i="65"/>
  <c r="G3293" i="65"/>
  <c r="J3293" i="65"/>
  <c r="B3294" i="65"/>
  <c r="G3294" i="65"/>
  <c r="J3294" i="65"/>
  <c r="B3295" i="65"/>
  <c r="G3295" i="65"/>
  <c r="J3295" i="65"/>
  <c r="B3296" i="65"/>
  <c r="G3296" i="65"/>
  <c r="J3296" i="65"/>
  <c r="B3297" i="65"/>
  <c r="G3297" i="65"/>
  <c r="J3297" i="65"/>
  <c r="B3298" i="65"/>
  <c r="G3298" i="65"/>
  <c r="J3298" i="65"/>
  <c r="B3299" i="65"/>
  <c r="G3299" i="65"/>
  <c r="J3299" i="65"/>
  <c r="B3300" i="65"/>
  <c r="G3300" i="65"/>
  <c r="J3300" i="65"/>
  <c r="B3301" i="65"/>
  <c r="G3301" i="65"/>
  <c r="J3301" i="65"/>
  <c r="B3302" i="65"/>
  <c r="G3302" i="65"/>
  <c r="J3302" i="65"/>
  <c r="B3303" i="65"/>
  <c r="G3303" i="65"/>
  <c r="J3303" i="65"/>
  <c r="B3304" i="65"/>
  <c r="G3304" i="65"/>
  <c r="J3304" i="65"/>
  <c r="B3305" i="65"/>
  <c r="G3305" i="65"/>
  <c r="J3305" i="65"/>
  <c r="B3306" i="65"/>
  <c r="G3306" i="65"/>
  <c r="J3306" i="65"/>
  <c r="B3307" i="65"/>
  <c r="G3307" i="65"/>
  <c r="J3307" i="65"/>
  <c r="B3308" i="65"/>
  <c r="G3308" i="65"/>
  <c r="J3308" i="65"/>
  <c r="B3309" i="65"/>
  <c r="G3309" i="65"/>
  <c r="J3309" i="65"/>
  <c r="B3310" i="65"/>
  <c r="G3310" i="65"/>
  <c r="J3310" i="65"/>
  <c r="B3311" i="65"/>
  <c r="G3311" i="65"/>
  <c r="J3311" i="65"/>
  <c r="B3312" i="65"/>
  <c r="G3312" i="65"/>
  <c r="J3312" i="65"/>
  <c r="B3313" i="65"/>
  <c r="G3313" i="65"/>
  <c r="J3313" i="65"/>
  <c r="B3314" i="65"/>
  <c r="G3314" i="65"/>
  <c r="J3314" i="65"/>
  <c r="B3315" i="65"/>
  <c r="G3315" i="65"/>
  <c r="J3315" i="65"/>
  <c r="B3316" i="65"/>
  <c r="G3316" i="65"/>
  <c r="J3316" i="65"/>
  <c r="B3317" i="65"/>
  <c r="G3317" i="65"/>
  <c r="J3317" i="65"/>
  <c r="B3318" i="65"/>
  <c r="G3318" i="65"/>
  <c r="J3318" i="65"/>
  <c r="B3319" i="65"/>
  <c r="G3319" i="65"/>
  <c r="J3319" i="65"/>
  <c r="B3320" i="65"/>
  <c r="G3320" i="65"/>
  <c r="J3320" i="65"/>
  <c r="B3321" i="65"/>
  <c r="G3321" i="65"/>
  <c r="J3321" i="65"/>
  <c r="B3322" i="65"/>
  <c r="G3322" i="65"/>
  <c r="J3322" i="65"/>
  <c r="B3323" i="65"/>
  <c r="G3323" i="65"/>
  <c r="J3323" i="65"/>
  <c r="B3324" i="65"/>
  <c r="G3324" i="65"/>
  <c r="J3324" i="65"/>
  <c r="B3325" i="65"/>
  <c r="G3325" i="65"/>
  <c r="J3325" i="65"/>
  <c r="B3326" i="65"/>
  <c r="G3326" i="65"/>
  <c r="J3326" i="65"/>
  <c r="B3327" i="65"/>
  <c r="G3327" i="65"/>
  <c r="J3327" i="65"/>
  <c r="B3328" i="65"/>
  <c r="G3328" i="65"/>
  <c r="J3328" i="65"/>
  <c r="B3329" i="65"/>
  <c r="G3329" i="65"/>
  <c r="J3329" i="65"/>
  <c r="B3330" i="65"/>
  <c r="G3330" i="65"/>
  <c r="J3330" i="65"/>
  <c r="B3331" i="65"/>
  <c r="G3331" i="65"/>
  <c r="J3331" i="65"/>
  <c r="B3332" i="65"/>
  <c r="G3332" i="65"/>
  <c r="J3332" i="65"/>
  <c r="B3333" i="65"/>
  <c r="G3333" i="65"/>
  <c r="J3333" i="65"/>
  <c r="B3334" i="65"/>
  <c r="G3334" i="65"/>
  <c r="J3334" i="65"/>
  <c r="B3335" i="65"/>
  <c r="G3335" i="65"/>
  <c r="J3335" i="65"/>
  <c r="B3336" i="65"/>
  <c r="G3336" i="65"/>
  <c r="J3336" i="65"/>
  <c r="B3337" i="65"/>
  <c r="G3337" i="65"/>
  <c r="J3337" i="65"/>
  <c r="B3338" i="65"/>
  <c r="G3338" i="65"/>
  <c r="J3338" i="65"/>
  <c r="B3339" i="65"/>
  <c r="G3339" i="65"/>
  <c r="J3339" i="65"/>
  <c r="B3340" i="65"/>
  <c r="G3340" i="65"/>
  <c r="J3340" i="65"/>
  <c r="B3341" i="65"/>
  <c r="G3341" i="65"/>
  <c r="J3341" i="65"/>
  <c r="B3342" i="65"/>
  <c r="G3342" i="65"/>
  <c r="J3342" i="65"/>
  <c r="B3343" i="65"/>
  <c r="G3343" i="65"/>
  <c r="J3343" i="65"/>
  <c r="B3344" i="65"/>
  <c r="G3344" i="65"/>
  <c r="J3344" i="65"/>
  <c r="B3345" i="65"/>
  <c r="G3345" i="65"/>
  <c r="J3345" i="65"/>
  <c r="B3346" i="65"/>
  <c r="G3346" i="65"/>
  <c r="J3346" i="65"/>
  <c r="B3347" i="65"/>
  <c r="G3347" i="65"/>
  <c r="J3347" i="65"/>
  <c r="B3348" i="65"/>
  <c r="G3348" i="65"/>
  <c r="J3348" i="65"/>
  <c r="B3349" i="65"/>
  <c r="G3349" i="65"/>
  <c r="J3349" i="65"/>
  <c r="B3350" i="65"/>
  <c r="G3350" i="65"/>
  <c r="J3350" i="65"/>
  <c r="B3351" i="65"/>
  <c r="G3351" i="65"/>
  <c r="J3351" i="65"/>
  <c r="B3352" i="65"/>
  <c r="G3352" i="65"/>
  <c r="J3352" i="65"/>
  <c r="B3353" i="65"/>
  <c r="G3353" i="65"/>
  <c r="J3353" i="65"/>
  <c r="B3354" i="65"/>
  <c r="G3354" i="65"/>
  <c r="J3354" i="65"/>
  <c r="B3355" i="65"/>
  <c r="G3355" i="65"/>
  <c r="J3355" i="65"/>
  <c r="B3356" i="65"/>
  <c r="G3356" i="65"/>
  <c r="J3356" i="65"/>
  <c r="B3357" i="65"/>
  <c r="G3357" i="65"/>
  <c r="J3357" i="65"/>
  <c r="B3358" i="65"/>
  <c r="G3358" i="65"/>
  <c r="J3358" i="65"/>
  <c r="B3359" i="65"/>
  <c r="G3359" i="65"/>
  <c r="J3359" i="65"/>
  <c r="B3360" i="65"/>
  <c r="G3360" i="65"/>
  <c r="J3360" i="65"/>
  <c r="B3361" i="65"/>
  <c r="G3361" i="65"/>
  <c r="J3361" i="65"/>
  <c r="B3362" i="65"/>
  <c r="G3362" i="65"/>
  <c r="J3362" i="65"/>
  <c r="B3363" i="65"/>
  <c r="G3363" i="65"/>
  <c r="J3363" i="65"/>
  <c r="B3364" i="65"/>
  <c r="G3364" i="65"/>
  <c r="J3364" i="65"/>
  <c r="B3365" i="65"/>
  <c r="G3365" i="65"/>
  <c r="J3365" i="65"/>
  <c r="B3366" i="65"/>
  <c r="G3366" i="65"/>
  <c r="J3366" i="65"/>
  <c r="B3367" i="65"/>
  <c r="G3367" i="65"/>
  <c r="J3367" i="65"/>
  <c r="B3368" i="65"/>
  <c r="G3368" i="65"/>
  <c r="J3368" i="65"/>
  <c r="B3369" i="65"/>
  <c r="G3369" i="65"/>
  <c r="J3369" i="65"/>
  <c r="B3370" i="65"/>
  <c r="G3370" i="65"/>
  <c r="J3370" i="65"/>
  <c r="B3371" i="65"/>
  <c r="G3371" i="65"/>
  <c r="J3371" i="65"/>
  <c r="B3372" i="65"/>
  <c r="G3372" i="65"/>
  <c r="J3372" i="65"/>
  <c r="B3373" i="65"/>
  <c r="G3373" i="65"/>
  <c r="J3373" i="65"/>
  <c r="B3374" i="65"/>
  <c r="G3374" i="65"/>
  <c r="J3374" i="65"/>
  <c r="B3375" i="65"/>
  <c r="G3375" i="65"/>
  <c r="J3375" i="65"/>
  <c r="B3376" i="65"/>
  <c r="G3376" i="65"/>
  <c r="J3376" i="65"/>
  <c r="B3377" i="65"/>
  <c r="G3377" i="65"/>
  <c r="J3377" i="65"/>
  <c r="B3378" i="65"/>
  <c r="G3378" i="65"/>
  <c r="J3378" i="65"/>
  <c r="B3379" i="65"/>
  <c r="G3379" i="65"/>
  <c r="J3379" i="65"/>
  <c r="B3380" i="65"/>
  <c r="G3380" i="65"/>
  <c r="J3380" i="65"/>
  <c r="B3381" i="65"/>
  <c r="G3381" i="65"/>
  <c r="J3381" i="65"/>
  <c r="B3382" i="65"/>
  <c r="G3382" i="65"/>
  <c r="J3382" i="65"/>
  <c r="B3383" i="65"/>
  <c r="G3383" i="65"/>
  <c r="J3383" i="65"/>
  <c r="B3384" i="65"/>
  <c r="G3384" i="65"/>
  <c r="J3384" i="65"/>
  <c r="B3385" i="65"/>
  <c r="G3385" i="65"/>
  <c r="J3385" i="65"/>
  <c r="B3386" i="65"/>
  <c r="G3386" i="65"/>
  <c r="J3386" i="65"/>
  <c r="B3387" i="65"/>
  <c r="G3387" i="65"/>
  <c r="J3387" i="65"/>
  <c r="B3388" i="65"/>
  <c r="G3388" i="65"/>
  <c r="J3388" i="65"/>
  <c r="B3389" i="65"/>
  <c r="G3389" i="65"/>
  <c r="J3389" i="65"/>
  <c r="B3390" i="65"/>
  <c r="G3390" i="65"/>
  <c r="J3390" i="65"/>
  <c r="B3391" i="65"/>
  <c r="G3391" i="65"/>
  <c r="J3391" i="65"/>
  <c r="B3392" i="65"/>
  <c r="G3392" i="65"/>
  <c r="J3392" i="65"/>
  <c r="B3393" i="65"/>
  <c r="G3393" i="65"/>
  <c r="J3393" i="65"/>
  <c r="B3394" i="65"/>
  <c r="G3394" i="65"/>
  <c r="J3394" i="65"/>
  <c r="B3395" i="65"/>
  <c r="G3395" i="65"/>
  <c r="J3395" i="65"/>
  <c r="B3396" i="65"/>
  <c r="G3396" i="65"/>
  <c r="J3396" i="65"/>
  <c r="B3397" i="65"/>
  <c r="G3397" i="65"/>
  <c r="J3397" i="65"/>
  <c r="B3398" i="65"/>
  <c r="G3398" i="65"/>
  <c r="J3398" i="65"/>
  <c r="B3399" i="65"/>
  <c r="G3399" i="65"/>
  <c r="J3399" i="65"/>
  <c r="B3400" i="65"/>
  <c r="G3400" i="65"/>
  <c r="J3400" i="65"/>
  <c r="B3401" i="65"/>
  <c r="G3401" i="65"/>
  <c r="J3401" i="65"/>
  <c r="B3402" i="65"/>
  <c r="G3402" i="65"/>
  <c r="J3402" i="65"/>
  <c r="B3403" i="65"/>
  <c r="G3403" i="65"/>
  <c r="J3403" i="65"/>
  <c r="B3404" i="65"/>
  <c r="G3404" i="65"/>
  <c r="J3404" i="65"/>
  <c r="B3405" i="65"/>
  <c r="G3405" i="65"/>
  <c r="J3405" i="65"/>
  <c r="B3406" i="65"/>
  <c r="G3406" i="65"/>
  <c r="J3406" i="65"/>
  <c r="B3407" i="65"/>
  <c r="G3407" i="65"/>
  <c r="J3407" i="65"/>
  <c r="B3408" i="65"/>
  <c r="G3408" i="65"/>
  <c r="J3408" i="65"/>
  <c r="B3409" i="65"/>
  <c r="G3409" i="65"/>
  <c r="J3409" i="65"/>
  <c r="B3410" i="65"/>
  <c r="G3410" i="65"/>
  <c r="J3410" i="65"/>
  <c r="B3411" i="65"/>
  <c r="G3411" i="65"/>
  <c r="J3411" i="65"/>
  <c r="B3412" i="65"/>
  <c r="G3412" i="65"/>
  <c r="J3412" i="65"/>
  <c r="B3413" i="65"/>
  <c r="G3413" i="65"/>
  <c r="J3413" i="65"/>
  <c r="B3414" i="65"/>
  <c r="G3414" i="65"/>
  <c r="J3414" i="65"/>
  <c r="B3415" i="65"/>
  <c r="G3415" i="65"/>
  <c r="J3415" i="65"/>
  <c r="B3416" i="65"/>
  <c r="G3416" i="65"/>
  <c r="J3416" i="65"/>
  <c r="B3417" i="65"/>
  <c r="G3417" i="65"/>
  <c r="J3417" i="65"/>
  <c r="B3418" i="65"/>
  <c r="G3418" i="65"/>
  <c r="J3418" i="65"/>
  <c r="B3419" i="65"/>
  <c r="G3419" i="65"/>
  <c r="J3419" i="65"/>
  <c r="B3420" i="65"/>
  <c r="G3420" i="65"/>
  <c r="J3420" i="65"/>
  <c r="B3421" i="65"/>
  <c r="G3421" i="65"/>
  <c r="J3421" i="65"/>
  <c r="B3422" i="65"/>
  <c r="G3422" i="65"/>
  <c r="J3422" i="65"/>
  <c r="B3423" i="65"/>
  <c r="G3423" i="65"/>
  <c r="J3423" i="65"/>
  <c r="B3424" i="65"/>
  <c r="G3424" i="65"/>
  <c r="J3424" i="65"/>
  <c r="B3425" i="65"/>
  <c r="G3425" i="65"/>
  <c r="J3425" i="65"/>
  <c r="B3426" i="65"/>
  <c r="G3426" i="65"/>
  <c r="J3426" i="65"/>
  <c r="B3427" i="65"/>
  <c r="G3427" i="65"/>
  <c r="J3427" i="65"/>
  <c r="B3428" i="65"/>
  <c r="G3428" i="65"/>
  <c r="J3428" i="65"/>
  <c r="B3429" i="65"/>
  <c r="G3429" i="65"/>
  <c r="J3429" i="65"/>
  <c r="B3430" i="65"/>
  <c r="G3430" i="65"/>
  <c r="J3430" i="65"/>
  <c r="B3431" i="65"/>
  <c r="G3431" i="65"/>
  <c r="J3431" i="65"/>
  <c r="B3432" i="65"/>
  <c r="G3432" i="65"/>
  <c r="J3432" i="65"/>
  <c r="B3433" i="65"/>
  <c r="G3433" i="65"/>
  <c r="J3433" i="65"/>
  <c r="B3434" i="65"/>
  <c r="G3434" i="65"/>
  <c r="J3434" i="65"/>
  <c r="B3435" i="65"/>
  <c r="G3435" i="65"/>
  <c r="J3435" i="65"/>
  <c r="B3436" i="65"/>
  <c r="G3436" i="65"/>
  <c r="J3436" i="65"/>
  <c r="B3437" i="65"/>
  <c r="G3437" i="65"/>
  <c r="J3437" i="65"/>
  <c r="B3438" i="65"/>
  <c r="G3438" i="65"/>
  <c r="J3438" i="65"/>
  <c r="B3439" i="65"/>
  <c r="G3439" i="65"/>
  <c r="J3439" i="65"/>
  <c r="B3440" i="65"/>
  <c r="G3440" i="65"/>
  <c r="J3440" i="65"/>
  <c r="B3441" i="65"/>
  <c r="G3441" i="65"/>
  <c r="J3441" i="65"/>
  <c r="B3442" i="65"/>
  <c r="G3442" i="65"/>
  <c r="J3442" i="65"/>
  <c r="B3443" i="65"/>
  <c r="G3443" i="65"/>
  <c r="J3443" i="65"/>
  <c r="B3444" i="65"/>
  <c r="G3444" i="65"/>
  <c r="J3444" i="65"/>
  <c r="B3445" i="65"/>
  <c r="G3445" i="65"/>
  <c r="J3445" i="65"/>
  <c r="B3446" i="65"/>
  <c r="G3446" i="65"/>
  <c r="J3446" i="65"/>
  <c r="B3447" i="65"/>
  <c r="G3447" i="65"/>
  <c r="J3447" i="65"/>
  <c r="B3448" i="65"/>
  <c r="G3448" i="65"/>
  <c r="J3448" i="65"/>
  <c r="B3449" i="65"/>
  <c r="G3449" i="65"/>
  <c r="J3449" i="65"/>
  <c r="B3450" i="65"/>
  <c r="G3450" i="65"/>
  <c r="J3450" i="65"/>
  <c r="B3451" i="65"/>
  <c r="G3451" i="65"/>
  <c r="J3451" i="65"/>
  <c r="B3452" i="65"/>
  <c r="G3452" i="65"/>
  <c r="J3452" i="65"/>
  <c r="B3453" i="65"/>
  <c r="G3453" i="65"/>
  <c r="J3453" i="65"/>
  <c r="B3454" i="65"/>
  <c r="G3454" i="65"/>
  <c r="J3454" i="65"/>
  <c r="B3455" i="65"/>
  <c r="G3455" i="65"/>
  <c r="J3455" i="65"/>
  <c r="B3456" i="65"/>
  <c r="G3456" i="65"/>
  <c r="J3456" i="65"/>
  <c r="B3457" i="65"/>
  <c r="G3457" i="65"/>
  <c r="J3457" i="65"/>
  <c r="B3458" i="65"/>
  <c r="G3458" i="65"/>
  <c r="J3458" i="65"/>
  <c r="B3459" i="65"/>
  <c r="G3459" i="65"/>
  <c r="J3459" i="65"/>
  <c r="B3460" i="65"/>
  <c r="G3460" i="65"/>
  <c r="J3460" i="65"/>
  <c r="B3461" i="65"/>
  <c r="G3461" i="65"/>
  <c r="J3461" i="65"/>
  <c r="B3462" i="65"/>
  <c r="G3462" i="65"/>
  <c r="J3462" i="65"/>
  <c r="B3463" i="65"/>
  <c r="G3463" i="65"/>
  <c r="J3463" i="65"/>
  <c r="B3464" i="65"/>
  <c r="G3464" i="65"/>
  <c r="J3464" i="65"/>
  <c r="B3465" i="65"/>
  <c r="G3465" i="65"/>
  <c r="J3465" i="65"/>
  <c r="B3466" i="65"/>
  <c r="G3466" i="65"/>
  <c r="J3466" i="65"/>
  <c r="B3467" i="65"/>
  <c r="G3467" i="65"/>
  <c r="J3467" i="65"/>
  <c r="B3468" i="65"/>
  <c r="G3468" i="65"/>
  <c r="J3468" i="65"/>
  <c r="B3469" i="65"/>
  <c r="G3469" i="65"/>
  <c r="J3469" i="65"/>
  <c r="B3470" i="65"/>
  <c r="G3470" i="65"/>
  <c r="J3470" i="65"/>
  <c r="B3471" i="65"/>
  <c r="G3471" i="65"/>
  <c r="J3471" i="65"/>
  <c r="B3472" i="65"/>
  <c r="G3472" i="65"/>
  <c r="J3472" i="65"/>
  <c r="B3473" i="65"/>
  <c r="G3473" i="65"/>
  <c r="J3473" i="65"/>
  <c r="B3474" i="65"/>
  <c r="G3474" i="65"/>
  <c r="J3474" i="65"/>
  <c r="B3475" i="65"/>
  <c r="G3475" i="65"/>
  <c r="J3475" i="65"/>
  <c r="B3476" i="65"/>
  <c r="G3476" i="65"/>
  <c r="J3476" i="65"/>
  <c r="B3477" i="65"/>
  <c r="G3477" i="65"/>
  <c r="J3477" i="65"/>
  <c r="B3478" i="65"/>
  <c r="G3478" i="65"/>
  <c r="J3478" i="65"/>
  <c r="B3479" i="65"/>
  <c r="G3479" i="65"/>
  <c r="J3479" i="65"/>
  <c r="B3480" i="65"/>
  <c r="G3480" i="65"/>
  <c r="J3480" i="65"/>
  <c r="B3481" i="65"/>
  <c r="G3481" i="65"/>
  <c r="J3481" i="65"/>
  <c r="B3482" i="65"/>
  <c r="G3482" i="65"/>
  <c r="J3482" i="65"/>
  <c r="B3483" i="65"/>
  <c r="G3483" i="65"/>
  <c r="J3483" i="65"/>
  <c r="B3484" i="65"/>
  <c r="G3484" i="65"/>
  <c r="J3484" i="65"/>
  <c r="B3485" i="65"/>
  <c r="G3485" i="65"/>
  <c r="J3485" i="65"/>
  <c r="B3486" i="65"/>
  <c r="G3486" i="65"/>
  <c r="J3486" i="65"/>
  <c r="B3487" i="65"/>
  <c r="G3487" i="65"/>
  <c r="J3487" i="65"/>
  <c r="B3488" i="65"/>
  <c r="G3488" i="65"/>
  <c r="J3488" i="65"/>
  <c r="B3489" i="65"/>
  <c r="G3489" i="65"/>
  <c r="J3489" i="65"/>
  <c r="B3490" i="65"/>
  <c r="G3490" i="65"/>
  <c r="J3490" i="65"/>
  <c r="B3491" i="65"/>
  <c r="G3491" i="65"/>
  <c r="J3491" i="65"/>
  <c r="B3492" i="65"/>
  <c r="G3492" i="65"/>
  <c r="J3492" i="65"/>
  <c r="B3493" i="65"/>
  <c r="G3493" i="65"/>
  <c r="J3493" i="65"/>
  <c r="B3494" i="65"/>
  <c r="G3494" i="65"/>
  <c r="J3494" i="65"/>
  <c r="B3495" i="65"/>
  <c r="G3495" i="65"/>
  <c r="J3495" i="65"/>
  <c r="B3496" i="65"/>
  <c r="G3496" i="65"/>
  <c r="J3496" i="65"/>
  <c r="B3497" i="65"/>
  <c r="G3497" i="65"/>
  <c r="J3497" i="65"/>
  <c r="B3498" i="65"/>
  <c r="G3498" i="65"/>
  <c r="J3498" i="65"/>
  <c r="B3499" i="65"/>
  <c r="G3499" i="65"/>
  <c r="J3499" i="65"/>
  <c r="B3500" i="65"/>
  <c r="G3500" i="65"/>
  <c r="J3500" i="65"/>
  <c r="B3501" i="65"/>
  <c r="G3501" i="65"/>
  <c r="J3501" i="65"/>
  <c r="B3502" i="65"/>
  <c r="G3502" i="65"/>
  <c r="J3502" i="65"/>
  <c r="B3503" i="65"/>
  <c r="G3503" i="65"/>
  <c r="J3503" i="65"/>
  <c r="B3504" i="65"/>
  <c r="G3504" i="65"/>
  <c r="J3504" i="65"/>
  <c r="B3505" i="65"/>
  <c r="G3505" i="65"/>
  <c r="J3505" i="65"/>
  <c r="B3506" i="65"/>
  <c r="G3506" i="65"/>
  <c r="J3506" i="65"/>
  <c r="B3507" i="65"/>
  <c r="G3507" i="65"/>
  <c r="J3507" i="65"/>
  <c r="B3508" i="65"/>
  <c r="G3508" i="65"/>
  <c r="J3508" i="65"/>
  <c r="B3509" i="65"/>
  <c r="G3509" i="65"/>
  <c r="J3509" i="65"/>
  <c r="B3510" i="65"/>
  <c r="G3510" i="65"/>
  <c r="J3510" i="65"/>
  <c r="B3511" i="65"/>
  <c r="G3511" i="65"/>
  <c r="J3511" i="65"/>
  <c r="B3512" i="65"/>
  <c r="G3512" i="65"/>
  <c r="J3512" i="65"/>
  <c r="B3513" i="65"/>
  <c r="G3513" i="65"/>
  <c r="J3513" i="65"/>
  <c r="D14" i="17"/>
  <c r="E14" i="17"/>
  <c r="F14" i="17"/>
  <c r="G14" i="17"/>
  <c r="H14" i="17"/>
  <c r="I14" i="17"/>
  <c r="C14" i="17"/>
  <c r="J14" i="17" l="1"/>
  <c r="K14" i="17"/>
  <c r="N4" i="17"/>
  <c r="W1756" i="44"/>
  <c r="W1755" i="44"/>
  <c r="W1754" i="44"/>
  <c r="W1753" i="44"/>
  <c r="W1752" i="44"/>
  <c r="L1752" i="44"/>
  <c r="W1751" i="44"/>
  <c r="L1751" i="44"/>
  <c r="W1750" i="44"/>
  <c r="L1750" i="44"/>
  <c r="W1749" i="44"/>
  <c r="L1749" i="44"/>
  <c r="W1748" i="44"/>
  <c r="L1748" i="44"/>
  <c r="W1747" i="44"/>
  <c r="L1747" i="44"/>
  <c r="W1746" i="44"/>
  <c r="L1746" i="44"/>
  <c r="W1745" i="44"/>
  <c r="L1745" i="44"/>
  <c r="W1744" i="44"/>
  <c r="L1744" i="44"/>
  <c r="W1743" i="44"/>
  <c r="L1743" i="44"/>
  <c r="W1742" i="44"/>
  <c r="L1742" i="44"/>
  <c r="W1741" i="44"/>
  <c r="L1741" i="44"/>
  <c r="W1740" i="44"/>
  <c r="L1740" i="44"/>
  <c r="W1739" i="44"/>
  <c r="L1739" i="44"/>
  <c r="W1738" i="44"/>
  <c r="L1738" i="44"/>
  <c r="W1737" i="44"/>
  <c r="L1737" i="44"/>
  <c r="W1736" i="44"/>
  <c r="L1736" i="44"/>
  <c r="W1735" i="44"/>
  <c r="L1735" i="44"/>
  <c r="W1734" i="44"/>
  <c r="L1734" i="44"/>
  <c r="W1733" i="44"/>
  <c r="L1733" i="44"/>
  <c r="W1732" i="44"/>
  <c r="L1732" i="44"/>
  <c r="W1731" i="44"/>
  <c r="L1731" i="44"/>
  <c r="W1730" i="44"/>
  <c r="L1730" i="44"/>
  <c r="W1729" i="44"/>
  <c r="L1729" i="44"/>
  <c r="W1728" i="44"/>
  <c r="L1728" i="44"/>
  <c r="W1727" i="44"/>
  <c r="L1727" i="44"/>
  <c r="W1726" i="44"/>
  <c r="L1726" i="44"/>
  <c r="W1725" i="44"/>
  <c r="L1725" i="44"/>
  <c r="W1724" i="44"/>
  <c r="L1724" i="44"/>
  <c r="W1723" i="44"/>
  <c r="L1723" i="44"/>
  <c r="W1722" i="44"/>
  <c r="L1722" i="44"/>
  <c r="W1721" i="44"/>
  <c r="L1721" i="44"/>
  <c r="W1720" i="44"/>
  <c r="L1720" i="44"/>
  <c r="W1719" i="44"/>
  <c r="L1719" i="44"/>
  <c r="W1718" i="44"/>
  <c r="L1718" i="44"/>
  <c r="W1717" i="44"/>
  <c r="L1717" i="44"/>
  <c r="W1716" i="44"/>
  <c r="L1716" i="44"/>
  <c r="W1715" i="44"/>
  <c r="L1715" i="44"/>
  <c r="W1714" i="44"/>
  <c r="L1714" i="44"/>
  <c r="W1713" i="44"/>
  <c r="L1713" i="44"/>
  <c r="W1712" i="44"/>
  <c r="L1712" i="44"/>
  <c r="W1711" i="44"/>
  <c r="L1711" i="44"/>
  <c r="W1710" i="44"/>
  <c r="L1710" i="44"/>
  <c r="W1709" i="44"/>
  <c r="L1709" i="44"/>
  <c r="W1708" i="44"/>
  <c r="L1708" i="44"/>
  <c r="W1707" i="44"/>
  <c r="L1707" i="44"/>
  <c r="W1706" i="44"/>
  <c r="L1706" i="44"/>
  <c r="W1705" i="44"/>
  <c r="L1705" i="44"/>
  <c r="W1704" i="44"/>
  <c r="L1704" i="44"/>
  <c r="W1703" i="44"/>
  <c r="L1703" i="44"/>
  <c r="W1702" i="44"/>
  <c r="L1702" i="44"/>
  <c r="W1701" i="44"/>
  <c r="L1701" i="44"/>
  <c r="W1700" i="44"/>
  <c r="L1700" i="44"/>
  <c r="W1699" i="44"/>
  <c r="L1699" i="44"/>
  <c r="W1698" i="44"/>
  <c r="L1698" i="44"/>
  <c r="W1697" i="44"/>
  <c r="L1697" i="44"/>
  <c r="W1696" i="44"/>
  <c r="L1696" i="44"/>
  <c r="W1695" i="44"/>
  <c r="L1695" i="44"/>
  <c r="W1694" i="44"/>
  <c r="L1694" i="44"/>
  <c r="W1693" i="44"/>
  <c r="L1693" i="44"/>
  <c r="W1692" i="44"/>
  <c r="L1692" i="44"/>
  <c r="W1691" i="44"/>
  <c r="L1691" i="44"/>
  <c r="W1690" i="44"/>
  <c r="L1690" i="44"/>
  <c r="W1689" i="44"/>
  <c r="L1689" i="44"/>
  <c r="W1688" i="44"/>
  <c r="L1688" i="44"/>
  <c r="W1687" i="44"/>
  <c r="L1687" i="44"/>
  <c r="W1686" i="44"/>
  <c r="L1686" i="44"/>
  <c r="W1685" i="44"/>
  <c r="L1685" i="44"/>
  <c r="W1684" i="44"/>
  <c r="L1684" i="44"/>
  <c r="W1683" i="44"/>
  <c r="L1683" i="44"/>
  <c r="W1682" i="44"/>
  <c r="L1682" i="44"/>
  <c r="W1681" i="44"/>
  <c r="L1681" i="44"/>
  <c r="W1680" i="44"/>
  <c r="L1680" i="44"/>
  <c r="W1679" i="44"/>
  <c r="L1679" i="44"/>
  <c r="W1678" i="44"/>
  <c r="L1678" i="44"/>
  <c r="W1677" i="44"/>
  <c r="L1677" i="44"/>
  <c r="W1676" i="44"/>
  <c r="L1676" i="44"/>
  <c r="W1675" i="44"/>
  <c r="L1675" i="44"/>
  <c r="W1674" i="44"/>
  <c r="L1674" i="44"/>
  <c r="W1673" i="44"/>
  <c r="L1673" i="44"/>
  <c r="W1672" i="44"/>
  <c r="L1672" i="44"/>
  <c r="W1671" i="44"/>
  <c r="L1671" i="44"/>
  <c r="W1670" i="44"/>
  <c r="L1670" i="44"/>
  <c r="W1669" i="44"/>
  <c r="L1669" i="44"/>
  <c r="W1668" i="44"/>
  <c r="L1668" i="44"/>
  <c r="W1667" i="44"/>
  <c r="L1667" i="44"/>
  <c r="W1666" i="44"/>
  <c r="L1666" i="44"/>
  <c r="W1665" i="44"/>
  <c r="L1665" i="44"/>
  <c r="W1664" i="44"/>
  <c r="L1664" i="44"/>
  <c r="W1663" i="44"/>
  <c r="L1663" i="44"/>
  <c r="W1662" i="44"/>
  <c r="L1662" i="44"/>
  <c r="W1661" i="44"/>
  <c r="L1661" i="44"/>
  <c r="W1660" i="44"/>
  <c r="L1660" i="44"/>
  <c r="W1659" i="44"/>
  <c r="L1659" i="44"/>
  <c r="W1658" i="44"/>
  <c r="L1658" i="44"/>
  <c r="W1657" i="44"/>
  <c r="L1657" i="44"/>
  <c r="W1656" i="44"/>
  <c r="L1656" i="44"/>
  <c r="W1655" i="44"/>
  <c r="L1655" i="44"/>
  <c r="W1654" i="44"/>
  <c r="L1654" i="44"/>
  <c r="W1653" i="44"/>
  <c r="L1653" i="44"/>
  <c r="W1652" i="44"/>
  <c r="L1652" i="44"/>
  <c r="W1651" i="44"/>
  <c r="L1651" i="44"/>
  <c r="W1650" i="44"/>
  <c r="L1650" i="44"/>
  <c r="W1649" i="44"/>
  <c r="L1649" i="44"/>
  <c r="W1648" i="44"/>
  <c r="L1648" i="44"/>
  <c r="W1647" i="44"/>
  <c r="L1647" i="44"/>
  <c r="W1646" i="44"/>
  <c r="L1646" i="44"/>
  <c r="W1645" i="44"/>
  <c r="L1645" i="44"/>
  <c r="W1644" i="44"/>
  <c r="L1644" i="44"/>
  <c r="W1643" i="44"/>
  <c r="L1643" i="44"/>
  <c r="W1642" i="44"/>
  <c r="L1642" i="44"/>
  <c r="W1641" i="44"/>
  <c r="L1641" i="44"/>
  <c r="W1640" i="44"/>
  <c r="L1640" i="44"/>
  <c r="W1639" i="44"/>
  <c r="L1639" i="44"/>
  <c r="W1638" i="44"/>
  <c r="L1638" i="44"/>
  <c r="W1637" i="44"/>
  <c r="L1637" i="44"/>
  <c r="W1636" i="44"/>
  <c r="L1636" i="44"/>
  <c r="W1635" i="44"/>
  <c r="L1635" i="44"/>
  <c r="W1634" i="44"/>
  <c r="L1634" i="44"/>
  <c r="W1633" i="44"/>
  <c r="L1633" i="44"/>
  <c r="W1632" i="44"/>
  <c r="L1632" i="44"/>
  <c r="W1631" i="44"/>
  <c r="L1631" i="44"/>
  <c r="W1630" i="44"/>
  <c r="L1630" i="44"/>
  <c r="W1629" i="44"/>
  <c r="L1629" i="44"/>
  <c r="W1628" i="44"/>
  <c r="L1628" i="44"/>
  <c r="W1627" i="44"/>
  <c r="L1627" i="44"/>
  <c r="W1626" i="44"/>
  <c r="L1626" i="44"/>
  <c r="W1625" i="44"/>
  <c r="L1625" i="44"/>
  <c r="W1624" i="44"/>
  <c r="L1624" i="44"/>
  <c r="W1623" i="44"/>
  <c r="L1623" i="44"/>
  <c r="W1622" i="44"/>
  <c r="L1622" i="44"/>
  <c r="W1621" i="44"/>
  <c r="L1621" i="44"/>
  <c r="W1620" i="44"/>
  <c r="L1620" i="44"/>
  <c r="W1619" i="44"/>
  <c r="L1619" i="44"/>
  <c r="W1618" i="44"/>
  <c r="L1618" i="44"/>
  <c r="W1617" i="44"/>
  <c r="L1617" i="44"/>
  <c r="W1616" i="44"/>
  <c r="L1616" i="44"/>
  <c r="W1615" i="44"/>
  <c r="L1615" i="44"/>
  <c r="W1614" i="44"/>
  <c r="L1614" i="44"/>
  <c r="W1613" i="44"/>
  <c r="L1613" i="44"/>
  <c r="W1612" i="44"/>
  <c r="L1612" i="44"/>
  <c r="W1611" i="44"/>
  <c r="L1611" i="44"/>
  <c r="W1610" i="44"/>
  <c r="L1610" i="44"/>
  <c r="W1609" i="44"/>
  <c r="L1609" i="44"/>
  <c r="W1608" i="44"/>
  <c r="L1608" i="44"/>
  <c r="W1607" i="44"/>
  <c r="L1607" i="44"/>
  <c r="W1606" i="44"/>
  <c r="L1606" i="44"/>
  <c r="W1605" i="44"/>
  <c r="L1605" i="44"/>
  <c r="W1604" i="44"/>
  <c r="L1604" i="44"/>
  <c r="W1603" i="44"/>
  <c r="L1603" i="44"/>
  <c r="W1602" i="44"/>
  <c r="L1602" i="44"/>
  <c r="W1601" i="44"/>
  <c r="L1601" i="44"/>
  <c r="W1600" i="44"/>
  <c r="L1600" i="44"/>
  <c r="W1599" i="44"/>
  <c r="L1599" i="44"/>
  <c r="W1598" i="44"/>
  <c r="L1598" i="44"/>
  <c r="W1597" i="44"/>
  <c r="L1597" i="44"/>
  <c r="W1596" i="44"/>
  <c r="L1596" i="44"/>
  <c r="W1595" i="44"/>
  <c r="L1595" i="44"/>
  <c r="W1594" i="44"/>
  <c r="L1594" i="44"/>
  <c r="W1593" i="44"/>
  <c r="L1593" i="44"/>
  <c r="W1592" i="44"/>
  <c r="L1592" i="44"/>
  <c r="W1591" i="44"/>
  <c r="L1591" i="44"/>
  <c r="W1590" i="44"/>
  <c r="L1590" i="44"/>
  <c r="W1589" i="44"/>
  <c r="L1589" i="44"/>
  <c r="W1588" i="44"/>
  <c r="L1588" i="44"/>
  <c r="W1587" i="44"/>
  <c r="L1587" i="44"/>
  <c r="W1586" i="44"/>
  <c r="L1586" i="44"/>
  <c r="W1585" i="44"/>
  <c r="L1585" i="44"/>
  <c r="W1584" i="44"/>
  <c r="L1584" i="44"/>
  <c r="W1583" i="44"/>
  <c r="L1583" i="44"/>
  <c r="W1582" i="44"/>
  <c r="L1582" i="44"/>
  <c r="W1581" i="44"/>
  <c r="L1581" i="44"/>
  <c r="W1580" i="44"/>
  <c r="L1580" i="44"/>
  <c r="W1579" i="44"/>
  <c r="L1579" i="44"/>
  <c r="W1578" i="44"/>
  <c r="L1578" i="44"/>
  <c r="W1577" i="44"/>
  <c r="L1577" i="44"/>
  <c r="W1576" i="44"/>
  <c r="L1576" i="44"/>
  <c r="W1575" i="44"/>
  <c r="L1575" i="44"/>
  <c r="W1574" i="44"/>
  <c r="L1574" i="44"/>
  <c r="W1573" i="44"/>
  <c r="L1573" i="44"/>
  <c r="W1572" i="44"/>
  <c r="L1572" i="44"/>
  <c r="W1571" i="44"/>
  <c r="L1571" i="44"/>
  <c r="W1570" i="44"/>
  <c r="L1570" i="44"/>
  <c r="W1569" i="44"/>
  <c r="L1569" i="44"/>
  <c r="W1568" i="44"/>
  <c r="L1568" i="44"/>
  <c r="W1567" i="44"/>
  <c r="L1567" i="44"/>
  <c r="W1566" i="44"/>
  <c r="L1566" i="44"/>
  <c r="W1565" i="44"/>
  <c r="L1565" i="44"/>
  <c r="W1564" i="44"/>
  <c r="L1564" i="44"/>
  <c r="W1563" i="44"/>
  <c r="L1563" i="44"/>
  <c r="W1562" i="44"/>
  <c r="L1562" i="44"/>
  <c r="W1561" i="44"/>
  <c r="L1561" i="44"/>
  <c r="W1560" i="44"/>
  <c r="L1560" i="44"/>
  <c r="W1559" i="44"/>
  <c r="L1559" i="44"/>
  <c r="W1558" i="44"/>
  <c r="L1558" i="44"/>
  <c r="W1557" i="44"/>
  <c r="L1557" i="44"/>
  <c r="W1556" i="44"/>
  <c r="L1556" i="44"/>
  <c r="W1555" i="44"/>
  <c r="L1555" i="44"/>
  <c r="W1554" i="44"/>
  <c r="L1554" i="44"/>
  <c r="W1553" i="44"/>
  <c r="L1553" i="44"/>
  <c r="W1552" i="44"/>
  <c r="L1552" i="44"/>
  <c r="W1551" i="44"/>
  <c r="L1551" i="44"/>
  <c r="W1550" i="44"/>
  <c r="L1550" i="44"/>
  <c r="W1549" i="44"/>
  <c r="L1549" i="44"/>
  <c r="W1548" i="44"/>
  <c r="L1548" i="44"/>
  <c r="W1547" i="44"/>
  <c r="L1547" i="44"/>
  <c r="W1546" i="44"/>
  <c r="L1546" i="44"/>
  <c r="W1545" i="44"/>
  <c r="L1545" i="44"/>
  <c r="W1544" i="44"/>
  <c r="L1544" i="44"/>
  <c r="W1543" i="44"/>
  <c r="L1543" i="44"/>
  <c r="W1542" i="44"/>
  <c r="L1542" i="44"/>
  <c r="W1541" i="44"/>
  <c r="L1541" i="44"/>
  <c r="W1540" i="44"/>
  <c r="L1540" i="44"/>
  <c r="W1539" i="44"/>
  <c r="L1539" i="44"/>
  <c r="W1538" i="44"/>
  <c r="L1538" i="44"/>
  <c r="W1537" i="44"/>
  <c r="L1537" i="44"/>
  <c r="W1536" i="44"/>
  <c r="L1536" i="44"/>
  <c r="W1535" i="44"/>
  <c r="L1535" i="44"/>
  <c r="W1534" i="44"/>
  <c r="L1534" i="44"/>
  <c r="W1532" i="44"/>
  <c r="L1532" i="44"/>
  <c r="W1531" i="44"/>
  <c r="L1531" i="44"/>
  <c r="W1530" i="44"/>
  <c r="L1530" i="44"/>
  <c r="W1529" i="44"/>
  <c r="L1529" i="44"/>
  <c r="W1528" i="44"/>
  <c r="L1528" i="44"/>
  <c r="W1527" i="44"/>
  <c r="L1527" i="44"/>
  <c r="W1526" i="44"/>
  <c r="L1526" i="44"/>
  <c r="W1525" i="44"/>
  <c r="L1525" i="44"/>
  <c r="W1524" i="44"/>
  <c r="L1524" i="44"/>
  <c r="W1523" i="44"/>
  <c r="L1523" i="44"/>
  <c r="W1522" i="44"/>
  <c r="L1522" i="44"/>
  <c r="W1521" i="44"/>
  <c r="L1521" i="44"/>
  <c r="W1520" i="44"/>
  <c r="L1520" i="44"/>
  <c r="W1519" i="44"/>
  <c r="L1519" i="44"/>
  <c r="W1518" i="44"/>
  <c r="L1518" i="44"/>
  <c r="W1517" i="44"/>
  <c r="L1517" i="44"/>
  <c r="W1516" i="44"/>
  <c r="L1516" i="44"/>
  <c r="W1515" i="44"/>
  <c r="L1515" i="44"/>
  <c r="W1514" i="44"/>
  <c r="L1514" i="44"/>
  <c r="W1513" i="44"/>
  <c r="L1513" i="44"/>
  <c r="W1512" i="44"/>
  <c r="L1512" i="44"/>
  <c r="W1511" i="44"/>
  <c r="L1511" i="44"/>
  <c r="W1510" i="44"/>
  <c r="L1510" i="44"/>
  <c r="W1509" i="44"/>
  <c r="L1509" i="44"/>
  <c r="W1508" i="44"/>
  <c r="L1508" i="44"/>
  <c r="W1507" i="44"/>
  <c r="L1507" i="44"/>
  <c r="W1506" i="44"/>
  <c r="L1506" i="44"/>
  <c r="W1505" i="44"/>
  <c r="L1505" i="44"/>
  <c r="W1504" i="44"/>
  <c r="L1504" i="44"/>
  <c r="W1503" i="44"/>
  <c r="L1503" i="44"/>
  <c r="W1502" i="44"/>
  <c r="L1502" i="44"/>
  <c r="W1501" i="44"/>
  <c r="L1501" i="44"/>
  <c r="W1500" i="44"/>
  <c r="L1500" i="44"/>
  <c r="W1499" i="44"/>
  <c r="L1499" i="44"/>
  <c r="W1498" i="44"/>
  <c r="L1498" i="44"/>
  <c r="W1497" i="44"/>
  <c r="L1497" i="44"/>
  <c r="W1496" i="44"/>
  <c r="L1496" i="44"/>
  <c r="W1495" i="44"/>
  <c r="L1495" i="44"/>
  <c r="W1494" i="44"/>
  <c r="L1494" i="44"/>
  <c r="W1493" i="44"/>
  <c r="L1493" i="44"/>
  <c r="W1492" i="44"/>
  <c r="L1492" i="44"/>
  <c r="W1491" i="44"/>
  <c r="L1491" i="44"/>
  <c r="W1490" i="44"/>
  <c r="L1490" i="44"/>
  <c r="W1489" i="44"/>
  <c r="L1489" i="44"/>
  <c r="W1488" i="44"/>
  <c r="L1488" i="44"/>
  <c r="W1487" i="44"/>
  <c r="L1487" i="44"/>
  <c r="W1486" i="44"/>
  <c r="L1486" i="44"/>
  <c r="W1485" i="44"/>
  <c r="L1485" i="44"/>
  <c r="W1484" i="44"/>
  <c r="L1484" i="44"/>
  <c r="W1483" i="44"/>
  <c r="L1483" i="44"/>
  <c r="W1482" i="44"/>
  <c r="L1482" i="44"/>
  <c r="W1481" i="44"/>
  <c r="L1481" i="44"/>
  <c r="W1480" i="44"/>
  <c r="L1480" i="44"/>
  <c r="W1479" i="44"/>
  <c r="L1479" i="44"/>
  <c r="W1478" i="44"/>
  <c r="L1478" i="44"/>
  <c r="W1477" i="44"/>
  <c r="L1477" i="44"/>
  <c r="W1476" i="44"/>
  <c r="L1476" i="44"/>
  <c r="W1475" i="44"/>
  <c r="L1475" i="44"/>
  <c r="W1474" i="44"/>
  <c r="L1474" i="44"/>
  <c r="W1473" i="44"/>
  <c r="L1473" i="44"/>
  <c r="W1472" i="44"/>
  <c r="L1472" i="44"/>
  <c r="W1471" i="44"/>
  <c r="L1471" i="44"/>
  <c r="W1470" i="44"/>
  <c r="L1470" i="44"/>
  <c r="W1469" i="44"/>
  <c r="L1469" i="44"/>
  <c r="W1468" i="44"/>
  <c r="L1468" i="44"/>
  <c r="W1467" i="44"/>
  <c r="L1467" i="44"/>
  <c r="W1466" i="44"/>
  <c r="L1466" i="44"/>
  <c r="W1465" i="44"/>
  <c r="L1465" i="44"/>
  <c r="W1464" i="44"/>
  <c r="L1464" i="44"/>
  <c r="W1463" i="44"/>
  <c r="L1463" i="44"/>
  <c r="W1462" i="44"/>
  <c r="L1462" i="44"/>
  <c r="W1461" i="44"/>
  <c r="L1461" i="44"/>
  <c r="W1460" i="44"/>
  <c r="L1460" i="44"/>
  <c r="W1459" i="44"/>
  <c r="L1459" i="44"/>
  <c r="W1458" i="44"/>
  <c r="L1458" i="44"/>
  <c r="W1457" i="44"/>
  <c r="L1457" i="44"/>
  <c r="W1456" i="44"/>
  <c r="L1456" i="44"/>
  <c r="W1455" i="44"/>
  <c r="L1455" i="44"/>
  <c r="W1454" i="44"/>
  <c r="L1454" i="44"/>
  <c r="W1453" i="44"/>
  <c r="L1453" i="44"/>
  <c r="W1452" i="44"/>
  <c r="L1452" i="44"/>
  <c r="W1451" i="44"/>
  <c r="L1451" i="44"/>
  <c r="W1450" i="44"/>
  <c r="L1450" i="44"/>
  <c r="W1449" i="44"/>
  <c r="L1449" i="44"/>
  <c r="W1448" i="44"/>
  <c r="L1448" i="44"/>
  <c r="W1447" i="44"/>
  <c r="L1447" i="44"/>
  <c r="W1446" i="44"/>
  <c r="L1446" i="44"/>
  <c r="W1445" i="44"/>
  <c r="L1445" i="44"/>
  <c r="W1444" i="44"/>
  <c r="L1444" i="44"/>
  <c r="W1443" i="44"/>
  <c r="L1443" i="44"/>
  <c r="W1442" i="44"/>
  <c r="L1442" i="44"/>
  <c r="W1441" i="44"/>
  <c r="L1441" i="44"/>
  <c r="W1440" i="44"/>
  <c r="L1440" i="44"/>
  <c r="W1439" i="44"/>
  <c r="L1439" i="44"/>
  <c r="W1438" i="44"/>
  <c r="L1438" i="44"/>
  <c r="W1437" i="44"/>
  <c r="L1437" i="44"/>
  <c r="W1436" i="44"/>
  <c r="L1436" i="44"/>
  <c r="W1435" i="44"/>
  <c r="L1435" i="44"/>
  <c r="W1434" i="44"/>
  <c r="L1434" i="44"/>
  <c r="W1433" i="44"/>
  <c r="L1433" i="44"/>
  <c r="W1432" i="44"/>
  <c r="L1432" i="44"/>
  <c r="W1431" i="44"/>
  <c r="L1431" i="44"/>
  <c r="W1430" i="44"/>
  <c r="L1430" i="44"/>
  <c r="W1429" i="44"/>
  <c r="L1429" i="44"/>
  <c r="W1428" i="44"/>
  <c r="L1428" i="44"/>
  <c r="W1427" i="44"/>
  <c r="L1427" i="44"/>
  <c r="W1426" i="44"/>
  <c r="L1426" i="44"/>
  <c r="W1425" i="44"/>
  <c r="L1425" i="44"/>
  <c r="W1424" i="44"/>
  <c r="L1424" i="44"/>
  <c r="W1423" i="44"/>
  <c r="L1423" i="44"/>
  <c r="W1422" i="44"/>
  <c r="L1422" i="44"/>
  <c r="W1421" i="44"/>
  <c r="L1421" i="44"/>
  <c r="W1420" i="44"/>
  <c r="L1420" i="44"/>
  <c r="W1419" i="44"/>
  <c r="L1419" i="44"/>
  <c r="W1418" i="44"/>
  <c r="L1418" i="44"/>
  <c r="W1417" i="44"/>
  <c r="L1417" i="44"/>
  <c r="W1416" i="44"/>
  <c r="L1416" i="44"/>
  <c r="W1415" i="44"/>
  <c r="L1415" i="44"/>
  <c r="W1414" i="44"/>
  <c r="L1414" i="44"/>
  <c r="W1413" i="44"/>
  <c r="L1413" i="44"/>
  <c r="W1412" i="44"/>
  <c r="L1412" i="44"/>
  <c r="W1411" i="44"/>
  <c r="L1411" i="44"/>
  <c r="W1410" i="44"/>
  <c r="L1410" i="44"/>
  <c r="W1409" i="44"/>
  <c r="L1409" i="44"/>
  <c r="W1408" i="44"/>
  <c r="L1408" i="44"/>
  <c r="W1407" i="44"/>
  <c r="L1407" i="44"/>
  <c r="W1406" i="44"/>
  <c r="L1406" i="44"/>
  <c r="W1405" i="44"/>
  <c r="L1405" i="44"/>
  <c r="W1404" i="44"/>
  <c r="L1404" i="44"/>
  <c r="W1403" i="44"/>
  <c r="L1403" i="44"/>
  <c r="W1402" i="44"/>
  <c r="L1402" i="44"/>
  <c r="W1401" i="44"/>
  <c r="L1401" i="44"/>
  <c r="W1400" i="44"/>
  <c r="L1400" i="44"/>
  <c r="W1399" i="44"/>
  <c r="L1399" i="44"/>
  <c r="W1398" i="44"/>
  <c r="L1398" i="44"/>
  <c r="W1397" i="44"/>
  <c r="L1397" i="44"/>
  <c r="W1396" i="44"/>
  <c r="L1396" i="44"/>
  <c r="W1395" i="44"/>
  <c r="L1395" i="44"/>
  <c r="W1394" i="44"/>
  <c r="L1394" i="44"/>
  <c r="W1393" i="44"/>
  <c r="L1393" i="44"/>
  <c r="W1392" i="44"/>
  <c r="L1392" i="44"/>
  <c r="W1391" i="44"/>
  <c r="L1391" i="44"/>
  <c r="W1390" i="44"/>
  <c r="L1390" i="44"/>
  <c r="W1389" i="44"/>
  <c r="L1389" i="44"/>
  <c r="W1388" i="44"/>
  <c r="L1388" i="44"/>
  <c r="W1387" i="44"/>
  <c r="L1387" i="44"/>
  <c r="W1386" i="44"/>
  <c r="L1386" i="44"/>
  <c r="W1385" i="44"/>
  <c r="L1385" i="44"/>
  <c r="W1384" i="44"/>
  <c r="L1384" i="44"/>
  <c r="W1383" i="44"/>
  <c r="L1383" i="44"/>
  <c r="W1382" i="44"/>
  <c r="L1382" i="44"/>
  <c r="W1381" i="44"/>
  <c r="L1381" i="44"/>
  <c r="W1380" i="44"/>
  <c r="L1380" i="44"/>
  <c r="W1379" i="44"/>
  <c r="L1379" i="44"/>
  <c r="W1378" i="44"/>
  <c r="L1378" i="44"/>
  <c r="W1377" i="44"/>
  <c r="L1377" i="44"/>
  <c r="W1376" i="44"/>
  <c r="L1376" i="44"/>
  <c r="W1375" i="44"/>
  <c r="L1375" i="44"/>
  <c r="W1374" i="44"/>
  <c r="L1374" i="44"/>
  <c r="W1373" i="44"/>
  <c r="L1373" i="44"/>
  <c r="W1372" i="44"/>
  <c r="L1372" i="44"/>
  <c r="W1371" i="44"/>
  <c r="L1371" i="44"/>
  <c r="W1370" i="44"/>
  <c r="L1370" i="44"/>
  <c r="W1369" i="44"/>
  <c r="L1369" i="44"/>
  <c r="W1368" i="44"/>
  <c r="L1368" i="44"/>
  <c r="W1367" i="44"/>
  <c r="L1367" i="44"/>
  <c r="W1366" i="44"/>
  <c r="L1366" i="44"/>
  <c r="W1365" i="44"/>
  <c r="L1365" i="44"/>
  <c r="W1364" i="44"/>
  <c r="L1364" i="44"/>
  <c r="W1363" i="44"/>
  <c r="L1363" i="44"/>
  <c r="W1362" i="44"/>
  <c r="L1362" i="44"/>
  <c r="W1361" i="44"/>
  <c r="L1361" i="44"/>
  <c r="W1360" i="44"/>
  <c r="L1360" i="44"/>
  <c r="W1359" i="44"/>
  <c r="L1359" i="44"/>
  <c r="W1358" i="44"/>
  <c r="L1358" i="44"/>
  <c r="W1357" i="44"/>
  <c r="L1357" i="44"/>
  <c r="W1356" i="44"/>
  <c r="L1356" i="44"/>
  <c r="W1355" i="44"/>
  <c r="L1355" i="44"/>
  <c r="W1354" i="44"/>
  <c r="L1354" i="44"/>
  <c r="W1353" i="44"/>
  <c r="L1353" i="44"/>
  <c r="W1352" i="44"/>
  <c r="L1352" i="44"/>
  <c r="W1351" i="44"/>
  <c r="L1351" i="44"/>
  <c r="W1350" i="44"/>
  <c r="L1350" i="44"/>
  <c r="W1349" i="44"/>
  <c r="L1349" i="44"/>
  <c r="W1348" i="44"/>
  <c r="L1348" i="44"/>
  <c r="W1347" i="44"/>
  <c r="L1347" i="44"/>
  <c r="W1346" i="44"/>
  <c r="L1346" i="44"/>
  <c r="W1345" i="44"/>
  <c r="L1345" i="44"/>
  <c r="W1344" i="44"/>
  <c r="L1344" i="44"/>
  <c r="W1343" i="44"/>
  <c r="L1343" i="44"/>
  <c r="W1342" i="44"/>
  <c r="L1342" i="44"/>
  <c r="W1341" i="44"/>
  <c r="L1341" i="44"/>
  <c r="W1340" i="44"/>
  <c r="L1340" i="44"/>
  <c r="W1339" i="44"/>
  <c r="L1339" i="44"/>
  <c r="W1338" i="44"/>
  <c r="L1338" i="44"/>
  <c r="W1337" i="44"/>
  <c r="L1337" i="44"/>
  <c r="W1336" i="44"/>
  <c r="L1336" i="44"/>
  <c r="W1335" i="44"/>
  <c r="L1335" i="44"/>
  <c r="W1334" i="44"/>
  <c r="L1334" i="44"/>
  <c r="W1333" i="44"/>
  <c r="L1333" i="44"/>
  <c r="W1332" i="44"/>
  <c r="L1332" i="44"/>
  <c r="W1331" i="44"/>
  <c r="L1331" i="44"/>
  <c r="W1330" i="44"/>
  <c r="L1330" i="44"/>
  <c r="W1329" i="44"/>
  <c r="L1329" i="44"/>
  <c r="W1328" i="44"/>
  <c r="L1328" i="44"/>
  <c r="W1327" i="44"/>
  <c r="L1327" i="44"/>
  <c r="W1326" i="44"/>
  <c r="L1326" i="44"/>
  <c r="W1325" i="44"/>
  <c r="L1325" i="44"/>
  <c r="W1324" i="44"/>
  <c r="L1324" i="44"/>
  <c r="W1323" i="44"/>
  <c r="L1323" i="44"/>
  <c r="W1322" i="44"/>
  <c r="L1322" i="44"/>
  <c r="W1321" i="44"/>
  <c r="L1321" i="44"/>
  <c r="W1320" i="44"/>
  <c r="L1320" i="44"/>
  <c r="W1319" i="44"/>
  <c r="L1319" i="44"/>
  <c r="W1318" i="44"/>
  <c r="L1318" i="44"/>
  <c r="W1317" i="44"/>
  <c r="L1317" i="44"/>
  <c r="W1316" i="44"/>
  <c r="L1316" i="44"/>
  <c r="W1315" i="44"/>
  <c r="L1315" i="44"/>
  <c r="W1314" i="44"/>
  <c r="L1314" i="44"/>
  <c r="W1313" i="44"/>
  <c r="L1313" i="44"/>
  <c r="W1312" i="44"/>
  <c r="L1312" i="44"/>
  <c r="W1311" i="44"/>
  <c r="L1311" i="44"/>
  <c r="W1310" i="44"/>
  <c r="L1310" i="44"/>
  <c r="W1308" i="44"/>
  <c r="L1308" i="44"/>
  <c r="W1307" i="44"/>
  <c r="L1307" i="44"/>
  <c r="W1304" i="44"/>
  <c r="L1304" i="44"/>
  <c r="W1303" i="44"/>
  <c r="L1303" i="44"/>
  <c r="W1302" i="44"/>
  <c r="L1302" i="44"/>
  <c r="W1301" i="44"/>
  <c r="L1301" i="44"/>
  <c r="W1300" i="44"/>
  <c r="L1300" i="44"/>
  <c r="W1299" i="44"/>
  <c r="L1299" i="44"/>
  <c r="W1298" i="44"/>
  <c r="L1298" i="44"/>
  <c r="W1297" i="44"/>
  <c r="L1297" i="44"/>
  <c r="W1296" i="44"/>
  <c r="L1296" i="44"/>
  <c r="W1295" i="44"/>
  <c r="L1295" i="44"/>
  <c r="W1294" i="44"/>
  <c r="L1294" i="44"/>
  <c r="W1293" i="44"/>
  <c r="L1293" i="44"/>
  <c r="W1292" i="44"/>
  <c r="L1292" i="44"/>
  <c r="W1291" i="44"/>
  <c r="L1291" i="44"/>
  <c r="W1290" i="44"/>
  <c r="L1290" i="44"/>
  <c r="W1289" i="44"/>
  <c r="L1289" i="44"/>
  <c r="W1288" i="44"/>
  <c r="L1288" i="44"/>
  <c r="W1287" i="44"/>
  <c r="L1287" i="44"/>
  <c r="W1286" i="44"/>
  <c r="L1286" i="44"/>
  <c r="W1285" i="44"/>
  <c r="L1285" i="44"/>
  <c r="W1284" i="44"/>
  <c r="L1284" i="44"/>
  <c r="W1283" i="44"/>
  <c r="L1283" i="44"/>
  <c r="W1282" i="44"/>
  <c r="L1282" i="44"/>
  <c r="W1281" i="44"/>
  <c r="L1281" i="44"/>
  <c r="W1280" i="44"/>
  <c r="L1280" i="44"/>
  <c r="W1279" i="44"/>
  <c r="L1279" i="44"/>
  <c r="W1278" i="44"/>
  <c r="L1278" i="44"/>
  <c r="W1277" i="44"/>
  <c r="L1277" i="44"/>
  <c r="W1276" i="44"/>
  <c r="L1276" i="44"/>
  <c r="W1275" i="44"/>
  <c r="L1275" i="44"/>
  <c r="W1274" i="44"/>
  <c r="L1274" i="44"/>
  <c r="W1273" i="44"/>
  <c r="L1273" i="44"/>
  <c r="W1272" i="44"/>
  <c r="L1272" i="44"/>
  <c r="W1271" i="44"/>
  <c r="L1271" i="44"/>
  <c r="W1270" i="44"/>
  <c r="L1270" i="44"/>
  <c r="W1269" i="44"/>
  <c r="L1269" i="44"/>
  <c r="W1268" i="44"/>
  <c r="L1268" i="44"/>
  <c r="W1267" i="44"/>
  <c r="L1267" i="44"/>
  <c r="W1266" i="44"/>
  <c r="L1266" i="44"/>
  <c r="W1265" i="44"/>
  <c r="L1265" i="44"/>
  <c r="W1264" i="44"/>
  <c r="L1264" i="44"/>
  <c r="W1263" i="44"/>
  <c r="L1263" i="44"/>
  <c r="W1262" i="44"/>
  <c r="L1262" i="44"/>
  <c r="W1261" i="44"/>
  <c r="L1261" i="44"/>
  <c r="W1260" i="44"/>
  <c r="L1260" i="44"/>
  <c r="W1259" i="44"/>
  <c r="L1259" i="44"/>
  <c r="W1258" i="44"/>
  <c r="L1258" i="44"/>
  <c r="W1257" i="44"/>
  <c r="L1257" i="44"/>
  <c r="W1256" i="44"/>
  <c r="L1256" i="44"/>
  <c r="W1255" i="44"/>
  <c r="L1255" i="44"/>
  <c r="W1254" i="44"/>
  <c r="L1254" i="44"/>
  <c r="W1253" i="44"/>
  <c r="L1253" i="44"/>
  <c r="W1252" i="44"/>
  <c r="L1252" i="44"/>
  <c r="W1251" i="44"/>
  <c r="L1251" i="44"/>
  <c r="W1250" i="44"/>
  <c r="L1250" i="44"/>
  <c r="W1249" i="44"/>
  <c r="L1249" i="44"/>
  <c r="W1248" i="44"/>
  <c r="L1248" i="44"/>
  <c r="W1247" i="44"/>
  <c r="L1247" i="44"/>
  <c r="W1246" i="44"/>
  <c r="L1246" i="44"/>
  <c r="W1245" i="44"/>
  <c r="L1245" i="44"/>
  <c r="W1244" i="44"/>
  <c r="L1244" i="44"/>
  <c r="W1243" i="44"/>
  <c r="L1243" i="44"/>
  <c r="W1242" i="44"/>
  <c r="L1242" i="44"/>
  <c r="W1241" i="44"/>
  <c r="L1241" i="44"/>
  <c r="W1240" i="44"/>
  <c r="L1240" i="44"/>
  <c r="W1239" i="44"/>
  <c r="L1239" i="44"/>
  <c r="W1238" i="44"/>
  <c r="L1238" i="44"/>
  <c r="W1237" i="44"/>
  <c r="L1237" i="44"/>
  <c r="W1236" i="44"/>
  <c r="L1236" i="44"/>
  <c r="W1235" i="44"/>
  <c r="L1235" i="44"/>
  <c r="W1234" i="44"/>
  <c r="L1234" i="44"/>
  <c r="W1233" i="44"/>
  <c r="L1233" i="44"/>
  <c r="W1232" i="44"/>
  <c r="L1232" i="44"/>
  <c r="W1231" i="44"/>
  <c r="L1231" i="44"/>
  <c r="W1230" i="44"/>
  <c r="L1230" i="44"/>
  <c r="W1229" i="44"/>
  <c r="L1229" i="44"/>
  <c r="W1228" i="44"/>
  <c r="L1228" i="44"/>
  <c r="W1227" i="44"/>
  <c r="L1227" i="44"/>
  <c r="W1226" i="44"/>
  <c r="L1226" i="44"/>
  <c r="W1225" i="44"/>
  <c r="L1225" i="44"/>
  <c r="W1224" i="44"/>
  <c r="L1224" i="44"/>
  <c r="W1223" i="44"/>
  <c r="L1223" i="44"/>
  <c r="W1222" i="44"/>
  <c r="L1222" i="44"/>
  <c r="W1221" i="44"/>
  <c r="L1221" i="44"/>
  <c r="W1220" i="44"/>
  <c r="L1220" i="44"/>
  <c r="W1219" i="44"/>
  <c r="L1219" i="44"/>
  <c r="W1218" i="44"/>
  <c r="L1218" i="44"/>
  <c r="W1217" i="44"/>
  <c r="L1217" i="44"/>
  <c r="W1216" i="44"/>
  <c r="L1216" i="44"/>
  <c r="W1213" i="44"/>
  <c r="L1213" i="44"/>
  <c r="W1212" i="44"/>
  <c r="L1212" i="44"/>
  <c r="W1211" i="44"/>
  <c r="L1211" i="44"/>
  <c r="W1210" i="44"/>
  <c r="L1210" i="44"/>
  <c r="W1209" i="44"/>
  <c r="L1209" i="44"/>
  <c r="W1208" i="44"/>
  <c r="L1208" i="44"/>
  <c r="W1207" i="44"/>
  <c r="L1207" i="44"/>
  <c r="W1206" i="44"/>
  <c r="L1206" i="44"/>
  <c r="W1205" i="44"/>
  <c r="L1205" i="44"/>
  <c r="W1204" i="44"/>
  <c r="L1204" i="44"/>
  <c r="W1203" i="44"/>
  <c r="L1203" i="44"/>
  <c r="W1202" i="44"/>
  <c r="L1202" i="44"/>
  <c r="W1201" i="44"/>
  <c r="L1201" i="44"/>
  <c r="W1200" i="44"/>
  <c r="L1200" i="44"/>
  <c r="W1199" i="44"/>
  <c r="L1199" i="44"/>
  <c r="W1198" i="44"/>
  <c r="L1198" i="44"/>
  <c r="W1197" i="44"/>
  <c r="L1197" i="44"/>
  <c r="W1196" i="44"/>
  <c r="L1196" i="44"/>
  <c r="W1195" i="44"/>
  <c r="L1195" i="44"/>
  <c r="W1194" i="44"/>
  <c r="L1194" i="44"/>
  <c r="W1193" i="44"/>
  <c r="L1193" i="44"/>
  <c r="W1192" i="44"/>
  <c r="L1192" i="44"/>
  <c r="W1191" i="44"/>
  <c r="L1191" i="44"/>
  <c r="W1190" i="44"/>
  <c r="L1190" i="44"/>
  <c r="W1189" i="44"/>
  <c r="L1189" i="44"/>
  <c r="W1188" i="44"/>
  <c r="L1188" i="44"/>
  <c r="W1187" i="44"/>
  <c r="L1187" i="44"/>
  <c r="W1186" i="44"/>
  <c r="L1186" i="44"/>
  <c r="W1185" i="44"/>
  <c r="L1185" i="44"/>
  <c r="W1184" i="44"/>
  <c r="L1184" i="44"/>
  <c r="W1183" i="44"/>
  <c r="L1183" i="44"/>
  <c r="W1182" i="44"/>
  <c r="L1182" i="44"/>
  <c r="W1181" i="44"/>
  <c r="L1181" i="44"/>
  <c r="W1180" i="44"/>
  <c r="L1180" i="44"/>
  <c r="W1179" i="44"/>
  <c r="L1179" i="44"/>
  <c r="W1178" i="44"/>
  <c r="L1178" i="44"/>
  <c r="W1177" i="44"/>
  <c r="L1177" i="44"/>
  <c r="W1176" i="44"/>
  <c r="L1176" i="44"/>
  <c r="W1175" i="44"/>
  <c r="L1175" i="44"/>
  <c r="W1174" i="44"/>
  <c r="L1174" i="44"/>
  <c r="W1173" i="44"/>
  <c r="L1173" i="44"/>
  <c r="W1172" i="44"/>
  <c r="L1172" i="44"/>
  <c r="W1171" i="44"/>
  <c r="L1171" i="44"/>
  <c r="W1170" i="44"/>
  <c r="L1170" i="44"/>
  <c r="W1169" i="44"/>
  <c r="L1169" i="44"/>
  <c r="W1168" i="44"/>
  <c r="L1168" i="44"/>
  <c r="W1167" i="44"/>
  <c r="L1167" i="44"/>
  <c r="W1166" i="44"/>
  <c r="L1166" i="44"/>
  <c r="W1165" i="44"/>
  <c r="L1165" i="44"/>
  <c r="W1164" i="44"/>
  <c r="L1164" i="44"/>
  <c r="W1163" i="44"/>
  <c r="L1163" i="44"/>
  <c r="W1162" i="44"/>
  <c r="L1162" i="44"/>
  <c r="W1161" i="44"/>
  <c r="L1161" i="44"/>
  <c r="W1160" i="44"/>
  <c r="L1160" i="44"/>
  <c r="W1159" i="44"/>
  <c r="L1159" i="44"/>
  <c r="W1158" i="44"/>
  <c r="L1158" i="44"/>
  <c r="W1157" i="44"/>
  <c r="L1157" i="44"/>
  <c r="W1156" i="44"/>
  <c r="L1156" i="44"/>
  <c r="W1155" i="44"/>
  <c r="L1155" i="44"/>
  <c r="W1154" i="44"/>
  <c r="L1154" i="44"/>
  <c r="W1153" i="44"/>
  <c r="L1153" i="44"/>
  <c r="W1152" i="44"/>
  <c r="L1152" i="44"/>
  <c r="W1151" i="44"/>
  <c r="L1151" i="44"/>
  <c r="W1150" i="44"/>
  <c r="L1150" i="44"/>
  <c r="W1149" i="44"/>
  <c r="L1149" i="44"/>
  <c r="W1148" i="44"/>
  <c r="L1148" i="44"/>
  <c r="W1147" i="44"/>
  <c r="L1147" i="44"/>
  <c r="W1146" i="44"/>
  <c r="L1146" i="44"/>
  <c r="W1145" i="44"/>
  <c r="L1145" i="44"/>
  <c r="W1144" i="44"/>
  <c r="L1144" i="44"/>
  <c r="W1143" i="44"/>
  <c r="L1143" i="44"/>
  <c r="W1142" i="44"/>
  <c r="L1142" i="44"/>
  <c r="W1141" i="44"/>
  <c r="L1141" i="44"/>
  <c r="W1140" i="44"/>
  <c r="L1140" i="44"/>
  <c r="W1139" i="44"/>
  <c r="L1139" i="44"/>
  <c r="W1138" i="44"/>
  <c r="L1138" i="44"/>
  <c r="W1137" i="44"/>
  <c r="L1137" i="44"/>
  <c r="W1136" i="44"/>
  <c r="L1136" i="44"/>
  <c r="W1135" i="44"/>
  <c r="L1135" i="44"/>
  <c r="W1134" i="44"/>
  <c r="L1134" i="44"/>
  <c r="W1133" i="44"/>
  <c r="L1133" i="44"/>
  <c r="W1132" i="44"/>
  <c r="L1132" i="44"/>
  <c r="W1131" i="44"/>
  <c r="L1131" i="44"/>
  <c r="W1130" i="44"/>
  <c r="L1130" i="44"/>
  <c r="W1129" i="44"/>
  <c r="L1129" i="44"/>
  <c r="W1128" i="44"/>
  <c r="L1128" i="44"/>
  <c r="W1127" i="44"/>
  <c r="L1127" i="44"/>
  <c r="W1126" i="44"/>
  <c r="L1126" i="44"/>
  <c r="W1125" i="44"/>
  <c r="L1125" i="44"/>
  <c r="W1124" i="44"/>
  <c r="L1124" i="44"/>
  <c r="W1123" i="44"/>
  <c r="L1123" i="44"/>
  <c r="W1122" i="44"/>
  <c r="L1122" i="44"/>
  <c r="W1121" i="44"/>
  <c r="L1121" i="44"/>
  <c r="W1120" i="44"/>
  <c r="L1120" i="44"/>
  <c r="W1119" i="44"/>
  <c r="L1119" i="44"/>
  <c r="W1118" i="44"/>
  <c r="L1118" i="44"/>
  <c r="W1117" i="44"/>
  <c r="L1117" i="44"/>
  <c r="W1116" i="44"/>
  <c r="L1116" i="44"/>
  <c r="W1115" i="44"/>
  <c r="L1115" i="44"/>
  <c r="W1114" i="44"/>
  <c r="L1114" i="44"/>
  <c r="W1113" i="44"/>
  <c r="L1113" i="44"/>
  <c r="W1112" i="44"/>
  <c r="L1112" i="44"/>
  <c r="W1111" i="44"/>
  <c r="L1111" i="44"/>
  <c r="W1110" i="44"/>
  <c r="L1110" i="44"/>
  <c r="W1109" i="44"/>
  <c r="L1109" i="44"/>
  <c r="W1108" i="44"/>
  <c r="L1108" i="44"/>
  <c r="W1107" i="44"/>
  <c r="L1107" i="44"/>
  <c r="W1106" i="44"/>
  <c r="L1106" i="44"/>
  <c r="W1105" i="44"/>
  <c r="L1105" i="44"/>
  <c r="W1104" i="44"/>
  <c r="L1104" i="44"/>
  <c r="W1103" i="44"/>
  <c r="L1103" i="44"/>
  <c r="W1102" i="44"/>
  <c r="L1102" i="44"/>
  <c r="W1101" i="44"/>
  <c r="L1101" i="44"/>
  <c r="W1100" i="44"/>
  <c r="L1100" i="44"/>
  <c r="W1099" i="44"/>
  <c r="L1099" i="44"/>
  <c r="W1098" i="44"/>
  <c r="L1098" i="44"/>
  <c r="W1097" i="44"/>
  <c r="L1097" i="44"/>
  <c r="W1096" i="44"/>
  <c r="L1096" i="44"/>
  <c r="W1095" i="44"/>
  <c r="L1095" i="44"/>
  <c r="W1094" i="44"/>
  <c r="L1094" i="44"/>
  <c r="W1093" i="44"/>
  <c r="L1093" i="44"/>
  <c r="W1092" i="44"/>
  <c r="L1092" i="44"/>
  <c r="W1091" i="44"/>
  <c r="L1091" i="44"/>
  <c r="W1090" i="44"/>
  <c r="L1090" i="44"/>
  <c r="W1089" i="44"/>
  <c r="L1089" i="44"/>
  <c r="W1088" i="44"/>
  <c r="L1088" i="44"/>
  <c r="W1087" i="44"/>
  <c r="L1087" i="44"/>
  <c r="W1086" i="44"/>
  <c r="L1086" i="44"/>
  <c r="W1085" i="44"/>
  <c r="L1085" i="44"/>
  <c r="W1084" i="44"/>
  <c r="L1084" i="44"/>
  <c r="W1083" i="44"/>
  <c r="L1083" i="44"/>
  <c r="W1082" i="44"/>
  <c r="L1082" i="44"/>
  <c r="W1081" i="44"/>
  <c r="L1081" i="44"/>
  <c r="W1080" i="44"/>
  <c r="L1080" i="44"/>
  <c r="W1079" i="44"/>
  <c r="L1079" i="44"/>
  <c r="W1078" i="44"/>
  <c r="L1078" i="44"/>
  <c r="W1077" i="44"/>
  <c r="L1077" i="44"/>
  <c r="W1076" i="44"/>
  <c r="L1076" i="44"/>
  <c r="W1075" i="44"/>
  <c r="L1075" i="44"/>
  <c r="W1074" i="44"/>
  <c r="L1074" i="44"/>
  <c r="W1073" i="44"/>
  <c r="L1073" i="44"/>
  <c r="W1072" i="44"/>
  <c r="L1072" i="44"/>
  <c r="W1071" i="44"/>
  <c r="L1071" i="44"/>
  <c r="W1070" i="44"/>
  <c r="W1069" i="44"/>
  <c r="W1068" i="44"/>
  <c r="W1067" i="44"/>
  <c r="W1066" i="44"/>
  <c r="W1065" i="44"/>
  <c r="W1064" i="44"/>
  <c r="W1063" i="44"/>
  <c r="W1062" i="44"/>
  <c r="W1061" i="44"/>
  <c r="L1061" i="44"/>
  <c r="W1060" i="44"/>
  <c r="L1060" i="44"/>
  <c r="W1059" i="44"/>
  <c r="L1059" i="44"/>
  <c r="W1058" i="44"/>
  <c r="L1058" i="44"/>
  <c r="W1057" i="44"/>
  <c r="L1057" i="44"/>
  <c r="W1056" i="44"/>
  <c r="L1056" i="44"/>
  <c r="W1055" i="44"/>
  <c r="L1055" i="44"/>
  <c r="W1054" i="44"/>
  <c r="L1054" i="44"/>
  <c r="W1053" i="44"/>
  <c r="L1053" i="44"/>
  <c r="W1052" i="44"/>
  <c r="L1052" i="44"/>
  <c r="W1051" i="44"/>
  <c r="L1051" i="44"/>
  <c r="W1050" i="44"/>
  <c r="L1050" i="44"/>
  <c r="W1049" i="44"/>
  <c r="L1049" i="44"/>
  <c r="W1048" i="44"/>
  <c r="L1048" i="44"/>
  <c r="W1047" i="44"/>
  <c r="L1047" i="44"/>
  <c r="W1046" i="44"/>
  <c r="L1046" i="44"/>
  <c r="W1045" i="44"/>
  <c r="L1045" i="44"/>
  <c r="W1044" i="44"/>
  <c r="L1044" i="44"/>
  <c r="W1043" i="44"/>
  <c r="L1043" i="44"/>
  <c r="W1042" i="44"/>
  <c r="L1042" i="44"/>
  <c r="W1041" i="44"/>
  <c r="L1041" i="44"/>
  <c r="W1040" i="44"/>
  <c r="L1040" i="44"/>
  <c r="W1039" i="44"/>
  <c r="L1039" i="44"/>
  <c r="W1038" i="44"/>
  <c r="L1038" i="44"/>
  <c r="W1037" i="44"/>
  <c r="L1037" i="44"/>
  <c r="W1036" i="44"/>
  <c r="L1036" i="44"/>
  <c r="W1035" i="44"/>
  <c r="L1035" i="44"/>
  <c r="W1034" i="44"/>
  <c r="L1034" i="44"/>
  <c r="W1033" i="44"/>
  <c r="L1033" i="44"/>
  <c r="W1032" i="44"/>
  <c r="L1032" i="44"/>
  <c r="W1031" i="44"/>
  <c r="L1031" i="44"/>
  <c r="W1030" i="44"/>
  <c r="L1030" i="44"/>
  <c r="W1029" i="44"/>
  <c r="L1029" i="44"/>
  <c r="W1028" i="44"/>
  <c r="L1028" i="44"/>
  <c r="W1027" i="44"/>
  <c r="L1027" i="44"/>
  <c r="W1026" i="44"/>
  <c r="L1026" i="44"/>
  <c r="W1025" i="44"/>
  <c r="L1025" i="44"/>
  <c r="W1024" i="44"/>
  <c r="L1024" i="44"/>
  <c r="W1023" i="44"/>
  <c r="L1023" i="44"/>
  <c r="W1022" i="44"/>
  <c r="L1022" i="44"/>
  <c r="W1021" i="44"/>
  <c r="L1021" i="44"/>
  <c r="W1020" i="44"/>
  <c r="L1020" i="44"/>
  <c r="W1019" i="44"/>
  <c r="L1019" i="44"/>
  <c r="W1018" i="44"/>
  <c r="L1018" i="44"/>
  <c r="W1017" i="44"/>
  <c r="L1017" i="44"/>
  <c r="W1016" i="44"/>
  <c r="L1016" i="44"/>
  <c r="W1015" i="44"/>
  <c r="L1015" i="44"/>
  <c r="W1014" i="44"/>
  <c r="L1014" i="44"/>
  <c r="W1013" i="44"/>
  <c r="L1013" i="44"/>
  <c r="W1012" i="44"/>
  <c r="L1012" i="44"/>
  <c r="W1011" i="44"/>
  <c r="L1011" i="44"/>
  <c r="W1010" i="44"/>
  <c r="L1010" i="44"/>
  <c r="W1009" i="44"/>
  <c r="L1009" i="44"/>
  <c r="W1008" i="44"/>
  <c r="L1008" i="44"/>
  <c r="W1007" i="44"/>
  <c r="L1007" i="44"/>
  <c r="W1006" i="44"/>
  <c r="L1006" i="44"/>
  <c r="W1005" i="44"/>
  <c r="L1005" i="44"/>
  <c r="W1004" i="44"/>
  <c r="L1004" i="44"/>
  <c r="W1003" i="44"/>
  <c r="L1003" i="44"/>
  <c r="W1002" i="44"/>
  <c r="L1002" i="44"/>
  <c r="W1001" i="44"/>
  <c r="L1001" i="44"/>
  <c r="W1000" i="44"/>
  <c r="L1000" i="44"/>
  <c r="W999" i="44"/>
  <c r="L999" i="44"/>
  <c r="W998" i="44"/>
  <c r="L998" i="44"/>
  <c r="W997" i="44"/>
  <c r="L997" i="44"/>
  <c r="W996" i="44"/>
  <c r="L996" i="44"/>
  <c r="W995" i="44"/>
  <c r="L995" i="44"/>
  <c r="W994" i="44"/>
  <c r="L994" i="44"/>
  <c r="W993" i="44"/>
  <c r="L993" i="44"/>
  <c r="W992" i="44"/>
  <c r="L992" i="44"/>
  <c r="W991" i="44"/>
  <c r="L991" i="44"/>
  <c r="W990" i="44"/>
  <c r="L990" i="44"/>
  <c r="W989" i="44"/>
  <c r="L989" i="44"/>
  <c r="W988" i="44"/>
  <c r="L988" i="44"/>
  <c r="W987" i="44"/>
  <c r="L987" i="44"/>
  <c r="W986" i="44"/>
  <c r="L986" i="44"/>
  <c r="W985" i="44"/>
  <c r="L985" i="44"/>
  <c r="W984" i="44"/>
  <c r="L984" i="44"/>
  <c r="W983" i="44"/>
  <c r="L983" i="44"/>
  <c r="W982" i="44"/>
  <c r="L982" i="44"/>
  <c r="W981" i="44"/>
  <c r="L981" i="44"/>
  <c r="W980" i="44"/>
  <c r="L980" i="44"/>
  <c r="W979" i="44"/>
  <c r="L979" i="44"/>
  <c r="W978" i="44"/>
  <c r="L978" i="44"/>
  <c r="W977" i="44"/>
  <c r="L977" i="44"/>
  <c r="W976" i="44"/>
  <c r="L976" i="44"/>
  <c r="W975" i="44"/>
  <c r="L975" i="44"/>
  <c r="W974" i="44"/>
  <c r="L974" i="44"/>
  <c r="W973" i="44"/>
  <c r="L973" i="44"/>
  <c r="W972" i="44"/>
  <c r="L972" i="44"/>
  <c r="W971" i="44"/>
  <c r="L971" i="44"/>
  <c r="W970" i="44"/>
  <c r="L970" i="44"/>
  <c r="W969" i="44"/>
  <c r="L969" i="44"/>
  <c r="W968" i="44"/>
  <c r="L968" i="44"/>
  <c r="W967" i="44"/>
  <c r="L967" i="44"/>
  <c r="W966" i="44"/>
  <c r="L966" i="44"/>
  <c r="W965" i="44"/>
  <c r="L965" i="44"/>
  <c r="W964" i="44"/>
  <c r="L964" i="44"/>
  <c r="W963" i="44"/>
  <c r="L963" i="44"/>
  <c r="W962" i="44"/>
  <c r="L962" i="44"/>
  <c r="W961" i="44"/>
  <c r="L961" i="44"/>
  <c r="W960" i="44"/>
  <c r="L960" i="44"/>
  <c r="W959" i="44"/>
  <c r="L959" i="44"/>
  <c r="W958" i="44"/>
  <c r="L958" i="44"/>
  <c r="W957" i="44"/>
  <c r="L957" i="44"/>
  <c r="W956" i="44"/>
  <c r="L956" i="44"/>
  <c r="W955" i="44"/>
  <c r="L955" i="44"/>
  <c r="W954" i="44"/>
  <c r="L954" i="44"/>
  <c r="W953" i="44"/>
  <c r="L953" i="44"/>
  <c r="W952" i="44"/>
  <c r="L952" i="44"/>
  <c r="W951" i="44"/>
  <c r="L951" i="44"/>
  <c r="W950" i="44"/>
  <c r="L950" i="44"/>
  <c r="W949" i="44"/>
  <c r="L949" i="44"/>
  <c r="W948" i="44"/>
  <c r="L948" i="44"/>
  <c r="W947" i="44"/>
  <c r="L947" i="44"/>
  <c r="W946" i="44"/>
  <c r="L946" i="44"/>
  <c r="W945" i="44"/>
  <c r="L945" i="44"/>
  <c r="W944" i="44"/>
  <c r="L944" i="44"/>
  <c r="W943" i="44"/>
  <c r="L943" i="44"/>
  <c r="W942" i="44"/>
  <c r="L942" i="44"/>
  <c r="W941" i="44"/>
  <c r="L941" i="44"/>
  <c r="W940" i="44"/>
  <c r="L940" i="44"/>
  <c r="W939" i="44"/>
  <c r="L939" i="44"/>
  <c r="W938" i="44"/>
  <c r="L938" i="44"/>
  <c r="W937" i="44"/>
  <c r="L937" i="44"/>
  <c r="W936" i="44"/>
  <c r="L936" i="44"/>
  <c r="W935" i="44"/>
  <c r="L935" i="44"/>
  <c r="W934" i="44"/>
  <c r="L934" i="44"/>
  <c r="W933" i="44"/>
  <c r="L933" i="44"/>
  <c r="W932" i="44"/>
  <c r="L932" i="44"/>
  <c r="W931" i="44"/>
  <c r="L931" i="44"/>
  <c r="W930" i="44"/>
  <c r="L930" i="44"/>
  <c r="W929" i="44"/>
  <c r="L929" i="44"/>
  <c r="W928" i="44"/>
  <c r="L928" i="44"/>
  <c r="W927" i="44"/>
  <c r="L927" i="44"/>
  <c r="W926" i="44"/>
  <c r="L926" i="44"/>
  <c r="W925" i="44"/>
  <c r="L925" i="44"/>
  <c r="W924" i="44"/>
  <c r="L924" i="44"/>
  <c r="W923" i="44"/>
  <c r="L923" i="44"/>
  <c r="W922" i="44"/>
  <c r="L922" i="44"/>
  <c r="W921" i="44"/>
  <c r="L921" i="44"/>
  <c r="W920" i="44"/>
  <c r="L920" i="44"/>
  <c r="W919" i="44"/>
  <c r="L919" i="44"/>
  <c r="W918" i="44"/>
  <c r="L918" i="44"/>
  <c r="W917" i="44"/>
  <c r="L917" i="44"/>
  <c r="W916" i="44"/>
  <c r="L916" i="44"/>
  <c r="W915" i="44"/>
  <c r="L915" i="44"/>
  <c r="W914" i="44"/>
  <c r="L914" i="44"/>
  <c r="W913" i="44"/>
  <c r="L913" i="44"/>
  <c r="W912" i="44"/>
  <c r="L912" i="44"/>
  <c r="W911" i="44"/>
  <c r="L911" i="44"/>
  <c r="W910" i="44"/>
  <c r="L910" i="44"/>
  <c r="W909" i="44"/>
  <c r="L909" i="44"/>
  <c r="W908" i="44"/>
  <c r="L908" i="44"/>
  <c r="W907" i="44"/>
  <c r="L907" i="44"/>
  <c r="W906" i="44"/>
  <c r="L906" i="44"/>
  <c r="W905" i="44"/>
  <c r="L905" i="44"/>
  <c r="W904" i="44"/>
  <c r="L904" i="44"/>
  <c r="W903" i="44"/>
  <c r="L903" i="44"/>
  <c r="W902" i="44"/>
  <c r="L902" i="44"/>
  <c r="W901" i="44"/>
  <c r="L901" i="44"/>
  <c r="W900" i="44"/>
  <c r="L900" i="44"/>
  <c r="W899" i="44"/>
  <c r="L899" i="44"/>
  <c r="W898" i="44"/>
  <c r="L898" i="44"/>
  <c r="W897" i="44"/>
  <c r="L897" i="44"/>
  <c r="W896" i="44"/>
  <c r="L896" i="44"/>
  <c r="W895" i="44"/>
  <c r="L895" i="44"/>
  <c r="W894" i="44"/>
  <c r="L894" i="44"/>
  <c r="W893" i="44"/>
  <c r="L893" i="44"/>
  <c r="W892" i="44"/>
  <c r="L892" i="44"/>
  <c r="W891" i="44"/>
  <c r="L891" i="44"/>
  <c r="W890" i="44"/>
  <c r="L890" i="44"/>
  <c r="W889" i="44"/>
  <c r="L889" i="44"/>
  <c r="W888" i="44"/>
  <c r="L888" i="44"/>
  <c r="W887" i="44"/>
  <c r="L887" i="44"/>
  <c r="W886" i="44"/>
  <c r="L886" i="44"/>
  <c r="W885" i="44"/>
  <c r="L885" i="44"/>
  <c r="W884" i="44"/>
  <c r="L884" i="44"/>
  <c r="W883" i="44"/>
  <c r="L883" i="44"/>
  <c r="W882" i="44"/>
  <c r="L882" i="44"/>
  <c r="W881" i="44"/>
  <c r="L881" i="44"/>
  <c r="W880" i="44"/>
  <c r="L880" i="44"/>
  <c r="W879" i="44"/>
  <c r="L879" i="44"/>
  <c r="W878" i="44"/>
  <c r="L878" i="44"/>
  <c r="W877" i="44"/>
  <c r="L877" i="44"/>
  <c r="W876" i="44"/>
  <c r="L876" i="44"/>
  <c r="W875" i="44"/>
  <c r="L875" i="44"/>
  <c r="W874" i="44"/>
  <c r="L874" i="44"/>
  <c r="W873" i="44"/>
  <c r="L873" i="44"/>
  <c r="W872" i="44"/>
  <c r="L872" i="44"/>
  <c r="W871" i="44"/>
  <c r="L871" i="44"/>
  <c r="W870" i="44"/>
  <c r="L870" i="44"/>
  <c r="W869" i="44"/>
  <c r="L869" i="44"/>
  <c r="W868" i="44"/>
  <c r="L868" i="44"/>
  <c r="W867" i="44"/>
  <c r="L867" i="44"/>
  <c r="W866" i="44"/>
  <c r="L866" i="44"/>
  <c r="W865" i="44"/>
  <c r="L865" i="44"/>
  <c r="W864" i="44"/>
  <c r="L864" i="44"/>
  <c r="W863" i="44"/>
  <c r="L863" i="44"/>
  <c r="W862" i="44"/>
  <c r="L862" i="44"/>
  <c r="W861" i="44"/>
  <c r="L861" i="44"/>
  <c r="W860" i="44"/>
  <c r="L860" i="44"/>
  <c r="W859" i="44"/>
  <c r="L859" i="44"/>
  <c r="W858" i="44"/>
  <c r="L858" i="44"/>
  <c r="W857" i="44"/>
  <c r="L857" i="44"/>
  <c r="W856" i="44"/>
  <c r="L856" i="44"/>
  <c r="W855" i="44"/>
  <c r="L855" i="44"/>
  <c r="W854" i="44"/>
  <c r="L854" i="44"/>
  <c r="W853" i="44"/>
  <c r="L853" i="44"/>
  <c r="W852" i="44"/>
  <c r="L852" i="44"/>
  <c r="W851" i="44"/>
  <c r="L851" i="44"/>
  <c r="W850" i="44"/>
  <c r="L850" i="44"/>
  <c r="W849" i="44"/>
  <c r="L849" i="44"/>
  <c r="W848" i="44"/>
  <c r="L848" i="44"/>
  <c r="W847" i="44"/>
  <c r="L847" i="44"/>
  <c r="W846" i="44"/>
  <c r="L846" i="44"/>
  <c r="W845" i="44"/>
  <c r="L845" i="44"/>
  <c r="W844" i="44"/>
  <c r="L844" i="44"/>
  <c r="W843" i="44"/>
  <c r="L843" i="44"/>
  <c r="W842" i="44"/>
  <c r="L842" i="44"/>
  <c r="W841" i="44"/>
  <c r="L841" i="44"/>
  <c r="W840" i="44"/>
  <c r="L840" i="44"/>
  <c r="W839" i="44"/>
  <c r="L839" i="44"/>
  <c r="W838" i="44"/>
  <c r="L838" i="44"/>
  <c r="W837" i="44"/>
  <c r="L837" i="44"/>
  <c r="W836" i="44"/>
  <c r="L836" i="44"/>
  <c r="W835" i="44"/>
  <c r="L835" i="44"/>
  <c r="W834" i="44"/>
  <c r="L834" i="44"/>
  <c r="W833" i="44"/>
  <c r="L833" i="44"/>
  <c r="W832" i="44"/>
  <c r="L832" i="44"/>
  <c r="W831" i="44"/>
  <c r="L831" i="44"/>
  <c r="W830" i="44"/>
  <c r="L830" i="44"/>
  <c r="W829" i="44"/>
  <c r="L829" i="44"/>
  <c r="W828" i="44"/>
  <c r="L828" i="44"/>
  <c r="W827" i="44"/>
  <c r="L827" i="44"/>
  <c r="W826" i="44"/>
  <c r="L826" i="44"/>
  <c r="W825" i="44"/>
  <c r="L825" i="44"/>
  <c r="W824" i="44"/>
  <c r="L824" i="44"/>
  <c r="W823" i="44"/>
  <c r="L823" i="44"/>
  <c r="W822" i="44"/>
  <c r="L822" i="44"/>
  <c r="W821" i="44"/>
  <c r="L821" i="44"/>
  <c r="W820" i="44"/>
  <c r="L820" i="44"/>
  <c r="W819" i="44"/>
  <c r="L819" i="44"/>
  <c r="W818" i="44"/>
  <c r="L818" i="44"/>
  <c r="W817" i="44"/>
  <c r="L817" i="44"/>
  <c r="W816" i="44"/>
  <c r="L816" i="44"/>
  <c r="W815" i="44"/>
  <c r="L815" i="44"/>
  <c r="W814" i="44"/>
  <c r="L814" i="44"/>
  <c r="W813" i="44"/>
  <c r="L813" i="44"/>
  <c r="W812" i="44"/>
  <c r="L812" i="44"/>
  <c r="W811" i="44"/>
  <c r="L811" i="44"/>
  <c r="W810" i="44"/>
  <c r="L810" i="44"/>
  <c r="W809" i="44"/>
  <c r="L809" i="44"/>
  <c r="W808" i="44"/>
  <c r="L808" i="44"/>
  <c r="W807" i="44"/>
  <c r="L807" i="44"/>
  <c r="W806" i="44"/>
  <c r="L806" i="44"/>
  <c r="W805" i="44"/>
  <c r="L805" i="44"/>
  <c r="W804" i="44"/>
  <c r="L804" i="44"/>
  <c r="W803" i="44"/>
  <c r="L803" i="44"/>
  <c r="W802" i="44"/>
  <c r="L802" i="44"/>
  <c r="W801" i="44"/>
  <c r="L801" i="44"/>
  <c r="W800" i="44"/>
  <c r="L800" i="44"/>
  <c r="W799" i="44"/>
  <c r="L799" i="44"/>
  <c r="W798" i="44"/>
  <c r="L798" i="44"/>
  <c r="W797" i="44"/>
  <c r="L797" i="44"/>
  <c r="W796" i="44"/>
  <c r="L796" i="44"/>
  <c r="W795" i="44"/>
  <c r="L795" i="44"/>
  <c r="W794" i="44"/>
  <c r="L794" i="44"/>
  <c r="W793" i="44"/>
  <c r="L793" i="44"/>
  <c r="W792" i="44"/>
  <c r="L792" i="44"/>
  <c r="W791" i="44"/>
  <c r="L791" i="44"/>
  <c r="W790" i="44"/>
  <c r="L790" i="44"/>
  <c r="W789" i="44"/>
  <c r="L789" i="44"/>
  <c r="W788" i="44"/>
  <c r="L788" i="44"/>
  <c r="W787" i="44"/>
  <c r="L787" i="44"/>
  <c r="W786" i="44"/>
  <c r="L786" i="44"/>
  <c r="W785" i="44"/>
  <c r="L785" i="44"/>
  <c r="W784" i="44"/>
  <c r="L784" i="44"/>
  <c r="W783" i="44"/>
  <c r="L783" i="44"/>
  <c r="W782" i="44"/>
  <c r="L782" i="44"/>
  <c r="W781" i="44"/>
  <c r="L781" i="44"/>
  <c r="W780" i="44"/>
  <c r="L780" i="44"/>
  <c r="W779" i="44"/>
  <c r="L779" i="44"/>
  <c r="W778" i="44"/>
  <c r="L778" i="44"/>
  <c r="W777" i="44"/>
  <c r="L777" i="44"/>
  <c r="W776" i="44"/>
  <c r="L776" i="44"/>
  <c r="W775" i="44"/>
  <c r="L775" i="44"/>
  <c r="W774" i="44"/>
  <c r="L774" i="44"/>
  <c r="W773" i="44"/>
  <c r="L773" i="44"/>
  <c r="W772" i="44"/>
  <c r="L772" i="44"/>
  <c r="W771" i="44"/>
  <c r="L771" i="44"/>
  <c r="W770" i="44"/>
  <c r="L770" i="44"/>
  <c r="W769" i="44"/>
  <c r="L769" i="44"/>
  <c r="W768" i="44"/>
  <c r="L768" i="44"/>
  <c r="W767" i="44"/>
  <c r="L767" i="44"/>
  <c r="W766" i="44"/>
  <c r="L766" i="44"/>
  <c r="W765" i="44"/>
  <c r="L765" i="44"/>
  <c r="W764" i="44"/>
  <c r="L764" i="44"/>
  <c r="W763" i="44"/>
  <c r="L763" i="44"/>
  <c r="W762" i="44"/>
  <c r="L762" i="44"/>
  <c r="W761" i="44"/>
  <c r="L761" i="44"/>
  <c r="W760" i="44"/>
  <c r="L760" i="44"/>
  <c r="W759" i="44"/>
  <c r="L759" i="44"/>
  <c r="W758" i="44"/>
  <c r="L758" i="44"/>
  <c r="W757" i="44"/>
  <c r="L757" i="44"/>
  <c r="W756" i="44"/>
  <c r="L756" i="44"/>
  <c r="W755" i="44"/>
  <c r="L755" i="44"/>
  <c r="W754" i="44"/>
  <c r="L754" i="44"/>
  <c r="W753" i="44"/>
  <c r="L753" i="44"/>
  <c r="W752" i="44"/>
  <c r="L752" i="44"/>
  <c r="W751" i="44"/>
  <c r="L751" i="44"/>
  <c r="W750" i="44"/>
  <c r="L750" i="44"/>
  <c r="W749" i="44"/>
  <c r="L749" i="44"/>
  <c r="W748" i="44"/>
  <c r="L748" i="44"/>
  <c r="W747" i="44"/>
  <c r="L747" i="44"/>
  <c r="W746" i="44"/>
  <c r="L746" i="44"/>
  <c r="W745" i="44"/>
  <c r="L745" i="44"/>
  <c r="W744" i="44"/>
  <c r="L744" i="44"/>
  <c r="W743" i="44"/>
  <c r="L743" i="44"/>
  <c r="W742" i="44"/>
  <c r="L742" i="44"/>
  <c r="W741" i="44"/>
  <c r="L741" i="44"/>
  <c r="W740" i="44"/>
  <c r="L740" i="44"/>
  <c r="W739" i="44"/>
  <c r="L739" i="44"/>
  <c r="W738" i="44"/>
  <c r="L738" i="44"/>
  <c r="W737" i="44"/>
  <c r="L737" i="44"/>
  <c r="W736" i="44"/>
  <c r="L736" i="44"/>
  <c r="W735" i="44"/>
  <c r="L735" i="44"/>
  <c r="W734" i="44"/>
  <c r="L734" i="44"/>
  <c r="W733" i="44"/>
  <c r="L733" i="44"/>
  <c r="W732" i="44"/>
  <c r="L732" i="44"/>
  <c r="W731" i="44"/>
  <c r="L731" i="44"/>
  <c r="W730" i="44"/>
  <c r="L730" i="44"/>
  <c r="W729" i="44"/>
  <c r="L729" i="44"/>
  <c r="W728" i="44"/>
  <c r="L728" i="44"/>
  <c r="W727" i="44"/>
  <c r="L727" i="44"/>
  <c r="W726" i="44"/>
  <c r="L726" i="44"/>
  <c r="W725" i="44"/>
  <c r="L725" i="44"/>
  <c r="W724" i="44"/>
  <c r="L724" i="44"/>
  <c r="W723" i="44"/>
  <c r="L723" i="44"/>
  <c r="W722" i="44"/>
  <c r="L722" i="44"/>
  <c r="W721" i="44"/>
  <c r="L721" i="44"/>
  <c r="W720" i="44"/>
  <c r="L720" i="44"/>
  <c r="W719" i="44"/>
  <c r="L719" i="44"/>
  <c r="W718" i="44"/>
  <c r="L718" i="44"/>
  <c r="W717" i="44"/>
  <c r="L717" i="44"/>
  <c r="W716" i="44"/>
  <c r="L716" i="44"/>
  <c r="W715" i="44"/>
  <c r="L715" i="44"/>
  <c r="W714" i="44"/>
  <c r="L714" i="44"/>
  <c r="W713" i="44"/>
  <c r="L713" i="44"/>
  <c r="W712" i="44"/>
  <c r="L712" i="44"/>
  <c r="W711" i="44"/>
  <c r="L711" i="44"/>
  <c r="W710" i="44"/>
  <c r="L710" i="44"/>
  <c r="W709" i="44"/>
  <c r="L709" i="44"/>
  <c r="W708" i="44"/>
  <c r="L708" i="44"/>
  <c r="W707" i="44"/>
  <c r="L707" i="44"/>
  <c r="W706" i="44"/>
  <c r="L706" i="44"/>
  <c r="W705" i="44"/>
  <c r="L705" i="44"/>
  <c r="W704" i="44"/>
  <c r="L704" i="44"/>
  <c r="W703" i="44"/>
  <c r="L703" i="44"/>
  <c r="W702" i="44"/>
  <c r="L702" i="44"/>
  <c r="W701" i="44"/>
  <c r="L701" i="44"/>
  <c r="W700" i="44"/>
  <c r="L700" i="44"/>
  <c r="W699" i="44"/>
  <c r="L699" i="44"/>
  <c r="W698" i="44"/>
  <c r="L698" i="44"/>
  <c r="W697" i="44"/>
  <c r="L697" i="44"/>
  <c r="W696" i="44"/>
  <c r="L696" i="44"/>
  <c r="W695" i="44"/>
  <c r="L695" i="44"/>
  <c r="W694" i="44"/>
  <c r="L694" i="44"/>
  <c r="W693" i="44"/>
  <c r="L693" i="44"/>
  <c r="W692" i="44"/>
  <c r="L692" i="44"/>
  <c r="W691" i="44"/>
  <c r="L691" i="44"/>
  <c r="W690" i="44"/>
  <c r="L690" i="44"/>
  <c r="W689" i="44"/>
  <c r="L689" i="44"/>
  <c r="W688" i="44"/>
  <c r="L688" i="44"/>
  <c r="W687" i="44"/>
  <c r="L687" i="44"/>
  <c r="W686" i="44"/>
  <c r="L686" i="44"/>
  <c r="W685" i="44"/>
  <c r="L685" i="44"/>
  <c r="W684" i="44"/>
  <c r="L684" i="44"/>
  <c r="W683" i="44"/>
  <c r="L683" i="44"/>
  <c r="W682" i="44"/>
  <c r="L682" i="44"/>
  <c r="W681" i="44"/>
  <c r="L681" i="44"/>
  <c r="W680" i="44"/>
  <c r="L680" i="44"/>
  <c r="W679" i="44"/>
  <c r="L679" i="44"/>
  <c r="W678" i="44"/>
  <c r="L678" i="44"/>
  <c r="W677" i="44"/>
  <c r="L677" i="44"/>
  <c r="W676" i="44"/>
  <c r="L676" i="44"/>
  <c r="W675" i="44"/>
  <c r="L675" i="44"/>
  <c r="W674" i="44"/>
  <c r="L674" i="44"/>
  <c r="W673" i="44"/>
  <c r="L673" i="44"/>
  <c r="W672" i="44"/>
  <c r="L672" i="44"/>
  <c r="W671" i="44"/>
  <c r="L671" i="44"/>
  <c r="W670" i="44"/>
  <c r="L670" i="44"/>
  <c r="W669" i="44"/>
  <c r="L669" i="44"/>
  <c r="W668" i="44"/>
  <c r="L668" i="44"/>
  <c r="W667" i="44"/>
  <c r="L667" i="44"/>
  <c r="W666" i="44"/>
  <c r="L666" i="44"/>
  <c r="W665" i="44"/>
  <c r="L665" i="44"/>
  <c r="W664" i="44"/>
  <c r="L664" i="44"/>
  <c r="W663" i="44"/>
  <c r="L663" i="44"/>
  <c r="W662" i="44"/>
  <c r="L662" i="44"/>
  <c r="W661" i="44"/>
  <c r="L661" i="44"/>
  <c r="W660" i="44"/>
  <c r="L660" i="44"/>
  <c r="W659" i="44"/>
  <c r="L659" i="44"/>
  <c r="W658" i="44"/>
  <c r="L658" i="44"/>
  <c r="W657" i="44"/>
  <c r="L657" i="44"/>
  <c r="W656" i="44"/>
  <c r="L656" i="44"/>
  <c r="W655" i="44"/>
  <c r="L655" i="44"/>
  <c r="W654" i="44"/>
  <c r="L654" i="44"/>
  <c r="W653" i="44"/>
  <c r="L653" i="44"/>
  <c r="W652" i="44"/>
  <c r="L652" i="44"/>
  <c r="W651" i="44"/>
  <c r="L651" i="44"/>
  <c r="W650" i="44"/>
  <c r="L650" i="44"/>
  <c r="W649" i="44"/>
  <c r="L649" i="44"/>
  <c r="W648" i="44"/>
  <c r="L648" i="44"/>
  <c r="W647" i="44"/>
  <c r="L647" i="44"/>
  <c r="W646" i="44"/>
  <c r="L646" i="44"/>
  <c r="W645" i="44"/>
  <c r="L645" i="44"/>
  <c r="W644" i="44"/>
  <c r="L644" i="44"/>
  <c r="W643" i="44"/>
  <c r="L643" i="44"/>
  <c r="W642" i="44"/>
  <c r="L642" i="44"/>
  <c r="W641" i="44"/>
  <c r="L641" i="44"/>
  <c r="W640" i="44"/>
  <c r="L640" i="44"/>
  <c r="W639" i="44"/>
  <c r="L639" i="44"/>
  <c r="W638" i="44"/>
  <c r="L638" i="44"/>
  <c r="W637" i="44"/>
  <c r="L637" i="44"/>
  <c r="W636" i="44"/>
  <c r="L636" i="44"/>
  <c r="W635" i="44"/>
  <c r="L635" i="44"/>
  <c r="W634" i="44"/>
  <c r="L634" i="44"/>
  <c r="W633" i="44"/>
  <c r="L633" i="44"/>
  <c r="W632" i="44"/>
  <c r="L632" i="44"/>
  <c r="W631" i="44"/>
  <c r="L631" i="44"/>
  <c r="W630" i="44"/>
  <c r="L630" i="44"/>
  <c r="W629" i="44"/>
  <c r="L629" i="44"/>
  <c r="W628" i="44"/>
  <c r="L628" i="44"/>
  <c r="W627" i="44"/>
  <c r="L627" i="44"/>
  <c r="W626" i="44"/>
  <c r="L626" i="44"/>
  <c r="W625" i="44"/>
  <c r="L625" i="44"/>
  <c r="W624" i="44"/>
  <c r="L624" i="44"/>
  <c r="W623" i="44"/>
  <c r="L623" i="44"/>
  <c r="W622" i="44"/>
  <c r="L622" i="44"/>
  <c r="W621" i="44"/>
  <c r="L621" i="44"/>
  <c r="W620" i="44"/>
  <c r="L620" i="44"/>
  <c r="W619" i="44"/>
  <c r="L619" i="44"/>
  <c r="W618" i="44"/>
  <c r="L618" i="44"/>
  <c r="W617" i="44"/>
  <c r="L617" i="44"/>
  <c r="W616" i="44"/>
  <c r="L616" i="44"/>
  <c r="W615" i="44"/>
  <c r="L615" i="44"/>
  <c r="W614" i="44"/>
  <c r="L614" i="44"/>
  <c r="W613" i="44"/>
  <c r="L613" i="44"/>
  <c r="W612" i="44"/>
  <c r="L612" i="44"/>
  <c r="W611" i="44"/>
  <c r="L611" i="44"/>
  <c r="W610" i="44"/>
  <c r="L610" i="44"/>
  <c r="W609" i="44"/>
  <c r="L609" i="44"/>
  <c r="W608" i="44"/>
  <c r="L608" i="44"/>
  <c r="W607" i="44"/>
  <c r="L607" i="44"/>
  <c r="W606" i="44"/>
  <c r="L606" i="44"/>
  <c r="W605" i="44"/>
  <c r="L605" i="44"/>
  <c r="W604" i="44"/>
  <c r="L604" i="44"/>
  <c r="W603" i="44"/>
  <c r="L603" i="44"/>
  <c r="W602" i="44"/>
  <c r="L602" i="44"/>
  <c r="W601" i="44"/>
  <c r="L601" i="44"/>
  <c r="W600" i="44"/>
  <c r="L600" i="44"/>
  <c r="W599" i="44"/>
  <c r="L599" i="44"/>
  <c r="W598" i="44"/>
  <c r="L598" i="44"/>
  <c r="W597" i="44"/>
  <c r="L597" i="44"/>
  <c r="W596" i="44"/>
  <c r="L596" i="44"/>
  <c r="W595" i="44"/>
  <c r="L595" i="44"/>
  <c r="W594" i="44"/>
  <c r="L594" i="44"/>
  <c r="W593" i="44"/>
  <c r="L593" i="44"/>
  <c r="W592" i="44"/>
  <c r="L592" i="44"/>
  <c r="W591" i="44"/>
  <c r="L591" i="44"/>
  <c r="W590" i="44"/>
  <c r="L590" i="44"/>
  <c r="W589" i="44"/>
  <c r="L589" i="44"/>
  <c r="W588" i="44"/>
  <c r="L588" i="44"/>
  <c r="W587" i="44"/>
  <c r="L587" i="44"/>
  <c r="W586" i="44"/>
  <c r="L586" i="44"/>
  <c r="W585" i="44"/>
  <c r="L585" i="44"/>
  <c r="W584" i="44"/>
  <c r="L584" i="44"/>
  <c r="W583" i="44"/>
  <c r="L583" i="44"/>
  <c r="W582" i="44"/>
  <c r="L582" i="44"/>
  <c r="W581" i="44"/>
  <c r="L581" i="44"/>
  <c r="W580" i="44"/>
  <c r="L580" i="44"/>
  <c r="W579" i="44"/>
  <c r="L579" i="44"/>
  <c r="W578" i="44"/>
  <c r="L578" i="44"/>
  <c r="W577" i="44"/>
  <c r="L577" i="44"/>
  <c r="W576" i="44"/>
  <c r="L576" i="44"/>
  <c r="W575" i="44"/>
  <c r="L575" i="44"/>
  <c r="W574" i="44"/>
  <c r="L574" i="44"/>
  <c r="W573" i="44"/>
  <c r="L573" i="44"/>
  <c r="W572" i="44"/>
  <c r="L572" i="44"/>
  <c r="W571" i="44"/>
  <c r="L571" i="44"/>
  <c r="W570" i="44"/>
  <c r="L570" i="44"/>
  <c r="W569" i="44"/>
  <c r="L569" i="44"/>
  <c r="W568" i="44"/>
  <c r="L568" i="44"/>
  <c r="W567" i="44"/>
  <c r="L567" i="44"/>
  <c r="W566" i="44"/>
  <c r="L566" i="44"/>
  <c r="W565" i="44"/>
  <c r="L565" i="44"/>
  <c r="W564" i="44"/>
  <c r="L564" i="44"/>
  <c r="W563" i="44"/>
  <c r="L563" i="44"/>
  <c r="W562" i="44"/>
  <c r="L562" i="44"/>
  <c r="W561" i="44"/>
  <c r="L561" i="44"/>
  <c r="W560" i="44"/>
  <c r="L560" i="44"/>
  <c r="W559" i="44"/>
  <c r="L559" i="44"/>
  <c r="W558" i="44"/>
  <c r="L558" i="44"/>
  <c r="W557" i="44"/>
  <c r="L557" i="44"/>
  <c r="W556" i="44"/>
  <c r="L556" i="44"/>
  <c r="W555" i="44"/>
  <c r="L555" i="44"/>
  <c r="W554" i="44"/>
  <c r="L554" i="44"/>
  <c r="W553" i="44"/>
  <c r="L553" i="44"/>
  <c r="W552" i="44"/>
  <c r="L552" i="44"/>
  <c r="W551" i="44"/>
  <c r="L551" i="44"/>
  <c r="W550" i="44"/>
  <c r="L550" i="44"/>
  <c r="W549" i="44"/>
  <c r="L549" i="44"/>
  <c r="W548" i="44"/>
  <c r="L548" i="44"/>
  <c r="W547" i="44"/>
  <c r="L547" i="44"/>
  <c r="W546" i="44"/>
  <c r="L546" i="44"/>
  <c r="W545" i="44"/>
  <c r="L545" i="44"/>
  <c r="W544" i="44"/>
  <c r="L544" i="44"/>
  <c r="W543" i="44"/>
  <c r="L543" i="44"/>
  <c r="W542" i="44"/>
  <c r="L542" i="44"/>
  <c r="W541" i="44"/>
  <c r="L541" i="44"/>
  <c r="W540" i="44"/>
  <c r="L540" i="44"/>
  <c r="W539" i="44"/>
  <c r="L539" i="44"/>
  <c r="W538" i="44"/>
  <c r="L538" i="44"/>
  <c r="W537" i="44"/>
  <c r="L537" i="44"/>
  <c r="W536" i="44"/>
  <c r="L536" i="44"/>
  <c r="W535" i="44"/>
  <c r="L535" i="44"/>
  <c r="W534" i="44"/>
  <c r="L534" i="44"/>
  <c r="W533" i="44"/>
  <c r="L533" i="44"/>
  <c r="W532" i="44"/>
  <c r="L532" i="44"/>
  <c r="W531" i="44"/>
  <c r="L531" i="44"/>
  <c r="W530" i="44"/>
  <c r="L530" i="44"/>
  <c r="W529" i="44"/>
  <c r="L529" i="44"/>
  <c r="W528" i="44"/>
  <c r="L528" i="44"/>
  <c r="W527" i="44"/>
  <c r="L527" i="44"/>
  <c r="W526" i="44"/>
  <c r="L526" i="44"/>
  <c r="W525" i="44"/>
  <c r="L525" i="44"/>
  <c r="W524" i="44"/>
  <c r="L524" i="44"/>
  <c r="W523" i="44"/>
  <c r="L523" i="44"/>
  <c r="W522" i="44"/>
  <c r="L522" i="44"/>
  <c r="W521" i="44"/>
  <c r="L521" i="44"/>
  <c r="W520" i="44"/>
  <c r="L520" i="44"/>
  <c r="W519" i="44"/>
  <c r="L519" i="44"/>
  <c r="W518" i="44"/>
  <c r="L518" i="44"/>
  <c r="W517" i="44"/>
  <c r="L517" i="44"/>
  <c r="W516" i="44"/>
  <c r="L516" i="44"/>
  <c r="W515" i="44"/>
  <c r="L515" i="44"/>
  <c r="W514" i="44"/>
  <c r="L514" i="44"/>
  <c r="W513" i="44"/>
  <c r="L513" i="44"/>
  <c r="W512" i="44"/>
  <c r="L512" i="44"/>
  <c r="W511" i="44"/>
  <c r="L511" i="44"/>
  <c r="W510" i="44"/>
  <c r="L510" i="44"/>
  <c r="W509" i="44"/>
  <c r="L509" i="44"/>
  <c r="W508" i="44"/>
  <c r="L508" i="44"/>
  <c r="W507" i="44"/>
  <c r="L507" i="44"/>
  <c r="W506" i="44"/>
  <c r="L506" i="44"/>
  <c r="W505" i="44"/>
  <c r="L505" i="44"/>
  <c r="W504" i="44"/>
  <c r="L504" i="44"/>
  <c r="W503" i="44"/>
  <c r="L503" i="44"/>
  <c r="W502" i="44"/>
  <c r="L502" i="44"/>
  <c r="W501" i="44"/>
  <c r="L501" i="44"/>
  <c r="W500" i="44"/>
  <c r="L500" i="44"/>
  <c r="W499" i="44"/>
  <c r="L499" i="44"/>
  <c r="W498" i="44"/>
  <c r="L498" i="44"/>
  <c r="W497" i="44"/>
  <c r="L497" i="44"/>
  <c r="W496" i="44"/>
  <c r="L496" i="44"/>
  <c r="W495" i="44"/>
  <c r="L495" i="44"/>
  <c r="W494" i="44"/>
  <c r="L494" i="44"/>
  <c r="W493" i="44"/>
  <c r="L493" i="44"/>
  <c r="W492" i="44"/>
  <c r="L492" i="44"/>
  <c r="W491" i="44"/>
  <c r="L491" i="44"/>
  <c r="W490" i="44"/>
  <c r="L490" i="44"/>
  <c r="W489" i="44"/>
  <c r="L489" i="44"/>
  <c r="W488" i="44"/>
  <c r="L488" i="44"/>
  <c r="W487" i="44"/>
  <c r="L487" i="44"/>
  <c r="W486" i="44"/>
  <c r="L486" i="44"/>
  <c r="W485" i="44"/>
  <c r="L485" i="44"/>
  <c r="W484" i="44"/>
  <c r="L484" i="44"/>
  <c r="W483" i="44"/>
  <c r="L483" i="44"/>
  <c r="W482" i="44"/>
  <c r="L482" i="44"/>
  <c r="W481" i="44"/>
  <c r="L481" i="44"/>
  <c r="W480" i="44"/>
  <c r="L480" i="44"/>
  <c r="W479" i="44"/>
  <c r="L479" i="44"/>
  <c r="W478" i="44"/>
  <c r="L478" i="44"/>
  <c r="W477" i="44"/>
  <c r="L477" i="44"/>
  <c r="W476" i="44"/>
  <c r="L476" i="44"/>
  <c r="W475" i="44"/>
  <c r="L475" i="44"/>
  <c r="W474" i="44"/>
  <c r="L474" i="44"/>
  <c r="W473" i="44"/>
  <c r="L473" i="44"/>
  <c r="W472" i="44"/>
  <c r="L472" i="44"/>
  <c r="W471" i="44"/>
  <c r="L471" i="44"/>
  <c r="W470" i="44"/>
  <c r="L470" i="44"/>
  <c r="W469" i="44"/>
  <c r="L469" i="44"/>
  <c r="W468" i="44"/>
  <c r="L468" i="44"/>
  <c r="W467" i="44"/>
  <c r="L467" i="44"/>
  <c r="W466" i="44"/>
  <c r="L466" i="44"/>
  <c r="W465" i="44"/>
  <c r="L465" i="44"/>
  <c r="W464" i="44"/>
  <c r="L464" i="44"/>
  <c r="W463" i="44"/>
  <c r="L463" i="44"/>
  <c r="W462" i="44"/>
  <c r="L462" i="44"/>
  <c r="W461" i="44"/>
  <c r="L461" i="44"/>
  <c r="W460" i="44"/>
  <c r="L460" i="44"/>
  <c r="W459" i="44"/>
  <c r="L459" i="44"/>
  <c r="W458" i="44"/>
  <c r="L458" i="44"/>
  <c r="W457" i="44"/>
  <c r="L457" i="44"/>
  <c r="W456" i="44"/>
  <c r="L456" i="44"/>
  <c r="W455" i="44"/>
  <c r="L455" i="44"/>
  <c r="W454" i="44"/>
  <c r="L454" i="44"/>
  <c r="W453" i="44"/>
  <c r="L453" i="44"/>
  <c r="W452" i="44"/>
  <c r="L452" i="44"/>
  <c r="W451" i="44"/>
  <c r="L451" i="44"/>
  <c r="W450" i="44"/>
  <c r="L450" i="44"/>
  <c r="W449" i="44"/>
  <c r="L449" i="44"/>
  <c r="W448" i="44"/>
  <c r="L448" i="44"/>
  <c r="W447" i="44"/>
  <c r="L447" i="44"/>
  <c r="W446" i="44"/>
  <c r="L446" i="44"/>
  <c r="W445" i="44"/>
  <c r="L445" i="44"/>
  <c r="W444" i="44"/>
  <c r="L444" i="44"/>
  <c r="W443" i="44"/>
  <c r="L443" i="44"/>
  <c r="W442" i="44"/>
  <c r="L442" i="44"/>
  <c r="W441" i="44"/>
  <c r="L441" i="44"/>
  <c r="W440" i="44"/>
  <c r="L440" i="44"/>
  <c r="W439" i="44"/>
  <c r="L439" i="44"/>
  <c r="W438" i="44"/>
  <c r="L438" i="44"/>
  <c r="W437" i="44"/>
  <c r="L437" i="44"/>
  <c r="W436" i="44"/>
  <c r="L436" i="44"/>
  <c r="W435" i="44"/>
  <c r="L435" i="44"/>
  <c r="W434" i="44"/>
  <c r="L434" i="44"/>
  <c r="W433" i="44"/>
  <c r="L433" i="44"/>
  <c r="W432" i="44"/>
  <c r="L432" i="44"/>
  <c r="W431" i="44"/>
  <c r="L431" i="44"/>
  <c r="W430" i="44"/>
  <c r="L430" i="44"/>
  <c r="W429" i="44"/>
  <c r="L429" i="44"/>
  <c r="W428" i="44"/>
  <c r="L428" i="44"/>
  <c r="W427" i="44"/>
  <c r="L427" i="44"/>
  <c r="W426" i="44"/>
  <c r="L426" i="44"/>
  <c r="W425" i="44"/>
  <c r="L425" i="44"/>
  <c r="W424" i="44"/>
  <c r="L424" i="44"/>
  <c r="W423" i="44"/>
  <c r="L423" i="44"/>
  <c r="W422" i="44"/>
  <c r="L422" i="44"/>
  <c r="W421" i="44"/>
  <c r="L421" i="44"/>
  <c r="W420" i="44"/>
  <c r="L420" i="44"/>
  <c r="W419" i="44"/>
  <c r="L419" i="44"/>
  <c r="W418" i="44"/>
  <c r="L418" i="44"/>
  <c r="W417" i="44"/>
  <c r="L417" i="44"/>
  <c r="W416" i="44"/>
  <c r="L416" i="44"/>
  <c r="W415" i="44"/>
  <c r="L415" i="44"/>
  <c r="W414" i="44"/>
  <c r="L414" i="44"/>
  <c r="W413" i="44"/>
  <c r="L413" i="44"/>
  <c r="W412" i="44"/>
  <c r="L412" i="44"/>
  <c r="W411" i="44"/>
  <c r="L411" i="44"/>
  <c r="W410" i="44"/>
  <c r="L410" i="44"/>
  <c r="W409" i="44"/>
  <c r="L409" i="44"/>
  <c r="W408" i="44"/>
  <c r="L408" i="44"/>
  <c r="W407" i="44"/>
  <c r="L407" i="44"/>
  <c r="W406" i="44"/>
  <c r="L406" i="44"/>
  <c r="W405" i="44"/>
  <c r="L405" i="44"/>
  <c r="W404" i="44"/>
  <c r="L404" i="44"/>
  <c r="W403" i="44"/>
  <c r="L403" i="44"/>
  <c r="W402" i="44"/>
  <c r="L402" i="44"/>
  <c r="W401" i="44"/>
  <c r="L401" i="44"/>
  <c r="W400" i="44"/>
  <c r="L400" i="44"/>
  <c r="W399" i="44"/>
  <c r="L399" i="44"/>
  <c r="W398" i="44"/>
  <c r="L398" i="44"/>
  <c r="W397" i="44"/>
  <c r="L397" i="44"/>
  <c r="W396" i="44"/>
  <c r="L396" i="44"/>
  <c r="W395" i="44"/>
  <c r="L395" i="44"/>
  <c r="W394" i="44"/>
  <c r="L394" i="44"/>
  <c r="W393" i="44"/>
  <c r="L393" i="44"/>
  <c r="W392" i="44"/>
  <c r="L392" i="44"/>
  <c r="W391" i="44"/>
  <c r="L391" i="44"/>
  <c r="W390" i="44"/>
  <c r="L390" i="44"/>
  <c r="W389" i="44"/>
  <c r="L389" i="44"/>
  <c r="W388" i="44"/>
  <c r="L388" i="44"/>
  <c r="W387" i="44"/>
  <c r="L387" i="44"/>
  <c r="W386" i="44"/>
  <c r="L386" i="44"/>
  <c r="W385" i="44"/>
  <c r="L385" i="44"/>
  <c r="W384" i="44"/>
  <c r="L384" i="44"/>
  <c r="W383" i="44"/>
  <c r="L383" i="44"/>
  <c r="W382" i="44"/>
  <c r="L382" i="44"/>
  <c r="W381" i="44"/>
  <c r="L381" i="44"/>
  <c r="W380" i="44"/>
  <c r="L380" i="44"/>
  <c r="W379" i="44"/>
  <c r="L379" i="44"/>
  <c r="W378" i="44"/>
  <c r="L378" i="44"/>
  <c r="W377" i="44"/>
  <c r="L377" i="44"/>
  <c r="W376" i="44"/>
  <c r="L376" i="44"/>
  <c r="W375" i="44"/>
  <c r="L375" i="44"/>
  <c r="W374" i="44"/>
  <c r="L374" i="44"/>
  <c r="W373" i="44"/>
  <c r="L373" i="44"/>
  <c r="W372" i="44"/>
  <c r="L372" i="44"/>
  <c r="W371" i="44"/>
  <c r="L371" i="44"/>
  <c r="W370" i="44"/>
  <c r="L370" i="44"/>
  <c r="W369" i="44"/>
  <c r="L369" i="44"/>
  <c r="W368" i="44"/>
  <c r="L368" i="44"/>
  <c r="W367" i="44"/>
  <c r="L367" i="44"/>
  <c r="W366" i="44"/>
  <c r="L366" i="44"/>
  <c r="W365" i="44"/>
  <c r="L365" i="44"/>
  <c r="W364" i="44"/>
  <c r="L364" i="44"/>
  <c r="W363" i="44"/>
  <c r="L363" i="44"/>
  <c r="W362" i="44"/>
  <c r="L362" i="44"/>
  <c r="W361" i="44"/>
  <c r="L361" i="44"/>
  <c r="W360" i="44"/>
  <c r="L360" i="44"/>
  <c r="W359" i="44"/>
  <c r="L359" i="44"/>
  <c r="W358" i="44"/>
  <c r="L358" i="44"/>
  <c r="W357" i="44"/>
  <c r="L357" i="44"/>
  <c r="W356" i="44"/>
  <c r="L356" i="44"/>
  <c r="W355" i="44"/>
  <c r="L355" i="44"/>
  <c r="W354" i="44"/>
  <c r="L354" i="44"/>
  <c r="W353" i="44"/>
  <c r="L353" i="44"/>
  <c r="W352" i="44"/>
  <c r="L352" i="44"/>
  <c r="W351" i="44"/>
  <c r="L351" i="44"/>
  <c r="W350" i="44"/>
  <c r="L350" i="44"/>
  <c r="W349" i="44"/>
  <c r="L349" i="44"/>
  <c r="W348" i="44"/>
  <c r="L348" i="44"/>
  <c r="W347" i="44"/>
  <c r="L347" i="44"/>
  <c r="W346" i="44"/>
  <c r="L346" i="44"/>
  <c r="W345" i="44"/>
  <c r="L345" i="44"/>
  <c r="W344" i="44"/>
  <c r="L344" i="44"/>
  <c r="W343" i="44"/>
  <c r="L343" i="44"/>
  <c r="W342" i="44"/>
  <c r="L342" i="44"/>
  <c r="W341" i="44"/>
  <c r="L341" i="44"/>
  <c r="W340" i="44"/>
  <c r="L340" i="44"/>
  <c r="W339" i="44"/>
  <c r="L339" i="44"/>
  <c r="W338" i="44"/>
  <c r="L338" i="44"/>
  <c r="W337" i="44"/>
  <c r="L337" i="44"/>
  <c r="W336" i="44"/>
  <c r="L336" i="44"/>
  <c r="W335" i="44"/>
  <c r="L335" i="44"/>
  <c r="W334" i="44"/>
  <c r="L334" i="44"/>
  <c r="W333" i="44"/>
  <c r="L333" i="44"/>
  <c r="W332" i="44"/>
  <c r="L332" i="44"/>
  <c r="W331" i="44"/>
  <c r="L331" i="44"/>
  <c r="W330" i="44"/>
  <c r="L330" i="44"/>
  <c r="W329" i="44"/>
  <c r="L329" i="44"/>
  <c r="W328" i="44"/>
  <c r="L328" i="44"/>
  <c r="W327" i="44"/>
  <c r="L327" i="44"/>
  <c r="W326" i="44"/>
  <c r="L326" i="44"/>
  <c r="W325" i="44"/>
  <c r="L325" i="44"/>
  <c r="W324" i="44"/>
  <c r="L324" i="44"/>
  <c r="W323" i="44"/>
  <c r="L323" i="44"/>
  <c r="W322" i="44"/>
  <c r="L322" i="44"/>
  <c r="W321" i="44"/>
  <c r="L321" i="44"/>
  <c r="W320" i="44"/>
  <c r="L320" i="44"/>
  <c r="W319" i="44"/>
  <c r="L319" i="44"/>
  <c r="W318" i="44"/>
  <c r="L318" i="44"/>
  <c r="W317" i="44"/>
  <c r="L317" i="44"/>
  <c r="W316" i="44"/>
  <c r="L316" i="44"/>
  <c r="W315" i="44"/>
  <c r="L315" i="44"/>
  <c r="W314" i="44"/>
  <c r="L314" i="44"/>
  <c r="W313" i="44"/>
  <c r="L313" i="44"/>
  <c r="W312" i="44"/>
  <c r="L312" i="44"/>
  <c r="W311" i="44"/>
  <c r="L311" i="44"/>
  <c r="W310" i="44"/>
  <c r="L310" i="44"/>
  <c r="W309" i="44"/>
  <c r="L309" i="44"/>
  <c r="W308" i="44"/>
  <c r="L308" i="44"/>
  <c r="W307" i="44"/>
  <c r="L307" i="44"/>
  <c r="W306" i="44"/>
  <c r="L306" i="44"/>
  <c r="W305" i="44"/>
  <c r="L305" i="44"/>
  <c r="W304" i="44"/>
  <c r="L304" i="44"/>
  <c r="W303" i="44"/>
  <c r="L303" i="44"/>
  <c r="W302" i="44"/>
  <c r="L302" i="44"/>
  <c r="W301" i="44"/>
  <c r="L301" i="44"/>
  <c r="W300" i="44"/>
  <c r="L300" i="44"/>
  <c r="W299" i="44"/>
  <c r="L299" i="44"/>
  <c r="W298" i="44"/>
  <c r="L298" i="44"/>
  <c r="W297" i="44"/>
  <c r="L297" i="44"/>
  <c r="W296" i="44"/>
  <c r="L296" i="44"/>
  <c r="W295" i="44"/>
  <c r="L295" i="44"/>
  <c r="W294" i="44"/>
  <c r="L294" i="44"/>
  <c r="W293" i="44"/>
  <c r="L293" i="44"/>
  <c r="W292" i="44"/>
  <c r="L292" i="44"/>
  <c r="W291" i="44"/>
  <c r="L291" i="44"/>
  <c r="W290" i="44"/>
  <c r="L290" i="44"/>
  <c r="W289" i="44"/>
  <c r="L289" i="44"/>
  <c r="W288" i="44"/>
  <c r="L288" i="44"/>
  <c r="W287" i="44"/>
  <c r="L287" i="44"/>
  <c r="W286" i="44"/>
  <c r="L286" i="44"/>
  <c r="W285" i="44"/>
  <c r="L285" i="44"/>
  <c r="W284" i="44"/>
  <c r="L284" i="44"/>
  <c r="W283" i="44"/>
  <c r="L283" i="44"/>
  <c r="W282" i="44"/>
  <c r="L282" i="44"/>
  <c r="W281" i="44"/>
  <c r="L281" i="44"/>
  <c r="W280" i="44"/>
  <c r="L280" i="44"/>
  <c r="W279" i="44"/>
  <c r="L279" i="44"/>
  <c r="W278" i="44"/>
  <c r="L278" i="44"/>
  <c r="W277" i="44"/>
  <c r="L277" i="44"/>
  <c r="W276" i="44"/>
  <c r="L276" i="44"/>
  <c r="W275" i="44"/>
  <c r="L275" i="44"/>
  <c r="W274" i="44"/>
  <c r="L274" i="44"/>
  <c r="W273" i="44"/>
  <c r="L273" i="44"/>
  <c r="W272" i="44"/>
  <c r="L272" i="44"/>
  <c r="W271" i="44"/>
  <c r="L271" i="44"/>
  <c r="W270" i="44"/>
  <c r="L270" i="44"/>
  <c r="W269" i="44"/>
  <c r="L269" i="44"/>
  <c r="W268" i="44"/>
  <c r="L268" i="44"/>
  <c r="W267" i="44"/>
  <c r="L267" i="44"/>
  <c r="W266" i="44"/>
  <c r="L266" i="44"/>
  <c r="W265" i="44"/>
  <c r="L265" i="44"/>
  <c r="W264" i="44"/>
  <c r="L264" i="44"/>
  <c r="W263" i="44"/>
  <c r="L263" i="44"/>
  <c r="W262" i="44"/>
  <c r="L262" i="44"/>
  <c r="W261" i="44"/>
  <c r="L261" i="44"/>
  <c r="W260" i="44"/>
  <c r="L260" i="44"/>
  <c r="W259" i="44"/>
  <c r="L259" i="44"/>
  <c r="W258" i="44"/>
  <c r="L258" i="44"/>
  <c r="W257" i="44"/>
  <c r="L257" i="44"/>
  <c r="W256" i="44"/>
  <c r="L256" i="44"/>
  <c r="W255" i="44"/>
  <c r="L255" i="44"/>
  <c r="W254" i="44"/>
  <c r="L254" i="44"/>
  <c r="W253" i="44"/>
  <c r="L253" i="44"/>
  <c r="W252" i="44"/>
  <c r="L252" i="44"/>
  <c r="W251" i="44"/>
  <c r="L251" i="44"/>
  <c r="W250" i="44"/>
  <c r="L250" i="44"/>
  <c r="W249" i="44"/>
  <c r="L249" i="44"/>
  <c r="W248" i="44"/>
  <c r="L248" i="44"/>
  <c r="W247" i="44"/>
  <c r="L247" i="44"/>
  <c r="W246" i="44"/>
  <c r="L246" i="44"/>
  <c r="W245" i="44"/>
  <c r="L245" i="44"/>
  <c r="W244" i="44"/>
  <c r="L244" i="44"/>
  <c r="W243" i="44"/>
  <c r="L243" i="44"/>
  <c r="W242" i="44"/>
  <c r="L242" i="44"/>
  <c r="W241" i="44"/>
  <c r="L241" i="44"/>
  <c r="W240" i="44"/>
  <c r="L240" i="44"/>
  <c r="W239" i="44"/>
  <c r="L239" i="44"/>
  <c r="W238" i="44"/>
  <c r="L238" i="44"/>
  <c r="W237" i="44"/>
  <c r="L237" i="44"/>
  <c r="W236" i="44"/>
  <c r="L236" i="44"/>
  <c r="W235" i="44"/>
  <c r="L235" i="44"/>
  <c r="W234" i="44"/>
  <c r="L234" i="44"/>
  <c r="W233" i="44"/>
  <c r="L233" i="44"/>
  <c r="W232" i="44"/>
  <c r="L232" i="44"/>
  <c r="W231" i="44"/>
  <c r="L231" i="44"/>
  <c r="W230" i="44"/>
  <c r="L230" i="44"/>
  <c r="W229" i="44"/>
  <c r="L229" i="44"/>
  <c r="W228" i="44"/>
  <c r="L228" i="44"/>
  <c r="W227" i="44"/>
  <c r="L227" i="44"/>
  <c r="W226" i="44"/>
  <c r="L226" i="44"/>
  <c r="W225" i="44"/>
  <c r="L225" i="44"/>
  <c r="W224" i="44"/>
  <c r="L224" i="44"/>
  <c r="W223" i="44"/>
  <c r="L223" i="44"/>
  <c r="W222" i="44"/>
  <c r="L222" i="44"/>
  <c r="W221" i="44"/>
  <c r="L221" i="44"/>
  <c r="W220" i="44"/>
  <c r="L220" i="44"/>
  <c r="W219" i="44"/>
  <c r="L219" i="44"/>
  <c r="W218" i="44"/>
  <c r="L218" i="44"/>
  <c r="W217" i="44"/>
  <c r="L217" i="44"/>
  <c r="W216" i="44"/>
  <c r="L216" i="44"/>
  <c r="W215" i="44"/>
  <c r="L215" i="44"/>
  <c r="W214" i="44"/>
  <c r="L214" i="44"/>
  <c r="W213" i="44"/>
  <c r="L213" i="44"/>
  <c r="W212" i="44"/>
  <c r="L212" i="44"/>
  <c r="W211" i="44"/>
  <c r="L211" i="44"/>
  <c r="W210" i="44"/>
  <c r="L210" i="44"/>
  <c r="W209" i="44"/>
  <c r="L209" i="44"/>
  <c r="W208" i="44"/>
  <c r="L208" i="44"/>
  <c r="W207" i="44"/>
  <c r="L207" i="44"/>
  <c r="W206" i="44"/>
  <c r="L206" i="44"/>
  <c r="W205" i="44"/>
  <c r="L205" i="44"/>
  <c r="W204" i="44"/>
  <c r="L204" i="44"/>
  <c r="W203" i="44"/>
  <c r="L203" i="44"/>
  <c r="W202" i="44"/>
  <c r="L202" i="44"/>
  <c r="W201" i="44"/>
  <c r="L201" i="44"/>
  <c r="W200" i="44"/>
  <c r="L200" i="44"/>
  <c r="W199" i="44"/>
  <c r="L199" i="44"/>
  <c r="W198" i="44"/>
  <c r="L198" i="44"/>
  <c r="W197" i="44"/>
  <c r="L197" i="44"/>
  <c r="W196" i="44"/>
  <c r="L196" i="44"/>
  <c r="W195" i="44"/>
  <c r="L195" i="44"/>
  <c r="W194" i="44"/>
  <c r="L194" i="44"/>
  <c r="W193" i="44"/>
  <c r="L193" i="44"/>
  <c r="W192" i="44"/>
  <c r="L192" i="44"/>
  <c r="W191" i="44"/>
  <c r="L191" i="44"/>
  <c r="W190" i="44"/>
  <c r="L190" i="44"/>
  <c r="W189" i="44"/>
  <c r="L189" i="44"/>
  <c r="W188" i="44"/>
  <c r="L188" i="44"/>
  <c r="W187" i="44"/>
  <c r="L187" i="44"/>
  <c r="W186" i="44"/>
  <c r="L186" i="44"/>
  <c r="W185" i="44"/>
  <c r="L185" i="44"/>
  <c r="W184" i="44"/>
  <c r="L184" i="44"/>
  <c r="W183" i="44"/>
  <c r="L183" i="44"/>
  <c r="W182" i="44"/>
  <c r="L182" i="44"/>
  <c r="W181" i="44"/>
  <c r="L181" i="44"/>
  <c r="W180" i="44"/>
  <c r="L180" i="44"/>
  <c r="W179" i="44"/>
  <c r="L179" i="44"/>
  <c r="W178" i="44"/>
  <c r="L178" i="44"/>
  <c r="W177" i="44"/>
  <c r="L177" i="44"/>
  <c r="W176" i="44"/>
  <c r="L176" i="44"/>
  <c r="W175" i="44"/>
  <c r="L175" i="44"/>
  <c r="W174" i="44"/>
  <c r="L174" i="44"/>
  <c r="W173" i="44"/>
  <c r="L173" i="44"/>
  <c r="W172" i="44"/>
  <c r="L172" i="44"/>
  <c r="W171" i="44"/>
  <c r="L171" i="44"/>
  <c r="W170" i="44"/>
  <c r="L170" i="44"/>
  <c r="W169" i="44"/>
  <c r="L169" i="44"/>
  <c r="W168" i="44"/>
  <c r="L168" i="44"/>
  <c r="W167" i="44"/>
  <c r="L167" i="44"/>
  <c r="W166" i="44"/>
  <c r="L166" i="44"/>
  <c r="W165" i="44"/>
  <c r="L165" i="44"/>
  <c r="W164" i="44"/>
  <c r="L164" i="44"/>
  <c r="W163" i="44"/>
  <c r="L163" i="44"/>
  <c r="W162" i="44"/>
  <c r="L162" i="44"/>
  <c r="W161" i="44"/>
  <c r="L161" i="44"/>
  <c r="W160" i="44"/>
  <c r="L160" i="44"/>
  <c r="W159" i="44"/>
  <c r="L159" i="44"/>
  <c r="W158" i="44"/>
  <c r="L158" i="44"/>
  <c r="W157" i="44"/>
  <c r="L157" i="44"/>
  <c r="W156" i="44"/>
  <c r="L156" i="44"/>
  <c r="W155" i="44"/>
  <c r="L155" i="44"/>
  <c r="W154" i="44"/>
  <c r="L154" i="44"/>
  <c r="W153" i="44"/>
  <c r="L153" i="44"/>
  <c r="W152" i="44"/>
  <c r="L152" i="44"/>
  <c r="W151" i="44"/>
  <c r="L151" i="44"/>
  <c r="W150" i="44"/>
  <c r="L150" i="44"/>
  <c r="W149" i="44"/>
  <c r="L149" i="44"/>
  <c r="W148" i="44"/>
  <c r="L148" i="44"/>
  <c r="W147" i="44"/>
  <c r="L147" i="44"/>
  <c r="W146" i="44"/>
  <c r="L146" i="44"/>
  <c r="W145" i="44"/>
  <c r="L145" i="44"/>
  <c r="W144" i="44"/>
  <c r="L144" i="44"/>
  <c r="W143" i="44"/>
  <c r="L143" i="44"/>
  <c r="W142" i="44"/>
  <c r="L142" i="44"/>
  <c r="W141" i="44"/>
  <c r="L141" i="44"/>
  <c r="W140" i="44"/>
  <c r="L140" i="44"/>
  <c r="W139" i="44"/>
  <c r="L139" i="44"/>
  <c r="W138" i="44"/>
  <c r="L138" i="44"/>
  <c r="W137" i="44"/>
  <c r="L137" i="44"/>
  <c r="W136" i="44"/>
  <c r="L136" i="44"/>
  <c r="W135" i="44"/>
  <c r="L135" i="44"/>
  <c r="W134" i="44"/>
  <c r="L134" i="44"/>
  <c r="W133" i="44"/>
  <c r="L133" i="44"/>
  <c r="W132" i="44"/>
  <c r="L132" i="44"/>
  <c r="W131" i="44"/>
  <c r="L131" i="44"/>
  <c r="W130" i="44"/>
  <c r="L130" i="44"/>
  <c r="W129" i="44"/>
  <c r="L129" i="44"/>
  <c r="W128" i="44"/>
  <c r="L128" i="44"/>
  <c r="W127" i="44"/>
  <c r="L127" i="44"/>
  <c r="W126" i="44"/>
  <c r="L126" i="44"/>
  <c r="W125" i="44"/>
  <c r="L125" i="44"/>
  <c r="W124" i="44"/>
  <c r="L124" i="44"/>
  <c r="W123" i="44"/>
  <c r="L123" i="44"/>
  <c r="W122" i="44"/>
  <c r="L122" i="44"/>
  <c r="W121" i="44"/>
  <c r="L121" i="44"/>
  <c r="W120" i="44"/>
  <c r="L120" i="44"/>
  <c r="W119" i="44"/>
  <c r="L119" i="44"/>
  <c r="W118" i="44"/>
  <c r="L118" i="44"/>
  <c r="W117" i="44"/>
  <c r="L117" i="44"/>
  <c r="W116" i="44"/>
  <c r="L116" i="44"/>
  <c r="W115" i="44"/>
  <c r="L115" i="44"/>
  <c r="W114" i="44"/>
  <c r="L114" i="44"/>
  <c r="W113" i="44"/>
  <c r="L113" i="44"/>
  <c r="W112" i="44"/>
  <c r="L112" i="44"/>
  <c r="W111" i="44"/>
  <c r="L111" i="44"/>
  <c r="W110" i="44"/>
  <c r="L110" i="44"/>
  <c r="W109" i="44"/>
  <c r="L109" i="44"/>
  <c r="W108" i="44"/>
  <c r="L108" i="44"/>
  <c r="W107" i="44"/>
  <c r="L107" i="44"/>
  <c r="W106" i="44"/>
  <c r="L106" i="44"/>
  <c r="W105" i="44"/>
  <c r="L105" i="44"/>
  <c r="W104" i="44"/>
  <c r="L104" i="44"/>
  <c r="W103" i="44"/>
  <c r="L103" i="44"/>
  <c r="W102" i="44"/>
  <c r="L102" i="44"/>
  <c r="W101" i="44"/>
  <c r="L101" i="44"/>
  <c r="W100" i="44"/>
  <c r="L100" i="44"/>
  <c r="W99" i="44"/>
  <c r="L99" i="44"/>
  <c r="W98" i="44"/>
  <c r="L98" i="44"/>
  <c r="W97" i="44"/>
  <c r="L97" i="44"/>
  <c r="W96" i="44"/>
  <c r="L96" i="44"/>
  <c r="W95" i="44"/>
  <c r="L95" i="44"/>
  <c r="W94" i="44"/>
  <c r="L94" i="44"/>
  <c r="W93" i="44"/>
  <c r="L93" i="44"/>
  <c r="W92" i="44"/>
  <c r="L92" i="44"/>
  <c r="W91" i="44"/>
  <c r="L91" i="44"/>
  <c r="W90" i="44"/>
  <c r="L90" i="44"/>
  <c r="W89" i="44"/>
  <c r="L89" i="44"/>
  <c r="W88" i="44"/>
  <c r="L88" i="44"/>
  <c r="W87" i="44"/>
  <c r="L87" i="44"/>
  <c r="W86" i="44"/>
  <c r="L86" i="44"/>
  <c r="W85" i="44"/>
  <c r="L85" i="44"/>
  <c r="W84" i="44"/>
  <c r="L84" i="44"/>
  <c r="W83" i="44"/>
  <c r="L83" i="44"/>
  <c r="W82" i="44"/>
  <c r="L82" i="44"/>
  <c r="W81" i="44"/>
  <c r="L81" i="44"/>
  <c r="W80" i="44"/>
  <c r="L80" i="44"/>
  <c r="W79" i="44"/>
  <c r="L79" i="44"/>
  <c r="W78" i="44"/>
  <c r="L78" i="44"/>
  <c r="W77" i="44"/>
  <c r="L77" i="44"/>
  <c r="W76" i="44"/>
  <c r="L76" i="44"/>
  <c r="W75" i="44"/>
  <c r="L75" i="44"/>
  <c r="W74" i="44"/>
  <c r="L74" i="44"/>
  <c r="W73" i="44"/>
  <c r="L73" i="44"/>
  <c r="W72" i="44"/>
  <c r="L72" i="44"/>
  <c r="W71" i="44"/>
  <c r="L71" i="44"/>
  <c r="W70" i="44"/>
  <c r="L70" i="44"/>
  <c r="W69" i="44"/>
  <c r="L69" i="44"/>
  <c r="W68" i="44"/>
  <c r="L68" i="44"/>
  <c r="W67" i="44"/>
  <c r="L67" i="44"/>
  <c r="W66" i="44"/>
  <c r="L66" i="44"/>
  <c r="W65" i="44"/>
  <c r="L65" i="44"/>
  <c r="W64" i="44"/>
  <c r="L64" i="44"/>
  <c r="W63" i="44"/>
  <c r="L63" i="44"/>
  <c r="W62" i="44"/>
  <c r="L62" i="44"/>
  <c r="W61" i="44"/>
  <c r="L61" i="44"/>
  <c r="W60" i="44"/>
  <c r="L60" i="44"/>
  <c r="W59" i="44"/>
  <c r="L59" i="44"/>
  <c r="W58" i="44"/>
  <c r="L58" i="44"/>
  <c r="W57" i="44"/>
  <c r="L57" i="44"/>
  <c r="W56" i="44"/>
  <c r="L56" i="44"/>
  <c r="W55" i="44"/>
  <c r="L55" i="44"/>
  <c r="W54" i="44"/>
  <c r="L54" i="44"/>
  <c r="W53" i="44"/>
  <c r="L53" i="44"/>
  <c r="W52" i="44"/>
  <c r="L52" i="44"/>
  <c r="W51" i="44"/>
  <c r="L51" i="44"/>
  <c r="W50" i="44"/>
  <c r="L50" i="44"/>
  <c r="W49" i="44"/>
  <c r="L49" i="44"/>
  <c r="W48" i="44"/>
  <c r="L48" i="44"/>
  <c r="W47" i="44"/>
  <c r="L47" i="44"/>
  <c r="W46" i="44"/>
  <c r="L46" i="44"/>
  <c r="W45" i="44"/>
  <c r="L45" i="44"/>
  <c r="W44" i="44"/>
  <c r="L44" i="44"/>
  <c r="W43" i="44"/>
  <c r="L43" i="44"/>
  <c r="W42" i="44"/>
  <c r="L42" i="44"/>
  <c r="W41" i="44"/>
  <c r="L41" i="44"/>
  <c r="W40" i="44"/>
  <c r="L40" i="44"/>
  <c r="W39" i="44"/>
  <c r="L39" i="44"/>
  <c r="W38" i="44"/>
  <c r="L38" i="44"/>
  <c r="W37" i="44"/>
  <c r="L37" i="44"/>
  <c r="W36" i="44"/>
  <c r="L36" i="44"/>
  <c r="W35" i="44"/>
  <c r="L35" i="44"/>
  <c r="W34" i="44"/>
  <c r="L34" i="44"/>
  <c r="W33" i="44"/>
  <c r="L33" i="44"/>
  <c r="W32" i="44"/>
  <c r="L32" i="44"/>
  <c r="W31" i="44"/>
  <c r="L31" i="44"/>
  <c r="W30" i="44"/>
  <c r="L30" i="44"/>
  <c r="W29" i="44"/>
  <c r="L29" i="44"/>
  <c r="W28" i="44"/>
  <c r="L28" i="44"/>
  <c r="W27" i="44"/>
  <c r="L27" i="44"/>
  <c r="W26" i="44"/>
  <c r="L26" i="44"/>
  <c r="W25" i="44"/>
  <c r="L25" i="44"/>
  <c r="W24" i="44"/>
  <c r="L24" i="44"/>
  <c r="W23" i="44"/>
  <c r="L23" i="44"/>
  <c r="W22" i="44"/>
  <c r="L22" i="44"/>
  <c r="W21" i="44"/>
  <c r="L21" i="44"/>
  <c r="W20" i="44"/>
  <c r="L20" i="44"/>
  <c r="W19" i="44"/>
  <c r="L19" i="44"/>
  <c r="W18" i="44"/>
  <c r="L18" i="44"/>
  <c r="W17" i="44"/>
  <c r="L17" i="44"/>
  <c r="W16" i="44"/>
  <c r="L16" i="44"/>
  <c r="W15" i="44"/>
  <c r="L15" i="44"/>
  <c r="W14" i="44"/>
  <c r="L14" i="44"/>
  <c r="W13" i="44"/>
  <c r="L13" i="44"/>
  <c r="W12" i="44"/>
  <c r="L12" i="44"/>
  <c r="W11" i="44"/>
  <c r="L11" i="44"/>
  <c r="W10" i="44"/>
  <c r="L10" i="44"/>
  <c r="W9" i="44"/>
  <c r="L9" i="44"/>
  <c r="W8" i="44"/>
  <c r="L8" i="44"/>
  <c r="W7" i="44"/>
  <c r="L7" i="44"/>
  <c r="W6" i="44"/>
  <c r="L6" i="44"/>
  <c r="W5" i="44"/>
  <c r="L5" i="44"/>
  <c r="N16" i="17" l="1"/>
  <c r="N17" i="17"/>
  <c r="P17" i="17" s="1"/>
  <c r="P29" i="17"/>
  <c r="N18" i="17"/>
  <c r="P18" i="17" s="1"/>
  <c r="N19" i="17"/>
  <c r="P19" i="17" s="1"/>
  <c r="N20" i="17"/>
  <c r="P20" i="17" s="1"/>
  <c r="N21" i="17"/>
  <c r="N22" i="17"/>
  <c r="P22" i="17" s="1"/>
  <c r="N23" i="17"/>
  <c r="P23" i="17" s="1"/>
  <c r="N24" i="17"/>
  <c r="P24" i="17" s="1"/>
  <c r="N25" i="17"/>
  <c r="P25" i="17" s="1"/>
  <c r="N26" i="17"/>
  <c r="P26" i="17" s="1"/>
  <c r="N27" i="17"/>
  <c r="N28" i="17"/>
  <c r="P28" i="17" s="1"/>
  <c r="N29" i="17"/>
  <c r="N30" i="17"/>
  <c r="Q30" i="17" s="1"/>
  <c r="N31" i="17"/>
  <c r="P31" i="17" s="1"/>
  <c r="N32" i="17"/>
  <c r="P32" i="17" s="1"/>
  <c r="N33" i="17"/>
  <c r="Q33" i="17" s="1"/>
  <c r="N34" i="17"/>
  <c r="P34" i="17" s="1"/>
  <c r="A1" i="50"/>
  <c r="C4" i="50"/>
  <c r="B7" i="50" s="1"/>
  <c r="E53" i="18"/>
  <c r="D52" i="18"/>
  <c r="C51" i="18"/>
  <c r="A50" i="18"/>
  <c r="A49" i="18"/>
  <c r="Q28" i="17" l="1"/>
  <c r="Q27" i="17"/>
  <c r="Q26" i="17"/>
  <c r="Q25" i="17"/>
  <c r="Q24" i="17"/>
  <c r="Q17" i="17"/>
  <c r="Q22" i="17"/>
  <c r="Q18" i="17"/>
  <c r="Q23" i="17"/>
  <c r="P16" i="17"/>
  <c r="Q16" i="17" s="1"/>
  <c r="Q29" i="17"/>
  <c r="Q21" i="17"/>
  <c r="Q20" i="17"/>
  <c r="Q19" i="17"/>
  <c r="Q32" i="17"/>
  <c r="B8" i="50"/>
  <c r="B9" i="50"/>
  <c r="B10" i="50"/>
  <c r="B11" i="50"/>
  <c r="N15" i="17"/>
  <c r="P14" i="17" l="1"/>
  <c r="Q4" i="17"/>
  <c r="F7" i="17"/>
  <c r="D7" i="17"/>
  <c r="I7" i="17"/>
  <c r="J7" i="17"/>
  <c r="C7" i="17"/>
  <c r="N35" i="17"/>
  <c r="Q35" i="17" s="1"/>
  <c r="O7" i="17"/>
  <c r="M7" i="17"/>
  <c r="L7" i="17"/>
  <c r="H7" i="17"/>
  <c r="Q15" i="17" l="1"/>
  <c r="N14" i="17"/>
  <c r="Q34" i="17"/>
  <c r="E7" i="17"/>
  <c r="K7" i="17"/>
  <c r="G7" i="17"/>
  <c r="Q10" i="17" l="1"/>
  <c r="N7" i="17"/>
  <c r="P7" i="17"/>
  <c r="Q7" i="17"/>
  <c r="R17" i="17" l="1"/>
  <c r="R25" i="17"/>
  <c r="R33" i="17"/>
  <c r="R22" i="17"/>
  <c r="R24" i="17"/>
  <c r="R26" i="17"/>
  <c r="R19" i="17"/>
  <c r="R21" i="17"/>
  <c r="R30" i="17"/>
  <c r="R18" i="17"/>
  <c r="R31" i="17"/>
  <c r="R27" i="17"/>
  <c r="R28" i="17"/>
  <c r="R29" i="17"/>
  <c r="R32" i="17"/>
  <c r="R23" i="17"/>
  <c r="R20" i="17"/>
  <c r="R34" i="17"/>
  <c r="B11" i="18"/>
  <c r="R14" i="17"/>
  <c r="R15" i="17"/>
  <c r="R35" i="17"/>
  <c r="P17" i="7" l="1"/>
  <c r="P18" i="7" s="1"/>
  <c r="J35" i="18" l="1"/>
  <c r="K35" i="18"/>
  <c r="M11" i="18"/>
  <c r="M12" i="18"/>
  <c r="M13" i="18"/>
  <c r="M14" i="18"/>
  <c r="M15" i="18"/>
  <c r="M16" i="18"/>
  <c r="M10" i="18"/>
  <c r="B12" i="18" l="1"/>
  <c r="L33" i="18"/>
  <c r="L32" i="18"/>
  <c r="L31" i="18"/>
  <c r="L30" i="18"/>
  <c r="L29" i="18"/>
  <c r="L25" i="18"/>
  <c r="L24" i="18"/>
  <c r="L23" i="18"/>
  <c r="L22" i="18"/>
  <c r="L21" i="18"/>
  <c r="L17" i="18"/>
  <c r="L19" i="18" s="1"/>
  <c r="K17" i="18"/>
  <c r="K19" i="18" s="1"/>
  <c r="J17" i="18"/>
  <c r="J19" i="18" s="1"/>
  <c r="I17" i="18"/>
  <c r="I19" i="18" s="1"/>
  <c r="H17" i="18"/>
  <c r="H19" i="18" s="1"/>
  <c r="C7" i="18"/>
  <c r="D7" i="18" s="1"/>
  <c r="D14" i="18" l="1"/>
  <c r="D23" i="18"/>
  <c r="B13" i="18"/>
  <c r="D13" i="18" s="1"/>
  <c r="D15" i="18"/>
  <c r="M34" i="18"/>
  <c r="B20" i="18" s="1"/>
  <c r="M25" i="18"/>
  <c r="L35" i="18"/>
  <c r="M19" i="18"/>
  <c r="M27" i="18" l="1"/>
  <c r="B16" i="18" s="1"/>
  <c r="B17" i="18" s="1"/>
  <c r="O9" i="18" s="1"/>
  <c r="P9" i="18" l="1"/>
  <c r="B18" i="18" l="1"/>
  <c r="C19" i="18" l="1"/>
  <c r="B19" i="18" s="1"/>
  <c r="B21" i="18" s="1"/>
  <c r="B22" i="18" s="1"/>
  <c r="B24" i="18" s="1"/>
  <c r="F22" i="4"/>
  <c r="F20" i="4"/>
  <c r="E24" i="4" l="1"/>
</calcChain>
</file>

<file path=xl/sharedStrings.xml><?xml version="1.0" encoding="utf-8"?>
<sst xmlns="http://schemas.openxmlformats.org/spreadsheetml/2006/main" count="60117" uniqueCount="6990">
  <si>
    <t>수입금액</t>
    <phoneticPr fontId="3" type="noConversion"/>
  </si>
  <si>
    <t>실경비</t>
    <phoneticPr fontId="3" type="noConversion"/>
  </si>
  <si>
    <t>소득공제</t>
    <phoneticPr fontId="3" type="noConversion"/>
  </si>
  <si>
    <t>기본공제</t>
    <phoneticPr fontId="3" type="noConversion"/>
  </si>
  <si>
    <t>장애인공제</t>
    <phoneticPr fontId="3" type="noConversion"/>
  </si>
  <si>
    <t>경로우대</t>
    <phoneticPr fontId="3" type="noConversion"/>
  </si>
  <si>
    <t>부녀자</t>
    <phoneticPr fontId="3" type="noConversion"/>
  </si>
  <si>
    <t>한부모공제</t>
    <phoneticPr fontId="3" type="noConversion"/>
  </si>
  <si>
    <t>본인</t>
    <phoneticPr fontId="3" type="noConversion"/>
  </si>
  <si>
    <t>배우자</t>
    <phoneticPr fontId="3" type="noConversion"/>
  </si>
  <si>
    <t>출생년도</t>
    <phoneticPr fontId="3" type="noConversion"/>
  </si>
  <si>
    <t>자녀</t>
    <phoneticPr fontId="3" type="noConversion"/>
  </si>
  <si>
    <t>부</t>
    <phoneticPr fontId="3" type="noConversion"/>
  </si>
  <si>
    <t>모</t>
    <phoneticPr fontId="3" type="noConversion"/>
  </si>
  <si>
    <t>장인</t>
    <phoneticPr fontId="3" type="noConversion"/>
  </si>
  <si>
    <t>장모</t>
    <phoneticPr fontId="3" type="noConversion"/>
  </si>
  <si>
    <t>합계</t>
    <phoneticPr fontId="3" type="noConversion"/>
  </si>
  <si>
    <t>인적공제</t>
    <phoneticPr fontId="3" type="noConversion"/>
  </si>
  <si>
    <t>단순경비율 :</t>
    <phoneticPr fontId="3" type="noConversion"/>
  </si>
  <si>
    <t>국민연금보험료</t>
    <phoneticPr fontId="3" type="noConversion"/>
  </si>
  <si>
    <t>개인연금저축</t>
    <phoneticPr fontId="3" type="noConversion"/>
  </si>
  <si>
    <t>소기업소상공인</t>
    <phoneticPr fontId="3" type="noConversion"/>
  </si>
  <si>
    <t>투자소득공제</t>
    <phoneticPr fontId="3" type="noConversion"/>
  </si>
  <si>
    <t>목돈안드는전세이자상환액</t>
    <phoneticPr fontId="3" type="noConversion"/>
  </si>
  <si>
    <t>특별공제</t>
    <phoneticPr fontId="3" type="noConversion"/>
  </si>
  <si>
    <t>소득공제 합</t>
    <phoneticPr fontId="3" type="noConversion"/>
  </si>
  <si>
    <t>선택당기순이익</t>
    <phoneticPr fontId="3" type="noConversion"/>
  </si>
  <si>
    <t>세액</t>
    <phoneticPr fontId="3" type="noConversion"/>
  </si>
  <si>
    <t>과표</t>
    <phoneticPr fontId="3" type="noConversion"/>
  </si>
  <si>
    <t>세액공제</t>
    <phoneticPr fontId="3" type="noConversion"/>
  </si>
  <si>
    <t>출</t>
    <phoneticPr fontId="3" type="noConversion"/>
  </si>
  <si>
    <t>퇴직연금계좌</t>
    <phoneticPr fontId="3" type="noConversion"/>
  </si>
  <si>
    <t>연금저축계좌</t>
    <phoneticPr fontId="3" type="noConversion"/>
  </si>
  <si>
    <t>업종코드</t>
  </si>
  <si>
    <t>업종명</t>
  </si>
  <si>
    <t>기본율</t>
  </si>
  <si>
    <t>초과율</t>
  </si>
  <si>
    <t>기준경비율</t>
  </si>
  <si>
    <t>호텔업</t>
  </si>
  <si>
    <t>여관업</t>
  </si>
  <si>
    <t>택배업</t>
  </si>
  <si>
    <t>복사업</t>
  </si>
  <si>
    <t>치과병원</t>
  </si>
  <si>
    <t>한방병원</t>
  </si>
  <si>
    <t>치과의원</t>
  </si>
  <si>
    <t>한의원</t>
  </si>
  <si>
    <t>수의업</t>
  </si>
  <si>
    <t>욕탕업</t>
  </si>
  <si>
    <t>작가</t>
  </si>
  <si>
    <t>작곡가</t>
  </si>
  <si>
    <t>모델</t>
  </si>
  <si>
    <t>가수</t>
  </si>
  <si>
    <t>연예보조서비스</t>
  </si>
  <si>
    <t>바둑기사</t>
  </si>
  <si>
    <t>직업운동가</t>
  </si>
  <si>
    <t>개인간병인</t>
  </si>
  <si>
    <t>대리운전기사</t>
  </si>
  <si>
    <t>골프장캐디</t>
  </si>
  <si>
    <t>목욕관리사</t>
  </si>
  <si>
    <t>행사도우미</t>
  </si>
  <si>
    <t>심부름용역원</t>
  </si>
  <si>
    <t>퀵서비스배달원</t>
  </si>
  <si>
    <t>업종코드 :</t>
    <phoneticPr fontId="3" type="noConversion"/>
  </si>
  <si>
    <t>중간예납세액</t>
    <phoneticPr fontId="3" type="noConversion"/>
  </si>
  <si>
    <t>결정세액</t>
    <phoneticPr fontId="3" type="noConversion"/>
  </si>
  <si>
    <t>차가감납부세액</t>
    <phoneticPr fontId="3" type="noConversion"/>
  </si>
  <si>
    <t>표준세액공제</t>
    <phoneticPr fontId="3" type="noConversion"/>
  </si>
  <si>
    <t>&lt;&lt;선택하세요</t>
    <phoneticPr fontId="3" type="noConversion"/>
  </si>
  <si>
    <t>추가필요경비 :</t>
    <phoneticPr fontId="3" type="noConversion"/>
  </si>
  <si>
    <t>실제당기순이익</t>
    <phoneticPr fontId="3" type="noConversion"/>
  </si>
  <si>
    <t>프리랜서라면</t>
    <phoneticPr fontId="3" type="noConversion"/>
  </si>
  <si>
    <t>지방소득세포함결정세액</t>
    <phoneticPr fontId="3" type="noConversion"/>
  </si>
  <si>
    <t>목표당기순이익</t>
    <phoneticPr fontId="3" type="noConversion"/>
  </si>
  <si>
    <t>기장/중특세액공제감면</t>
    <phoneticPr fontId="3" type="noConversion"/>
  </si>
  <si>
    <t xml:space="preserve">서찬영 세무사 </t>
    <phoneticPr fontId="3" type="noConversion"/>
  </si>
  <si>
    <t>e-mail :</t>
    <phoneticPr fontId="3" type="noConversion"/>
  </si>
  <si>
    <t>상호 :</t>
    <phoneticPr fontId="3" type="noConversion"/>
  </si>
  <si>
    <t>대표자성명 :</t>
    <phoneticPr fontId="3" type="noConversion"/>
  </si>
  <si>
    <t>작성자 :</t>
    <phoneticPr fontId="3" type="noConversion"/>
  </si>
  <si>
    <t>-아래-</t>
    <phoneticPr fontId="3" type="noConversion"/>
  </si>
  <si>
    <t>종합소득세 신고 전 충분히 검토하였음</t>
    <phoneticPr fontId="3" type="noConversion"/>
  </si>
  <si>
    <t>대표자 :</t>
    <phoneticPr fontId="3" type="noConversion"/>
  </si>
  <si>
    <t>(인)</t>
    <phoneticPr fontId="3" type="noConversion"/>
  </si>
  <si>
    <t>종합소득세 신고 관련 확인</t>
    <phoneticPr fontId="3" type="noConversion"/>
  </si>
  <si>
    <t xml:space="preserve">종합소득세 신고의뢰를 하면서 아래 사항을 확인합니다.  </t>
    <phoneticPr fontId="3" type="noConversion"/>
  </si>
  <si>
    <t>본인 포함한 부양가족수는</t>
    <phoneticPr fontId="3" type="noConversion"/>
  </si>
  <si>
    <t>명임</t>
    <phoneticPr fontId="3" type="noConversion"/>
  </si>
  <si>
    <t>부양가족은 소득금액 100만원 미만임</t>
    <phoneticPr fontId="3" type="noConversion"/>
  </si>
  <si>
    <t>본인은 사업소득 외 타소득 없음</t>
    <phoneticPr fontId="3" type="noConversion"/>
  </si>
  <si>
    <t>사업자당기순이익</t>
    <phoneticPr fontId="3" type="noConversion"/>
  </si>
  <si>
    <t>원하는 차가감납부세액 :</t>
    <phoneticPr fontId="3" type="noConversion"/>
  </si>
  <si>
    <t>기장세액/중특공감</t>
    <phoneticPr fontId="3" type="noConversion"/>
  </si>
  <si>
    <t>메모</t>
    <phoneticPr fontId="3" type="noConversion"/>
  </si>
  <si>
    <t xml:space="preserve"> </t>
    <phoneticPr fontId="3" type="noConversion"/>
  </si>
  <si>
    <t>소매</t>
    <phoneticPr fontId="3" type="noConversion"/>
  </si>
  <si>
    <t>환산연간</t>
    <phoneticPr fontId="3" type="noConversion"/>
  </si>
  <si>
    <t>전기이월</t>
    <phoneticPr fontId="3" type="noConversion"/>
  </si>
  <si>
    <t>tel : 02-2631-0777 fax : 0507-891-2924</t>
    <phoneticPr fontId="3" type="noConversion"/>
  </si>
  <si>
    <t>tax@semusa.org</t>
    <phoneticPr fontId="3" type="noConversion"/>
  </si>
  <si>
    <t>곡물 및 기타 식량작물 재배업</t>
  </si>
  <si>
    <t>양돈업</t>
  </si>
  <si>
    <t>양계업</t>
  </si>
  <si>
    <t>기타 가금류 및 조류 사육업</t>
  </si>
  <si>
    <t>수렵 및 관련 서비스업</t>
  </si>
  <si>
    <t>벌목업</t>
  </si>
  <si>
    <t>임업 관련 서비스업</t>
  </si>
  <si>
    <t>모래 및 자갈 채취업</t>
  </si>
  <si>
    <t>도축업</t>
  </si>
  <si>
    <t>동물용 사료 및 조제식품 제조업</t>
  </si>
  <si>
    <t>전분제품 및 당류 제조업</t>
  </si>
  <si>
    <t>기타 식품 첨가물 제조업</t>
  </si>
  <si>
    <t>수산식물 가공 및 저장 처리업</t>
  </si>
  <si>
    <t>기타 증류주 및 합성주 제조업</t>
  </si>
  <si>
    <t>탁주 및 약주 제조업</t>
  </si>
  <si>
    <t>연사 및 가공사 제조업</t>
  </si>
  <si>
    <t>화학섬유 방적업</t>
  </si>
  <si>
    <t>침구 및 관련제품 제조업</t>
  </si>
  <si>
    <t>기타 직물제품 제조업</t>
  </si>
  <si>
    <t>부직포 및 펠트 제조업</t>
  </si>
  <si>
    <t>편조의복 제조업</t>
  </si>
  <si>
    <t>스타킹 및 기타양말 제조업</t>
  </si>
  <si>
    <t>기타 가죽제품 제조업</t>
  </si>
  <si>
    <t>기타 종이 및 판지 제조업</t>
  </si>
  <si>
    <t>문구용 종이제품 제조업</t>
  </si>
  <si>
    <t>제책업</t>
  </si>
  <si>
    <t>제판 및 조판업</t>
  </si>
  <si>
    <t>기록매체 복제업</t>
  </si>
  <si>
    <t>코크스 및 관련제품 제조업</t>
  </si>
  <si>
    <t>연탄 및 기타 석탄 가공품 제조업</t>
  </si>
  <si>
    <t>원유 정제처리업</t>
  </si>
  <si>
    <t>산업용 가스 제조업</t>
  </si>
  <si>
    <t>합성고무 제조업</t>
  </si>
  <si>
    <t>일반용 도료 및 관련제품 제조업</t>
  </si>
  <si>
    <t>한의약품 제조업</t>
  </si>
  <si>
    <t>치약, 비누 및 기타 세제 제조업</t>
  </si>
  <si>
    <t>마그네틱 및 광학 매체 제조업</t>
  </si>
  <si>
    <t>가공 및 정제염 제조업</t>
  </si>
  <si>
    <t>타이어 및 튜브 제조업</t>
  </si>
  <si>
    <t>타이어 재생업</t>
  </si>
  <si>
    <t>플라스틱 선, 봉, 관 및 호스 제조업</t>
  </si>
  <si>
    <t>플라스틱 발포 성형제품 제조업</t>
  </si>
  <si>
    <t>판유리 제조업</t>
  </si>
  <si>
    <t>석회 및 플라스터 제조업</t>
  </si>
  <si>
    <t>연마재 제조업</t>
  </si>
  <si>
    <t>제철업</t>
  </si>
  <si>
    <t>주철관 제조업</t>
  </si>
  <si>
    <t>비동력식 수공구 제조업</t>
  </si>
  <si>
    <t>산업용 오븐, 노 및 노용 버너 제조업</t>
  </si>
  <si>
    <t>산업용 트럭 및 적재기 제조업</t>
  </si>
  <si>
    <t>농업 및 임업용 기계 제조업</t>
  </si>
  <si>
    <t>금속 주조 및 기타 야금용 기계 제조업</t>
  </si>
  <si>
    <t>무기 및 총포탄 제조업</t>
  </si>
  <si>
    <t>산업용 로봇 제조업</t>
  </si>
  <si>
    <t>가정용 비전기식 조리 및 난방 기구 제조업</t>
  </si>
  <si>
    <t>컴퓨터 제조업</t>
  </si>
  <si>
    <t>사무용 기계 및 장비 제조업</t>
  </si>
  <si>
    <t>절연 코드세트 및 기타 도체 제조업</t>
  </si>
  <si>
    <t>전시 및 광고용 조명장치 제조업</t>
  </si>
  <si>
    <t>운송장비용 조명장치 제조업</t>
  </si>
  <si>
    <t>유선 통신장비 제조업</t>
  </si>
  <si>
    <t>강선 건조업</t>
  </si>
  <si>
    <t>오락 및 스포츠용 보트 건조업</t>
  </si>
  <si>
    <t>모터사이클 제조업</t>
  </si>
  <si>
    <t>금속 가구 제조업</t>
  </si>
  <si>
    <t>귀금속 및 관련제품 제조업</t>
  </si>
  <si>
    <t>기타 운동 및 경기용구 제조업</t>
  </si>
  <si>
    <t>인형 및 장난감 제조업</t>
  </si>
  <si>
    <t>기타 오락용품 제조업</t>
  </si>
  <si>
    <t>간판 및 광고물 제조업</t>
  </si>
  <si>
    <t>사무 및 회화용품 제조업</t>
  </si>
  <si>
    <t>단추 및 유사 파스너 제조업</t>
  </si>
  <si>
    <t>생활용수 공급업</t>
  </si>
  <si>
    <t>조경 건설업</t>
  </si>
  <si>
    <t>건설장비 운영업</t>
  </si>
  <si>
    <t>자동차 신품 판매업</t>
  </si>
  <si>
    <t>중고 자동차 판매업</t>
  </si>
  <si>
    <t>모터사이클 및 부품 도매업</t>
  </si>
  <si>
    <t>모터사이클 및 부품 소매업</t>
  </si>
  <si>
    <t>종자 및 묘목 도매업</t>
  </si>
  <si>
    <t>사료 도매업</t>
  </si>
  <si>
    <t>육류 도매업</t>
  </si>
  <si>
    <t>주류 도매업</t>
  </si>
  <si>
    <t>기타 가공식품 도매업</t>
  </si>
  <si>
    <t>담배 도매업</t>
  </si>
  <si>
    <t>커튼 및 침구용품 도매업</t>
  </si>
  <si>
    <t>신발 도매업</t>
  </si>
  <si>
    <t>가전제품 및 부품 도매업</t>
  </si>
  <si>
    <t>벽지 및 장판류 도매업</t>
  </si>
  <si>
    <t>의약품 도매업</t>
  </si>
  <si>
    <t>의료용품 도매업</t>
  </si>
  <si>
    <t>비누 및 세정제 도매업</t>
  </si>
  <si>
    <t>운동 및 경기용품 도매업</t>
  </si>
  <si>
    <t>자전거 및 기타 운송장비 도매업</t>
  </si>
  <si>
    <t>1차 금속제품 도매업</t>
  </si>
  <si>
    <t>금속광물 도매업</t>
  </si>
  <si>
    <t>골재, 벽돌 및 시멘트 도매업</t>
  </si>
  <si>
    <t>염료, 안료 및 관련제품 도매업</t>
  </si>
  <si>
    <t>비료 및 농약 도매업</t>
  </si>
  <si>
    <t>직물 도매업</t>
  </si>
  <si>
    <t>재생용 재료 수집 및 판매업</t>
  </si>
  <si>
    <t>컴퓨터 및 주변장치, 소프트웨어 도매업</t>
  </si>
  <si>
    <t>사무용 가구 및 기기 도매업</t>
  </si>
  <si>
    <t>상품 종합 도매업</t>
  </si>
  <si>
    <t>백화점</t>
  </si>
  <si>
    <t>기타 대형 종합 소매업</t>
  </si>
  <si>
    <t>체인화 편의점</t>
  </si>
  <si>
    <t>담배 소매업</t>
  </si>
  <si>
    <t>기타 식료품 소매업</t>
  </si>
  <si>
    <t>음료 소매업</t>
  </si>
  <si>
    <t>의약품 및 의료용품 소매업</t>
  </si>
  <si>
    <t>의료용 기구 소매업</t>
  </si>
  <si>
    <t>방문 판매업</t>
  </si>
  <si>
    <t>신발 소매업</t>
  </si>
  <si>
    <t>가방 및 기타 가죽제품 소매업</t>
  </si>
  <si>
    <t>가구 소매업</t>
  </si>
  <si>
    <t>가전제품 소매업</t>
  </si>
  <si>
    <t>통신기기 소매업</t>
  </si>
  <si>
    <t>악기 소매업</t>
  </si>
  <si>
    <t>전기용품 및 조명장치 소매업</t>
  </si>
  <si>
    <t>가정용 직물제품 소매업</t>
  </si>
  <si>
    <t>철물 및 난방용구 소매업</t>
  </si>
  <si>
    <t>컴퓨터 및 주변장치, 소프트웨어 소매업</t>
  </si>
  <si>
    <t>사무용 기기 소매업</t>
  </si>
  <si>
    <t>사진기 및 사진용품 소매업</t>
  </si>
  <si>
    <t>시계 및 귀금속 소매업</t>
  </si>
  <si>
    <t>운동 및 경기용품 소매업</t>
  </si>
  <si>
    <t>게임용구, 인형 및 장난감 소매업</t>
  </si>
  <si>
    <t>예술품 및 골동품 소매업</t>
  </si>
  <si>
    <t>자전거 및 기타 운송장비 소매업</t>
  </si>
  <si>
    <t>음반 및 비디오물 소매업</t>
  </si>
  <si>
    <t>애완용 동물 및 관련용품 소매업</t>
  </si>
  <si>
    <t>기타 통신 판매업</t>
  </si>
  <si>
    <t>계약배달 판매업</t>
  </si>
  <si>
    <t>시외버스 운송업</t>
  </si>
  <si>
    <t>시내버스 운송업</t>
  </si>
  <si>
    <t>기타 도시 정기 육상 여객 운송업</t>
  </si>
  <si>
    <t>택시 운송업</t>
  </si>
  <si>
    <t>전세버스 운송업</t>
  </si>
  <si>
    <t>기타 부정기 여객 육상 운송업</t>
  </si>
  <si>
    <t>파이프라인 운송업</t>
  </si>
  <si>
    <t>내항 여객 운송업</t>
  </si>
  <si>
    <t>내항 화물 운송업</t>
  </si>
  <si>
    <t>기타 해상 운송업</t>
  </si>
  <si>
    <t>항공 및 육상 화물 취급업</t>
  </si>
  <si>
    <t>수상 화물 취급업</t>
  </si>
  <si>
    <t>일반 창고업</t>
  </si>
  <si>
    <t>주차장 운영업</t>
  </si>
  <si>
    <t>기타 육상 운송지원 서비스업</t>
  </si>
  <si>
    <t>한식 음식점업</t>
  </si>
  <si>
    <t>중식 음식점업</t>
  </si>
  <si>
    <t>일식 음식점업</t>
  </si>
  <si>
    <t>출장 음식 서비스업</t>
  </si>
  <si>
    <t>기타 주점업</t>
  </si>
  <si>
    <t>제과점업</t>
  </si>
  <si>
    <t>음악 및 기타 오디오물 출판업</t>
  </si>
  <si>
    <t>기타 인쇄물 출판업</t>
  </si>
  <si>
    <t>통신 재판매업</t>
  </si>
  <si>
    <t>영화관 운영업</t>
  </si>
  <si>
    <t>라디오 방송업</t>
  </si>
  <si>
    <t>지상파 방송업</t>
  </si>
  <si>
    <t>광고 영화 및 비디오물 제작업</t>
  </si>
  <si>
    <t>녹음시설 운영업</t>
  </si>
  <si>
    <t>비디오물 감상실 운영업</t>
  </si>
  <si>
    <t>신용조합</t>
  </si>
  <si>
    <t>자동차 임대업(렌트카)</t>
  </si>
  <si>
    <t>주거용 건물 임대업(장기임대다가구주택)</t>
  </si>
  <si>
    <t>비주거용 건물 임대업(점포, 자기땅)</t>
  </si>
  <si>
    <t>비주거용 건물 임대업(점포, 타인땅)</t>
  </si>
  <si>
    <t>비주거용 건물 임대업</t>
  </si>
  <si>
    <t>기타 부동산 임대업</t>
  </si>
  <si>
    <t>비주거용 건물 임대업(자기땅)</t>
  </si>
  <si>
    <t>비주거용 건물 임대업(타인땅)</t>
  </si>
  <si>
    <t>비주거용 건물 개발 및 공급업</t>
  </si>
  <si>
    <t>기타 산업용 기계 및 장비 임대업</t>
  </si>
  <si>
    <t>기타 운송장비 임대업</t>
  </si>
  <si>
    <t>의류 임대업</t>
  </si>
  <si>
    <t>변호사업</t>
  </si>
  <si>
    <t>변리사업</t>
  </si>
  <si>
    <t>기타 법무관련 서비스업(공증인)</t>
  </si>
  <si>
    <t>법무사업</t>
  </si>
  <si>
    <t>기타 법무관련 서비스업(집행관)</t>
  </si>
  <si>
    <t>기타 법무관련 서비스업</t>
  </si>
  <si>
    <t>세무사업</t>
  </si>
  <si>
    <t>공인회계사업</t>
  </si>
  <si>
    <t>기타 기술 시험, 검사 및 분석업(기술지도사)</t>
  </si>
  <si>
    <t>옥외 및 전시 광고업</t>
  </si>
  <si>
    <t>사업 및 무형 재산권 중개업</t>
  </si>
  <si>
    <t>매니저업</t>
  </si>
  <si>
    <t>탐정 및 조사 서비스업</t>
  </si>
  <si>
    <t>포장 및 충전업</t>
  </si>
  <si>
    <t>문서 작성업</t>
  </si>
  <si>
    <t>외국인학교</t>
  </si>
  <si>
    <t>예술학원</t>
  </si>
  <si>
    <t>운전학원</t>
  </si>
  <si>
    <t>기타 교육지원 서비스업</t>
  </si>
  <si>
    <t>교육관련 자문 및 평가업</t>
  </si>
  <si>
    <t>일반의원</t>
  </si>
  <si>
    <t>유사 의료업</t>
  </si>
  <si>
    <t>노인 양로 복지시설 운영업</t>
  </si>
  <si>
    <t>보육시설 운영업</t>
  </si>
  <si>
    <t>연극단체</t>
  </si>
  <si>
    <t>공연시설 운영업</t>
  </si>
  <si>
    <t>무도장 운영업</t>
  </si>
  <si>
    <t>골프장 운영업</t>
  </si>
  <si>
    <t>스키장 운영업</t>
  </si>
  <si>
    <t>기타 오락장 운영업</t>
  </si>
  <si>
    <t>자연공원 운영업</t>
  </si>
  <si>
    <t>전자 게임장 운영업</t>
  </si>
  <si>
    <t>컴퓨터 게임방 운영업</t>
  </si>
  <si>
    <t>가전제품 수리업</t>
  </si>
  <si>
    <t>자동차 종합 수리업</t>
  </si>
  <si>
    <t>자동차 세차업</t>
  </si>
  <si>
    <t>이용업</t>
  </si>
  <si>
    <t>장례식장 및 장의관련 서비스업</t>
  </si>
  <si>
    <t>예식장업</t>
  </si>
  <si>
    <t>점술 및 유사 서비스업</t>
  </si>
  <si>
    <t>배우,탤런트등</t>
  </si>
  <si>
    <t>자문,감독,지도료,고문료,교정료</t>
  </si>
  <si>
    <t>꽃꽂이교사</t>
  </si>
  <si>
    <t>학원강사,강사,과외교습자,재단사</t>
  </si>
  <si>
    <t>기타모집수당,채권회수수당</t>
  </si>
  <si>
    <t>년 귀속 종합소득세</t>
  </si>
  <si>
    <t>최소</t>
    <phoneticPr fontId="3" type="noConversion"/>
  </si>
  <si>
    <t>최대</t>
    <phoneticPr fontId="3" type="noConversion"/>
  </si>
  <si>
    <t>세율</t>
    <phoneticPr fontId="3" type="noConversion"/>
  </si>
  <si>
    <t>속산차감액</t>
    <phoneticPr fontId="3" type="noConversion"/>
  </si>
  <si>
    <t>세율구간</t>
    <phoneticPr fontId="3" type="noConversion"/>
  </si>
  <si>
    <t>속산공제액</t>
    <phoneticPr fontId="3" type="noConversion"/>
  </si>
  <si>
    <t>2019년 귀속 종합소득세 신고와 관련하여,</t>
    <phoneticPr fontId="3" type="noConversion"/>
  </si>
  <si>
    <t>2020. 05.      .</t>
    <phoneticPr fontId="3" type="noConversion"/>
  </si>
  <si>
    <t xml:space="preserve">2019년 귀속 사업 관련 매출 : </t>
    <phoneticPr fontId="3" type="noConversion"/>
  </si>
  <si>
    <t>2019년 귀속 사업관련 경비 :</t>
    <phoneticPr fontId="3" type="noConversion"/>
  </si>
  <si>
    <t>간편장부</t>
    <phoneticPr fontId="3" type="noConversion"/>
  </si>
  <si>
    <t>101</t>
  </si>
  <si>
    <t>401</t>
  </si>
  <si>
    <t>채소작물 재배업</t>
  </si>
  <si>
    <t>화훼작물 재배업</t>
  </si>
  <si>
    <t>종자 및 묘목 생산업</t>
  </si>
  <si>
    <t>과실작물 재배업</t>
  </si>
  <si>
    <t>음료용 및 향신용 작물 재배업</t>
  </si>
  <si>
    <t>기타 작물 재배업</t>
  </si>
  <si>
    <t>콩나물 재배업</t>
  </si>
  <si>
    <t>채소, 화훼 및 과실작물 시설 재배업</t>
  </si>
  <si>
    <t>기타 시설작물 재배업</t>
  </si>
  <si>
    <t>육우 사육업</t>
  </si>
  <si>
    <t>말 및 양 사육업</t>
  </si>
  <si>
    <t>그 외 기타 축산업(사슴, 토끼, 개)</t>
  </si>
  <si>
    <t>젖소 사육업</t>
  </si>
  <si>
    <t>그 외 기타 축산업</t>
  </si>
  <si>
    <t>축산 관련 서비스업</t>
  </si>
  <si>
    <t>작물재배 및 축산 복합농업</t>
  </si>
  <si>
    <t>작물재배 지원 서비스업</t>
  </si>
  <si>
    <t>농산물 건조, 선별 및 기타 수확 후 서비스업</t>
  </si>
  <si>
    <t>임업용 종묘 생산업</t>
  </si>
  <si>
    <t>육림업</t>
  </si>
  <si>
    <t>임산물 채취업</t>
  </si>
  <si>
    <t>연근해 어업</t>
  </si>
  <si>
    <t>원양 어업</t>
  </si>
  <si>
    <t>내수면 어업</t>
  </si>
  <si>
    <t>해수면 양식 어업</t>
  </si>
  <si>
    <t>내수면 양식 어업</t>
  </si>
  <si>
    <t>수산물 부화 및 수산 종자 생산업</t>
  </si>
  <si>
    <t>어업 관련 서비스업</t>
  </si>
  <si>
    <t>석탄 광업</t>
  </si>
  <si>
    <t>그 외 기타 비금속광물 광업</t>
  </si>
  <si>
    <t>철 광업</t>
  </si>
  <si>
    <t>비철금속 광업</t>
  </si>
  <si>
    <t>건설용 석재 채굴 및 쇄석 생산업</t>
  </si>
  <si>
    <t>석회석 및 점토 광업</t>
  </si>
  <si>
    <t>화학용 및 비료 원료용 광물 광업</t>
  </si>
  <si>
    <t>천일염 생산 및 암염 채취업</t>
  </si>
  <si>
    <t>원유 및 천연가스 채굴업</t>
  </si>
  <si>
    <t>광업 지원 서비스업</t>
  </si>
  <si>
    <t>비철금속 광업(조광권자)</t>
  </si>
  <si>
    <t>철 광업(조광권자)</t>
  </si>
  <si>
    <t>석탄 광업(조광권자)</t>
  </si>
  <si>
    <t>육류 도축업(가금류 제외)</t>
  </si>
  <si>
    <t>가금류 가공 및 저장 처리업</t>
  </si>
  <si>
    <t>가금류 도축업</t>
  </si>
  <si>
    <t>육류 포장육 및 냉동육 가공업(가금류 제외)</t>
  </si>
  <si>
    <t>육류 기타 가공 및 저장 처리업(가금류 제외)</t>
  </si>
  <si>
    <t>수산동물 건조 및 염장품 제조업</t>
  </si>
  <si>
    <t>수산동물 훈제, 조리 및 유사 조제식품 제조업</t>
  </si>
  <si>
    <t>수산동물 냉동품 제조업</t>
  </si>
  <si>
    <t>기타 수산동물 가공 및 저장 처리업</t>
  </si>
  <si>
    <t>김치류 제조업</t>
  </si>
  <si>
    <t>기타 과실ㆍ채소 가공 및 저장 처리업</t>
  </si>
  <si>
    <t>과실 및 그 외 채소 절임식품 제조업</t>
  </si>
  <si>
    <t>식물성 유지 제조업</t>
  </si>
  <si>
    <t>동물성 유지 제조업</t>
  </si>
  <si>
    <t>식용 정제유 및 가공유 제조업</t>
  </si>
  <si>
    <t>액상 시유 및 기타 낙농제품 제조업(분유 및 조제분유)</t>
  </si>
  <si>
    <t>액상 시유 및 기타 낙농제품 제조업</t>
  </si>
  <si>
    <t>아이스크림 및 기타 식용 빙과류 제조업</t>
  </si>
  <si>
    <t>기타 곡물 가공품 제조업</t>
  </si>
  <si>
    <t>곡물 도정업</t>
  </si>
  <si>
    <t>곡물 제분업</t>
  </si>
  <si>
    <t>단미사료 및 기타 사료 제조업</t>
  </si>
  <si>
    <t>곡물 혼합 분말 및 반죽 제조업</t>
  </si>
  <si>
    <t>도시락류 제조업</t>
  </si>
  <si>
    <t>배합 사료 제조업</t>
  </si>
  <si>
    <t>떡류 제조업</t>
  </si>
  <si>
    <t>과자류 및 코코아 제품 제조업</t>
  </si>
  <si>
    <t>기타 식사용 가공처리 조리식품 제조업</t>
  </si>
  <si>
    <t>빵류 제조업</t>
  </si>
  <si>
    <t>설탕 제조업</t>
  </si>
  <si>
    <t>면류, 마카로니 및 유사 식품 제조업</t>
  </si>
  <si>
    <t>천연 및 혼합 조제 조미료 제조업</t>
  </si>
  <si>
    <t>장류 제조업</t>
  </si>
  <si>
    <t>식초, 발효 및 화학 조미료 제조업</t>
  </si>
  <si>
    <t>커피 가공업</t>
  </si>
  <si>
    <t>두부 및 유사 식품 제조업</t>
  </si>
  <si>
    <t>건강 보조용 액화식품 제조업</t>
  </si>
  <si>
    <t>차류 가공업</t>
  </si>
  <si>
    <t>인삼식품 제조업</t>
  </si>
  <si>
    <t>수프 및 균질화식품 제조업</t>
  </si>
  <si>
    <t>건강 기능식품 제조업</t>
  </si>
  <si>
    <t>그 외 기타 식료품 제조업</t>
  </si>
  <si>
    <t>주정 제조업</t>
  </si>
  <si>
    <t>소주 제조업</t>
  </si>
  <si>
    <t>기타 발효주 제조업</t>
  </si>
  <si>
    <t>맥아 및 맥주 제조업</t>
  </si>
  <si>
    <t>기타 비알코올 음료 제조업</t>
  </si>
  <si>
    <t>생수 생산업</t>
  </si>
  <si>
    <t>얼음 제조업</t>
  </si>
  <si>
    <t>담배제품 제조업</t>
  </si>
  <si>
    <t>면 방적업</t>
  </si>
  <si>
    <t>모 방적업</t>
  </si>
  <si>
    <t>화학섬유직물 직조업</t>
  </si>
  <si>
    <t>기타 방적업</t>
  </si>
  <si>
    <t>모직물 직조업</t>
  </si>
  <si>
    <t>면직물 직조업</t>
  </si>
  <si>
    <t>특수직물 및 기타 직물 직조업</t>
  </si>
  <si>
    <t>직물, 편조 원단 및 의복류 염색 가공업</t>
  </si>
  <si>
    <t>솜 및 실 염색 가공업</t>
  </si>
  <si>
    <t>날염 가공업</t>
  </si>
  <si>
    <t>섬유제품 기타 정리 및 마무리 가공업</t>
  </si>
  <si>
    <t>자수제품 및 자수용 재료 제조업</t>
  </si>
  <si>
    <t>천막, 텐트 및 유사 제품 제조업</t>
  </si>
  <si>
    <t>커튼 및 유사 제품 제조업</t>
  </si>
  <si>
    <t>직물포대 제조업</t>
  </si>
  <si>
    <t>자동차용 신품 의자 제조업</t>
  </si>
  <si>
    <t>카펫, 마루덮개 및 유사 제품 제조업</t>
  </si>
  <si>
    <t>어망 및 기타 끈 가공품 제조업</t>
  </si>
  <si>
    <t>끈 및 로프 제조업</t>
  </si>
  <si>
    <t>세폭직물 제조업</t>
  </si>
  <si>
    <t>그 외 기타 분류 안된 섬유제품 제조업</t>
  </si>
  <si>
    <t>특수사 및 코드직물 제조업</t>
  </si>
  <si>
    <t>표면처리 및 적층 직물 제조업</t>
  </si>
  <si>
    <t>편조 원단 제조업</t>
  </si>
  <si>
    <t>기타 편조 의복 액세서리 제조업</t>
  </si>
  <si>
    <t>남자용 겉옷 제조업</t>
  </si>
  <si>
    <t>한복 제조업</t>
  </si>
  <si>
    <t>여자용 겉옷 제조업</t>
  </si>
  <si>
    <t>셔츠 및 블라우스 제조업</t>
  </si>
  <si>
    <t>근무복, 작업복 및 유사 의복 제조업</t>
  </si>
  <si>
    <t>가죽의복 제조업</t>
  </si>
  <si>
    <t>모자 제조업</t>
  </si>
  <si>
    <t>속옷 및 잠옷 제조업</t>
  </si>
  <si>
    <t>그 외 기타 의복 액세서리 제조업</t>
  </si>
  <si>
    <t>유아용 의복 제조업</t>
  </si>
  <si>
    <t>그 외 기타 봉제의복 제조업</t>
  </si>
  <si>
    <t>모피제품 제조업</t>
  </si>
  <si>
    <t>모피 및 가죽 제조업</t>
  </si>
  <si>
    <t>가방 및 기타 보호용 케이스 제조업</t>
  </si>
  <si>
    <t>핸드백 및 지갑 제조업</t>
  </si>
  <si>
    <t>구두류 제조업</t>
  </si>
  <si>
    <t>기타 신발 제조업</t>
  </si>
  <si>
    <t>신발 부분품 제조업</t>
  </si>
  <si>
    <t>일반 제재업</t>
  </si>
  <si>
    <t>목재 보존, 방부처리, 도장 및 유사 처리업</t>
  </si>
  <si>
    <t>표면 가공목재 및 특정 목적용 제재목 제조업</t>
  </si>
  <si>
    <t>강화 및 재생 목재 제조업</t>
  </si>
  <si>
    <t>박판, 합판 및 유사 적층판 제조업</t>
  </si>
  <si>
    <t>기타 건축용 나무제품 제조업</t>
  </si>
  <si>
    <t>목재 포장용 상자, 드럼 및 유사 용기 제조업</t>
  </si>
  <si>
    <t>목재 문 및 관련제품 제조업</t>
  </si>
  <si>
    <t>목재 깔판류 및 기타 적재판 제조업</t>
  </si>
  <si>
    <t>목재 도구 및 주방용 나무제품 제조업</t>
  </si>
  <si>
    <t>장식용 목제품 제조업</t>
  </si>
  <si>
    <t>코르크 및 조물 제품 제조업</t>
  </si>
  <si>
    <t>그 외 기타 나무제품 제조업</t>
  </si>
  <si>
    <t>신문용지 제조업</t>
  </si>
  <si>
    <t>적층, 합성 및 특수 표면처리 종이 제조업</t>
  </si>
  <si>
    <t>펄프 제조업</t>
  </si>
  <si>
    <t>인쇄용 및 필기용 원지 제조업</t>
  </si>
  <si>
    <t>위생용 원지 제조업</t>
  </si>
  <si>
    <t>크라프트지 및 상자용 판지 제조업</t>
  </si>
  <si>
    <t>골판지 제조업</t>
  </si>
  <si>
    <t>판지 상자 및 용기 제조업</t>
  </si>
  <si>
    <t>골판지 상자 및 가공제품 제조업</t>
  </si>
  <si>
    <t>종이 포대 및 가방 제조업</t>
  </si>
  <si>
    <t>식품 위생용 종이 상자 및 용기 제조업</t>
  </si>
  <si>
    <t>기타 종이 상자 및 용기 제조업</t>
  </si>
  <si>
    <t>그 외 기타 종이 및 판지 제품 제조업</t>
  </si>
  <si>
    <t>벽지 및 장판지 제조업</t>
  </si>
  <si>
    <t>위생용 종이제품 제조업</t>
  </si>
  <si>
    <t>경 인쇄업</t>
  </si>
  <si>
    <t>스크린 인쇄업</t>
  </si>
  <si>
    <t>오프셋 인쇄업</t>
  </si>
  <si>
    <t>기타 인쇄업</t>
  </si>
  <si>
    <t>기타 인쇄관련 산업</t>
  </si>
  <si>
    <t>기타 기초 무기화학 물질 제조업</t>
  </si>
  <si>
    <t>윤활유 및 그리스 제조업</t>
  </si>
  <si>
    <t>기타 석유 정제물 재처리업</t>
  </si>
  <si>
    <t>석탄화학계 화합물 및 기타 기초 유기화학 물질 제조업</t>
  </si>
  <si>
    <t>무기 안료용 금속 산화물 및 관련 제품 제조업</t>
  </si>
  <si>
    <t>석유화학계 기초 화학 물질 제조업</t>
  </si>
  <si>
    <t>천연수지 및 나무 화학 물질 제조업</t>
  </si>
  <si>
    <t>염료, 조제 무기 안료, 유연제 및 기타 착색제 제조업</t>
  </si>
  <si>
    <t>복합비료 및 기타 화학비료 제조업</t>
  </si>
  <si>
    <t>유기질 비료 및 상토 제조업</t>
  </si>
  <si>
    <t>합성수지 및 기타 플라스틱 물질 제조업</t>
  </si>
  <si>
    <t>혼성 및 재생 플라스틱 소재 물질 제조업</t>
  </si>
  <si>
    <t>화학 살균ㆍ살충제 및 농업용 약제 제조업</t>
  </si>
  <si>
    <t>생물 살균ㆍ살충제 및 식물보호제 제조업</t>
  </si>
  <si>
    <t>인쇄 잉크 및 회화용 물감 제조업</t>
  </si>
  <si>
    <t>요업용 도포제 및 관련제품 제조업</t>
  </si>
  <si>
    <t>완제 의약품 제조업</t>
  </si>
  <si>
    <t>의약용 화합물 및 항생물질 제조업</t>
  </si>
  <si>
    <t>동물용 의약품 제조업</t>
  </si>
  <si>
    <t>생물학적 제제 제조업</t>
  </si>
  <si>
    <t>의료용품 및 기타 의약 관련제품 제조업</t>
  </si>
  <si>
    <t>화장품 제조업</t>
  </si>
  <si>
    <t>계면활성제 제조업</t>
  </si>
  <si>
    <t>표면 광택제 및 실내 가향제 제조업</t>
  </si>
  <si>
    <t>접착제 및 젤라틴 제조업</t>
  </si>
  <si>
    <t>그 외 기타 분류 안된 화학제품 제조업</t>
  </si>
  <si>
    <t>감광 재료 및 관련 화학제품 제조업</t>
  </si>
  <si>
    <t>화약 및 불꽃제품 제조업</t>
  </si>
  <si>
    <t>바이오 연료 및 혼합물 제조업</t>
  </si>
  <si>
    <t>합성섬유 제조업</t>
  </si>
  <si>
    <t>재생 섬유 제조업</t>
  </si>
  <si>
    <t>산업용 그 외 비경화 고무제품 제조업</t>
  </si>
  <si>
    <t>그 외 기타 고무제품 제조업</t>
  </si>
  <si>
    <t>고무 패킹류 제조업</t>
  </si>
  <si>
    <t>고무 의류 및 기타 위생용 비경화 고무제품 제조업</t>
  </si>
  <si>
    <t>플라스틱 필름 제조업</t>
  </si>
  <si>
    <t>플라스틱 합성피혁 제조업</t>
  </si>
  <si>
    <t>플라스틱 시트 및 판 제조업</t>
  </si>
  <si>
    <t>폴리스티렌 발포 성형제품 제조업</t>
  </si>
  <si>
    <t>기타 플라스틱 발포 성형제품 제조업</t>
  </si>
  <si>
    <t>설치용 및 위생용 플라스틱제품 제조업</t>
  </si>
  <si>
    <t>벽 및 바닥 피복용 플라스틱 제품 제조업</t>
  </si>
  <si>
    <t>플라스틱 창호 제조업</t>
  </si>
  <si>
    <t>기타 건축용 플라스틱 조립제품 제조업</t>
  </si>
  <si>
    <t>플라스틱 포대, 봉투 및 유사제품 제조업</t>
  </si>
  <si>
    <t>플라스틱 접착처리 제품 제조업</t>
  </si>
  <si>
    <t>플라스틱 적층, 도포 및 기타 표면처리 제품 제조업</t>
  </si>
  <si>
    <t>포장용 플라스틱 성형용기 제조업</t>
  </si>
  <si>
    <t>그 외 기타 플라스틱 제품 제조업</t>
  </si>
  <si>
    <t>운송장비 조립용 플라스틱제품 제조업</t>
  </si>
  <si>
    <t>기타 기계ㆍ장비 조립용 플라스틱제품 제조업</t>
  </si>
  <si>
    <t>가정용 유리제품 제조업</t>
  </si>
  <si>
    <t>안전유리 제조업</t>
  </si>
  <si>
    <t>기타 판유리 가공품 제조업</t>
  </si>
  <si>
    <t>1차 유리제품, 유리섬유 및 광학용 유리 제조업</t>
  </si>
  <si>
    <t>디스플레이 장치용 유리 제조업</t>
  </si>
  <si>
    <t>기타 산업용 유리제품 제조업</t>
  </si>
  <si>
    <t>포장용 유리용기 제조업</t>
  </si>
  <si>
    <t>그 외 기타 유리제품 제조업</t>
  </si>
  <si>
    <t>가정용 및 장식용 도자기 제조업</t>
  </si>
  <si>
    <t>위생용 및 산업용 도자기 제조업</t>
  </si>
  <si>
    <t>기타 일반 도자기 제조업</t>
  </si>
  <si>
    <t>정형 내화 요업제품 제조업</t>
  </si>
  <si>
    <t>부정형 내화 요업제품 제조업</t>
  </si>
  <si>
    <t>타일 및 유사 비내화 요업제품 제조업</t>
  </si>
  <si>
    <t>점토 벽돌, 블록 및 유사 비내화 요업제품 제조업</t>
  </si>
  <si>
    <t>기타 건축용 비내화 요업제품 제조업</t>
  </si>
  <si>
    <t>시멘트 제조업</t>
  </si>
  <si>
    <t>레미콘 제조업</t>
  </si>
  <si>
    <t>플라스터 혼합제품 제조업</t>
  </si>
  <si>
    <t>콘크리트 관 및 기타 구조용 콘크리트제품 제조업</t>
  </si>
  <si>
    <t>콘크리트 타일, 기와, 벽돌 및 블록 제조업</t>
  </si>
  <si>
    <t>비내화 모르타르 제조업</t>
  </si>
  <si>
    <t>그 외 기타 콘크리트 제품 및 유사 제품 제조업</t>
  </si>
  <si>
    <t>건설용 석제품 제조업</t>
  </si>
  <si>
    <t>기타 석제품 제조업</t>
  </si>
  <si>
    <t>암면 및 유사 제품 제조업</t>
  </si>
  <si>
    <t>아스팔트 콘크리트 및 혼합제품 제조업</t>
  </si>
  <si>
    <t>비금속광물 분쇄물 생산업</t>
  </si>
  <si>
    <t>탄소섬유 제조업</t>
  </si>
  <si>
    <t>그 외 기타 분류 안된 비금속 광물제품 제조업</t>
  </si>
  <si>
    <t>제강업</t>
  </si>
  <si>
    <t>합금철 제조업</t>
  </si>
  <si>
    <t>기타 제철 및 제강업</t>
  </si>
  <si>
    <t>그 외 기타 1차 철강 제조업</t>
  </si>
  <si>
    <t>열간 압연 및 압출제품 제조업</t>
  </si>
  <si>
    <t>냉간 압연 및 압출 제품 제조업</t>
  </si>
  <si>
    <t>철강선 제조업</t>
  </si>
  <si>
    <t>강관 제조업</t>
  </si>
  <si>
    <t>강관 가공품 및 관 연결구류 제조업</t>
  </si>
  <si>
    <t>도금, 착색 및 기타 표면 처리 강재 제조업</t>
  </si>
  <si>
    <t>기타 비철금속 제련, 정련 및 합금 제조업</t>
  </si>
  <si>
    <t>동 제련, 정련 및 합금 제조업</t>
  </si>
  <si>
    <t>알루미늄 제련, 정련 및 합금 제조업</t>
  </si>
  <si>
    <t>연 및 아연 제련, 정련 및 합금 제조업</t>
  </si>
  <si>
    <t>알루미늄 압연, 압출 및 연신제품 제조업</t>
  </si>
  <si>
    <t>동 압연, 압출 및 연신제품 제조업</t>
  </si>
  <si>
    <t>기타 비철금속 압연, 압출 및 연신제품 제조업</t>
  </si>
  <si>
    <t>기타 1차 비철금속 제조업</t>
  </si>
  <si>
    <t>선철 주물 주조업</t>
  </si>
  <si>
    <t>강 주물 주조업</t>
  </si>
  <si>
    <t>알루미늄 주물 주조업</t>
  </si>
  <si>
    <t>동 주물 주조업</t>
  </si>
  <si>
    <t>기타 비철금속 주조업</t>
  </si>
  <si>
    <t>금속 문, 창, 셔터 및 관련제품 제조업</t>
  </si>
  <si>
    <t>그 외 기타 분류 안된 금속 가공제품 제조업</t>
  </si>
  <si>
    <t>탭, 밸브 및 유사 장치 제조업</t>
  </si>
  <si>
    <t>구조용 금속 판제품 및 공작물 제조업</t>
  </si>
  <si>
    <t>육상 금속 골조 구조재 제조업</t>
  </si>
  <si>
    <t>수상 금속 골조 구조재 제조업</t>
  </si>
  <si>
    <t>기타 구조용 금속제품 제조업</t>
  </si>
  <si>
    <t>산업용 난방보일러 및 방열기 제조업</t>
  </si>
  <si>
    <t>금속 탱크 및 저장 용기 제조업</t>
  </si>
  <si>
    <t>압축 및 액화 가스 용기 제조업</t>
  </si>
  <si>
    <t>핵반응기 및 증기보일러 제조업</t>
  </si>
  <si>
    <t>분말 야금제품 제조업</t>
  </si>
  <si>
    <t>금속 단조제품 제조업</t>
  </si>
  <si>
    <t>자동차용 금속 압형제품 제조업</t>
  </si>
  <si>
    <t>그 외 금속 압형제품 제조업</t>
  </si>
  <si>
    <t>그 외 기타 금속 가공업</t>
  </si>
  <si>
    <t>도장 및 기타 피막 처리업</t>
  </si>
  <si>
    <t>절삭 가공 및 유사 처리업</t>
  </si>
  <si>
    <t>금속 열처리업</t>
  </si>
  <si>
    <t>도금업</t>
  </si>
  <si>
    <t>일반 철물 제조업</t>
  </si>
  <si>
    <t>톱 및 호환성 공구 제조업</t>
  </si>
  <si>
    <t>날붙이 제조업</t>
  </si>
  <si>
    <t>금속선 가공제품 제조업</t>
  </si>
  <si>
    <t>금속 캔 및 기타 포장용기 제조업</t>
  </si>
  <si>
    <t>수동식 식품 가공 기기 및 금속 주방용기 제조업</t>
  </si>
  <si>
    <t>볼트 및 너트류 제조업</t>
  </si>
  <si>
    <t>그 외 금속 파스너 및 나사제품 제조업</t>
  </si>
  <si>
    <t>금속 스프링 제조업</t>
  </si>
  <si>
    <t>피복 및 충전 용접봉 제조업</t>
  </si>
  <si>
    <t>금속 위생용품 제조업</t>
  </si>
  <si>
    <t>금속 표시판 제조업</t>
  </si>
  <si>
    <t>내연기관 제조업</t>
  </si>
  <si>
    <t>기타 기관 및 터빈 제조업</t>
  </si>
  <si>
    <t>유압 기기 제조업</t>
  </si>
  <si>
    <t>액체 펌프 제조업</t>
  </si>
  <si>
    <t>기체 펌프 및 압축기 제조업</t>
  </si>
  <si>
    <t>기어 및 동력전달장치 제조업</t>
  </si>
  <si>
    <t>구름베어링 제조업</t>
  </si>
  <si>
    <t>기타 물품 취급장비 제조업</t>
  </si>
  <si>
    <t>승강기 제조업</t>
  </si>
  <si>
    <t>컨베이어 장치 제조업</t>
  </si>
  <si>
    <t>일반 저울 제조업</t>
  </si>
  <si>
    <t>산업용 냉장 및 냉동장비 제조업</t>
  </si>
  <si>
    <t>공기 조화장치 제조업</t>
  </si>
  <si>
    <t>산업용 송풍기 및 배기장치 제조업</t>
  </si>
  <si>
    <t>기체 여과기 제조업</t>
  </si>
  <si>
    <t>액체 여과기 제조업</t>
  </si>
  <si>
    <t>증류기, 열 교환기 및 가스 발생기 제조업</t>
  </si>
  <si>
    <t>용기 세척, 포장 및 충전기 제조업</t>
  </si>
  <si>
    <t>분사기 및 소화기 제조업</t>
  </si>
  <si>
    <t>그 외 기타 일반 목적용 기계 제조업</t>
  </si>
  <si>
    <t>동력식 수지 공구 제조업</t>
  </si>
  <si>
    <t>금속 절삭기계 제조업</t>
  </si>
  <si>
    <t>전자 응용 절삭기계 제조업</t>
  </si>
  <si>
    <t>기타 가공 공작기계 제조업</t>
  </si>
  <si>
    <t>디지털 적층 성형기계 제조업</t>
  </si>
  <si>
    <t>금속 성형기계 제조업</t>
  </si>
  <si>
    <t>건설 및 채광용 기계장비 제조업</t>
  </si>
  <si>
    <t>광물 처리 및 취급장비 제조업</t>
  </si>
  <si>
    <t>음ㆍ식료품 및 담배 가공기계 제조업</t>
  </si>
  <si>
    <t>기타 섬유, 의복 및 가죽 가공기계 제조업</t>
  </si>
  <si>
    <t>산업용 섬유 세척, 염색, 정리 및 가공 기계 제조업</t>
  </si>
  <si>
    <t>인쇄 및 제책용 기계 제조업</t>
  </si>
  <si>
    <t>주형 및 금형 제조업</t>
  </si>
  <si>
    <t>펄프 및 종이 가공용 기계 제조업</t>
  </si>
  <si>
    <t>고무, 화학섬유 및 플라스틱 성형기 제조업</t>
  </si>
  <si>
    <t>그 외 기타 특수 목적용 기계 제조업</t>
  </si>
  <si>
    <t>반도체 제조용 기계 제조업</t>
  </si>
  <si>
    <t>디스플레이 제조용 기계 제조업</t>
  </si>
  <si>
    <t>주방용 전기 기기 제조업</t>
  </si>
  <si>
    <t>기타 가정용 전기 기기 제조업</t>
  </si>
  <si>
    <t>가정용 전기 난방기기 제조업</t>
  </si>
  <si>
    <t>기타 주변 기기 제조업</t>
  </si>
  <si>
    <t>기억 장치 제조업</t>
  </si>
  <si>
    <t>컴퓨터 모니터 제조업</t>
  </si>
  <si>
    <t>컴퓨터 프린터 제조업</t>
  </si>
  <si>
    <t>전자코일, 변성기 및 기타 전자 유도자 제조업</t>
  </si>
  <si>
    <t>전동기 및 발전기 제조업</t>
  </si>
  <si>
    <t>변압기 제조업</t>
  </si>
  <si>
    <t>방전 램프용 안정기 제조업</t>
  </si>
  <si>
    <t>에너지 저장장치 제조업</t>
  </si>
  <si>
    <t>기타 전기 변환장치 제조업</t>
  </si>
  <si>
    <t>배전반 및 전기 자동제어반 제조업</t>
  </si>
  <si>
    <t>전기회로 개폐, 보호 장치 제조업</t>
  </si>
  <si>
    <t>기타 절연선 및 케이블 제조업</t>
  </si>
  <si>
    <t>광섬유 케이블 제조업</t>
  </si>
  <si>
    <t>축전지 제조업</t>
  </si>
  <si>
    <t>일차전지 제조업</t>
  </si>
  <si>
    <t>일반용 전기 조명장치 제조업</t>
  </si>
  <si>
    <t>전구 및 램프 제조업</t>
  </si>
  <si>
    <t>기타 조명장치 제조업</t>
  </si>
  <si>
    <t>그 외 기타 전기장비 제조업</t>
  </si>
  <si>
    <t>전기 경보 및 신호장치 제조업</t>
  </si>
  <si>
    <t>전기용 탄소제품 및 절연제품 제조업</t>
  </si>
  <si>
    <t>교통 신호장치 제조업</t>
  </si>
  <si>
    <t>기타 반도체 소자 제조업</t>
  </si>
  <si>
    <t>그 외 기타 전자 부품 제조업</t>
  </si>
  <si>
    <t>메모리용 전자집적회로 제조업</t>
  </si>
  <si>
    <t>비메모리용 및 기타 전자집적회로 제조업</t>
  </si>
  <si>
    <t>발광 다이오드 제조업</t>
  </si>
  <si>
    <t>액정 표시장치 제조업</t>
  </si>
  <si>
    <t>유기 발광 표시장치 제조업</t>
  </si>
  <si>
    <t>기타 표시장치 제조업</t>
  </si>
  <si>
    <t>인쇄회로기판용 적층판 제조업</t>
  </si>
  <si>
    <t>경성 인쇄회로기판 제조업</t>
  </si>
  <si>
    <t>연성 및 기타 인쇄회로기판 제조업</t>
  </si>
  <si>
    <t>전자 부품 실장기판 제조업</t>
  </si>
  <si>
    <t>전자 축전기 제조업</t>
  </si>
  <si>
    <t>전자 저항기 제조업</t>
  </si>
  <si>
    <t>전자카드 제조업</t>
  </si>
  <si>
    <t>전자 감지장치 제조업</t>
  </si>
  <si>
    <t>방송장비 제조업</t>
  </si>
  <si>
    <t>이동 전화기 제조업</t>
  </si>
  <si>
    <t>기타 무선 통신장비 제조업</t>
  </si>
  <si>
    <t>비디오 및 기타 영상 기기 제조업</t>
  </si>
  <si>
    <t>텔레비전 제조업</t>
  </si>
  <si>
    <t>라디오, 녹음 및 재생 기기 제조업</t>
  </si>
  <si>
    <t>기타 음향기기 제조업</t>
  </si>
  <si>
    <t>전기식 진단 및 요법 기기 제조업</t>
  </si>
  <si>
    <t>정형 외과용 및 신체 보정용 기기 제조업</t>
  </si>
  <si>
    <t>그 외 기타 의료용 기기 제조업</t>
  </si>
  <si>
    <t>방사선 장치 제조업</t>
  </si>
  <si>
    <t>치과용 기기 제조업</t>
  </si>
  <si>
    <t>의료용 가구 제조업</t>
  </si>
  <si>
    <t>물질 검사, 측정 및 분석 기구 제조업</t>
  </si>
  <si>
    <t>레이더, 항행용 무선 기기 및 측량 기구 제조업</t>
  </si>
  <si>
    <t>전자기 측정, 시험 및 분석 기구 제조업</t>
  </si>
  <si>
    <t>속도계 및 적산계기 제조업</t>
  </si>
  <si>
    <t>기기용 자동 측정 및 제어장치 제조업</t>
  </si>
  <si>
    <t>기타 측정, 시험, 항해, 제어 및 정밀 기기 제조업</t>
  </si>
  <si>
    <t>산업 처리공정 제어장비 제조업</t>
  </si>
  <si>
    <t>안경 및 안경렌즈 제조업</t>
  </si>
  <si>
    <t>사진기, 영사기 및 관련 장비 제조업</t>
  </si>
  <si>
    <t>광학 렌즈 및 광학 요소 제조업</t>
  </si>
  <si>
    <t>기타 광학 기기 제조업</t>
  </si>
  <si>
    <t>시계 및 시계 부품 제조업</t>
  </si>
  <si>
    <t>화물 자동차 및 특수 목적용 자동차 제조업</t>
  </si>
  <si>
    <t>자동차용 엔진 제조업</t>
  </si>
  <si>
    <t>승용차 및 기타 여객용 자동차 제조업</t>
  </si>
  <si>
    <t>트레일러 및 세미 트레일러 제조업</t>
  </si>
  <si>
    <t>차체 및 특장차 제조업</t>
  </si>
  <si>
    <t>자동차 구조 및 장치 변경업</t>
  </si>
  <si>
    <t>그 외 자동차용 신품 부품 제조업</t>
  </si>
  <si>
    <t>자동차 엔진용 신품 부품 제조업</t>
  </si>
  <si>
    <t>자동차 차체용 신품 부품 제조업</t>
  </si>
  <si>
    <t>자동차용 신품 동력 전달장치 제조업</t>
  </si>
  <si>
    <t>자동차용 신품 전기장치 제조업</t>
  </si>
  <si>
    <t>자동차용 신품 조향장치 및 현가장치 제조업</t>
  </si>
  <si>
    <t>자동차용 신품 제동장치 제조업</t>
  </si>
  <si>
    <t>자동차 재제조 부품 제조업</t>
  </si>
  <si>
    <t>기타 선박 건조업</t>
  </si>
  <si>
    <t>선박 구성 부분품 제조업</t>
  </si>
  <si>
    <t>합성수지선 건조업</t>
  </si>
  <si>
    <t>철도 차량 부품 및 관련 장치물 제조업</t>
  </si>
  <si>
    <t>기관차 및 기타 철도 차량 제조업</t>
  </si>
  <si>
    <t>항공기용 부품 제조업</t>
  </si>
  <si>
    <t>유인 항공기, 항공 우주선 및 보조장치 제조업</t>
  </si>
  <si>
    <t>무인 항공기 및 무인 비행장치 제조업</t>
  </si>
  <si>
    <t>항공기용 엔진 제조업</t>
  </si>
  <si>
    <t>자전거 및 환자용 차량 제조업</t>
  </si>
  <si>
    <t>전투용 차량 제조업</t>
  </si>
  <si>
    <t>그 외 기타 달리 분류되지 않은 운송장비 제조업</t>
  </si>
  <si>
    <t>기타 목재 가구 제조업</t>
  </si>
  <si>
    <t>그 외 기타 가구 제조업</t>
  </si>
  <si>
    <t>매트리스 및 침대 제조업</t>
  </si>
  <si>
    <t>소파 및 기타 내장 가구 제조업</t>
  </si>
  <si>
    <t>주방용 및 음식점용 목재 가구 제조업</t>
  </si>
  <si>
    <t>기타 악기 제조업</t>
  </si>
  <si>
    <t>건반 악기 제조업</t>
  </si>
  <si>
    <t>전자 악기 제조업</t>
  </si>
  <si>
    <t>체조, 육상 및 체력 단련용 장비 제조업</t>
  </si>
  <si>
    <t>놀이터용 장비 제조업</t>
  </si>
  <si>
    <t>낚시 및 수렵용구 제조업</t>
  </si>
  <si>
    <t>영상게임기 제조업</t>
  </si>
  <si>
    <t>모조 귀금속 및 모조 장신용품 제조업</t>
  </si>
  <si>
    <t>가발 및 유사 제품 제조업</t>
  </si>
  <si>
    <t>표구 처리업</t>
  </si>
  <si>
    <t>전시용 모형 제조업</t>
  </si>
  <si>
    <t>비 및 솔 제조업</t>
  </si>
  <si>
    <t>그 외 기타 달리 분류되지 않은 제품 제조업</t>
  </si>
  <si>
    <t>라이터, 연소물 및 흡연용품 제조업</t>
  </si>
  <si>
    <t>기타 소사장제</t>
  </si>
  <si>
    <t>태양력 발전업</t>
  </si>
  <si>
    <t>원자력 발전업</t>
  </si>
  <si>
    <t>수력 발전업</t>
  </si>
  <si>
    <t>화력 발전업</t>
  </si>
  <si>
    <t>기타 발전업</t>
  </si>
  <si>
    <t>송전 및 배전업</t>
  </si>
  <si>
    <t>전기 판매업</t>
  </si>
  <si>
    <t>연료용 가스 제조 및 배관공급업</t>
  </si>
  <si>
    <t>금속류 해체 및 선별업</t>
  </si>
  <si>
    <t>금속류 원료 재생업</t>
  </si>
  <si>
    <t>비금속류 원료 재생업</t>
  </si>
  <si>
    <t>비금속류 해체 및 선별업</t>
  </si>
  <si>
    <t>토양 및 지하수 정화업</t>
  </si>
  <si>
    <t>기타 환경 정화 및 복원업</t>
  </si>
  <si>
    <t>산업용수 공급업</t>
  </si>
  <si>
    <t>하수 처리업</t>
  </si>
  <si>
    <t>지정 외 폐기물 수집, 운반업</t>
  </si>
  <si>
    <t>지정 외 폐기물 처리업</t>
  </si>
  <si>
    <t>방사성 폐기물 수집, 운반 및 처리업</t>
  </si>
  <si>
    <t>지정 폐기물 수집, 운반업</t>
  </si>
  <si>
    <t>건설 폐기물 수집, 운반업</t>
  </si>
  <si>
    <t>지정 폐기물 처리업</t>
  </si>
  <si>
    <t>건설 폐기물 처리업</t>
  </si>
  <si>
    <t>사람 분뇨 처리업</t>
  </si>
  <si>
    <t>폐수 처리업</t>
  </si>
  <si>
    <t>축산 분뇨 처리업</t>
  </si>
  <si>
    <t>아파트 건설업</t>
  </si>
  <si>
    <t>주거용 건물 건설업</t>
  </si>
  <si>
    <t>기타 비주거용 건물 건설업</t>
  </si>
  <si>
    <t>단독 주택 건설업</t>
  </si>
  <si>
    <t>기타 공동 주택 건설업</t>
  </si>
  <si>
    <t>사무ㆍ상업용 및 공공기관용 건물 건설업</t>
  </si>
  <si>
    <t>제조업 및 유사 산업용 건물 건설업</t>
  </si>
  <si>
    <t>기타 토목 시설물 건설업</t>
  </si>
  <si>
    <t>지반조성 건설업</t>
  </si>
  <si>
    <t>도로 건설업</t>
  </si>
  <si>
    <t>교량, 터널 및 철도 건설업</t>
  </si>
  <si>
    <t>항만, 수로, 댐 및 유사 구조물 건설업</t>
  </si>
  <si>
    <t>환경설비 건설업</t>
  </si>
  <si>
    <t>산업 생산시설 종합 건설업</t>
  </si>
  <si>
    <t>미장, 타일 및 방수 공사업</t>
  </si>
  <si>
    <t>유리 및 창호 공사업</t>
  </si>
  <si>
    <t>보링, 그라우팅 및 관정 공사업</t>
  </si>
  <si>
    <t>배관 및 냉ㆍ난방 공사업</t>
  </si>
  <si>
    <t>도배, 실내 장식 및 내장 목공사업</t>
  </si>
  <si>
    <t>포장 공사업</t>
  </si>
  <si>
    <t>수중 공사업</t>
  </si>
  <si>
    <t>토공사업</t>
  </si>
  <si>
    <t>시설물 유지관리 공사업</t>
  </si>
  <si>
    <t>파일공사 및 축조관련 기초 공사업</t>
  </si>
  <si>
    <t>조적 및 석공사업</t>
  </si>
  <si>
    <t>방음, 방진 및 내화 공사업</t>
  </si>
  <si>
    <t>소방시설 공사업</t>
  </si>
  <si>
    <t>건물 및 구축물 해체 공사업</t>
  </si>
  <si>
    <t>철골 및 관련 구조물 공사업</t>
  </si>
  <si>
    <t>콘크리트 및 철근 공사업</t>
  </si>
  <si>
    <t>비계 및 형틀 공사업</t>
  </si>
  <si>
    <t>건물용 금속 공작물 설치 공사업</t>
  </si>
  <si>
    <t>철도 궤도 전문공사업</t>
  </si>
  <si>
    <t>지붕, 내ㆍ외벽 축조 관련 전문공사업</t>
  </si>
  <si>
    <t>건물용 기계ㆍ장비 설치 공사업</t>
  </si>
  <si>
    <t>일반 전기 공사업</t>
  </si>
  <si>
    <t>내부 전기배선 공사업</t>
  </si>
  <si>
    <t>일반 통신 공사업</t>
  </si>
  <si>
    <t>내부 통신배선 공사업</t>
  </si>
  <si>
    <t>도장 공사업</t>
  </si>
  <si>
    <t>기타 기반조성 관련 전문공사업</t>
  </si>
  <si>
    <t>기타 옥외 시설물 축조관련 전문공사업</t>
  </si>
  <si>
    <t>그 외 기타 건축 마무리 공사업</t>
  </si>
  <si>
    <t>기타 건물 관련설비 설치 공사업</t>
  </si>
  <si>
    <t>자동차 신품 타이어 및 튜브 판매업</t>
  </si>
  <si>
    <t>자동차 중고 부품 및 내장품 판매업</t>
  </si>
  <si>
    <t>기타 자동차 신품 부품 및 내장품 판매업</t>
  </si>
  <si>
    <t>자동차용 전용 신품 부품 판매업</t>
  </si>
  <si>
    <t>자동차 내장용 신품 전기ㆍ전자ㆍ정밀기기 판매업</t>
  </si>
  <si>
    <t>운송장비용 주유소 운영업</t>
  </si>
  <si>
    <t>운송장비용 가스 충전업</t>
  </si>
  <si>
    <t>산업용 농ㆍ축산물, 섬유 원료 및 동물 중개업</t>
  </si>
  <si>
    <t>음ㆍ식료품 및 담배 중개업</t>
  </si>
  <si>
    <t>곡물 및 유지작물 도매업</t>
  </si>
  <si>
    <t>화훼류 및 식물 도매업</t>
  </si>
  <si>
    <t>육지 동물 및 애완 동물 도매업</t>
  </si>
  <si>
    <t>기타 산업용 농산물 도매업</t>
  </si>
  <si>
    <t>과실류 도매업</t>
  </si>
  <si>
    <t>채소류, 서류 및 향신작물류 도매업</t>
  </si>
  <si>
    <t>신선, 냉동 및 기타 수산물 도매업</t>
  </si>
  <si>
    <t>건어물 및 젓갈류 도매업</t>
  </si>
  <si>
    <t>빵류, 과자류, 당류, 초콜릿 도매업</t>
  </si>
  <si>
    <t>낙농품 및 동ㆍ식물성 유지 도매업</t>
  </si>
  <si>
    <t>비알코올 음료 도매업</t>
  </si>
  <si>
    <t>육류 가공식품 도매업</t>
  </si>
  <si>
    <t>조미료 도매업</t>
  </si>
  <si>
    <t>커피 및 차류 도매업</t>
  </si>
  <si>
    <t>기타 신선 식품 및 단순 가공 식품 도매업</t>
  </si>
  <si>
    <t>수산물 가공식품 도매업</t>
  </si>
  <si>
    <t>생활용 섬유 및 실 도매업</t>
  </si>
  <si>
    <t>기타 생활용 섬유 및 직물 제품 도매업</t>
  </si>
  <si>
    <t>남녀용 겉옷 및 셔츠 도매업</t>
  </si>
  <si>
    <t>유아용 의류 도매업</t>
  </si>
  <si>
    <t>속옷 및 잠옷 도매업</t>
  </si>
  <si>
    <t>가죽 및 모피 제품 도매업</t>
  </si>
  <si>
    <t>의복 액세서리 및 모조 장신구 도매업</t>
  </si>
  <si>
    <t>생활용 가구 도매업</t>
  </si>
  <si>
    <t>생활용 유리ㆍ요업ㆍ목재ㆍ금속 제품 및 날붙이 도매업</t>
  </si>
  <si>
    <t>그 외 기타 기계 및 장비 도매업</t>
  </si>
  <si>
    <t>전구, 램프 및 조명장치 도매업</t>
  </si>
  <si>
    <t>악기 도매업</t>
  </si>
  <si>
    <t>음반 및 비디오물 도매업</t>
  </si>
  <si>
    <t>기타 비전기식 생활용 기기 및 기구 도매업</t>
  </si>
  <si>
    <t>그 외 기타 상품 전문 도매업</t>
  </si>
  <si>
    <t>화장품 및 화장용품 도매업</t>
  </si>
  <si>
    <t>생활용 포장 및 위생용품, 봉투 및 유사 제품 도매업</t>
  </si>
  <si>
    <t>종이 원지, 판지, 종이상자 도매업</t>
  </si>
  <si>
    <t>서적, 잡지 및 기타 인쇄물 도매업</t>
  </si>
  <si>
    <t>문구용품, 회화용품, 사무용품 도매업</t>
  </si>
  <si>
    <t>안경, 사진장비 및 광학용품 도매업</t>
  </si>
  <si>
    <t>장난감 및 취미, 오락용품 도매업</t>
  </si>
  <si>
    <t>시계 및 귀금속 제품 도매업</t>
  </si>
  <si>
    <t>가방 및 보호용 케이스 도매업</t>
  </si>
  <si>
    <t>그 외 기타 생활용품 도매업</t>
  </si>
  <si>
    <t>고체 연료 및 관련제품 도매업</t>
  </si>
  <si>
    <t>액체 연료 및 관련제품 도매업</t>
  </si>
  <si>
    <t>기체 연료 및 관련제품 도매업</t>
  </si>
  <si>
    <t>원목 및 건축관련 목제품 도매업</t>
  </si>
  <si>
    <t>유리 및 창호 도매업</t>
  </si>
  <si>
    <t>도료 도매업</t>
  </si>
  <si>
    <t>철물, 금속 파스너 및 수공구 도매업</t>
  </si>
  <si>
    <t>배관 및 냉ㆍ난방장치 도매업</t>
  </si>
  <si>
    <t>그 외 기타 건축자재 도매업</t>
  </si>
  <si>
    <t>기타 화학 물질 및 화학제품 도매업</t>
  </si>
  <si>
    <t>플라스틱 물질 및 합성고무 도매업</t>
  </si>
  <si>
    <t>방직용 섬유 및 실 도매업</t>
  </si>
  <si>
    <t>농림업용 기계 및 장비 도매업</t>
  </si>
  <si>
    <t>건설ㆍ광업용 기계 및 장비 도매업</t>
  </si>
  <si>
    <t>공작용 기계 및 장비 도매업</t>
  </si>
  <si>
    <t>통신ㆍ방송장비 및 부품 도매업</t>
  </si>
  <si>
    <t>전기용 기계ㆍ장비 및 관련 기자재 도매업</t>
  </si>
  <si>
    <t>전지 및 케이블 도매업</t>
  </si>
  <si>
    <t>의료 기기 도매업</t>
  </si>
  <si>
    <t>정밀 기기 및 과학 기기 도매업</t>
  </si>
  <si>
    <t>기타 산업용 기계 및 장비 도매업</t>
  </si>
  <si>
    <t>수송용 운송장비 도매업</t>
  </si>
  <si>
    <t>슈퍼마켓</t>
  </si>
  <si>
    <t>대형 마트</t>
  </si>
  <si>
    <t>면세점</t>
  </si>
  <si>
    <t>그 외 기타 종합 소매업</t>
  </si>
  <si>
    <t>곡물, 곡분 및 가축 사료 소매업</t>
  </si>
  <si>
    <t>육류 소매업</t>
  </si>
  <si>
    <t>신선, 냉동 및 기타 수산물 소매업</t>
  </si>
  <si>
    <t>건어물 및 젓갈류 소매업</t>
  </si>
  <si>
    <t>채소, 과실 및 뿌리작물 소매업</t>
  </si>
  <si>
    <t>빵류, 과자류 및 당류 소매업</t>
  </si>
  <si>
    <t>기타 음ㆍ식료품 위주 종합 소매업</t>
  </si>
  <si>
    <t>그 외 기타 분류 안된 가정용품 소매업</t>
  </si>
  <si>
    <t>건강 보조식품 소매업</t>
  </si>
  <si>
    <t>그 외 기타 분류 안된 상품 전문 소매업</t>
  </si>
  <si>
    <t>조리 반찬류 소매업</t>
  </si>
  <si>
    <t>화장품, 비누 및 방향제 소매업</t>
  </si>
  <si>
    <t>섬유 원단, 실 및 기타 섬유제품 소매업</t>
  </si>
  <si>
    <t>속옷 및 잠옷 소매업</t>
  </si>
  <si>
    <t>유아용 의류 소매업</t>
  </si>
  <si>
    <t>셔츠 및 블라우스 소매업</t>
  </si>
  <si>
    <t>남자용 겉옷 소매업</t>
  </si>
  <si>
    <t>여자용 겉옷 소매업</t>
  </si>
  <si>
    <t>한복 소매업</t>
  </si>
  <si>
    <t>가죽 및 모피 의복 소매업</t>
  </si>
  <si>
    <t>기타 의복 소매업</t>
  </si>
  <si>
    <t>의복 액세서리 및 모조 장신구 소매업</t>
  </si>
  <si>
    <t>주방용품 및 가정용 유리, 요업제품 소매업</t>
  </si>
  <si>
    <t>공구 소매업</t>
  </si>
  <si>
    <t>페인트, 창호 및 기타 건설자재 소매업</t>
  </si>
  <si>
    <t>서적, 신문 및 잡지류 소매업</t>
  </si>
  <si>
    <t>문구용품 및 회화용품 소매업</t>
  </si>
  <si>
    <t>안경 및 렌즈 소매업</t>
  </si>
  <si>
    <t>기타 광학 및 정밀 기기 소매업</t>
  </si>
  <si>
    <t>가정용 고체 연료 소매업</t>
  </si>
  <si>
    <t>가정용 액체 연료 소매업</t>
  </si>
  <si>
    <t>가정용 가스 연료 소매업</t>
  </si>
  <si>
    <t>벽지, 마루덮개 및 장판류 소매업</t>
  </si>
  <si>
    <t>기념품, 관광 민예품 및 장식용품 소매업</t>
  </si>
  <si>
    <t>화초 및 식물 소매업</t>
  </si>
  <si>
    <t>중고 가구 소매업</t>
  </si>
  <si>
    <t>기타 중고 상품 소매업</t>
  </si>
  <si>
    <t>중고 가전제품 및 통신장비 소매업</t>
  </si>
  <si>
    <t>전자상거래 소매업</t>
  </si>
  <si>
    <t>전자상거래 소매 중개업</t>
  </si>
  <si>
    <t>SNS마켓</t>
    <phoneticPr fontId="3" type="noConversion"/>
  </si>
  <si>
    <t>자동 판매기 운영업</t>
  </si>
  <si>
    <t>노점 및 유사 이동 소매업</t>
  </si>
  <si>
    <t>그 외 기타 무점포 소매업</t>
  </si>
  <si>
    <t>도시철도 운송업</t>
  </si>
  <si>
    <t>철도 여객 운송업</t>
  </si>
  <si>
    <t>철도 화물 운송업</t>
  </si>
  <si>
    <t>용달 화물 자동차 운송업</t>
  </si>
  <si>
    <t>일반 화물 자동차 운송업</t>
  </si>
  <si>
    <t>특수 여객 자동차 운송업</t>
  </si>
  <si>
    <t>화물 운송 중개, 대리 및 관련 서비스업</t>
  </si>
  <si>
    <t>개별 화물 자동차 운송업</t>
  </si>
  <si>
    <t>기타 도로 화물 운송업</t>
  </si>
  <si>
    <t>외항 화물 운송업</t>
  </si>
  <si>
    <t>외항 여객 운송업</t>
  </si>
  <si>
    <t>내륙 수상 여객 및 화물 운송업</t>
  </si>
  <si>
    <t>항만 내 여객 운송업</t>
  </si>
  <si>
    <t>기타 내륙 수상 운송업</t>
  </si>
  <si>
    <t>항공 여객 운송업</t>
  </si>
  <si>
    <t>항공 화물 운송업</t>
  </si>
  <si>
    <t>냉장 및 냉동 창고업</t>
  </si>
  <si>
    <t>농산물 창고업</t>
  </si>
  <si>
    <t>위험 물품 보관업</t>
  </si>
  <si>
    <t>기타 보관 및 창고업</t>
  </si>
  <si>
    <t>철도 운송 지원 서비스업</t>
  </si>
  <si>
    <t>여객 자동차 터미널 운영업</t>
  </si>
  <si>
    <t>물류 터미널 운영업</t>
  </si>
  <si>
    <t>도로 및 관련시설 운영업</t>
  </si>
  <si>
    <t>기타 수상 운송 지원 서비스업</t>
  </si>
  <si>
    <t>항구 및 기타 해상 터미널 운영업</t>
  </si>
  <si>
    <t>기타 항공 운송지원 서비스업</t>
  </si>
  <si>
    <t>공항 운영업</t>
  </si>
  <si>
    <t>화물 포장, 검수 및 계량 서비스업</t>
  </si>
  <si>
    <t>늘찬 배달업</t>
  </si>
  <si>
    <t>그 외 기타 분류 안된 운송관련 서비스업</t>
  </si>
  <si>
    <t>통관 대리 및 관련서비스업</t>
  </si>
  <si>
    <t>휴양 콘도 운영업</t>
  </si>
  <si>
    <t>민박업</t>
  </si>
  <si>
    <t>기타 일반 및 생활 숙박시설 운영업</t>
  </si>
  <si>
    <t>숙박공유업</t>
    <phoneticPr fontId="3" type="noConversion"/>
  </si>
  <si>
    <t>기숙사 및 고시원 운영업</t>
  </si>
  <si>
    <t>그 외 기타 숙박업</t>
  </si>
  <si>
    <t>한식 일반 음식점업</t>
  </si>
  <si>
    <t>서양식 음식점업</t>
  </si>
  <si>
    <t>치킨 전문점</t>
  </si>
  <si>
    <t>김밥 및 기타 간이 음식점업</t>
  </si>
  <si>
    <t>기관 구내식당업</t>
  </si>
  <si>
    <t>한식 면 요리 전문점</t>
  </si>
  <si>
    <t>한식 육류 요리 전문점</t>
  </si>
  <si>
    <t>한식 해산물 요리 전문점</t>
  </si>
  <si>
    <t>기타 외국식 음식점업</t>
  </si>
  <si>
    <t>피자, 햄버거, 샌드위치 및 유사 음식점업</t>
  </si>
  <si>
    <t>간이 음식 포장 판매 전문점</t>
  </si>
  <si>
    <t>일반 유흥 주점업</t>
  </si>
  <si>
    <t>무도 유흥 주점업</t>
  </si>
  <si>
    <t>생맥주 전문점</t>
  </si>
  <si>
    <t>커피 전문점</t>
  </si>
  <si>
    <t>기타 비알코올 음료점업</t>
  </si>
  <si>
    <t>이동 음식점업</t>
  </si>
  <si>
    <t>일반 서적 출판업</t>
  </si>
  <si>
    <t>교과서 및 학습 서적 출판업</t>
  </si>
  <si>
    <t>만화 출판업</t>
  </si>
  <si>
    <t>잡지 및 정기 간행물 발행업</t>
  </si>
  <si>
    <t>신문 발행업</t>
  </si>
  <si>
    <t>정기 광고 간행물 발행업</t>
  </si>
  <si>
    <t>공영 우편업</t>
  </si>
  <si>
    <t>무선 및 위성 통신업</t>
  </si>
  <si>
    <t>그 외 기타 전기 통신업</t>
  </si>
  <si>
    <t>포털 및 기타 인터넷 정보 매개 서비스업</t>
  </si>
  <si>
    <t>유선 통신업</t>
  </si>
  <si>
    <t>컴퓨터 시스템 통합 자문 및 구축 서비스업</t>
  </si>
  <si>
    <t>컴퓨터시설 관리업</t>
  </si>
  <si>
    <t>응용 소프트웨어 개발 및 공급업</t>
  </si>
  <si>
    <t>유선 온라인 게임 소프트웨어 개발 및 공급업</t>
  </si>
  <si>
    <t>모바일 게임 소프트웨어 개발 및 공급업</t>
  </si>
  <si>
    <t>기타 게임 소프트웨어 개발 및 공급업</t>
  </si>
  <si>
    <t>시스템 소프트웨어 개발 및 공급업</t>
  </si>
  <si>
    <t>컴퓨터 프로그래밍 서비스업</t>
  </si>
  <si>
    <t>자료 처리업</t>
  </si>
  <si>
    <t>호스팅 및 관련 서비스업</t>
  </si>
  <si>
    <t>데이터베이스 및 온라인 정보 제공업</t>
  </si>
  <si>
    <t>뉴스 제공업</t>
  </si>
  <si>
    <t>그 외 기타 정보 서비스업</t>
  </si>
  <si>
    <t>기타 정보 기술 및 컴퓨터 운영 관련 서비스업</t>
  </si>
  <si>
    <t>영화, 비디오물 및 방송 프로그램 배급업</t>
  </si>
  <si>
    <t>유선 방송업</t>
  </si>
  <si>
    <t>방송 프로그램 제작업</t>
  </si>
  <si>
    <t>위성 및 기타 방송업</t>
  </si>
  <si>
    <t>프로그램 공급업</t>
  </si>
  <si>
    <t>일반 영화 및 비디오물 제작업</t>
  </si>
  <si>
    <t>영화, 비디오물 및 방송 프로그램 제작 관련 서비스업</t>
  </si>
  <si>
    <t>애니메이션 영화 및 비디오물 제작업</t>
  </si>
  <si>
    <t>미디어콘텐츠창작업</t>
    <phoneticPr fontId="3" type="noConversion"/>
  </si>
  <si>
    <t>국내은행</t>
  </si>
  <si>
    <t>그 외 기타 여신 금융업</t>
  </si>
  <si>
    <t>상호 저축은행 및 기타 저축기관</t>
  </si>
  <si>
    <t>신용카드 및 할부 금융업</t>
  </si>
  <si>
    <t>외국은행</t>
  </si>
  <si>
    <t>금융 리스업</t>
  </si>
  <si>
    <t>개발 금융기관</t>
  </si>
  <si>
    <t>기타 금융 투자업</t>
  </si>
  <si>
    <t>그 외 기타 분류 안된 금융업</t>
  </si>
  <si>
    <t>신탁업 및 집합 투자업</t>
  </si>
  <si>
    <t>기금 운영업</t>
  </si>
  <si>
    <t>지주회사</t>
  </si>
  <si>
    <t>생명보험업</t>
  </si>
  <si>
    <t>재보험업</t>
  </si>
  <si>
    <t>손해보험업</t>
  </si>
  <si>
    <t>보증보험업</t>
  </si>
  <si>
    <t>건강보험업</t>
  </si>
  <si>
    <t>산업 재해 및 기타 사회보장보험업</t>
  </si>
  <si>
    <t>개인 공제업</t>
  </si>
  <si>
    <t>사업 공제업</t>
  </si>
  <si>
    <t>연금업</t>
  </si>
  <si>
    <t>그 외 기타 금융 지원 서비스업</t>
  </si>
  <si>
    <t>증권 중개업</t>
  </si>
  <si>
    <t>선물 중개업</t>
  </si>
  <si>
    <t>금융시장 관리업</t>
  </si>
  <si>
    <t>증권 발행, 관리, 보관 및 거래 지원 서비스업</t>
  </si>
  <si>
    <t>투자 자문업 및 투자 일임업</t>
  </si>
  <si>
    <t>보험 대리 및 중개업</t>
  </si>
  <si>
    <t>기타 보험 및 연금관련 서비스업</t>
  </si>
  <si>
    <t>손해 사정업</t>
  </si>
  <si>
    <t>주거용 건물 임대업</t>
  </si>
  <si>
    <t>기타 부동산 임대업(자기땅)</t>
  </si>
  <si>
    <t>기타 부동산 임대업(타인땅)</t>
  </si>
  <si>
    <t>부동산 중개 및 대리업</t>
  </si>
  <si>
    <t>부동산 감정 평가업</t>
  </si>
  <si>
    <t>비주거용 부동산 관리업</t>
  </si>
  <si>
    <t>부동산 투자 자문업</t>
  </si>
  <si>
    <t>주거용 부동산 관리업</t>
  </si>
  <si>
    <t>주거용 건물 개발 및 공급업</t>
  </si>
  <si>
    <t>기타 부동산 개발 및 공급업</t>
  </si>
  <si>
    <t>기타 인문 및 사회과학 연구개발업</t>
  </si>
  <si>
    <t>물리, 화학 및 생물학 연구개발업</t>
  </si>
  <si>
    <t>농림수산학 및 수의학 연구개발업</t>
  </si>
  <si>
    <t>의학 및 약학 연구개발업</t>
  </si>
  <si>
    <t>기타 자연과학 연구개발업</t>
  </si>
  <si>
    <t>전기ㆍ전자공학 연구개발업</t>
  </si>
  <si>
    <t>기타 공학 연구개발업</t>
  </si>
  <si>
    <t>자연과학 및 공학 융합 연구개발업</t>
  </si>
  <si>
    <t>경제 및 경영학 연구개발업</t>
  </si>
  <si>
    <t>기타 법무관련 서비스업(노무사)</t>
    <phoneticPr fontId="3" type="noConversion"/>
  </si>
  <si>
    <t>시장 조사 및 여론 조사업</t>
  </si>
  <si>
    <t>경영 컨설팅업</t>
  </si>
  <si>
    <t>경영 컨설팅업(경영지도사)</t>
  </si>
  <si>
    <t>공공관계 서비스업</t>
  </si>
  <si>
    <t>측량업</t>
  </si>
  <si>
    <t>지도 제작업</t>
  </si>
  <si>
    <t>건축 설계 및 관련 서비스업</t>
  </si>
  <si>
    <t>기타 엔지니어링 서비스업</t>
  </si>
  <si>
    <t>건축 설계 및 관련 서비스업(건축사)</t>
  </si>
  <si>
    <t>건물 및 토목 엔지니어링 서비스업(기술사)</t>
  </si>
  <si>
    <t>도시 계획 및 조경 설계 서비스업</t>
  </si>
  <si>
    <t>제도업</t>
  </si>
  <si>
    <t>건물 및 토목 엔지니어링 서비스업</t>
  </si>
  <si>
    <t>환경 관련 엔지니어링 서비스업</t>
  </si>
  <si>
    <t>지질 조사 및 탐사업</t>
  </si>
  <si>
    <t>기타 기술 시험, 검사 및 분석업</t>
  </si>
  <si>
    <t>물질 성분 검사 및 분석업</t>
  </si>
  <si>
    <t>광고 대행업</t>
  </si>
  <si>
    <t>광고 매체 판매업</t>
  </si>
  <si>
    <t>광고물 문안, 도안, 설계 등 작성업</t>
  </si>
  <si>
    <t>그 외 기타 광고 관련 서비스업</t>
  </si>
  <si>
    <t>인물 사진 및 행사용 영상 촬영업</t>
  </si>
  <si>
    <t>상업용 사진 촬영업</t>
  </si>
  <si>
    <t>사진 처리업</t>
  </si>
  <si>
    <t>번역 및 통역 서비스업</t>
  </si>
  <si>
    <t>시각 디자인업</t>
  </si>
  <si>
    <t>물품 감정, 계량 및 견본 추출업</t>
  </si>
  <si>
    <t>인테리어 디자인업</t>
  </si>
  <si>
    <t>제품 디자인업</t>
  </si>
  <si>
    <t>패션, 섬유류 및 기타 전문 디자인업</t>
  </si>
  <si>
    <t>그 외 기타 분류 안된 전문, 과학 및 기술 서비스업</t>
  </si>
  <si>
    <t>기타 전문 서비스업</t>
  </si>
  <si>
    <t>무형 재산권 임대업</t>
  </si>
  <si>
    <t>기타 여행 보조 및 예약 서비스업</t>
  </si>
  <si>
    <t>여행사업</t>
  </si>
  <si>
    <t>그 외 기타 분류 안된 사업 지원 서비스업</t>
  </si>
  <si>
    <t>건설 및 토목공사용 기계ㆍ장비 임대업</t>
  </si>
  <si>
    <t>컴퓨터 및 사무용 기계ㆍ장비 임대업</t>
  </si>
  <si>
    <t>그 외 기타 개인 및 가정용품 임대업</t>
  </si>
  <si>
    <t>스포츠 및 레크리에이션 용품 임대업</t>
  </si>
  <si>
    <t>음반 및 비디오물 임대업</t>
  </si>
  <si>
    <t>서적 임대업</t>
  </si>
  <si>
    <t>고용 알선업</t>
  </si>
  <si>
    <t>임시 및 일용 인력 공급업</t>
  </si>
  <si>
    <t>상용 인력 공급 및 인사관리 서비스업</t>
  </si>
  <si>
    <t>경비 및 경호 서비스업</t>
  </si>
  <si>
    <t>보안 시스템 서비스업</t>
  </si>
  <si>
    <t>건축물 일반 청소업</t>
  </si>
  <si>
    <t>소독, 구충 및 방제 서비스업</t>
  </si>
  <si>
    <t>조경관리 및 유지 서비스업</t>
  </si>
  <si>
    <t>그 외 기타 분류 안된 사업 지원 서비스업(기타임가공)</t>
  </si>
  <si>
    <t>전시, 컨벤션 및 행사 대행업</t>
  </si>
  <si>
    <t>신용 조사 및 추심 대행업</t>
  </si>
  <si>
    <t>기타 사무 지원 서비스업</t>
  </si>
  <si>
    <t>콜센터 및 텔레마케팅 서비스업</t>
  </si>
  <si>
    <t>산업설비, 운송장비 및 공공장소 청소업</t>
  </si>
  <si>
    <t>청소년 수련시설 운영업</t>
  </si>
  <si>
    <t>직원 훈련기관</t>
  </si>
  <si>
    <t>기타 기술 및 직업 훈련학원</t>
  </si>
  <si>
    <t>레크리에이션 교육기관</t>
  </si>
  <si>
    <t>일반 교과학원</t>
  </si>
  <si>
    <t>음악학원</t>
  </si>
  <si>
    <t>컴퓨터 학원</t>
  </si>
  <si>
    <t>태권도 및 무술 교육기관</t>
  </si>
  <si>
    <t>기타 스포츠 교육기관</t>
  </si>
  <si>
    <t>온라인 교육학원</t>
  </si>
  <si>
    <t>외국어학원</t>
  </si>
  <si>
    <t>기타 교습학원</t>
  </si>
  <si>
    <t>미술학원</t>
  </si>
  <si>
    <t>기타 예술학원</t>
  </si>
  <si>
    <t>그 외 기타 분류 안된 교육기관</t>
  </si>
  <si>
    <t>요양병원</t>
  </si>
  <si>
    <t>종합병원</t>
  </si>
  <si>
    <t>일반병원</t>
  </si>
  <si>
    <t>방사선 진단 및 병리 검사 의원</t>
  </si>
  <si>
    <t>그 외 기타 보건업</t>
  </si>
  <si>
    <t>앰뷸런스 서비스업</t>
  </si>
  <si>
    <t>복권 발행 및 판매업</t>
  </si>
  <si>
    <t>그 외 기타 스포츠시설 운영업</t>
  </si>
  <si>
    <t>기원 운영업</t>
  </si>
  <si>
    <t>공연 기획업</t>
  </si>
  <si>
    <t>무용 및 음악단체</t>
  </si>
  <si>
    <t>공연 및 제작관련 대리업</t>
  </si>
  <si>
    <t>그 외 기타 창작 및 예술관련 서비스업</t>
  </si>
  <si>
    <t>기타 공연단체</t>
  </si>
  <si>
    <t>유원지 및 테마파크 운영업</t>
  </si>
  <si>
    <t>독서실 운영업</t>
  </si>
  <si>
    <t>도서관 및 기록 보존소 운영업</t>
  </si>
  <si>
    <t>박물관 운영업</t>
  </si>
  <si>
    <t>사적지 관리 운영업</t>
  </si>
  <si>
    <t>식물원 및 동물원 운영업</t>
  </si>
  <si>
    <t>기타 유사 여가관련 서비스업</t>
  </si>
  <si>
    <t>그 외 기타 스포츠 서비스업</t>
  </si>
  <si>
    <t>스포츠 클럽 운영업</t>
  </si>
  <si>
    <t>실내 경기장 운영업</t>
  </si>
  <si>
    <t>실외 경기장 운영업</t>
  </si>
  <si>
    <t>경주장 및 동물 경기장 운영업</t>
  </si>
  <si>
    <t>볼링장 운영업</t>
  </si>
  <si>
    <t>체력 단련시설 운영업</t>
  </si>
  <si>
    <t>골프 연습장 운영업</t>
  </si>
  <si>
    <t>당구장 운영업</t>
  </si>
  <si>
    <t>수영장 운영업</t>
  </si>
  <si>
    <t>종합 스포츠시설 운영업</t>
  </si>
  <si>
    <t>노래 연습장 운영업</t>
  </si>
  <si>
    <t>그 외 기타 분류 안된 오락관련 서비스업</t>
  </si>
  <si>
    <t>낚시장 운영업</t>
  </si>
  <si>
    <t>기타 수상오락 서비스업</t>
  </si>
  <si>
    <t>체육 공원 및 유사 공원 운영업</t>
  </si>
  <si>
    <t>기타 사행시설 관리 및 운영업</t>
  </si>
  <si>
    <t>화장터 운영, 묘지 분양 및 관리업</t>
  </si>
  <si>
    <t>컴퓨터 및 주변 기기 수리업</t>
  </si>
  <si>
    <t>그 외 기타 달리 분류되지 않은 개인 서비스업</t>
  </si>
  <si>
    <t>그 외 기타 개인 및 가정용품 수리업</t>
  </si>
  <si>
    <t>의복 및 기타 가정용 직물제품 수리업</t>
  </si>
  <si>
    <t>통신장비 수리업</t>
  </si>
  <si>
    <t>가죽, 가방 및 신발 수리업</t>
  </si>
  <si>
    <t>시계, 귀금속 및 악기 수리업</t>
  </si>
  <si>
    <t>자동차 전문 수리업</t>
  </si>
  <si>
    <t>모터사이클 수리업</t>
  </si>
  <si>
    <t>가정용 세탁업</t>
  </si>
  <si>
    <t>산업용 세탁업</t>
  </si>
  <si>
    <t>세탁물 공급업</t>
  </si>
  <si>
    <t>두발 미용업</t>
  </si>
  <si>
    <t>피부 미용업</t>
  </si>
  <si>
    <t>기타 미용업</t>
  </si>
  <si>
    <t>마사지업</t>
  </si>
  <si>
    <t>체형 등 기타 신체 관리 서비스업</t>
  </si>
  <si>
    <t>결혼 상담 및 준비 서비스업</t>
  </si>
  <si>
    <t>개인 간병 및 유사 서비스업</t>
  </si>
  <si>
    <t>애완 동물 장묘 및 보호 서비스업</t>
  </si>
  <si>
    <t>화가 및 관련예술가</t>
  </si>
  <si>
    <t>성악가 등</t>
  </si>
  <si>
    <t>1인미디어콘텐츠창작자</t>
    <phoneticPr fontId="3" type="noConversion"/>
  </si>
  <si>
    <t>유흥접객원 및 댄서</t>
  </si>
  <si>
    <t>보험설계사</t>
  </si>
  <si>
    <t>음료품배달원</t>
  </si>
  <si>
    <t>기타자영업</t>
  </si>
  <si>
    <t>다단계판매원의후원수당</t>
  </si>
  <si>
    <t>기타물품운반원</t>
    <phoneticPr fontId="3" type="noConversion"/>
  </si>
  <si>
    <t>가구 내 고용활동</t>
  </si>
  <si>
    <t>(최저한세 주의)</t>
    <phoneticPr fontId="3" type="noConversion"/>
  </si>
  <si>
    <t>업종코드-10차 표준산업분류 연계표</t>
    <phoneticPr fontId="3" type="noConversion"/>
  </si>
  <si>
    <t>일련번호</t>
  </si>
  <si>
    <t>세부설명</t>
  </si>
  <si>
    <t>대분류</t>
  </si>
  <si>
    <t>중분류</t>
  </si>
  <si>
    <t>소분류</t>
  </si>
  <si>
    <t>세분류</t>
  </si>
  <si>
    <t>세세분류</t>
  </si>
  <si>
    <t>연계</t>
  </si>
  <si>
    <t>표준산업
분류</t>
  </si>
  <si>
    <t>메인</t>
  </si>
  <si>
    <t>A</t>
  </si>
  <si>
    <t>농업, 임업 및 어업</t>
  </si>
  <si>
    <t>01</t>
  </si>
  <si>
    <t>농업</t>
  </si>
  <si>
    <t>011</t>
  </si>
  <si>
    <t>작물 재배업</t>
  </si>
  <si>
    <t>0110</t>
  </si>
  <si>
    <t>01110</t>
    <phoneticPr fontId="3" type="noConversion"/>
  </si>
  <si>
    <t>0111</t>
  </si>
  <si>
    <t>채소, 화훼작물 및 종묘 재배업</t>
  </si>
  <si>
    <t>01121</t>
    <phoneticPr fontId="3" type="noConversion"/>
  </si>
  <si>
    <t>0112</t>
  </si>
  <si>
    <t>01122</t>
    <phoneticPr fontId="3" type="noConversion"/>
  </si>
  <si>
    <t>01123</t>
    <phoneticPr fontId="3" type="noConversion"/>
  </si>
  <si>
    <t>과실, 음료용 및 향신용 작물 재배업</t>
  </si>
  <si>
    <t>01131</t>
    <phoneticPr fontId="3" type="noConversion"/>
  </si>
  <si>
    <t>0113</t>
  </si>
  <si>
    <t>01132</t>
    <phoneticPr fontId="3" type="noConversion"/>
  </si>
  <si>
    <t>01140</t>
    <phoneticPr fontId="3" type="noConversion"/>
  </si>
  <si>
    <t>0114</t>
  </si>
  <si>
    <t>시설작물 재배업</t>
  </si>
  <si>
    <t>01151</t>
    <phoneticPr fontId="3" type="noConversion"/>
  </si>
  <si>
    <t>0115</t>
  </si>
  <si>
    <t>01152</t>
    <phoneticPr fontId="3" type="noConversion"/>
  </si>
  <si>
    <t>01159</t>
    <phoneticPr fontId="3" type="noConversion"/>
  </si>
  <si>
    <t>012</t>
  </si>
  <si>
    <t>축산업</t>
  </si>
  <si>
    <t>0121</t>
  </si>
  <si>
    <t>소 사육업</t>
  </si>
  <si>
    <t>01212</t>
    <phoneticPr fontId="3" type="noConversion"/>
  </si>
  <si>
    <t>기타 축산업</t>
  </si>
  <si>
    <t>01291</t>
    <phoneticPr fontId="3" type="noConversion"/>
  </si>
  <si>
    <t>0129</t>
  </si>
  <si>
    <t>01299</t>
    <phoneticPr fontId="3" type="noConversion"/>
  </si>
  <si>
    <t>사슴, 토끼, 개</t>
  </si>
  <si>
    <t>01211</t>
    <phoneticPr fontId="3" type="noConversion"/>
  </si>
  <si>
    <t>0122</t>
  </si>
  <si>
    <t>01220</t>
    <phoneticPr fontId="3" type="noConversion"/>
  </si>
  <si>
    <t>가금류 및 조류 사육업</t>
  </si>
  <si>
    <t>01231</t>
    <phoneticPr fontId="3" type="noConversion"/>
  </si>
  <si>
    <t>0123</t>
  </si>
  <si>
    <t>01239</t>
    <phoneticPr fontId="3" type="noConversion"/>
  </si>
  <si>
    <t>014</t>
  </si>
  <si>
    <t>작물재배 및 축산 관련 서비스업</t>
  </si>
  <si>
    <t>0143</t>
  </si>
  <si>
    <t>01420</t>
    <phoneticPr fontId="3" type="noConversion"/>
  </si>
  <si>
    <t>0142</t>
  </si>
  <si>
    <t>01300</t>
    <phoneticPr fontId="3" type="noConversion"/>
  </si>
  <si>
    <t>013</t>
  </si>
  <si>
    <t>0130</t>
  </si>
  <si>
    <t>작물재배 관련 서비스업</t>
  </si>
  <si>
    <t>01411</t>
    <phoneticPr fontId="3" type="noConversion"/>
  </si>
  <si>
    <t>0141</t>
  </si>
  <si>
    <t>01412</t>
    <phoneticPr fontId="3" type="noConversion"/>
  </si>
  <si>
    <t>015</t>
  </si>
  <si>
    <t>0150</t>
  </si>
  <si>
    <t>01500</t>
    <phoneticPr fontId="3" type="noConversion"/>
  </si>
  <si>
    <t>02</t>
  </si>
  <si>
    <t>임업</t>
  </si>
  <si>
    <t>020</t>
  </si>
  <si>
    <t>0201</t>
  </si>
  <si>
    <t>영림업</t>
  </si>
  <si>
    <t>02011</t>
    <phoneticPr fontId="3" type="noConversion"/>
  </si>
  <si>
    <t>02012</t>
    <phoneticPr fontId="3" type="noConversion"/>
  </si>
  <si>
    <t>02030</t>
    <phoneticPr fontId="3" type="noConversion"/>
  </si>
  <si>
    <t>0203</t>
  </si>
  <si>
    <t>0202</t>
  </si>
  <si>
    <t>02020</t>
    <phoneticPr fontId="3" type="noConversion"/>
  </si>
  <si>
    <t>02040</t>
    <phoneticPr fontId="3" type="noConversion"/>
  </si>
  <si>
    <t>0204</t>
  </si>
  <si>
    <t>05</t>
  </si>
  <si>
    <t>어업</t>
  </si>
  <si>
    <t>051</t>
  </si>
  <si>
    <t>어로 어업</t>
  </si>
  <si>
    <t>0511</t>
  </si>
  <si>
    <t>해수면 어업</t>
  </si>
  <si>
    <t>03112</t>
    <phoneticPr fontId="3" type="noConversion"/>
  </si>
  <si>
    <t>03</t>
  </si>
  <si>
    <t>031</t>
  </si>
  <si>
    <t>0311</t>
  </si>
  <si>
    <t>03111</t>
    <phoneticPr fontId="3" type="noConversion"/>
  </si>
  <si>
    <t>0512</t>
  </si>
  <si>
    <t>03120</t>
    <phoneticPr fontId="3" type="noConversion"/>
  </si>
  <si>
    <t>0312</t>
  </si>
  <si>
    <t>052</t>
  </si>
  <si>
    <t>양식어업 및 어업관련 서비스업</t>
  </si>
  <si>
    <t>0521</t>
  </si>
  <si>
    <t>양식 어업</t>
  </si>
  <si>
    <t>03211</t>
    <phoneticPr fontId="3" type="noConversion"/>
  </si>
  <si>
    <t>032</t>
  </si>
  <si>
    <t>0321</t>
  </si>
  <si>
    <t>03212</t>
    <phoneticPr fontId="3" type="noConversion"/>
  </si>
  <si>
    <t>03213</t>
    <phoneticPr fontId="3" type="noConversion"/>
  </si>
  <si>
    <t>0522</t>
  </si>
  <si>
    <t>03220</t>
    <phoneticPr fontId="3" type="noConversion"/>
  </si>
  <si>
    <t>0322</t>
  </si>
  <si>
    <t>B</t>
  </si>
  <si>
    <t>광업</t>
  </si>
  <si>
    <t>10</t>
  </si>
  <si>
    <t>석탄, 원유 및 천연가스 광업</t>
  </si>
  <si>
    <t>1010</t>
  </si>
  <si>
    <t>05100</t>
    <phoneticPr fontId="3" type="noConversion"/>
  </si>
  <si>
    <t>0510</t>
  </si>
  <si>
    <t>비금속광물 광업; 연료용 제외</t>
  </si>
  <si>
    <t>기타 비금속광물 광업</t>
  </si>
  <si>
    <t>07290</t>
    <phoneticPr fontId="3" type="noConversion"/>
  </si>
  <si>
    <t>07</t>
  </si>
  <si>
    <t>072</t>
  </si>
  <si>
    <t>0729</t>
  </si>
  <si>
    <t>토탄</t>
  </si>
  <si>
    <t>13</t>
  </si>
  <si>
    <t>금속 광업</t>
  </si>
  <si>
    <t>131</t>
  </si>
  <si>
    <t>1310</t>
  </si>
  <si>
    <t>06100</t>
    <phoneticPr fontId="3" type="noConversion"/>
  </si>
  <si>
    <t>06</t>
  </si>
  <si>
    <t>061</t>
  </si>
  <si>
    <t>0610</t>
  </si>
  <si>
    <t>06200</t>
    <phoneticPr fontId="3" type="noConversion"/>
  </si>
  <si>
    <t>062</t>
  </si>
  <si>
    <t>0620</t>
  </si>
  <si>
    <t>텅스텐, 몰리브덴</t>
  </si>
  <si>
    <t>132</t>
  </si>
  <si>
    <t>1320</t>
  </si>
  <si>
    <t>기타 비철금속</t>
  </si>
  <si>
    <t>금ㆍ은 및 백금, 동광석</t>
  </si>
  <si>
    <t>14</t>
  </si>
  <si>
    <t>141</t>
  </si>
  <si>
    <t>토사석 광업</t>
  </si>
  <si>
    <t>1410</t>
  </si>
  <si>
    <t>석재, 쇄석 및 모래, 자갈 채취업</t>
  </si>
  <si>
    <t>07121</t>
    <phoneticPr fontId="3" type="noConversion"/>
  </si>
  <si>
    <t>071</t>
  </si>
  <si>
    <t>0712</t>
  </si>
  <si>
    <t>건설용 석재 채굴</t>
  </si>
  <si>
    <t>07110</t>
    <phoneticPr fontId="3" type="noConversion"/>
  </si>
  <si>
    <t>0711</t>
  </si>
  <si>
    <t>건설용 쇄석 생산</t>
  </si>
  <si>
    <t>07122</t>
    <phoneticPr fontId="3" type="noConversion"/>
  </si>
  <si>
    <t>공업용 모래 채취</t>
  </si>
  <si>
    <t>142</t>
  </si>
  <si>
    <t>1421</t>
  </si>
  <si>
    <t>활석, 장석 및 규조토</t>
  </si>
  <si>
    <t>07210</t>
    <phoneticPr fontId="3" type="noConversion"/>
  </si>
  <si>
    <t>0721</t>
  </si>
  <si>
    <t>납석</t>
  </si>
  <si>
    <t>1422</t>
  </si>
  <si>
    <t>07220</t>
    <phoneticPr fontId="3" type="noConversion"/>
  </si>
  <si>
    <t>0722</t>
  </si>
  <si>
    <t>1429</t>
  </si>
  <si>
    <t>05200</t>
    <phoneticPr fontId="3" type="noConversion"/>
  </si>
  <si>
    <t>0520</t>
  </si>
  <si>
    <t>08000</t>
    <phoneticPr fontId="3" type="noConversion"/>
  </si>
  <si>
    <t>08</t>
  </si>
  <si>
    <t>080</t>
  </si>
  <si>
    <t>0800</t>
  </si>
  <si>
    <t>143</t>
  </si>
  <si>
    <t>1431</t>
  </si>
  <si>
    <t>조광권자</t>
  </si>
  <si>
    <t>C</t>
  </si>
  <si>
    <t>제조업</t>
  </si>
  <si>
    <t>15</t>
  </si>
  <si>
    <t>식료품 제조업</t>
  </si>
  <si>
    <t>151</t>
  </si>
  <si>
    <t>도축, 육류 가공 및 저장 처리업</t>
  </si>
  <si>
    <t>1511</t>
  </si>
  <si>
    <t>1011</t>
  </si>
  <si>
    <t>육류 가공 및 저장 처리업</t>
  </si>
  <si>
    <t>1012</t>
  </si>
  <si>
    <t>수산물 가공 및 저장 처리업</t>
  </si>
  <si>
    <t>1512</t>
  </si>
  <si>
    <t>수산동물 가공 및 저장 처리업</t>
  </si>
  <si>
    <t>102</t>
  </si>
  <si>
    <t>1021</t>
  </si>
  <si>
    <t>과실, 채소 가공 및 저장 처리업</t>
  </si>
  <si>
    <t>1513</t>
  </si>
  <si>
    <t>103</t>
  </si>
  <si>
    <t>1030</t>
  </si>
  <si>
    <t>동물성 및 식물성 유지 제조업</t>
  </si>
  <si>
    <t>1514</t>
  </si>
  <si>
    <t>104</t>
  </si>
  <si>
    <t>1040</t>
  </si>
  <si>
    <t>152</t>
  </si>
  <si>
    <t>낙농제품 및 식용 빙과류 제조업</t>
  </si>
  <si>
    <t>1520</t>
  </si>
  <si>
    <t>105</t>
  </si>
  <si>
    <t>1050</t>
  </si>
  <si>
    <t>분유 및 조제분유</t>
  </si>
  <si>
    <t>153</t>
  </si>
  <si>
    <t>곡물 가공품, 전분 및 전분제품 제조업</t>
  </si>
  <si>
    <t>1531</t>
  </si>
  <si>
    <t>곡물 가공품 제조업</t>
  </si>
  <si>
    <t>106</t>
  </si>
  <si>
    <t>1061</t>
  </si>
  <si>
    <t>108</t>
  </si>
  <si>
    <t>1080</t>
  </si>
  <si>
    <t>사료절단 분쇄</t>
  </si>
  <si>
    <t>1062</t>
  </si>
  <si>
    <t>전분 및 전분제품</t>
  </si>
  <si>
    <t>기타 식품 제조업</t>
  </si>
  <si>
    <t>도시락 및 식사용 조리식품 제조업</t>
  </si>
  <si>
    <t>107</t>
  </si>
  <si>
    <t>1075</t>
  </si>
  <si>
    <t>1532</t>
  </si>
  <si>
    <t>당류</t>
  </si>
  <si>
    <t>1533</t>
  </si>
  <si>
    <t>154</t>
  </si>
  <si>
    <t>1541</t>
  </si>
  <si>
    <t>떡, 빵 및 과자류 제조업</t>
  </si>
  <si>
    <t>1071</t>
  </si>
  <si>
    <t>1542</t>
  </si>
  <si>
    <t>1072</t>
  </si>
  <si>
    <t>1544</t>
  </si>
  <si>
    <t>1073</t>
  </si>
  <si>
    <t>1545</t>
  </si>
  <si>
    <t>조미료 및 식품 첨가물 제조업</t>
  </si>
  <si>
    <t>1074</t>
  </si>
  <si>
    <t>1548</t>
  </si>
  <si>
    <t>임가공</t>
  </si>
  <si>
    <t>떡방앗간</t>
  </si>
  <si>
    <t>임가공(가금류 냉동)</t>
  </si>
  <si>
    <t>임가공(육류 가공냉동)</t>
  </si>
  <si>
    <t>임가공(수산물 및 가공식품냉동)</t>
  </si>
  <si>
    <t>임가공(과실 및 채소 냉동)</t>
    <phoneticPr fontId="18" type="noConversion"/>
  </si>
  <si>
    <t>임가공(어류, 염장품)</t>
  </si>
  <si>
    <t>수산식물 가공 및 저장 처리업</t>
    <phoneticPr fontId="18" type="noConversion"/>
  </si>
  <si>
    <t>1022</t>
  </si>
  <si>
    <t>임가공(해조류 건조품)</t>
  </si>
  <si>
    <t>임가공(과실 및 채소 건조식품)</t>
  </si>
  <si>
    <t>임가공(동물성 유지 원료의 착유)</t>
  </si>
  <si>
    <t>임가공(식물성 유지 원료의 착유)</t>
  </si>
  <si>
    <t>임가공(튀김 곡물)</t>
  </si>
  <si>
    <t>기타 식료품 제조업</t>
  </si>
  <si>
    <t>1079</t>
  </si>
  <si>
    <t>임가공(한약 및 건강식품 액화처리)</t>
  </si>
  <si>
    <t>1549</t>
  </si>
  <si>
    <t>음료 제조업</t>
  </si>
  <si>
    <t>155</t>
  </si>
  <si>
    <t>알코올 음료 제조업</t>
  </si>
  <si>
    <t>1551</t>
  </si>
  <si>
    <t>증류주 및 합성주 제조업</t>
  </si>
  <si>
    <t>11</t>
  </si>
  <si>
    <t>111</t>
  </si>
  <si>
    <t>1112</t>
  </si>
  <si>
    <t>1552</t>
  </si>
  <si>
    <t>발효주 제조업</t>
  </si>
  <si>
    <t>1111</t>
  </si>
  <si>
    <t>탁주</t>
  </si>
  <si>
    <t>약주</t>
  </si>
  <si>
    <t>1553</t>
  </si>
  <si>
    <t>비알코올 음료 및 얼음 제조업</t>
  </si>
  <si>
    <t>1554</t>
  </si>
  <si>
    <t>112</t>
  </si>
  <si>
    <t>1120</t>
  </si>
  <si>
    <t>탄산음료</t>
  </si>
  <si>
    <t>16</t>
  </si>
  <si>
    <t>담배 제조업</t>
  </si>
  <si>
    <t>160</t>
  </si>
  <si>
    <t>1600</t>
  </si>
  <si>
    <t>12</t>
  </si>
  <si>
    <t>120</t>
  </si>
  <si>
    <t>1200</t>
  </si>
  <si>
    <t>17</t>
  </si>
  <si>
    <t>섬유제품 제조업; 의복 제외</t>
  </si>
  <si>
    <t>171</t>
  </si>
  <si>
    <t>방적 및 가공사 제조업</t>
  </si>
  <si>
    <t>1711</t>
  </si>
  <si>
    <t>인견사, 아세테이드사</t>
  </si>
  <si>
    <t>나일론사</t>
  </si>
  <si>
    <t>PVC사류</t>
  </si>
  <si>
    <t>직물 직조 및 직물제품 제조업</t>
  </si>
  <si>
    <t>직물 직조업</t>
  </si>
  <si>
    <t>1321</t>
  </si>
  <si>
    <t>생사, 견방적사</t>
  </si>
  <si>
    <t>섬유제품 염색, 정리 및 마무리 가공업</t>
  </si>
  <si>
    <t>1712</t>
  </si>
  <si>
    <t>134</t>
  </si>
  <si>
    <t>1340</t>
  </si>
  <si>
    <t>172</t>
  </si>
  <si>
    <t>1721</t>
  </si>
  <si>
    <t>직물제품 제조업</t>
  </si>
  <si>
    <t>1322</t>
  </si>
  <si>
    <t>자동차 및 트레일러 제조업</t>
  </si>
  <si>
    <t>자동차 신품 부품 제조업</t>
  </si>
  <si>
    <t>자동차용 기타 신품 부품 제조업</t>
  </si>
  <si>
    <t>30</t>
  </si>
  <si>
    <t>303</t>
  </si>
  <si>
    <t>3039</t>
  </si>
  <si>
    <t>수건</t>
  </si>
  <si>
    <t>기타 섬유제품 제조업</t>
  </si>
  <si>
    <t>1722</t>
  </si>
  <si>
    <t>139</t>
  </si>
  <si>
    <t>1391</t>
  </si>
  <si>
    <t>1723</t>
  </si>
  <si>
    <t>끈, 로프, 망 및 끈 가공품 제조업</t>
  </si>
  <si>
    <t>1392</t>
  </si>
  <si>
    <t>1729</t>
  </si>
  <si>
    <t>그 외 기타 섬유제품 제조업</t>
  </si>
  <si>
    <t>1399</t>
  </si>
  <si>
    <t>의복, 의복 액세서리 및 모피제품 제조업</t>
  </si>
  <si>
    <t>173</t>
  </si>
  <si>
    <t>1730</t>
  </si>
  <si>
    <t>1430</t>
  </si>
  <si>
    <t>133</t>
  </si>
  <si>
    <t>1330</t>
  </si>
  <si>
    <t>의복 액세서리 제조업</t>
  </si>
  <si>
    <t>편조 의복 액세서리 제조업</t>
  </si>
  <si>
    <t>144</t>
  </si>
  <si>
    <t>1441</t>
  </si>
  <si>
    <t>장갑 편조</t>
  </si>
  <si>
    <t>18</t>
  </si>
  <si>
    <t>181</t>
  </si>
  <si>
    <t>봉제의복 제조업</t>
  </si>
  <si>
    <t>1811</t>
  </si>
  <si>
    <t>겉옷 제조업</t>
  </si>
  <si>
    <t>1411</t>
  </si>
  <si>
    <t>남자용 맞춤 겉옷</t>
  </si>
  <si>
    <t>1413</t>
  </si>
  <si>
    <t>기성 한복</t>
  </si>
  <si>
    <t>여자용 맞춤 겉옷</t>
  </si>
  <si>
    <t>기타 봉제의복 제조업</t>
  </si>
  <si>
    <t>1419</t>
  </si>
  <si>
    <t>체육복,수영복 및 경기복</t>
  </si>
  <si>
    <t>1812</t>
  </si>
  <si>
    <t>기타 의복 액세서리 제조업</t>
  </si>
  <si>
    <t>1449</t>
  </si>
  <si>
    <t>1412</t>
  </si>
  <si>
    <t>남자용 기성 겉옷</t>
  </si>
  <si>
    <t>여자용 기성 겉옷</t>
  </si>
  <si>
    <t>개인 맞춤 한복</t>
  </si>
  <si>
    <t>182</t>
  </si>
  <si>
    <t>1820</t>
  </si>
  <si>
    <t>1420</t>
  </si>
  <si>
    <t>19</t>
  </si>
  <si>
    <t>가죽, 가방 및 신발 제조업</t>
  </si>
  <si>
    <t>191</t>
  </si>
  <si>
    <t>가죽, 가방 및 유사 제품 제조업</t>
  </si>
  <si>
    <t>1911</t>
  </si>
  <si>
    <t>1912</t>
  </si>
  <si>
    <t>핸드백, 가방 및 기타 보호용 케이스 제조업</t>
  </si>
  <si>
    <t>1519</t>
  </si>
  <si>
    <t>192</t>
  </si>
  <si>
    <t>신발 및 신발 부분품 제조업</t>
  </si>
  <si>
    <t>1920</t>
  </si>
  <si>
    <t>신발 제조업</t>
  </si>
  <si>
    <t>1521</t>
  </si>
  <si>
    <t>1522</t>
  </si>
  <si>
    <t>193</t>
  </si>
  <si>
    <t>1930</t>
  </si>
  <si>
    <t>임가공(실감기)</t>
  </si>
  <si>
    <t>임가공(기타 직물 직조)</t>
  </si>
  <si>
    <t>임가공(직물 자수)</t>
  </si>
  <si>
    <t>임가공(섬유 편조 뜨개질)</t>
    <phoneticPr fontId="18" type="noConversion"/>
  </si>
  <si>
    <t>임가공(의복 액세서리 정리 및 마무리)</t>
  </si>
  <si>
    <t>임가공(그 외 기타 섬유제품)</t>
  </si>
  <si>
    <t>임가공(솜, 실 염색)</t>
  </si>
  <si>
    <t>임가공(직물, 편물 원단 염색)</t>
  </si>
  <si>
    <t>임가공(날염)</t>
  </si>
  <si>
    <t>20</t>
  </si>
  <si>
    <t>목재 및 나무제품 제조업; 가구 제외</t>
  </si>
  <si>
    <t>201</t>
  </si>
  <si>
    <t>제재 및 목재 가공업</t>
  </si>
  <si>
    <t>2010</t>
  </si>
  <si>
    <t>161</t>
  </si>
  <si>
    <t>1610</t>
  </si>
  <si>
    <t>202</t>
  </si>
  <si>
    <t>나무제품 제조업</t>
  </si>
  <si>
    <t>2021</t>
  </si>
  <si>
    <t>박판, 합판 및 강화 목제품 제조업</t>
  </si>
  <si>
    <t>162</t>
  </si>
  <si>
    <t>1621</t>
  </si>
  <si>
    <t>2022</t>
  </si>
  <si>
    <t>건축용 나무제품 제조업</t>
  </si>
  <si>
    <t>1622</t>
  </si>
  <si>
    <t>목재 상자, 드럼 및 적재판 제조업</t>
  </si>
  <si>
    <t>1623</t>
  </si>
  <si>
    <t>2029</t>
  </si>
  <si>
    <t>기타 나무제품 제조업</t>
  </si>
  <si>
    <t>1629</t>
  </si>
  <si>
    <t>장식용 칠기</t>
  </si>
  <si>
    <t>163</t>
  </si>
  <si>
    <t>1630</t>
  </si>
  <si>
    <t>죽세공품</t>
  </si>
  <si>
    <t>자리, 고공품</t>
  </si>
  <si>
    <t>21</t>
  </si>
  <si>
    <t>펄프, 종이 및 종이제품 제조업</t>
  </si>
  <si>
    <t>210</t>
  </si>
  <si>
    <t>펄프, 종이 및 판지 제조업</t>
  </si>
  <si>
    <t>2101</t>
  </si>
  <si>
    <t>종이 및 판지 제조업</t>
  </si>
  <si>
    <t>한지</t>
  </si>
  <si>
    <t>골판지, 종이 상자 및 종이 용기 제조업</t>
  </si>
  <si>
    <t>2102</t>
  </si>
  <si>
    <t>골판지 및 골판지 가공제품 제조업</t>
  </si>
  <si>
    <t>종이 포대, 판지 상자 및 종이 용기 제조업</t>
  </si>
  <si>
    <t>기타 종이 및 판지 제품 제조업</t>
  </si>
  <si>
    <t>179</t>
  </si>
  <si>
    <t>1790</t>
  </si>
  <si>
    <t>종이컵</t>
  </si>
  <si>
    <t>2109</t>
  </si>
  <si>
    <t>22</t>
  </si>
  <si>
    <t>인쇄 및 기록매체 복제업</t>
  </si>
  <si>
    <t>222</t>
  </si>
  <si>
    <t>인쇄 및 인쇄관련 산업</t>
  </si>
  <si>
    <t>2221</t>
  </si>
  <si>
    <t>인쇄업</t>
  </si>
  <si>
    <t>프린트</t>
  </si>
  <si>
    <t>2222</t>
  </si>
  <si>
    <t>인쇄관련 산업</t>
  </si>
  <si>
    <t>223</t>
  </si>
  <si>
    <t>2230</t>
  </si>
  <si>
    <t>23</t>
  </si>
  <si>
    <t>코크스, 연탄 및 석유정제품 제조업</t>
  </si>
  <si>
    <t>231</t>
  </si>
  <si>
    <t>코크스 및 연탄 제조업</t>
  </si>
  <si>
    <t>2310</t>
  </si>
  <si>
    <t>1910</t>
  </si>
  <si>
    <t>232</t>
  </si>
  <si>
    <t>석유 정제품 제조업</t>
  </si>
  <si>
    <t>2321</t>
  </si>
  <si>
    <t>1921</t>
  </si>
  <si>
    <t>화학 물질 및 화학제품 제조업; 의약품 제외</t>
  </si>
  <si>
    <t>기초 화학물질 제조업</t>
  </si>
  <si>
    <t>기초 무기화학 물질 제조업</t>
  </si>
  <si>
    <t>화학물질 및 화학제품 제조업; 의약품 제외</t>
  </si>
  <si>
    <t>2012</t>
  </si>
  <si>
    <t>방사성물질 혼합ㆍ배합ㆍ농축</t>
  </si>
  <si>
    <t>2322</t>
  </si>
  <si>
    <t>석유 정제물 재처리업</t>
  </si>
  <si>
    <t>1922</t>
  </si>
  <si>
    <t>24</t>
  </si>
  <si>
    <t>241</t>
  </si>
  <si>
    <t>2411</t>
  </si>
  <si>
    <t>가성소다</t>
  </si>
  <si>
    <t>기초 유기화학 물질 제조업</t>
  </si>
  <si>
    <t>2011</t>
  </si>
  <si>
    <t>무기 안료, 염료, 유연제 및 기타 착색제 제조업</t>
  </si>
  <si>
    <t>2013</t>
  </si>
  <si>
    <t>비료, 농약 및 살균ㆍ살충제 제조업</t>
  </si>
  <si>
    <t>2412</t>
  </si>
  <si>
    <t>비료 및 질소 화합물 제조업</t>
  </si>
  <si>
    <t>203</t>
  </si>
  <si>
    <t>2031</t>
  </si>
  <si>
    <t>질소 화합물, 질소ㆍ인산 및 칼리질 화학비료 제조업</t>
  </si>
  <si>
    <t>합성고무 및 플라스틱 물질 제조업</t>
  </si>
  <si>
    <t>2413</t>
  </si>
  <si>
    <t>2020</t>
  </si>
  <si>
    <t>242</t>
  </si>
  <si>
    <t>2421</t>
  </si>
  <si>
    <t>살균ㆍ살충제 및 농약 제조업</t>
  </si>
  <si>
    <t>2032</t>
  </si>
  <si>
    <t>가정용,공중위생용</t>
  </si>
  <si>
    <t>기타 화학제품 제조업</t>
  </si>
  <si>
    <t>2422</t>
  </si>
  <si>
    <t>잉크, 페인트, 코팅제 및 유사제품 제조업</t>
  </si>
  <si>
    <t>204</t>
  </si>
  <si>
    <t>2041</t>
  </si>
  <si>
    <t>인쇄용잉크</t>
  </si>
  <si>
    <t>회화용물감</t>
  </si>
  <si>
    <t>칠기 옻칠 및 캐슈 제조</t>
  </si>
  <si>
    <t>의료용 물질 및 의약품 제조업</t>
  </si>
  <si>
    <t>의약품 제조업</t>
  </si>
  <si>
    <t>2423</t>
  </si>
  <si>
    <t>212</t>
  </si>
  <si>
    <t>2121</t>
  </si>
  <si>
    <t>2122</t>
  </si>
  <si>
    <t>기초 의약 물질 및 생물학적 제제 제조업</t>
  </si>
  <si>
    <t>211</t>
  </si>
  <si>
    <t>2110</t>
  </si>
  <si>
    <t>2123</t>
  </si>
  <si>
    <t>213</t>
  </si>
  <si>
    <t>2130</t>
  </si>
  <si>
    <t>2424</t>
  </si>
  <si>
    <t>세제, 화장품 및 광택제 제조업</t>
  </si>
  <si>
    <t>2042</t>
  </si>
  <si>
    <t>세탁비누</t>
  </si>
  <si>
    <t>표면광택제</t>
  </si>
  <si>
    <t>실내가향제</t>
  </si>
  <si>
    <t>2429</t>
  </si>
  <si>
    <t>그 외 기타 화학제품 제조업</t>
  </si>
  <si>
    <t>2049</t>
  </si>
  <si>
    <t>전자 부품, 컴퓨터, 영상, 음향 및 통신장비 제조업</t>
  </si>
  <si>
    <t>26</t>
  </si>
  <si>
    <t>266</t>
  </si>
  <si>
    <t>2660</t>
  </si>
  <si>
    <t>재료처리용 조제윤활제품</t>
  </si>
  <si>
    <t>243</t>
  </si>
  <si>
    <t>화학섬유 제조업</t>
  </si>
  <si>
    <t>2430</t>
  </si>
  <si>
    <t>205</t>
  </si>
  <si>
    <t>2050</t>
  </si>
  <si>
    <t>25</t>
  </si>
  <si>
    <t>고무 및 플라스틱제품 제조업</t>
  </si>
  <si>
    <t>251</t>
  </si>
  <si>
    <t>고무제품 제조업</t>
  </si>
  <si>
    <t>2511</t>
  </si>
  <si>
    <t>고무 타이어 및 튜브 생산업</t>
  </si>
  <si>
    <t>221</t>
  </si>
  <si>
    <t>2211</t>
  </si>
  <si>
    <t>2519</t>
  </si>
  <si>
    <t>기타 고무제품 제조업</t>
  </si>
  <si>
    <t>2219</t>
  </si>
  <si>
    <t>252</t>
  </si>
  <si>
    <t>플라스틱 제품 제조업</t>
  </si>
  <si>
    <t>2521</t>
  </si>
  <si>
    <t>1차 플라스틱제품 제조업</t>
  </si>
  <si>
    <t>폴리에틸렌필름의 농협 납품분</t>
  </si>
  <si>
    <t>2522</t>
  </si>
  <si>
    <t>2225</t>
  </si>
  <si>
    <t>2523</t>
  </si>
  <si>
    <t>건축용 플라스틱제품 제조업</t>
  </si>
  <si>
    <t>2524</t>
  </si>
  <si>
    <t>포장용 플라스틱제품 제조업</t>
  </si>
  <si>
    <t>2223</t>
  </si>
  <si>
    <t>기타 플라스틱 제품 제조업</t>
  </si>
  <si>
    <t>2229</t>
  </si>
  <si>
    <t>2529</t>
  </si>
  <si>
    <t>가정용 플라스틱 일반 성형 제품</t>
  </si>
  <si>
    <t>기계장비 조립용 플라스틱제품 제조업</t>
  </si>
  <si>
    <t>2224</t>
  </si>
  <si>
    <t>비금속 광물제품 제조업</t>
  </si>
  <si>
    <t>261</t>
  </si>
  <si>
    <t>유리 및 유리제품 제조업</t>
  </si>
  <si>
    <t>2610</t>
  </si>
  <si>
    <t>판유리 및 판유리 가공품 제조업</t>
  </si>
  <si>
    <t>2311</t>
  </si>
  <si>
    <t>기타 유리제품 제조업</t>
  </si>
  <si>
    <t>2319</t>
  </si>
  <si>
    <t>산업용 유리 제조업</t>
  </si>
  <si>
    <t>2312</t>
  </si>
  <si>
    <t>269</t>
  </si>
  <si>
    <t>내화, 비내화 요업제품 제조업</t>
  </si>
  <si>
    <t>2691</t>
  </si>
  <si>
    <t>비내화 일반 도자기 제조업</t>
  </si>
  <si>
    <t>2692</t>
  </si>
  <si>
    <t>내화 요업제품 제조업</t>
  </si>
  <si>
    <t>2693</t>
  </si>
  <si>
    <t>건축용 비내화 요업제품 제조업</t>
  </si>
  <si>
    <t>2323</t>
  </si>
  <si>
    <t>시멘트, 석회, 플라스터 및 그 제품 제조업</t>
  </si>
  <si>
    <t>2694</t>
  </si>
  <si>
    <t>시멘트, 석회 및 플라스터 제조업</t>
  </si>
  <si>
    <t>233</t>
  </si>
  <si>
    <t>2331</t>
  </si>
  <si>
    <t>석회</t>
  </si>
  <si>
    <t>플라스터</t>
  </si>
  <si>
    <t>2695</t>
  </si>
  <si>
    <t>콘크리트, 레미콘 및 기타 시멘트, 플라스터 제품 제조업</t>
  </si>
  <si>
    <t>2332</t>
  </si>
  <si>
    <t>관, 받침대, 빔</t>
  </si>
  <si>
    <t>기타 건축용 섬유시멘트 제품</t>
  </si>
  <si>
    <t>섬유 시멘트</t>
  </si>
  <si>
    <t>기타 비금속 광물제품 제조업</t>
  </si>
  <si>
    <t>2696</t>
  </si>
  <si>
    <t>석제품 제조업</t>
  </si>
  <si>
    <t>239</t>
  </si>
  <si>
    <t>2391</t>
  </si>
  <si>
    <t>2699</t>
  </si>
  <si>
    <t>그 외 기타 비금속 광물제품 제조업</t>
  </si>
  <si>
    <t>2399</t>
  </si>
  <si>
    <t>석면</t>
  </si>
  <si>
    <t>연마지</t>
  </si>
  <si>
    <t>27</t>
  </si>
  <si>
    <t>1차 금속 제조업</t>
  </si>
  <si>
    <t>271</t>
  </si>
  <si>
    <t>1차 철강 제조업</t>
  </si>
  <si>
    <t>2711</t>
  </si>
  <si>
    <t>제철, 제강 및 합금철 제조업</t>
  </si>
  <si>
    <t>2712</t>
  </si>
  <si>
    <t>기타 1차 철강 제조업</t>
  </si>
  <si>
    <t>2419</t>
  </si>
  <si>
    <t>단공 강재, 용접 형강</t>
  </si>
  <si>
    <t>철강관 제조업</t>
  </si>
  <si>
    <t>철강 압연, 압출 및 연신제품 제조업</t>
  </si>
  <si>
    <t>2719</t>
  </si>
  <si>
    <t>절단 철강재</t>
  </si>
  <si>
    <t>272</t>
  </si>
  <si>
    <t>1차 비철금속 제조업</t>
  </si>
  <si>
    <t>2721</t>
  </si>
  <si>
    <t>비철금속 제련, 정련 및 합금 제조업</t>
  </si>
  <si>
    <t>기타 비철금속 제1차 제련, 정련</t>
  </si>
  <si>
    <t>동 1차 제련, 정련</t>
  </si>
  <si>
    <t>알루미늄 1차 제련, 정련</t>
  </si>
  <si>
    <t>연 및 아연 제1차 제련, 정련</t>
  </si>
  <si>
    <t>2722</t>
  </si>
  <si>
    <t>기타 비철금속 제2차 제련, 정련 및 합금</t>
  </si>
  <si>
    <t>동 2차 제련, 정련 및 합금</t>
  </si>
  <si>
    <t>알루미늄 2차 제련, 정련 및 합금</t>
  </si>
  <si>
    <t>연 및 아연 제2차 제련, 정련 및 합금</t>
  </si>
  <si>
    <t>2723</t>
  </si>
  <si>
    <t>비철금속 압연, 압출 및 연신제품 제조업</t>
  </si>
  <si>
    <t>2729</t>
  </si>
  <si>
    <t>273</t>
  </si>
  <si>
    <t>금속 주조업</t>
  </si>
  <si>
    <t>2731</t>
  </si>
  <si>
    <t>철강 주조업</t>
  </si>
  <si>
    <t>2431</t>
  </si>
  <si>
    <t>2732</t>
  </si>
  <si>
    <t>비철금속 주조업</t>
  </si>
  <si>
    <t>2432</t>
  </si>
  <si>
    <t>28</t>
  </si>
  <si>
    <t>금속 가공제품 제조업; 기계 및 가구 제외</t>
  </si>
  <si>
    <t>281</t>
  </si>
  <si>
    <t>구조용 금속제품, 탱크 및 증기발생기 제조업</t>
    <phoneticPr fontId="3" type="noConversion"/>
  </si>
  <si>
    <t>2811</t>
  </si>
  <si>
    <t>구조용 금속제품 제조업</t>
  </si>
  <si>
    <t>금속가공제품 제조업; 기계 및 가구 제외</t>
  </si>
  <si>
    <t>구조용 금속제품, 탱크 및 증기발생기 제조업</t>
  </si>
  <si>
    <t>기타 금속 가공제품 제조업</t>
  </si>
  <si>
    <t>그 외 기타 금속 가공제품 제조업</t>
  </si>
  <si>
    <t>259</t>
  </si>
  <si>
    <t>2599</t>
  </si>
  <si>
    <t>기타 기계 및 장비 제조업</t>
  </si>
  <si>
    <t>일반 목적용 기계 제조업</t>
    <phoneticPr fontId="3" type="noConversion"/>
  </si>
  <si>
    <t>펌프 및 압축기 제조업; 탭, 밸브 및 유사 장치 제조 포함</t>
  </si>
  <si>
    <t>29</t>
  </si>
  <si>
    <t>291</t>
  </si>
  <si>
    <t>일반 목적용 기계 제조업</t>
  </si>
  <si>
    <t>2913</t>
  </si>
  <si>
    <t>2812</t>
  </si>
  <si>
    <t>산업용 난방 보일러, 금속탱크 및 유사 용기 제조업</t>
  </si>
  <si>
    <t>2512</t>
  </si>
  <si>
    <t>방열기</t>
  </si>
  <si>
    <t>2813</t>
  </si>
  <si>
    <t>2513</t>
  </si>
  <si>
    <t>289</t>
  </si>
  <si>
    <t>2891</t>
  </si>
  <si>
    <t>금속 단조, 압형 및 분말 야금제품 제조업</t>
  </si>
  <si>
    <t>2591</t>
  </si>
  <si>
    <t>2892</t>
  </si>
  <si>
    <t>금속 열처리, 도금 및 기타 금속 가공업</t>
  </si>
  <si>
    <t>2592</t>
  </si>
  <si>
    <t>금속용접처리</t>
  </si>
  <si>
    <t>2893</t>
  </si>
  <si>
    <t>날붙이, 수공구 및 일반 철물 제조업</t>
  </si>
  <si>
    <t>2593</t>
  </si>
  <si>
    <t>농업용 및 정원용</t>
  </si>
  <si>
    <t>자물쇠 및 열쇠</t>
  </si>
  <si>
    <t>2899</t>
  </si>
  <si>
    <t>금속 파스너, 스프링 및 금속선 가공제품 제조업</t>
  </si>
  <si>
    <t>2594</t>
  </si>
  <si>
    <t>사무실용 금속비품</t>
  </si>
  <si>
    <t>금고</t>
  </si>
  <si>
    <t>2911</t>
  </si>
  <si>
    <t>내연기관 및 터빈 제조업; 항공기용 및 차량용 제외</t>
  </si>
  <si>
    <t>내연기관 및 터빈 제조업; 항공기용 및 차량용 제외</t>
    <phoneticPr fontId="3" type="noConversion"/>
  </si>
  <si>
    <t>기타 기관 및 터빈 제조업</t>
    <phoneticPr fontId="3" type="noConversion"/>
  </si>
  <si>
    <t>2912</t>
  </si>
  <si>
    <t>베어링, 기어 및 동력 전달장치 제조업</t>
  </si>
  <si>
    <t>2914</t>
  </si>
  <si>
    <t>2915</t>
  </si>
  <si>
    <t>산업용 트럭, 승강기 및 물품 취급장비 제조업</t>
  </si>
  <si>
    <t>2916</t>
  </si>
  <si>
    <t>2919</t>
  </si>
  <si>
    <t>기타 일반 목적용 기계 제조업</t>
  </si>
  <si>
    <t>냉각, 공기 조화, 여과, 증류 및 가스 발생기 제조업</t>
  </si>
  <si>
    <t>2917</t>
  </si>
  <si>
    <t>292</t>
  </si>
  <si>
    <t>특수 목적용 기계 제조업</t>
  </si>
  <si>
    <t>2921</t>
  </si>
  <si>
    <t>2922</t>
  </si>
  <si>
    <t>가공 공작기계 제조업</t>
  </si>
  <si>
    <t>2923</t>
  </si>
  <si>
    <t>2924</t>
  </si>
  <si>
    <t>건설 및 광업용 기계장비 제조업</t>
  </si>
  <si>
    <t>2925</t>
  </si>
  <si>
    <t>2926</t>
  </si>
  <si>
    <t>섬유, 의복 및 가죽 가공기계 제조업</t>
  </si>
  <si>
    <t>2927</t>
  </si>
  <si>
    <t>2520</t>
  </si>
  <si>
    <t>2929</t>
  </si>
  <si>
    <t>2928</t>
  </si>
  <si>
    <t>기타 특수 목적용 기계 제조업</t>
  </si>
  <si>
    <t>반도체 및 디스플레이 제조용 기계 제조업</t>
  </si>
  <si>
    <t>전기장비 제조업</t>
  </si>
  <si>
    <t>293</t>
  </si>
  <si>
    <t>가정용 기기 제조업</t>
  </si>
  <si>
    <t>2930</t>
  </si>
  <si>
    <t>가정용 전기 기기 제조업</t>
  </si>
  <si>
    <t>285</t>
  </si>
  <si>
    <t>2851</t>
  </si>
  <si>
    <t>2852</t>
  </si>
  <si>
    <t>300</t>
  </si>
  <si>
    <t>컴퓨터 및 주변 장치 제조업</t>
  </si>
  <si>
    <t>3001</t>
  </si>
  <si>
    <t>263</t>
  </si>
  <si>
    <t>2631</t>
  </si>
  <si>
    <t>기억 장치 및 주변 기기 제조업</t>
  </si>
  <si>
    <t>2632</t>
  </si>
  <si>
    <t>3002</t>
  </si>
  <si>
    <t>2918</t>
  </si>
  <si>
    <t>복사기(사진식 등)</t>
  </si>
  <si>
    <t>31</t>
  </si>
  <si>
    <t>311</t>
  </si>
  <si>
    <t>전자 부품 제조업</t>
  </si>
  <si>
    <t>3110</t>
  </si>
  <si>
    <t>기타 전자 부품 제조업</t>
  </si>
  <si>
    <t>262</t>
  </si>
  <si>
    <t>2629</t>
  </si>
  <si>
    <t>전동기, 발전기 및 전기 변환ㆍ공급ㆍ제어 장치 제조업</t>
  </si>
  <si>
    <t>전동기, 발전기 및 전기 변환장치 제조업</t>
  </si>
  <si>
    <t>전동기, 발전기 및 전기 변환ㆍ공급ㆍ제어 장치 제조업</t>
    <phoneticPr fontId="3" type="noConversion"/>
  </si>
  <si>
    <t>312</t>
  </si>
  <si>
    <t>3120</t>
  </si>
  <si>
    <t>전기 공급 및 제어장치 제조업</t>
  </si>
  <si>
    <t>전기회로 접속장치 제조업</t>
  </si>
  <si>
    <t>313</t>
  </si>
  <si>
    <t>절연선 및 케이블 제조업</t>
  </si>
  <si>
    <t>3130</t>
  </si>
  <si>
    <t>283</t>
  </si>
  <si>
    <t>2830</t>
  </si>
  <si>
    <t>314</t>
  </si>
  <si>
    <t>일차전지 및 축전지 제조업</t>
  </si>
  <si>
    <t>3140</t>
  </si>
  <si>
    <t>282</t>
  </si>
  <si>
    <t>2820</t>
  </si>
  <si>
    <t>315</t>
  </si>
  <si>
    <t>전구 및 조명장치 제조업</t>
  </si>
  <si>
    <t>3150</t>
  </si>
  <si>
    <t>조명장치 제조업</t>
  </si>
  <si>
    <t>284</t>
  </si>
  <si>
    <t>2842</t>
  </si>
  <si>
    <t>2841</t>
  </si>
  <si>
    <t>319</t>
  </si>
  <si>
    <t>전구 및 조명장치 제조업</t>
    <phoneticPr fontId="3" type="noConversion"/>
  </si>
  <si>
    <t>3190</t>
  </si>
  <si>
    <t>기타 전기장비 제조업</t>
  </si>
  <si>
    <t>2890</t>
  </si>
  <si>
    <t>기타 전기장비 제조업</t>
    <phoneticPr fontId="3" type="noConversion"/>
  </si>
  <si>
    <t>32</t>
  </si>
  <si>
    <t>321</t>
  </si>
  <si>
    <t>반도체 제조업</t>
  </si>
  <si>
    <t>3210</t>
  </si>
  <si>
    <t>다이오드, 트랜지스터 및 유사 반도체 소자 제조업</t>
  </si>
  <si>
    <t>2612</t>
  </si>
  <si>
    <t>전자집적회로 제조업</t>
  </si>
  <si>
    <t>2611</t>
  </si>
  <si>
    <t>표시장치 제조업</t>
  </si>
  <si>
    <t>2621</t>
  </si>
  <si>
    <t>인쇄회로기판 및 전자부품 실장기판 제조업</t>
  </si>
  <si>
    <t>2622</t>
  </si>
  <si>
    <t>322</t>
  </si>
  <si>
    <t>통신 및 방송장비 제조업</t>
  </si>
  <si>
    <t>3220</t>
  </si>
  <si>
    <t>264</t>
  </si>
  <si>
    <t>2641</t>
  </si>
  <si>
    <t>방송 및 무선 통신장비 제조업</t>
  </si>
  <si>
    <t>2642</t>
  </si>
  <si>
    <t>323</t>
  </si>
  <si>
    <t>영상 및 음향 기기 제조업</t>
  </si>
  <si>
    <t>3230</t>
  </si>
  <si>
    <t>텔레비전, 비디오 및 기타 영상 기기 제조업</t>
  </si>
  <si>
    <t>265</t>
  </si>
  <si>
    <t>2651</t>
  </si>
  <si>
    <t>오디오, 스피커 및 기타 음향 기기 제조업</t>
  </si>
  <si>
    <t>2652</t>
  </si>
  <si>
    <t>영상 및 음향 기기 제조업</t>
    <phoneticPr fontId="3" type="noConversion"/>
  </si>
  <si>
    <t>33</t>
  </si>
  <si>
    <t>의료, 정밀, 광학 기기 및 시계 제조업</t>
  </si>
  <si>
    <t>331</t>
  </si>
  <si>
    <t>의료용 기기 제조업</t>
  </si>
  <si>
    <t>3311</t>
  </si>
  <si>
    <t>방사선 장치 및 전기식 진단 기기 제조업</t>
  </si>
  <si>
    <t>기타 의료용 기기 제조업</t>
  </si>
  <si>
    <t>치과기공소</t>
  </si>
  <si>
    <t>측정, 시험, 항해, 제어 및 기타 정밀 기기 제조업; 광학 기기 제외</t>
  </si>
  <si>
    <t>3312</t>
  </si>
  <si>
    <t>측정, 시험, 항해, 제어 및 기타 정밀 기기 제조업</t>
  </si>
  <si>
    <t>측정, 시험, 항해, 제어 및 기타 정밀 기기 제조업; 광학 기기 제외</t>
    <phoneticPr fontId="3" type="noConversion"/>
  </si>
  <si>
    <t>3313</t>
  </si>
  <si>
    <t>332</t>
  </si>
  <si>
    <t>의료용 기기 제조업</t>
    <phoneticPr fontId="3" type="noConversion"/>
  </si>
  <si>
    <t>3320</t>
  </si>
  <si>
    <t>사진장비 및 광학 기기 제조업</t>
  </si>
  <si>
    <t>사진장비 및 광학기기 제조업</t>
  </si>
  <si>
    <t>2730</t>
  </si>
  <si>
    <t>안경렌즈</t>
  </si>
  <si>
    <t>사진장비 및 광학 기기 제조업</t>
    <phoneticPr fontId="3" type="noConversion"/>
  </si>
  <si>
    <t>333</t>
  </si>
  <si>
    <t>3330</t>
  </si>
  <si>
    <t>274</t>
  </si>
  <si>
    <t>2740</t>
  </si>
  <si>
    <t>34</t>
  </si>
  <si>
    <t>341</t>
  </si>
  <si>
    <t>자동차용 엔진 및 자동차 제조업</t>
  </si>
  <si>
    <t>3410</t>
  </si>
  <si>
    <t>자동차 제조업</t>
  </si>
  <si>
    <t>301</t>
  </si>
  <si>
    <t>3012</t>
  </si>
  <si>
    <t>3011</t>
  </si>
  <si>
    <t>342</t>
  </si>
  <si>
    <t>자동차 차체 및 트레일러 제조업</t>
    <phoneticPr fontId="3" type="noConversion"/>
  </si>
  <si>
    <t>3420</t>
  </si>
  <si>
    <t>자동차 차체 및 트레일러 제조업</t>
  </si>
  <si>
    <t>302</t>
  </si>
  <si>
    <t>3020</t>
  </si>
  <si>
    <t>343</t>
  </si>
  <si>
    <t>3430</t>
  </si>
  <si>
    <t>자동차 신품 부품 제조업</t>
    <phoneticPr fontId="3" type="noConversion"/>
  </si>
  <si>
    <t>3031</t>
  </si>
  <si>
    <t>3032</t>
  </si>
  <si>
    <t>자동차용 신품 동력 전달장치 및 전기장치 제조업</t>
  </si>
  <si>
    <t>3033</t>
  </si>
  <si>
    <t>자동차 재제조 부품 제조업</t>
    <phoneticPr fontId="3" type="noConversion"/>
  </si>
  <si>
    <t>304</t>
  </si>
  <si>
    <t>3040</t>
  </si>
  <si>
    <t>35</t>
  </si>
  <si>
    <t>기타 운송장비 제조업</t>
  </si>
  <si>
    <t>351</t>
  </si>
  <si>
    <t>선박 및 보트 건조업</t>
  </si>
  <si>
    <t>3511</t>
  </si>
  <si>
    <t>선박 및 수상 부유 구조물 건조업</t>
  </si>
  <si>
    <t>3111</t>
  </si>
  <si>
    <t>목선</t>
  </si>
  <si>
    <t>쇄빙선,공장선 및 특수선박</t>
  </si>
  <si>
    <t>3512</t>
  </si>
  <si>
    <t>3112</t>
  </si>
  <si>
    <t>352</t>
  </si>
  <si>
    <t>철도장비 제조업</t>
  </si>
  <si>
    <t>3520</t>
  </si>
  <si>
    <t>353</t>
  </si>
  <si>
    <t>항공기, 우주선 및 부품 제조업</t>
  </si>
  <si>
    <t>3530</t>
  </si>
  <si>
    <t>항공기용 엔진 및 부품 제조업</t>
  </si>
  <si>
    <t>3132</t>
  </si>
  <si>
    <t>항공기, 우주선 및 보조장치 제조업</t>
  </si>
  <si>
    <t>3131</t>
  </si>
  <si>
    <t>359</t>
  </si>
  <si>
    <t>그 외 기타 운송장비 제조업</t>
  </si>
  <si>
    <t>3591</t>
  </si>
  <si>
    <t>3192</t>
  </si>
  <si>
    <t>3592</t>
  </si>
  <si>
    <t>그 외 기타 분류 안된 운송장비 제조업</t>
  </si>
  <si>
    <t>3199</t>
  </si>
  <si>
    <t>3191</t>
  </si>
  <si>
    <t>36</t>
  </si>
  <si>
    <t>가구 제조업</t>
  </si>
  <si>
    <t>361</t>
  </si>
  <si>
    <t>3610</t>
  </si>
  <si>
    <t>기타 가구 제조업</t>
  </si>
  <si>
    <t>320</t>
  </si>
  <si>
    <t>3209</t>
  </si>
  <si>
    <t>목재 가구 제조업</t>
  </si>
  <si>
    <t>3202</t>
  </si>
  <si>
    <t>침대 및 내장 가구 제조업</t>
  </si>
  <si>
    <t>3201</t>
  </si>
  <si>
    <t>기타 제품 제조업</t>
  </si>
  <si>
    <t>369</t>
  </si>
  <si>
    <t>귀금속 및 장신용품 제조업</t>
  </si>
  <si>
    <t>3691</t>
  </si>
  <si>
    <t>악기 제조업</t>
  </si>
  <si>
    <t>3692</t>
  </si>
  <si>
    <t>운동 및 경기용구 제조업</t>
  </si>
  <si>
    <t>3693</t>
  </si>
  <si>
    <t>인형, 장난감 및 오락용품 제조업</t>
  </si>
  <si>
    <t>3694</t>
  </si>
  <si>
    <t>334</t>
  </si>
  <si>
    <t>3340</t>
  </si>
  <si>
    <t>인형</t>
  </si>
  <si>
    <t>장난감</t>
  </si>
  <si>
    <t>놀이용 카드, 도박게임장비 등 유희용구</t>
  </si>
  <si>
    <t>3695</t>
  </si>
  <si>
    <t>그 외 기타 제품 제조업</t>
  </si>
  <si>
    <t>가발, 장식용품 및 전시용 모형 제조업</t>
  </si>
  <si>
    <t>339</t>
  </si>
  <si>
    <t>3393</t>
  </si>
  <si>
    <t>3391</t>
  </si>
  <si>
    <t>3699</t>
  </si>
  <si>
    <t>3392</t>
  </si>
  <si>
    <t>그 외 기타 분류 안된 제품 제조업</t>
  </si>
  <si>
    <t>3399</t>
  </si>
  <si>
    <t>우산, 지팡이</t>
  </si>
  <si>
    <t>성냥</t>
  </si>
  <si>
    <t>38</t>
  </si>
  <si>
    <t>381</t>
  </si>
  <si>
    <t>그외 기타 제품 제조업</t>
  </si>
  <si>
    <t>3810</t>
  </si>
  <si>
    <t>소사장제</t>
  </si>
  <si>
    <t>그 외 기타 사업 지원 서비스업</t>
  </si>
  <si>
    <t>N</t>
  </si>
  <si>
    <t>사업시설 관리, 사업 지원 및 임대 서비스업</t>
  </si>
  <si>
    <t>75</t>
  </si>
  <si>
    <t>사업 지원 서비스업</t>
  </si>
  <si>
    <t>759</t>
  </si>
  <si>
    <t>기타 사업 지원 서비스업</t>
  </si>
  <si>
    <t>7599</t>
  </si>
  <si>
    <t>해당사항 없음</t>
    <phoneticPr fontId="3" type="noConversion"/>
  </si>
  <si>
    <t>92</t>
  </si>
  <si>
    <t>산업용 기계 및 장비 수리업</t>
  </si>
  <si>
    <t>922</t>
  </si>
  <si>
    <t>9221</t>
  </si>
  <si>
    <t>일반 기계류 수리업</t>
  </si>
  <si>
    <t>기타 일반 기계 및 장비 수리업</t>
  </si>
  <si>
    <t>340</t>
  </si>
  <si>
    <t>3401</t>
  </si>
  <si>
    <t>전기ㆍ전자 및 정밀 기기 수리업</t>
  </si>
  <si>
    <t>3402</t>
  </si>
  <si>
    <t>건설ㆍ광업용 기계 및 장비 수리업</t>
  </si>
  <si>
    <t>D</t>
  </si>
  <si>
    <t>전기, 가스, 증기 및 공기 조절 공급업</t>
  </si>
  <si>
    <t>40</t>
  </si>
  <si>
    <t>전기업</t>
  </si>
  <si>
    <t>4010</t>
  </si>
  <si>
    <t>발전업</t>
  </si>
  <si>
    <t>35111</t>
  </si>
  <si>
    <t>35112</t>
  </si>
  <si>
    <t>35119</t>
  </si>
  <si>
    <t>35120</t>
  </si>
  <si>
    <t>35130</t>
  </si>
  <si>
    <t>3513</t>
  </si>
  <si>
    <t>402</t>
  </si>
  <si>
    <t>4020</t>
  </si>
  <si>
    <t>35200</t>
  </si>
  <si>
    <t>403</t>
  </si>
  <si>
    <t>증기, 냉ㆍ온수 및 공기 조절 공급업</t>
  </si>
  <si>
    <t>4030</t>
  </si>
  <si>
    <t>35300</t>
  </si>
  <si>
    <t>E</t>
  </si>
  <si>
    <t>수도, 하수 및 폐기물 처리, 원료 재생업</t>
  </si>
  <si>
    <t>폐기물 수집, 운반, 처리 및 원료 재생업</t>
    <phoneticPr fontId="3" type="noConversion"/>
  </si>
  <si>
    <t>해체, 선별 및 원료 재생업</t>
    <phoneticPr fontId="3" type="noConversion"/>
  </si>
  <si>
    <t>금속류 해체, 선별 및 원료 재생업</t>
  </si>
  <si>
    <t>38311</t>
  </si>
  <si>
    <t>폐기물 수집, 운반, 처리 및 원료 재생업</t>
  </si>
  <si>
    <t>383</t>
  </si>
  <si>
    <t>해체, 선별 및 원료 재생업</t>
  </si>
  <si>
    <t>3831</t>
  </si>
  <si>
    <t>금속류 해체, 선별 및 원료 재생업</t>
    <phoneticPr fontId="18" type="noConversion"/>
  </si>
  <si>
    <t>선박해체</t>
  </si>
  <si>
    <t>37</t>
  </si>
  <si>
    <t>371</t>
  </si>
  <si>
    <t>3710</t>
  </si>
  <si>
    <t>38312</t>
  </si>
  <si>
    <t>372</t>
  </si>
  <si>
    <t>3720</t>
  </si>
  <si>
    <t>비금속류 해체, 선별 및 원료 재생업</t>
  </si>
  <si>
    <t>38322</t>
  </si>
  <si>
    <t>3832</t>
  </si>
  <si>
    <t>38321</t>
  </si>
  <si>
    <t>환경 정화 및 복원업</t>
  </si>
  <si>
    <t>39001</t>
  </si>
  <si>
    <t>39</t>
  </si>
  <si>
    <t>390</t>
  </si>
  <si>
    <t>3900</t>
  </si>
  <si>
    <t>39009</t>
  </si>
  <si>
    <t>41</t>
  </si>
  <si>
    <t>수도업</t>
  </si>
  <si>
    <t>410</t>
  </si>
  <si>
    <t>4100</t>
  </si>
  <si>
    <t>36010</t>
  </si>
  <si>
    <t>360</t>
  </si>
  <si>
    <t>3601</t>
  </si>
  <si>
    <t>3602</t>
  </si>
  <si>
    <t>74</t>
  </si>
  <si>
    <t>하수, 폐수 및 분뇨 처리업</t>
  </si>
  <si>
    <t>749</t>
  </si>
  <si>
    <t>7493</t>
  </si>
  <si>
    <t>하수 및 폐수 처리업</t>
  </si>
  <si>
    <t>37011</t>
  </si>
  <si>
    <t>370</t>
  </si>
  <si>
    <t>3701</t>
  </si>
  <si>
    <t>하수도관 청소</t>
  </si>
  <si>
    <t>90</t>
  </si>
  <si>
    <t>900</t>
  </si>
  <si>
    <t>폐기물 수집, 운반업</t>
  </si>
  <si>
    <t>9001</t>
  </si>
  <si>
    <t>38110</t>
  </si>
  <si>
    <t>3811</t>
  </si>
  <si>
    <t>폐기물 처리업</t>
  </si>
  <si>
    <t>38210</t>
  </si>
  <si>
    <t>382</t>
  </si>
  <si>
    <t>3821</t>
  </si>
  <si>
    <t>38240</t>
  </si>
  <si>
    <t>3824</t>
  </si>
  <si>
    <t>38120</t>
  </si>
  <si>
    <t>3812</t>
  </si>
  <si>
    <t>38130</t>
  </si>
  <si>
    <t>3813</t>
  </si>
  <si>
    <t>38220</t>
  </si>
  <si>
    <t>3822</t>
  </si>
  <si>
    <t>38230</t>
  </si>
  <si>
    <t>3823</t>
  </si>
  <si>
    <t>9002</t>
  </si>
  <si>
    <t>분뇨 처리업</t>
  </si>
  <si>
    <t>37021</t>
  </si>
  <si>
    <t>3702</t>
  </si>
  <si>
    <t>37012</t>
  </si>
  <si>
    <t>37022</t>
  </si>
  <si>
    <t>9003</t>
  </si>
  <si>
    <t>폐차처리업</t>
  </si>
  <si>
    <t>F</t>
  </si>
  <si>
    <t>건 설 업</t>
  </si>
  <si>
    <t>45</t>
  </si>
  <si>
    <t>종합 건설업</t>
  </si>
  <si>
    <t>451</t>
  </si>
  <si>
    <t>건물 건설업</t>
  </si>
  <si>
    <t>4511</t>
  </si>
  <si>
    <t>41112</t>
  </si>
  <si>
    <t>건설업</t>
  </si>
  <si>
    <t>411</t>
  </si>
  <si>
    <t>4111</t>
  </si>
  <si>
    <t>주거용 건물 건설업</t>
    <phoneticPr fontId="18" type="noConversion"/>
  </si>
  <si>
    <t>68121</t>
  </si>
  <si>
    <t>L</t>
  </si>
  <si>
    <t>부동산업</t>
  </si>
  <si>
    <t>68</t>
  </si>
  <si>
    <t>681</t>
  </si>
  <si>
    <t>부동산 임대 및 공급업</t>
  </si>
  <si>
    <t>6812</t>
  </si>
  <si>
    <t>부동산 개발 및 공급업</t>
  </si>
  <si>
    <t>건축시행사(토지보유 5년 미만)</t>
  </si>
  <si>
    <t>건축시행사(토지보유 5년 이상)</t>
  </si>
  <si>
    <t>비주거용 건물 건설업</t>
  </si>
  <si>
    <t>41129</t>
  </si>
  <si>
    <t>4112</t>
  </si>
  <si>
    <t>건설하여 분양(판매)</t>
  </si>
  <si>
    <t>41119</t>
  </si>
  <si>
    <t>41121</t>
  </si>
  <si>
    <t>41122</t>
  </si>
  <si>
    <t>토목 건설업</t>
  </si>
  <si>
    <t>4512</t>
  </si>
  <si>
    <t>토목 시설물 건설업</t>
  </si>
  <si>
    <t>41229</t>
  </si>
  <si>
    <t>412</t>
  </si>
  <si>
    <t>4122</t>
  </si>
  <si>
    <t>4121</t>
  </si>
  <si>
    <t>41221</t>
  </si>
  <si>
    <t>41222</t>
  </si>
  <si>
    <t>41223</t>
  </si>
  <si>
    <t>41224</t>
  </si>
  <si>
    <t>4513</t>
  </si>
  <si>
    <t>41225</t>
  </si>
  <si>
    <t>4514</t>
  </si>
  <si>
    <t>41226</t>
  </si>
  <si>
    <t>전문직별 공사업</t>
  </si>
  <si>
    <t>452</t>
  </si>
  <si>
    <t>실내건축 및 건축마무리 공사업</t>
  </si>
  <si>
    <t>4521</t>
  </si>
  <si>
    <t>기타 건축 마무리 공사업</t>
  </si>
  <si>
    <t>42491</t>
  </si>
  <si>
    <t>42</t>
  </si>
  <si>
    <t>424</t>
  </si>
  <si>
    <t>4249</t>
  </si>
  <si>
    <t>42420</t>
  </si>
  <si>
    <t>4242</t>
  </si>
  <si>
    <t>기반조성 및 시설물 축조관련 전문공사업</t>
  </si>
  <si>
    <t>기반조성 관련 전문공사업</t>
  </si>
  <si>
    <t>42122</t>
  </si>
  <si>
    <t>421</t>
  </si>
  <si>
    <t>4212</t>
  </si>
  <si>
    <t>보링, 그라우팅 공사</t>
  </si>
  <si>
    <t>건물설비 설치 공사업</t>
  </si>
  <si>
    <t>42201</t>
  </si>
  <si>
    <t>422</t>
  </si>
  <si>
    <t>4220</t>
  </si>
  <si>
    <t>도장, 도배 및 내장 공사업</t>
  </si>
  <si>
    <t>42412</t>
  </si>
  <si>
    <t>4241</t>
  </si>
  <si>
    <t>도배</t>
  </si>
  <si>
    <t>인테리어공사 등</t>
    <phoneticPr fontId="18" type="noConversion"/>
  </si>
  <si>
    <t>시설물 축조 관련 전문공사업</t>
  </si>
  <si>
    <t>42134</t>
  </si>
  <si>
    <t>4213</t>
  </si>
  <si>
    <t>42136</t>
  </si>
  <si>
    <t>42500</t>
  </si>
  <si>
    <t>425</t>
  </si>
  <si>
    <t>4250</t>
  </si>
  <si>
    <t>관정공사</t>
  </si>
  <si>
    <t>42123</t>
  </si>
  <si>
    <t>42133</t>
  </si>
  <si>
    <t>42203</t>
  </si>
  <si>
    <t>42204</t>
  </si>
  <si>
    <t>42110</t>
  </si>
  <si>
    <t>4211</t>
  </si>
  <si>
    <t>42131</t>
  </si>
  <si>
    <t>42132</t>
  </si>
  <si>
    <t>42137</t>
  </si>
  <si>
    <t>42492</t>
  </si>
  <si>
    <t>42135</t>
  </si>
  <si>
    <t>42138</t>
  </si>
  <si>
    <t>42202</t>
  </si>
  <si>
    <t>전기 및 통신 공사업</t>
  </si>
  <si>
    <t>전기 공사업</t>
  </si>
  <si>
    <t>42311</t>
  </si>
  <si>
    <t>423</t>
  </si>
  <si>
    <t>4231</t>
  </si>
  <si>
    <t>42312</t>
  </si>
  <si>
    <t>통신 공사업</t>
  </si>
  <si>
    <t>42321</t>
  </si>
  <si>
    <t>4232</t>
  </si>
  <si>
    <t>42322</t>
  </si>
  <si>
    <t>42411</t>
  </si>
  <si>
    <t>42129</t>
  </si>
  <si>
    <t>42139</t>
  </si>
  <si>
    <t>상하수도설비공사</t>
  </si>
  <si>
    <t>4522</t>
  </si>
  <si>
    <t>42499</t>
  </si>
  <si>
    <t>42209</t>
  </si>
  <si>
    <t>453</t>
  </si>
  <si>
    <t>4530</t>
  </si>
  <si>
    <t>42600</t>
  </si>
  <si>
    <t>426</t>
  </si>
  <si>
    <t>4260</t>
  </si>
  <si>
    <t>G</t>
  </si>
  <si>
    <t>도매 및 소매업</t>
  </si>
  <si>
    <t>50</t>
  </si>
  <si>
    <t>자동차 및 부품 판매업</t>
  </si>
  <si>
    <t>501</t>
  </si>
  <si>
    <t>자동차 판매업</t>
  </si>
  <si>
    <t>5011</t>
  </si>
  <si>
    <t>도매</t>
  </si>
  <si>
    <t>45120</t>
  </si>
  <si>
    <t>5012</t>
  </si>
  <si>
    <t>45110</t>
  </si>
  <si>
    <t>소매</t>
  </si>
  <si>
    <t>5013</t>
  </si>
  <si>
    <t>중개 매매 알선업</t>
  </si>
  <si>
    <t>판매대리</t>
  </si>
  <si>
    <t>503</t>
  </si>
  <si>
    <t>자동차 부품 및 내장품 판매업</t>
  </si>
  <si>
    <t>5030</t>
  </si>
  <si>
    <t>자동차 신품 부품 및 내장품 판매업</t>
  </si>
  <si>
    <t>45211</t>
  </si>
  <si>
    <t>45220</t>
  </si>
  <si>
    <t>45219</t>
  </si>
  <si>
    <t>카인테리어(액세서리)</t>
  </si>
  <si>
    <t>45213</t>
  </si>
  <si>
    <t>504</t>
  </si>
  <si>
    <t>모터사이클 및 부품 판매업</t>
  </si>
  <si>
    <t>5040</t>
  </si>
  <si>
    <t>45301</t>
  </si>
  <si>
    <t>45302</t>
  </si>
  <si>
    <t>소매업; 자동차 제외</t>
  </si>
  <si>
    <t>505</t>
  </si>
  <si>
    <t>연료 소매업</t>
  </si>
  <si>
    <t>5050</t>
  </si>
  <si>
    <t>운송장비용 연료 소매업</t>
  </si>
  <si>
    <t>47711</t>
  </si>
  <si>
    <t>47</t>
  </si>
  <si>
    <t>477</t>
  </si>
  <si>
    <t>4771</t>
  </si>
  <si>
    <t>47712</t>
  </si>
  <si>
    <t>51</t>
  </si>
  <si>
    <t>도매 및 상품 중개업</t>
  </si>
  <si>
    <t>511</t>
  </si>
  <si>
    <t>상품 중개업</t>
  </si>
  <si>
    <t>5111</t>
  </si>
  <si>
    <t>46101</t>
  </si>
  <si>
    <t>46</t>
  </si>
  <si>
    <t>461</t>
  </si>
  <si>
    <t>4610</t>
  </si>
  <si>
    <t>법정도매시장 중매인</t>
    <phoneticPr fontId="18" type="noConversion"/>
  </si>
  <si>
    <t>46102</t>
  </si>
  <si>
    <t>위탁판매</t>
  </si>
  <si>
    <t>위탁매매(수산물)</t>
  </si>
  <si>
    <t>섬유, 의복, 신발 및 가죽제품 중개업</t>
  </si>
  <si>
    <t>목재 및 건축자재 중개업</t>
    <phoneticPr fontId="3" type="noConversion"/>
  </si>
  <si>
    <t>목재 및 건축자재 중개업</t>
  </si>
  <si>
    <t>연료, 광물, 1차 금속, 비료 및 화학제품 중개업</t>
    <phoneticPr fontId="3" type="noConversion"/>
  </si>
  <si>
    <t>연료, 광물, 1차 금속, 비료 및 화학제품 중개업</t>
  </si>
  <si>
    <t>기계 및 장비 중개업</t>
    <phoneticPr fontId="3" type="noConversion"/>
  </si>
  <si>
    <t>기계 및 장비 중개업</t>
  </si>
  <si>
    <t>그 외 기타 특정 상품 중개업</t>
    <phoneticPr fontId="3" type="noConversion"/>
  </si>
  <si>
    <t>그 외 기타 특정 상품 중개업</t>
  </si>
  <si>
    <t>상품 종합 중개업</t>
    <phoneticPr fontId="3" type="noConversion"/>
  </si>
  <si>
    <t>상품 종합 중개업</t>
  </si>
  <si>
    <t>수출주선</t>
  </si>
  <si>
    <t>기타주선</t>
  </si>
  <si>
    <t>상품대리</t>
  </si>
  <si>
    <t>위탁판매(아동용 급식빵, 우유보급)</t>
  </si>
  <si>
    <t>법정도매시장 중매인</t>
  </si>
  <si>
    <t>512</t>
  </si>
  <si>
    <t>산업용 농ㆍ축산물 및 동ㆍ식물 도매업</t>
  </si>
  <si>
    <t>5121</t>
  </si>
  <si>
    <t>46201</t>
  </si>
  <si>
    <t>462</t>
  </si>
  <si>
    <t>4620</t>
  </si>
  <si>
    <t>식량작물</t>
  </si>
  <si>
    <t>법정도매시장 중도매인</t>
  </si>
  <si>
    <t>46202</t>
  </si>
  <si>
    <t>종자</t>
  </si>
  <si>
    <t>음ㆍ식료품 및 담배 도매업</t>
  </si>
  <si>
    <t>가공식품 도매업</t>
  </si>
  <si>
    <t>46329</t>
  </si>
  <si>
    <t>463</t>
  </si>
  <si>
    <t>4632</t>
  </si>
  <si>
    <t>곡물가루</t>
  </si>
  <si>
    <t>유지작물</t>
  </si>
  <si>
    <t>46203</t>
  </si>
  <si>
    <t>46204</t>
  </si>
  <si>
    <t>과실수, 관상수</t>
  </si>
  <si>
    <t>화초</t>
  </si>
  <si>
    <t>생화(법정도매시장)</t>
  </si>
  <si>
    <t>묘목</t>
  </si>
  <si>
    <t>46205</t>
  </si>
  <si>
    <t>46209</t>
  </si>
  <si>
    <t>관상용 열대어 등</t>
  </si>
  <si>
    <t>5122</t>
  </si>
  <si>
    <t>신선 식품 및 단순 가공 식품 도매업</t>
  </si>
  <si>
    <t>46311</t>
  </si>
  <si>
    <t>4631</t>
  </si>
  <si>
    <t>46312</t>
  </si>
  <si>
    <t>과실(법정도매시장)</t>
  </si>
  <si>
    <t>채소(법정도매시장)</t>
  </si>
  <si>
    <t>임산물(일반)</t>
  </si>
  <si>
    <t>임산물(법정도매시장)</t>
  </si>
  <si>
    <t>46313</t>
  </si>
  <si>
    <t>축산물(법정도매시장)</t>
  </si>
  <si>
    <t>46315</t>
  </si>
  <si>
    <t>생선(일반)</t>
  </si>
  <si>
    <t>냉동수산물(일반)</t>
  </si>
  <si>
    <t>46314</t>
  </si>
  <si>
    <t>생선(법정도매시장)</t>
  </si>
  <si>
    <t>냉동수산물(법정도매시장)</t>
  </si>
  <si>
    <t>기타수산물(법정도매시장)</t>
  </si>
  <si>
    <t>46323</t>
  </si>
  <si>
    <t>빵류(식빵 등)</t>
  </si>
  <si>
    <t>고급빵류(케이크, 피자 등)</t>
  </si>
  <si>
    <t>과자류, 초코릿</t>
  </si>
  <si>
    <t>식용 빙과</t>
  </si>
  <si>
    <t>음료 및 담배 도매업</t>
  </si>
  <si>
    <t>46331</t>
  </si>
  <si>
    <t>4633</t>
  </si>
  <si>
    <t>약주, 탁주</t>
  </si>
  <si>
    <t>46332</t>
  </si>
  <si>
    <t>46321</t>
  </si>
  <si>
    <t>46326</t>
  </si>
  <si>
    <t>46325</t>
  </si>
  <si>
    <t>라면</t>
  </si>
  <si>
    <t>국수 및 인스턴트면류</t>
  </si>
  <si>
    <t>과실 및 채소 가공식품</t>
  </si>
  <si>
    <t>46319</t>
  </si>
  <si>
    <t>46324</t>
  </si>
  <si>
    <t>연유, 시유(양유포함)</t>
  </si>
  <si>
    <t>식물성 유지</t>
  </si>
  <si>
    <t>기타(전분, 만두, 물엿 등)</t>
  </si>
  <si>
    <t>동물성 유지</t>
  </si>
  <si>
    <t>46333</t>
  </si>
  <si>
    <t>조제건강식품</t>
  </si>
  <si>
    <t>인삼제품</t>
  </si>
  <si>
    <t>46322</t>
  </si>
  <si>
    <t>분유</t>
  </si>
  <si>
    <t>발효유(야쿠르트) 및 치즈</t>
  </si>
  <si>
    <t>김치, 단무지</t>
  </si>
  <si>
    <t>513</t>
  </si>
  <si>
    <t>생활용품 도매업</t>
  </si>
  <si>
    <t>5131</t>
  </si>
  <si>
    <t>생활용 섬유제품, 의복, 의복 액세서리 및 모피제품 도매업</t>
  </si>
  <si>
    <t>46411</t>
  </si>
  <si>
    <t>464</t>
  </si>
  <si>
    <t>4641</t>
  </si>
  <si>
    <t>46412</t>
  </si>
  <si>
    <t>침구용품</t>
  </si>
  <si>
    <t>커튼</t>
  </si>
  <si>
    <t>46419</t>
  </si>
  <si>
    <t>겉옷</t>
  </si>
  <si>
    <t>46413</t>
  </si>
  <si>
    <t>셔츠</t>
  </si>
  <si>
    <t>46414</t>
  </si>
  <si>
    <t>46415</t>
  </si>
  <si>
    <t>46420</t>
  </si>
  <si>
    <t>4642</t>
  </si>
  <si>
    <t>46416</t>
  </si>
  <si>
    <t>46417</t>
  </si>
  <si>
    <t>의복 액세서리</t>
  </si>
  <si>
    <t>5132</t>
  </si>
  <si>
    <t>생활용 가구, 조명기구 및 비전기식 생활용기기 도매업</t>
  </si>
  <si>
    <t>46431</t>
  </si>
  <si>
    <t>4643</t>
  </si>
  <si>
    <t>기계장비 및 관련 물품 도매업</t>
  </si>
  <si>
    <t>가전제품, 통신장비 및 부품 도매업</t>
  </si>
  <si>
    <t>46521</t>
  </si>
  <si>
    <t>465</t>
  </si>
  <si>
    <t>4652</t>
  </si>
  <si>
    <t>46433</t>
  </si>
  <si>
    <t>생활용 목재제품, 주방용 금속제품 등</t>
  </si>
  <si>
    <t>기타 기계 및 장비 도매업</t>
  </si>
  <si>
    <t>46599</t>
  </si>
  <si>
    <t>4659</t>
  </si>
  <si>
    <t>자동판매기</t>
  </si>
  <si>
    <t>46432</t>
  </si>
  <si>
    <t>음반 및 비디오물, 악기, 오락 및 경기용품 도매업</t>
  </si>
  <si>
    <t>46462</t>
  </si>
  <si>
    <t>4646</t>
  </si>
  <si>
    <t>46461</t>
  </si>
  <si>
    <t>카펫, 융단, 자리</t>
  </si>
  <si>
    <t>건축 자재, 철물 및 난방장치 도매업</t>
  </si>
  <si>
    <t>기타 건축자재 도매업</t>
  </si>
  <si>
    <t>46692</t>
  </si>
  <si>
    <t>466</t>
  </si>
  <si>
    <t>4669</t>
  </si>
  <si>
    <t>생활용 요업제품, 유리제품</t>
  </si>
  <si>
    <t>주방용 요업제품</t>
    <phoneticPr fontId="18" type="noConversion"/>
  </si>
  <si>
    <t>싱크대 및 조리대</t>
  </si>
  <si>
    <t>가정용 비전기식 조리 및 난방기구</t>
  </si>
  <si>
    <t>비전기식 이ㆍ미용기구</t>
  </si>
  <si>
    <t>46439</t>
  </si>
  <si>
    <t>46465</t>
  </si>
  <si>
    <t>유모차</t>
  </si>
  <si>
    <t>기타 전문 도매업</t>
  </si>
  <si>
    <t>재생용 재료 및 기타 상품 전문 도매업</t>
  </si>
  <si>
    <t>46799</t>
  </si>
  <si>
    <t>467</t>
  </si>
  <si>
    <t>4679</t>
  </si>
  <si>
    <t>총포</t>
  </si>
  <si>
    <t>5133</t>
  </si>
  <si>
    <t>의약품, 의료용품 및 화장품 도매업</t>
  </si>
  <si>
    <t>46441</t>
  </si>
  <si>
    <t>4644</t>
  </si>
  <si>
    <t>각종 한약류</t>
  </si>
  <si>
    <t>46442</t>
  </si>
  <si>
    <t>46443</t>
  </si>
  <si>
    <t>46444</t>
  </si>
  <si>
    <t>5134</t>
  </si>
  <si>
    <t>생활용 포장ㆍ위생용품, 문구용품 및 출판 인쇄물 도매업</t>
  </si>
  <si>
    <t>46451</t>
  </si>
  <si>
    <t>4645</t>
  </si>
  <si>
    <t>46750</t>
  </si>
  <si>
    <t>4675</t>
  </si>
  <si>
    <t>플라스틱필름, 폴리에틸렌필름</t>
  </si>
  <si>
    <t>46453</t>
  </si>
  <si>
    <t>46452</t>
  </si>
  <si>
    <t>5139</t>
  </si>
  <si>
    <t>가방, 시계, 안경 및 기타 생활용품 도매업</t>
  </si>
  <si>
    <t>46493</t>
  </si>
  <si>
    <t>4649</t>
  </si>
  <si>
    <t>광학용품</t>
  </si>
  <si>
    <t>사진장비</t>
  </si>
  <si>
    <t>안경</t>
  </si>
  <si>
    <t>모조 장신구</t>
  </si>
  <si>
    <t>46463</t>
  </si>
  <si>
    <t>46492</t>
  </si>
  <si>
    <t>시계</t>
  </si>
  <si>
    <t>제품화 하거나 세공하지 않은 황금</t>
  </si>
  <si>
    <t>귀금속</t>
  </si>
  <si>
    <t>46464</t>
  </si>
  <si>
    <t>골프장비</t>
  </si>
  <si>
    <t>낚시도구</t>
  </si>
  <si>
    <t>46491</t>
  </si>
  <si>
    <t>의복부착물</t>
  </si>
  <si>
    <t>46499</t>
  </si>
  <si>
    <t>514</t>
  </si>
  <si>
    <t>5141</t>
  </si>
  <si>
    <t>연료, 연료용 광물 및 관련제품 도매업</t>
  </si>
  <si>
    <t>46711</t>
  </si>
  <si>
    <t>4671</t>
  </si>
  <si>
    <t>연탄</t>
  </si>
  <si>
    <t>46712</t>
  </si>
  <si>
    <t>아스팔트</t>
  </si>
  <si>
    <t>46713</t>
  </si>
  <si>
    <t>5142</t>
  </si>
  <si>
    <t>1차 금속제품 및 금속광물 도매업</t>
  </si>
  <si>
    <t>4672</t>
  </si>
  <si>
    <t>철근</t>
  </si>
  <si>
    <t>46721</t>
  </si>
  <si>
    <t>관</t>
  </si>
  <si>
    <t>함석, 철판 등</t>
  </si>
  <si>
    <t>판재</t>
  </si>
  <si>
    <t>선재</t>
  </si>
  <si>
    <t>46722</t>
  </si>
  <si>
    <t>연, 주물</t>
  </si>
  <si>
    <t>동관 및 기타</t>
  </si>
  <si>
    <t>5143</t>
  </si>
  <si>
    <t>일반 건축자재 도매업</t>
  </si>
  <si>
    <t>46611</t>
  </si>
  <si>
    <t>4661</t>
  </si>
  <si>
    <t>46612</t>
  </si>
  <si>
    <t>시멘트</t>
  </si>
  <si>
    <t>46613</t>
  </si>
  <si>
    <t>골재</t>
  </si>
  <si>
    <t>46691</t>
  </si>
  <si>
    <t>냉ㆍ난방장치 및 철물, 수공구 도매업</t>
  </si>
  <si>
    <t>46622</t>
  </si>
  <si>
    <t>4662</t>
  </si>
  <si>
    <t>46621</t>
  </si>
  <si>
    <t>46699</t>
  </si>
  <si>
    <t>조립식 건축자재 세트</t>
  </si>
  <si>
    <t>벽돌</t>
  </si>
  <si>
    <t>정화조</t>
  </si>
  <si>
    <t>5149</t>
  </si>
  <si>
    <t>화학 물질 및 화학제품 도매업</t>
  </si>
  <si>
    <t>46739</t>
  </si>
  <si>
    <t>4673</t>
  </si>
  <si>
    <t>유황, 산소</t>
  </si>
  <si>
    <t>탄산나트륨</t>
  </si>
  <si>
    <t>46733</t>
  </si>
  <si>
    <t>생고무</t>
  </si>
  <si>
    <t>46731</t>
  </si>
  <si>
    <t>46732</t>
  </si>
  <si>
    <t>비료</t>
  </si>
  <si>
    <t>농약</t>
  </si>
  <si>
    <t>방직용 섬유, 실 및 직물 도매업</t>
  </si>
  <si>
    <t>46741</t>
  </si>
  <si>
    <t>4674</t>
  </si>
  <si>
    <t>46742</t>
  </si>
  <si>
    <t>46791</t>
  </si>
  <si>
    <t>기타 산업용 중간재</t>
  </si>
  <si>
    <t>515</t>
  </si>
  <si>
    <t>5150</t>
  </si>
  <si>
    <t>산업용 기계 및 장비 도매업</t>
  </si>
  <si>
    <t>46531</t>
  </si>
  <si>
    <t>4653</t>
  </si>
  <si>
    <t>46532</t>
  </si>
  <si>
    <t>기중기, 호이스트</t>
  </si>
  <si>
    <t>46533</t>
  </si>
  <si>
    <t>46510</t>
  </si>
  <si>
    <t>4651</t>
  </si>
  <si>
    <t>46591</t>
  </si>
  <si>
    <t>46522</t>
  </si>
  <si>
    <t>46595</t>
  </si>
  <si>
    <t>46596</t>
  </si>
  <si>
    <t>46592</t>
  </si>
  <si>
    <t>46593</t>
  </si>
  <si>
    <t>46539</t>
  </si>
  <si>
    <t>리어카, 휠체어</t>
  </si>
  <si>
    <t>46594</t>
  </si>
  <si>
    <t>519</t>
  </si>
  <si>
    <t>5191</t>
  </si>
  <si>
    <t>46800</t>
  </si>
  <si>
    <t>468</t>
  </si>
  <si>
    <t>4680</t>
  </si>
  <si>
    <t>직수출, 대행(위탁)수출</t>
  </si>
  <si>
    <t>수입한 산업용 재화 도소매</t>
  </si>
  <si>
    <t>수입한 기타 물품 도소매</t>
  </si>
  <si>
    <t>5199</t>
  </si>
  <si>
    <t xml:space="preserve">휘, 트로피, 페난트, 뺏지, 메달 등 </t>
  </si>
  <si>
    <t>52</t>
  </si>
  <si>
    <t>521</t>
  </si>
  <si>
    <t>종합 소매업</t>
  </si>
  <si>
    <t>5211</t>
  </si>
  <si>
    <t>음ㆍ식료품 위주 종합 소매업</t>
  </si>
  <si>
    <t>47121</t>
  </si>
  <si>
    <t>471</t>
  </si>
  <si>
    <t>4712</t>
  </si>
  <si>
    <t>5219</t>
  </si>
  <si>
    <t>대형 종합 소매업</t>
  </si>
  <si>
    <t>47111</t>
  </si>
  <si>
    <t>4711</t>
  </si>
  <si>
    <t>47119</t>
  </si>
  <si>
    <t>47112</t>
  </si>
  <si>
    <t>47130</t>
  </si>
  <si>
    <t>4713</t>
  </si>
  <si>
    <t>47190</t>
  </si>
  <si>
    <t>4719</t>
  </si>
  <si>
    <t>47122</t>
  </si>
  <si>
    <t>522</t>
  </si>
  <si>
    <t>음ㆍ식료품 및 담배 소매업</t>
  </si>
  <si>
    <t>5220</t>
  </si>
  <si>
    <t>식료품 소매업</t>
  </si>
  <si>
    <t>47211</t>
  </si>
  <si>
    <t>472</t>
  </si>
  <si>
    <t>4721</t>
  </si>
  <si>
    <t>가축용사료</t>
  </si>
  <si>
    <t>47212</t>
  </si>
  <si>
    <t>47214</t>
  </si>
  <si>
    <t>47213</t>
  </si>
  <si>
    <t>47215</t>
  </si>
  <si>
    <t>채소 및 뿌리작물</t>
  </si>
  <si>
    <t>과실</t>
  </si>
  <si>
    <t>47216</t>
  </si>
  <si>
    <t>설탕</t>
  </si>
  <si>
    <t>47219</t>
  </si>
  <si>
    <t>제조하여 소매</t>
  </si>
  <si>
    <t>종합 소매업</t>
    <phoneticPr fontId="3" type="noConversion"/>
  </si>
  <si>
    <t>47129</t>
  </si>
  <si>
    <t>음료 및 담배 소매업</t>
  </si>
  <si>
    <t>47222</t>
  </si>
  <si>
    <t>4722</t>
  </si>
  <si>
    <t>기타 생활용품 소매업</t>
    <phoneticPr fontId="3" type="noConversion"/>
  </si>
  <si>
    <t>그 외 기타 가정용품 소매업</t>
  </si>
  <si>
    <t>47599</t>
  </si>
  <si>
    <t>475</t>
  </si>
  <si>
    <t>기타 생활용품 소매업</t>
  </si>
  <si>
    <t>4759</t>
  </si>
  <si>
    <t>쓰레기봉투</t>
  </si>
  <si>
    <t>47217</t>
  </si>
  <si>
    <t>홍삼과 홍삼제품</t>
  </si>
  <si>
    <t>기타 상품 전문 소매업</t>
    <phoneticPr fontId="3" type="noConversion"/>
  </si>
  <si>
    <t>그 외 기타 상품 전문 소매업</t>
  </si>
  <si>
    <t>47859</t>
  </si>
  <si>
    <t>478</t>
  </si>
  <si>
    <t>기타 상품 전문 소매업</t>
  </si>
  <si>
    <t>4785</t>
  </si>
  <si>
    <t>음료 소매업</t>
    <phoneticPr fontId="3" type="noConversion"/>
  </si>
  <si>
    <t>47221</t>
  </si>
  <si>
    <t>얼음</t>
  </si>
  <si>
    <t>알콜성음료</t>
  </si>
  <si>
    <t>우유</t>
  </si>
  <si>
    <t>자기명의 외판원 수수료</t>
  </si>
  <si>
    <t>5221</t>
  </si>
  <si>
    <t>한약업사</t>
  </si>
  <si>
    <t>47218</t>
  </si>
  <si>
    <t>523</t>
  </si>
  <si>
    <t>5231</t>
  </si>
  <si>
    <t>의약품, 의료용 기구, 화장품 및 방향제 소매업</t>
  </si>
  <si>
    <t>4781</t>
  </si>
  <si>
    <t>의약품</t>
  </si>
  <si>
    <t>47811</t>
  </si>
  <si>
    <t>한약소매 등</t>
    <phoneticPr fontId="18" type="noConversion"/>
  </si>
  <si>
    <t>의료용품</t>
  </si>
  <si>
    <t>47812</t>
  </si>
  <si>
    <t>47813</t>
  </si>
  <si>
    <t>무점포 소매업</t>
  </si>
  <si>
    <t>기타 무점포 소매업</t>
  </si>
  <si>
    <t>47993</t>
  </si>
  <si>
    <t>479</t>
  </si>
  <si>
    <t>4799</t>
  </si>
  <si>
    <t>자기명의의 화장품 외판원</t>
  </si>
  <si>
    <t>섬유, 의복, 신발 및 가죽제품 소매업</t>
  </si>
  <si>
    <t>5232</t>
  </si>
  <si>
    <t>섬유, 직물 및 의복 액세서리 소매업</t>
  </si>
  <si>
    <t>47429</t>
  </si>
  <si>
    <t>474</t>
  </si>
  <si>
    <t>4742</t>
  </si>
  <si>
    <t>한복지</t>
  </si>
  <si>
    <t>의복 소매업</t>
  </si>
  <si>
    <t>47413</t>
  </si>
  <si>
    <t>4741</t>
  </si>
  <si>
    <t>47417</t>
  </si>
  <si>
    <t>47414</t>
  </si>
  <si>
    <t>47411</t>
  </si>
  <si>
    <t>47412</t>
  </si>
  <si>
    <t>47415</t>
  </si>
  <si>
    <t>47416</t>
  </si>
  <si>
    <t>47419</t>
  </si>
  <si>
    <t>47430</t>
  </si>
  <si>
    <t>4743</t>
  </si>
  <si>
    <t>구두, 캐주얼화</t>
  </si>
  <si>
    <t>47422</t>
  </si>
  <si>
    <t>47440</t>
  </si>
  <si>
    <t>4744</t>
  </si>
  <si>
    <t>실</t>
  </si>
  <si>
    <t>5233</t>
  </si>
  <si>
    <t>47520</t>
  </si>
  <si>
    <t>4752</t>
  </si>
  <si>
    <t>금속제가구</t>
  </si>
  <si>
    <t>가구 전문 판매 대리점(성실신고 회원)</t>
  </si>
  <si>
    <t>가전제품 및 정보 통신장비 소매업</t>
  </si>
  <si>
    <t>473</t>
  </si>
  <si>
    <t>4732</t>
  </si>
  <si>
    <t>컴퓨터 및 주변장치, 소프트웨어 및 통신기기 소매업</t>
  </si>
  <si>
    <t>47312</t>
  </si>
  <si>
    <t>4731</t>
  </si>
  <si>
    <t>47320</t>
  </si>
  <si>
    <t>가스렌지</t>
  </si>
  <si>
    <t>싱크대</t>
  </si>
  <si>
    <t>47592</t>
  </si>
  <si>
    <t>47593</t>
  </si>
  <si>
    <t>피아노</t>
  </si>
  <si>
    <t>기타악기</t>
  </si>
  <si>
    <t>47591</t>
  </si>
  <si>
    <t>커튼, 카페트</t>
  </si>
  <si>
    <t>47421</t>
  </si>
  <si>
    <t>등세공품, 조물제품 및 기타 목제품, 고공품 및 돗자리, 죽세공품</t>
  </si>
  <si>
    <t>전기식 정수기</t>
  </si>
  <si>
    <t>5234</t>
  </si>
  <si>
    <t>철물, 공구, 창호 및 건설자재 소매업</t>
  </si>
  <si>
    <t>4751</t>
  </si>
  <si>
    <t>철물</t>
  </si>
  <si>
    <t>47511</t>
  </si>
  <si>
    <t>난방용구</t>
  </si>
  <si>
    <t>47512</t>
  </si>
  <si>
    <t>농업용</t>
  </si>
  <si>
    <t>47519</t>
  </si>
  <si>
    <t>페인트</t>
  </si>
  <si>
    <t>가정용 유리제품</t>
    <phoneticPr fontId="18" type="noConversion"/>
  </si>
  <si>
    <t>철근, 각종 타일, 위생용도기</t>
  </si>
  <si>
    <t>하드보드, 목재류</t>
  </si>
  <si>
    <t>문화, 오락 및 여가 용품 소매업</t>
  </si>
  <si>
    <t>5235</t>
  </si>
  <si>
    <t>서적 및 문구용품 소매업</t>
  </si>
  <si>
    <t>47611</t>
  </si>
  <si>
    <t>476</t>
  </si>
  <si>
    <t>4761</t>
  </si>
  <si>
    <t>47612</t>
  </si>
  <si>
    <t>교구</t>
  </si>
  <si>
    <t>47311</t>
  </si>
  <si>
    <t>사무용 기기, 안경, 사진장비 및 정밀기기 소매업</t>
  </si>
  <si>
    <t>47821</t>
  </si>
  <si>
    <t>4782</t>
  </si>
  <si>
    <t>47822</t>
  </si>
  <si>
    <t>47823</t>
  </si>
  <si>
    <t>47829</t>
  </si>
  <si>
    <t>5236</t>
  </si>
  <si>
    <t>가정용 연료 소매업</t>
  </si>
  <si>
    <t>47721</t>
  </si>
  <si>
    <t>4772</t>
  </si>
  <si>
    <t>무연탄, 연탄을 제외한 석탄연료, 유연탄, 토탄</t>
  </si>
  <si>
    <t>47722</t>
  </si>
  <si>
    <t>47723</t>
  </si>
  <si>
    <t>5239</t>
  </si>
  <si>
    <t>47513</t>
  </si>
  <si>
    <t>47830</t>
  </si>
  <si>
    <t>4783</t>
  </si>
  <si>
    <t>제품화하거나 세공하지 않은 황금</t>
  </si>
  <si>
    <t>운동용품 및 자전거 소매업</t>
  </si>
  <si>
    <t>47631</t>
  </si>
  <si>
    <t>4763</t>
  </si>
  <si>
    <t>등산용의류</t>
  </si>
  <si>
    <t>스포츠의류</t>
  </si>
  <si>
    <t>47640</t>
  </si>
  <si>
    <t>4764</t>
  </si>
  <si>
    <t>예술품, 기념품 및 장식용품 소매업</t>
  </si>
  <si>
    <t>4784</t>
  </si>
  <si>
    <t>47841</t>
  </si>
  <si>
    <t>화랑(미술품)</t>
  </si>
  <si>
    <t>수석</t>
  </si>
  <si>
    <t>47842</t>
  </si>
  <si>
    <t>47632</t>
  </si>
  <si>
    <t>47620</t>
  </si>
  <si>
    <t>4762</t>
  </si>
  <si>
    <t>우산, 양산</t>
  </si>
  <si>
    <t>이ㆍ 미용기구</t>
  </si>
  <si>
    <t>도장(인장류)</t>
  </si>
  <si>
    <t>우표</t>
  </si>
  <si>
    <t>인지</t>
  </si>
  <si>
    <t>소방기구</t>
  </si>
  <si>
    <t>47851</t>
  </si>
  <si>
    <t>피혁류</t>
  </si>
  <si>
    <t>살충제 등 농업용약품</t>
  </si>
  <si>
    <t>47852</t>
  </si>
  <si>
    <t>524</t>
  </si>
  <si>
    <t>5240</t>
  </si>
  <si>
    <t>가발</t>
  </si>
  <si>
    <t>중고 상품 소매업</t>
  </si>
  <si>
    <t>47861</t>
  </si>
  <si>
    <t>4786</t>
  </si>
  <si>
    <t>47869</t>
  </si>
  <si>
    <t>중고서적</t>
  </si>
  <si>
    <t>고철 등 각종고물</t>
  </si>
  <si>
    <t>47862</t>
  </si>
  <si>
    <t>525</t>
  </si>
  <si>
    <t>5251</t>
  </si>
  <si>
    <t>통신 판매업</t>
  </si>
  <si>
    <t>47912</t>
  </si>
  <si>
    <t>4791</t>
  </si>
  <si>
    <t>47919</t>
  </si>
  <si>
    <t>47911</t>
  </si>
  <si>
    <t>소매업; 자동차 제외</t>
    <phoneticPr fontId="3" type="noConversion"/>
  </si>
  <si>
    <t>SNS마켓(전자상거래 소매중개업)</t>
    <phoneticPr fontId="3" type="noConversion"/>
  </si>
  <si>
    <t>SNS마켓(전자상거래 소매업)</t>
    <phoneticPr fontId="3" type="noConversion"/>
  </si>
  <si>
    <t>해외직구대행업</t>
  </si>
  <si>
    <t>해외직구대행(전자상거래 소매중개업)</t>
    <phoneticPr fontId="3" type="noConversion"/>
  </si>
  <si>
    <t>해외직구대행(상품중개업)</t>
  </si>
  <si>
    <t>5252</t>
  </si>
  <si>
    <t>다단계 판매원</t>
  </si>
  <si>
    <t>5253</t>
  </si>
  <si>
    <t>47992</t>
  </si>
  <si>
    <t>5259</t>
  </si>
  <si>
    <t>47991</t>
  </si>
  <si>
    <t>47920</t>
  </si>
  <si>
    <t>4792</t>
  </si>
  <si>
    <t>47999</t>
  </si>
  <si>
    <t>7499</t>
  </si>
  <si>
    <t>물품매도확약서 발행업</t>
  </si>
  <si>
    <t>공병보증금제 공병취급 수수료</t>
  </si>
  <si>
    <t>H</t>
  </si>
  <si>
    <t>운수 및 창고업</t>
  </si>
  <si>
    <t>60</t>
  </si>
  <si>
    <t>육상 운송 및 파이프라인 운송업</t>
  </si>
  <si>
    <t>601</t>
  </si>
  <si>
    <t>육상 여객 운송업</t>
  </si>
  <si>
    <t>6010</t>
  </si>
  <si>
    <t>도시 정기 육상 여객 운송업</t>
  </si>
  <si>
    <t>49211</t>
  </si>
  <si>
    <t>49</t>
  </si>
  <si>
    <t>492</t>
  </si>
  <si>
    <t>4921</t>
  </si>
  <si>
    <t>철도 운송업</t>
  </si>
  <si>
    <t>49101</t>
  </si>
  <si>
    <t>491</t>
  </si>
  <si>
    <t>4910</t>
  </si>
  <si>
    <t>49102</t>
  </si>
  <si>
    <t>602</t>
  </si>
  <si>
    <t>6021</t>
  </si>
  <si>
    <t>49220</t>
  </si>
  <si>
    <t>4922</t>
  </si>
  <si>
    <t>고속버스</t>
  </si>
  <si>
    <t>49212</t>
  </si>
  <si>
    <t>49219</t>
  </si>
  <si>
    <t>공항버스</t>
  </si>
  <si>
    <t>6022</t>
  </si>
  <si>
    <t>부정기 육상 여객 운송업</t>
  </si>
  <si>
    <t>49231</t>
  </si>
  <si>
    <t>4923</t>
  </si>
  <si>
    <t>모범택시</t>
  </si>
  <si>
    <t>직영 시내버스</t>
  </si>
  <si>
    <t>직영 시외버스</t>
  </si>
  <si>
    <t>49232</t>
  </si>
  <si>
    <t>직영 택시</t>
  </si>
  <si>
    <t>49239</t>
  </si>
  <si>
    <t>도로 화물 운송업</t>
  </si>
  <si>
    <t>6023</t>
  </si>
  <si>
    <t>493</t>
  </si>
  <si>
    <t>4930</t>
  </si>
  <si>
    <t>49301</t>
  </si>
  <si>
    <t>대형 화물 자동차(5톤 이상)</t>
  </si>
  <si>
    <t>덤프트럭(12톤 미만)</t>
  </si>
  <si>
    <t>덤프트럭(12톤 이상)</t>
  </si>
  <si>
    <t>대형 특수 자동차(10톤 이상)</t>
  </si>
  <si>
    <t>49233</t>
  </si>
  <si>
    <t>49302</t>
  </si>
  <si>
    <t>1톤이하 도시내 주행거리요금</t>
  </si>
  <si>
    <t>1톤이하 이사화물</t>
  </si>
  <si>
    <t>49303</t>
  </si>
  <si>
    <t>1톤초과 5톤미만 이사화물</t>
  </si>
  <si>
    <t>창고 및 운송관련 서비스업</t>
  </si>
  <si>
    <t>기타 운송관련 서비스업</t>
  </si>
  <si>
    <t>그 외 기타 운송관련 서비스업</t>
  </si>
  <si>
    <t>52992</t>
  </si>
  <si>
    <t>529</t>
  </si>
  <si>
    <t>5299</t>
  </si>
  <si>
    <t>자기명의 화물운송 주선</t>
  </si>
  <si>
    <t>49309</t>
  </si>
  <si>
    <t>수출입컨테이너, 시멘트, 철강재, 위험물질 운송</t>
    <phoneticPr fontId="3" type="noConversion"/>
  </si>
  <si>
    <t>가전제품 운송</t>
    <phoneticPr fontId="3" type="noConversion"/>
  </si>
  <si>
    <t>603</t>
  </si>
  <si>
    <t>6030</t>
  </si>
  <si>
    <t>49500</t>
  </si>
  <si>
    <t>495</t>
  </si>
  <si>
    <t>4950</t>
  </si>
  <si>
    <t>61</t>
  </si>
  <si>
    <t>수상 운송업</t>
  </si>
  <si>
    <t>611</t>
  </si>
  <si>
    <t>해상 운송업</t>
  </si>
  <si>
    <t>6110</t>
  </si>
  <si>
    <t>내항 운송업</t>
  </si>
  <si>
    <t>50121</t>
  </si>
  <si>
    <t>외항 운송업</t>
  </si>
  <si>
    <t>50112</t>
  </si>
  <si>
    <t>50122</t>
  </si>
  <si>
    <t>50130</t>
  </si>
  <si>
    <t>50111</t>
  </si>
  <si>
    <t>612</t>
  </si>
  <si>
    <t>내륙 수상 및 항만 내 운송업</t>
  </si>
  <si>
    <t>6120</t>
  </si>
  <si>
    <t>50201</t>
  </si>
  <si>
    <t>502</t>
  </si>
  <si>
    <t>5020</t>
  </si>
  <si>
    <t>50202</t>
  </si>
  <si>
    <t>50209</t>
  </si>
  <si>
    <t>화물 취급업</t>
  </si>
  <si>
    <t>52942</t>
  </si>
  <si>
    <t>5294</t>
  </si>
  <si>
    <t>강ㆍ운하, 항만내 화물운송</t>
  </si>
  <si>
    <t>62</t>
  </si>
  <si>
    <t>항공 운송업</t>
  </si>
  <si>
    <t>621</t>
  </si>
  <si>
    <t>6210</t>
  </si>
  <si>
    <t>51100</t>
  </si>
  <si>
    <t>5110</t>
  </si>
  <si>
    <t>51200</t>
  </si>
  <si>
    <t>5120</t>
  </si>
  <si>
    <t>63</t>
  </si>
  <si>
    <t>630</t>
  </si>
  <si>
    <t>6301</t>
  </si>
  <si>
    <t>52941</t>
  </si>
  <si>
    <t>보관 및 창고업</t>
  </si>
  <si>
    <t>6302</t>
  </si>
  <si>
    <t>52101</t>
  </si>
  <si>
    <t>5210</t>
  </si>
  <si>
    <t>52102</t>
  </si>
  <si>
    <t>52103</t>
  </si>
  <si>
    <t>52104</t>
  </si>
  <si>
    <t>52109</t>
  </si>
  <si>
    <t>6303</t>
  </si>
  <si>
    <t>육상 운송 지원 서비스업</t>
  </si>
  <si>
    <t>52911</t>
  </si>
  <si>
    <t>5291</t>
  </si>
  <si>
    <t>52912</t>
  </si>
  <si>
    <t>52915</t>
  </si>
  <si>
    <t>52913</t>
  </si>
  <si>
    <t>52919</t>
  </si>
  <si>
    <t>52914</t>
  </si>
  <si>
    <t>6304</t>
  </si>
  <si>
    <t>수상 운송 지원 서비스업</t>
  </si>
  <si>
    <t>52929</t>
  </si>
  <si>
    <t>5292</t>
  </si>
  <si>
    <t>선박 구난 및 인양</t>
  </si>
  <si>
    <t>도선사</t>
  </si>
  <si>
    <t>52921</t>
  </si>
  <si>
    <t>6305</t>
  </si>
  <si>
    <t>항공 운송 지원 서비스업</t>
  </si>
  <si>
    <t>52939</t>
  </si>
  <si>
    <t>5293</t>
  </si>
  <si>
    <t>52931</t>
  </si>
  <si>
    <t>6307</t>
  </si>
  <si>
    <t>지입 시내버스</t>
  </si>
  <si>
    <t>지입 시외버스</t>
  </si>
  <si>
    <t>지입 택시</t>
  </si>
  <si>
    <t>지입</t>
  </si>
  <si>
    <t>소화물 전문 운송업</t>
  </si>
  <si>
    <t>6309</t>
  </si>
  <si>
    <t>49401</t>
  </si>
  <si>
    <t>494</t>
  </si>
  <si>
    <t>4940</t>
  </si>
  <si>
    <t>49402</t>
  </si>
  <si>
    <t>52993</t>
  </si>
  <si>
    <t>포장이사</t>
  </si>
  <si>
    <t>52999</t>
  </si>
  <si>
    <t>64</t>
  </si>
  <si>
    <t>육상 운송 및 파이프라인 운송업</t>
    <phoneticPr fontId="3" type="noConversion"/>
  </si>
  <si>
    <t>641</t>
  </si>
  <si>
    <t>6412</t>
  </si>
  <si>
    <t>서신송달, 소화물 수집ㆍ운반ㆍ배달</t>
  </si>
  <si>
    <t>52991</t>
  </si>
  <si>
    <t>관세사</t>
  </si>
  <si>
    <t>고속도로 통행료 징수대행</t>
  </si>
  <si>
    <t>I</t>
  </si>
  <si>
    <t>숙박 및 음식점업</t>
  </si>
  <si>
    <t>55</t>
  </si>
  <si>
    <t>숙박업</t>
  </si>
  <si>
    <t>551</t>
  </si>
  <si>
    <t>일반 및 생활 숙박시설 운영업</t>
  </si>
  <si>
    <t>5510</t>
  </si>
  <si>
    <t>55101</t>
  </si>
  <si>
    <t>55102</t>
  </si>
  <si>
    <t>55103</t>
  </si>
  <si>
    <t>55104</t>
  </si>
  <si>
    <t>55109</t>
  </si>
  <si>
    <t>여인숙</t>
  </si>
  <si>
    <t>휴가센터 및 휴식소 운영</t>
  </si>
  <si>
    <t>야영장 및 캠프장 운영</t>
    <phoneticPr fontId="18" type="noConversion"/>
  </si>
  <si>
    <t>기타 숙박업</t>
  </si>
  <si>
    <t>55901</t>
  </si>
  <si>
    <t>559</t>
  </si>
  <si>
    <t>5590</t>
  </si>
  <si>
    <t>55909</t>
  </si>
  <si>
    <t>음식점 및 주점업</t>
  </si>
  <si>
    <t>552</t>
  </si>
  <si>
    <t>음식점업</t>
  </si>
  <si>
    <t>5521</t>
  </si>
  <si>
    <t>56111</t>
  </si>
  <si>
    <t>56</t>
  </si>
  <si>
    <t>561</t>
  </si>
  <si>
    <t>5611</t>
  </si>
  <si>
    <t>외국식 음식점업</t>
  </si>
  <si>
    <t>56121</t>
  </si>
  <si>
    <t>5612</t>
  </si>
  <si>
    <t>56122</t>
  </si>
  <si>
    <t>56123</t>
  </si>
  <si>
    <t>출장 및 이동 음식점업</t>
  </si>
  <si>
    <t>56141</t>
  </si>
  <si>
    <t>5614</t>
  </si>
  <si>
    <t>기타 간이 음식점업</t>
  </si>
  <si>
    <t>56193</t>
  </si>
  <si>
    <t>5619</t>
  </si>
  <si>
    <t>56194</t>
  </si>
  <si>
    <t>56130</t>
  </si>
  <si>
    <t>5613</t>
  </si>
  <si>
    <t>56112</t>
  </si>
  <si>
    <t>56113</t>
  </si>
  <si>
    <t>56114</t>
  </si>
  <si>
    <t>56129</t>
  </si>
  <si>
    <t>56192</t>
  </si>
  <si>
    <t>아이스크림 체인점</t>
  </si>
  <si>
    <t>56199</t>
  </si>
  <si>
    <t>주점 및 비알코올 음료점업</t>
  </si>
  <si>
    <t>5522</t>
  </si>
  <si>
    <t>주점업</t>
  </si>
  <si>
    <t>56211</t>
  </si>
  <si>
    <t>562</t>
  </si>
  <si>
    <t>5621</t>
  </si>
  <si>
    <t>고급주점(독립된 객실)</t>
  </si>
  <si>
    <t>빠, 비어홀, 극장식식당</t>
  </si>
  <si>
    <t>56212</t>
  </si>
  <si>
    <t>관광음식점, 외국인 전용 유흥음식점</t>
  </si>
  <si>
    <t>56213</t>
  </si>
  <si>
    <t>기타 유흥 주점</t>
  </si>
  <si>
    <t>기타 주점업</t>
    <phoneticPr fontId="3" type="noConversion"/>
  </si>
  <si>
    <t>단란주점</t>
  </si>
  <si>
    <t>56219</t>
  </si>
  <si>
    <t>기타 서양식 주점</t>
  </si>
  <si>
    <t>소주방</t>
    <phoneticPr fontId="18" type="noConversion"/>
  </si>
  <si>
    <t>홀덤펍</t>
    <phoneticPr fontId="3" type="noConversion"/>
  </si>
  <si>
    <t>5523</t>
  </si>
  <si>
    <t>56191</t>
  </si>
  <si>
    <t>비알코올 음료점업</t>
  </si>
  <si>
    <t>56221</t>
  </si>
  <si>
    <t>5622</t>
  </si>
  <si>
    <t>고속도로 휴게소 등 기타</t>
  </si>
  <si>
    <t>56229</t>
  </si>
  <si>
    <t>56142</t>
  </si>
  <si>
    <t>간이 양식</t>
  </si>
  <si>
    <t>J</t>
  </si>
  <si>
    <t>정보통신업</t>
  </si>
  <si>
    <t>출판업</t>
  </si>
  <si>
    <t>서적, 잡지 및 기타 인쇄물 출판업</t>
  </si>
  <si>
    <t>서적 출판업</t>
  </si>
  <si>
    <t>58113</t>
  </si>
  <si>
    <t>58</t>
  </si>
  <si>
    <t>581</t>
  </si>
  <si>
    <t>5811</t>
  </si>
  <si>
    <t>58111</t>
  </si>
  <si>
    <t>58112</t>
  </si>
  <si>
    <t>2212</t>
  </si>
  <si>
    <t>신문, 잡지 및 정기 간행물 출판업</t>
  </si>
  <si>
    <t>58122</t>
  </si>
  <si>
    <t>5812</t>
  </si>
  <si>
    <t>58121</t>
  </si>
  <si>
    <t>58123</t>
  </si>
  <si>
    <t>영상ㆍ오디오 기록물 제작 및 배급업</t>
  </si>
  <si>
    <t>오디오물 출판 및 원판 녹음업</t>
  </si>
  <si>
    <t>2213</t>
  </si>
  <si>
    <t>59201</t>
  </si>
  <si>
    <t>59</t>
  </si>
  <si>
    <t>592</t>
  </si>
  <si>
    <t>5920</t>
  </si>
  <si>
    <t>58190</t>
  </si>
  <si>
    <t>5819</t>
  </si>
  <si>
    <t>우편 및 통신업</t>
  </si>
  <si>
    <t>61100</t>
  </si>
  <si>
    <t>642</t>
  </si>
  <si>
    <t>전기 통신업</t>
  </si>
  <si>
    <t>6420</t>
  </si>
  <si>
    <t>61220</t>
  </si>
  <si>
    <t>6122</t>
  </si>
  <si>
    <t>기타 전기 통신업</t>
  </si>
  <si>
    <t>61291</t>
  </si>
  <si>
    <t>6129</t>
  </si>
  <si>
    <t>61299</t>
  </si>
  <si>
    <t>정보서비스업</t>
  </si>
  <si>
    <t>자료 처리, 호스팅, 포털 및 기타 인터넷 정보 매개 서비스업</t>
  </si>
  <si>
    <t>63120</t>
  </si>
  <si>
    <t>631</t>
  </si>
  <si>
    <t>6312</t>
  </si>
  <si>
    <t>61210</t>
  </si>
  <si>
    <t>6121</t>
  </si>
  <si>
    <t>72</t>
  </si>
  <si>
    <t>컴퓨터 프로그래밍, 시스템 통합 및 관리업</t>
  </si>
  <si>
    <t>721</t>
  </si>
  <si>
    <t>7210</t>
  </si>
  <si>
    <t>컴퓨터 시스템 통합 자문, 구축 및 관리업</t>
  </si>
  <si>
    <t>62021</t>
  </si>
  <si>
    <t>620</t>
  </si>
  <si>
    <t>6202</t>
  </si>
  <si>
    <t>62022</t>
  </si>
  <si>
    <t>722</t>
  </si>
  <si>
    <t>소프트웨어 개발 및 공급업</t>
  </si>
  <si>
    <t>7220</t>
  </si>
  <si>
    <t>시스템ㆍ응용 소프트웨어 개발 및 공급업</t>
  </si>
  <si>
    <t>58222</t>
  </si>
  <si>
    <t>582</t>
  </si>
  <si>
    <t>5822</t>
  </si>
  <si>
    <t>게임 소프트웨어 개발 및 공급업</t>
  </si>
  <si>
    <t>58211</t>
  </si>
  <si>
    <t>5821</t>
  </si>
  <si>
    <t>58212</t>
  </si>
  <si>
    <t>58219</t>
  </si>
  <si>
    <t>58221</t>
  </si>
  <si>
    <t>62010</t>
  </si>
  <si>
    <t>6201</t>
  </si>
  <si>
    <t>723</t>
  </si>
  <si>
    <t>7230</t>
  </si>
  <si>
    <t>자료 처리, 호스팅 및 관련 서비스업</t>
  </si>
  <si>
    <t>63111</t>
  </si>
  <si>
    <t>6311</t>
  </si>
  <si>
    <t>63112</t>
  </si>
  <si>
    <t>724</t>
  </si>
  <si>
    <t>기타 정보 서비스업</t>
  </si>
  <si>
    <t>7240</t>
  </si>
  <si>
    <t>63991</t>
  </si>
  <si>
    <t>639</t>
  </si>
  <si>
    <t>6399</t>
  </si>
  <si>
    <t>63910</t>
  </si>
  <si>
    <t>6391</t>
  </si>
  <si>
    <t>63999</t>
  </si>
  <si>
    <t>729</t>
  </si>
  <si>
    <t>7290</t>
  </si>
  <si>
    <t>62090</t>
  </si>
  <si>
    <t>6209</t>
  </si>
  <si>
    <t>921</t>
  </si>
  <si>
    <t>영화, 비디오물, 방송 프로그램 제작 및 배급업</t>
  </si>
  <si>
    <t>9211</t>
  </si>
  <si>
    <t>59130</t>
  </si>
  <si>
    <t>591</t>
  </si>
  <si>
    <t>5913</t>
  </si>
  <si>
    <t>9212</t>
  </si>
  <si>
    <t>영화 및 비디오물 상영업</t>
  </si>
  <si>
    <t>59141</t>
  </si>
  <si>
    <t>5914</t>
  </si>
  <si>
    <t>방송업</t>
  </si>
  <si>
    <t>9213</t>
  </si>
  <si>
    <t>60100</t>
  </si>
  <si>
    <t>텔레비전 방송업</t>
  </si>
  <si>
    <t>60210</t>
  </si>
  <si>
    <t>유선, 위성 및 기타 방송업</t>
  </si>
  <si>
    <t>60222</t>
  </si>
  <si>
    <t>영화, 비디오물 및 방송 프로그램 제작업</t>
  </si>
  <si>
    <t>59114</t>
  </si>
  <si>
    <t>5911</t>
  </si>
  <si>
    <t>60229</t>
  </si>
  <si>
    <t>60221</t>
  </si>
  <si>
    <t>9215</t>
  </si>
  <si>
    <t>59113</t>
  </si>
  <si>
    <t>59111</t>
  </si>
  <si>
    <t>59120</t>
  </si>
  <si>
    <t>5912</t>
  </si>
  <si>
    <t>59112</t>
  </si>
  <si>
    <t>924</t>
  </si>
  <si>
    <t>9249</t>
  </si>
  <si>
    <t>59202</t>
  </si>
  <si>
    <t>59142</t>
  </si>
  <si>
    <t>K</t>
  </si>
  <si>
    <t>금융 및 보험업</t>
  </si>
  <si>
    <t>금융업</t>
  </si>
  <si>
    <t>은행 및 저축기관</t>
  </si>
  <si>
    <t>6411</t>
  </si>
  <si>
    <t>중앙은행</t>
  </si>
  <si>
    <t>64110</t>
  </si>
  <si>
    <t>65</t>
  </si>
  <si>
    <t>659</t>
  </si>
  <si>
    <t>6592</t>
  </si>
  <si>
    <t>일반은행</t>
  </si>
  <si>
    <t>64121</t>
  </si>
  <si>
    <t>신용조합 및 저축기관</t>
  </si>
  <si>
    <t>64131</t>
  </si>
  <si>
    <t>6413</t>
  </si>
  <si>
    <t>기타 금융업</t>
  </si>
  <si>
    <t>여신 금융업</t>
  </si>
  <si>
    <t>64919</t>
  </si>
  <si>
    <t>649</t>
  </si>
  <si>
    <t>6491</t>
  </si>
  <si>
    <t>금융기관 이외</t>
  </si>
  <si>
    <t>전당포업</t>
  </si>
  <si>
    <t>64132</t>
  </si>
  <si>
    <t>64913</t>
  </si>
  <si>
    <t>64122</t>
  </si>
  <si>
    <t>기타 금융업</t>
    <phoneticPr fontId="3" type="noConversion"/>
  </si>
  <si>
    <t>64911</t>
  </si>
  <si>
    <t>64912</t>
  </si>
  <si>
    <t>6599</t>
  </si>
  <si>
    <t>64209</t>
  </si>
  <si>
    <t>그 외 기타 금융업</t>
  </si>
  <si>
    <t>64999</t>
  </si>
  <si>
    <t>6499</t>
  </si>
  <si>
    <t>신탁업 및 집합 투자업</t>
    <phoneticPr fontId="3" type="noConversion"/>
  </si>
  <si>
    <t>64201</t>
  </si>
  <si>
    <t>64991</t>
  </si>
  <si>
    <t>64992</t>
  </si>
  <si>
    <t>66</t>
  </si>
  <si>
    <t>보험 및 연금업</t>
  </si>
  <si>
    <t>660</t>
  </si>
  <si>
    <t>보험업</t>
  </si>
  <si>
    <t>6601</t>
  </si>
  <si>
    <t>65110</t>
  </si>
  <si>
    <t>651</t>
  </si>
  <si>
    <t>6511</t>
  </si>
  <si>
    <t>65200</t>
  </si>
  <si>
    <t>652</t>
  </si>
  <si>
    <t>6520</t>
  </si>
  <si>
    <t>6603</t>
  </si>
  <si>
    <t>손해 및 보증보험업</t>
  </si>
  <si>
    <t>65121</t>
  </si>
  <si>
    <t>6512</t>
  </si>
  <si>
    <t>자동차보험, 해상보험</t>
  </si>
  <si>
    <t>화재보험</t>
  </si>
  <si>
    <t>65122</t>
  </si>
  <si>
    <t>사회보장보험업</t>
  </si>
  <si>
    <t>65131</t>
  </si>
  <si>
    <t>6513</t>
  </si>
  <si>
    <t>65139</t>
  </si>
  <si>
    <t>연금 및 공제업</t>
  </si>
  <si>
    <t>65301</t>
  </si>
  <si>
    <t>653</t>
  </si>
  <si>
    <t>6530</t>
  </si>
  <si>
    <t>65302</t>
  </si>
  <si>
    <t>65303</t>
  </si>
  <si>
    <t>67</t>
  </si>
  <si>
    <t>금융 및 보험관련 서비스업</t>
  </si>
  <si>
    <t>671</t>
  </si>
  <si>
    <t>금융 지원 서비스업</t>
  </si>
  <si>
    <t>6712</t>
  </si>
  <si>
    <t>기타 금융 지원 서비스업</t>
  </si>
  <si>
    <t>66199</t>
  </si>
  <si>
    <t>661</t>
  </si>
  <si>
    <t>6619</t>
  </si>
  <si>
    <t>국공채를 매입하여 증권회사에 직접 납품</t>
  </si>
  <si>
    <t>증권 및 선물 중개업</t>
  </si>
  <si>
    <t>66121</t>
  </si>
  <si>
    <t>6612</t>
  </si>
  <si>
    <t>66122</t>
  </si>
  <si>
    <t>6719</t>
  </si>
  <si>
    <t>66110</t>
  </si>
  <si>
    <t>6611</t>
  </si>
  <si>
    <t>66191</t>
  </si>
  <si>
    <t>66192</t>
  </si>
  <si>
    <t>672</t>
  </si>
  <si>
    <t>보험 및 연금관련 서비스업</t>
  </si>
  <si>
    <t>6720</t>
  </si>
  <si>
    <t>66202</t>
  </si>
  <si>
    <t>662</t>
  </si>
  <si>
    <t>6620</t>
  </si>
  <si>
    <t>66209</t>
  </si>
  <si>
    <t>66201</t>
  </si>
  <si>
    <t>70</t>
  </si>
  <si>
    <t>701</t>
  </si>
  <si>
    <t>7011</t>
  </si>
  <si>
    <t>부동산 임대업</t>
  </si>
  <si>
    <t>주거용 건물 임대업</t>
    <phoneticPr fontId="18" type="noConversion"/>
  </si>
  <si>
    <t>68111</t>
  </si>
  <si>
    <t>6811</t>
  </si>
  <si>
    <t>기준싯가 9억 초과</t>
  </si>
  <si>
    <t>주거용 건물 임대업(장기임대공동·단독주택)</t>
    <phoneticPr fontId="18" type="noConversion"/>
  </si>
  <si>
    <t>국민주택 5호 이상을 5년 이상 임대한 경우(공동주택 및 단독주택)</t>
  </si>
  <si>
    <t>주거용 건물 임대업(장기임대다가구주택)</t>
    <phoneticPr fontId="18" type="noConversion"/>
  </si>
  <si>
    <t>국민주택 5호 이상을 5년 이상 임대한 경우(다가구주택)</t>
  </si>
  <si>
    <t>7012</t>
  </si>
  <si>
    <t>비주거용 건물 임대업(점포, 자기땅)</t>
    <phoneticPr fontId="18" type="noConversion"/>
  </si>
  <si>
    <t>68112</t>
  </si>
  <si>
    <t>비주거용 건물 임대업(점포, 타인땅)</t>
    <phoneticPr fontId="18" type="noConversion"/>
  </si>
  <si>
    <t>타인땅, 소규모 점포</t>
  </si>
  <si>
    <t>지식산업센터</t>
  </si>
  <si>
    <t>광고용 건물 임대</t>
  </si>
  <si>
    <t>공유주방</t>
    <phoneticPr fontId="3" type="noConversion"/>
  </si>
  <si>
    <t>7013</t>
  </si>
  <si>
    <t>전대</t>
  </si>
  <si>
    <t>7014</t>
  </si>
  <si>
    <t>68119</t>
  </si>
  <si>
    <t>7015</t>
  </si>
  <si>
    <t>비주거용 건물 임대업(자기땅)</t>
    <phoneticPr fontId="18" type="noConversion"/>
  </si>
  <si>
    <t>공장재단(자기땅)</t>
  </si>
  <si>
    <t>비주거용 건물 임대업(타인땅)</t>
    <phoneticPr fontId="18" type="noConversion"/>
  </si>
  <si>
    <t>공장재단(타인땅)</t>
  </si>
  <si>
    <t>광업재단(자기땅)</t>
  </si>
  <si>
    <t>광업재단(타인땅)</t>
  </si>
  <si>
    <t>702</t>
  </si>
  <si>
    <t>부동산관련 서비스업</t>
  </si>
  <si>
    <t>7020</t>
  </si>
  <si>
    <t>부동산 중개, 자문 및 감정 평가업</t>
  </si>
  <si>
    <t>68221</t>
  </si>
  <si>
    <t>682</t>
  </si>
  <si>
    <t>6822</t>
  </si>
  <si>
    <t>68223</t>
  </si>
  <si>
    <t>부동산 관리업</t>
  </si>
  <si>
    <t>68212</t>
  </si>
  <si>
    <t>6821</t>
  </si>
  <si>
    <t>68222</t>
  </si>
  <si>
    <t>68211</t>
  </si>
  <si>
    <t>703</t>
  </si>
  <si>
    <t>7030</t>
  </si>
  <si>
    <t>토지보유 (5년 미만)</t>
  </si>
  <si>
    <t>토지보유 (5년 이상)</t>
  </si>
  <si>
    <t>토지매매(토지보유5년 미만)</t>
    <phoneticPr fontId="18" type="noConversion"/>
  </si>
  <si>
    <t>토지매매(토지보유5년 이상)</t>
    <phoneticPr fontId="18" type="noConversion"/>
  </si>
  <si>
    <t>68122</t>
  </si>
  <si>
    <t>도급건설판매(토지보유 5년 미만)</t>
  </si>
  <si>
    <t>도급건설판매(토지보유 5년 이상)</t>
  </si>
  <si>
    <t>부동산 임대 및 공급업</t>
    <phoneticPr fontId="3" type="noConversion"/>
  </si>
  <si>
    <t>9214</t>
  </si>
  <si>
    <t>극장대관</t>
  </si>
  <si>
    <t>M</t>
  </si>
  <si>
    <t>전문, 과학 및 기술 서비스업</t>
  </si>
  <si>
    <t>73</t>
  </si>
  <si>
    <t>연구개발업</t>
  </si>
  <si>
    <t>730</t>
  </si>
  <si>
    <t>인문 및 사회과학 연구개발업</t>
    <phoneticPr fontId="3" type="noConversion"/>
  </si>
  <si>
    <t>7300</t>
  </si>
  <si>
    <t>인문 및 사회과학 연구개발업</t>
  </si>
  <si>
    <t>70209</t>
  </si>
  <si>
    <t>자연과학 및 공학 연구개발업</t>
  </si>
  <si>
    <t>자연과학 연구개발업</t>
  </si>
  <si>
    <t>70111</t>
  </si>
  <si>
    <t>70112</t>
  </si>
  <si>
    <t>70113</t>
  </si>
  <si>
    <t>70119</t>
  </si>
  <si>
    <t>공학 연구개발업</t>
  </si>
  <si>
    <t>70121</t>
  </si>
  <si>
    <t>70129</t>
  </si>
  <si>
    <t>자연과학 및 공학 연구개발업</t>
    <phoneticPr fontId="3" type="noConversion"/>
  </si>
  <si>
    <t>70130</t>
  </si>
  <si>
    <t>70201</t>
  </si>
  <si>
    <t>전문 서비스업</t>
  </si>
  <si>
    <t>741</t>
  </si>
  <si>
    <t>법무관련 서비스업</t>
  </si>
  <si>
    <t>7411</t>
  </si>
  <si>
    <t>71101</t>
  </si>
  <si>
    <t>71</t>
  </si>
  <si>
    <t>711</t>
  </si>
  <si>
    <t>7110</t>
  </si>
  <si>
    <t>71102</t>
  </si>
  <si>
    <t>기타 법무관련 서비스업(공증인)</t>
    <phoneticPr fontId="18" type="noConversion"/>
  </si>
  <si>
    <t>71109</t>
  </si>
  <si>
    <t>공증인</t>
  </si>
  <si>
    <t>71103</t>
  </si>
  <si>
    <t>기타 법무관련 서비스업(집행관)</t>
    <phoneticPr fontId="18" type="noConversion"/>
  </si>
  <si>
    <t>집행관</t>
  </si>
  <si>
    <t>기타 법무관련 서비스업</t>
    <phoneticPr fontId="18" type="noConversion"/>
  </si>
  <si>
    <t>행정사</t>
  </si>
  <si>
    <t>공인노무사</t>
  </si>
  <si>
    <t>회계 및 세무관련 서비스업</t>
  </si>
  <si>
    <t>7412</t>
  </si>
  <si>
    <t>71202</t>
  </si>
  <si>
    <t>712</t>
  </si>
  <si>
    <t>7120</t>
  </si>
  <si>
    <t>71201</t>
  </si>
  <si>
    <t>세무사업(기장대리)</t>
    <phoneticPr fontId="18" type="noConversion"/>
  </si>
  <si>
    <t>세무사의 기장대리 보수</t>
    <phoneticPr fontId="18" type="noConversion"/>
  </si>
  <si>
    <t>기타 회계 관련 서비스업</t>
  </si>
  <si>
    <t>기장대리 보수(세무사 제외)</t>
    <phoneticPr fontId="18" type="noConversion"/>
  </si>
  <si>
    <t>공인회계사업(기장대리)</t>
    <phoneticPr fontId="18" type="noConversion"/>
  </si>
  <si>
    <t>공인회계사의 기장대리 보수</t>
    <phoneticPr fontId="18" type="noConversion"/>
  </si>
  <si>
    <t>기장대리 보수(공인회계사 제외)</t>
    <phoneticPr fontId="18" type="noConversion"/>
  </si>
  <si>
    <t>7413</t>
  </si>
  <si>
    <t>71400</t>
  </si>
  <si>
    <t>714</t>
  </si>
  <si>
    <t>7140</t>
  </si>
  <si>
    <t>회사 본부 및 경영 컨설팅 서비스업</t>
  </si>
  <si>
    <t>7414</t>
  </si>
  <si>
    <t>경영 컨설팅 및 공공 관계 서비스업</t>
  </si>
  <si>
    <t>71531</t>
  </si>
  <si>
    <t>715</t>
  </si>
  <si>
    <t>회사본부 및 경영 컨설팅 서비스업</t>
  </si>
  <si>
    <t>7153</t>
  </si>
  <si>
    <t>경영 컨설팅업(경영지도사)</t>
    <phoneticPr fontId="18" type="noConversion"/>
  </si>
  <si>
    <t>경영지도사</t>
  </si>
  <si>
    <t>71532</t>
  </si>
  <si>
    <t>건축 기술, 엔지니어링 및 기타 과학기술 서비스업</t>
  </si>
  <si>
    <t>742</t>
  </si>
  <si>
    <t>기타 과학기술 서비스업</t>
  </si>
  <si>
    <t>7421</t>
  </si>
  <si>
    <t>측량, 지질 조사 및 지도 제작업</t>
  </si>
  <si>
    <t>72921</t>
  </si>
  <si>
    <t>7292</t>
  </si>
  <si>
    <t>72924</t>
  </si>
  <si>
    <t>건축 기술, 엔지니어링 및 관련 기술 서비스업</t>
  </si>
  <si>
    <t>건축 및 조경 설계 서비스업</t>
  </si>
  <si>
    <t>72111</t>
  </si>
  <si>
    <t>7211</t>
  </si>
  <si>
    <t>엔지니어링 서비스업</t>
  </si>
  <si>
    <t>72129</t>
  </si>
  <si>
    <t>7212</t>
  </si>
  <si>
    <t>건축 설계 및 관련 서비스업(건축사)</t>
    <phoneticPr fontId="18" type="noConversion"/>
  </si>
  <si>
    <t>건축사</t>
  </si>
  <si>
    <t>건물 및 토목 엔지니어링 서비스업(기술사)</t>
    <phoneticPr fontId="18" type="noConversion"/>
  </si>
  <si>
    <t>72121</t>
  </si>
  <si>
    <t>기술사</t>
  </si>
  <si>
    <t>72112</t>
  </si>
  <si>
    <t>72922</t>
  </si>
  <si>
    <t>72122</t>
  </si>
  <si>
    <t>72923</t>
  </si>
  <si>
    <t>7422</t>
  </si>
  <si>
    <t>기술 시험, 검사 및 분석업</t>
  </si>
  <si>
    <t>72919</t>
  </si>
  <si>
    <t>7291</t>
  </si>
  <si>
    <t>기술지도사</t>
  </si>
  <si>
    <t>72911</t>
  </si>
  <si>
    <t>743</t>
  </si>
  <si>
    <t>광고업</t>
  </si>
  <si>
    <t>7430</t>
  </si>
  <si>
    <t>기타 광고업</t>
  </si>
  <si>
    <t>71391</t>
  </si>
  <si>
    <t>713</t>
  </si>
  <si>
    <t>7139</t>
  </si>
  <si>
    <t>71310</t>
  </si>
  <si>
    <t>7131</t>
  </si>
  <si>
    <t>71392</t>
  </si>
  <si>
    <t>71393</t>
  </si>
  <si>
    <t>71399</t>
  </si>
  <si>
    <t>기타 전문, 과학 및 기술 서비스업</t>
  </si>
  <si>
    <t>사진 촬영 및 처리업</t>
  </si>
  <si>
    <t>7494</t>
  </si>
  <si>
    <t>73301</t>
  </si>
  <si>
    <t>733</t>
  </si>
  <si>
    <t>7330</t>
  </si>
  <si>
    <t>73302</t>
  </si>
  <si>
    <t>73303</t>
  </si>
  <si>
    <t>그 외 기타 전문, 과학 및 기술 서비스업</t>
  </si>
  <si>
    <t>73902</t>
  </si>
  <si>
    <t>739</t>
  </si>
  <si>
    <t>7390</t>
  </si>
  <si>
    <t>73903</t>
  </si>
  <si>
    <t>사업 재산권 중개업</t>
  </si>
  <si>
    <t>전문 디자인업</t>
  </si>
  <si>
    <t>73203</t>
  </si>
  <si>
    <t>732</t>
  </si>
  <si>
    <t>7320</t>
  </si>
  <si>
    <t>73901</t>
  </si>
  <si>
    <t>73904</t>
  </si>
  <si>
    <t>73201</t>
  </si>
  <si>
    <t>73202</t>
  </si>
  <si>
    <t>73209</t>
  </si>
  <si>
    <t>73909</t>
  </si>
  <si>
    <t>무형 재산권 중개업</t>
  </si>
  <si>
    <t>71600</t>
  </si>
  <si>
    <t>716</t>
  </si>
  <si>
    <t>7160</t>
  </si>
  <si>
    <t>85</t>
  </si>
  <si>
    <t>852</t>
  </si>
  <si>
    <t>8520</t>
  </si>
  <si>
    <t>73100</t>
  </si>
  <si>
    <t>731</t>
  </si>
  <si>
    <t>7310</t>
  </si>
  <si>
    <t>93</t>
  </si>
  <si>
    <t>930</t>
  </si>
  <si>
    <t>9309</t>
  </si>
  <si>
    <t>예식사진촬영업</t>
  </si>
  <si>
    <t>임대업; 부동산 제외</t>
  </si>
  <si>
    <t>1432</t>
  </si>
  <si>
    <t>76400</t>
  </si>
  <si>
    <t>76</t>
  </si>
  <si>
    <t>764</t>
  </si>
  <si>
    <t>7640</t>
  </si>
  <si>
    <t>조광료</t>
  </si>
  <si>
    <t>여행사 및 기타 여행 보조 서비스업</t>
  </si>
  <si>
    <t>75290</t>
  </si>
  <si>
    <t>752</t>
  </si>
  <si>
    <t>7529</t>
  </si>
  <si>
    <t>버스표</t>
  </si>
  <si>
    <t>운송장비 임대업</t>
  </si>
  <si>
    <t>자동차 임대업</t>
  </si>
  <si>
    <t>자동차 임대업(렌트카)</t>
    <phoneticPr fontId="18" type="noConversion"/>
  </si>
  <si>
    <t>76110</t>
  </si>
  <si>
    <t>761</t>
  </si>
  <si>
    <t>7611</t>
  </si>
  <si>
    <t>6306</t>
  </si>
  <si>
    <t>75210</t>
  </si>
  <si>
    <t>7521</t>
  </si>
  <si>
    <t>75999</t>
  </si>
  <si>
    <t>상품권 매매업</t>
  </si>
  <si>
    <t>7016</t>
  </si>
  <si>
    <t>광업권자ㆍ조광권자의 채굴에 관한 권리의 대여로 인한 수입</t>
  </si>
  <si>
    <t>산업용 기계 및 장비 임대업</t>
  </si>
  <si>
    <t>7121</t>
  </si>
  <si>
    <t>76390</t>
  </si>
  <si>
    <t>763</t>
  </si>
  <si>
    <t>7639</t>
  </si>
  <si>
    <t>7122</t>
  </si>
  <si>
    <t>76190</t>
  </si>
  <si>
    <t>7619</t>
  </si>
  <si>
    <t>76310</t>
  </si>
  <si>
    <t>7631</t>
  </si>
  <si>
    <t>76320</t>
  </si>
  <si>
    <t>7632</t>
  </si>
  <si>
    <t>개인 및 가정용품 임대업</t>
  </si>
  <si>
    <t>7130</t>
  </si>
  <si>
    <t>기타 개인 및 가정용품 임대업</t>
  </si>
  <si>
    <t>76299</t>
  </si>
  <si>
    <t>762</t>
  </si>
  <si>
    <t>7629</t>
  </si>
  <si>
    <t>76210</t>
  </si>
  <si>
    <t>7621</t>
  </si>
  <si>
    <t>연극공연 및 영화제작 용품임대</t>
  </si>
  <si>
    <t>76220</t>
  </si>
  <si>
    <t>7622</t>
  </si>
  <si>
    <t>76291</t>
  </si>
  <si>
    <t>76292</t>
  </si>
  <si>
    <t>고용 알선 및 인력 공급업</t>
  </si>
  <si>
    <t>7491</t>
  </si>
  <si>
    <t>75110</t>
  </si>
  <si>
    <t>751</t>
  </si>
  <si>
    <t>7511</t>
  </si>
  <si>
    <t>인력 공급업</t>
  </si>
  <si>
    <t>75121</t>
  </si>
  <si>
    <t>7512</t>
  </si>
  <si>
    <t>75122</t>
  </si>
  <si>
    <t>경비, 경호 및 탐정업</t>
  </si>
  <si>
    <t>7492</t>
  </si>
  <si>
    <t>75310</t>
  </si>
  <si>
    <t>753</t>
  </si>
  <si>
    <t>7531</t>
  </si>
  <si>
    <t>75320</t>
  </si>
  <si>
    <t>7532</t>
  </si>
  <si>
    <t>사업시설 관리 및 조경 서비스업</t>
  </si>
  <si>
    <t>건물ㆍ산업설비 청소 및 방제 서비스업</t>
  </si>
  <si>
    <t>건물 및 산업설비 청소업</t>
  </si>
  <si>
    <t>74211</t>
  </si>
  <si>
    <t>74220</t>
  </si>
  <si>
    <t>74300</t>
  </si>
  <si>
    <t>7495</t>
  </si>
  <si>
    <t>75994</t>
  </si>
  <si>
    <t>7496</t>
  </si>
  <si>
    <t>종이재단 지원 서비스</t>
    <phoneticPr fontId="18" type="noConversion"/>
  </si>
  <si>
    <t>해태건조, 마세크탄(조개탄) 도급가공, 갈포가공</t>
  </si>
  <si>
    <t>선박 임가공</t>
  </si>
  <si>
    <t>그 외 기타 분류 안된 사업 지원 서비스업(기타임가공)</t>
    <phoneticPr fontId="18" type="noConversion"/>
  </si>
  <si>
    <t>기타 임가공</t>
  </si>
  <si>
    <t>그 외 기타 분류 안된 사업 지원 서비스업</t>
    <phoneticPr fontId="18" type="noConversion"/>
  </si>
  <si>
    <t>사무 지원 서비스업</t>
  </si>
  <si>
    <t>75911</t>
  </si>
  <si>
    <t>7591</t>
  </si>
  <si>
    <t>속기사</t>
  </si>
  <si>
    <t>75992</t>
  </si>
  <si>
    <t>75912</t>
  </si>
  <si>
    <t>75993</t>
  </si>
  <si>
    <t>기타대리</t>
  </si>
  <si>
    <t>사업시설 유지ㆍ관리 서비스업</t>
  </si>
  <si>
    <t>74100</t>
  </si>
  <si>
    <t>7410</t>
  </si>
  <si>
    <t>75919</t>
  </si>
  <si>
    <t>75991</t>
  </si>
  <si>
    <t>9009</t>
  </si>
  <si>
    <t>산업설비, 운송장비 및 공공장소 청소업</t>
    <phoneticPr fontId="18" type="noConversion"/>
  </si>
  <si>
    <t>74212</t>
  </si>
  <si>
    <t>드레스대여 전문점</t>
  </si>
  <si>
    <t>75330</t>
  </si>
  <si>
    <t>7533</t>
  </si>
  <si>
    <t>N</t>
    <phoneticPr fontId="3" type="noConversion"/>
  </si>
  <si>
    <t>사업시설 관리, 사업 지원 및 임대 서비스업</t>
    <phoneticPr fontId="3" type="noConversion"/>
  </si>
  <si>
    <t>사업지원서비스업</t>
    <phoneticPr fontId="3" type="noConversion"/>
  </si>
  <si>
    <t>기타 사업지원 서비스업</t>
    <phoneticPr fontId="3" type="noConversion"/>
  </si>
  <si>
    <t>그 외 기타 사업 지원 서비스업</t>
    <phoneticPr fontId="3" type="noConversion"/>
  </si>
  <si>
    <t>콜센터 및 텔레마케팅 서비스업</t>
    <phoneticPr fontId="3" type="noConversion"/>
  </si>
  <si>
    <t>사업지원서비스업</t>
  </si>
  <si>
    <t>기타 사업지원 서비스업</t>
  </si>
  <si>
    <t>대리운전연결업체</t>
    <phoneticPr fontId="3" type="noConversion"/>
  </si>
  <si>
    <t>O</t>
  </si>
  <si>
    <t>공공 행정, 국방 및 사회보장 행정</t>
  </si>
  <si>
    <t>84</t>
  </si>
  <si>
    <t>841</t>
  </si>
  <si>
    <t>입법 및 일반 정부 행정</t>
  </si>
  <si>
    <t>8411</t>
  </si>
  <si>
    <t>일반 공공 행정</t>
  </si>
  <si>
    <t>입법기관</t>
  </si>
  <si>
    <t>84111</t>
  </si>
  <si>
    <t>중앙 최고 집행기관</t>
  </si>
  <si>
    <t>84112</t>
  </si>
  <si>
    <t>지방행정 집행기관</t>
  </si>
  <si>
    <t>84113</t>
  </si>
  <si>
    <t>재정 및 경제정책 행정</t>
  </si>
  <si>
    <t>84114</t>
  </si>
  <si>
    <t>기타 일반 공공 행정</t>
  </si>
  <si>
    <t>84119</t>
  </si>
  <si>
    <t>8412</t>
  </si>
  <si>
    <t>정부기관 일반 보조 행정</t>
  </si>
  <si>
    <t>84120</t>
  </si>
  <si>
    <t>842</t>
  </si>
  <si>
    <t>사회 및 산업정책 행정</t>
  </si>
  <si>
    <t>8421</t>
  </si>
  <si>
    <t>사회서비스 관리 행정</t>
  </si>
  <si>
    <t>교육 행정</t>
  </si>
  <si>
    <t>84211</t>
  </si>
  <si>
    <t>문화 및 관광 행정</t>
  </si>
  <si>
    <t>84212</t>
  </si>
  <si>
    <t>환경 행정</t>
  </si>
  <si>
    <t>84213</t>
  </si>
  <si>
    <t>보건 및 복지 행정</t>
  </si>
  <si>
    <t>84214</t>
  </si>
  <si>
    <t>기타 사회서비스 관리 행정</t>
  </si>
  <si>
    <t>84219</t>
  </si>
  <si>
    <t>8422</t>
  </si>
  <si>
    <t>노동 및 산업 진흥 행정</t>
  </si>
  <si>
    <t>노동 행정</t>
  </si>
  <si>
    <t>84221</t>
  </si>
  <si>
    <t>농림수산 행정</t>
  </si>
  <si>
    <t>84222</t>
  </si>
  <si>
    <t>건설 및 운송 행정</t>
  </si>
  <si>
    <t>84223</t>
  </si>
  <si>
    <t>우편 및 통신 행정</t>
  </si>
  <si>
    <t>84224</t>
  </si>
  <si>
    <t>기타 산업 진흥 행정</t>
  </si>
  <si>
    <t>84229</t>
  </si>
  <si>
    <t>843</t>
  </si>
  <si>
    <t>외무 및 국방 행정</t>
  </si>
  <si>
    <t>8431</t>
  </si>
  <si>
    <t>외무 행정</t>
  </si>
  <si>
    <t>84310</t>
  </si>
  <si>
    <t>8432</t>
  </si>
  <si>
    <t>국방 행정</t>
  </si>
  <si>
    <t>84320</t>
  </si>
  <si>
    <t>844</t>
  </si>
  <si>
    <t>사법 및 공공 질서 행정</t>
  </si>
  <si>
    <t>8440</t>
  </si>
  <si>
    <t>법원</t>
  </si>
  <si>
    <t>84401</t>
  </si>
  <si>
    <t>검찰</t>
  </si>
  <si>
    <t>84402</t>
  </si>
  <si>
    <t>교도기관</t>
  </si>
  <si>
    <t>84403</t>
  </si>
  <si>
    <t>경찰</t>
  </si>
  <si>
    <t>84404</t>
  </si>
  <si>
    <t>소방서</t>
  </si>
  <si>
    <t>84405</t>
  </si>
  <si>
    <t>기타 사법 및 공공 질서 행정</t>
  </si>
  <si>
    <t>84409</t>
  </si>
  <si>
    <t>845</t>
  </si>
  <si>
    <t>사회보장 행정</t>
  </si>
  <si>
    <t>8450</t>
  </si>
  <si>
    <t>84500</t>
  </si>
  <si>
    <t>P</t>
  </si>
  <si>
    <t>교육서비스업</t>
  </si>
  <si>
    <t>교육 서비스업</t>
  </si>
  <si>
    <t>기타 교육기관</t>
  </si>
  <si>
    <t>스포츠 및 레크리에이션 교육기관</t>
  </si>
  <si>
    <t>85614</t>
  </si>
  <si>
    <t>856</t>
  </si>
  <si>
    <t>8561</t>
  </si>
  <si>
    <t>85650</t>
  </si>
  <si>
    <t>8565</t>
  </si>
  <si>
    <t>80</t>
  </si>
  <si>
    <t>804</t>
  </si>
  <si>
    <t>특수학교, 외국인학교 및 대안학교</t>
  </si>
  <si>
    <t>8041</t>
  </si>
  <si>
    <t>85420</t>
  </si>
  <si>
    <t>854</t>
  </si>
  <si>
    <t>8542</t>
  </si>
  <si>
    <t>809</t>
  </si>
  <si>
    <t>8090</t>
  </si>
  <si>
    <t>기술 및 직업 훈련학원</t>
  </si>
  <si>
    <t>85661</t>
  </si>
  <si>
    <t>8566</t>
  </si>
  <si>
    <t>자동차운전학원 제외</t>
  </si>
  <si>
    <t>85669</t>
  </si>
  <si>
    <t>85613</t>
  </si>
  <si>
    <t>일반 교습학원</t>
  </si>
  <si>
    <t>85501</t>
  </si>
  <si>
    <t>855</t>
  </si>
  <si>
    <t>8550</t>
  </si>
  <si>
    <t>체육계열 입시 전문학원</t>
  </si>
  <si>
    <t>독립된 자격의 과외교습</t>
  </si>
  <si>
    <t>8562</t>
  </si>
  <si>
    <t>독립된 자격의 과외교습</t>
    <phoneticPr fontId="18" type="noConversion"/>
  </si>
  <si>
    <t>외국어학원 및 기타 교습학원</t>
  </si>
  <si>
    <t>8563</t>
  </si>
  <si>
    <t>85621</t>
  </si>
  <si>
    <t>가정계열학원</t>
  </si>
  <si>
    <t>자동차운전학원으로 지정된 학원</t>
  </si>
  <si>
    <t>예능계열 입시 전문학원</t>
  </si>
  <si>
    <t>그 외 기타 교육기관</t>
  </si>
  <si>
    <t>85691</t>
  </si>
  <si>
    <t>8569</t>
  </si>
  <si>
    <t>85611</t>
  </si>
  <si>
    <t>85612</t>
  </si>
  <si>
    <t>85503</t>
  </si>
  <si>
    <t>85631</t>
  </si>
  <si>
    <t>85632</t>
  </si>
  <si>
    <t>85622</t>
  </si>
  <si>
    <t>85629</t>
  </si>
  <si>
    <t>85699</t>
  </si>
  <si>
    <t>851</t>
  </si>
  <si>
    <t>초등 교육기관</t>
  </si>
  <si>
    <t>8511</t>
  </si>
  <si>
    <t>유아 교육기관</t>
  </si>
  <si>
    <t>85110</t>
  </si>
  <si>
    <t>8512</t>
  </si>
  <si>
    <t>초등학교</t>
  </si>
  <si>
    <t>85120</t>
  </si>
  <si>
    <t>중등 교육기관</t>
  </si>
  <si>
    <t>8521</t>
  </si>
  <si>
    <t>일반 중등 교육기관</t>
  </si>
  <si>
    <t>중학교</t>
  </si>
  <si>
    <t>85211</t>
  </si>
  <si>
    <t>일반 고등학교</t>
  </si>
  <si>
    <t>85212</t>
  </si>
  <si>
    <t>8522</t>
  </si>
  <si>
    <t>특성화 고등학교</t>
  </si>
  <si>
    <t>상업 및 정보산업 특성화 고등학교</t>
  </si>
  <si>
    <t>85221</t>
  </si>
  <si>
    <t>공업 특성화 고등학교</t>
  </si>
  <si>
    <t>85222</t>
  </si>
  <si>
    <t>기타 특성화 고등학교</t>
  </si>
  <si>
    <t>85229</t>
  </si>
  <si>
    <t>853</t>
  </si>
  <si>
    <t>고등 교육기관</t>
  </si>
  <si>
    <t>8530</t>
  </si>
  <si>
    <t>전문대학</t>
  </si>
  <si>
    <t>85301</t>
  </si>
  <si>
    <t>대학교</t>
  </si>
  <si>
    <t>85302</t>
  </si>
  <si>
    <t>대학원</t>
  </si>
  <si>
    <t>85303</t>
  </si>
  <si>
    <t>8541</t>
  </si>
  <si>
    <t>특수학교</t>
  </si>
  <si>
    <t>85410</t>
  </si>
  <si>
    <t>8543</t>
  </si>
  <si>
    <t>대안학교</t>
  </si>
  <si>
    <t>85430</t>
  </si>
  <si>
    <t>8564</t>
  </si>
  <si>
    <t>사회교육시설</t>
  </si>
  <si>
    <t>85640</t>
  </si>
  <si>
    <t>9219</t>
  </si>
  <si>
    <t>댄스교습소</t>
  </si>
  <si>
    <t>교육 지원 서비스업</t>
  </si>
  <si>
    <t>85709</t>
  </si>
  <si>
    <t>857</t>
  </si>
  <si>
    <t>8570</t>
  </si>
  <si>
    <t>85701</t>
  </si>
  <si>
    <t>Q</t>
  </si>
  <si>
    <t>보건업 및 사회복지 서비스업</t>
  </si>
  <si>
    <t>보건업</t>
  </si>
  <si>
    <t>병원</t>
  </si>
  <si>
    <t>86105</t>
  </si>
  <si>
    <t>86</t>
  </si>
  <si>
    <t>861</t>
  </si>
  <si>
    <t>8610</t>
  </si>
  <si>
    <t>86103</t>
  </si>
  <si>
    <t>86104</t>
  </si>
  <si>
    <t>86101</t>
  </si>
  <si>
    <t>86102</t>
  </si>
  <si>
    <t>의원</t>
  </si>
  <si>
    <t>86201</t>
  </si>
  <si>
    <t>862</t>
  </si>
  <si>
    <t>8620</t>
  </si>
  <si>
    <t>일반과, 내과, 소아과</t>
  </si>
  <si>
    <t>일반외과, 정형외과, 항문과, 신경외과</t>
  </si>
  <si>
    <t>신경과, 정신과, 신경정신과</t>
  </si>
  <si>
    <t>피부과, 비뇨기과</t>
  </si>
  <si>
    <t>안과</t>
  </si>
  <si>
    <t>이비인후과</t>
  </si>
  <si>
    <t>산부인과</t>
  </si>
  <si>
    <t>86204</t>
  </si>
  <si>
    <t>성형외과</t>
  </si>
  <si>
    <t>86202</t>
  </si>
  <si>
    <t>86203</t>
  </si>
  <si>
    <t>기타의원</t>
  </si>
  <si>
    <t>기타 보건업</t>
  </si>
  <si>
    <t>8519</t>
  </si>
  <si>
    <t>86909</t>
  </si>
  <si>
    <t>869</t>
  </si>
  <si>
    <t>8690</t>
  </si>
  <si>
    <t>조산소, 조산원</t>
  </si>
  <si>
    <t>86902</t>
  </si>
  <si>
    <t>침구치료 등</t>
  </si>
  <si>
    <t>안마원 또는 안마시술소 미개설</t>
    <phoneticPr fontId="3" type="noConversion"/>
  </si>
  <si>
    <t>지압치료 등</t>
  </si>
  <si>
    <t>세균검사</t>
  </si>
  <si>
    <t>혈액원</t>
  </si>
  <si>
    <t xml:space="preserve">안마시술소 </t>
    <phoneticPr fontId="3" type="noConversion"/>
  </si>
  <si>
    <t>기타 병리실험서비스</t>
  </si>
  <si>
    <t>86901</t>
  </si>
  <si>
    <t>안마원</t>
    <phoneticPr fontId="3" type="noConversion"/>
  </si>
  <si>
    <t>863</t>
  </si>
  <si>
    <t>공중 보건 의료업</t>
  </si>
  <si>
    <t>8630</t>
  </si>
  <si>
    <t>86300</t>
  </si>
  <si>
    <t>87</t>
  </si>
  <si>
    <t>사회복지 서비스업</t>
  </si>
  <si>
    <t>871</t>
  </si>
  <si>
    <t>거주 복지시설 운영업</t>
  </si>
  <si>
    <t>8711</t>
  </si>
  <si>
    <t>노인 거주 복지시설 운영업</t>
  </si>
  <si>
    <t>노인 요양 복지시설 운영업</t>
  </si>
  <si>
    <t>87111</t>
  </si>
  <si>
    <t>8712</t>
  </si>
  <si>
    <t>심신 장애인 거주 복지시설 운영업</t>
  </si>
  <si>
    <t>신체 부자유자 거주 복지시설 운영업</t>
  </si>
  <si>
    <t>87121</t>
  </si>
  <si>
    <t>정신 질환, 정신 지체 및 약물 중독자 거주 복지시설 운영업</t>
  </si>
  <si>
    <t>87122</t>
  </si>
  <si>
    <t>8713</t>
  </si>
  <si>
    <t>기타 거주 복지시설 운영업</t>
  </si>
  <si>
    <t>아동 및 부녀자 거주 복지시설 운영업</t>
  </si>
  <si>
    <t>87131</t>
  </si>
  <si>
    <t>그 외 기타 거주 복지시설 운영업</t>
  </si>
  <si>
    <t>87139</t>
  </si>
  <si>
    <t>비거주 복지시설 운영업</t>
  </si>
  <si>
    <t>87210</t>
  </si>
  <si>
    <t>872</t>
  </si>
  <si>
    <t>8721</t>
  </si>
  <si>
    <t>인가된 경우</t>
  </si>
  <si>
    <t>8729</t>
  </si>
  <si>
    <t>기타 비거주 복지 서비스업</t>
  </si>
  <si>
    <t>직업 재활원 운영업</t>
  </si>
  <si>
    <t>87291</t>
  </si>
  <si>
    <t>종합복지관 운영업</t>
  </si>
  <si>
    <t>87292</t>
  </si>
  <si>
    <t>방문 복지서비스 제공업</t>
  </si>
  <si>
    <t>87293</t>
  </si>
  <si>
    <t>사회복지 상담 서비스 제공업</t>
  </si>
  <si>
    <t>87294</t>
  </si>
  <si>
    <t>그 외 기타 비거주 복지 서비스업</t>
  </si>
  <si>
    <t>87299</t>
  </si>
  <si>
    <t>87112</t>
  </si>
  <si>
    <t>95</t>
  </si>
  <si>
    <t>950</t>
  </si>
  <si>
    <t>9500</t>
  </si>
  <si>
    <t>인가된 경우 제외</t>
  </si>
  <si>
    <t>R</t>
  </si>
  <si>
    <t>예술, 스포츠 및 여가관련 서비스업</t>
  </si>
  <si>
    <t>스포츠 및 오락관련 서비스업</t>
  </si>
  <si>
    <t>유원지 및 기타 오락관련 서비스업</t>
  </si>
  <si>
    <t>사행시설 관리 및 운영업</t>
  </si>
  <si>
    <t>91241</t>
  </si>
  <si>
    <t>91</t>
  </si>
  <si>
    <t>912</t>
  </si>
  <si>
    <t>9124</t>
  </si>
  <si>
    <t>복권(도매)</t>
  </si>
  <si>
    <t>복권(소매)</t>
  </si>
  <si>
    <t>스포츠 서비스업</t>
  </si>
  <si>
    <t>기타 스포츠시설 운영업</t>
  </si>
  <si>
    <t>91139</t>
  </si>
  <si>
    <t>911</t>
  </si>
  <si>
    <t>9113</t>
  </si>
  <si>
    <t>정구장, 테니스장, 탁구장</t>
  </si>
  <si>
    <t>그 외 기타 오락관련 서비스업</t>
  </si>
  <si>
    <t>91293</t>
  </si>
  <si>
    <t>9129</t>
  </si>
  <si>
    <t>창작, 예술 및 여가관련 서비스업</t>
  </si>
  <si>
    <t>창작 및 예술관련 서비스업</t>
  </si>
  <si>
    <t>기타 창작 및 예술관련 서비스업</t>
  </si>
  <si>
    <t>90191</t>
  </si>
  <si>
    <t>901</t>
  </si>
  <si>
    <t>9019</t>
  </si>
  <si>
    <t>공연단체</t>
  </si>
  <si>
    <t>90122</t>
  </si>
  <si>
    <t>9012</t>
  </si>
  <si>
    <t>90121</t>
  </si>
  <si>
    <t>90192</t>
  </si>
  <si>
    <t>90199</t>
  </si>
  <si>
    <t>90123</t>
  </si>
  <si>
    <t>90110</t>
  </si>
  <si>
    <t>9011</t>
  </si>
  <si>
    <t>91210</t>
  </si>
  <si>
    <t>9121</t>
  </si>
  <si>
    <t>91291</t>
  </si>
  <si>
    <t>923</t>
  </si>
  <si>
    <t>도서관, 사적지 및 유사 여가관련 서비스업</t>
  </si>
  <si>
    <t>9231</t>
  </si>
  <si>
    <t>도서관, 기록 보존소 및 독서실 운영업</t>
  </si>
  <si>
    <t>90212</t>
  </si>
  <si>
    <t>902</t>
  </si>
  <si>
    <t>9021</t>
  </si>
  <si>
    <t>90211</t>
  </si>
  <si>
    <t>9232</t>
  </si>
  <si>
    <t>박물관 및 사적지 관리 운영업</t>
  </si>
  <si>
    <t>90221</t>
  </si>
  <si>
    <t>9022</t>
  </si>
  <si>
    <t>90222</t>
  </si>
  <si>
    <t>9233</t>
  </si>
  <si>
    <t>식물원, 동물원 및 자연공원 운영업</t>
  </si>
  <si>
    <t>90231</t>
  </si>
  <si>
    <t>9023</t>
  </si>
  <si>
    <t>90290</t>
  </si>
  <si>
    <t>9029</t>
  </si>
  <si>
    <t>9241</t>
  </si>
  <si>
    <t>기타 스포츠 서비스업</t>
  </si>
  <si>
    <t>91199</t>
  </si>
  <si>
    <t>9119</t>
  </si>
  <si>
    <t>개인마주</t>
  </si>
  <si>
    <t>91191</t>
  </si>
  <si>
    <t>9242</t>
  </si>
  <si>
    <t>경기장 운영업</t>
  </si>
  <si>
    <t>91111</t>
  </si>
  <si>
    <t>9111</t>
  </si>
  <si>
    <t>91112</t>
  </si>
  <si>
    <t>91113</t>
  </si>
  <si>
    <t>9243</t>
  </si>
  <si>
    <t>91134</t>
  </si>
  <si>
    <t>골프장 및 스키장 운영업</t>
  </si>
  <si>
    <t>91121</t>
  </si>
  <si>
    <t>9112</t>
  </si>
  <si>
    <t>91122</t>
  </si>
  <si>
    <t>91132</t>
  </si>
  <si>
    <t>스트레스해소방</t>
  </si>
  <si>
    <t>91136</t>
  </si>
  <si>
    <t>야외 그물망설치 골프연습장</t>
  </si>
  <si>
    <t>실내 스크린 골프연습장</t>
  </si>
  <si>
    <t>91135</t>
  </si>
  <si>
    <t>눈썰매장</t>
  </si>
  <si>
    <t>91133</t>
  </si>
  <si>
    <t>라켓볼ㆍ스쿼시 경기장</t>
  </si>
  <si>
    <t>91131</t>
  </si>
  <si>
    <t>오락장 운영업</t>
  </si>
  <si>
    <t>91229</t>
  </si>
  <si>
    <t>9122</t>
  </si>
  <si>
    <t>91223</t>
  </si>
  <si>
    <t>전화방</t>
  </si>
  <si>
    <t>90232</t>
  </si>
  <si>
    <t>복권 발행</t>
  </si>
  <si>
    <t>91221</t>
  </si>
  <si>
    <t>청소년게임장</t>
  </si>
  <si>
    <t>91222</t>
  </si>
  <si>
    <t>91299</t>
  </si>
  <si>
    <t>실내운전연습실</t>
  </si>
  <si>
    <t>보드게임방</t>
  </si>
  <si>
    <t>수상오락 서비스업</t>
  </si>
  <si>
    <t>91231</t>
  </si>
  <si>
    <t>9123</t>
  </si>
  <si>
    <t>91239</t>
  </si>
  <si>
    <t>91292</t>
  </si>
  <si>
    <t>91249</t>
  </si>
  <si>
    <t>S</t>
  </si>
  <si>
    <t>협회 및 단체, 수리 및 기타 개인 서비스업</t>
  </si>
  <si>
    <t>기타 개인 서비스업</t>
  </si>
  <si>
    <t>그 외 기타 개인 서비스업</t>
  </si>
  <si>
    <t>7017</t>
  </si>
  <si>
    <t>장례식장 및 관련 서비스업</t>
  </si>
  <si>
    <t>96922</t>
  </si>
  <si>
    <t>96</t>
  </si>
  <si>
    <t>969</t>
  </si>
  <si>
    <t>9692</t>
  </si>
  <si>
    <t>분묘임대수입</t>
  </si>
  <si>
    <t>개인 및 소비용품 수리업</t>
  </si>
  <si>
    <t>725</t>
  </si>
  <si>
    <t>컴퓨터 및 통신장비 수리업</t>
  </si>
  <si>
    <t>7250</t>
  </si>
  <si>
    <t>95110</t>
  </si>
  <si>
    <t>951</t>
  </si>
  <si>
    <t>9511</t>
  </si>
  <si>
    <t>그 외 기타 분류 안된 개인 서비스업</t>
  </si>
  <si>
    <t>96999</t>
  </si>
  <si>
    <t>9699</t>
  </si>
  <si>
    <t>즉석 자동사진촬영기 운영</t>
  </si>
  <si>
    <t>개인 및 가정용품 수리업</t>
  </si>
  <si>
    <t>기타 개인 및 가정용품 수리업</t>
  </si>
  <si>
    <t>95399</t>
  </si>
  <si>
    <t>953</t>
  </si>
  <si>
    <t>9539</t>
  </si>
  <si>
    <t>95310</t>
  </si>
  <si>
    <t>9531</t>
  </si>
  <si>
    <t>95391</t>
  </si>
  <si>
    <t>95120</t>
  </si>
  <si>
    <t>9512</t>
  </si>
  <si>
    <t>95392</t>
  </si>
  <si>
    <t>95393</t>
  </si>
  <si>
    <t>자동차 및 모터사이클 수리업</t>
  </si>
  <si>
    <t>9222</t>
  </si>
  <si>
    <t>자동차 수리 및 세차업</t>
  </si>
  <si>
    <t>95211</t>
  </si>
  <si>
    <t>952</t>
  </si>
  <si>
    <t>9521</t>
  </si>
  <si>
    <t>95212</t>
  </si>
  <si>
    <t>95213</t>
  </si>
  <si>
    <t>95220</t>
  </si>
  <si>
    <t>9522</t>
  </si>
  <si>
    <t>9301</t>
  </si>
  <si>
    <t>세탁업</t>
  </si>
  <si>
    <t>96912</t>
  </si>
  <si>
    <t>9691</t>
  </si>
  <si>
    <t>96911</t>
  </si>
  <si>
    <t>96913</t>
  </si>
  <si>
    <t>미용, 욕탕 및 유사 서비스업</t>
  </si>
  <si>
    <t>9302</t>
  </si>
  <si>
    <t>이용 및 미용업</t>
  </si>
  <si>
    <t>96111</t>
  </si>
  <si>
    <t>961</t>
  </si>
  <si>
    <t>9611</t>
  </si>
  <si>
    <t>96112</t>
  </si>
  <si>
    <t>96113</t>
  </si>
  <si>
    <t>96119</t>
  </si>
  <si>
    <t>욕탕, 마사지 및 기타 신체 관리 서비스업</t>
  </si>
  <si>
    <t>96122</t>
  </si>
  <si>
    <t>9612</t>
  </si>
  <si>
    <t>96129</t>
  </si>
  <si>
    <t>9303</t>
  </si>
  <si>
    <t>96921</t>
  </si>
  <si>
    <t>96991</t>
  </si>
  <si>
    <t>96121</t>
  </si>
  <si>
    <t>간단한 수화물의 일시적 보관</t>
  </si>
  <si>
    <t>96992</t>
  </si>
  <si>
    <t>목공</t>
  </si>
  <si>
    <t>96994</t>
  </si>
  <si>
    <t>96993</t>
  </si>
  <si>
    <t>96995</t>
  </si>
  <si>
    <t>협회 및 단체, 수리 및 기타 개인서비스</t>
  </si>
  <si>
    <t>94</t>
  </si>
  <si>
    <t>인적용역</t>
  </si>
  <si>
    <t>940</t>
  </si>
  <si>
    <t>9401</t>
  </si>
  <si>
    <t>저술가</t>
  </si>
  <si>
    <t>73902+</t>
    <phoneticPr fontId="3" type="noConversion"/>
  </si>
  <si>
    <t>인적용역(작가)</t>
  </si>
  <si>
    <t>90132+</t>
    <phoneticPr fontId="3" type="noConversion"/>
  </si>
  <si>
    <t>9013</t>
  </si>
  <si>
    <t>자영 예술가</t>
  </si>
  <si>
    <t>비공연 예술가</t>
  </si>
  <si>
    <t>9402</t>
  </si>
  <si>
    <t>화가및관련예술가</t>
  </si>
  <si>
    <t>인적용역(화가 및 관련예술가)</t>
  </si>
  <si>
    <t>9403</t>
  </si>
  <si>
    <t>음악가및연예인</t>
  </si>
  <si>
    <t>인적용역(작곡가)</t>
  </si>
  <si>
    <t>90131+</t>
    <phoneticPr fontId="3" type="noConversion"/>
  </si>
  <si>
    <t>공연 예술가</t>
  </si>
  <si>
    <t>인적용역(배우, 탤런트 등)</t>
  </si>
  <si>
    <t>인적용역(모델)</t>
  </si>
  <si>
    <t>인적용역(가수)</t>
  </si>
  <si>
    <t>인적용역(성악가 등)</t>
  </si>
  <si>
    <t>인적용역(영화감독, 연출가)</t>
  </si>
  <si>
    <t>9409</t>
  </si>
  <si>
    <t>인적용역(1인미디어콘텐츠창작자)</t>
    <phoneticPr fontId="3" type="noConversion"/>
  </si>
  <si>
    <t>9405</t>
  </si>
  <si>
    <t>인적용역(연예보조출연자)</t>
  </si>
  <si>
    <t>90199+</t>
    <phoneticPr fontId="3" type="noConversion"/>
  </si>
  <si>
    <t>인적용역(기타 연예보조서비스)</t>
  </si>
  <si>
    <t>9406</t>
  </si>
  <si>
    <t>59202+</t>
    <phoneticPr fontId="3" type="noConversion"/>
  </si>
  <si>
    <t>인적용역(음반취입대가)</t>
  </si>
  <si>
    <t>71531+</t>
    <phoneticPr fontId="3" type="noConversion"/>
  </si>
  <si>
    <t>인적용역(일시적 경영컨설팅)</t>
  </si>
  <si>
    <t>75911+</t>
    <phoneticPr fontId="3" type="noConversion"/>
  </si>
  <si>
    <t>인적용역(교정, 고증, 필경, 타자)</t>
  </si>
  <si>
    <t>91199+</t>
    <phoneticPr fontId="3" type="noConversion"/>
  </si>
  <si>
    <t>인적용역(바둑기사)</t>
  </si>
  <si>
    <t>85501+</t>
    <phoneticPr fontId="3" type="noConversion"/>
  </si>
  <si>
    <t>인적용역(무용, 음악입시전문교사)</t>
  </si>
  <si>
    <t>85613+</t>
    <phoneticPr fontId="3" type="noConversion"/>
  </si>
  <si>
    <t>인적용역(사교댄스교사)</t>
  </si>
  <si>
    <t>85621+</t>
    <phoneticPr fontId="3" type="noConversion"/>
  </si>
  <si>
    <t>인적용역(음악교사)</t>
  </si>
  <si>
    <t>85629+</t>
    <phoneticPr fontId="3" type="noConversion"/>
  </si>
  <si>
    <t>인적용역(무용교사)</t>
  </si>
  <si>
    <t>85669+</t>
    <phoneticPr fontId="3" type="noConversion"/>
  </si>
  <si>
    <t>인적용역(꽃꽂이교사, 요리교사)</t>
  </si>
  <si>
    <t>인적용역(일반 교과학원강사, 강사, 과외교습자)</t>
  </si>
  <si>
    <t>85502+</t>
    <phoneticPr fontId="3" type="noConversion"/>
  </si>
  <si>
    <t>방문 교육학원</t>
  </si>
  <si>
    <t>인적용역(방문교육학원 강사)</t>
  </si>
  <si>
    <t>85503+</t>
    <phoneticPr fontId="3" type="noConversion"/>
  </si>
  <si>
    <t>인적용역(온라인교사 학원 강사)</t>
  </si>
  <si>
    <t>85611+</t>
    <phoneticPr fontId="3" type="noConversion"/>
  </si>
  <si>
    <t>인적용역(태권도 및 무술학원 강사)</t>
  </si>
  <si>
    <t>85612+</t>
    <phoneticPr fontId="3" type="noConversion"/>
  </si>
  <si>
    <t>인적용역(기타 스포츠 교육 강사)</t>
  </si>
  <si>
    <t>인적용역(레크레이션 학원강사, 강사)</t>
  </si>
  <si>
    <t>인적용역(음악학원 강사)</t>
  </si>
  <si>
    <t>85622+</t>
    <phoneticPr fontId="3" type="noConversion"/>
  </si>
  <si>
    <t>인적용역(미술학원 강사)</t>
  </si>
  <si>
    <t>인적용역(기타 예술학원 강사)</t>
  </si>
  <si>
    <t>85631+</t>
    <phoneticPr fontId="3" type="noConversion"/>
  </si>
  <si>
    <t>인적용역(외국어 학원강사, 강사, 과외교습자)</t>
  </si>
  <si>
    <t>85632+</t>
    <phoneticPr fontId="3" type="noConversion"/>
  </si>
  <si>
    <t>인적용역(고시학원 등 기타 학원 강사)</t>
  </si>
  <si>
    <t>85661+</t>
    <phoneticPr fontId="3" type="noConversion"/>
  </si>
  <si>
    <t>인적용역(운전학원 강사)</t>
  </si>
  <si>
    <t>인적용역(재단사)</t>
  </si>
  <si>
    <t>85691+</t>
    <phoneticPr fontId="3" type="noConversion"/>
  </si>
  <si>
    <t>인적용역(컴퓨터학원 강사)</t>
  </si>
  <si>
    <t>85699+</t>
    <phoneticPr fontId="3" type="noConversion"/>
  </si>
  <si>
    <t>인적용역(기타 교육기관의 학원강사, 강사)</t>
  </si>
  <si>
    <t>인적용역(직업운동가)</t>
  </si>
  <si>
    <t>96999+</t>
    <phoneticPr fontId="3" type="noConversion"/>
  </si>
  <si>
    <t>인적용역(일반 유흥주점 접객원 및 댄서)</t>
  </si>
  <si>
    <t>66202+</t>
    <phoneticPr fontId="3" type="noConversion"/>
  </si>
  <si>
    <t>인적용역(보험설계사, 보험중개사)</t>
  </si>
  <si>
    <t>47992+</t>
    <phoneticPr fontId="3" type="noConversion"/>
  </si>
  <si>
    <t>인적용역(음료품배달원)</t>
  </si>
  <si>
    <t>서적방문판매원,학습지방문판매원,화장품방문판매원,정수기방문판매원,자동차방문판매원,일반(기타)방문판매원</t>
    <phoneticPr fontId="18" type="noConversion"/>
  </si>
  <si>
    <t>45110+</t>
    <phoneticPr fontId="3" type="noConversion"/>
  </si>
  <si>
    <t>인적용역(자동차 방문 판매원)</t>
  </si>
  <si>
    <t>47993+</t>
    <phoneticPr fontId="3" type="noConversion"/>
  </si>
  <si>
    <t>인적용역(서적방문판매원/화장품방문판매원/정수기방문판매원/일반(기타)방문판매원)</t>
    <phoneticPr fontId="3" type="noConversion"/>
  </si>
  <si>
    <t>인적용역(학습지방문판매원)</t>
  </si>
  <si>
    <t>03111+</t>
    <phoneticPr fontId="18" type="noConversion"/>
  </si>
  <si>
    <t>인적용역(어로장)</t>
  </si>
  <si>
    <t>03112+</t>
    <phoneticPr fontId="18" type="noConversion"/>
  </si>
  <si>
    <t>03120+</t>
    <phoneticPr fontId="18" type="noConversion"/>
  </si>
  <si>
    <t>62010+</t>
    <phoneticPr fontId="3" type="noConversion"/>
  </si>
  <si>
    <t>인적용역(컴퓨터 프로그래머)</t>
  </si>
  <si>
    <t>75999+</t>
    <phoneticPr fontId="3" type="noConversion"/>
  </si>
  <si>
    <t>인적용역(전기, 가스 검침원)</t>
  </si>
  <si>
    <t>95393+</t>
    <phoneticPr fontId="3" type="noConversion"/>
  </si>
  <si>
    <t>인적용역(조율사)</t>
  </si>
  <si>
    <t>인적용역(다단계판매원의 후원수당)</t>
  </si>
  <si>
    <t>66192+</t>
    <phoneticPr fontId="3" type="noConversion"/>
  </si>
  <si>
    <t>인적용역(증권투자상담사)</t>
  </si>
  <si>
    <t>66199+</t>
    <phoneticPr fontId="3" type="noConversion"/>
  </si>
  <si>
    <t>인적용역(기타 모집수당 증권매입권유)</t>
  </si>
  <si>
    <t>75993+</t>
    <phoneticPr fontId="3" type="noConversion"/>
  </si>
  <si>
    <t>인적용역(채권회수수당)</t>
  </si>
  <si>
    <t>인적용역(기타모집수당)</t>
  </si>
  <si>
    <t>96993+</t>
    <phoneticPr fontId="3" type="noConversion"/>
  </si>
  <si>
    <t>인적용역(개인 간병인)</t>
  </si>
  <si>
    <t>인적용역(대리운전기사)</t>
  </si>
  <si>
    <t>인적용역(골프장캐디)</t>
  </si>
  <si>
    <t>96129+</t>
    <phoneticPr fontId="3" type="noConversion"/>
  </si>
  <si>
    <t>인적용역(목욕관리사)</t>
  </si>
  <si>
    <t>인적용역(행사도우미)</t>
  </si>
  <si>
    <t>인적용역(심부름용역원)</t>
  </si>
  <si>
    <t>49402+</t>
    <phoneticPr fontId="3" type="noConversion"/>
  </si>
  <si>
    <t>인적용역(퀵서비스 배달원)</t>
  </si>
  <si>
    <t>인적용역(기타 물품운반원)</t>
    <phoneticPr fontId="3" type="noConversion"/>
  </si>
  <si>
    <t>협회 및 단체, 수리 및 기타 개인서비스업</t>
  </si>
  <si>
    <t>학습지 방문강사</t>
  </si>
  <si>
    <t>(인적용역)학습지(국어, 영어 등) 회원 가정 방문하여 학습내용 지도</t>
    <phoneticPr fontId="3" type="noConversion"/>
  </si>
  <si>
    <t>교육교구 방문강사</t>
  </si>
  <si>
    <t>(인적용역)유아 및 아동의 사고력과 창의력 발달을 위해 학습지가 아닌 교재 및 교구를 활용하여 지도</t>
    <phoneticPr fontId="3" type="noConversion"/>
  </si>
  <si>
    <t>대여제품 방문점검원</t>
  </si>
  <si>
    <t>(인적용역)가정 및 사무실 등을 방문하여 대여 제품의 유지·관리를 위한 정기적인 점검</t>
    <phoneticPr fontId="3" type="noConversion"/>
  </si>
  <si>
    <t>대출모집인</t>
  </si>
  <si>
    <t>(인적용역)금융회사나 대출모집법인에서 업무 위탁받아 대출신청 상담업무를 수행하거나 대출 수요자 발굴하여 대출신청자 모집</t>
    <phoneticPr fontId="3" type="noConversion"/>
  </si>
  <si>
    <t>신용카드회원 모집인</t>
  </si>
  <si>
    <t>(인적용역)신용카드 회사로부터 업무를 위탁받아 신용카드 발급계약의 체결을 중개</t>
    <phoneticPr fontId="3" type="noConversion"/>
  </si>
  <si>
    <t>방과후강사</t>
  </si>
  <si>
    <t>(인적용역)학교 교육계획에 따라 일정기간 동안 정규수업 이외 방과후학교 프로그램(단, 돌봄과정 제외) 운영</t>
    <phoneticPr fontId="3" type="noConversion"/>
  </si>
  <si>
    <t>85614+</t>
    <phoneticPr fontId="3" type="noConversion"/>
  </si>
  <si>
    <t>85640+</t>
    <phoneticPr fontId="3" type="noConversion"/>
  </si>
  <si>
    <t>85650+</t>
    <phoneticPr fontId="3" type="noConversion"/>
  </si>
  <si>
    <t>협회 및 단체</t>
  </si>
  <si>
    <t>941</t>
  </si>
  <si>
    <t>산업 및 전문가 단체</t>
  </si>
  <si>
    <t>9411</t>
  </si>
  <si>
    <t>산업 단체</t>
  </si>
  <si>
    <t>94110</t>
  </si>
  <si>
    <t>9412</t>
  </si>
  <si>
    <t>전문가 단체</t>
  </si>
  <si>
    <t>94120</t>
  </si>
  <si>
    <t>942</t>
  </si>
  <si>
    <t>노동조합</t>
  </si>
  <si>
    <t>9420</t>
  </si>
  <si>
    <t>94200</t>
  </si>
  <si>
    <t>949</t>
  </si>
  <si>
    <t>기타 협회 및 단체</t>
  </si>
  <si>
    <t>9491</t>
  </si>
  <si>
    <t>종교 단체</t>
  </si>
  <si>
    <t>불교 단체</t>
  </si>
  <si>
    <t>94911</t>
  </si>
  <si>
    <t>기독교 단체</t>
  </si>
  <si>
    <t>94912</t>
  </si>
  <si>
    <t>천주교 단체</t>
  </si>
  <si>
    <t>94913</t>
  </si>
  <si>
    <t>민족 종교 단체</t>
  </si>
  <si>
    <t>94914</t>
  </si>
  <si>
    <t>천도교 단체</t>
  </si>
  <si>
    <t>천도교</t>
    <phoneticPr fontId="18" type="noConversion"/>
  </si>
  <si>
    <t>원불교 단체</t>
    <phoneticPr fontId="18" type="noConversion"/>
  </si>
  <si>
    <t>원불교</t>
    <phoneticPr fontId="18" type="noConversion"/>
  </si>
  <si>
    <t>기타 종교 단체</t>
  </si>
  <si>
    <t>94919</t>
  </si>
  <si>
    <t>유교 단체</t>
    <phoneticPr fontId="18" type="noConversion"/>
  </si>
  <si>
    <t>유교</t>
    <phoneticPr fontId="18" type="noConversion"/>
  </si>
  <si>
    <t>9492</t>
  </si>
  <si>
    <t>정치 단체</t>
  </si>
  <si>
    <t>94920</t>
  </si>
  <si>
    <t>9493</t>
  </si>
  <si>
    <t>시민운동 단체</t>
  </si>
  <si>
    <t>환경운동 단체</t>
  </si>
  <si>
    <t>94931</t>
  </si>
  <si>
    <t>기타 시민운동 단체</t>
  </si>
  <si>
    <t>94939</t>
  </si>
  <si>
    <t>9499</t>
  </si>
  <si>
    <t>그 외 기타 협회 및 단체</t>
  </si>
  <si>
    <t>94990</t>
  </si>
  <si>
    <t>입주자대표회의</t>
  </si>
  <si>
    <t>종중</t>
    <phoneticPr fontId="18" type="noConversion"/>
  </si>
  <si>
    <t>가구내 기타 개인 서비스</t>
  </si>
  <si>
    <t>T</t>
  </si>
  <si>
    <t>가구 내 고용활동 및 달리 분류되지 않은 자가 소비 생산활동</t>
  </si>
  <si>
    <t>97000</t>
  </si>
  <si>
    <t>가구내 고용활동 및 달리 분류되지 않은 자가소비 생산활동</t>
  </si>
  <si>
    <t>97</t>
  </si>
  <si>
    <t>970</t>
  </si>
  <si>
    <t>9700</t>
  </si>
  <si>
    <t>U</t>
  </si>
  <si>
    <t>국제 및 외국기관</t>
  </si>
  <si>
    <t>99</t>
  </si>
  <si>
    <t>990</t>
  </si>
  <si>
    <t>9900</t>
  </si>
  <si>
    <t>주한 외국 공관</t>
  </si>
  <si>
    <t>99001</t>
  </si>
  <si>
    <t>기타 국제 및 외국기관</t>
  </si>
  <si>
    <t>99009</t>
  </si>
  <si>
    <t>회사본부</t>
  </si>
  <si>
    <t>제조업 회사본부</t>
  </si>
  <si>
    <t>표준산업분류에 해당하는 국세청 업종코드가 없음</t>
  </si>
  <si>
    <t>기타 산업 회사본부</t>
  </si>
  <si>
    <t>달리 분류되지 않은 자가 소비를 위한 가구의 재화 및 서비스 생산활동</t>
  </si>
  <si>
    <t>자가 소비를 위한 가사 생산 활동</t>
  </si>
  <si>
    <t>자가 소비를 위한 가사 서비스 활동</t>
  </si>
  <si>
    <t>유튜버</t>
    <phoneticPr fontId="3" type="noConversion"/>
  </si>
  <si>
    <t>미디어창작자</t>
    <phoneticPr fontId="3" type="noConversion"/>
  </si>
  <si>
    <t>앱개발자(인앱매출)</t>
    <phoneticPr fontId="3" type="noConversion"/>
  </si>
  <si>
    <t>광고수익</t>
    <phoneticPr fontId="3" type="noConversion"/>
  </si>
  <si>
    <t>단순경비율</t>
    <phoneticPr fontId="3" type="noConversion"/>
  </si>
  <si>
    <t>이익율</t>
    <phoneticPr fontId="3" type="noConversion"/>
  </si>
  <si>
    <t>장부작성의무가 어떻게 되는가</t>
    <phoneticPr fontId="3" type="noConversion"/>
  </si>
  <si>
    <t>나군</t>
    <phoneticPr fontId="3" type="noConversion"/>
  </si>
  <si>
    <t>복식부기 기준금액 : 1.5억</t>
    <phoneticPr fontId="3" type="noConversion"/>
  </si>
  <si>
    <t>단순경비율 대상자 :</t>
    <phoneticPr fontId="3" type="noConversion"/>
  </si>
  <si>
    <t>단순경비</t>
    <phoneticPr fontId="3" type="noConversion"/>
  </si>
  <si>
    <t>기준경비율 대상자</t>
    <phoneticPr fontId="3" type="noConversion"/>
  </si>
  <si>
    <t>기준경비</t>
    <phoneticPr fontId="3" type="noConversion"/>
  </si>
  <si>
    <t>창업중소기업감면(ㅇ)</t>
    <phoneticPr fontId="3" type="noConversion"/>
  </si>
  <si>
    <t>x</t>
    <phoneticPr fontId="3" type="noConversion"/>
  </si>
  <si>
    <t xml:space="preserve">복식부기 대상자 : </t>
    <phoneticPr fontId="3" type="noConversion"/>
  </si>
  <si>
    <t>추계시 감면 공제 등이 안되는 경우가 있음</t>
    <phoneticPr fontId="3" type="noConversion"/>
  </si>
  <si>
    <t>3억</t>
    <phoneticPr fontId="3" type="noConversion"/>
  </si>
  <si>
    <t>5천만원경비</t>
    <phoneticPr fontId="3" type="noConversion"/>
  </si>
  <si>
    <t>추계1 (단순경비율 대상자)</t>
    <phoneticPr fontId="3" type="noConversion"/>
  </si>
  <si>
    <t>추계2 기준경비율 대상자 기준경비율</t>
    <phoneticPr fontId="3" type="noConversion"/>
  </si>
  <si>
    <t>추계 3 복식부기 대상 기준경비율</t>
    <phoneticPr fontId="3" type="noConversion"/>
  </si>
  <si>
    <t>실제기반 예상</t>
    <phoneticPr fontId="3" type="noConversion"/>
  </si>
  <si>
    <t>ㅇㅇㅇ원의 세금</t>
    <phoneticPr fontId="3" type="noConversion"/>
  </si>
  <si>
    <t>감면공제</t>
    <phoneticPr fontId="3" type="noConversion"/>
  </si>
  <si>
    <t>ㅇㅇ원</t>
    <phoneticPr fontId="3" type="noConversion"/>
  </si>
  <si>
    <t>가산세</t>
    <phoneticPr fontId="3" type="noConversion"/>
  </si>
  <si>
    <t>시설장치</t>
    <phoneticPr fontId="3" type="noConversion"/>
  </si>
  <si>
    <t>매출합</t>
    <phoneticPr fontId="3" type="noConversion"/>
  </si>
  <si>
    <t>9월합계</t>
    <phoneticPr fontId="3" type="noConversion"/>
  </si>
  <si>
    <t>환산3개월</t>
    <phoneticPr fontId="3" type="noConversion"/>
  </si>
  <si>
    <t>판관비</t>
    <phoneticPr fontId="3" type="noConversion"/>
  </si>
  <si>
    <t>매출원가 및 판관비</t>
    <phoneticPr fontId="3" type="noConversion"/>
  </si>
  <si>
    <t>총합계</t>
  </si>
  <si>
    <t>거래처</t>
  </si>
  <si>
    <t>9월</t>
  </si>
  <si>
    <t>8월</t>
  </si>
  <si>
    <t>7월</t>
  </si>
  <si>
    <t>6월</t>
  </si>
  <si>
    <t>5월</t>
  </si>
  <si>
    <t>4월</t>
  </si>
  <si>
    <t>3월</t>
  </si>
  <si>
    <t>2월</t>
  </si>
  <si>
    <t>1월</t>
  </si>
  <si>
    <t>합계 : amount</t>
  </si>
  <si>
    <t>기장료</t>
  </si>
  <si>
    <t>현금</t>
  </si>
  <si>
    <t>대변</t>
  </si>
  <si>
    <t>50001</t>
  </si>
  <si>
    <t>831</t>
  </si>
  <si>
    <t>차변</t>
  </si>
  <si>
    <t>부가세대급금</t>
  </si>
  <si>
    <t>135</t>
  </si>
  <si>
    <t>입금</t>
  </si>
  <si>
    <t>00001</t>
  </si>
  <si>
    <t>50002</t>
  </si>
  <si>
    <t>적요</t>
  </si>
  <si>
    <t>계정과목</t>
  </si>
  <si>
    <t>구분</t>
  </si>
  <si>
    <t>전표번호</t>
  </si>
  <si>
    <t>00004</t>
  </si>
  <si>
    <t>812</t>
  </si>
  <si>
    <t>00003</t>
  </si>
  <si>
    <t>00002</t>
  </si>
  <si>
    <t>830</t>
  </si>
  <si>
    <t>토스페이먼츠 주식회사</t>
  </si>
  <si>
    <t>00005</t>
  </si>
  <si>
    <t>814</t>
  </si>
  <si>
    <t>열 레이블</t>
  </si>
  <si>
    <t>행 레이블</t>
  </si>
  <si>
    <t>석회석 및 점토 광업, 건설용 석재 채굴 및 쇄석 생산업, 모래 및 자갈 채취업, 화학용 및 비료 원료용 광물 광업, 그 외 기타 비금속광물 광업</t>
  </si>
  <si>
    <t>육류 도축업(가금류 제외), 가금류 도축업</t>
  </si>
  <si>
    <t>가금류 가공 및 저장 처리업, 육류 포장육 및 냉동육 가공업(가금류 제외), 수산동물 냉동품 제조업, 기타 과실ㆍ채소 가공 및 저장 처리업</t>
  </si>
  <si>
    <t>수산동물 건조 및 염장품 제조업, 수산식물 가공 및 저장 처리업, 기타 과실ㆍ채소 가공 및 저장 처리업, 동물성 유지 제조업, 식물성 유지 제조업, 기타 곡물 가공품 제조업, 건강 보조용 액화식품 제조업</t>
  </si>
  <si>
    <t>연사 및 가공사 제조업, 특수직물 및 기타 직물 직조업, 자수제품 및 자수용 재료 제조업, 편조 원단 제조업, 섬유제품 기타 정리 및 마무리 가공업, 그 외 기타 분류 안된 섬유제품 제조업</t>
  </si>
  <si>
    <t>솜 및 실 염색 가공업, 직물, 편조 원단 및 의복류 염색 가공업, 날염 가공업</t>
  </si>
  <si>
    <t>단독 주택 건설업, 아파트 건설업, 기타 공동 주택 건설업</t>
  </si>
  <si>
    <t>섬유, 의복, 신발 및 가죽제품 중개업, 목재 및 건축자재 중개업, 연료, 광물, 1차 금속, 비료 및 화학제품 중개업, 기계 및 장비 중개업, 그 외 기타 특정 상품 중개업, 상품 종합 중개업</t>
  </si>
  <si>
    <t>섬유, 의복, 신발 및 가죽제품 중개업, 목재 및 건축자재 중개업, 연료, 광물, 1차 금속, 비료 및 화학제품 중개업, 기계 및 장비 중개업, 상품 종합 중개업</t>
  </si>
  <si>
    <t>섬유, 의복, 신발 및 가죽제품 중개업, 목재 및 건축자재 중개업, 연료, 광물, 1차 금속, 비료 및 화학제품 중개업, 기계 및 장비 중개업, 그 외 기타 특정 상품 중개업</t>
  </si>
  <si>
    <t>SNS마켓</t>
  </si>
  <si>
    <t>시내버스 운송업, 시외버스 운송업</t>
  </si>
  <si>
    <t>용달 화물 자동차 운송업, 개별화물 자동차 운송업</t>
  </si>
  <si>
    <t>시내버스 운송업, 시외버스 운송업, 택시 운송업</t>
  </si>
  <si>
    <t>일반 화물 자동차 운송업, 용달 화물 자동차 운송업, 개별 화물 자동차 운송업</t>
  </si>
  <si>
    <t>통관 대리 및 관련서비스업, 화물 운송 중개, 대리 및 관련 서비스업</t>
  </si>
  <si>
    <t>숙박공유업</t>
  </si>
  <si>
    <t>미디어콘텐츠창작업</t>
  </si>
  <si>
    <t>주거용 건물 임대업(장기임대공동·단독주택)</t>
  </si>
  <si>
    <t>기타 법무관련 서비스업(노무사)</t>
  </si>
  <si>
    <t>세무사업(기장대리), 기타 회계 관련 서비스업</t>
  </si>
  <si>
    <t>공인회계사업(기장대리), 기타 회계 관련 서비스업</t>
  </si>
  <si>
    <t>일반 교과학원, 음악학원, 미술학원, 기타 예술학원, 외국어학원</t>
  </si>
  <si>
    <t>1인미디어콘텐츠창작자</t>
  </si>
  <si>
    <t>서적방문판매원,학습지방문판매원,화장품방문판매원,정수기방문판매원,자동차방문판매원,일반(기타)방문판매원</t>
  </si>
  <si>
    <t>기타물품운반원</t>
  </si>
  <si>
    <t>기타 도시 정기 육상 여객 운송업</t>
    <phoneticPr fontId="3" type="noConversion"/>
  </si>
  <si>
    <t>어린이통학버스운송업(기사소유차량)</t>
    <phoneticPr fontId="3" type="noConversion"/>
  </si>
  <si>
    <t>일반 화물 자동차 운송업</t>
    <phoneticPr fontId="3" type="noConversion"/>
  </si>
  <si>
    <t>용달 화물 자동차 운송업</t>
    <phoneticPr fontId="3" type="noConversion"/>
  </si>
  <si>
    <t>개별 화물 자동차 운송업</t>
    <phoneticPr fontId="3" type="noConversion"/>
  </si>
  <si>
    <t>기타 도로 화물 운송업</t>
    <phoneticPr fontId="3" type="noConversion"/>
  </si>
  <si>
    <t>R</t>
    <phoneticPr fontId="3" type="noConversion"/>
  </si>
  <si>
    <t>예술, 스포츠 및 여가관련 서비스업</t>
    <phoneticPr fontId="3" type="noConversion"/>
  </si>
  <si>
    <t>창작, 예술 및 여가관련 서비스업</t>
    <phoneticPr fontId="3" type="noConversion"/>
  </si>
  <si>
    <t>도서관, 사적지 및 유사 여가관련 서비스업</t>
    <phoneticPr fontId="3" type="noConversion"/>
  </si>
  <si>
    <t>도서관, 기록 보존소 및 독서실 운영업</t>
    <phoneticPr fontId="3" type="noConversion"/>
  </si>
  <si>
    <t>독서실 운영업</t>
    <phoneticPr fontId="3" type="noConversion"/>
  </si>
  <si>
    <t>90212</t>
    <phoneticPr fontId="3" type="noConversion"/>
  </si>
  <si>
    <t>스터디카페</t>
    <phoneticPr fontId="3" type="noConversion"/>
  </si>
  <si>
    <t>59111+</t>
    <phoneticPr fontId="3" type="noConversion"/>
  </si>
  <si>
    <t>59112+</t>
    <phoneticPr fontId="3" type="noConversion"/>
  </si>
  <si>
    <t>소프트웨어 프리랜서</t>
    <phoneticPr fontId="3" type="noConversion"/>
  </si>
  <si>
    <t>58211+</t>
    <phoneticPr fontId="3" type="noConversion"/>
  </si>
  <si>
    <t>J</t>
    <phoneticPr fontId="3" type="noConversion"/>
  </si>
  <si>
    <t>정보통신업</t>
    <phoneticPr fontId="3" type="noConversion"/>
  </si>
  <si>
    <t>출판업</t>
    <phoneticPr fontId="3" type="noConversion"/>
  </si>
  <si>
    <t>소프트웨어 개발 및 공급업</t>
    <phoneticPr fontId="3" type="noConversion"/>
  </si>
  <si>
    <t>게임 소프트웨어 개발 및 공급업</t>
    <phoneticPr fontId="3" type="noConversion"/>
  </si>
  <si>
    <t>유선 온라인 게임 소프트웨어 개발 및 공급업</t>
    <phoneticPr fontId="3" type="noConversion"/>
  </si>
  <si>
    <t>58212+</t>
    <phoneticPr fontId="3" type="noConversion"/>
  </si>
  <si>
    <t>모바일 게임 소프트웨어 개발 및 공급업</t>
    <phoneticPr fontId="3" type="noConversion"/>
  </si>
  <si>
    <t>58219+</t>
    <phoneticPr fontId="3" type="noConversion"/>
  </si>
  <si>
    <t>기타 게임 소프트웨어 개발 및 공급업</t>
    <phoneticPr fontId="3" type="noConversion"/>
  </si>
  <si>
    <t>58221+</t>
    <phoneticPr fontId="3" type="noConversion"/>
  </si>
  <si>
    <t>시스템ㆍ응용 소프트웨어 개발 및 공급업</t>
    <phoneticPr fontId="3" type="noConversion"/>
  </si>
  <si>
    <t>시스템 소프트웨어 개발 및 공급업</t>
    <phoneticPr fontId="3" type="noConversion"/>
  </si>
  <si>
    <t>58222+</t>
    <phoneticPr fontId="3" type="noConversion"/>
  </si>
  <si>
    <t>응용 소프트웨어 개발 및 공급업</t>
    <phoneticPr fontId="3" type="noConversion"/>
  </si>
  <si>
    <t>컴퓨터 프로그래밍, 시스템 통합 및 관리업</t>
    <phoneticPr fontId="3" type="noConversion"/>
  </si>
  <si>
    <t>컴퓨터 프로그래밍 서비스업</t>
    <phoneticPr fontId="3" type="noConversion"/>
  </si>
  <si>
    <t>62021+</t>
    <phoneticPr fontId="3" type="noConversion"/>
  </si>
  <si>
    <t>컴퓨터 시스템 통합 자문, 구축 및 관리업</t>
    <phoneticPr fontId="3" type="noConversion"/>
  </si>
  <si>
    <t>컴퓨터 시스템 통합 자문 및 구축 서비스업</t>
    <phoneticPr fontId="3" type="noConversion"/>
  </si>
  <si>
    <t>62022+</t>
    <phoneticPr fontId="3" type="noConversion"/>
  </si>
  <si>
    <t>컴퓨터시설 관리업</t>
    <phoneticPr fontId="3" type="noConversion"/>
  </si>
  <si>
    <t>62090+</t>
    <phoneticPr fontId="3" type="noConversion"/>
  </si>
  <si>
    <t>기타 정보 기술 및 컴퓨터 운영 관련 서비스업</t>
    <phoneticPr fontId="3" type="noConversion"/>
  </si>
  <si>
    <t>관광통역 안내사</t>
    <phoneticPr fontId="3" type="noConversion"/>
  </si>
  <si>
    <t>M</t>
    <phoneticPr fontId="3" type="noConversion"/>
  </si>
  <si>
    <t>전문, 과학 및 기술 서비스업</t>
    <phoneticPr fontId="3" type="noConversion"/>
  </si>
  <si>
    <t>기타 전문, 과학 및 기술 서비스업</t>
    <phoneticPr fontId="3" type="noConversion"/>
  </si>
  <si>
    <t>그 외 기타 전문, 과학 및 기술 서비스업</t>
    <phoneticPr fontId="3" type="noConversion"/>
  </si>
  <si>
    <t>번역 및 통역 서비스업</t>
    <phoneticPr fontId="3" type="noConversion"/>
  </si>
  <si>
    <t>75210+</t>
    <phoneticPr fontId="3" type="noConversion"/>
  </si>
  <si>
    <t>사업 지원 서비스업</t>
    <phoneticPr fontId="3" type="noConversion"/>
  </si>
  <si>
    <t>여행사 및 기타 여행 보조 서비스업</t>
    <phoneticPr fontId="3" type="noConversion"/>
  </si>
  <si>
    <t>여행사업</t>
    <phoneticPr fontId="3" type="noConversion"/>
  </si>
  <si>
    <t>75290+</t>
    <phoneticPr fontId="3" type="noConversion"/>
  </si>
  <si>
    <t>기타 여행 보조 및 예약 서비스업</t>
    <phoneticPr fontId="3" type="noConversion"/>
  </si>
  <si>
    <t>어린이 통학버스 기사</t>
    <phoneticPr fontId="3" type="noConversion"/>
  </si>
  <si>
    <t>49219+</t>
    <phoneticPr fontId="3" type="noConversion"/>
  </si>
  <si>
    <t>H</t>
    <phoneticPr fontId="3" type="noConversion"/>
  </si>
  <si>
    <t>운수 및 창고업</t>
    <phoneticPr fontId="3" type="noConversion"/>
  </si>
  <si>
    <t>육상 여객 운송업</t>
    <phoneticPr fontId="3" type="noConversion"/>
  </si>
  <si>
    <t>도시 정기 육상 여객 운송업</t>
    <phoneticPr fontId="3" type="noConversion"/>
  </si>
  <si>
    <t>어린이통학버스기사(교육시설운영자소유차량)</t>
    <phoneticPr fontId="3" type="noConversion"/>
  </si>
  <si>
    <t>중고자동차 판매원</t>
    <phoneticPr fontId="3" type="noConversion"/>
  </si>
  <si>
    <t>45120+</t>
    <phoneticPr fontId="3" type="noConversion"/>
  </si>
  <si>
    <t>G</t>
    <phoneticPr fontId="3" type="noConversion"/>
  </si>
  <si>
    <t>도매 및 소매업</t>
    <phoneticPr fontId="3" type="noConversion"/>
  </si>
  <si>
    <t>자동차 및 부품 판매업</t>
    <phoneticPr fontId="3" type="noConversion"/>
  </si>
  <si>
    <t>자동차 판매업</t>
    <phoneticPr fontId="3" type="noConversion"/>
  </si>
  <si>
    <t>중고 자동차 판매업</t>
    <phoneticPr fontId="3" type="noConversion"/>
  </si>
  <si>
    <t xml:space="preserve">사업장은 </t>
    <phoneticPr fontId="3" type="noConversion"/>
  </si>
  <si>
    <t>개업함</t>
    <phoneticPr fontId="3" type="noConversion"/>
  </si>
  <si>
    <t>사업자등록신고를 늦게 하여 소급하여 소득을 입력함</t>
    <phoneticPr fontId="3" type="noConversion"/>
  </si>
  <si>
    <t xml:space="preserve">업종코드는 </t>
    <phoneticPr fontId="3" type="noConversion"/>
  </si>
  <si>
    <t>단독사업자/공동사업자 임</t>
    <phoneticPr fontId="3" type="noConversion"/>
  </si>
  <si>
    <t>창업중소기업감면 대상 여부</t>
    <phoneticPr fontId="3" type="noConversion"/>
  </si>
  <si>
    <t>중특감면 대상여부</t>
    <phoneticPr fontId="3" type="noConversion"/>
  </si>
  <si>
    <t>장부작성의무 여부</t>
    <phoneticPr fontId="3" type="noConversion"/>
  </si>
  <si>
    <t>기존 보유 고정자산 여부</t>
    <phoneticPr fontId="3" type="noConversion"/>
  </si>
  <si>
    <t>당해 취득 고정자산</t>
    <phoneticPr fontId="3" type="noConversion"/>
  </si>
  <si>
    <t>실제 인건비가 있는지?</t>
    <phoneticPr fontId="3" type="noConversion"/>
  </si>
  <si>
    <t>신고되는 인건비가 있는지?</t>
    <phoneticPr fontId="3" type="noConversion"/>
  </si>
  <si>
    <t>특이사항은?</t>
    <phoneticPr fontId="3" type="noConversion"/>
  </si>
  <si>
    <t>표준산업 분류표</t>
    <phoneticPr fontId="3" type="noConversion"/>
  </si>
  <si>
    <t xml:space="preserve">담당자 검토 </t>
    <phoneticPr fontId="3" type="noConversion"/>
  </si>
  <si>
    <t>결산 안내 응답에서 특이사항</t>
    <phoneticPr fontId="3" type="noConversion"/>
  </si>
  <si>
    <t>811</t>
  </si>
  <si>
    <t>822</t>
  </si>
  <si>
    <t>00006</t>
  </si>
  <si>
    <t>00007</t>
  </si>
  <si>
    <t>00008</t>
  </si>
  <si>
    <t>826</t>
  </si>
  <si>
    <t>254</t>
  </si>
  <si>
    <t>예수금</t>
  </si>
  <si>
    <t>817</t>
  </si>
  <si>
    <t>근로복지공단</t>
  </si>
  <si>
    <t>821</t>
  </si>
  <si>
    <t>출금</t>
  </si>
  <si>
    <t>00009</t>
  </si>
  <si>
    <t>00010</t>
  </si>
  <si>
    <t>802</t>
  </si>
  <si>
    <t>급여등지급</t>
  </si>
  <si>
    <t>급여지급시 국민연금예수</t>
  </si>
  <si>
    <t>급여지급시 고용보험예수</t>
  </si>
  <si>
    <t>급여지급시 장기요양보험예수</t>
  </si>
  <si>
    <t>00011</t>
  </si>
  <si>
    <t>00012</t>
  </si>
  <si>
    <t>부가세 예수금과 상계</t>
  </si>
  <si>
    <t>중특_창중선택</t>
  </si>
  <si>
    <t>건강보험공단</t>
  </si>
  <si>
    <t>국민연금공단</t>
  </si>
  <si>
    <t>주식회사 케이티</t>
  </si>
  <si>
    <t>단수차액</t>
  </si>
  <si>
    <t>차량운반구</t>
    <phoneticPr fontId="3" type="noConversion"/>
  </si>
  <si>
    <t>비품</t>
    <phoneticPr fontId="3" type="noConversion"/>
  </si>
  <si>
    <t>011000</t>
  </si>
  <si>
    <t>011001</t>
  </si>
  <si>
    <t>011002</t>
  </si>
  <si>
    <t>011003</t>
  </si>
  <si>
    <t>011004</t>
  </si>
  <si>
    <t>011005</t>
  </si>
  <si>
    <t>011006</t>
  </si>
  <si>
    <t>011007</t>
  </si>
  <si>
    <t>011008</t>
  </si>
  <si>
    <t>011009</t>
  </si>
  <si>
    <t>012101</t>
  </si>
  <si>
    <t>012102</t>
  </si>
  <si>
    <t>012103</t>
  </si>
  <si>
    <t>012104</t>
  </si>
  <si>
    <t>012201</t>
  </si>
  <si>
    <t>012202</t>
  </si>
  <si>
    <t>012203</t>
  </si>
  <si>
    <t>012204</t>
  </si>
  <si>
    <t>014300</t>
  </si>
  <si>
    <t>014301</t>
  </si>
  <si>
    <t>014302</t>
  </si>
  <si>
    <t>014303</t>
  </si>
  <si>
    <t>015000</t>
  </si>
  <si>
    <t>020100</t>
  </si>
  <si>
    <t>020101</t>
  </si>
  <si>
    <t>020102</t>
  </si>
  <si>
    <t>020200</t>
  </si>
  <si>
    <t>020300</t>
  </si>
  <si>
    <t>051102</t>
  </si>
  <si>
    <t>051104</t>
  </si>
  <si>
    <t>051200</t>
  </si>
  <si>
    <t>052101</t>
  </si>
  <si>
    <t>052103</t>
  </si>
  <si>
    <t>052104</t>
  </si>
  <si>
    <t>052200</t>
  </si>
  <si>
    <t>101000</t>
  </si>
  <si>
    <t>101001</t>
  </si>
  <si>
    <t>131000</t>
  </si>
  <si>
    <t>131003</t>
  </si>
  <si>
    <t>132002</t>
  </si>
  <si>
    <t>132003</t>
  </si>
  <si>
    <t>141001</t>
  </si>
  <si>
    <t>141002</t>
  </si>
  <si>
    <t>141003</t>
  </si>
  <si>
    <t>141006</t>
  </si>
  <si>
    <t>142101</t>
  </si>
  <si>
    <t>142102</t>
  </si>
  <si>
    <t>142104</t>
  </si>
  <si>
    <t>142200</t>
  </si>
  <si>
    <t>142902</t>
  </si>
  <si>
    <t>142909</t>
  </si>
  <si>
    <t>142910</t>
  </si>
  <si>
    <t>143101</t>
  </si>
  <si>
    <t>143103</t>
  </si>
  <si>
    <t>143106</t>
  </si>
  <si>
    <t>143107</t>
  </si>
  <si>
    <t>143200</t>
  </si>
  <si>
    <t>151101</t>
  </si>
  <si>
    <t>151102</t>
  </si>
  <si>
    <t>151103</t>
  </si>
  <si>
    <t>151104</t>
  </si>
  <si>
    <t>151105</t>
  </si>
  <si>
    <t>151200</t>
  </si>
  <si>
    <t>151201</t>
  </si>
  <si>
    <t>151202</t>
  </si>
  <si>
    <t>151203</t>
  </si>
  <si>
    <t>151301</t>
  </si>
  <si>
    <t>151302</t>
  </si>
  <si>
    <t>151304</t>
  </si>
  <si>
    <t>151400</t>
  </si>
  <si>
    <t>151401</t>
  </si>
  <si>
    <t>151402</t>
  </si>
  <si>
    <t>152001</t>
  </si>
  <si>
    <t>152002</t>
  </si>
  <si>
    <t>152003</t>
  </si>
  <si>
    <t>153101</t>
  </si>
  <si>
    <t>153102</t>
  </si>
  <si>
    <t>153103</t>
  </si>
  <si>
    <t>153104</t>
  </si>
  <si>
    <t>153105</t>
  </si>
  <si>
    <t>153106</t>
  </si>
  <si>
    <t>153107</t>
  </si>
  <si>
    <t>153202</t>
  </si>
  <si>
    <t>153300</t>
  </si>
  <si>
    <t>153301</t>
  </si>
  <si>
    <t>154101</t>
  </si>
  <si>
    <t>154102</t>
  </si>
  <si>
    <t>154103</t>
  </si>
  <si>
    <t>154104</t>
  </si>
  <si>
    <t>154200</t>
  </si>
  <si>
    <t>154400</t>
  </si>
  <si>
    <t>154501</t>
  </si>
  <si>
    <t>154502</t>
  </si>
  <si>
    <t>154503</t>
  </si>
  <si>
    <t>154509</t>
  </si>
  <si>
    <t>154801</t>
  </si>
  <si>
    <t>154802</t>
  </si>
  <si>
    <t>154803</t>
  </si>
  <si>
    <t>154804</t>
  </si>
  <si>
    <t>154805</t>
  </si>
  <si>
    <t>154806</t>
  </si>
  <si>
    <t>154901</t>
  </si>
  <si>
    <t>154902</t>
  </si>
  <si>
    <t>154903</t>
  </si>
  <si>
    <t>154904</t>
  </si>
  <si>
    <t>154905</t>
  </si>
  <si>
    <t>154906</t>
  </si>
  <si>
    <t>154907</t>
  </si>
  <si>
    <t>154908</t>
  </si>
  <si>
    <t>154909</t>
  </si>
  <si>
    <t>155101</t>
  </si>
  <si>
    <t>155102</t>
  </si>
  <si>
    <t>155103</t>
  </si>
  <si>
    <t>155201</t>
  </si>
  <si>
    <t>155202</t>
  </si>
  <si>
    <t>155203</t>
  </si>
  <si>
    <t>155300</t>
  </si>
  <si>
    <t>155401</t>
  </si>
  <si>
    <t>155402</t>
  </si>
  <si>
    <t>155403</t>
  </si>
  <si>
    <t>155404</t>
  </si>
  <si>
    <t>160000</t>
  </si>
  <si>
    <t>171102</t>
  </si>
  <si>
    <t>171104</t>
  </si>
  <si>
    <t>171105</t>
  </si>
  <si>
    <t>171106</t>
  </si>
  <si>
    <t>171107</t>
  </si>
  <si>
    <t>171108</t>
  </si>
  <si>
    <t>171109</t>
  </si>
  <si>
    <t>171110</t>
  </si>
  <si>
    <t>171112</t>
  </si>
  <si>
    <t>171114</t>
  </si>
  <si>
    <t>171115</t>
  </si>
  <si>
    <t>171116</t>
  </si>
  <si>
    <t>171200</t>
  </si>
  <si>
    <t>171201</t>
  </si>
  <si>
    <t>171202</t>
  </si>
  <si>
    <t>171203</t>
  </si>
  <si>
    <t>172101</t>
  </si>
  <si>
    <t>172102</t>
  </si>
  <si>
    <t>172103</t>
  </si>
  <si>
    <t>172106</t>
  </si>
  <si>
    <t>172107</t>
  </si>
  <si>
    <t>172108</t>
  </si>
  <si>
    <t>172109</t>
  </si>
  <si>
    <t>172111</t>
  </si>
  <si>
    <t>172200</t>
  </si>
  <si>
    <t>172300</t>
  </si>
  <si>
    <t>172301</t>
  </si>
  <si>
    <t>172901</t>
  </si>
  <si>
    <t>172902</t>
  </si>
  <si>
    <t>172903</t>
  </si>
  <si>
    <t>172904</t>
  </si>
  <si>
    <t>172905</t>
  </si>
  <si>
    <t>173001</t>
  </si>
  <si>
    <t>173002</t>
  </si>
  <si>
    <t>173004</t>
  </si>
  <si>
    <t>173006</t>
  </si>
  <si>
    <t>173009</t>
  </si>
  <si>
    <t>181101</t>
  </si>
  <si>
    <t>181103</t>
  </si>
  <si>
    <t>181105</t>
  </si>
  <si>
    <t>181109</t>
  </si>
  <si>
    <t>181110</t>
  </si>
  <si>
    <t>181201</t>
  </si>
  <si>
    <t>181202</t>
  </si>
  <si>
    <t>181203</t>
  </si>
  <si>
    <t>181204</t>
  </si>
  <si>
    <t>181205</t>
  </si>
  <si>
    <t>181206</t>
  </si>
  <si>
    <t>181207</t>
  </si>
  <si>
    <t>181208</t>
  </si>
  <si>
    <t>181209</t>
  </si>
  <si>
    <t>181211</t>
  </si>
  <si>
    <t>182001</t>
  </si>
  <si>
    <t>191100</t>
  </si>
  <si>
    <t>191200</t>
  </si>
  <si>
    <t>191201</t>
  </si>
  <si>
    <t>191202</t>
  </si>
  <si>
    <t>192001</t>
  </si>
  <si>
    <t>192004</t>
  </si>
  <si>
    <t>192005</t>
  </si>
  <si>
    <t>193001</t>
  </si>
  <si>
    <t>193009</t>
  </si>
  <si>
    <t>201001</t>
  </si>
  <si>
    <t>201002</t>
  </si>
  <si>
    <t>201009</t>
  </si>
  <si>
    <t>202101</t>
  </si>
  <si>
    <t>202102</t>
  </si>
  <si>
    <t>202200</t>
  </si>
  <si>
    <t>202201</t>
  </si>
  <si>
    <t>202202</t>
  </si>
  <si>
    <t>202203</t>
  </si>
  <si>
    <t>202901</t>
  </si>
  <si>
    <t>202902</t>
  </si>
  <si>
    <t>202903</t>
  </si>
  <si>
    <t>202904</t>
  </si>
  <si>
    <t>202905</t>
  </si>
  <si>
    <t>202906</t>
  </si>
  <si>
    <t>202907</t>
  </si>
  <si>
    <t>210101</t>
  </si>
  <si>
    <t>210102</t>
  </si>
  <si>
    <t>210104</t>
  </si>
  <si>
    <t>210106</t>
  </si>
  <si>
    <t>210107</t>
  </si>
  <si>
    <t>210108</t>
  </si>
  <si>
    <t>210111</t>
  </si>
  <si>
    <t>210112</t>
  </si>
  <si>
    <t>210200</t>
  </si>
  <si>
    <t>210201</t>
  </si>
  <si>
    <t>210202</t>
  </si>
  <si>
    <t>210203</t>
  </si>
  <si>
    <t>210204</t>
  </si>
  <si>
    <t>210205</t>
  </si>
  <si>
    <t>210206</t>
  </si>
  <si>
    <t>210901</t>
  </si>
  <si>
    <t>210902</t>
  </si>
  <si>
    <t>210903</t>
  </si>
  <si>
    <t>210905</t>
  </si>
  <si>
    <t>221100</t>
  </si>
  <si>
    <t>221103</t>
  </si>
  <si>
    <t>221104</t>
  </si>
  <si>
    <t>221200</t>
  </si>
  <si>
    <t>221201</t>
  </si>
  <si>
    <t>221202</t>
  </si>
  <si>
    <t>221300</t>
  </si>
  <si>
    <t>221900</t>
  </si>
  <si>
    <t>222101</t>
  </si>
  <si>
    <t>222102</t>
  </si>
  <si>
    <t>222103</t>
  </si>
  <si>
    <t>222104</t>
  </si>
  <si>
    <t>222105</t>
  </si>
  <si>
    <t>222201</t>
  </si>
  <si>
    <t>222202</t>
  </si>
  <si>
    <t>222203</t>
  </si>
  <si>
    <t>223001</t>
  </si>
  <si>
    <t>231001</t>
  </si>
  <si>
    <t>231002</t>
  </si>
  <si>
    <t>232100</t>
  </si>
  <si>
    <t>232101</t>
  </si>
  <si>
    <t>232200</t>
  </si>
  <si>
    <t>232201</t>
  </si>
  <si>
    <t>241101</t>
  </si>
  <si>
    <t>241102</t>
  </si>
  <si>
    <t>241106</t>
  </si>
  <si>
    <t>241109</t>
  </si>
  <si>
    <t>241110</t>
  </si>
  <si>
    <t>241114</t>
  </si>
  <si>
    <t>241115</t>
  </si>
  <si>
    <t>241200</t>
  </si>
  <si>
    <t>241201</t>
  </si>
  <si>
    <t>241202</t>
  </si>
  <si>
    <t>241301</t>
  </si>
  <si>
    <t>241302</t>
  </si>
  <si>
    <t>241303</t>
  </si>
  <si>
    <t>242101</t>
  </si>
  <si>
    <t>242102</t>
  </si>
  <si>
    <t>242103</t>
  </si>
  <si>
    <t>242104</t>
  </si>
  <si>
    <t>242201</t>
  </si>
  <si>
    <t>242202</t>
  </si>
  <si>
    <t>242203</t>
  </si>
  <si>
    <t>242204</t>
  </si>
  <si>
    <t>242205</t>
  </si>
  <si>
    <t>242301</t>
  </si>
  <si>
    <t>242302</t>
  </si>
  <si>
    <t>242303</t>
  </si>
  <si>
    <t>242304</t>
  </si>
  <si>
    <t>242305</t>
  </si>
  <si>
    <t>242309</t>
  </si>
  <si>
    <t>242401</t>
  </si>
  <si>
    <t>242402</t>
  </si>
  <si>
    <t>242403</t>
  </si>
  <si>
    <t>242404</t>
  </si>
  <si>
    <t>242405</t>
  </si>
  <si>
    <t>242406</t>
  </si>
  <si>
    <t>242901</t>
  </si>
  <si>
    <t>242902</t>
  </si>
  <si>
    <t>242903</t>
  </si>
  <si>
    <t>242904</t>
  </si>
  <si>
    <t>242905</t>
  </si>
  <si>
    <t>242906</t>
  </si>
  <si>
    <t>242908</t>
  </si>
  <si>
    <t>243000</t>
  </si>
  <si>
    <t>243001</t>
  </si>
  <si>
    <t>251101</t>
  </si>
  <si>
    <t>251102</t>
  </si>
  <si>
    <t>251901</t>
  </si>
  <si>
    <t>251902</t>
  </si>
  <si>
    <t>251903</t>
  </si>
  <si>
    <t>251904</t>
  </si>
  <si>
    <t>252101</t>
  </si>
  <si>
    <t>252102</t>
  </si>
  <si>
    <t>252103</t>
  </si>
  <si>
    <t>252105</t>
  </si>
  <si>
    <t>252106</t>
  </si>
  <si>
    <t>252200</t>
  </si>
  <si>
    <t>252201</t>
  </si>
  <si>
    <t>252301</t>
  </si>
  <si>
    <t>252303</t>
  </si>
  <si>
    <t>252400</t>
  </si>
  <si>
    <t>252401</t>
  </si>
  <si>
    <t>252402</t>
  </si>
  <si>
    <t>252403</t>
  </si>
  <si>
    <t>252404</t>
  </si>
  <si>
    <t>252901</t>
  </si>
  <si>
    <t>252902</t>
  </si>
  <si>
    <t>252903</t>
  </si>
  <si>
    <t>252904</t>
  </si>
  <si>
    <t>252909</t>
  </si>
  <si>
    <t>261001</t>
  </si>
  <si>
    <t>261002</t>
  </si>
  <si>
    <t>261004</t>
  </si>
  <si>
    <t>261005</t>
  </si>
  <si>
    <t>261006</t>
  </si>
  <si>
    <t>261007</t>
  </si>
  <si>
    <t>261008</t>
  </si>
  <si>
    <t>261009</t>
  </si>
  <si>
    <t>261011</t>
  </si>
  <si>
    <t>269100</t>
  </si>
  <si>
    <t>269101</t>
  </si>
  <si>
    <t>269102</t>
  </si>
  <si>
    <t>269200</t>
  </si>
  <si>
    <t>269201</t>
  </si>
  <si>
    <t>269300</t>
  </si>
  <si>
    <t>269301</t>
  </si>
  <si>
    <t>269302</t>
  </si>
  <si>
    <t>269401</t>
  </si>
  <si>
    <t>269402</t>
  </si>
  <si>
    <t>269403</t>
  </si>
  <si>
    <t>269501</t>
  </si>
  <si>
    <t>269502</t>
  </si>
  <si>
    <t>269503</t>
  </si>
  <si>
    <t>269504</t>
  </si>
  <si>
    <t>269505</t>
  </si>
  <si>
    <t>269506</t>
  </si>
  <si>
    <t>269507</t>
  </si>
  <si>
    <t>269508</t>
  </si>
  <si>
    <t>269509</t>
  </si>
  <si>
    <t>269601</t>
  </si>
  <si>
    <t>269603</t>
  </si>
  <si>
    <t>269901</t>
  </si>
  <si>
    <t>269902</t>
  </si>
  <si>
    <t>269903</t>
  </si>
  <si>
    <t>269904</t>
  </si>
  <si>
    <t>269905</t>
  </si>
  <si>
    <t>269906</t>
  </si>
  <si>
    <t>269907</t>
  </si>
  <si>
    <t>269908</t>
  </si>
  <si>
    <t>271101</t>
  </si>
  <si>
    <t>271102</t>
  </si>
  <si>
    <t>271103</t>
  </si>
  <si>
    <t>271104</t>
  </si>
  <si>
    <t>271201</t>
  </si>
  <si>
    <t>271202</t>
  </si>
  <si>
    <t>271204</t>
  </si>
  <si>
    <t>271205</t>
  </si>
  <si>
    <t>271206</t>
  </si>
  <si>
    <t>271207</t>
  </si>
  <si>
    <t>271208</t>
  </si>
  <si>
    <t>271901</t>
  </si>
  <si>
    <t>271902</t>
  </si>
  <si>
    <t>272100</t>
  </si>
  <si>
    <t>272101</t>
  </si>
  <si>
    <t>272102</t>
  </si>
  <si>
    <t>272103</t>
  </si>
  <si>
    <t>272200</t>
  </si>
  <si>
    <t>272201</t>
  </si>
  <si>
    <t>272202</t>
  </si>
  <si>
    <t>272300</t>
  </si>
  <si>
    <t>272301</t>
  </si>
  <si>
    <t>272302</t>
  </si>
  <si>
    <t>272900</t>
  </si>
  <si>
    <t>273101</t>
  </si>
  <si>
    <t>273102</t>
  </si>
  <si>
    <t>273200</t>
  </si>
  <si>
    <t>273201</t>
  </si>
  <si>
    <t>273202</t>
  </si>
  <si>
    <t>281100</t>
  </si>
  <si>
    <t>281101</t>
  </si>
  <si>
    <t>281102</t>
  </si>
  <si>
    <t>281103</t>
  </si>
  <si>
    <t>281104</t>
  </si>
  <si>
    <t>281105</t>
  </si>
  <si>
    <t>281106</t>
  </si>
  <si>
    <t>281201</t>
  </si>
  <si>
    <t>281202</t>
  </si>
  <si>
    <t>281204</t>
  </si>
  <si>
    <t>281205</t>
  </si>
  <si>
    <t>281300</t>
  </si>
  <si>
    <t>289101</t>
  </si>
  <si>
    <t>289102</t>
  </si>
  <si>
    <t>289103</t>
  </si>
  <si>
    <t>289104</t>
  </si>
  <si>
    <t>289201</t>
  </si>
  <si>
    <t>289202</t>
  </si>
  <si>
    <t>289205</t>
  </si>
  <si>
    <t>289206</t>
  </si>
  <si>
    <t>289207</t>
  </si>
  <si>
    <t>289208</t>
  </si>
  <si>
    <t>289301</t>
  </si>
  <si>
    <t>289302</t>
  </si>
  <si>
    <t>289303</t>
  </si>
  <si>
    <t>289304</t>
  </si>
  <si>
    <t>289306</t>
  </si>
  <si>
    <t>289901</t>
  </si>
  <si>
    <t>289902</t>
  </si>
  <si>
    <t>289903</t>
  </si>
  <si>
    <t>289908</t>
  </si>
  <si>
    <t>289910</t>
  </si>
  <si>
    <t>289913</t>
  </si>
  <si>
    <t>289914</t>
  </si>
  <si>
    <t>289916</t>
  </si>
  <si>
    <t>289917</t>
  </si>
  <si>
    <t>289918</t>
  </si>
  <si>
    <t>291100</t>
  </si>
  <si>
    <t>291101</t>
  </si>
  <si>
    <t>291200</t>
  </si>
  <si>
    <t>291201</t>
  </si>
  <si>
    <t>291202</t>
  </si>
  <si>
    <t>291300</t>
  </si>
  <si>
    <t>291301</t>
  </si>
  <si>
    <t>291401</t>
  </si>
  <si>
    <t>291501</t>
  </si>
  <si>
    <t>291502</t>
  </si>
  <si>
    <t>291503</t>
  </si>
  <si>
    <t>291504</t>
  </si>
  <si>
    <t>291901</t>
  </si>
  <si>
    <t>291902</t>
  </si>
  <si>
    <t>291903</t>
  </si>
  <si>
    <t>291904</t>
  </si>
  <si>
    <t>291905</t>
  </si>
  <si>
    <t>291906</t>
  </si>
  <si>
    <t>291907</t>
  </si>
  <si>
    <t>291908</t>
  </si>
  <si>
    <t>291909</t>
  </si>
  <si>
    <t>291911</t>
  </si>
  <si>
    <t>292100</t>
  </si>
  <si>
    <t>292201</t>
  </si>
  <si>
    <t>292202</t>
  </si>
  <si>
    <t>292203</t>
  </si>
  <si>
    <t>292204</t>
  </si>
  <si>
    <t>292205</t>
  </si>
  <si>
    <t>292206</t>
  </si>
  <si>
    <t>292300</t>
  </si>
  <si>
    <t>292400</t>
  </si>
  <si>
    <t>292401</t>
  </si>
  <si>
    <t>292500</t>
  </si>
  <si>
    <t>292600</t>
  </si>
  <si>
    <t>292601</t>
  </si>
  <si>
    <t>292700</t>
  </si>
  <si>
    <t>292901</t>
  </si>
  <si>
    <t>292902</t>
  </si>
  <si>
    <t>292903</t>
  </si>
  <si>
    <t>292905</t>
  </si>
  <si>
    <t>292906</t>
  </si>
  <si>
    <t>292907</t>
  </si>
  <si>
    <t>292908</t>
  </si>
  <si>
    <t>292909</t>
  </si>
  <si>
    <t>293001</t>
  </si>
  <si>
    <t>293002</t>
  </si>
  <si>
    <t>293004</t>
  </si>
  <si>
    <t>293005</t>
  </si>
  <si>
    <t>300100</t>
  </si>
  <si>
    <t>300101</t>
  </si>
  <si>
    <t>300102</t>
  </si>
  <si>
    <t>300103</t>
  </si>
  <si>
    <t>300104</t>
  </si>
  <si>
    <t>300201</t>
  </si>
  <si>
    <t>300202</t>
  </si>
  <si>
    <t>311001</t>
  </si>
  <si>
    <t>311002</t>
  </si>
  <si>
    <t>311003</t>
  </si>
  <si>
    <t>311004</t>
  </si>
  <si>
    <t>311005</t>
  </si>
  <si>
    <t>311006</t>
  </si>
  <si>
    <t>312000</t>
  </si>
  <si>
    <t>312001</t>
  </si>
  <si>
    <t>312002</t>
  </si>
  <si>
    <t>313001</t>
  </si>
  <si>
    <t>313002</t>
  </si>
  <si>
    <t>313003</t>
  </si>
  <si>
    <t>314000</t>
  </si>
  <si>
    <t>314001</t>
  </si>
  <si>
    <t>315001</t>
  </si>
  <si>
    <t>315002</t>
  </si>
  <si>
    <t>315003</t>
  </si>
  <si>
    <t>315005</t>
  </si>
  <si>
    <t>319001</t>
  </si>
  <si>
    <t>319002</t>
  </si>
  <si>
    <t>319003</t>
  </si>
  <si>
    <t>319004</t>
  </si>
  <si>
    <t>319005</t>
  </si>
  <si>
    <t>321000</t>
  </si>
  <si>
    <t>321002</t>
  </si>
  <si>
    <t>321003</t>
  </si>
  <si>
    <t>321004</t>
  </si>
  <si>
    <t>321005</t>
  </si>
  <si>
    <t>321006</t>
  </si>
  <si>
    <t>321007</t>
  </si>
  <si>
    <t>321008</t>
  </si>
  <si>
    <t>321009</t>
  </si>
  <si>
    <t>321011</t>
  </si>
  <si>
    <t>321012</t>
  </si>
  <si>
    <t>321013</t>
  </si>
  <si>
    <t>321014</t>
  </si>
  <si>
    <t>321015</t>
  </si>
  <si>
    <t>321016</t>
  </si>
  <si>
    <t>322002</t>
  </si>
  <si>
    <t>322003</t>
  </si>
  <si>
    <t>322004</t>
  </si>
  <si>
    <t>322005</t>
  </si>
  <si>
    <t>323001</t>
  </si>
  <si>
    <t>323005</t>
  </si>
  <si>
    <t>323006</t>
  </si>
  <si>
    <t>323007</t>
  </si>
  <si>
    <t>331100</t>
  </si>
  <si>
    <t>331101</t>
  </si>
  <si>
    <t>331102</t>
  </si>
  <si>
    <t>331103</t>
  </si>
  <si>
    <t>331104</t>
  </si>
  <si>
    <t>331105</t>
  </si>
  <si>
    <t>331106</t>
  </si>
  <si>
    <t>331201</t>
  </si>
  <si>
    <t>331203</t>
  </si>
  <si>
    <t>331204</t>
  </si>
  <si>
    <t>331205</t>
  </si>
  <si>
    <t>331206</t>
  </si>
  <si>
    <t>331207</t>
  </si>
  <si>
    <t>331300</t>
  </si>
  <si>
    <t>332000</t>
  </si>
  <si>
    <t>332001</t>
  </si>
  <si>
    <t>332002</t>
  </si>
  <si>
    <t>332003</t>
  </si>
  <si>
    <t>332004</t>
  </si>
  <si>
    <t>333000</t>
  </si>
  <si>
    <t>341001</t>
  </si>
  <si>
    <t>341003</t>
  </si>
  <si>
    <t>341004</t>
  </si>
  <si>
    <t>342000</t>
  </si>
  <si>
    <t>342001</t>
  </si>
  <si>
    <t>342002</t>
  </si>
  <si>
    <t>343000</t>
  </si>
  <si>
    <t>343001</t>
  </si>
  <si>
    <t>343002</t>
  </si>
  <si>
    <t>343003</t>
  </si>
  <si>
    <t>343004</t>
  </si>
  <si>
    <t>343005</t>
  </si>
  <si>
    <t>343006</t>
  </si>
  <si>
    <t>343007</t>
  </si>
  <si>
    <t>351101</t>
  </si>
  <si>
    <t>351102</t>
  </si>
  <si>
    <t>351103</t>
  </si>
  <si>
    <t>351104</t>
  </si>
  <si>
    <t>351105</t>
  </si>
  <si>
    <t>351106</t>
  </si>
  <si>
    <t>351107</t>
  </si>
  <si>
    <t>351200</t>
  </si>
  <si>
    <t>352000</t>
  </si>
  <si>
    <t>352001</t>
  </si>
  <si>
    <t>353000</t>
  </si>
  <si>
    <t>353001</t>
  </si>
  <si>
    <t>353002</t>
  </si>
  <si>
    <t>353003</t>
  </si>
  <si>
    <t>359100</t>
  </si>
  <si>
    <t>359200</t>
  </si>
  <si>
    <t>359201</t>
  </si>
  <si>
    <t>359202</t>
  </si>
  <si>
    <t>361001</t>
  </si>
  <si>
    <t>361002</t>
  </si>
  <si>
    <t>361003</t>
  </si>
  <si>
    <t>361005</t>
  </si>
  <si>
    <t>361006</t>
  </si>
  <si>
    <t>361007</t>
  </si>
  <si>
    <t>369101</t>
  </si>
  <si>
    <t>369200</t>
  </si>
  <si>
    <t>369201</t>
  </si>
  <si>
    <t>369202</t>
  </si>
  <si>
    <t>369301</t>
  </si>
  <si>
    <t>369302</t>
  </si>
  <si>
    <t>369305</t>
  </si>
  <si>
    <t>369306</t>
  </si>
  <si>
    <t>369401</t>
  </si>
  <si>
    <t>369402</t>
  </si>
  <si>
    <t>369404</t>
  </si>
  <si>
    <t>369405</t>
  </si>
  <si>
    <t>369501</t>
  </si>
  <si>
    <t>369502</t>
  </si>
  <si>
    <t>369503</t>
  </si>
  <si>
    <t>369504</t>
  </si>
  <si>
    <t>369505</t>
  </si>
  <si>
    <t>369902</t>
  </si>
  <si>
    <t>369903</t>
  </si>
  <si>
    <t>369904</t>
  </si>
  <si>
    <t>369905</t>
  </si>
  <si>
    <t>369906</t>
  </si>
  <si>
    <t>369907</t>
  </si>
  <si>
    <t>369908</t>
  </si>
  <si>
    <t>371000</t>
  </si>
  <si>
    <t>371001</t>
  </si>
  <si>
    <t>372000</t>
  </si>
  <si>
    <t>372001</t>
  </si>
  <si>
    <t>372002</t>
  </si>
  <si>
    <t>372003</t>
  </si>
  <si>
    <t>381000</t>
  </si>
  <si>
    <t>381003</t>
  </si>
  <si>
    <t>381004</t>
  </si>
  <si>
    <t>381005</t>
  </si>
  <si>
    <t>381006</t>
  </si>
  <si>
    <t>381007</t>
  </si>
  <si>
    <t>401000</t>
  </si>
  <si>
    <t>401001</t>
  </si>
  <si>
    <t>401002</t>
  </si>
  <si>
    <t>401003</t>
  </si>
  <si>
    <t>401004</t>
  </si>
  <si>
    <t>401005</t>
  </si>
  <si>
    <t>401006</t>
  </si>
  <si>
    <t>402001</t>
  </si>
  <si>
    <t>403000</t>
  </si>
  <si>
    <t>410000</t>
  </si>
  <si>
    <t>410001</t>
  </si>
  <si>
    <t>451101</t>
  </si>
  <si>
    <t>451102</t>
  </si>
  <si>
    <t>451103</t>
  </si>
  <si>
    <t>451104</t>
  </si>
  <si>
    <t>451105</t>
  </si>
  <si>
    <t>451106</t>
  </si>
  <si>
    <t>451107</t>
  </si>
  <si>
    <t>451108</t>
  </si>
  <si>
    <t>451109</t>
  </si>
  <si>
    <t>451200</t>
  </si>
  <si>
    <t>451204</t>
  </si>
  <si>
    <t>451205</t>
  </si>
  <si>
    <t>451206</t>
  </si>
  <si>
    <t>451207</t>
  </si>
  <si>
    <t>451208</t>
  </si>
  <si>
    <t>451300</t>
  </si>
  <si>
    <t>451400</t>
  </si>
  <si>
    <t>452101</t>
  </si>
  <si>
    <t>452102</t>
  </si>
  <si>
    <t>452103</t>
  </si>
  <si>
    <t>452104</t>
  </si>
  <si>
    <t>452105</t>
  </si>
  <si>
    <t>452107</t>
  </si>
  <si>
    <t>452108</t>
  </si>
  <si>
    <t>452109</t>
  </si>
  <si>
    <t>452110</t>
  </si>
  <si>
    <t>452111</t>
  </si>
  <si>
    <t>452112</t>
  </si>
  <si>
    <t>452113</t>
  </si>
  <si>
    <t>452114</t>
  </si>
  <si>
    <t>452115</t>
  </si>
  <si>
    <t>452116</t>
  </si>
  <si>
    <t>452117</t>
  </si>
  <si>
    <t>452118</t>
  </si>
  <si>
    <t>452119</t>
  </si>
  <si>
    <t>452120</t>
  </si>
  <si>
    <t>452121</t>
  </si>
  <si>
    <t>452122</t>
  </si>
  <si>
    <t>452123</t>
  </si>
  <si>
    <t>452124</t>
  </si>
  <si>
    <t>452125</t>
  </si>
  <si>
    <t>452126</t>
  </si>
  <si>
    <t>452127</t>
  </si>
  <si>
    <t>452128</t>
  </si>
  <si>
    <t>452129</t>
  </si>
  <si>
    <t>452130</t>
  </si>
  <si>
    <t>452131</t>
  </si>
  <si>
    <t>452132</t>
  </si>
  <si>
    <t>452200</t>
  </si>
  <si>
    <t>452201</t>
  </si>
  <si>
    <t>453000</t>
  </si>
  <si>
    <t>501101</t>
  </si>
  <si>
    <t>501103</t>
  </si>
  <si>
    <t>501201</t>
  </si>
  <si>
    <t>501202</t>
  </si>
  <si>
    <t>501301</t>
  </si>
  <si>
    <t>501302</t>
  </si>
  <si>
    <t>501303</t>
  </si>
  <si>
    <t>503001</t>
  </si>
  <si>
    <t>503002</t>
  </si>
  <si>
    <t>503003</t>
  </si>
  <si>
    <t>503004</t>
  </si>
  <si>
    <t>503005</t>
  </si>
  <si>
    <t>503006</t>
  </si>
  <si>
    <t>503007</t>
  </si>
  <si>
    <t>503008</t>
  </si>
  <si>
    <t>503009</t>
  </si>
  <si>
    <t>503010</t>
  </si>
  <si>
    <t>503013</t>
  </si>
  <si>
    <t>504001</t>
  </si>
  <si>
    <t>504002</t>
  </si>
  <si>
    <t>505001</t>
  </si>
  <si>
    <t>505002</t>
  </si>
  <si>
    <t>511111</t>
  </si>
  <si>
    <t>511112</t>
  </si>
  <si>
    <t>511113</t>
  </si>
  <si>
    <t>511114</t>
  </si>
  <si>
    <t>511115</t>
  </si>
  <si>
    <t>511116</t>
  </si>
  <si>
    <t>511117</t>
  </si>
  <si>
    <t>511118</t>
  </si>
  <si>
    <t>511119</t>
  </si>
  <si>
    <t>511121</t>
  </si>
  <si>
    <t>511122</t>
  </si>
  <si>
    <t>511123</t>
  </si>
  <si>
    <t>512111</t>
  </si>
  <si>
    <t>512112</t>
  </si>
  <si>
    <t>512113</t>
  </si>
  <si>
    <t>512116</t>
  </si>
  <si>
    <t>512119</t>
  </si>
  <si>
    <t>512120</t>
  </si>
  <si>
    <t>512131</t>
  </si>
  <si>
    <t>512132</t>
  </si>
  <si>
    <t>512133</t>
  </si>
  <si>
    <t>512135</t>
  </si>
  <si>
    <t>512140</t>
  </si>
  <si>
    <t>512190</t>
  </si>
  <si>
    <t>512192</t>
  </si>
  <si>
    <t>512211</t>
  </si>
  <si>
    <t>512212</t>
  </si>
  <si>
    <t>512214</t>
  </si>
  <si>
    <t>512215</t>
  </si>
  <si>
    <t>512221</t>
  </si>
  <si>
    <t>512222</t>
  </si>
  <si>
    <t>512223</t>
  </si>
  <si>
    <t>512224</t>
  </si>
  <si>
    <t>512231</t>
  </si>
  <si>
    <t>512232</t>
  </si>
  <si>
    <t>512233</t>
  </si>
  <si>
    <t>512234</t>
  </si>
  <si>
    <t>512235</t>
  </si>
  <si>
    <t>512236</t>
  </si>
  <si>
    <t>512241</t>
  </si>
  <si>
    <t>512242</t>
  </si>
  <si>
    <t>512243</t>
  </si>
  <si>
    <t>512244</t>
  </si>
  <si>
    <t>512245</t>
  </si>
  <si>
    <t>512251</t>
  </si>
  <si>
    <t>512252</t>
  </si>
  <si>
    <t>512260</t>
  </si>
  <si>
    <t>512271</t>
  </si>
  <si>
    <t>512272</t>
  </si>
  <si>
    <t>512273</t>
  </si>
  <si>
    <t>512274</t>
  </si>
  <si>
    <t>512279</t>
  </si>
  <si>
    <t>512280</t>
  </si>
  <si>
    <t>512281</t>
  </si>
  <si>
    <t>512282</t>
  </si>
  <si>
    <t>512283</t>
  </si>
  <si>
    <t>512284</t>
  </si>
  <si>
    <t>512285</t>
  </si>
  <si>
    <t>512286</t>
  </si>
  <si>
    <t>512287</t>
  </si>
  <si>
    <t>512288</t>
  </si>
  <si>
    <t>512289</t>
  </si>
  <si>
    <t>512290</t>
  </si>
  <si>
    <t>512293</t>
  </si>
  <si>
    <t>512294</t>
  </si>
  <si>
    <t>512295</t>
  </si>
  <si>
    <t>513111</t>
  </si>
  <si>
    <t>513112</t>
  </si>
  <si>
    <t>513113</t>
  </si>
  <si>
    <t>513119</t>
  </si>
  <si>
    <t>513121</t>
  </si>
  <si>
    <t>513130</t>
  </si>
  <si>
    <t>513131</t>
  </si>
  <si>
    <t>513132</t>
  </si>
  <si>
    <t>513141</t>
  </si>
  <si>
    <t>513150</t>
  </si>
  <si>
    <t>513191</t>
  </si>
  <si>
    <t>513211</t>
  </si>
  <si>
    <t>513230</t>
  </si>
  <si>
    <t>513231</t>
  </si>
  <si>
    <t>513241</t>
  </si>
  <si>
    <t>513250</t>
  </si>
  <si>
    <t>513253</t>
  </si>
  <si>
    <t>513261</t>
  </si>
  <si>
    <t>513263</t>
  </si>
  <si>
    <t>513271</t>
  </si>
  <si>
    <t>513272</t>
  </si>
  <si>
    <t>513290</t>
  </si>
  <si>
    <t>513291</t>
  </si>
  <si>
    <t>513295</t>
  </si>
  <si>
    <t>513296</t>
  </si>
  <si>
    <t>513297</t>
  </si>
  <si>
    <t>513298</t>
  </si>
  <si>
    <t>513311</t>
  </si>
  <si>
    <t>513312</t>
  </si>
  <si>
    <t>513313</t>
  </si>
  <si>
    <t>513320</t>
  </si>
  <si>
    <t>513330</t>
  </si>
  <si>
    <t>513410</t>
  </si>
  <si>
    <t>513414</t>
  </si>
  <si>
    <t>513415</t>
  </si>
  <si>
    <t>513421</t>
  </si>
  <si>
    <t>513430</t>
  </si>
  <si>
    <t>513911</t>
  </si>
  <si>
    <t>513912</t>
  </si>
  <si>
    <t>513913</t>
  </si>
  <si>
    <t>513920</t>
  </si>
  <si>
    <t>513921</t>
  </si>
  <si>
    <t>513931</t>
  </si>
  <si>
    <t>513933</t>
  </si>
  <si>
    <t>513934</t>
  </si>
  <si>
    <t>513941</t>
  </si>
  <si>
    <t>513942</t>
  </si>
  <si>
    <t>513945</t>
  </si>
  <si>
    <t>513950</t>
  </si>
  <si>
    <t>513960</t>
  </si>
  <si>
    <t>513991</t>
  </si>
  <si>
    <t>513992</t>
  </si>
  <si>
    <t>514111</t>
  </si>
  <si>
    <t>514112</t>
  </si>
  <si>
    <t>514121</t>
  </si>
  <si>
    <t>514122</t>
  </si>
  <si>
    <t>514130</t>
  </si>
  <si>
    <t>514210</t>
  </si>
  <si>
    <t>514232</t>
  </si>
  <si>
    <t>514239</t>
  </si>
  <si>
    <t>514240</t>
  </si>
  <si>
    <t>514250</t>
  </si>
  <si>
    <t>514291</t>
  </si>
  <si>
    <t>514312</t>
  </si>
  <si>
    <t>514320</t>
  </si>
  <si>
    <t>514321</t>
  </si>
  <si>
    <t>514330</t>
  </si>
  <si>
    <t>514350</t>
  </si>
  <si>
    <t>514361</t>
  </si>
  <si>
    <t>514366</t>
  </si>
  <si>
    <t>514370</t>
  </si>
  <si>
    <t>514380</t>
  </si>
  <si>
    <t>514392</t>
  </si>
  <si>
    <t>514393</t>
  </si>
  <si>
    <t>514911</t>
  </si>
  <si>
    <t>514912</t>
  </si>
  <si>
    <t>514916</t>
  </si>
  <si>
    <t>514919</t>
  </si>
  <si>
    <t>514920</t>
  </si>
  <si>
    <t>514930</t>
  </si>
  <si>
    <t>514940</t>
  </si>
  <si>
    <t>514950</t>
  </si>
  <si>
    <t>514961</t>
  </si>
  <si>
    <t>514969</t>
  </si>
  <si>
    <t>514971</t>
  </si>
  <si>
    <t>514990</t>
  </si>
  <si>
    <t>515010</t>
  </si>
  <si>
    <t>515020</t>
  </si>
  <si>
    <t>515030</t>
  </si>
  <si>
    <t>515031</t>
  </si>
  <si>
    <t>515040</t>
  </si>
  <si>
    <t>515050</t>
  </si>
  <si>
    <t>515051</t>
  </si>
  <si>
    <t>515060</t>
  </si>
  <si>
    <t>515070</t>
  </si>
  <si>
    <t>515074</t>
  </si>
  <si>
    <t>515080</t>
  </si>
  <si>
    <t>515081</t>
  </si>
  <si>
    <t>515090</t>
  </si>
  <si>
    <t>515093</t>
  </si>
  <si>
    <t>515094</t>
  </si>
  <si>
    <t>519111</t>
  </si>
  <si>
    <t>519112</t>
  </si>
  <si>
    <t>519113</t>
  </si>
  <si>
    <t>519910</t>
  </si>
  <si>
    <t>519991</t>
  </si>
  <si>
    <t>519992</t>
  </si>
  <si>
    <t>521100</t>
  </si>
  <si>
    <t>521910</t>
  </si>
  <si>
    <t>521911</t>
  </si>
  <si>
    <t>521912</t>
  </si>
  <si>
    <t>521913</t>
  </si>
  <si>
    <t>521991</t>
  </si>
  <si>
    <t>521992</t>
  </si>
  <si>
    <t>522011</t>
  </si>
  <si>
    <t>522012</t>
  </si>
  <si>
    <t>522020</t>
  </si>
  <si>
    <t>522040</t>
  </si>
  <si>
    <t>522050</t>
  </si>
  <si>
    <t>522061</t>
  </si>
  <si>
    <t>522062</t>
  </si>
  <si>
    <t>522063</t>
  </si>
  <si>
    <t>522071</t>
  </si>
  <si>
    <t>522080</t>
  </si>
  <si>
    <t>522081</t>
  </si>
  <si>
    <t>522082</t>
  </si>
  <si>
    <t>522091</t>
  </si>
  <si>
    <t>522092</t>
  </si>
  <si>
    <t>522093</t>
  </si>
  <si>
    <t>522094</t>
  </si>
  <si>
    <t>522095</t>
  </si>
  <si>
    <t>522096</t>
  </si>
  <si>
    <t>522098</t>
  </si>
  <si>
    <t>522099</t>
  </si>
  <si>
    <t>522101</t>
  </si>
  <si>
    <t>522105</t>
  </si>
  <si>
    <t>522109</t>
  </si>
  <si>
    <t>523111</t>
  </si>
  <si>
    <t>523114</t>
  </si>
  <si>
    <t>523116</t>
  </si>
  <si>
    <t>523120</t>
  </si>
  <si>
    <t>523131</t>
  </si>
  <si>
    <t>523132</t>
  </si>
  <si>
    <t>523211</t>
  </si>
  <si>
    <t>523214</t>
  </si>
  <si>
    <t>523221</t>
  </si>
  <si>
    <t>523223</t>
  </si>
  <si>
    <t>523231</t>
  </si>
  <si>
    <t>523233</t>
  </si>
  <si>
    <t>523234</t>
  </si>
  <si>
    <t>523235</t>
  </si>
  <si>
    <t>523236</t>
  </si>
  <si>
    <t>523237</t>
  </si>
  <si>
    <t>523241</t>
  </si>
  <si>
    <t>523242</t>
  </si>
  <si>
    <t>523252</t>
  </si>
  <si>
    <t>523260</t>
  </si>
  <si>
    <t>523291</t>
  </si>
  <si>
    <t>523292</t>
  </si>
  <si>
    <t>523311</t>
  </si>
  <si>
    <t>523312</t>
  </si>
  <si>
    <t>523314</t>
  </si>
  <si>
    <t>523321</t>
  </si>
  <si>
    <t>523323</t>
  </si>
  <si>
    <t>523330</t>
  </si>
  <si>
    <t>523331</t>
  </si>
  <si>
    <t>523332</t>
  </si>
  <si>
    <t>523341</t>
  </si>
  <si>
    <t>523349</t>
  </si>
  <si>
    <t>523352</t>
  </si>
  <si>
    <t>523361</t>
  </si>
  <si>
    <t>523363</t>
  </si>
  <si>
    <t>523370</t>
  </si>
  <si>
    <t>523390</t>
  </si>
  <si>
    <t>523391</t>
  </si>
  <si>
    <t>523411</t>
  </si>
  <si>
    <t>523412</t>
  </si>
  <si>
    <t>523413</t>
  </si>
  <si>
    <t>523421</t>
  </si>
  <si>
    <t>523422</t>
  </si>
  <si>
    <t>523491</t>
  </si>
  <si>
    <t>523492</t>
  </si>
  <si>
    <t>523494</t>
  </si>
  <si>
    <t>523511</t>
  </si>
  <si>
    <t>523520</t>
  </si>
  <si>
    <t>523521</t>
  </si>
  <si>
    <t>523531</t>
  </si>
  <si>
    <t>523532</t>
  </si>
  <si>
    <t>523541</t>
  </si>
  <si>
    <t>523550</t>
  </si>
  <si>
    <t>523552</t>
  </si>
  <si>
    <t>523611</t>
  </si>
  <si>
    <t>523612</t>
  </si>
  <si>
    <t>523619</t>
  </si>
  <si>
    <t>523621</t>
  </si>
  <si>
    <t>523630</t>
  </si>
  <si>
    <t>523910</t>
  </si>
  <si>
    <t>523921</t>
  </si>
  <si>
    <t>523922</t>
  </si>
  <si>
    <t>523923</t>
  </si>
  <si>
    <t>523931</t>
  </si>
  <si>
    <t>523932</t>
  </si>
  <si>
    <t>523935</t>
  </si>
  <si>
    <t>523936</t>
  </si>
  <si>
    <t>523940</t>
  </si>
  <si>
    <t>523951</t>
  </si>
  <si>
    <t>523952</t>
  </si>
  <si>
    <t>523954</t>
  </si>
  <si>
    <t>523961</t>
  </si>
  <si>
    <t>523970</t>
  </si>
  <si>
    <t>523980</t>
  </si>
  <si>
    <t>523981</t>
  </si>
  <si>
    <t>523982</t>
  </si>
  <si>
    <t>523983</t>
  </si>
  <si>
    <t>523984</t>
  </si>
  <si>
    <t>523985</t>
  </si>
  <si>
    <t>523986</t>
  </si>
  <si>
    <t>523987</t>
  </si>
  <si>
    <t>523988</t>
  </si>
  <si>
    <t>523990</t>
  </si>
  <si>
    <t>523993</t>
  </si>
  <si>
    <t>523994</t>
  </si>
  <si>
    <t>523995</t>
  </si>
  <si>
    <t>523996</t>
  </si>
  <si>
    <t>523999</t>
  </si>
  <si>
    <t>524000</t>
  </si>
  <si>
    <t>524001</t>
  </si>
  <si>
    <t>524010</t>
  </si>
  <si>
    <t>524020</t>
  </si>
  <si>
    <t>524091</t>
  </si>
  <si>
    <t>524092</t>
  </si>
  <si>
    <t>524093</t>
  </si>
  <si>
    <t>525101</t>
  </si>
  <si>
    <t>525102</t>
  </si>
  <si>
    <t>525103</t>
  </si>
  <si>
    <t>525200</t>
  </si>
  <si>
    <t>525300</t>
  </si>
  <si>
    <t>525910</t>
  </si>
  <si>
    <t>525911</t>
  </si>
  <si>
    <t>525912</t>
  </si>
  <si>
    <t>551001</t>
  </si>
  <si>
    <t>551002</t>
  </si>
  <si>
    <t>551003</t>
  </si>
  <si>
    <t>551004</t>
  </si>
  <si>
    <t>551005</t>
  </si>
  <si>
    <t>551006</t>
  </si>
  <si>
    <t>551009</t>
  </si>
  <si>
    <t>551010</t>
  </si>
  <si>
    <t>551015</t>
  </si>
  <si>
    <t>551016</t>
  </si>
  <si>
    <t>551017</t>
  </si>
  <si>
    <t>552101</t>
  </si>
  <si>
    <t>552102</t>
  </si>
  <si>
    <t>552103</t>
  </si>
  <si>
    <t>552104</t>
  </si>
  <si>
    <t>552105</t>
  </si>
  <si>
    <t>552107</t>
  </si>
  <si>
    <t>552108</t>
  </si>
  <si>
    <t>552109</t>
  </si>
  <si>
    <t>552114</t>
  </si>
  <si>
    <t>552115</t>
  </si>
  <si>
    <t>552116</t>
  </si>
  <si>
    <t>552117</t>
  </si>
  <si>
    <t>552118</t>
  </si>
  <si>
    <t>552119</t>
  </si>
  <si>
    <t>552123</t>
  </si>
  <si>
    <t>552201</t>
  </si>
  <si>
    <t>552202</t>
  </si>
  <si>
    <t>552203</t>
  </si>
  <si>
    <t>552204</t>
  </si>
  <si>
    <t>552205</t>
  </si>
  <si>
    <t>552206</t>
  </si>
  <si>
    <t>552207</t>
  </si>
  <si>
    <t>552208</t>
  </si>
  <si>
    <t>552209</t>
  </si>
  <si>
    <t>552210</t>
  </si>
  <si>
    <t>552301</t>
  </si>
  <si>
    <t>552303</t>
  </si>
  <si>
    <t>552305</t>
  </si>
  <si>
    <t>552307</t>
  </si>
  <si>
    <t>552308</t>
  </si>
  <si>
    <t>552309</t>
  </si>
  <si>
    <t>601000</t>
  </si>
  <si>
    <t>601001</t>
  </si>
  <si>
    <t>601002</t>
  </si>
  <si>
    <t>602101</t>
  </si>
  <si>
    <t>602102</t>
  </si>
  <si>
    <t>602103</t>
  </si>
  <si>
    <t>602104</t>
  </si>
  <si>
    <t>602109</t>
  </si>
  <si>
    <t>602110</t>
    <phoneticPr fontId="3" type="noConversion"/>
  </si>
  <si>
    <t>602201</t>
  </si>
  <si>
    <t>602203</t>
  </si>
  <si>
    <t>602204</t>
  </si>
  <si>
    <t>602205</t>
  </si>
  <si>
    <t>602206</t>
  </si>
  <si>
    <t>602209</t>
  </si>
  <si>
    <t>602301</t>
  </si>
  <si>
    <t>602302</t>
  </si>
  <si>
    <t>602303</t>
  </si>
  <si>
    <t>602304</t>
  </si>
  <si>
    <t>602305</t>
  </si>
  <si>
    <t>602306</t>
  </si>
  <si>
    <t>602307</t>
  </si>
  <si>
    <t>602308</t>
  </si>
  <si>
    <t>602309</t>
  </si>
  <si>
    <t>602310</t>
  </si>
  <si>
    <t>602313</t>
  </si>
  <si>
    <t>602314</t>
  </si>
  <si>
    <t>602315</t>
  </si>
  <si>
    <t>602316</t>
    <phoneticPr fontId="3" type="noConversion"/>
  </si>
  <si>
    <t>603000</t>
  </si>
  <si>
    <t>611001</t>
  </si>
  <si>
    <t>611002</t>
  </si>
  <si>
    <t>611003</t>
  </si>
  <si>
    <t>611004</t>
  </si>
  <si>
    <t>611005</t>
  </si>
  <si>
    <t>612000</t>
  </si>
  <si>
    <t>612001</t>
  </si>
  <si>
    <t>612002</t>
  </si>
  <si>
    <t>612003</t>
  </si>
  <si>
    <t>621000</t>
  </si>
  <si>
    <t>621001</t>
  </si>
  <si>
    <t>630101</t>
  </si>
  <si>
    <t>630102</t>
  </si>
  <si>
    <t>630201</t>
  </si>
  <si>
    <t>630202</t>
  </si>
  <si>
    <t>630203</t>
  </si>
  <si>
    <t>630204</t>
  </si>
  <si>
    <t>630205</t>
  </si>
  <si>
    <t>630301</t>
  </si>
  <si>
    <t>630302</t>
  </si>
  <si>
    <t>630303</t>
  </si>
  <si>
    <t>630304</t>
  </si>
  <si>
    <t>630305</t>
  </si>
  <si>
    <t>630309</t>
  </si>
  <si>
    <t>630311</t>
  </si>
  <si>
    <t>630401</t>
  </si>
  <si>
    <t>630402</t>
  </si>
  <si>
    <t>630403</t>
  </si>
  <si>
    <t>630405</t>
  </si>
  <si>
    <t>630500</t>
  </si>
  <si>
    <t>630501</t>
  </si>
  <si>
    <t>630600</t>
  </si>
  <si>
    <t>630601</t>
  </si>
  <si>
    <t>630701</t>
  </si>
  <si>
    <t>630702</t>
  </si>
  <si>
    <t>630901</t>
  </si>
  <si>
    <t>630902</t>
  </si>
  <si>
    <t>630903</t>
  </si>
  <si>
    <t>630904</t>
  </si>
  <si>
    <t>630905</t>
  </si>
  <si>
    <t>630909</t>
  </si>
  <si>
    <t>641200</t>
  </si>
  <si>
    <t>641201</t>
  </si>
  <si>
    <t>642001</t>
  </si>
  <si>
    <t>642002</t>
  </si>
  <si>
    <t>642003</t>
  </si>
  <si>
    <t>642004</t>
  </si>
  <si>
    <t>642005</t>
  </si>
  <si>
    <t>659201</t>
  </si>
  <si>
    <t>659202</t>
  </si>
  <si>
    <t>659203</t>
  </si>
  <si>
    <t>659204</t>
  </si>
  <si>
    <t>659205</t>
  </si>
  <si>
    <t>659206</t>
  </si>
  <si>
    <t>659207</t>
  </si>
  <si>
    <t>659208</t>
  </si>
  <si>
    <t>659209</t>
  </si>
  <si>
    <t>659900</t>
  </si>
  <si>
    <t>659901</t>
  </si>
  <si>
    <t>659902</t>
  </si>
  <si>
    <t>659903</t>
  </si>
  <si>
    <t>659904</t>
  </si>
  <si>
    <t>659905</t>
  </si>
  <si>
    <t>659906</t>
  </si>
  <si>
    <t>660100</t>
  </si>
  <si>
    <t>660101</t>
  </si>
  <si>
    <t>660301</t>
  </si>
  <si>
    <t>660302</t>
  </si>
  <si>
    <t>660303</t>
  </si>
  <si>
    <t>660304</t>
  </si>
  <si>
    <t>660305</t>
  </si>
  <si>
    <t>660306</t>
  </si>
  <si>
    <t>660307</t>
  </si>
  <si>
    <t>660308</t>
  </si>
  <si>
    <t>660309</t>
  </si>
  <si>
    <t>671201</t>
  </si>
  <si>
    <t>671202</t>
  </si>
  <si>
    <t>671203</t>
  </si>
  <si>
    <t>671900</t>
  </si>
  <si>
    <t>671901</t>
  </si>
  <si>
    <t>671902</t>
  </si>
  <si>
    <t>671903</t>
  </si>
  <si>
    <t>672000</t>
  </si>
  <si>
    <t>672001</t>
  </si>
  <si>
    <t>701101</t>
  </si>
  <si>
    <t>701102</t>
  </si>
  <si>
    <t>701103</t>
  </si>
  <si>
    <t>701104</t>
  </si>
  <si>
    <t>701201</t>
  </si>
  <si>
    <t>701202</t>
  </si>
  <si>
    <t>701203</t>
  </si>
  <si>
    <t>701204</t>
  </si>
  <si>
    <t>701205</t>
  </si>
  <si>
    <t>701300</t>
  </si>
  <si>
    <t>701301</t>
  </si>
  <si>
    <t>701400</t>
  </si>
  <si>
    <t>701501</t>
  </si>
  <si>
    <t>701502</t>
  </si>
  <si>
    <t>701503</t>
  </si>
  <si>
    <t>701504</t>
  </si>
  <si>
    <t>701600</t>
  </si>
  <si>
    <t>701700</t>
  </si>
  <si>
    <t>702001</t>
  </si>
  <si>
    <t>702002</t>
  </si>
  <si>
    <t>702003</t>
  </si>
  <si>
    <t>702004</t>
  </si>
  <si>
    <t>702005</t>
  </si>
  <si>
    <t>703011</t>
  </si>
  <si>
    <t>703012</t>
  </si>
  <si>
    <t>703014</t>
  </si>
  <si>
    <t>703015</t>
  </si>
  <si>
    <t>703016</t>
  </si>
  <si>
    <t>703017</t>
  </si>
  <si>
    <t>703021</t>
  </si>
  <si>
    <t>703022</t>
  </si>
  <si>
    <t>703023</t>
  </si>
  <si>
    <t>703024</t>
  </si>
  <si>
    <t>712100</t>
  </si>
  <si>
    <t>712200</t>
  </si>
  <si>
    <t>712201</t>
  </si>
  <si>
    <t>712202</t>
  </si>
  <si>
    <t>712203</t>
  </si>
  <si>
    <t>713001</t>
  </si>
  <si>
    <t>713002</t>
  </si>
  <si>
    <t>713003</t>
  </si>
  <si>
    <t>713004</t>
  </si>
  <si>
    <t>713005</t>
  </si>
  <si>
    <t>713006</t>
  </si>
  <si>
    <t>721000</t>
  </si>
  <si>
    <t>721001</t>
  </si>
  <si>
    <t>722000</t>
  </si>
  <si>
    <t>722001</t>
  </si>
  <si>
    <t>722002</t>
  </si>
  <si>
    <t>722003</t>
  </si>
  <si>
    <t>722004</t>
  </si>
  <si>
    <t>722005</t>
  </si>
  <si>
    <t>723000</t>
  </si>
  <si>
    <t>723001</t>
  </si>
  <si>
    <t>724000</t>
  </si>
  <si>
    <t>724001</t>
  </si>
  <si>
    <t>724002</t>
  </si>
  <si>
    <t>725000</t>
  </si>
  <si>
    <t>729000</t>
  </si>
  <si>
    <t>730000</t>
  </si>
  <si>
    <t>730001</t>
  </si>
  <si>
    <t>730002</t>
  </si>
  <si>
    <t>730003</t>
  </si>
  <si>
    <t>730004</t>
  </si>
  <si>
    <t>730005</t>
  </si>
  <si>
    <t>730006</t>
  </si>
  <si>
    <t>730007</t>
  </si>
  <si>
    <t>730008</t>
  </si>
  <si>
    <t>741101</t>
  </si>
  <si>
    <t>741104</t>
  </si>
  <si>
    <t>741106</t>
  </si>
  <si>
    <t>741107</t>
  </si>
  <si>
    <t>741108</t>
  </si>
  <si>
    <t>741109</t>
  </si>
  <si>
    <t>741110</t>
  </si>
  <si>
    <t>741114</t>
  </si>
  <si>
    <t>741201</t>
  </si>
  <si>
    <t>741202</t>
  </si>
  <si>
    <t>741203</t>
  </si>
  <si>
    <t>741204</t>
  </si>
  <si>
    <t>741300</t>
  </si>
  <si>
    <t>741400</t>
  </si>
  <si>
    <t>741401</t>
  </si>
  <si>
    <t>741402</t>
  </si>
  <si>
    <t>741403</t>
  </si>
  <si>
    <t>742101</t>
  </si>
  <si>
    <t>742102</t>
  </si>
  <si>
    <t>742103</t>
  </si>
  <si>
    <t>742104</t>
  </si>
  <si>
    <t>742105</t>
  </si>
  <si>
    <t>742106</t>
  </si>
  <si>
    <t>742107</t>
  </si>
  <si>
    <t>742108</t>
  </si>
  <si>
    <t>742109</t>
  </si>
  <si>
    <t>742110</t>
  </si>
  <si>
    <t>742113</t>
  </si>
  <si>
    <t>742201</t>
  </si>
  <si>
    <t>742202</t>
  </si>
  <si>
    <t>742203</t>
  </si>
  <si>
    <t>743001</t>
  </si>
  <si>
    <t>743002</t>
  </si>
  <si>
    <t>743003</t>
  </si>
  <si>
    <t>743004</t>
  </si>
  <si>
    <t>743005</t>
  </si>
  <si>
    <t>749100</t>
  </si>
  <si>
    <t>749101</t>
  </si>
  <si>
    <t>749102</t>
  </si>
  <si>
    <t>749200</t>
  </si>
  <si>
    <t>749201</t>
  </si>
  <si>
    <t>749300</t>
  </si>
  <si>
    <t>749301</t>
  </si>
  <si>
    <t>749302</t>
  </si>
  <si>
    <t>749303</t>
  </si>
  <si>
    <t>749400</t>
  </si>
  <si>
    <t>749401</t>
  </si>
  <si>
    <t>749402</t>
  </si>
  <si>
    <t>749403</t>
  </si>
  <si>
    <t>749500</t>
  </si>
  <si>
    <t>749601</t>
  </si>
  <si>
    <t>749602</t>
  </si>
  <si>
    <t>749603</t>
  </si>
  <si>
    <t>749604</t>
  </si>
  <si>
    <t>749609</t>
  </si>
  <si>
    <t>749901</t>
  </si>
  <si>
    <t>749902</t>
  </si>
  <si>
    <t>749903</t>
  </si>
  <si>
    <t>749904</t>
  </si>
  <si>
    <t>749905</t>
  </si>
  <si>
    <t>749906</t>
  </si>
  <si>
    <t>749907</t>
  </si>
  <si>
    <t>749909</t>
  </si>
  <si>
    <t>749910</t>
  </si>
  <si>
    <t>749911</t>
  </si>
  <si>
    <t>749912</t>
  </si>
  <si>
    <t>749913</t>
  </si>
  <si>
    <t>749914</t>
  </si>
  <si>
    <t>749915</t>
  </si>
  <si>
    <t>749916</t>
  </si>
  <si>
    <t>749921</t>
  </si>
  <si>
    <t>749927</t>
  </si>
  <si>
    <t>749930</t>
  </si>
  <si>
    <t>749934</t>
  </si>
  <si>
    <t>749935</t>
  </si>
  <si>
    <t>749937</t>
  </si>
  <si>
    <t>749938</t>
  </si>
  <si>
    <t>749939</t>
  </si>
  <si>
    <t>749940</t>
  </si>
  <si>
    <t>749941</t>
  </si>
  <si>
    <t>749942</t>
  </si>
  <si>
    <t>804101</t>
  </si>
  <si>
    <t>809001</t>
  </si>
  <si>
    <t>809002</t>
  </si>
  <si>
    <t>809003</t>
  </si>
  <si>
    <t>809004</t>
  </si>
  <si>
    <t>809005</t>
  </si>
  <si>
    <t>809006</t>
  </si>
  <si>
    <t>809007</t>
  </si>
  <si>
    <t>809009</t>
  </si>
  <si>
    <t>809010</t>
  </si>
  <si>
    <t>809011</t>
  </si>
  <si>
    <t>809012</t>
  </si>
  <si>
    <t>809013</t>
  </si>
  <si>
    <t>809014</t>
  </si>
  <si>
    <t>809015</t>
  </si>
  <si>
    <t>809016</t>
  </si>
  <si>
    <t>809017</t>
  </si>
  <si>
    <t>809018</t>
  </si>
  <si>
    <t>809019</t>
  </si>
  <si>
    <t>809020</t>
  </si>
  <si>
    <t>809021</t>
  </si>
  <si>
    <t>809022</t>
  </si>
  <si>
    <t>851101</t>
  </si>
  <si>
    <t>851102</t>
  </si>
  <si>
    <t>851103</t>
  </si>
  <si>
    <t>851113</t>
  </si>
  <si>
    <t>851114</t>
  </si>
  <si>
    <t>851201</t>
  </si>
  <si>
    <t>851202</t>
  </si>
  <si>
    <t>851203</t>
  </si>
  <si>
    <t>851204</t>
  </si>
  <si>
    <t>851205</t>
  </si>
  <si>
    <t>851206</t>
  </si>
  <si>
    <t>851207</t>
  </si>
  <si>
    <t>851208</t>
  </si>
  <si>
    <t>851209</t>
  </si>
  <si>
    <t>851211</t>
  </si>
  <si>
    <t>851212</t>
  </si>
  <si>
    <t>851219</t>
  </si>
  <si>
    <t>851901</t>
  </si>
  <si>
    <t>851902</t>
  </si>
  <si>
    <t>851903</t>
  </si>
  <si>
    <t>851904</t>
  </si>
  <si>
    <t>851905</t>
  </si>
  <si>
    <t>851906</t>
  </si>
  <si>
    <t>851907</t>
  </si>
  <si>
    <t>851908</t>
  </si>
  <si>
    <t>851909</t>
  </si>
  <si>
    <t>851911</t>
  </si>
  <si>
    <t>851912</t>
  </si>
  <si>
    <t>852000</t>
  </si>
  <si>
    <t>900100</t>
  </si>
  <si>
    <t>900101</t>
  </si>
  <si>
    <t>900102</t>
  </si>
  <si>
    <t>900103</t>
  </si>
  <si>
    <t>900104</t>
  </si>
  <si>
    <t>900105</t>
  </si>
  <si>
    <t>900106</t>
  </si>
  <si>
    <t>900200</t>
  </si>
  <si>
    <t>900201</t>
  </si>
  <si>
    <t>900202</t>
  </si>
  <si>
    <t>900203</t>
  </si>
  <si>
    <t>900300</t>
  </si>
  <si>
    <t>900900</t>
  </si>
  <si>
    <t>921100</t>
  </si>
  <si>
    <t>921200</t>
  </si>
  <si>
    <t>921301</t>
  </si>
  <si>
    <t>921302</t>
  </si>
  <si>
    <t>921303</t>
  </si>
  <si>
    <t>921304</t>
  </si>
  <si>
    <t>921305</t>
  </si>
  <si>
    <t>921306</t>
  </si>
  <si>
    <t>921401</t>
  </si>
  <si>
    <t>921402</t>
  </si>
  <si>
    <t>921403</t>
  </si>
  <si>
    <t>921404</t>
  </si>
  <si>
    <t>921405</t>
  </si>
  <si>
    <t>921406</t>
  </si>
  <si>
    <t>921407</t>
  </si>
  <si>
    <t>921501</t>
  </si>
  <si>
    <t>921502</t>
  </si>
  <si>
    <t>921503</t>
  </si>
  <si>
    <t>921504</t>
  </si>
  <si>
    <t>921901</t>
  </si>
  <si>
    <t>921902</t>
  </si>
  <si>
    <t>921903</t>
  </si>
  <si>
    <t>921904</t>
  </si>
  <si>
    <t>922101</t>
  </si>
  <si>
    <t>922102</t>
  </si>
  <si>
    <t>922103</t>
  </si>
  <si>
    <t>922104</t>
  </si>
  <si>
    <t>922105</t>
  </si>
  <si>
    <t>922106</t>
  </si>
  <si>
    <t>922107</t>
  </si>
  <si>
    <t>922108</t>
  </si>
  <si>
    <t>922109</t>
  </si>
  <si>
    <t>922201</t>
  </si>
  <si>
    <t>922202</t>
  </si>
  <si>
    <t>922203</t>
  </si>
  <si>
    <t>922204</t>
  </si>
  <si>
    <t>923100</t>
  </si>
  <si>
    <t>923101</t>
  </si>
  <si>
    <t>923102</t>
    <phoneticPr fontId="3" type="noConversion"/>
  </si>
  <si>
    <t>923200</t>
  </si>
  <si>
    <t>923201</t>
  </si>
  <si>
    <t>923300</t>
  </si>
  <si>
    <t>923301</t>
  </si>
  <si>
    <t>924101</t>
  </si>
  <si>
    <t>924102</t>
  </si>
  <si>
    <t>924103</t>
  </si>
  <si>
    <t>924200</t>
  </si>
  <si>
    <t>924201</t>
  </si>
  <si>
    <t>924202</t>
  </si>
  <si>
    <t>924302</t>
  </si>
  <si>
    <t>924303</t>
  </si>
  <si>
    <t>924304</t>
  </si>
  <si>
    <t>924305</t>
  </si>
  <si>
    <t>924306</t>
  </si>
  <si>
    <t>924307</t>
  </si>
  <si>
    <t>924308</t>
  </si>
  <si>
    <t>924309</t>
  </si>
  <si>
    <t>924310</t>
  </si>
  <si>
    <t>924311</t>
  </si>
  <si>
    <t>924312</t>
  </si>
  <si>
    <t>924313</t>
  </si>
  <si>
    <t>924314</t>
  </si>
  <si>
    <t>924901</t>
  </si>
  <si>
    <t>924902</t>
  </si>
  <si>
    <t>924903</t>
  </si>
  <si>
    <t>924904</t>
  </si>
  <si>
    <t>924905</t>
  </si>
  <si>
    <t>924906</t>
  </si>
  <si>
    <t>924907</t>
  </si>
  <si>
    <t>924908</t>
  </si>
  <si>
    <t>924909</t>
  </si>
  <si>
    <t>924910</t>
  </si>
  <si>
    <t>924911</t>
  </si>
  <si>
    <t>924912</t>
  </si>
  <si>
    <t>924913</t>
  </si>
  <si>
    <t>924914</t>
  </si>
  <si>
    <t>924915</t>
  </si>
  <si>
    <t>924916</t>
  </si>
  <si>
    <t>924917</t>
  </si>
  <si>
    <t>930100</t>
  </si>
  <si>
    <t>930101</t>
  </si>
  <si>
    <t>930102</t>
  </si>
  <si>
    <t>930201</t>
  </si>
  <si>
    <t>930203</t>
  </si>
  <si>
    <t>930205</t>
  </si>
  <si>
    <t>930207</t>
  </si>
  <si>
    <t>930208</t>
  </si>
  <si>
    <t>930209</t>
  </si>
  <si>
    <t>930301</t>
  </si>
  <si>
    <t>930302</t>
  </si>
  <si>
    <t>930901</t>
  </si>
  <si>
    <t>930902</t>
  </si>
  <si>
    <t>930903</t>
  </si>
  <si>
    <t>930904</t>
  </si>
  <si>
    <t>930908</t>
  </si>
  <si>
    <t>930909</t>
  </si>
  <si>
    <t>930911</t>
  </si>
  <si>
    <t>930912</t>
  </si>
  <si>
    <t>930913</t>
  </si>
  <si>
    <t>930914</t>
  </si>
  <si>
    <t>930915</t>
  </si>
  <si>
    <t>930916</t>
  </si>
  <si>
    <t>930917</t>
  </si>
  <si>
    <t>930919</t>
  </si>
  <si>
    <t>930921</t>
  </si>
  <si>
    <t>930925</t>
  </si>
  <si>
    <t>940100</t>
  </si>
  <si>
    <t>940200</t>
  </si>
  <si>
    <t>940301</t>
  </si>
  <si>
    <t>940302</t>
  </si>
  <si>
    <t>940303</t>
  </si>
  <si>
    <t>940304</t>
  </si>
  <si>
    <t>940305</t>
  </si>
  <si>
    <t>940500</t>
  </si>
  <si>
    <t>940600</t>
  </si>
  <si>
    <t>940901</t>
  </si>
  <si>
    <t>940902</t>
  </si>
  <si>
    <t>940903</t>
  </si>
  <si>
    <t>940904</t>
  </si>
  <si>
    <t>940905</t>
  </si>
  <si>
    <t>940906</t>
  </si>
  <si>
    <t>940907</t>
  </si>
  <si>
    <t>940908</t>
  </si>
  <si>
    <t>940909</t>
  </si>
  <si>
    <t>940910</t>
  </si>
  <si>
    <t>940911</t>
  </si>
  <si>
    <t>940912</t>
  </si>
  <si>
    <t>940913</t>
  </si>
  <si>
    <t>940914</t>
  </si>
  <si>
    <t>940915</t>
  </si>
  <si>
    <t>940916</t>
  </si>
  <si>
    <t>940917</t>
  </si>
  <si>
    <t>940918</t>
  </si>
  <si>
    <t>940919</t>
  </si>
  <si>
    <t>940920</t>
  </si>
  <si>
    <t>940921</t>
  </si>
  <si>
    <t>940922</t>
  </si>
  <si>
    <t>940923</t>
  </si>
  <si>
    <t>940924</t>
  </si>
  <si>
    <t>940925</t>
  </si>
  <si>
    <t>940926</t>
    <phoneticPr fontId="3" type="noConversion"/>
  </si>
  <si>
    <t>940927</t>
    <phoneticPr fontId="3" type="noConversion"/>
  </si>
  <si>
    <t>940928</t>
    <phoneticPr fontId="3" type="noConversion"/>
  </si>
  <si>
    <t>940929</t>
    <phoneticPr fontId="3" type="noConversion"/>
  </si>
  <si>
    <t>950000</t>
  </si>
  <si>
    <t>950001</t>
  </si>
  <si>
    <t>950002</t>
  </si>
  <si>
    <t>소프트웨어프리랜서</t>
    <phoneticPr fontId="3" type="noConversion"/>
  </si>
  <si>
    <t>관광통역안내사</t>
    <phoneticPr fontId="3" type="noConversion"/>
  </si>
  <si>
    <t>어린이통학버스기사</t>
    <phoneticPr fontId="3" type="noConversion"/>
  </si>
  <si>
    <t>중고자동차판매원</t>
    <phoneticPr fontId="3" type="noConversion"/>
  </si>
  <si>
    <t>2023년 귀속
업종코드</t>
    <phoneticPr fontId="3" type="noConversion"/>
  </si>
  <si>
    <t>141004</t>
    <phoneticPr fontId="3" type="noConversion"/>
  </si>
  <si>
    <t>154804</t>
    <phoneticPr fontId="18" type="noConversion"/>
  </si>
  <si>
    <t>171101</t>
    <phoneticPr fontId="3" type="noConversion"/>
  </si>
  <si>
    <t>241105</t>
    <phoneticPr fontId="3" type="noConversion"/>
  </si>
  <si>
    <t>242907</t>
    <phoneticPr fontId="3" type="noConversion"/>
  </si>
  <si>
    <t>272203</t>
    <phoneticPr fontId="3" type="noConversion"/>
  </si>
  <si>
    <t>289305</t>
    <phoneticPr fontId="3" type="noConversion"/>
  </si>
  <si>
    <t>289915</t>
    <phoneticPr fontId="3" type="noConversion"/>
  </si>
  <si>
    <t>321001</t>
    <phoneticPr fontId="3" type="noConversion"/>
  </si>
  <si>
    <t>369409</t>
    <phoneticPr fontId="3" type="noConversion"/>
  </si>
  <si>
    <t>452106</t>
    <phoneticPr fontId="3" type="noConversion"/>
  </si>
  <si>
    <t>513221</t>
    <phoneticPr fontId="3" type="noConversion"/>
  </si>
  <si>
    <t>514220</t>
    <phoneticPr fontId="3" type="noConversion"/>
  </si>
  <si>
    <t>514292</t>
    <phoneticPr fontId="3" type="noConversion"/>
  </si>
  <si>
    <t>522031</t>
    <phoneticPr fontId="3" type="noConversion"/>
  </si>
  <si>
    <t>522039</t>
    <phoneticPr fontId="3" type="noConversion"/>
  </si>
  <si>
    <t>523499</t>
    <phoneticPr fontId="3" type="noConversion"/>
  </si>
  <si>
    <t>525104</t>
    <phoneticPr fontId="3" type="noConversion"/>
  </si>
  <si>
    <t>525105</t>
    <phoneticPr fontId="3" type="noConversion"/>
  </si>
  <si>
    <t>일반 화물 자동차 운송업(유통물류 운송업)</t>
    <phoneticPr fontId="3" type="noConversion"/>
  </si>
  <si>
    <t>551007</t>
    <phoneticPr fontId="3" type="noConversion"/>
  </si>
  <si>
    <t>552211</t>
    <phoneticPr fontId="3" type="noConversion"/>
  </si>
  <si>
    <t>552310</t>
  </si>
  <si>
    <t>동물카페</t>
  </si>
  <si>
    <t>921505</t>
    <phoneticPr fontId="3" type="noConversion"/>
  </si>
  <si>
    <t>641100</t>
  </si>
  <si>
    <t>701206</t>
    <phoneticPr fontId="3" type="noConversion"/>
  </si>
  <si>
    <t>비주거용 건물 임대업(공유오피스 임대)</t>
    <phoneticPr fontId="18" type="noConversion"/>
  </si>
  <si>
    <t>L</t>
    <phoneticPr fontId="3" type="noConversion"/>
  </si>
  <si>
    <t>부동산업</t>
    <phoneticPr fontId="3" type="noConversion"/>
  </si>
  <si>
    <t>부동산 임대업</t>
    <phoneticPr fontId="3" type="noConversion"/>
  </si>
  <si>
    <t>비주거용 건물 임대업</t>
    <phoneticPr fontId="3" type="noConversion"/>
  </si>
  <si>
    <t>공유오피스 임대</t>
    <phoneticPr fontId="3" type="noConversion"/>
  </si>
  <si>
    <t>701302</t>
    <phoneticPr fontId="3" type="noConversion"/>
  </si>
  <si>
    <t>비주거용 건물 임대업(공유오피스 전대)</t>
    <phoneticPr fontId="3" type="noConversion"/>
  </si>
  <si>
    <t>68112</t>
    <phoneticPr fontId="3" type="noConversion"/>
  </si>
  <si>
    <t>공유오피스 전대</t>
    <phoneticPr fontId="3" type="noConversion"/>
  </si>
  <si>
    <t>741203</t>
    <phoneticPr fontId="18" type="noConversion"/>
  </si>
  <si>
    <t>841110</t>
  </si>
  <si>
    <t>841121</t>
  </si>
  <si>
    <t>841131</t>
  </si>
  <si>
    <t>841141</t>
  </si>
  <si>
    <t>841190</t>
  </si>
  <si>
    <t>841200</t>
  </si>
  <si>
    <t>842110</t>
  </si>
  <si>
    <t>842121</t>
  </si>
  <si>
    <t>842130</t>
  </si>
  <si>
    <t>842140</t>
  </si>
  <si>
    <t>842190</t>
  </si>
  <si>
    <t>842211</t>
  </si>
  <si>
    <t>842221</t>
  </si>
  <si>
    <t>842231</t>
  </si>
  <si>
    <t>842241</t>
  </si>
  <si>
    <t>842291</t>
  </si>
  <si>
    <t>843100</t>
  </si>
  <si>
    <t>843200</t>
  </si>
  <si>
    <t>844010</t>
  </si>
  <si>
    <t>844020</t>
  </si>
  <si>
    <t>844030</t>
  </si>
  <si>
    <t>844040</t>
  </si>
  <si>
    <t>844050</t>
  </si>
  <si>
    <t>844090</t>
  </si>
  <si>
    <t>845000</t>
  </si>
  <si>
    <t>851100</t>
  </si>
  <si>
    <t>851200</t>
  </si>
  <si>
    <t>852110</t>
  </si>
  <si>
    <t>852120</t>
  </si>
  <si>
    <t>852210</t>
  </si>
  <si>
    <t>852220</t>
  </si>
  <si>
    <t>852290</t>
  </si>
  <si>
    <t>853010</t>
  </si>
  <si>
    <t>853020</t>
  </si>
  <si>
    <t>853030</t>
  </si>
  <si>
    <t>854100</t>
  </si>
  <si>
    <t>854300</t>
  </si>
  <si>
    <t>856400</t>
  </si>
  <si>
    <t>863000</t>
  </si>
  <si>
    <t>871110</t>
  </si>
  <si>
    <t>871210</t>
  </si>
  <si>
    <t>871220</t>
  </si>
  <si>
    <t>871310</t>
  </si>
  <si>
    <t>871390</t>
  </si>
  <si>
    <t>872100</t>
  </si>
  <si>
    <t>872910</t>
  </si>
  <si>
    <t>872920</t>
  </si>
  <si>
    <t>872930</t>
  </si>
  <si>
    <t>872940</t>
  </si>
  <si>
    <t>872990</t>
  </si>
  <si>
    <t>940306</t>
    <phoneticPr fontId="3" type="noConversion"/>
  </si>
  <si>
    <t>941100</t>
  </si>
  <si>
    <t>941200</t>
  </si>
  <si>
    <t>942000</t>
  </si>
  <si>
    <t>949111</t>
  </si>
  <si>
    <t>949121</t>
  </si>
  <si>
    <t>949131</t>
  </si>
  <si>
    <t>949141</t>
  </si>
  <si>
    <t>949142</t>
  </si>
  <si>
    <t>949143</t>
    <phoneticPr fontId="18" type="noConversion"/>
  </si>
  <si>
    <t>949190</t>
  </si>
  <si>
    <t>949191</t>
    <phoneticPr fontId="18" type="noConversion"/>
  </si>
  <si>
    <t>949200</t>
  </si>
  <si>
    <t>949311</t>
  </si>
  <si>
    <t>949390</t>
  </si>
  <si>
    <t>949900</t>
  </si>
  <si>
    <t>949901</t>
  </si>
  <si>
    <t>949902</t>
  </si>
  <si>
    <t>990010</t>
  </si>
  <si>
    <t>990090</t>
  </si>
  <si>
    <t>813</t>
  </si>
  <si>
    <t>용역매출</t>
  </si>
  <si>
    <t>서찬영세무회계사무소</t>
  </si>
  <si>
    <t>종합소득세신고용역보수</t>
  </si>
  <si>
    <t>용역매출</t>
    <phoneticPr fontId="3" type="noConversion"/>
  </si>
  <si>
    <t>답변:</t>
    <phoneticPr fontId="3" type="noConversion"/>
  </si>
  <si>
    <t>예상:</t>
    <phoneticPr fontId="3" type="noConversion"/>
  </si>
  <si>
    <t>(주)이동의즐거움</t>
  </si>
  <si>
    <t>기장세액공제비적용</t>
  </si>
  <si>
    <t>부양가족확인</t>
    <phoneticPr fontId="3" type="noConversion"/>
  </si>
  <si>
    <t>&gt; 없음</t>
    <phoneticPr fontId="3" type="noConversion"/>
  </si>
  <si>
    <t xml:space="preserve">노란우산공제 </t>
    <phoneticPr fontId="3" type="noConversion"/>
  </si>
  <si>
    <t>&gt; 작년과 동일하게 반영</t>
    <phoneticPr fontId="3" type="noConversion"/>
  </si>
  <si>
    <t>기장세액공제</t>
    <phoneticPr fontId="3" type="noConversion"/>
  </si>
  <si>
    <t xml:space="preserve">중특,창업 감면  </t>
    <phoneticPr fontId="3" type="noConversion"/>
  </si>
  <si>
    <t>&gt; 해당 없음</t>
    <phoneticPr fontId="3" type="noConversion"/>
  </si>
  <si>
    <t>* 가사경비 많으나, 경비 적극적으로 반영함</t>
    <phoneticPr fontId="3" type="noConversion"/>
  </si>
  <si>
    <t>롯데쇼핑（주）롯데마트 수완점</t>
  </si>
  <si>
    <t>지에스25 광주본점</t>
  </si>
  <si>
    <t>255</t>
  </si>
  <si>
    <t>부가세예수금</t>
  </si>
  <si>
    <t>(주)유진테크노</t>
  </si>
  <si>
    <t>인사노무자문료 1 X 150,000</t>
  </si>
  <si>
    <t>재단법인 광주광역시 여성가족재단</t>
  </si>
  <si>
    <t>(주)혁진팩</t>
  </si>
  <si>
    <t>50003</t>
  </si>
  <si>
    <t>(주)미래아이엔씨</t>
  </si>
  <si>
    <t>50004</t>
  </si>
  <si>
    <t>인사노무자문료 1 X 100,000</t>
  </si>
  <si>
    <t>50005</t>
  </si>
  <si>
    <t>(주)모아주택산업</t>
  </si>
  <si>
    <t>인사노무자문료 1 X 400,000</t>
  </si>
  <si>
    <t>50006</t>
  </si>
  <si>
    <t>인사노무자문료 1 X 300,000</t>
  </si>
  <si>
    <t>50007</t>
  </si>
  <si>
    <t>브레드앤케익</t>
  </si>
  <si>
    <t>㈜LG유플러스</t>
  </si>
  <si>
    <t>컴포즈커피첨단신동아점</t>
  </si>
  <si>
    <t>한백석유첨단주유소</t>
  </si>
  <si>
    <t>（주）한백자동차정비</t>
  </si>
  <si>
    <t>롯데쇼핑(주)롯데아울렛광주수완점 오가</t>
  </si>
  <si>
    <t>햇살마트</t>
  </si>
  <si>
    <t>구내인터넷 Standard(100M) (503300019511) 1 X 19,200</t>
  </si>
  <si>
    <t>농협카드(6215)</t>
  </si>
  <si>
    <t>정다운메디컬센터</t>
  </si>
  <si>
    <t>다이소아성산업</t>
  </si>
  <si>
    <t>（주）찬해영암마트</t>
  </si>
  <si>
    <t>주식회사 청경</t>
  </si>
  <si>
    <t>인사노무자문료 1 X 136,364</t>
  </si>
  <si>
    <t>농협은행</t>
  </si>
  <si>
    <t>전자세금계산서용 인증서수수료 1 X 4,000</t>
  </si>
  <si>
    <t>인사노무자문료 -1 X 100,000</t>
  </si>
  <si>
    <t>주식회사 동양금속</t>
  </si>
  <si>
    <t>(주)중동텍스타일</t>
  </si>
  <si>
    <t>최원호병원</t>
  </si>
  <si>
    <t>837</t>
  </si>
  <si>
    <t>와이어스파크 지식산업센터 관리위원회</t>
  </si>
  <si>
    <t>2동2205호</t>
  </si>
  <si>
    <t>KCP - ( 주 ) 위메프</t>
  </si>
  <si>
    <t>50008</t>
  </si>
  <si>
    <t>50009</t>
  </si>
  <si>
    <t>50010</t>
  </si>
  <si>
    <t>(주)코리아세븐 광주첨단라인점</t>
  </si>
  <si>
    <t>바오팜 주식회사</t>
  </si>
  <si>
    <t>커피랩</t>
  </si>
  <si>
    <t>주식회사 365 스테이셔너리</t>
  </si>
  <si>
    <t>(주)한국피엔피서비스</t>
  </si>
  <si>
    <t>농업회사법인(주)황칠코리아</t>
  </si>
  <si>
    <t>인사노무자문료 1 X 120,000</t>
  </si>
  <si>
    <t>(주)텝스텍</t>
  </si>
  <si>
    <t>효성에프엠에스(주)</t>
  </si>
  <si>
    <t>01월CMS사용료-gjsals596</t>
  </si>
  <si>
    <t>01월CMS수수료-gjsals596</t>
  </si>
  <si>
    <t>첨단튼튼병원</t>
  </si>
  <si>
    <t>인사노무자문료 1 X 200,000</t>
  </si>
  <si>
    <t>청담리브의원</t>
  </si>
  <si>
    <t>주식회사 푸른하늘청자</t>
  </si>
  <si>
    <t>(유)팔복산업</t>
  </si>
  <si>
    <t>현명산업주식회사</t>
  </si>
  <si>
    <t>(주)연합기업</t>
  </si>
  <si>
    <t>롤링파스타(수완점)</t>
  </si>
  <si>
    <t>50011</t>
  </si>
  <si>
    <t>라스(LAS)어린이치과의원</t>
  </si>
  <si>
    <t>50012</t>
  </si>
  <si>
    <t>50013</t>
  </si>
  <si>
    <t>서호통상</t>
  </si>
  <si>
    <t>50014</t>
  </si>
  <si>
    <t>50015</t>
  </si>
  <si>
    <t>24시 동물병원 공감</t>
  </si>
  <si>
    <t>50016</t>
  </si>
  <si>
    <t>하서방해물칼국수</t>
  </si>
  <si>
    <t>50017</t>
  </si>
  <si>
    <t>50018</t>
  </si>
  <si>
    <t>50019</t>
  </si>
  <si>
    <t>50020</t>
  </si>
  <si>
    <t>연세바른병원</t>
  </si>
  <si>
    <t>50021</t>
  </si>
  <si>
    <t>50022</t>
  </si>
  <si>
    <t>주식화사 광원이엔지</t>
  </si>
  <si>
    <t>50023</t>
  </si>
  <si>
    <t>탐진화물주식회사 유한회사</t>
  </si>
  <si>
    <t>50024</t>
  </si>
  <si>
    <t>동지애드</t>
  </si>
  <si>
    <t>방방곡곡플라워</t>
  </si>
  <si>
    <t>(주)에이스미트</t>
  </si>
  <si>
    <t>주식회사 세연이앤에스</t>
  </si>
  <si>
    <t>미곡종합포장(주)</t>
  </si>
  <si>
    <t>주식회사 한솔무역</t>
  </si>
  <si>
    <t>광주미래의원</t>
  </si>
  <si>
    <t>정원기업</t>
  </si>
  <si>
    <t>주식회사 수연</t>
  </si>
  <si>
    <t>주식회사 주영테크</t>
  </si>
  <si>
    <t>와이앤애드</t>
  </si>
  <si>
    <t>용성이앤지</t>
  </si>
  <si>
    <t>주식회사 호원</t>
  </si>
  <si>
    <t>（유）금성물류 광주지점</t>
  </si>
  <si>
    <t>신용주유소</t>
  </si>
  <si>
    <t>(주) 다우기술</t>
  </si>
  <si>
    <t>02월CMS사용료-gjsals596</t>
  </si>
  <si>
    <t>02월CMS수수료-gjsals596</t>
  </si>
  <si>
    <t>소비자현금영수증매출</t>
  </si>
  <si>
    <t>인사노무자문료 1 X 500,000</t>
  </si>
  <si>
    <t>(주)에이버츄얼</t>
  </si>
  <si>
    <t>리.베이커리</t>
  </si>
  <si>
    <t>마루샤브</t>
  </si>
  <si>
    <t>인사노무자문료 1 X 50,000</t>
  </si>
  <si>
    <t>동광건설 주식회사</t>
  </si>
  <si>
    <t>현대자동차㈜ 본사</t>
  </si>
  <si>
    <t>제네시스 커넥티드서비스</t>
  </si>
  <si>
    <t>（합명）노무법인희망나눔</t>
  </si>
  <si>
    <t>인사노무자문료 1 X 70,000</t>
  </si>
  <si>
    <t>김밥랜드</t>
  </si>
  <si>
    <t>유한회사 아름다운세종문고</t>
  </si>
  <si>
    <t>824</t>
  </si>
  <si>
    <t>우정사업본부광주</t>
  </si>
  <si>
    <t>주식회사 에스아이티</t>
  </si>
  <si>
    <t>03월CMS사용료-gjsals596</t>
  </si>
  <si>
    <t>03월CMS수수료-gjsals596</t>
  </si>
  <si>
    <t>깐깐한 족발(화정점)</t>
  </si>
  <si>
    <t>인사노무자문료 1 X 90,909</t>
  </si>
  <si>
    <t>136</t>
  </si>
  <si>
    <t>선납세금</t>
  </si>
  <si>
    <t>서광주세무서</t>
  </si>
  <si>
    <t>해드림재활주간보호센터</t>
  </si>
  <si>
    <t>인사노무자문료 1 X 1,000,000</t>
  </si>
  <si>
    <t>이마트24광주농성점</t>
  </si>
  <si>
    <t>인사노무자문료 1 X 60,000</t>
  </si>
  <si>
    <t>(주)커피볶는집</t>
  </si>
  <si>
    <t>한국정보통신 - 윌슨파킹</t>
  </si>
  <si>
    <t>04월CMS사용료-gjsals596</t>
  </si>
  <si>
    <t>04월CMS수수료-gjsals596</t>
  </si>
  <si>
    <t>재단법인 장성먹거리통합지원센터</t>
  </si>
  <si>
    <t>(유)광주가구산업</t>
  </si>
  <si>
    <t>연세탑신경외과</t>
  </si>
  <si>
    <t>(주)원일유통 강천산(대구)주유소</t>
  </si>
  <si>
    <t>배스킨라빈스 첨단점</t>
  </si>
  <si>
    <t>인사노무자문료 -1 X 150,000</t>
  </si>
  <si>
    <t>05월CMS사용료-gjsals596</t>
  </si>
  <si>
    <t>05월CMS수수료-gjsals596</t>
  </si>
  <si>
    <t>위즈코프(주) 주암(천안방향)휴게소</t>
  </si>
  <si>
    <t>샤브사랑</t>
  </si>
  <si>
    <t>부가세대급금과 상계</t>
  </si>
  <si>
    <t>미지급세금</t>
  </si>
  <si>
    <t>잡이익</t>
  </si>
  <si>
    <t>신용카드발행세액공제</t>
  </si>
  <si>
    <t>06월CMS사용료-gjsals596</t>
  </si>
  <si>
    <t>06월CMS수수료-gjsals596</t>
  </si>
  <si>
    <t>세븐일레븐 광주와이어스파크점</t>
  </si>
  <si>
    <t>엄가네시골집뼈해장국</t>
  </si>
  <si>
    <t>07월CMS사용료-gjsals596</t>
  </si>
  <si>
    <t>07월CMS수수료-gjsals596</t>
  </si>
  <si>
    <t>인사노무자문료(7월) 1 X 100,000</t>
  </si>
  <si>
    <t>인사노무자문료(7월) 1 X 150,000</t>
  </si>
  <si>
    <t>인사노무자문료(7월) 1 X 200,000</t>
  </si>
  <si>
    <t>인사노무자문료(7월) 1 X 90,909</t>
  </si>
  <si>
    <t>인사노무자문료(7월) 1 X 120,000</t>
  </si>
  <si>
    <t>인사노무자문료(7월) 1 X 70,000</t>
  </si>
  <si>
    <t>에이스축산</t>
  </si>
  <si>
    <t>컴포즈커피광주문흥대주점</t>
  </si>
  <si>
    <t>(유)임마누엘</t>
  </si>
  <si>
    <t>08월CMS사용료-gjsals596</t>
  </si>
  <si>
    <t>08월CMS수수료-gjsals596</t>
  </si>
  <si>
    <t>(주)한성정공</t>
  </si>
  <si>
    <t>09월CMS사용료-gjsals596</t>
  </si>
  <si>
    <t>09월CMS수수료-gjsals596</t>
  </si>
  <si>
    <t>401용역매출</t>
  </si>
  <si>
    <t>930잡이익</t>
  </si>
  <si>
    <t>* 22년 수입금액 162백만원 / 소득금액 59백만원 -&gt; 이익률 36%</t>
    <phoneticPr fontId="3" type="noConversion"/>
  </si>
  <si>
    <t>* 21년 수입금액 185백만원 / 소득금액 63백만원 -&gt; 이익률 34%</t>
    <phoneticPr fontId="3" type="noConversion"/>
  </si>
  <si>
    <t>&gt; 본인, 배우자의 부모님 &amp; 자녀</t>
    <phoneticPr fontId="3" type="noConversion"/>
  </si>
  <si>
    <t>노무사사무소진흥</t>
    <phoneticPr fontId="3" type="noConversion"/>
  </si>
  <si>
    <t>매출</t>
    <phoneticPr fontId="3" type="noConversion"/>
  </si>
  <si>
    <t xml:space="preserve">타소득도 있으므로 1~2천 정도 추가 경비가 있으면 좋을 듯 </t>
    <phoneticPr fontId="3" type="noConversion"/>
  </si>
  <si>
    <t>주식회사 티머니</t>
  </si>
  <si>
    <t>나이스페이먼츠 주식회사 (NICE Payments Co</t>
  </si>
  <si>
    <t>공차첨단엘씨타워점</t>
  </si>
  <si>
    <t>강남옥과한우촌</t>
  </si>
  <si>
    <t>굽네치킨첨단2호점</t>
  </si>
  <si>
    <t>(주)해성푸드원</t>
  </si>
  <si>
    <t>거래처 접대비(기업업무추진비)/신용카드(개인)</t>
  </si>
  <si>
    <t>씨유 광주 청사점</t>
  </si>
  <si>
    <t>지에스이십오(GS25) 광주문흥점</t>
  </si>
  <si>
    <t>이씨엠디이서(상)휴게소</t>
  </si>
  <si>
    <t>(재)광주광역시사회서비스원 장기요양요원지원센터</t>
  </si>
  <si>
    <t>인사노무자문료 -1 X 200,000</t>
  </si>
  <si>
    <t>인사노무자문료 1 X 118,181</t>
  </si>
  <si>
    <t>광산구청</t>
  </si>
  <si>
    <t>한국신용카드결제(주)</t>
  </si>
  <si>
    <t>정광석항아리보쌈첨단점</t>
  </si>
  <si>
    <t>카페청사</t>
  </si>
  <si>
    <t>지에스(GS)25 첨단성원점</t>
  </si>
  <si>
    <t>(주）알라딘커뮤니케이션</t>
  </si>
  <si>
    <t>하나카드(4088)</t>
  </si>
  <si>
    <t>국민카드(2005)</t>
  </si>
  <si>
    <t>현대카드(4817)</t>
  </si>
  <si>
    <t>농업회사법인(주)토리팜에프디</t>
  </si>
  <si>
    <t>교촌치킨첨단1호점</t>
  </si>
  <si>
    <t>금호고속 주식회사</t>
  </si>
  <si>
    <t>월드통상</t>
  </si>
  <si>
    <t>금성칡냉면</t>
  </si>
  <si>
    <t>곡성순천휴게소</t>
  </si>
  <si>
    <t>벌크커피 첨단점</t>
  </si>
  <si>
    <t>전자세금계산서발행세액공제</t>
  </si>
  <si>
    <t>인사노무자문료 1 X 136,363</t>
  </si>
  <si>
    <t>네이버 주식회사</t>
  </si>
  <si>
    <t>네이버 검색광고_사이트검색광고</t>
  </si>
  <si>
    <t>추가경비</t>
    <phoneticPr fontId="3" type="noConversion"/>
  </si>
  <si>
    <t>평균값으로 작성</t>
    <phoneticPr fontId="3" type="noConversion"/>
  </si>
  <si>
    <t>* 23년 수입금액 185백만원 / 소득금액 68백만원 -&gt; 이익률 36%</t>
    <phoneticPr fontId="3" type="noConversion"/>
  </si>
  <si>
    <t>국민연금/건강보험료 납부액 &gt; 작년 금액 반영</t>
    <phoneticPr fontId="3" type="noConversion"/>
  </si>
  <si>
    <t>2025-09-30</t>
  </si>
  <si>
    <t>지급수수료(판)</t>
  </si>
  <si>
    <t>엔팩스 서비스 사용료 1 X 6,545</t>
  </si>
  <si>
    <t>(주)파이스물류</t>
  </si>
  <si>
    <t>2025-09-29</t>
  </si>
  <si>
    <t>2025-09-26</t>
  </si>
  <si>
    <t>바른샤브</t>
  </si>
  <si>
    <t>(유)담양담빛샤브</t>
  </si>
  <si>
    <t>(주)바이오트코리아</t>
  </si>
  <si>
    <t>2025-09-25</t>
  </si>
  <si>
    <t>2025-09-24</t>
  </si>
  <si>
    <t>2025-09-23</t>
  </si>
  <si>
    <t>(주)유토피아코리아</t>
  </si>
  <si>
    <t>월간맥주수완점</t>
  </si>
  <si>
    <t>2025-09-22</t>
  </si>
  <si>
    <t>건물관리비(판)</t>
  </si>
  <si>
    <t>노무컨설팅무보수 1 X 500,000</t>
  </si>
  <si>
    <t>포도팜</t>
  </si>
  <si>
    <t>2025-09-16</t>
  </si>
  <si>
    <t>2025-09-15</t>
  </si>
  <si>
    <t>2025-09-12</t>
  </si>
  <si>
    <t>주식회사 바우만테크</t>
  </si>
  <si>
    <t>2025-09-11</t>
  </si>
  <si>
    <t>2508고용</t>
  </si>
  <si>
    <t xml:space="preserve">  </t>
  </si>
  <si>
    <t>2025-09-10</t>
  </si>
  <si>
    <t>2508건강</t>
  </si>
  <si>
    <t>(유)에이스</t>
  </si>
  <si>
    <t>2025-09-09</t>
  </si>
  <si>
    <t>유한회사 남선메디컬</t>
  </si>
  <si>
    <t>2025-09-08</t>
  </si>
  <si>
    <t>차량유지비(판)</t>
  </si>
  <si>
    <t>2025-09-07</t>
  </si>
  <si>
    <t>통신비(판)</t>
  </si>
  <si>
    <t>2025-09-05</t>
  </si>
  <si>
    <t>섬김재가노인복지센터</t>
  </si>
  <si>
    <t>(주)송우레이저산업</t>
  </si>
  <si>
    <t>2025년 09월 서비스 이용료 매출</t>
  </si>
  <si>
    <t>2025-09-04</t>
  </si>
  <si>
    <t>2025-09-03</t>
  </si>
  <si>
    <t>인사노무자문료 1 X 130,000</t>
  </si>
  <si>
    <t>(주)뉴아람식자재마트 오치점</t>
  </si>
  <si>
    <t>(주)뉴아람식자재마트 운암점</t>
  </si>
  <si>
    <t>2025-09-01</t>
  </si>
  <si>
    <t>엔팩스 서비스 사용료 1 X 6,182</t>
  </si>
  <si>
    <t>2025-08-31</t>
  </si>
  <si>
    <t>2025-08-29</t>
  </si>
  <si>
    <t>2025-08-28</t>
  </si>
  <si>
    <t>고흥실버타운요양원</t>
  </si>
  <si>
    <t>2025-08-27</t>
  </si>
  <si>
    <t>2025-08-26</t>
  </si>
  <si>
    <t>2025-08-25</t>
  </si>
  <si>
    <t>50045</t>
  </si>
  <si>
    <t>2025-08-20</t>
  </si>
  <si>
    <t>노동사건 자문보수 1 X 1,818,181</t>
  </si>
  <si>
    <t>(주)디에스비엔날레점</t>
  </si>
  <si>
    <t>50044</t>
  </si>
  <si>
    <t>50043</t>
  </si>
  <si>
    <t>인사노무자문료(7월) 1 X 60,000</t>
  </si>
  <si>
    <t>50042</t>
  </si>
  <si>
    <t>50041</t>
  </si>
  <si>
    <t>50040</t>
  </si>
  <si>
    <t>50039</t>
  </si>
  <si>
    <t>50038</t>
  </si>
  <si>
    <t>50037</t>
  </si>
  <si>
    <t>50036</t>
  </si>
  <si>
    <t>50035</t>
  </si>
  <si>
    <t>50034</t>
  </si>
  <si>
    <t>50033</t>
  </si>
  <si>
    <t>50032</t>
  </si>
  <si>
    <t>50031</t>
  </si>
  <si>
    <t>50030</t>
  </si>
  <si>
    <t>50029</t>
  </si>
  <si>
    <t>50028</t>
  </si>
  <si>
    <t>50027</t>
  </si>
  <si>
    <t>인사노무자문료(7월) 1 X 130,000</t>
  </si>
  <si>
    <t>50026</t>
  </si>
  <si>
    <t>50025</t>
  </si>
  <si>
    <t>인사노무자문료(7월) -1 X 200,000</t>
  </si>
  <si>
    <t>2025-08-18</t>
  </si>
  <si>
    <t>주민세 사업소분</t>
  </si>
  <si>
    <t>세금과공과금(판)</t>
  </si>
  <si>
    <t>2025-08-15</t>
  </si>
  <si>
    <t>2025-08-11</t>
  </si>
  <si>
    <t>2507고용</t>
  </si>
  <si>
    <t>2507건강</t>
  </si>
  <si>
    <t>2025-08-07</t>
  </si>
  <si>
    <t>2025-08-05</t>
  </si>
  <si>
    <t>2025년 08월 서비스 이용료 매출</t>
  </si>
  <si>
    <t>2025-08-04</t>
  </si>
  <si>
    <t>2025-08-01</t>
  </si>
  <si>
    <t>2025-07-31</t>
  </si>
  <si>
    <t>엔팩스 서비스 사용료 1 X 5,818</t>
  </si>
  <si>
    <t>2025-07-28</t>
  </si>
  <si>
    <t>2025-07-25</t>
  </si>
  <si>
    <t>미지급부가세등 납부</t>
  </si>
  <si>
    <t>2025-07-22</t>
  </si>
  <si>
    <t>2025-07-21</t>
  </si>
  <si>
    <t>2025-07-16</t>
  </si>
  <si>
    <t>2025-07-15</t>
  </si>
  <si>
    <t>2025-07-12</t>
  </si>
  <si>
    <t>2025-07-11</t>
  </si>
  <si>
    <t>2025-07-10</t>
  </si>
  <si>
    <t>2506고용</t>
  </si>
  <si>
    <t>보험료(판)</t>
  </si>
  <si>
    <t>2506연금</t>
  </si>
  <si>
    <t>2506건강</t>
  </si>
  <si>
    <t>2025-07-07</t>
  </si>
  <si>
    <t>2025-07-05</t>
  </si>
  <si>
    <t>2025년 07월 서비스 이용료 매출</t>
  </si>
  <si>
    <t>2025-07-04</t>
  </si>
  <si>
    <t>2025-07-03</t>
  </si>
  <si>
    <t>2025-07-02</t>
  </si>
  <si>
    <t>인사노무자문료(6월분) 1 X 100,000</t>
  </si>
  <si>
    <t>50047</t>
  </si>
  <si>
    <t>2025-07-01</t>
  </si>
  <si>
    <t>50046</t>
  </si>
  <si>
    <t>인사노무자문료(6월분) 1 X 200,000</t>
  </si>
  <si>
    <t>인사노무자문료(6월분) 1 X 150,000</t>
  </si>
  <si>
    <t>인사노무자문료(6월분) 1 X 120,000</t>
  </si>
  <si>
    <t>인사노무자문료(6월분) 1 X 70,000</t>
  </si>
  <si>
    <t>인사노무자문료(6월분) 1 X 60,000</t>
  </si>
  <si>
    <t>인사노무자문료(누락분) 1 X 100,000</t>
  </si>
  <si>
    <t>인사노무자문료(6월분) 1 X 90,909</t>
  </si>
  <si>
    <t>인사노무자문료(5월) 1 X 136,363</t>
  </si>
  <si>
    <t>현금영수증매출</t>
  </si>
  <si>
    <t>2025-06-30</t>
  </si>
  <si>
    <t>엔팩스 서비스 사용료 1 X 6,636</t>
  </si>
  <si>
    <t>여비교통비(판)</t>
  </si>
  <si>
    <t>주식회사 울림푸드 한식뷔페 첨단 정부청사점</t>
  </si>
  <si>
    <t>복리후생비(판)</t>
  </si>
  <si>
    <t>급여지급시 건강보험예수</t>
  </si>
  <si>
    <t>직원급여(판)</t>
  </si>
  <si>
    <t>25년 1기예정고지</t>
  </si>
  <si>
    <t>25년 1기확정 부가세</t>
  </si>
  <si>
    <t>2025-06-29</t>
  </si>
  <si>
    <t>약초흑염소</t>
  </si>
  <si>
    <t>접대비(기업업무추진비)(판)</t>
  </si>
  <si>
    <t>소모품비(판)</t>
  </si>
  <si>
    <t>2025-06-28</t>
  </si>
  <si>
    <t>탑 1</t>
  </si>
  <si>
    <t>2025-06-27</t>
  </si>
  <si>
    <t>형님육회</t>
  </si>
  <si>
    <t>지에스(GS)25 금남중흥점</t>
  </si>
  <si>
    <t>원지휴게소</t>
  </si>
  <si>
    <t>커피에이블</t>
  </si>
  <si>
    <t>2025-06-26</t>
  </si>
  <si>
    <t>파리바게트조대병원점</t>
  </si>
  <si>
    <t>브리지베리</t>
  </si>
  <si>
    <t>2025-06-25</t>
  </si>
  <si>
    <t>주식회사 아이디오커머스</t>
  </si>
  <si>
    <t>2025-06-24</t>
  </si>
  <si>
    <t>오라봉국수</t>
  </si>
  <si>
    <t>2025-06-23</t>
  </si>
  <si>
    <t>골목시장SM마트</t>
  </si>
  <si>
    <t>2025-06-22</t>
  </si>
  <si>
    <t>세계과자 할인점 광주점</t>
  </si>
  <si>
    <t>궁전제과</t>
  </si>
  <si>
    <t>도서인쇄비(판)</t>
  </si>
  <si>
    <t>2025-06-21</t>
  </si>
  <si>
    <t>2025-06-20</t>
  </si>
  <si>
    <t>첨단점굽네치킨</t>
  </si>
  <si>
    <t>코웨이(주）</t>
  </si>
  <si>
    <t>홈마트</t>
  </si>
  <si>
    <t>1811고기짬뽕</t>
  </si>
  <si>
    <t>2025-06-19</t>
  </si>
  <si>
    <t>2025-06-18</t>
  </si>
  <si>
    <t>카페게이트 광주첨단점</t>
  </si>
  <si>
    <t>지에스25광주병원센터점</t>
  </si>
  <si>
    <t>본가모밀 25시</t>
  </si>
  <si>
    <t>2025-06-17</t>
  </si>
  <si>
    <t>제이케이(JK）</t>
  </si>
  <si>
    <t>2025-06-16</t>
  </si>
  <si>
    <t>하이유통</t>
  </si>
  <si>
    <t>2025-06-15</t>
  </si>
  <si>
    <t>아구찜 참 잘하는집 광주 계림점</t>
  </si>
  <si>
    <t>에이플러스마트</t>
  </si>
  <si>
    <t>파리바게트 첨단점</t>
  </si>
  <si>
    <t>2025-06-14</t>
  </si>
  <si>
    <t>(주)이니시스 - 풀무원</t>
  </si>
  <si>
    <t>2025-06-13</t>
  </si>
  <si>
    <t>(주)대청산업개발 장흥 정남진휴게소</t>
  </si>
  <si>
    <t>2025-06-12</t>
  </si>
  <si>
    <t>운반비(판)</t>
  </si>
  <si>
    <t>2025-06-11</t>
  </si>
  <si>
    <t>청자다방(첨단공원점)</t>
  </si>
  <si>
    <t>2025-06-10</t>
  </si>
  <si>
    <t>인사노무자문료 -1 X 70,000</t>
  </si>
  <si>
    <t>맘스터치</t>
  </si>
  <si>
    <t>네이버페이</t>
  </si>
  <si>
    <t>2505고용</t>
  </si>
  <si>
    <t>2505연금</t>
  </si>
  <si>
    <t>2025-06-09</t>
  </si>
  <si>
    <t>2025-06-07</t>
  </si>
  <si>
    <t>에이케이플라자(주) 인천공항점</t>
  </si>
  <si>
    <t>2025-06-06</t>
  </si>
  <si>
    <t>(주)아워홈 T1점</t>
  </si>
  <si>
    <t>2025-06-05</t>
  </si>
  <si>
    <t>주식회사 투포인베스트먼트</t>
  </si>
  <si>
    <t>콩심 영종점</t>
  </si>
  <si>
    <t>아이스홀릭 첨단점</t>
  </si>
  <si>
    <t>2025-06-04</t>
  </si>
  <si>
    <t>2025년 06월 서비스 이용료 매출</t>
  </si>
  <si>
    <t>파리바게트(광덕점)</t>
  </si>
  <si>
    <t>메가엠지씨커피 화순광덕점</t>
  </si>
  <si>
    <t>2025-06-03</t>
  </si>
  <si>
    <t>2025-06-02</t>
  </si>
  <si>
    <t>2025-06-01</t>
  </si>
  <si>
    <t>2025-05-31</t>
  </si>
  <si>
    <t>엔팩스 서비스 사용료 1 X 7,227</t>
  </si>
  <si>
    <t>이영미궁중한방삼계탕</t>
  </si>
  <si>
    <t>2025-05-30</t>
  </si>
  <si>
    <t>하루마켓</t>
  </si>
  <si>
    <t>미꾸미꾸</t>
  </si>
  <si>
    <t>2025-05-29</t>
  </si>
  <si>
    <t>예스마트부국점</t>
  </si>
  <si>
    <t>2025-05-28</t>
  </si>
  <si>
    <t>2025-05-27</t>
  </si>
  <si>
    <t>2025-05-26</t>
  </si>
  <si>
    <t>2025-05-25</t>
  </si>
  <si>
    <t>그린하우스</t>
  </si>
  <si>
    <t>2025-05-24</t>
  </si>
  <si>
    <t>삼진자동차정비</t>
  </si>
  <si>
    <t>지에스칼텍스（주）용봉천주유소</t>
  </si>
  <si>
    <t>사단법인 양동공영주차장관리위원회</t>
  </si>
  <si>
    <t>유한회사 빅푸드식자재</t>
  </si>
  <si>
    <t>2025-05-23</t>
  </si>
  <si>
    <t>굽네치킨(첨단중앙점)</t>
  </si>
  <si>
    <t>돌쇠네 식육식당</t>
  </si>
  <si>
    <t>주식회사 성후</t>
  </si>
  <si>
    <t>더벤티 광주첨단병원점</t>
  </si>
  <si>
    <t>2025-05-22</t>
  </si>
  <si>
    <t>2025-05-21</t>
  </si>
  <si>
    <t>2025-05-20</t>
  </si>
  <si>
    <t>2025-05-19</t>
  </si>
  <si>
    <t>2025-05-18</t>
  </si>
  <si>
    <t>대보유통(주) 부안(서울)휴게소</t>
  </si>
  <si>
    <t>2025-05-17</t>
  </si>
  <si>
    <t>2025-05-16</t>
  </si>
  <si>
    <t>고향국밥</t>
  </si>
  <si>
    <t>대보유통(주) 부안(목포)휴게소</t>
  </si>
  <si>
    <t>메가엠지씨커피 광주월남호반점</t>
  </si>
  <si>
    <t>2025-05-15</t>
  </si>
  <si>
    <t>카페히어로 1호점</t>
  </si>
  <si>
    <t>조선대학교</t>
  </si>
  <si>
    <t>2025-05-14</t>
  </si>
  <si>
    <t>2025-05-13</t>
  </si>
  <si>
    <t>이마트24 롯데시네마광산점</t>
  </si>
  <si>
    <t>채가곰탕</t>
  </si>
  <si>
    <t>2025-05-12</t>
  </si>
  <si>
    <t>2504고용</t>
  </si>
  <si>
    <t>2504연금</t>
  </si>
  <si>
    <t>2025-05-11</t>
  </si>
  <si>
    <t>씨유 망월주유소점</t>
  </si>
  <si>
    <t>2025-05-10</t>
  </si>
  <si>
    <t>2025-05-09</t>
  </si>
  <si>
    <t>（주）아트박스</t>
  </si>
  <si>
    <t>2025-05-08</t>
  </si>
  <si>
    <t>2025-05-07</t>
  </si>
  <si>
    <t>2025-05-06</t>
  </si>
  <si>
    <t>추월당 카페</t>
  </si>
  <si>
    <t>무인계란집</t>
  </si>
  <si>
    <t>채상공방</t>
  </si>
  <si>
    <t>2025-05-05</t>
  </si>
  <si>
    <t>2025-05-04</t>
  </si>
  <si>
    <t>2025년 05월 서비스 이용료 매출</t>
  </si>
  <si>
    <t>주식회사 코페이</t>
  </si>
  <si>
    <t>츄카츄카</t>
  </si>
  <si>
    <t>부부도너츠</t>
  </si>
  <si>
    <t>씨유(CU) 메타프로방스점</t>
  </si>
  <si>
    <t>(주)푸르웰</t>
  </si>
  <si>
    <t>장성로컬푸드 첨단직매장</t>
  </si>
  <si>
    <t>2025-05-03</t>
  </si>
  <si>
    <t>(주) 명윤</t>
  </si>
  <si>
    <t>2025-05-02</t>
  </si>
  <si>
    <t>인사노무자문료(4월분) 1 X 100,000</t>
  </si>
  <si>
    <t>2025-05-01</t>
  </si>
  <si>
    <t>2025-04-30</t>
  </si>
  <si>
    <t>엔팩스 서비스 사용료 1 X 6,591</t>
  </si>
  <si>
    <t>해안식당 광주첨단점</t>
  </si>
  <si>
    <t>2025-04-29</t>
  </si>
  <si>
    <t>주식회사 에스알</t>
  </si>
  <si>
    <t>엑센스</t>
  </si>
  <si>
    <t>2025-04-28</t>
  </si>
  <si>
    <t>원더풀명품찹쌀꽈배기</t>
  </si>
  <si>
    <t>2025-04-26</t>
  </si>
  <si>
    <t>롯데쇼핑（주）토이저러스 수완점</t>
  </si>
  <si>
    <t>지에스(GS)25 수완아울렛점</t>
  </si>
  <si>
    <t>히로짬뽕</t>
  </si>
  <si>
    <t>주식회사 다다통상</t>
  </si>
  <si>
    <t>2025-04-25</t>
  </si>
  <si>
    <t>비알코리아(주) 배스킨라빈스 광주수완</t>
  </si>
  <si>
    <t>2025-04-24</t>
  </si>
  <si>
    <t>주식회사 트립닷컴코리아</t>
  </si>
  <si>
    <t>(주)로로</t>
  </si>
  <si>
    <t>2025-04-23</t>
  </si>
  <si>
    <t>2025-04-22</t>
  </si>
  <si>
    <t>2025-04-21</t>
  </si>
  <si>
    <t>2025-04-20</t>
  </si>
  <si>
    <t>2025-04-19</t>
  </si>
  <si>
    <t>유한회사 고기왕</t>
  </si>
  <si>
    <t>2025-04-18</t>
  </si>
  <si>
    <t>해녀촌</t>
  </si>
  <si>
    <t>안녕바우</t>
  </si>
  <si>
    <t>라 돌체 비타</t>
  </si>
  <si>
    <t>2025-04-17</t>
  </si>
  <si>
    <t>컴포즈커피(광산우체국점)</t>
  </si>
  <si>
    <t>지에스(GS)25화순칠충로점</t>
  </si>
  <si>
    <t>이마트24 고흥파랑새점</t>
  </si>
  <si>
    <t>메가엠지씨커피 광주상무미즈피아점</t>
  </si>
  <si>
    <t>인사노무자문료(1월분) 1 X 150,000</t>
  </si>
  <si>
    <t>2025-04-16</t>
  </si>
  <si>
    <t>윤아네진수성찬</t>
  </si>
  <si>
    <t>2025-04-15</t>
  </si>
  <si>
    <t>(주)대성전자유통</t>
  </si>
  <si>
    <t>2025-04-14</t>
  </si>
  <si>
    <t>올리브(OLIVE)</t>
  </si>
  <si>
    <t>정통집전남대점</t>
  </si>
  <si>
    <t>2025-04-13</t>
  </si>
  <si>
    <t>유한회사 세븐일레븐고속점</t>
  </si>
  <si>
    <t>육수당 광주터미널점</t>
  </si>
  <si>
    <t>2025-04-12</t>
  </si>
  <si>
    <t>2025-04-11</t>
  </si>
  <si>
    <t>2025-04-10</t>
  </si>
  <si>
    <t>2503고용</t>
  </si>
  <si>
    <t>2503연금</t>
  </si>
  <si>
    <t>2503건강</t>
  </si>
  <si>
    <t>25년 1기예정고지 납부</t>
  </si>
  <si>
    <t>2025-04-09</t>
  </si>
  <si>
    <t>2025-04-08</t>
  </si>
  <si>
    <t>2025-04-07</t>
  </si>
  <si>
    <t>2025-04-06</t>
  </si>
  <si>
    <t>2025-04-05</t>
  </si>
  <si>
    <t>에스디마켓(SD MARKET)</t>
  </si>
  <si>
    <t>2025년 04월 서비스 이용료 매출</t>
  </si>
  <si>
    <t>2025-04-04</t>
  </si>
  <si>
    <t>고용.산재보험료 확정정산수수료 1 X 3,700,000</t>
  </si>
  <si>
    <t>2025-04-03</t>
  </si>
  <si>
    <t>2025-04-02</t>
  </si>
  <si>
    <t>2025-04-01</t>
  </si>
  <si>
    <t>2025-03-31</t>
  </si>
  <si>
    <t>엔팩스 서비스 사용료 1 X 7,682</t>
  </si>
  <si>
    <t>광고선전비(판)</t>
  </si>
  <si>
    <t>833</t>
  </si>
  <si>
    <t>2025-03-30</t>
  </si>
  <si>
    <t>（주）이랜드파크 켄싱턴리조트 하동</t>
  </si>
  <si>
    <t>2025-03-29</t>
  </si>
  <si>
    <t>00015</t>
  </si>
  <si>
    <t>00014</t>
  </si>
  <si>
    <t>쉬어가기 좋은날</t>
  </si>
  <si>
    <t>00013</t>
  </si>
  <si>
    <t>주식회사 밤톨</t>
  </si>
  <si>
    <t>홍구빵집</t>
  </si>
  <si>
    <t>동원사랑 할인마트</t>
  </si>
  <si>
    <t>길스가든더로드101(길s Garden the Road</t>
  </si>
  <si>
    <t>씨유 켄싱턴리조트하동점</t>
  </si>
  <si>
    <t>2025-03-28</t>
  </si>
  <si>
    <t>2025-03-27</t>
  </si>
  <si>
    <t>2025-03-26</t>
  </si>
  <si>
    <t>샌드풀</t>
  </si>
  <si>
    <t>2025-03-25</t>
  </si>
  <si>
    <t>주식회사 심심당</t>
  </si>
  <si>
    <t>2025-03-24</t>
  </si>
  <si>
    <t>베이시스커피(BacisCoffee)</t>
  </si>
  <si>
    <t>2025-03-23</t>
  </si>
  <si>
    <t>2025-03-22</t>
  </si>
  <si>
    <t>그란데</t>
  </si>
  <si>
    <t>씨유첨단중앙점</t>
  </si>
  <si>
    <t>에스케이쉴더스 주식회사</t>
  </si>
  <si>
    <t>2025-03-21</t>
  </si>
  <si>
    <t>롯데쇼핑（주）롯데슈퍼문흥점</t>
  </si>
  <si>
    <t>2025-03-20</t>
  </si>
  <si>
    <t>릴라네 정육점</t>
  </si>
  <si>
    <t>2025-03-19</t>
  </si>
  <si>
    <t>2025-03-18</t>
  </si>
  <si>
    <t>고봉민김밥 화순전남대학교병원점</t>
  </si>
  <si>
    <t>2025-03-17</t>
  </si>
  <si>
    <t>쿠쿠광산점</t>
  </si>
  <si>
    <t>2025-03-16</t>
  </si>
  <si>
    <t>2025-03-15</t>
  </si>
  <si>
    <t>광주비아농업협동조합</t>
  </si>
  <si>
    <t>메가MGC커피광주수완아울렛점</t>
  </si>
  <si>
    <t>별제이(BYULJAY)</t>
  </si>
  <si>
    <t>2025-03-14</t>
  </si>
  <si>
    <t>컴포즈커피 광주하남어등점</t>
  </si>
  <si>
    <t>2025-03-13</t>
  </si>
  <si>
    <t>미락식당</t>
  </si>
  <si>
    <t>2025-03-12</t>
  </si>
  <si>
    <t>2025-03-11</t>
  </si>
  <si>
    <t>2025-03-10</t>
  </si>
  <si>
    <t>오피스디포광주첨단점</t>
  </si>
  <si>
    <t>2502고용</t>
  </si>
  <si>
    <t>2502연금</t>
  </si>
  <si>
    <t>2502건강</t>
  </si>
  <si>
    <t>2025-03-09</t>
  </si>
  <si>
    <t>2025-03-08</t>
  </si>
  <si>
    <t>2025-03-07</t>
  </si>
  <si>
    <t>코카콜라음료 주식회사</t>
  </si>
  <si>
    <t>무두</t>
  </si>
  <si>
    <t>2025-03-06</t>
  </si>
  <si>
    <t>주식회사 창억</t>
  </si>
  <si>
    <t>2025-03-05</t>
  </si>
  <si>
    <t>2025-03-04</t>
  </si>
  <si>
    <t>2025년 03월 서비스 이용료 매출</t>
  </si>
  <si>
    <t>2025-03-03</t>
  </si>
  <si>
    <t>2025-03-02</t>
  </si>
  <si>
    <t>2025-03-01</t>
  </si>
  <si>
    <t>2025-02-28</t>
  </si>
  <si>
    <t>(주)탑텍코리아</t>
  </si>
  <si>
    <t>호호재활의학과의원</t>
  </si>
  <si>
    <t>엔팩스 서비스 사용료 1 X 5,318</t>
  </si>
  <si>
    <t>고용산재 보험료 신고대행</t>
  </si>
  <si>
    <t>2025-02-27</t>
  </si>
  <si>
    <t>협동조합 오손도손</t>
  </si>
  <si>
    <t>2025-02-26</t>
  </si>
  <si>
    <t>인사노무자문료(2024년 미발행분) 1 X 200,000</t>
  </si>
  <si>
    <t>투썸플레이스장덕점</t>
  </si>
  <si>
    <t>2025-02-25</t>
  </si>
  <si>
    <t>주식회사 놀유니버스</t>
  </si>
  <si>
    <t>주식회사 명동교자 신관명동역점</t>
  </si>
  <si>
    <t>태극당 인사동점</t>
  </si>
  <si>
    <t>（주）풀무원</t>
  </si>
  <si>
    <t>전통찻집 코끼리베이글</t>
  </si>
  <si>
    <t>(주)코리아세븐 명동롯데점</t>
  </si>
  <si>
    <t>예반</t>
  </si>
  <si>
    <t>(주)비지에프리테일 CU명동역점</t>
  </si>
  <si>
    <t>(주)코리아세븐 남산서울타워점</t>
  </si>
  <si>
    <t>(주）호텔롯데</t>
  </si>
  <si>
    <t>천지산업 (주)</t>
  </si>
  <si>
    <t>주식회사 아트쉐어</t>
  </si>
  <si>
    <t>씨제이 푸드빌（주）</t>
  </si>
  <si>
    <t>2025-02-24</t>
  </si>
  <si>
    <t>(주）모나미</t>
  </si>
  <si>
    <t>00025</t>
  </si>
  <si>
    <t>00024</t>
  </si>
  <si>
    <t>핵밥 숙명여대점</t>
  </si>
  <si>
    <t>00023</t>
  </si>
  <si>
    <t>주식회사스마트로</t>
  </si>
  <si>
    <t>（주）우리물산</t>
  </si>
  <si>
    <t>00022</t>
  </si>
  <si>
    <t>00021</t>
  </si>
  <si>
    <t>00020</t>
  </si>
  <si>
    <t>공차 숙명여대점</t>
  </si>
  <si>
    <t>이도프라퍼티스 주식회사 인사동지점</t>
  </si>
  <si>
    <t>00019</t>
  </si>
  <si>
    <t>00018</t>
  </si>
  <si>
    <t>00017</t>
  </si>
  <si>
    <t>세븐일레븐 낙원점</t>
  </si>
  <si>
    <t>00016</t>
  </si>
  <si>
    <t>세영이지 주식회사</t>
  </si>
  <si>
    <t>(주)에스지푸드 인사동 푸릇해</t>
  </si>
  <si>
    <t>(재)국립현대미술관문화재단</t>
  </si>
  <si>
    <t>주식회사 에스피씨삼립</t>
  </si>
  <si>
    <t>2025-02-21</t>
  </si>
  <si>
    <t>던킨 동군산병원점</t>
  </si>
  <si>
    <t>이마트24 군산누가병원점</t>
  </si>
  <si>
    <t>2025-02-20</t>
  </si>
  <si>
    <t>노동법률자문료 1 X 1,000,000</t>
  </si>
  <si>
    <t>배스킨라빈스롯데마트수완점</t>
  </si>
  <si>
    <t>2025-02-19</t>
  </si>
  <si>
    <t>주식회사 굿윌</t>
  </si>
  <si>
    <t>2025-02-18</t>
  </si>
  <si>
    <t>2025-02-17</t>
  </si>
  <si>
    <t>능주농협 주유소</t>
  </si>
  <si>
    <t>원지 휴게소</t>
  </si>
  <si>
    <t>2025-02-16</t>
  </si>
  <si>
    <t>이삭토스트</t>
  </si>
  <si>
    <t>2025-02-15</t>
  </si>
  <si>
    <t>제이오CS</t>
  </si>
  <si>
    <t>2025-02-14</t>
  </si>
  <si>
    <t>씨유 원광대병원 본관점</t>
  </si>
  <si>
    <t>주식회사 와이즈미디어커머스</t>
  </si>
  <si>
    <t>2025-02-13</t>
  </si>
  <si>
    <t>2025-02-12</t>
  </si>
  <si>
    <t>2025-02-11</t>
  </si>
  <si>
    <t>슈퍼크린주유소</t>
  </si>
  <si>
    <t>2025-02-10</t>
  </si>
  <si>
    <t>삼능떡방앗간</t>
  </si>
  <si>
    <t>걸작떡볶이 첨단점</t>
  </si>
  <si>
    <t>2501고용</t>
  </si>
  <si>
    <t>2501연금</t>
  </si>
  <si>
    <t>2501건강</t>
  </si>
  <si>
    <t>2025-02-09</t>
  </si>
  <si>
    <t>재일영농조합법인</t>
  </si>
  <si>
    <t>2025-02-08</t>
  </si>
  <si>
    <t>열평집밥김치찌개</t>
  </si>
  <si>
    <t>텐퍼센트커피 광주첨단롯데점</t>
  </si>
  <si>
    <t>2025-02-07</t>
  </si>
  <si>
    <t>다이소광주첨단2지구점</t>
  </si>
  <si>
    <t>2025-02-06</t>
  </si>
  <si>
    <t>2025-02-05</t>
  </si>
  <si>
    <t>(주)원일유통 강천산(광주)휴게소</t>
  </si>
  <si>
    <t>본죽&amp;비빔밥광주첨단점</t>
  </si>
  <si>
    <t>2025년 02월 서비스 이용료 매출</t>
  </si>
  <si>
    <t>2025-02-04</t>
  </si>
  <si>
    <t>주식회사 메종</t>
  </si>
  <si>
    <t>밤실마을</t>
  </si>
  <si>
    <t>2025-02-03</t>
  </si>
  <si>
    <t>2025-02-02</t>
  </si>
  <si>
    <t>2025-02-01</t>
  </si>
  <si>
    <t>인사노무자문료(샤브사랑과통큰갈비) 1 X 160,909</t>
  </si>
  <si>
    <t>2025-01-31</t>
  </si>
  <si>
    <t>엔팩스 서비스 사용료 1 X 6,136</t>
  </si>
  <si>
    <t>2025-01-30</t>
  </si>
  <si>
    <t>2025-01-28</t>
  </si>
  <si>
    <t>2025-01-27</t>
  </si>
  <si>
    <t>주식회사 에이피알</t>
  </si>
  <si>
    <t>2025-01-26</t>
  </si>
  <si>
    <t>텐퍼센트커피</t>
  </si>
  <si>
    <t>50보2351 자동차세</t>
  </si>
  <si>
    <t>19마0591 자동차세</t>
  </si>
  <si>
    <t>2025-01-25</t>
  </si>
  <si>
    <t>2025-01-24</t>
  </si>
  <si>
    <t>2025-01-23</t>
  </si>
  <si>
    <t>2025-01-22</t>
  </si>
  <si>
    <t>삼성주유소</t>
  </si>
  <si>
    <t>광주비아농업협동조합 주유소</t>
  </si>
  <si>
    <t>이마트24시R 영광중앙점</t>
  </si>
  <si>
    <t>다락해 영어조합법인(더영광커피)</t>
  </si>
  <si>
    <t>2025-01-21</t>
  </si>
  <si>
    <t>미르씨앤에스</t>
  </si>
  <si>
    <t>GS25군산IC점</t>
  </si>
  <si>
    <t>2025-01-20</t>
  </si>
  <si>
    <t>텐퍼센트커피광주매곡중앙점</t>
  </si>
  <si>
    <t>텐퍼센트커피 광주하남2지구점</t>
  </si>
  <si>
    <t>환승주차장</t>
  </si>
  <si>
    <t>세븐일레븐 광주하남용아점</t>
  </si>
  <si>
    <t>우리동네마트(무한유통)</t>
  </si>
  <si>
    <t>2025-01-18</t>
  </si>
  <si>
    <t>2025-01-17</t>
  </si>
  <si>
    <t>이모네</t>
  </si>
  <si>
    <t>2025-01-16</t>
  </si>
  <si>
    <t>대보디앤에스(주)함평나비(광주)주유소</t>
  </si>
  <si>
    <t>2025-01-15</t>
  </si>
  <si>
    <t>2025-01-14</t>
  </si>
  <si>
    <t>2025-01-13</t>
  </si>
  <si>
    <t>등록면허세</t>
  </si>
  <si>
    <t>2025-01-12</t>
  </si>
  <si>
    <t>2025-01-10</t>
  </si>
  <si>
    <t>주식회사 예스폼</t>
  </si>
  <si>
    <t>주식회사 씨에스플레이</t>
  </si>
  <si>
    <t>2412고용</t>
  </si>
  <si>
    <t>2412연금</t>
  </si>
  <si>
    <t>2412건강</t>
  </si>
  <si>
    <t>2025-01-08</t>
  </si>
  <si>
    <t>제이(J)메디피아 THE웰빙하우스</t>
  </si>
  <si>
    <t>2025-01-07</t>
  </si>
  <si>
    <t>2025-01-06</t>
  </si>
  <si>
    <t>2025-01-05</t>
  </si>
  <si>
    <t>중화요리 박가네</t>
  </si>
  <si>
    <t>지에스(GS)25 무선중앙점</t>
  </si>
  <si>
    <t>이순신당 본점</t>
  </si>
  <si>
    <t>진주댁돌산갓김치</t>
  </si>
  <si>
    <t>2025년 01월 서비스 이용료 매출</t>
  </si>
  <si>
    <t>2025-01-04</t>
  </si>
  <si>
    <t>주식회사 서녹씨</t>
  </si>
  <si>
    <t>주식회사 푸른산업</t>
  </si>
  <si>
    <t>지에스25 여수베네치아점</t>
  </si>
  <si>
    <t>여수시도시관리공단</t>
  </si>
  <si>
    <t>여묵</t>
  </si>
  <si>
    <t>유한회사 바다김밥</t>
  </si>
  <si>
    <t>방풍도가 앤 푸드</t>
  </si>
  <si>
    <t>구봉만두</t>
  </si>
  <si>
    <t>빈초콜릿</t>
  </si>
  <si>
    <t>2025-01-03</t>
  </si>
  <si>
    <t>포시즌</t>
  </si>
  <si>
    <t>조흥의자연구소</t>
  </si>
  <si>
    <t>2025-01-02</t>
  </si>
  <si>
    <t>2025-01-01</t>
  </si>
  <si>
    <t>사보타지</t>
  </si>
  <si>
    <t>Code2</t>
  </si>
  <si>
    <t>amount</t>
    <phoneticPr fontId="35" type="noConversion"/>
  </si>
  <si>
    <t>account</t>
    <phoneticPr fontId="35" type="noConversion"/>
  </si>
  <si>
    <t>Code</t>
  </si>
  <si>
    <t>date</t>
    <phoneticPr fontId="35" type="noConversion"/>
  </si>
  <si>
    <t>전표일자</t>
  </si>
  <si>
    <t>837건물관리비(판)</t>
  </si>
  <si>
    <t>833광고선전비(판)</t>
  </si>
  <si>
    <t>831지급수수료(판)</t>
  </si>
  <si>
    <t>830소모품비(판)</t>
  </si>
  <si>
    <t>826도서인쇄비(판)</t>
  </si>
  <si>
    <t>824운반비(판)</t>
  </si>
  <si>
    <t>822차량유지비(판)</t>
  </si>
  <si>
    <t>821보험료(판)</t>
  </si>
  <si>
    <t>817세금과공과금(판)</t>
  </si>
  <si>
    <t>814통신비(판)</t>
  </si>
  <si>
    <t>813접대비(기업업무추진비)(판)</t>
  </si>
  <si>
    <t>812여비교통비(판)</t>
  </si>
  <si>
    <t>811복리후생비(판)</t>
  </si>
  <si>
    <t>802직원급여(판)</t>
  </si>
  <si>
    <t>261미지급세금</t>
  </si>
  <si>
    <t>255부가세예수금</t>
  </si>
  <si>
    <t>254예수금</t>
  </si>
  <si>
    <t>136선납세금</t>
  </si>
  <si>
    <t>135부가세대급금</t>
  </si>
  <si>
    <t>101현금</t>
  </si>
  <si>
    <t>* 복식부기 대상자 / 프리&amp;기타소득 있음 -&gt; 작년엔 기타소득 사업으로 신고(약 1.2천만원)</t>
    <phoneticPr fontId="3" type="noConversion"/>
  </si>
  <si>
    <t>&gt; 작년에 가경비 카드 1.2 + 접대비 1.4 정도</t>
    <phoneticPr fontId="3" type="noConversion"/>
  </si>
  <si>
    <t>* 아내카드 반영 : 작년 1.2천만원 정도 반영 된 듯</t>
    <phoneticPr fontId="3" type="noConversion"/>
  </si>
  <si>
    <t>* 24년 수입금액 168백만원 / 소득금액 66백만원 -&gt; 이익률 39.2%</t>
    <phoneticPr fontId="3" type="noConversion"/>
  </si>
  <si>
    <t>* 23년도에 2천만원 상여신고, 24년엔 안함</t>
    <phoneticPr fontId="3" type="noConversion"/>
  </si>
  <si>
    <t xml:space="preserve">&gt;&gt; 배우자 카드 사용액 확인하고 등록 안한 카드 있는지 확인하기 </t>
    <phoneticPr fontId="3" type="noConversion"/>
  </si>
  <si>
    <t>&gt;&gt; 1천만원? 5백만원? 추가 신고..?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</si>
</sst>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_-;\-* #,##0_-;_-* &quot;-&quot;??_-;_-@_-"/>
    <numFmt numFmtId="177" formatCode="_-* #,##0.000_-;\-* #,##0.000_-;_-* &quot;-&quot;_-;_-@_-"/>
    <numFmt numFmtId="178" formatCode="_-* #,##0.0_-;\-* #,##0.0_-;_-* &quot;-&quot;?_-;_-@_-"/>
    <numFmt numFmtId="179" formatCode="0.000"/>
    <numFmt numFmtId="180" formatCode="0.0"/>
  </numFmts>
  <fonts count="3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3"/>
      <color rgb="FF000000"/>
      <name val="굴림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6"/>
      <color theme="1"/>
      <name val="맑은 고딕"/>
      <family val="2"/>
      <charset val="129"/>
      <scheme val="minor"/>
    </font>
    <font>
      <sz val="48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indexed="8"/>
      <name val="굴림체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name val="돋움체"/>
      <family val="3"/>
      <charset val="129"/>
    </font>
    <font>
      <b/>
      <sz val="2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rgb="FFFF0000"/>
      <name val="굴림체"/>
      <family val="3"/>
      <charset val="129"/>
    </font>
    <font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</font>
    <font>
      <sz val="10"/>
      <color rgb="FF000FFF"/>
      <name val="Calibri"/>
      <family val="2"/>
    </font>
    <font>
      <b/>
      <sz val="10"/>
      <color rgb="FF000000"/>
      <name val="Calibri"/>
      <family val="2"/>
    </font>
    <font>
      <sz val="8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0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</borders>
  <cellStyleXfs count="1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/>
    <xf numFmtId="41" fontId="13" fillId="0" borderId="0" applyFont="0" applyFill="0" applyBorder="0" applyAlignment="0" applyProtection="0"/>
    <xf numFmtId="0" fontId="15" fillId="0" borderId="0"/>
    <xf numFmtId="41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0" fontId="1" fillId="0" borderId="0">
      <alignment vertical="center"/>
    </xf>
    <xf numFmtId="0" fontId="23" fillId="0" borderId="0"/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</cellStyleXfs>
  <cellXfs count="2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41" fontId="0" fillId="0" borderId="0" xfId="1" applyFont="1">
      <alignment vertical="center"/>
    </xf>
    <xf numFmtId="0" fontId="4" fillId="5" borderId="1" xfId="0" applyFont="1" applyFill="1" applyBorder="1" applyAlignment="1">
      <alignment horizontal="center" vertical="center"/>
    </xf>
    <xf numFmtId="41" fontId="0" fillId="0" borderId="0" xfId="0" applyNumberFormat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0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11" xfId="1" applyFont="1" applyBorder="1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178" fontId="0" fillId="0" borderId="0" xfId="0" applyNumberFormat="1">
      <alignment vertical="center"/>
    </xf>
    <xf numFmtId="0" fontId="0" fillId="3" borderId="1" xfId="0" applyFill="1" applyBorder="1" applyProtection="1">
      <alignment vertical="center"/>
      <protection locked="0"/>
    </xf>
    <xf numFmtId="0" fontId="0" fillId="3" borderId="2" xfId="0" applyFill="1" applyBorder="1" applyProtection="1">
      <alignment vertical="center"/>
      <protection locked="0"/>
    </xf>
    <xf numFmtId="0" fontId="5" fillId="0" borderId="0" xfId="3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9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8" xfId="0" applyFont="1" applyBorder="1">
      <alignment vertical="center"/>
    </xf>
    <xf numFmtId="0" fontId="10" fillId="0" borderId="0" xfId="0" applyFont="1">
      <alignment vertical="center"/>
    </xf>
    <xf numFmtId="0" fontId="10" fillId="0" borderId="9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6" xfId="0" applyFont="1" applyBorder="1">
      <alignment vertical="center"/>
    </xf>
    <xf numFmtId="0" fontId="10" fillId="0" borderId="6" xfId="0" applyFont="1" applyBorder="1">
      <alignment vertical="center"/>
    </xf>
    <xf numFmtId="0" fontId="10" fillId="0" borderId="7" xfId="0" applyFont="1" applyBorder="1">
      <alignment vertical="center"/>
    </xf>
    <xf numFmtId="0" fontId="6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0" fontId="7" fillId="6" borderId="0" xfId="0" applyFont="1" applyFill="1" applyAlignment="1" applyProtection="1">
      <alignment horizontal="center" vertical="center"/>
      <protection locked="0"/>
    </xf>
    <xf numFmtId="0" fontId="0" fillId="0" borderId="8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41" fontId="0" fillId="3" borderId="1" xfId="1" applyFont="1" applyFill="1" applyBorder="1" applyProtection="1">
      <alignment vertical="center"/>
      <protection locked="0"/>
    </xf>
    <xf numFmtId="41" fontId="0" fillId="4" borderId="1" xfId="1" applyFont="1" applyFill="1" applyBorder="1" applyProtection="1">
      <alignment vertical="center"/>
      <protection locked="0"/>
    </xf>
    <xf numFmtId="41" fontId="0" fillId="4" borderId="13" xfId="1" applyFont="1" applyFill="1" applyBorder="1" applyProtection="1">
      <alignment vertical="center"/>
      <protection locked="0"/>
    </xf>
    <xf numFmtId="41" fontId="0" fillId="4" borderId="14" xfId="1" applyFont="1" applyFill="1" applyBorder="1" applyProtection="1">
      <alignment vertical="center"/>
      <protection locked="0"/>
    </xf>
    <xf numFmtId="41" fontId="0" fillId="3" borderId="14" xfId="1" applyFont="1" applyFill="1" applyBorder="1" applyProtection="1">
      <alignment vertical="center"/>
      <protection locked="0"/>
    </xf>
    <xf numFmtId="41" fontId="0" fillId="3" borderId="15" xfId="1" applyFont="1" applyFill="1" applyBorder="1" applyProtection="1">
      <alignment vertical="center"/>
      <protection locked="0"/>
    </xf>
    <xf numFmtId="10" fontId="0" fillId="0" borderId="0" xfId="0" applyNumberFormat="1">
      <alignment vertical="center"/>
    </xf>
    <xf numFmtId="41" fontId="0" fillId="0" borderId="0" xfId="1" applyFont="1" applyFill="1">
      <alignment vertical="center"/>
    </xf>
    <xf numFmtId="41" fontId="0" fillId="7" borderId="0" xfId="1" applyFont="1" applyFill="1" applyProtection="1">
      <alignment vertical="center"/>
      <protection locked="0"/>
    </xf>
    <xf numFmtId="9" fontId="0" fillId="0" borderId="0" xfId="2" applyFont="1" applyProtection="1">
      <alignment vertical="center"/>
      <protection locked="0"/>
    </xf>
    <xf numFmtId="9" fontId="0" fillId="3" borderId="1" xfId="0" applyNumberFormat="1" applyFill="1" applyBorder="1" applyProtection="1">
      <alignment vertical="center"/>
      <protection locked="0"/>
    </xf>
    <xf numFmtId="9" fontId="0" fillId="0" borderId="0" xfId="2" applyFont="1" applyFill="1">
      <alignment vertical="center"/>
    </xf>
    <xf numFmtId="9" fontId="0" fillId="0" borderId="0" xfId="2" applyFont="1">
      <alignment vertical="center"/>
    </xf>
    <xf numFmtId="41" fontId="0" fillId="3" borderId="0" xfId="1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8" borderId="0" xfId="0" applyFill="1" applyProtection="1">
      <alignment vertical="center"/>
      <protection locked="0"/>
    </xf>
    <xf numFmtId="9" fontId="0" fillId="3" borderId="0" xfId="0" applyNumberFormat="1" applyFill="1" applyProtection="1">
      <alignment vertical="center"/>
      <protection locked="0"/>
    </xf>
    <xf numFmtId="41" fontId="12" fillId="0" borderId="0" xfId="1" applyFont="1">
      <alignment vertical="center"/>
    </xf>
    <xf numFmtId="41" fontId="12" fillId="0" borderId="0" xfId="1" applyFont="1" applyFill="1">
      <alignment vertical="center"/>
    </xf>
    <xf numFmtId="3" fontId="0" fillId="0" borderId="0" xfId="0" applyNumberFormat="1">
      <alignment vertical="center"/>
    </xf>
    <xf numFmtId="41" fontId="0" fillId="0" borderId="1" xfId="1" applyFont="1" applyBorder="1">
      <alignment vertical="center"/>
    </xf>
    <xf numFmtId="0" fontId="0" fillId="3" borderId="0" xfId="0" applyFill="1">
      <alignment vertical="center"/>
    </xf>
    <xf numFmtId="0" fontId="19" fillId="0" borderId="18" xfId="0" applyFont="1" applyBorder="1" applyAlignment="1">
      <alignment horizontal="left" vertical="center"/>
    </xf>
    <xf numFmtId="0" fontId="0" fillId="10" borderId="0" xfId="0" applyFill="1">
      <alignment vertical="center"/>
    </xf>
    <xf numFmtId="41" fontId="12" fillId="3" borderId="1" xfId="1" applyFont="1" applyFill="1" applyBorder="1">
      <alignment vertical="center"/>
    </xf>
    <xf numFmtId="41" fontId="12" fillId="0" borderId="1" xfId="1" applyFont="1" applyBorder="1">
      <alignment vertical="center"/>
    </xf>
    <xf numFmtId="41" fontId="16" fillId="3" borderId="1" xfId="1" applyFont="1" applyFill="1" applyBorder="1" applyAlignment="1"/>
    <xf numFmtId="176" fontId="0" fillId="0" borderId="1" xfId="1" applyNumberFormat="1" applyFont="1" applyBorder="1">
      <alignment vertical="center"/>
    </xf>
    <xf numFmtId="41" fontId="12" fillId="3" borderId="1" xfId="1" applyFont="1" applyFill="1" applyBorder="1" applyAlignment="1"/>
    <xf numFmtId="41" fontId="16" fillId="0" borderId="17" xfId="1" applyFont="1" applyBorder="1" applyAlignment="1"/>
    <xf numFmtId="41" fontId="13" fillId="0" borderId="16" xfId="1" applyFont="1" applyBorder="1" applyAlignment="1"/>
    <xf numFmtId="179" fontId="0" fillId="0" borderId="0" xfId="0" applyNumberFormat="1">
      <alignment vertical="center"/>
    </xf>
    <xf numFmtId="0" fontId="13" fillId="0" borderId="16" xfId="4" applyBorder="1"/>
    <xf numFmtId="41" fontId="16" fillId="0" borderId="0" xfId="1" applyFont="1" applyAlignment="1"/>
    <xf numFmtId="41" fontId="0" fillId="11" borderId="0" xfId="1" applyFont="1" applyFill="1">
      <alignment vertical="center"/>
    </xf>
    <xf numFmtId="41" fontId="0" fillId="11" borderId="1" xfId="1" applyFont="1" applyFill="1" applyBorder="1">
      <alignment vertical="center"/>
    </xf>
    <xf numFmtId="41" fontId="14" fillId="11" borderId="0" xfId="1" applyFont="1" applyFill="1">
      <alignment vertical="center"/>
    </xf>
    <xf numFmtId="41" fontId="27" fillId="0" borderId="16" xfId="1" applyFont="1" applyBorder="1" applyAlignment="1"/>
    <xf numFmtId="0" fontId="0" fillId="12" borderId="0" xfId="0" applyFill="1">
      <alignment vertical="center"/>
    </xf>
    <xf numFmtId="41" fontId="12" fillId="12" borderId="0" xfId="1" applyFont="1" applyFill="1">
      <alignment vertical="center"/>
    </xf>
    <xf numFmtId="41" fontId="0" fillId="12" borderId="0" xfId="1" applyFont="1" applyFill="1">
      <alignment vertical="center"/>
    </xf>
    <xf numFmtId="0" fontId="14" fillId="12" borderId="0" xfId="0" applyFont="1" applyFill="1">
      <alignment vertical="center"/>
    </xf>
    <xf numFmtId="41" fontId="14" fillId="12" borderId="0" xfId="1" applyFont="1" applyFill="1">
      <alignment vertical="center"/>
    </xf>
    <xf numFmtId="0" fontId="0" fillId="6" borderId="0" xfId="0" applyFill="1">
      <alignment vertical="center"/>
    </xf>
    <xf numFmtId="41" fontId="12" fillId="6" borderId="0" xfId="1" applyFont="1" applyFill="1">
      <alignment vertical="center"/>
    </xf>
    <xf numFmtId="41" fontId="0" fillId="6" borderId="0" xfId="1" applyFont="1" applyFill="1">
      <alignment vertical="center"/>
    </xf>
    <xf numFmtId="0" fontId="14" fillId="6" borderId="0" xfId="0" applyFont="1" applyFill="1">
      <alignment vertical="center"/>
    </xf>
    <xf numFmtId="176" fontId="14" fillId="0" borderId="0" xfId="1" applyNumberFormat="1" applyFont="1" applyFill="1">
      <alignment vertical="center"/>
    </xf>
    <xf numFmtId="176" fontId="14" fillId="6" borderId="20" xfId="1" applyNumberFormat="1" applyFont="1" applyFill="1" applyBorder="1">
      <alignment vertical="center"/>
    </xf>
    <xf numFmtId="41" fontId="12" fillId="0" borderId="18" xfId="1" applyFont="1" applyBorder="1">
      <alignment vertical="center"/>
    </xf>
    <xf numFmtId="0" fontId="17" fillId="0" borderId="37" xfId="0" applyFont="1" applyBorder="1" applyAlignment="1">
      <alignment horizontal="center"/>
    </xf>
    <xf numFmtId="0" fontId="17" fillId="0" borderId="37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/>
    </xf>
    <xf numFmtId="0" fontId="17" fillId="0" borderId="37" xfId="0" applyFont="1" applyBorder="1" applyAlignment="1">
      <alignment horizontal="left"/>
    </xf>
    <xf numFmtId="0" fontId="17" fillId="0" borderId="37" xfId="0" applyFont="1" applyBorder="1" applyAlignment="1">
      <alignment horizontal="left" vertical="center"/>
    </xf>
    <xf numFmtId="0" fontId="17" fillId="0" borderId="49" xfId="0" applyFont="1" applyBorder="1" applyAlignment="1">
      <alignment horizontal="left"/>
    </xf>
    <xf numFmtId="180" fontId="17" fillId="0" borderId="37" xfId="0" applyNumberFormat="1" applyFont="1" applyBorder="1" applyAlignment="1"/>
    <xf numFmtId="180" fontId="17" fillId="0" borderId="49" xfId="0" applyNumberFormat="1" applyFont="1" applyBorder="1" applyAlignment="1"/>
    <xf numFmtId="180" fontId="17" fillId="0" borderId="50" xfId="0" applyNumberFormat="1" applyFont="1" applyBorder="1" applyAlignment="1"/>
    <xf numFmtId="180" fontId="17" fillId="0" borderId="51" xfId="0" applyNumberFormat="1" applyFont="1" applyBorder="1" applyAlignment="1"/>
    <xf numFmtId="0" fontId="24" fillId="0" borderId="5" xfId="10" applyFont="1" applyBorder="1" applyAlignment="1">
      <alignment horizontal="centerContinuous" vertical="center" wrapText="1"/>
    </xf>
    <xf numFmtId="0" fontId="24" fillId="0" borderId="6" xfId="10" applyFont="1" applyBorder="1" applyAlignment="1">
      <alignment horizontal="centerContinuous" vertical="center" wrapText="1"/>
    </xf>
    <xf numFmtId="0" fontId="24" fillId="0" borderId="6" xfId="10" applyFont="1" applyBorder="1" applyAlignment="1">
      <alignment vertical="center" wrapText="1"/>
    </xf>
    <xf numFmtId="0" fontId="24" fillId="0" borderId="7" xfId="10" applyFont="1" applyBorder="1" applyAlignment="1">
      <alignment vertical="center" wrapText="1"/>
    </xf>
    <xf numFmtId="0" fontId="22" fillId="0" borderId="0" xfId="10" applyFont="1" applyAlignment="1">
      <alignment vertical="center" wrapText="1"/>
    </xf>
    <xf numFmtId="0" fontId="24" fillId="0" borderId="10" xfId="10" applyFont="1" applyBorder="1" applyAlignment="1">
      <alignment vertical="center" wrapText="1"/>
    </xf>
    <xf numFmtId="0" fontId="24" fillId="0" borderId="11" xfId="10" applyFont="1" applyBorder="1" applyAlignment="1">
      <alignment vertical="center" wrapText="1"/>
    </xf>
    <xf numFmtId="0" fontId="24" fillId="0" borderId="12" xfId="10" applyFont="1" applyBorder="1" applyAlignment="1">
      <alignment vertical="center" wrapText="1"/>
    </xf>
    <xf numFmtId="0" fontId="21" fillId="0" borderId="21" xfId="10" applyFont="1" applyBorder="1" applyAlignment="1">
      <alignment vertical="center" wrapText="1" shrinkToFit="1"/>
    </xf>
    <xf numFmtId="0" fontId="25" fillId="0" borderId="22" xfId="10" applyFont="1" applyBorder="1" applyAlignment="1">
      <alignment vertical="center" wrapText="1" shrinkToFit="1"/>
    </xf>
    <xf numFmtId="0" fontId="25" fillId="0" borderId="23" xfId="10" applyFont="1" applyBorder="1" applyAlignment="1">
      <alignment vertical="center" wrapText="1" shrinkToFit="1"/>
    </xf>
    <xf numFmtId="0" fontId="21" fillId="0" borderId="24" xfId="10" applyFont="1" applyBorder="1" applyAlignment="1">
      <alignment vertical="center" wrapText="1" shrinkToFit="1"/>
    </xf>
    <xf numFmtId="0" fontId="25" fillId="0" borderId="0" xfId="10" applyFont="1" applyAlignment="1">
      <alignment vertical="center" wrapText="1" shrinkToFit="1"/>
    </xf>
    <xf numFmtId="0" fontId="21" fillId="0" borderId="25" xfId="10" applyFont="1" applyBorder="1" applyAlignment="1">
      <alignment vertical="center" wrapText="1" shrinkToFit="1"/>
    </xf>
    <xf numFmtId="0" fontId="21" fillId="9" borderId="26" xfId="10" applyFont="1" applyFill="1" applyBorder="1" applyAlignment="1">
      <alignment horizontal="center" vertical="center" wrapText="1" shrinkToFit="1"/>
    </xf>
    <xf numFmtId="0" fontId="21" fillId="0" borderId="26" xfId="10" applyFont="1" applyBorder="1" applyAlignment="1">
      <alignment horizontal="center" vertical="center" wrapText="1"/>
    </xf>
    <xf numFmtId="0" fontId="21" fillId="0" borderId="27" xfId="10" applyFont="1" applyBorder="1" applyAlignment="1">
      <alignment horizontal="center" vertical="center" wrapText="1"/>
    </xf>
    <xf numFmtId="49" fontId="21" fillId="0" borderId="28" xfId="10" applyNumberFormat="1" applyFont="1" applyBorder="1" applyAlignment="1">
      <alignment horizontal="center" vertical="center" wrapText="1" shrinkToFit="1"/>
    </xf>
    <xf numFmtId="0" fontId="21" fillId="0" borderId="29" xfId="10" applyFont="1" applyBorder="1" applyAlignment="1">
      <alignment horizontal="center" vertical="center" wrapText="1"/>
    </xf>
    <xf numFmtId="0" fontId="21" fillId="0" borderId="30" xfId="10" applyFont="1" applyBorder="1" applyAlignment="1">
      <alignment horizontal="center" vertical="center" wrapText="1"/>
    </xf>
    <xf numFmtId="0" fontId="21" fillId="0" borderId="31" xfId="10" applyFont="1" applyBorder="1" applyAlignment="1">
      <alignment vertical="center" wrapText="1" shrinkToFit="1"/>
    </xf>
    <xf numFmtId="0" fontId="22" fillId="0" borderId="21" xfId="10" applyFont="1" applyBorder="1" applyAlignment="1">
      <alignment horizontal="center" vertical="center" wrapText="1"/>
    </xf>
    <xf numFmtId="49" fontId="22" fillId="0" borderId="32" xfId="10" applyNumberFormat="1" applyFont="1" applyBorder="1" applyAlignment="1">
      <alignment horizontal="center" vertical="center" wrapText="1" shrinkToFit="1"/>
    </xf>
    <xf numFmtId="0" fontId="22" fillId="0" borderId="32" xfId="10" applyFont="1" applyBorder="1" applyAlignment="1">
      <alignment horizontal="center" vertical="center" wrapText="1"/>
    </xf>
    <xf numFmtId="0" fontId="22" fillId="0" borderId="32" xfId="10" applyFont="1" applyBorder="1" applyAlignment="1">
      <alignment vertical="center" wrapText="1"/>
    </xf>
    <xf numFmtId="0" fontId="22" fillId="0" borderId="33" xfId="10" applyFont="1" applyBorder="1" applyAlignment="1">
      <alignment horizontal="center" vertical="center" wrapText="1"/>
    </xf>
    <xf numFmtId="49" fontId="22" fillId="0" borderId="34" xfId="10" applyNumberFormat="1" applyFont="1" applyBorder="1" applyAlignment="1">
      <alignment horizontal="center" vertical="center" wrapText="1" shrinkToFit="1"/>
    </xf>
    <xf numFmtId="49" fontId="22" fillId="0" borderId="35" xfId="10" applyNumberFormat="1" applyFont="1" applyBorder="1" applyAlignment="1">
      <alignment horizontal="left" vertical="center" wrapText="1" shrinkToFit="1"/>
    </xf>
    <xf numFmtId="0" fontId="22" fillId="0" borderId="36" xfId="10" applyFont="1" applyBorder="1" applyAlignment="1">
      <alignment horizontal="center" vertical="center" wrapText="1"/>
    </xf>
    <xf numFmtId="49" fontId="22" fillId="0" borderId="37" xfId="10" applyNumberFormat="1" applyFont="1" applyBorder="1" applyAlignment="1">
      <alignment horizontal="center" vertical="center" wrapText="1" shrinkToFit="1"/>
    </xf>
    <xf numFmtId="0" fontId="22" fillId="0" borderId="37" xfId="10" applyFont="1" applyBorder="1" applyAlignment="1">
      <alignment horizontal="center" vertical="center" wrapText="1"/>
    </xf>
    <xf numFmtId="0" fontId="22" fillId="0" borderId="37" xfId="10" applyFont="1" applyBorder="1" applyAlignment="1">
      <alignment vertical="center" wrapText="1"/>
    </xf>
    <xf numFmtId="0" fontId="22" fillId="0" borderId="38" xfId="10" applyFont="1" applyBorder="1" applyAlignment="1">
      <alignment horizontal="center" vertical="center" wrapText="1"/>
    </xf>
    <xf numFmtId="49" fontId="22" fillId="0" borderId="39" xfId="10" applyNumberFormat="1" applyFont="1" applyBorder="1" applyAlignment="1">
      <alignment horizontal="center" vertical="center" wrapText="1" shrinkToFit="1"/>
    </xf>
    <xf numFmtId="49" fontId="22" fillId="0" borderId="40" xfId="10" applyNumberFormat="1" applyFont="1" applyBorder="1" applyAlignment="1">
      <alignment horizontal="left" vertical="center" wrapText="1" shrinkToFit="1"/>
    </xf>
    <xf numFmtId="0" fontId="22" fillId="0" borderId="37" xfId="11" applyFont="1" applyBorder="1" applyAlignment="1">
      <alignment horizontal="center" vertical="center" wrapText="1"/>
    </xf>
    <xf numFmtId="0" fontId="22" fillId="0" borderId="37" xfId="11" applyFont="1" applyBorder="1" applyAlignment="1">
      <alignment vertical="center" wrapText="1"/>
    </xf>
    <xf numFmtId="0" fontId="22" fillId="0" borderId="37" xfId="12" applyFont="1" applyBorder="1" applyAlignment="1">
      <alignment vertical="center" wrapText="1"/>
    </xf>
    <xf numFmtId="0" fontId="22" fillId="0" borderId="37" xfId="12" applyFont="1" applyBorder="1" applyAlignment="1">
      <alignment horizontal="center" vertical="center" wrapText="1"/>
    </xf>
    <xf numFmtId="49" fontId="22" fillId="0" borderId="41" xfId="10" applyNumberFormat="1" applyFont="1" applyBorder="1" applyAlignment="1">
      <alignment horizontal="center" vertical="center" wrapText="1" shrinkToFit="1"/>
    </xf>
    <xf numFmtId="0" fontId="22" fillId="0" borderId="41" xfId="10" applyFont="1" applyBorder="1" applyAlignment="1">
      <alignment horizontal="center" vertical="center" wrapText="1"/>
    </xf>
    <xf numFmtId="0" fontId="22" fillId="0" borderId="41" xfId="10" applyFont="1" applyBorder="1" applyAlignment="1">
      <alignment vertical="center" wrapText="1"/>
    </xf>
    <xf numFmtId="0" fontId="22" fillId="0" borderId="42" xfId="10" applyFont="1" applyBorder="1" applyAlignment="1">
      <alignment horizontal="center" vertical="center" wrapText="1"/>
    </xf>
    <xf numFmtId="0" fontId="22" fillId="0" borderId="43" xfId="10" applyFont="1" applyBorder="1" applyAlignment="1">
      <alignment horizontal="center" vertical="center" wrapText="1" shrinkToFit="1"/>
    </xf>
    <xf numFmtId="0" fontId="22" fillId="0" borderId="44" xfId="10" applyFont="1" applyBorder="1" applyAlignment="1">
      <alignment horizontal="center" vertical="center" wrapText="1"/>
    </xf>
    <xf numFmtId="0" fontId="22" fillId="0" borderId="44" xfId="10" applyFont="1" applyBorder="1" applyAlignment="1">
      <alignment vertical="center" wrapText="1"/>
    </xf>
    <xf numFmtId="0" fontId="22" fillId="0" borderId="45" xfId="10" applyFont="1" applyBorder="1" applyAlignment="1">
      <alignment horizontal="center" vertical="center" wrapText="1"/>
    </xf>
    <xf numFmtId="0" fontId="22" fillId="0" borderId="36" xfId="10" applyFont="1" applyBorder="1" applyAlignment="1">
      <alignment horizontal="center" vertical="center" wrapText="1" shrinkToFit="1"/>
    </xf>
    <xf numFmtId="0" fontId="22" fillId="0" borderId="39" xfId="10" applyFont="1" applyBorder="1" applyAlignment="1">
      <alignment horizontal="center" vertical="center" wrapText="1" shrinkToFit="1"/>
    </xf>
    <xf numFmtId="49" fontId="20" fillId="0" borderId="40" xfId="10" applyNumberFormat="1" applyFont="1" applyBorder="1" applyAlignment="1">
      <alignment horizontal="left" vertical="center" wrapText="1" shrinkToFit="1"/>
    </xf>
    <xf numFmtId="0" fontId="20" fillId="0" borderId="37" xfId="10" applyFont="1" applyBorder="1" applyAlignment="1">
      <alignment vertical="center" wrapText="1"/>
    </xf>
    <xf numFmtId="0" fontId="26" fillId="0" borderId="38" xfId="10" applyFont="1" applyBorder="1" applyAlignment="1">
      <alignment horizontal="center" vertical="center" wrapText="1"/>
    </xf>
    <xf numFmtId="49" fontId="20" fillId="0" borderId="37" xfId="10" applyNumberFormat="1" applyFont="1" applyBorder="1" applyAlignment="1">
      <alignment horizontal="center" vertical="center" wrapText="1" shrinkToFit="1"/>
    </xf>
    <xf numFmtId="0" fontId="20" fillId="0" borderId="37" xfId="10" applyFont="1" applyBorder="1" applyAlignment="1">
      <alignment horizontal="center" vertical="center" wrapText="1"/>
    </xf>
    <xf numFmtId="0" fontId="20" fillId="0" borderId="38" xfId="10" applyFont="1" applyBorder="1" applyAlignment="1">
      <alignment horizontal="center" vertical="center" wrapText="1"/>
    </xf>
    <xf numFmtId="49" fontId="20" fillId="0" borderId="39" xfId="10" applyNumberFormat="1" applyFont="1" applyBorder="1" applyAlignment="1">
      <alignment horizontal="center" vertical="center" wrapText="1" shrinkToFit="1"/>
    </xf>
    <xf numFmtId="0" fontId="20" fillId="0" borderId="0" xfId="10" applyFont="1" applyAlignment="1">
      <alignment vertical="center" wrapText="1"/>
    </xf>
    <xf numFmtId="0" fontId="12" fillId="0" borderId="0" xfId="0" applyFont="1">
      <alignment vertical="center"/>
    </xf>
    <xf numFmtId="0" fontId="22" fillId="0" borderId="38" xfId="10" applyFont="1" applyBorder="1" applyAlignment="1">
      <alignment vertical="center" wrapText="1"/>
    </xf>
    <xf numFmtId="49" fontId="22" fillId="0" borderId="39" xfId="10" quotePrefix="1" applyNumberFormat="1" applyFont="1" applyBorder="1" applyAlignment="1">
      <alignment horizontal="center" vertical="center" wrapText="1" shrinkToFit="1"/>
    </xf>
    <xf numFmtId="49" fontId="22" fillId="0" borderId="46" xfId="10" applyNumberFormat="1" applyFont="1" applyBorder="1" applyAlignment="1">
      <alignment horizontal="left" vertical="center" wrapText="1" shrinkToFit="1"/>
    </xf>
    <xf numFmtId="49" fontId="22" fillId="0" borderId="38" xfId="10" applyNumberFormat="1" applyFont="1" applyBorder="1" applyAlignment="1">
      <alignment horizontal="left" vertical="center" wrapText="1" shrinkToFit="1"/>
    </xf>
    <xf numFmtId="0" fontId="22" fillId="0" borderId="47" xfId="10" applyFont="1" applyBorder="1" applyAlignment="1">
      <alignment horizontal="center" vertical="center" wrapText="1"/>
    </xf>
    <xf numFmtId="49" fontId="22" fillId="0" borderId="29" xfId="10" applyNumberFormat="1" applyFont="1" applyBorder="1" applyAlignment="1">
      <alignment horizontal="center" vertical="center" wrapText="1" shrinkToFit="1"/>
    </xf>
    <xf numFmtId="0" fontId="22" fillId="0" borderId="29" xfId="10" applyFont="1" applyBorder="1" applyAlignment="1">
      <alignment horizontal="center" vertical="center" wrapText="1"/>
    </xf>
    <xf numFmtId="0" fontId="22" fillId="0" borderId="29" xfId="10" applyFont="1" applyBorder="1" applyAlignment="1">
      <alignment vertical="center" wrapText="1"/>
    </xf>
    <xf numFmtId="0" fontId="22" fillId="0" borderId="30" xfId="10" applyFont="1" applyBorder="1" applyAlignment="1">
      <alignment horizontal="center" vertical="center" wrapText="1"/>
    </xf>
    <xf numFmtId="49" fontId="22" fillId="0" borderId="36" xfId="10" applyNumberFormat="1" applyFont="1" applyBorder="1" applyAlignment="1">
      <alignment horizontal="center" vertical="center" wrapText="1" shrinkToFit="1"/>
    </xf>
    <xf numFmtId="0" fontId="22" fillId="9" borderId="0" xfId="10" applyFont="1" applyFill="1"/>
    <xf numFmtId="0" fontId="22" fillId="9" borderId="0" xfId="10" applyFont="1" applyFill="1" applyAlignment="1">
      <alignment horizontal="center"/>
    </xf>
    <xf numFmtId="49" fontId="22" fillId="9" borderId="36" xfId="10" applyNumberFormat="1" applyFont="1" applyFill="1" applyBorder="1" applyAlignment="1">
      <alignment horizontal="center" vertical="center" wrapText="1" shrinkToFit="1"/>
    </xf>
    <xf numFmtId="0" fontId="22" fillId="9" borderId="37" xfId="10" applyFont="1" applyFill="1" applyBorder="1" applyAlignment="1">
      <alignment horizontal="center" vertical="center" wrapText="1"/>
    </xf>
    <xf numFmtId="0" fontId="22" fillId="9" borderId="37" xfId="10" applyFont="1" applyFill="1" applyBorder="1" applyAlignment="1">
      <alignment vertical="center" wrapText="1"/>
    </xf>
    <xf numFmtId="0" fontId="22" fillId="9" borderId="38" xfId="10" applyFont="1" applyFill="1" applyBorder="1" applyAlignment="1">
      <alignment horizontal="center" vertical="center" wrapText="1"/>
    </xf>
    <xf numFmtId="49" fontId="22" fillId="9" borderId="35" xfId="10" applyNumberFormat="1" applyFont="1" applyFill="1" applyBorder="1" applyAlignment="1">
      <alignment horizontal="left" vertical="center" wrapText="1" shrinkToFit="1"/>
    </xf>
    <xf numFmtId="0" fontId="22" fillId="9" borderId="0" xfId="10" applyFont="1" applyFill="1" applyAlignment="1">
      <alignment vertical="center" wrapText="1"/>
    </xf>
    <xf numFmtId="0" fontId="0" fillId="9" borderId="0" xfId="0" applyFill="1">
      <alignment vertical="center"/>
    </xf>
    <xf numFmtId="49" fontId="22" fillId="9" borderId="40" xfId="10" applyNumberFormat="1" applyFont="1" applyFill="1" applyBorder="1" applyAlignment="1">
      <alignment horizontal="left" vertical="center" wrapText="1" shrinkToFit="1"/>
    </xf>
    <xf numFmtId="0" fontId="22" fillId="9" borderId="44" xfId="10" applyFont="1" applyFill="1" applyBorder="1" applyAlignment="1">
      <alignment horizontal="center" vertical="center" wrapText="1"/>
    </xf>
    <xf numFmtId="0" fontId="22" fillId="9" borderId="38" xfId="10" applyFont="1" applyFill="1" applyBorder="1" applyAlignment="1">
      <alignment vertical="center" wrapText="1"/>
    </xf>
    <xf numFmtId="49" fontId="22" fillId="9" borderId="47" xfId="10" applyNumberFormat="1" applyFont="1" applyFill="1" applyBorder="1" applyAlignment="1">
      <alignment horizontal="center" vertical="center" wrapText="1" shrinkToFit="1"/>
    </xf>
    <xf numFmtId="0" fontId="22" fillId="9" borderId="29" xfId="10" applyFont="1" applyFill="1" applyBorder="1" applyAlignment="1">
      <alignment horizontal="center" vertical="center" wrapText="1"/>
    </xf>
    <xf numFmtId="0" fontId="22" fillId="9" borderId="29" xfId="10" applyFont="1" applyFill="1" applyBorder="1" applyAlignment="1">
      <alignment vertical="center" wrapText="1"/>
    </xf>
    <xf numFmtId="0" fontId="22" fillId="9" borderId="30" xfId="10" applyFont="1" applyFill="1" applyBorder="1" applyAlignment="1">
      <alignment vertical="center" wrapText="1"/>
    </xf>
    <xf numFmtId="49" fontId="22" fillId="9" borderId="48" xfId="10" applyNumberFormat="1" applyFont="1" applyFill="1" applyBorder="1" applyAlignment="1">
      <alignment horizontal="left" vertical="center" wrapText="1" shrinkToFit="1"/>
    </xf>
    <xf numFmtId="0" fontId="22" fillId="9" borderId="0" xfId="10" applyFont="1" applyFill="1" applyAlignment="1">
      <alignment horizontal="center" vertical="center" wrapText="1"/>
    </xf>
    <xf numFmtId="49" fontId="22" fillId="9" borderId="0" xfId="10" applyNumberFormat="1" applyFont="1" applyFill="1" applyAlignment="1">
      <alignment horizontal="center" vertical="center" wrapText="1"/>
    </xf>
    <xf numFmtId="0" fontId="22" fillId="9" borderId="0" xfId="10" applyFont="1" applyFill="1" applyAlignment="1">
      <alignment horizontal="left" vertical="center" wrapText="1"/>
    </xf>
    <xf numFmtId="41" fontId="0" fillId="0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41" fontId="14" fillId="3" borderId="1" xfId="1" applyFont="1" applyFill="1" applyBorder="1">
      <alignment vertical="center"/>
    </xf>
    <xf numFmtId="41" fontId="14" fillId="11" borderId="1" xfId="1" applyFont="1" applyFill="1" applyBorder="1">
      <alignment vertical="center"/>
    </xf>
    <xf numFmtId="41" fontId="14" fillId="0" borderId="1" xfId="1" applyFont="1" applyBorder="1">
      <alignment vertical="center"/>
    </xf>
    <xf numFmtId="176" fontId="14" fillId="0" borderId="19" xfId="1" applyNumberFormat="1" applyFont="1" applyBorder="1">
      <alignment vertical="center"/>
    </xf>
    <xf numFmtId="41" fontId="14" fillId="6" borderId="20" xfId="1" applyFont="1" applyFill="1" applyBorder="1">
      <alignment vertical="center"/>
    </xf>
    <xf numFmtId="41" fontId="28" fillId="0" borderId="18" xfId="1" applyFont="1" applyBorder="1">
      <alignment vertical="center"/>
    </xf>
    <xf numFmtId="0" fontId="29" fillId="0" borderId="18" xfId="0" applyFont="1" applyBorder="1" applyAlignment="1">
      <alignment horizontal="left" vertical="center"/>
    </xf>
    <xf numFmtId="41" fontId="30" fillId="11" borderId="0" xfId="1" applyFont="1" applyFill="1">
      <alignment vertical="center"/>
    </xf>
    <xf numFmtId="41" fontId="2" fillId="3" borderId="0" xfId="1" applyFont="1" applyFill="1" applyProtection="1">
      <alignment vertical="center"/>
      <protection locked="0"/>
    </xf>
    <xf numFmtId="0" fontId="31" fillId="0" borderId="0" xfId="13">
      <alignment vertical="center"/>
    </xf>
    <xf numFmtId="14" fontId="31" fillId="0" borderId="0" xfId="13" applyNumberFormat="1">
      <alignment vertical="center"/>
    </xf>
    <xf numFmtId="0" fontId="31" fillId="0" borderId="0" xfId="13" applyAlignment="1">
      <alignment horizontal="left" vertical="center"/>
    </xf>
    <xf numFmtId="0" fontId="31" fillId="0" borderId="0" xfId="13" applyAlignment="1">
      <alignment horizontal="center" vertical="center"/>
    </xf>
    <xf numFmtId="0" fontId="31" fillId="0" borderId="0" xfId="13" applyAlignment="1">
      <alignment horizontal="right" vertical="center"/>
    </xf>
    <xf numFmtId="14" fontId="32" fillId="0" borderId="0" xfId="13" applyNumberFormat="1" applyFont="1" applyAlignment="1">
      <alignment horizontal="center" vertical="center"/>
    </xf>
    <xf numFmtId="0" fontId="32" fillId="0" borderId="0" xfId="13" applyFont="1" applyAlignment="1">
      <alignment horizontal="center" vertical="center"/>
    </xf>
    <xf numFmtId="0" fontId="33" fillId="0" borderId="0" xfId="13" applyFont="1" applyAlignment="1">
      <alignment horizontal="center" vertical="center"/>
    </xf>
    <xf numFmtId="0" fontId="34" fillId="13" borderId="52" xfId="13" applyFont="1" applyFill="1" applyBorder="1" applyAlignment="1">
      <alignment horizontal="center" vertical="center" wrapText="1"/>
    </xf>
    <xf numFmtId="14" fontId="34" fillId="13" borderId="52" xfId="13" applyNumberFormat="1" applyFont="1" applyFill="1" applyBorder="1" applyAlignment="1">
      <alignment horizontal="center" vertical="center" wrapText="1"/>
    </xf>
    <xf numFmtId="3" fontId="31" fillId="0" borderId="0" xfId="13" applyNumberFormat="1">
      <alignment vertical="center"/>
    </xf>
    <xf numFmtId="3" fontId="31" fillId="0" borderId="0" xfId="13" applyNumberFormat="1" applyAlignment="1">
      <alignment horizontal="left" vertical="center"/>
    </xf>
    <xf numFmtId="3" fontId="31" fillId="0" borderId="0" xfId="13" pivotButton="1" applyNumberFormat="1">
      <alignment vertical="center"/>
    </xf>
    <xf numFmtId="0" fontId="0" fillId="0" borderId="8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</cellXfs>
  <cellStyles count="14">
    <cellStyle name="백분율" xfId="2" builtinId="5"/>
    <cellStyle name="쉼표 [0]" xfId="1" builtinId="6"/>
    <cellStyle name="쉼표 [0] 2" xfId="5" xr:uid="{00000000-0005-0000-0000-000002000000}"/>
    <cellStyle name="쉼표 [0] 3" xfId="7" xr:uid="{AAECDF52-2D14-47CF-9E5D-3C72C3F47261}"/>
    <cellStyle name="쉼표 [0] 4" xfId="8" xr:uid="{9C78D389-BAF9-4639-BBD8-7182AA64E05B}"/>
    <cellStyle name="표준" xfId="0" builtinId="0"/>
    <cellStyle name="표준 10" xfId="10" xr:uid="{EADBE1C6-0948-4023-AABD-085D4855A223}"/>
    <cellStyle name="표준 11 2 2 2 2 2 3" xfId="9" xr:uid="{7343C5B2-D1FF-4DB1-9287-BBF7C8D88E4F}"/>
    <cellStyle name="표준 2" xfId="4" xr:uid="{00000000-0005-0000-0000-000004000000}"/>
    <cellStyle name="표준 3" xfId="6" xr:uid="{00000000-0005-0000-0000-000005000000}"/>
    <cellStyle name="표준 4" xfId="13" xr:uid="{D38EF442-123E-4057-8FAA-90B62170DECC}"/>
    <cellStyle name="표준 6 10 2 2 2 2" xfId="11" xr:uid="{2F063D45-F07D-47C5-8E15-E31F01D6463C}"/>
    <cellStyle name="표준 7 10 2 2 2" xfId="12" xr:uid="{94972F34-D639-4798-A161-15EF1D783D12}"/>
    <cellStyle name="하이퍼링크" xfId="3" builtinId="8"/>
  </cellStyles>
  <dxfs count="27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none"/>
      </font>
      <numFmt numFmtId="19" formatCode="yyyy/mm/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rgb="FFC0C0C0"/>
        </top>
      </border>
    </dxf>
    <dxf>
      <border outline="0">
        <bottom style="thin">
          <color rgb="FFC0C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0C0C0"/>
        </left>
        <right style="thin">
          <color rgb="FFC0C0C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25</xdr:row>
          <xdr:rowOff>0</xdr:rowOff>
        </xdr:from>
        <xdr:to>
          <xdr:col>3</xdr:col>
          <xdr:colOff>1076325</xdr:colOff>
          <xdr:row>26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사업자당기순이익찾기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200025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C/Downloads/&#48516;&#44060;&#51109;_20251029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959.582776736112" createdVersion="8" refreshedVersion="8" minRefreshableVersion="3" recordCount="3512" xr:uid="{392459E2-E316-4D7A-B287-F0AA3F3B6894}">
  <cacheSource type="worksheet">
    <worksheetSource name="표1" r:id="rId2"/>
  </cacheSource>
  <cacheFields count="15">
    <cacheField name="전표일자" numFmtId="0">
      <sharedItems/>
    </cacheField>
    <cacheField name="date" numFmtId="14">
      <sharedItems containsSemiMixedTypes="0" containsNonDate="0" containsDate="1" containsString="0" minDate="2025-01-01T00:00:00" maxDate="2025-10-01T00:00:00" count="222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7T00:00:00"/>
        <d v="2025-07-10T00:00:00"/>
        <d v="2025-07-11T00:00:00"/>
        <d v="2025-07-12T00:00:00"/>
        <d v="2025-07-15T00:00:00"/>
        <d v="2025-07-16T00:00:00"/>
        <d v="2025-07-21T00:00:00"/>
        <d v="2025-07-22T00:00:00"/>
        <d v="2025-07-25T00:00:00"/>
        <d v="2025-07-28T00:00:00"/>
        <d v="2025-07-31T00:00:00"/>
        <d v="2025-08-01T00:00:00"/>
        <d v="2025-08-04T00:00:00"/>
        <d v="2025-08-05T00:00:00"/>
        <d v="2025-08-07T00:00:00"/>
        <d v="2025-08-11T00:00:00"/>
        <d v="2025-08-15T00:00:00"/>
        <d v="2025-08-18T00:00:00"/>
        <d v="2025-08-20T00:00:00"/>
        <d v="2025-08-25T00:00:00"/>
        <d v="2025-08-26T00:00:00"/>
        <d v="2025-08-27T00:00:00"/>
        <d v="2025-08-28T00:00:00"/>
        <d v="2025-08-29T00:00:00"/>
        <d v="2025-08-31T00:00:00"/>
        <d v="2025-09-01T00:00:00"/>
        <d v="2025-09-03T00:00:00"/>
        <d v="2025-09-04T00:00:00"/>
        <d v="2025-09-05T00:00:00"/>
        <d v="2025-09-07T00:00:00"/>
        <d v="2025-09-08T00:00:00"/>
        <d v="2025-09-09T00:00:00"/>
        <d v="2025-09-10T00:00:00"/>
        <d v="2025-09-11T00:00:00"/>
        <d v="2025-09-12T00:00:00"/>
        <d v="2025-09-15T00:00:00"/>
        <d v="2025-09-16T00:00:00"/>
        <d v="2025-09-22T00:00:00"/>
        <d v="2025-09-23T00:00:00"/>
        <d v="2025-09-24T00:00:00"/>
        <d v="2025-09-25T00:00:00"/>
        <d v="2025-09-26T00:00:00"/>
        <d v="2025-09-29T00:00:00"/>
        <d v="2025-09-30T00:00:00"/>
      </sharedItems>
      <fieldGroup par="14"/>
    </cacheField>
    <cacheField name="전표번호" numFmtId="0">
      <sharedItems/>
    </cacheField>
    <cacheField name="구분" numFmtId="0">
      <sharedItems/>
    </cacheField>
    <cacheField name="Code" numFmtId="0">
      <sharedItems/>
    </cacheField>
    <cacheField name="계정과목" numFmtId="0">
      <sharedItems/>
    </cacheField>
    <cacheField name="account" numFmtId="0">
      <sharedItems count="22">
        <s v="813접대비(기업업무추진비)(판)"/>
        <s v="101현금"/>
        <s v="826도서인쇄비(판)"/>
        <s v="255부가세예수금"/>
        <s v="401용역매출"/>
        <s v="135부가세대급금"/>
        <s v="830소모품비(판)"/>
        <s v="831지급수수료(판)"/>
        <s v="811복리후생비(판)"/>
        <s v="812여비교통비(판)"/>
        <s v="814통신비(판)"/>
        <s v="822차량유지비(판)"/>
        <s v="254예수금"/>
        <s v="821보험료(판)"/>
        <s v="817세금과공과금(판)"/>
        <s v="824운반비(판)"/>
        <s v="837건물관리비(판)"/>
        <s v="261미지급세금"/>
        <s v="802직원급여(판)"/>
        <s v="833광고선전비(판)"/>
        <s v="136선납세금"/>
        <s v="930잡이익"/>
      </sharedItems>
    </cacheField>
    <cacheField name="차변" numFmtId="0">
      <sharedItems containsSemiMixedTypes="0" containsString="0" containsNumber="1" containsInteger="1" minValue="-220000" maxValue="18272728"/>
    </cacheField>
    <cacheField name="대변" numFmtId="0">
      <sharedItems containsSemiMixedTypes="0" containsString="0" containsNumber="1" containsInteger="1" minValue="-200000" maxValue="18272728"/>
    </cacheField>
    <cacheField name="amount" numFmtId="0">
      <sharedItems containsSemiMixedTypes="0" containsString="0" containsNumber="1" containsInteger="1" minValue="-18272728" maxValue="18272728"/>
    </cacheField>
    <cacheField name="거래처" numFmtId="0">
      <sharedItems containsBlank="1"/>
    </cacheField>
    <cacheField name="Code2" numFmtId="0">
      <sharedItems containsBlank="1"/>
    </cacheField>
    <cacheField name="적요" numFmtId="0">
      <sharedItems containsBlank="1"/>
    </cacheField>
    <cacheField name="일(date)" numFmtId="0" databaseField="0">
      <fieldGroup base="1">
        <rangePr groupBy="days" startDate="2025-01-01T00:00:00" endDate="2025-10-01T00:00:00"/>
        <groupItems count="368">
          <s v="&lt;2025-01-01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0-01"/>
        </groupItems>
      </fieldGroup>
    </cacheField>
    <cacheField name="개월(date)" numFmtId="0" databaseField="0">
      <fieldGroup base="1">
        <rangePr groupBy="months" startDate="2025-01-01T00:00:00" endDate="2025-10-01T00:00:00"/>
        <groupItems count="14">
          <s v="&lt;2025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0-0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2">
  <r>
    <s v="2025-01-01"/>
    <x v="0"/>
    <s v="00001"/>
    <s v="차변"/>
    <s v="813"/>
    <s v="접대비(기업업무추진비)(판)"/>
    <x v="0"/>
    <n v="30900"/>
    <n v="0"/>
    <n v="-30900"/>
    <s v="사보타지"/>
    <s v="02"/>
    <s v="거래처 접대비(기업업무추진비)/신용카드(개인)"/>
  </r>
  <r>
    <s v="2025-01-01"/>
    <x v="0"/>
    <s v="00001"/>
    <s v="대변"/>
    <s v="101"/>
    <s v="현금"/>
    <x v="1"/>
    <n v="0"/>
    <n v="30900"/>
    <n v="30900"/>
    <s v="농협카드(6215)"/>
    <m/>
    <m/>
  </r>
  <r>
    <s v="2025-01-01"/>
    <x v="0"/>
    <s v="00002"/>
    <s v="차변"/>
    <s v="826"/>
    <s v="도서인쇄비(판)"/>
    <x v="2"/>
    <n v="5000"/>
    <n v="0"/>
    <n v="-5000"/>
    <s v="(주）알라딘커뮤니케이션"/>
    <m/>
    <m/>
  </r>
  <r>
    <s v="2025-01-01"/>
    <x v="0"/>
    <s v="00002"/>
    <s v="대변"/>
    <s v="101"/>
    <s v="현금"/>
    <x v="1"/>
    <n v="0"/>
    <n v="5000"/>
    <n v="5000"/>
    <s v="(주）알라딘커뮤니케이션"/>
    <m/>
    <m/>
  </r>
  <r>
    <s v="2025-01-01"/>
    <x v="0"/>
    <s v="50001"/>
    <s v="대변"/>
    <s v="255"/>
    <s v="부가세예수금"/>
    <x v="3"/>
    <n v="0"/>
    <n v="9091"/>
    <n v="9091"/>
    <s v="해드림재활주간보호센터"/>
    <m/>
    <s v="인사노무자문료 1 X 90,909"/>
  </r>
  <r>
    <s v="2025-01-01"/>
    <x v="0"/>
    <s v="50001"/>
    <s v="대변"/>
    <s v="401"/>
    <s v="용역매출"/>
    <x v="4"/>
    <n v="0"/>
    <n v="90909"/>
    <n v="90909"/>
    <s v="해드림재활주간보호센터"/>
    <m/>
    <s v="인사노무자문료 1 X 90,909"/>
  </r>
  <r>
    <s v="2025-01-01"/>
    <x v="0"/>
    <s v="50001"/>
    <s v="차변"/>
    <s v="101"/>
    <s v="현금"/>
    <x v="1"/>
    <n v="100000"/>
    <n v="0"/>
    <n v="-100000"/>
    <s v="해드림재활주간보호센터"/>
    <m/>
    <s v="인사노무자문료 1 X 90,909"/>
  </r>
  <r>
    <s v="2025-01-01"/>
    <x v="0"/>
    <s v="50002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1-01"/>
    <x v="0"/>
    <s v="50002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1-01"/>
    <x v="0"/>
    <s v="50002"/>
    <s v="차변"/>
    <s v="101"/>
    <s v="현금"/>
    <x v="1"/>
    <n v="132000"/>
    <n v="0"/>
    <n v="-132000"/>
    <s v="재단법인 장성먹거리통합지원센터"/>
    <m/>
    <s v="인사노무자문료 1 X 120,000"/>
  </r>
  <r>
    <s v="2025-01-01"/>
    <x v="0"/>
    <s v="50003"/>
    <s v="대변"/>
    <s v="255"/>
    <s v="부가세예수금"/>
    <x v="3"/>
    <n v="0"/>
    <n v="15000"/>
    <n v="15000"/>
    <s v="(주)혁진팩"/>
    <m/>
    <s v="인사노무자문료 1 X 150,000"/>
  </r>
  <r>
    <s v="2025-01-01"/>
    <x v="0"/>
    <s v="50003"/>
    <s v="대변"/>
    <s v="401"/>
    <s v="용역매출"/>
    <x v="4"/>
    <n v="0"/>
    <n v="150000"/>
    <n v="150000"/>
    <s v="(주)혁진팩"/>
    <m/>
    <s v="인사노무자문료 1 X 150,000"/>
  </r>
  <r>
    <s v="2025-01-01"/>
    <x v="0"/>
    <s v="50003"/>
    <s v="차변"/>
    <s v="101"/>
    <s v="현금"/>
    <x v="1"/>
    <n v="165000"/>
    <n v="0"/>
    <n v="-165000"/>
    <s v="(주)혁진팩"/>
    <m/>
    <s v="인사노무자문료 1 X 150,000"/>
  </r>
  <r>
    <s v="2025-01-01"/>
    <x v="0"/>
    <s v="50004"/>
    <s v="대변"/>
    <s v="255"/>
    <s v="부가세예수금"/>
    <x v="3"/>
    <n v="0"/>
    <n v="15000"/>
    <n v="15000"/>
    <s v="(주)미래아이엔씨"/>
    <m/>
    <s v="인사노무자문료 1 X 150,000"/>
  </r>
  <r>
    <s v="2025-01-01"/>
    <x v="0"/>
    <s v="50004"/>
    <s v="대변"/>
    <s v="401"/>
    <s v="용역매출"/>
    <x v="4"/>
    <n v="0"/>
    <n v="150000"/>
    <n v="150000"/>
    <s v="(주)미래아이엔씨"/>
    <m/>
    <s v="인사노무자문료 1 X 150,000"/>
  </r>
  <r>
    <s v="2025-01-01"/>
    <x v="0"/>
    <s v="50004"/>
    <s v="차변"/>
    <s v="101"/>
    <s v="현금"/>
    <x v="1"/>
    <n v="165000"/>
    <n v="0"/>
    <n v="-165000"/>
    <s v="(주)미래아이엔씨"/>
    <m/>
    <s v="인사노무자문료 1 X 150,000"/>
  </r>
  <r>
    <s v="2025-01-01"/>
    <x v="0"/>
    <s v="50005"/>
    <s v="차변"/>
    <s v="135"/>
    <s v="부가세대급금"/>
    <x v="5"/>
    <n v="761"/>
    <n v="0"/>
    <n v="-761"/>
    <s v="（주）아트박스"/>
    <m/>
    <m/>
  </r>
  <r>
    <s v="2025-01-01"/>
    <x v="0"/>
    <s v="50005"/>
    <s v="차변"/>
    <s v="830"/>
    <s v="소모품비(판)"/>
    <x v="6"/>
    <n v="7639"/>
    <n v="0"/>
    <n v="-7639"/>
    <s v="（주）아트박스"/>
    <m/>
    <m/>
  </r>
  <r>
    <s v="2025-01-01"/>
    <x v="0"/>
    <s v="50005"/>
    <s v="대변"/>
    <s v="101"/>
    <s v="현금"/>
    <x v="1"/>
    <n v="0"/>
    <n v="8400"/>
    <n v="8400"/>
    <s v="농협카드(6215)"/>
    <m/>
    <m/>
  </r>
  <r>
    <s v="2025-01-02"/>
    <x v="1"/>
    <s v="50001"/>
    <s v="차변"/>
    <s v="135"/>
    <s v="부가세대급금"/>
    <x v="5"/>
    <n v="400"/>
    <n v="0"/>
    <n v="-400"/>
    <s v="농협은행"/>
    <m/>
    <s v="전자세금계산서용 인증서수수료 1 X 4,000"/>
  </r>
  <r>
    <s v="2025-01-02"/>
    <x v="1"/>
    <s v="50001"/>
    <s v="차변"/>
    <s v="831"/>
    <s v="지급수수료(판)"/>
    <x v="7"/>
    <n v="4000"/>
    <n v="0"/>
    <n v="-4000"/>
    <s v="농협은행"/>
    <m/>
    <s v="전자세금계산서용 인증서수수료 1 X 4,000"/>
  </r>
  <r>
    <s v="2025-01-02"/>
    <x v="1"/>
    <s v="50001"/>
    <s v="대변"/>
    <s v="101"/>
    <s v="현금"/>
    <x v="1"/>
    <n v="0"/>
    <n v="4400"/>
    <n v="4400"/>
    <s v="농협은행"/>
    <m/>
    <s v="전자세금계산서용 인증서수수료 1 X 4,000"/>
  </r>
  <r>
    <s v="2025-01-02"/>
    <x v="1"/>
    <s v="50002"/>
    <s v="대변"/>
    <s v="255"/>
    <s v="부가세예수금"/>
    <x v="3"/>
    <n v="0"/>
    <n v="-15000"/>
    <n v="-15000"/>
    <s v="주식회사 주영테크"/>
    <m/>
    <s v="인사노무자문료 -1 X 150,000"/>
  </r>
  <r>
    <s v="2025-01-02"/>
    <x v="1"/>
    <s v="50002"/>
    <s v="대변"/>
    <s v="401"/>
    <s v="용역매출"/>
    <x v="4"/>
    <n v="0"/>
    <n v="-150000"/>
    <n v="-150000"/>
    <s v="주식회사 주영테크"/>
    <m/>
    <s v="인사노무자문료 -1 X 150,000"/>
  </r>
  <r>
    <s v="2025-01-02"/>
    <x v="1"/>
    <s v="50002"/>
    <s v="차변"/>
    <s v="101"/>
    <s v="현금"/>
    <x v="1"/>
    <n v="-165000"/>
    <n v="0"/>
    <n v="165000"/>
    <s v="주식회사 주영테크"/>
    <m/>
    <s v="인사노무자문료 -1 X 150,000"/>
  </r>
  <r>
    <s v="2025-01-02"/>
    <x v="1"/>
    <s v="50003"/>
    <s v="대변"/>
    <s v="255"/>
    <s v="부가세예수금"/>
    <x v="3"/>
    <n v="0"/>
    <n v="15000"/>
    <n v="15000"/>
    <s v="주식회사 수연"/>
    <m/>
    <s v="인사노무자문료 1 X 150,000"/>
  </r>
  <r>
    <s v="2025-01-02"/>
    <x v="1"/>
    <s v="50003"/>
    <s v="대변"/>
    <s v="401"/>
    <s v="용역매출"/>
    <x v="4"/>
    <n v="0"/>
    <n v="150000"/>
    <n v="150000"/>
    <s v="주식회사 수연"/>
    <m/>
    <s v="인사노무자문료 1 X 150,000"/>
  </r>
  <r>
    <s v="2025-01-02"/>
    <x v="1"/>
    <s v="50003"/>
    <s v="차변"/>
    <s v="101"/>
    <s v="현금"/>
    <x v="1"/>
    <n v="165000"/>
    <n v="0"/>
    <n v="-165000"/>
    <s v="주식회사 수연"/>
    <m/>
    <s v="인사노무자문료 1 X 150,000"/>
  </r>
  <r>
    <s v="2025-01-02"/>
    <x v="1"/>
    <s v="50004"/>
    <s v="대변"/>
    <s v="255"/>
    <s v="부가세예수금"/>
    <x v="3"/>
    <n v="0"/>
    <n v="-15000"/>
    <n v="-15000"/>
    <s v="주식회사 수연"/>
    <m/>
    <s v="인사노무자문료 -1 X 150,000"/>
  </r>
  <r>
    <s v="2025-01-02"/>
    <x v="1"/>
    <s v="50004"/>
    <s v="대변"/>
    <s v="401"/>
    <s v="용역매출"/>
    <x v="4"/>
    <n v="0"/>
    <n v="-150000"/>
    <n v="-150000"/>
    <s v="주식회사 수연"/>
    <m/>
    <s v="인사노무자문료 -1 X 150,000"/>
  </r>
  <r>
    <s v="2025-01-02"/>
    <x v="1"/>
    <s v="50004"/>
    <s v="차변"/>
    <s v="101"/>
    <s v="현금"/>
    <x v="1"/>
    <n v="-165000"/>
    <n v="0"/>
    <n v="165000"/>
    <s v="주식회사 수연"/>
    <m/>
    <s v="인사노무자문료 -1 X 150,000"/>
  </r>
  <r>
    <s v="2025-01-02"/>
    <x v="1"/>
    <s v="50005"/>
    <s v="대변"/>
    <s v="255"/>
    <s v="부가세예수금"/>
    <x v="3"/>
    <n v="0"/>
    <n v="15000"/>
    <n v="15000"/>
    <s v="주식회사 주영테크"/>
    <m/>
    <s v="인사노무자문료 1 X 150,000"/>
  </r>
  <r>
    <s v="2025-01-02"/>
    <x v="1"/>
    <s v="50005"/>
    <s v="대변"/>
    <s v="401"/>
    <s v="용역매출"/>
    <x v="4"/>
    <n v="0"/>
    <n v="150000"/>
    <n v="150000"/>
    <s v="주식회사 주영테크"/>
    <m/>
    <s v="인사노무자문료 1 X 150,000"/>
  </r>
  <r>
    <s v="2025-01-02"/>
    <x v="1"/>
    <s v="50005"/>
    <s v="차변"/>
    <s v="101"/>
    <s v="현금"/>
    <x v="1"/>
    <n v="165000"/>
    <n v="0"/>
    <n v="-165000"/>
    <s v="주식회사 주영테크"/>
    <m/>
    <s v="인사노무자문료 1 X 150,000"/>
  </r>
  <r>
    <s v="2025-01-02"/>
    <x v="1"/>
    <s v="50006"/>
    <s v="대변"/>
    <s v="255"/>
    <s v="부가세예수금"/>
    <x v="3"/>
    <n v="0"/>
    <n v="15000"/>
    <n v="15000"/>
    <s v="청담리브의원"/>
    <m/>
    <s v="인사노무자문료 1 X 150,000"/>
  </r>
  <r>
    <s v="2025-01-02"/>
    <x v="1"/>
    <s v="50006"/>
    <s v="대변"/>
    <s v="401"/>
    <s v="용역매출"/>
    <x v="4"/>
    <n v="0"/>
    <n v="150000"/>
    <n v="150000"/>
    <s v="청담리브의원"/>
    <m/>
    <s v="인사노무자문료 1 X 150,000"/>
  </r>
  <r>
    <s v="2025-01-02"/>
    <x v="1"/>
    <s v="50006"/>
    <s v="차변"/>
    <s v="101"/>
    <s v="현금"/>
    <x v="1"/>
    <n v="165000"/>
    <n v="0"/>
    <n v="-165000"/>
    <s v="청담리브의원"/>
    <m/>
    <s v="인사노무자문료 1 X 150,000"/>
  </r>
  <r>
    <s v="2025-01-02"/>
    <x v="1"/>
    <s v="50007"/>
    <s v="대변"/>
    <s v="255"/>
    <s v="부가세예수금"/>
    <x v="3"/>
    <n v="0"/>
    <n v="10000"/>
    <n v="10000"/>
    <s v="와이앤애드"/>
    <m/>
    <s v="인사노무자문료 1 X 100,000"/>
  </r>
  <r>
    <s v="2025-01-02"/>
    <x v="1"/>
    <s v="50007"/>
    <s v="대변"/>
    <s v="401"/>
    <s v="용역매출"/>
    <x v="4"/>
    <n v="0"/>
    <n v="100000"/>
    <n v="100000"/>
    <s v="와이앤애드"/>
    <m/>
    <s v="인사노무자문료 1 X 100,000"/>
  </r>
  <r>
    <s v="2025-01-02"/>
    <x v="1"/>
    <s v="50007"/>
    <s v="차변"/>
    <s v="101"/>
    <s v="현금"/>
    <x v="1"/>
    <n v="110000"/>
    <n v="0"/>
    <n v="-110000"/>
    <s v="와이앤애드"/>
    <m/>
    <s v="인사노무자문료 1 X 100,000"/>
  </r>
  <r>
    <s v="2025-01-02"/>
    <x v="1"/>
    <s v="50008"/>
    <s v="대변"/>
    <s v="255"/>
    <s v="부가세예수금"/>
    <x v="3"/>
    <n v="0"/>
    <n v="15000"/>
    <n v="15000"/>
    <s v="연세탑신경외과"/>
    <m/>
    <s v="인사노무자문료 1 X 150,000"/>
  </r>
  <r>
    <s v="2025-01-02"/>
    <x v="1"/>
    <s v="50008"/>
    <s v="대변"/>
    <s v="401"/>
    <s v="용역매출"/>
    <x v="4"/>
    <n v="0"/>
    <n v="150000"/>
    <n v="150000"/>
    <s v="연세탑신경외과"/>
    <m/>
    <s v="인사노무자문료 1 X 150,000"/>
  </r>
  <r>
    <s v="2025-01-02"/>
    <x v="1"/>
    <s v="50008"/>
    <s v="차변"/>
    <s v="101"/>
    <s v="현금"/>
    <x v="1"/>
    <n v="165000"/>
    <n v="0"/>
    <n v="-165000"/>
    <s v="연세탑신경외과"/>
    <m/>
    <s v="인사노무자문료 1 X 150,000"/>
  </r>
  <r>
    <s v="2025-01-02"/>
    <x v="1"/>
    <s v="50009"/>
    <s v="대변"/>
    <s v="255"/>
    <s v="부가세예수금"/>
    <x v="3"/>
    <n v="0"/>
    <n v="12000"/>
    <n v="12000"/>
    <s v="용성이앤지"/>
    <m/>
    <s v="인사노무자문료 1 X 120,000"/>
  </r>
  <r>
    <s v="2025-01-02"/>
    <x v="1"/>
    <s v="50009"/>
    <s v="대변"/>
    <s v="401"/>
    <s v="용역매출"/>
    <x v="4"/>
    <n v="0"/>
    <n v="120000"/>
    <n v="120000"/>
    <s v="용성이앤지"/>
    <m/>
    <s v="인사노무자문료 1 X 120,000"/>
  </r>
  <r>
    <s v="2025-01-02"/>
    <x v="1"/>
    <s v="50009"/>
    <s v="차변"/>
    <s v="101"/>
    <s v="현금"/>
    <x v="1"/>
    <n v="132000"/>
    <n v="0"/>
    <n v="-132000"/>
    <s v="용성이앤지"/>
    <m/>
    <s v="인사노무자문료 1 X 120,000"/>
  </r>
  <r>
    <s v="2025-01-02"/>
    <x v="1"/>
    <s v="50010"/>
    <s v="대변"/>
    <s v="255"/>
    <s v="부가세예수금"/>
    <x v="3"/>
    <n v="0"/>
    <n v="15000"/>
    <n v="15000"/>
    <s v="주식회사 수연"/>
    <m/>
    <s v="인사노무자문료 1 X 150,000"/>
  </r>
  <r>
    <s v="2025-01-02"/>
    <x v="1"/>
    <s v="50010"/>
    <s v="대변"/>
    <s v="401"/>
    <s v="용역매출"/>
    <x v="4"/>
    <n v="0"/>
    <n v="150000"/>
    <n v="150000"/>
    <s v="주식회사 수연"/>
    <m/>
    <s v="인사노무자문료 1 X 150,000"/>
  </r>
  <r>
    <s v="2025-01-02"/>
    <x v="1"/>
    <s v="50010"/>
    <s v="차변"/>
    <s v="101"/>
    <s v="현금"/>
    <x v="1"/>
    <n v="165000"/>
    <n v="0"/>
    <n v="-165000"/>
    <s v="주식회사 수연"/>
    <m/>
    <s v="인사노무자문료 1 X 150,000"/>
  </r>
  <r>
    <s v="2025-01-02"/>
    <x v="1"/>
    <s v="50011"/>
    <s v="대변"/>
    <s v="101"/>
    <s v="현금"/>
    <x v="1"/>
    <n v="0"/>
    <n v="140000"/>
    <n v="140000"/>
    <s v="현대카드(4817)"/>
    <m/>
    <m/>
  </r>
  <r>
    <s v="2025-01-02"/>
    <x v="1"/>
    <s v="50011"/>
    <s v="차변"/>
    <s v="830"/>
    <s v="소모품비(판)"/>
    <x v="6"/>
    <n v="127273"/>
    <n v="0"/>
    <n v="-127273"/>
    <s v="토스페이먼츠 주식회사"/>
    <s v="  "/>
    <m/>
  </r>
  <r>
    <s v="2025-01-02"/>
    <x v="1"/>
    <s v="50011"/>
    <s v="차변"/>
    <s v="135"/>
    <s v="부가세대급금"/>
    <x v="5"/>
    <n v="12727"/>
    <n v="0"/>
    <n v="-12727"/>
    <s v="토스페이먼츠 주식회사"/>
    <s v="  "/>
    <m/>
  </r>
  <r>
    <s v="2025-01-03"/>
    <x v="2"/>
    <s v="00001"/>
    <s v="대변"/>
    <s v="101"/>
    <s v="현금"/>
    <x v="1"/>
    <n v="0"/>
    <n v="6623"/>
    <n v="6623"/>
    <s v="조흥의자연구소"/>
    <m/>
    <m/>
  </r>
  <r>
    <s v="2025-01-03"/>
    <x v="2"/>
    <s v="00001"/>
    <s v="차변"/>
    <s v="830"/>
    <s v="소모품비(판)"/>
    <x v="6"/>
    <n v="6623"/>
    <n v="0"/>
    <n v="-6623"/>
    <s v="조흥의자연구소"/>
    <m/>
    <m/>
  </r>
  <r>
    <s v="2025-01-03"/>
    <x v="2"/>
    <s v="00002"/>
    <s v="대변"/>
    <s v="101"/>
    <s v="현금"/>
    <x v="1"/>
    <n v="0"/>
    <n v="2006"/>
    <n v="2006"/>
    <s v="조흥의자연구소"/>
    <m/>
    <m/>
  </r>
  <r>
    <s v="2025-01-03"/>
    <x v="2"/>
    <s v="00002"/>
    <s v="차변"/>
    <s v="830"/>
    <s v="소모품비(판)"/>
    <x v="6"/>
    <n v="2006"/>
    <n v="0"/>
    <n v="-2006"/>
    <s v="조흥의자연구소"/>
    <m/>
    <m/>
  </r>
  <r>
    <s v="2025-01-03"/>
    <x v="2"/>
    <s v="00003"/>
    <s v="차변"/>
    <s v="830"/>
    <s v="소모품비(판)"/>
    <x v="6"/>
    <n v="11594"/>
    <n v="0"/>
    <n v="-11594"/>
    <s v="포시즌"/>
    <m/>
    <m/>
  </r>
  <r>
    <s v="2025-01-03"/>
    <x v="2"/>
    <s v="00003"/>
    <s v="대변"/>
    <s v="101"/>
    <s v="현금"/>
    <x v="1"/>
    <n v="0"/>
    <n v="11594"/>
    <n v="11594"/>
    <s v="포시즌"/>
    <m/>
    <m/>
  </r>
  <r>
    <s v="2025-01-03"/>
    <x v="2"/>
    <s v="00004"/>
    <s v="차변"/>
    <s v="830"/>
    <s v="소모품비(판)"/>
    <x v="6"/>
    <n v="3386"/>
    <n v="0"/>
    <n v="-3386"/>
    <s v="포시즌"/>
    <m/>
    <m/>
  </r>
  <r>
    <s v="2025-01-03"/>
    <x v="2"/>
    <s v="00004"/>
    <s v="대변"/>
    <s v="101"/>
    <s v="현금"/>
    <x v="1"/>
    <n v="0"/>
    <n v="3386"/>
    <n v="3386"/>
    <s v="포시즌"/>
    <m/>
    <m/>
  </r>
  <r>
    <s v="2025-01-03"/>
    <x v="2"/>
    <s v="50001"/>
    <s v="대변"/>
    <s v="255"/>
    <s v="부가세예수금"/>
    <x v="3"/>
    <n v="0"/>
    <n v="10000"/>
    <n v="10000"/>
    <s v="주식회사 주영테크"/>
    <m/>
    <s v="인사노무자문료 1 X 100,000"/>
  </r>
  <r>
    <s v="2025-01-03"/>
    <x v="2"/>
    <s v="50001"/>
    <s v="대변"/>
    <s v="401"/>
    <s v="용역매출"/>
    <x v="4"/>
    <n v="0"/>
    <n v="100000"/>
    <n v="100000"/>
    <s v="주식회사 주영테크"/>
    <m/>
    <s v="인사노무자문료 1 X 100,000"/>
  </r>
  <r>
    <s v="2025-01-03"/>
    <x v="2"/>
    <s v="50001"/>
    <s v="차변"/>
    <s v="101"/>
    <s v="현금"/>
    <x v="1"/>
    <n v="110000"/>
    <n v="0"/>
    <n v="-110000"/>
    <s v="주식회사 주영테크"/>
    <m/>
    <s v="인사노무자문료 1 X 100,000"/>
  </r>
  <r>
    <s v="2025-01-04"/>
    <x v="3"/>
    <s v="00001"/>
    <s v="차변"/>
    <s v="811"/>
    <s v="복리후생비(판)"/>
    <x v="8"/>
    <n v="13000"/>
    <n v="0"/>
    <n v="-13000"/>
    <s v="빈초콜릿"/>
    <s v="02"/>
    <s v="거래처 접대비(기업업무추진비)/신용카드(개인)"/>
  </r>
  <r>
    <s v="2025-01-04"/>
    <x v="3"/>
    <s v="00001"/>
    <s v="대변"/>
    <s v="101"/>
    <s v="현금"/>
    <x v="1"/>
    <n v="0"/>
    <n v="13000"/>
    <n v="13000"/>
    <s v="하나카드(4088)"/>
    <m/>
    <m/>
  </r>
  <r>
    <s v="2025-01-04"/>
    <x v="3"/>
    <s v="00002"/>
    <s v="차변"/>
    <s v="811"/>
    <s v="복리후생비(판)"/>
    <x v="8"/>
    <n v="3000"/>
    <n v="0"/>
    <n v="-3000"/>
    <s v="김밥랜드"/>
    <m/>
    <m/>
  </r>
  <r>
    <s v="2025-01-04"/>
    <x v="3"/>
    <s v="00002"/>
    <s v="대변"/>
    <s v="101"/>
    <s v="현금"/>
    <x v="1"/>
    <n v="0"/>
    <n v="3000"/>
    <n v="3000"/>
    <s v="농협카드(6215)"/>
    <m/>
    <m/>
  </r>
  <r>
    <s v="2025-01-04"/>
    <x v="3"/>
    <s v="00003"/>
    <s v="차변"/>
    <s v="812"/>
    <s v="여비교통비(판)"/>
    <x v="9"/>
    <n v="6000"/>
    <n v="0"/>
    <n v="-6000"/>
    <s v="구봉만두"/>
    <m/>
    <m/>
  </r>
  <r>
    <s v="2025-01-04"/>
    <x v="3"/>
    <s v="00003"/>
    <s v="대변"/>
    <s v="101"/>
    <s v="현금"/>
    <x v="1"/>
    <n v="0"/>
    <n v="6000"/>
    <n v="6000"/>
    <s v="하나카드(4088)"/>
    <m/>
    <m/>
  </r>
  <r>
    <s v="2025-01-04"/>
    <x v="3"/>
    <s v="00004"/>
    <s v="차변"/>
    <s v="812"/>
    <s v="여비교통비(판)"/>
    <x v="9"/>
    <n v="9000"/>
    <n v="0"/>
    <n v="-9000"/>
    <s v="방풍도가 앤 푸드"/>
    <m/>
    <m/>
  </r>
  <r>
    <s v="2025-01-04"/>
    <x v="3"/>
    <s v="00004"/>
    <s v="대변"/>
    <s v="101"/>
    <s v="현금"/>
    <x v="1"/>
    <n v="0"/>
    <n v="9000"/>
    <n v="9000"/>
    <s v="하나카드(4088)"/>
    <m/>
    <m/>
  </r>
  <r>
    <s v="2025-01-04"/>
    <x v="3"/>
    <s v="00005"/>
    <s v="차변"/>
    <s v="812"/>
    <s v="여비교통비(판)"/>
    <x v="9"/>
    <n v="5000"/>
    <n v="0"/>
    <n v="-5000"/>
    <s v="유한회사 바다김밥"/>
    <m/>
    <m/>
  </r>
  <r>
    <s v="2025-01-04"/>
    <x v="3"/>
    <s v="00005"/>
    <s v="대변"/>
    <s v="101"/>
    <s v="현금"/>
    <x v="1"/>
    <n v="0"/>
    <n v="5000"/>
    <n v="5000"/>
    <s v="하나카드(4088)"/>
    <m/>
    <m/>
  </r>
  <r>
    <s v="2025-01-04"/>
    <x v="3"/>
    <s v="00006"/>
    <s v="차변"/>
    <s v="812"/>
    <s v="여비교통비(판)"/>
    <x v="9"/>
    <n v="7000"/>
    <n v="0"/>
    <n v="-7000"/>
    <s v="여묵"/>
    <m/>
    <m/>
  </r>
  <r>
    <s v="2025-01-04"/>
    <x v="3"/>
    <s v="00006"/>
    <s v="대변"/>
    <s v="101"/>
    <s v="현금"/>
    <x v="1"/>
    <n v="0"/>
    <n v="7000"/>
    <n v="7000"/>
    <s v="하나카드(4088)"/>
    <m/>
    <m/>
  </r>
  <r>
    <s v="2025-01-04"/>
    <x v="3"/>
    <s v="00007"/>
    <s v="대변"/>
    <s v="101"/>
    <s v="현금"/>
    <x v="1"/>
    <n v="0"/>
    <n v="1200"/>
    <n v="1200"/>
    <s v="하나카드(4088)"/>
    <m/>
    <m/>
  </r>
  <r>
    <s v="2025-01-04"/>
    <x v="3"/>
    <s v="00007"/>
    <s v="차변"/>
    <s v="812"/>
    <s v="여비교통비(판)"/>
    <x v="9"/>
    <n v="1200"/>
    <n v="0"/>
    <n v="-1200"/>
    <s v="여수시도시관리공단"/>
    <m/>
    <m/>
  </r>
  <r>
    <s v="2025-01-04"/>
    <x v="3"/>
    <s v="00008"/>
    <s v="차변"/>
    <s v="812"/>
    <s v="여비교통비(판)"/>
    <x v="9"/>
    <n v="3300"/>
    <n v="0"/>
    <n v="-3300"/>
    <s v="지에스25 여수베네치아점"/>
    <m/>
    <m/>
  </r>
  <r>
    <s v="2025-01-04"/>
    <x v="3"/>
    <s v="00008"/>
    <s v="대변"/>
    <s v="101"/>
    <s v="현금"/>
    <x v="1"/>
    <n v="0"/>
    <n v="3300"/>
    <n v="3300"/>
    <s v="현대카드(4817)"/>
    <m/>
    <m/>
  </r>
  <r>
    <s v="2025-01-04"/>
    <x v="3"/>
    <s v="00009"/>
    <s v="대변"/>
    <s v="101"/>
    <s v="현금"/>
    <x v="1"/>
    <n v="0"/>
    <n v="198000"/>
    <n v="198000"/>
    <s v="현대카드(4817)"/>
    <m/>
    <m/>
  </r>
  <r>
    <s v="2025-01-04"/>
    <x v="3"/>
    <s v="00009"/>
    <s v="차변"/>
    <s v="812"/>
    <s v="여비교통비(판)"/>
    <x v="9"/>
    <n v="198000"/>
    <n v="0"/>
    <n v="-198000"/>
    <s v="주식회사 푸른산업"/>
    <m/>
    <m/>
  </r>
  <r>
    <s v="2025-01-04"/>
    <x v="3"/>
    <s v="00010"/>
    <s v="차변"/>
    <s v="812"/>
    <s v="여비교통비(판)"/>
    <x v="9"/>
    <n v="10500"/>
    <n v="0"/>
    <n v="-10500"/>
    <s v="주식회사 서녹씨"/>
    <m/>
    <m/>
  </r>
  <r>
    <s v="2025-01-04"/>
    <x v="3"/>
    <s v="00010"/>
    <s v="대변"/>
    <s v="101"/>
    <s v="현금"/>
    <x v="1"/>
    <n v="0"/>
    <n v="10500"/>
    <n v="10500"/>
    <s v="하나카드(4088)"/>
    <m/>
    <m/>
  </r>
  <r>
    <s v="2025-01-04"/>
    <x v="3"/>
    <s v="50001"/>
    <s v="차변"/>
    <s v="135"/>
    <s v="부가세대급금"/>
    <x v="5"/>
    <n v="1368"/>
    <n v="0"/>
    <n v="-1368"/>
    <s v="㈜LG유플러스"/>
    <m/>
    <s v="2025년 01월 서비스 이용료 매출"/>
  </r>
  <r>
    <s v="2025-01-04"/>
    <x v="3"/>
    <s v="50001"/>
    <s v="차변"/>
    <s v="814"/>
    <s v="통신비(판)"/>
    <x v="10"/>
    <n v="13681"/>
    <n v="0"/>
    <n v="-13681"/>
    <s v="㈜LG유플러스"/>
    <m/>
    <s v="2025년 01월 서비스 이용료 매출"/>
  </r>
  <r>
    <s v="2025-01-04"/>
    <x v="3"/>
    <s v="50001"/>
    <s v="대변"/>
    <s v="101"/>
    <s v="현금"/>
    <x v="1"/>
    <n v="0"/>
    <n v="15049"/>
    <n v="15049"/>
    <s v="㈜LG유플러스"/>
    <m/>
    <s v="2025년 01월 서비스 이용료 매출"/>
  </r>
  <r>
    <s v="2025-01-05"/>
    <x v="4"/>
    <s v="00001"/>
    <s v="차변"/>
    <s v="813"/>
    <s v="접대비(기업업무추진비)(판)"/>
    <x v="0"/>
    <n v="45000"/>
    <n v="0"/>
    <n v="-45000"/>
    <s v="진주댁돌산갓김치"/>
    <s v="02"/>
    <s v="거래처 접대비(기업업무추진비)/신용카드(개인)"/>
  </r>
  <r>
    <s v="2025-01-05"/>
    <x v="4"/>
    <s v="00001"/>
    <s v="대변"/>
    <s v="101"/>
    <s v="현금"/>
    <x v="1"/>
    <n v="0"/>
    <n v="45000"/>
    <n v="45000"/>
    <s v="현대카드(4817)"/>
    <m/>
    <m/>
  </r>
  <r>
    <s v="2025-01-05"/>
    <x v="4"/>
    <s v="00002"/>
    <s v="차변"/>
    <s v="812"/>
    <s v="여비교통비(판)"/>
    <x v="9"/>
    <n v="10000"/>
    <n v="0"/>
    <n v="-10000"/>
    <s v="이순신당 본점"/>
    <m/>
    <m/>
  </r>
  <r>
    <s v="2025-01-05"/>
    <x v="4"/>
    <s v="00002"/>
    <s v="대변"/>
    <s v="101"/>
    <s v="현금"/>
    <x v="1"/>
    <n v="0"/>
    <n v="10000"/>
    <n v="10000"/>
    <s v="현대카드(4817)"/>
    <m/>
    <m/>
  </r>
  <r>
    <s v="2025-01-05"/>
    <x v="4"/>
    <s v="00003"/>
    <s v="차변"/>
    <s v="812"/>
    <s v="여비교통비(판)"/>
    <x v="9"/>
    <n v="4300"/>
    <n v="0"/>
    <n v="-4300"/>
    <s v="지에스(GS)25 무선중앙점"/>
    <m/>
    <m/>
  </r>
  <r>
    <s v="2025-01-05"/>
    <x v="4"/>
    <s v="00003"/>
    <s v="대변"/>
    <s v="101"/>
    <s v="현금"/>
    <x v="1"/>
    <n v="0"/>
    <n v="4300"/>
    <n v="4300"/>
    <s v="현대카드(4817)"/>
    <m/>
    <m/>
  </r>
  <r>
    <s v="2025-01-05"/>
    <x v="4"/>
    <s v="00004"/>
    <s v="차변"/>
    <s v="812"/>
    <s v="여비교통비(판)"/>
    <x v="9"/>
    <n v="20000"/>
    <n v="0"/>
    <n v="-20000"/>
    <s v="중화요리 박가네"/>
    <m/>
    <m/>
  </r>
  <r>
    <s v="2025-01-05"/>
    <x v="4"/>
    <s v="00004"/>
    <s v="대변"/>
    <s v="101"/>
    <s v="현금"/>
    <x v="1"/>
    <n v="0"/>
    <n v="20000"/>
    <n v="20000"/>
    <s v="하나카드(4088)"/>
    <m/>
    <m/>
  </r>
  <r>
    <s v="2025-01-05"/>
    <x v="4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1-05"/>
    <x v="4"/>
    <s v="50001"/>
    <s v="대변"/>
    <s v="401"/>
    <s v="용역매출"/>
    <x v="4"/>
    <n v="0"/>
    <n v="400000"/>
    <n v="400000"/>
    <s v="(주)모아주택산업"/>
    <m/>
    <s v="인사노무자문료 1 X 400,000"/>
  </r>
  <r>
    <s v="2025-01-05"/>
    <x v="4"/>
    <s v="50001"/>
    <s v="차변"/>
    <s v="101"/>
    <s v="현금"/>
    <x v="1"/>
    <n v="440000"/>
    <n v="0"/>
    <n v="-440000"/>
    <s v="(주)모아주택산업"/>
    <m/>
    <s v="인사노무자문료 1 X 400,000"/>
  </r>
  <r>
    <s v="2025-01-05"/>
    <x v="4"/>
    <s v="50002"/>
    <s v="대변"/>
    <s v="101"/>
    <s v="현금"/>
    <x v="1"/>
    <n v="0"/>
    <n v="28900"/>
    <n v="28900"/>
    <s v="현대카드(4817)"/>
    <m/>
    <m/>
  </r>
  <r>
    <s v="2025-01-05"/>
    <x v="4"/>
    <s v="50002"/>
    <s v="차변"/>
    <s v="830"/>
    <s v="소모품비(판)"/>
    <x v="6"/>
    <n v="26272"/>
    <n v="0"/>
    <n v="-26272"/>
    <s v="KCP - ( 주 ) 위메프"/>
    <s v="  "/>
    <m/>
  </r>
  <r>
    <s v="2025-01-05"/>
    <x v="4"/>
    <s v="50002"/>
    <s v="차변"/>
    <s v="135"/>
    <s v="부가세대급금"/>
    <x v="5"/>
    <n v="2628"/>
    <n v="0"/>
    <n v="-2628"/>
    <s v="KCP - ( 주 ) 위메프"/>
    <s v="  "/>
    <m/>
  </r>
  <r>
    <s v="2025-01-06"/>
    <x v="5"/>
    <s v="00001"/>
    <s v="대변"/>
    <s v="101"/>
    <s v="현금"/>
    <x v="1"/>
    <n v="0"/>
    <n v="10660"/>
    <n v="10660"/>
    <s v="국민카드(2005)"/>
    <m/>
    <m/>
  </r>
  <r>
    <s v="2025-01-06"/>
    <x v="5"/>
    <s v="00001"/>
    <s v="차변"/>
    <s v="811"/>
    <s v="복리후생비(판)"/>
    <x v="8"/>
    <n v="10660"/>
    <n v="0"/>
    <n v="-10660"/>
    <s v="장성로컬푸드 첨단직매장"/>
    <m/>
    <m/>
  </r>
  <r>
    <s v="2025-01-06"/>
    <x v="5"/>
    <s v="00002"/>
    <s v="차변"/>
    <s v="830"/>
    <s v="소모품비(판)"/>
    <x v="6"/>
    <n v="15000"/>
    <n v="0"/>
    <n v="-15000"/>
    <s v="KCP - ( 주 ) 위메프"/>
    <m/>
    <m/>
  </r>
  <r>
    <s v="2025-01-06"/>
    <x v="5"/>
    <s v="00002"/>
    <s v="대변"/>
    <s v="101"/>
    <s v="현금"/>
    <x v="1"/>
    <n v="0"/>
    <n v="15000"/>
    <n v="15000"/>
    <s v="현대카드(4817)"/>
    <m/>
    <m/>
  </r>
  <r>
    <s v="2025-01-07"/>
    <x v="6"/>
    <s v="00001"/>
    <s v="차변"/>
    <s v="822"/>
    <s v="차량유지비(판)"/>
    <x v="11"/>
    <n v="50000"/>
    <n v="0"/>
    <n v="-50000"/>
    <s v="（유）금성물류 광주지점"/>
    <m/>
    <m/>
  </r>
  <r>
    <s v="2025-01-07"/>
    <x v="6"/>
    <s v="00001"/>
    <s v="대변"/>
    <s v="101"/>
    <s v="현금"/>
    <x v="1"/>
    <n v="0"/>
    <n v="50000"/>
    <n v="50000"/>
    <s v="현대카드(4817)"/>
    <m/>
    <m/>
  </r>
  <r>
    <s v="2025-01-07"/>
    <x v="6"/>
    <s v="50001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1-07"/>
    <x v="6"/>
    <s v="50001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1-07"/>
    <x v="6"/>
    <s v="50001"/>
    <s v="대변"/>
    <s v="101"/>
    <s v="현금"/>
    <x v="1"/>
    <n v="0"/>
    <n v="21120"/>
    <n v="21120"/>
    <s v="주식회사 케이티"/>
    <m/>
    <s v="구내인터넷 Standard(100M) (503300019511) 1 X 19,200"/>
  </r>
  <r>
    <s v="2025-01-07"/>
    <x v="6"/>
    <s v="50002"/>
    <s v="차변"/>
    <s v="822"/>
    <s v="차량유지비(판)"/>
    <x v="11"/>
    <n v="5500"/>
    <n v="0"/>
    <n v="-5500"/>
    <s v="현대자동차㈜ 본사"/>
    <m/>
    <s v="제네시스 커넥티드서비스"/>
  </r>
  <r>
    <s v="2025-01-07"/>
    <x v="6"/>
    <s v="50002"/>
    <s v="대변"/>
    <s v="101"/>
    <s v="현금"/>
    <x v="1"/>
    <n v="0"/>
    <n v="5500"/>
    <n v="5500"/>
    <s v="현대자동차㈜ 본사"/>
    <m/>
    <s v="제네시스 커넥티드서비스"/>
  </r>
  <r>
    <s v="2025-01-07"/>
    <x v="6"/>
    <s v="50003"/>
    <s v="대변"/>
    <s v="255"/>
    <s v="부가세예수금"/>
    <x v="3"/>
    <n v="0"/>
    <n v="10000"/>
    <n v="10000"/>
    <s v="정원기업"/>
    <m/>
    <s v="인사노무자문료 1 X 100,000"/>
  </r>
  <r>
    <s v="2025-01-07"/>
    <x v="6"/>
    <s v="50003"/>
    <s v="대변"/>
    <s v="401"/>
    <s v="용역매출"/>
    <x v="4"/>
    <n v="0"/>
    <n v="100000"/>
    <n v="100000"/>
    <s v="정원기업"/>
    <m/>
    <s v="인사노무자문료 1 X 100,000"/>
  </r>
  <r>
    <s v="2025-01-07"/>
    <x v="6"/>
    <s v="50003"/>
    <s v="차변"/>
    <s v="101"/>
    <s v="현금"/>
    <x v="1"/>
    <n v="110000"/>
    <n v="0"/>
    <n v="-110000"/>
    <s v="정원기업"/>
    <m/>
    <s v="인사노무자문료 1 X 100,000"/>
  </r>
  <r>
    <s v="2025-01-07"/>
    <x v="6"/>
    <s v="50004"/>
    <s v="대변"/>
    <s v="255"/>
    <s v="부가세예수금"/>
    <x v="3"/>
    <n v="0"/>
    <n v="15000"/>
    <n v="15000"/>
    <s v="광주미래의원"/>
    <m/>
    <s v="인사노무자문료 1 X 150,000"/>
  </r>
  <r>
    <s v="2025-01-07"/>
    <x v="6"/>
    <s v="50004"/>
    <s v="대변"/>
    <s v="401"/>
    <s v="용역매출"/>
    <x v="4"/>
    <n v="0"/>
    <n v="150000"/>
    <n v="150000"/>
    <s v="광주미래의원"/>
    <m/>
    <s v="인사노무자문료 1 X 150,000"/>
  </r>
  <r>
    <s v="2025-01-07"/>
    <x v="6"/>
    <s v="50004"/>
    <s v="차변"/>
    <s v="101"/>
    <s v="현금"/>
    <x v="1"/>
    <n v="165000"/>
    <n v="0"/>
    <n v="-165000"/>
    <s v="광주미래의원"/>
    <m/>
    <s v="인사노무자문료 1 X 150,000"/>
  </r>
  <r>
    <s v="2025-01-08"/>
    <x v="7"/>
    <s v="00001"/>
    <s v="차변"/>
    <s v="812"/>
    <s v="여비교통비(판)"/>
    <x v="9"/>
    <n v="1500"/>
    <n v="0"/>
    <n v="-1500"/>
    <s v="제이(J)메디피아 THE웰빙하우스"/>
    <m/>
    <m/>
  </r>
  <r>
    <s v="2025-01-08"/>
    <x v="7"/>
    <s v="00001"/>
    <s v="대변"/>
    <s v="101"/>
    <s v="현금"/>
    <x v="1"/>
    <n v="0"/>
    <n v="1500"/>
    <n v="1500"/>
    <s v="현대카드(4817)"/>
    <m/>
    <m/>
  </r>
  <r>
    <s v="2025-01-10"/>
    <x v="8"/>
    <s v="00001"/>
    <s v="차변"/>
    <s v="254"/>
    <s v="예수금"/>
    <x v="12"/>
    <n v="68060"/>
    <n v="0"/>
    <n v="-68060"/>
    <s v="건강보험공단"/>
    <s v="  "/>
    <s v="2412건강"/>
  </r>
  <r>
    <s v="2025-01-10"/>
    <x v="8"/>
    <s v="00001"/>
    <s v="대변"/>
    <s v="101"/>
    <s v="현금"/>
    <x v="1"/>
    <n v="0"/>
    <n v="883640"/>
    <n v="883640"/>
    <s v="건강보험공단"/>
    <s v="  "/>
    <s v="2412건강"/>
  </r>
  <r>
    <s v="2025-01-10"/>
    <x v="8"/>
    <s v="00001"/>
    <s v="차변"/>
    <s v="821"/>
    <s v="보험료(판)"/>
    <x v="13"/>
    <n v="815580"/>
    <n v="0"/>
    <n v="-815580"/>
    <s v="건강보험공단"/>
    <s v="  "/>
    <s v="2412건강"/>
  </r>
  <r>
    <s v="2025-01-10"/>
    <x v="8"/>
    <s v="00002"/>
    <s v="차변"/>
    <s v="254"/>
    <s v="예수금"/>
    <x v="12"/>
    <n v="149400"/>
    <n v="0"/>
    <n v="-149400"/>
    <s v="국민연금공단"/>
    <s v="  "/>
    <s v="2412연금"/>
  </r>
  <r>
    <s v="2025-01-10"/>
    <x v="8"/>
    <s v="00002"/>
    <s v="대변"/>
    <s v="101"/>
    <s v="현금"/>
    <x v="1"/>
    <n v="0"/>
    <n v="298800"/>
    <n v="298800"/>
    <s v="국민연금공단"/>
    <s v="  "/>
    <s v="2412연금"/>
  </r>
  <r>
    <s v="2025-01-10"/>
    <x v="8"/>
    <s v="00002"/>
    <s v="차변"/>
    <s v="817"/>
    <s v="세금과공과금(판)"/>
    <x v="14"/>
    <n v="149400"/>
    <n v="0"/>
    <n v="-149400"/>
    <s v="국민연금공단"/>
    <s v="  "/>
    <s v="2412연금"/>
  </r>
  <r>
    <s v="2025-01-10"/>
    <x v="8"/>
    <s v="00003"/>
    <s v="차변"/>
    <s v="254"/>
    <s v="예수금"/>
    <x v="12"/>
    <n v="6300"/>
    <n v="0"/>
    <n v="-6300"/>
    <s v="근로복지공단"/>
    <s v="  "/>
    <s v="2412고용"/>
  </r>
  <r>
    <s v="2025-01-10"/>
    <x v="8"/>
    <s v="00003"/>
    <s v="대변"/>
    <s v="101"/>
    <s v="현금"/>
    <x v="1"/>
    <n v="0"/>
    <n v="14350"/>
    <n v="14350"/>
    <s v="근로복지공단"/>
    <s v="  "/>
    <s v="2412고용"/>
  </r>
  <r>
    <s v="2025-01-10"/>
    <x v="8"/>
    <s v="00003"/>
    <s v="차변"/>
    <s v="821"/>
    <s v="보험료(판)"/>
    <x v="13"/>
    <n v="8050"/>
    <n v="0"/>
    <n v="-8050"/>
    <s v="근로복지공단"/>
    <s v="  "/>
    <s v="2412고용"/>
  </r>
  <r>
    <s v="2025-01-10"/>
    <x v="8"/>
    <s v="00004"/>
    <s v="차변"/>
    <s v="830"/>
    <s v="소모품비(판)"/>
    <x v="6"/>
    <n v="6059"/>
    <n v="0"/>
    <n v="-6059"/>
    <s v="네이버페이"/>
    <m/>
    <m/>
  </r>
  <r>
    <s v="2025-01-10"/>
    <x v="8"/>
    <s v="00004"/>
    <s v="대변"/>
    <s v="101"/>
    <s v="현금"/>
    <x v="1"/>
    <n v="0"/>
    <n v="6059"/>
    <n v="6059"/>
    <s v="현대카드(4817)"/>
    <m/>
    <m/>
  </r>
  <r>
    <s v="2025-01-10"/>
    <x v="8"/>
    <s v="00005"/>
    <s v="차변"/>
    <s v="814"/>
    <s v="통신비(판)"/>
    <x v="10"/>
    <n v="5500"/>
    <n v="0"/>
    <n v="-5500"/>
    <s v="주식회사 케이티"/>
    <m/>
    <m/>
  </r>
  <r>
    <s v="2025-01-10"/>
    <x v="8"/>
    <s v="00005"/>
    <s v="대변"/>
    <s v="101"/>
    <s v="현금"/>
    <x v="1"/>
    <n v="0"/>
    <n v="5500"/>
    <n v="5500"/>
    <s v="하나카드(4088)"/>
    <m/>
    <m/>
  </r>
  <r>
    <s v="2025-01-10"/>
    <x v="8"/>
    <s v="00006"/>
    <s v="차변"/>
    <s v="811"/>
    <s v="복리후생비(판)"/>
    <x v="8"/>
    <n v="22701"/>
    <n v="0"/>
    <n v="-22701"/>
    <s v="걸작떡볶이 첨단점"/>
    <m/>
    <m/>
  </r>
  <r>
    <s v="2025-01-10"/>
    <x v="8"/>
    <s v="00006"/>
    <s v="대변"/>
    <s v="101"/>
    <s v="현금"/>
    <x v="1"/>
    <n v="0"/>
    <n v="22701"/>
    <n v="22701"/>
    <s v="걸작떡볶이 첨단점"/>
    <m/>
    <m/>
  </r>
  <r>
    <s v="2025-01-10"/>
    <x v="8"/>
    <s v="00007"/>
    <s v="대변"/>
    <s v="101"/>
    <s v="현금"/>
    <x v="1"/>
    <n v="0"/>
    <n v="17956"/>
    <n v="17956"/>
    <s v="주식회사 씨에스플레이"/>
    <m/>
    <m/>
  </r>
  <r>
    <s v="2025-01-10"/>
    <x v="8"/>
    <s v="00007"/>
    <s v="차변"/>
    <s v="830"/>
    <s v="소모품비(판)"/>
    <x v="6"/>
    <n v="17956"/>
    <n v="0"/>
    <n v="-17956"/>
    <s v="주식회사 씨에스플레이"/>
    <m/>
    <m/>
  </r>
  <r>
    <s v="2025-01-10"/>
    <x v="8"/>
    <s v="00008"/>
    <s v="대변"/>
    <s v="101"/>
    <s v="현금"/>
    <x v="1"/>
    <n v="0"/>
    <n v="2211"/>
    <n v="2211"/>
    <s v="주식회사 씨에스플레이"/>
    <m/>
    <m/>
  </r>
  <r>
    <s v="2025-01-10"/>
    <x v="8"/>
    <s v="00008"/>
    <s v="차변"/>
    <s v="830"/>
    <s v="소모품비(판)"/>
    <x v="6"/>
    <n v="2211"/>
    <n v="0"/>
    <n v="-2211"/>
    <s v="주식회사 씨에스플레이"/>
    <m/>
    <m/>
  </r>
  <r>
    <s v="2025-01-10"/>
    <x v="8"/>
    <s v="00009"/>
    <s v="차변"/>
    <s v="831"/>
    <s v="지급수수료(판)"/>
    <x v="7"/>
    <n v="3841"/>
    <n v="0"/>
    <n v="-3841"/>
    <s v="주식회사 예스폼"/>
    <m/>
    <m/>
  </r>
  <r>
    <s v="2025-01-10"/>
    <x v="8"/>
    <s v="00009"/>
    <s v="대변"/>
    <s v="101"/>
    <s v="현금"/>
    <x v="1"/>
    <n v="0"/>
    <n v="3841"/>
    <n v="3841"/>
    <s v="주식회사 예스폼"/>
    <m/>
    <m/>
  </r>
  <r>
    <s v="2025-01-10"/>
    <x v="8"/>
    <s v="50001"/>
    <s v="대변"/>
    <s v="255"/>
    <s v="부가세예수금"/>
    <x v="3"/>
    <n v="0"/>
    <n v="10000"/>
    <n v="10000"/>
    <s v="(유)팔복산업"/>
    <m/>
    <s v="인사노무자문료 1 X 100,000"/>
  </r>
  <r>
    <s v="2025-01-10"/>
    <x v="8"/>
    <s v="50001"/>
    <s v="대변"/>
    <s v="401"/>
    <s v="용역매출"/>
    <x v="4"/>
    <n v="0"/>
    <n v="100000"/>
    <n v="100000"/>
    <s v="(유)팔복산업"/>
    <m/>
    <s v="인사노무자문료 1 X 100,000"/>
  </r>
  <r>
    <s v="2025-01-10"/>
    <x v="8"/>
    <s v="50001"/>
    <s v="차변"/>
    <s v="101"/>
    <s v="현금"/>
    <x v="1"/>
    <n v="110000"/>
    <n v="0"/>
    <n v="-110000"/>
    <s v="(유)팔복산업"/>
    <m/>
    <s v="인사노무자문료 1 X 100,000"/>
  </r>
  <r>
    <s v="2025-01-10"/>
    <x v="8"/>
    <s v="50002"/>
    <s v="대변"/>
    <s v="255"/>
    <s v="부가세예수금"/>
    <x v="3"/>
    <n v="0"/>
    <n v="10000"/>
    <n v="10000"/>
    <s v="현명산업주식회사"/>
    <m/>
    <s v="인사노무자문료 1 X 100,000"/>
  </r>
  <r>
    <s v="2025-01-10"/>
    <x v="8"/>
    <s v="50002"/>
    <s v="대변"/>
    <s v="401"/>
    <s v="용역매출"/>
    <x v="4"/>
    <n v="0"/>
    <n v="100000"/>
    <n v="100000"/>
    <s v="현명산업주식회사"/>
    <m/>
    <s v="인사노무자문료 1 X 100,000"/>
  </r>
  <r>
    <s v="2025-01-10"/>
    <x v="8"/>
    <s v="50002"/>
    <s v="차변"/>
    <s v="101"/>
    <s v="현금"/>
    <x v="1"/>
    <n v="110000"/>
    <n v="0"/>
    <n v="-110000"/>
    <s v="현명산업주식회사"/>
    <m/>
    <s v="인사노무자문료 1 X 100,000"/>
  </r>
  <r>
    <s v="2025-01-12"/>
    <x v="9"/>
    <s v="00001"/>
    <s v="차변"/>
    <s v="831"/>
    <s v="지급수수료(판)"/>
    <x v="7"/>
    <n v="1990"/>
    <n v="0"/>
    <n v="-1990"/>
    <s v="토스페이먼츠 주식회사"/>
    <m/>
    <m/>
  </r>
  <r>
    <s v="2025-01-12"/>
    <x v="9"/>
    <s v="00001"/>
    <s v="대변"/>
    <s v="101"/>
    <s v="현금"/>
    <x v="1"/>
    <n v="0"/>
    <n v="1990"/>
    <n v="1990"/>
    <s v="하나카드(4088)"/>
    <m/>
    <m/>
  </r>
  <r>
    <s v="2025-01-12"/>
    <x v="9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1-12"/>
    <x v="9"/>
    <s v="50001"/>
    <s v="대변"/>
    <s v="401"/>
    <s v="용역매출"/>
    <x v="4"/>
    <n v="0"/>
    <n v="150000"/>
    <n v="150000"/>
    <s v="정다운메디컬센터"/>
    <m/>
    <s v="인사노무자문료 1 X 150,000"/>
  </r>
  <r>
    <s v="2025-01-12"/>
    <x v="9"/>
    <s v="50001"/>
    <s v="차변"/>
    <s v="101"/>
    <s v="현금"/>
    <x v="1"/>
    <n v="165000"/>
    <n v="0"/>
    <n v="-165000"/>
    <s v="정다운메디컬센터"/>
    <m/>
    <s v="인사노무자문료 1 X 150,000"/>
  </r>
  <r>
    <s v="2025-01-13"/>
    <x v="10"/>
    <s v="00001"/>
    <s v="출금"/>
    <s v="817"/>
    <s v="세금과공과금(판)"/>
    <x v="14"/>
    <n v="26500"/>
    <n v="0"/>
    <n v="-26500"/>
    <s v="광산구청"/>
    <s v="  "/>
    <s v="등록면허세"/>
  </r>
  <r>
    <s v="2025-01-13"/>
    <x v="10"/>
    <s v="00001"/>
    <s v="출금"/>
    <s v="101"/>
    <s v="현금"/>
    <x v="1"/>
    <n v="0"/>
    <n v="26500"/>
    <n v="26500"/>
    <s v="광산구청"/>
    <s v="  "/>
    <s v="등록면허세"/>
  </r>
  <r>
    <s v="2025-01-13"/>
    <x v="10"/>
    <s v="50001"/>
    <s v="대변"/>
    <s v="255"/>
    <s v="부가세예수금"/>
    <x v="3"/>
    <n v="0"/>
    <n v="12000"/>
    <n v="12000"/>
    <s v="(유)광주가구산업"/>
    <m/>
    <s v="인사노무자문료 1 X 120,000"/>
  </r>
  <r>
    <s v="2025-01-13"/>
    <x v="10"/>
    <s v="50001"/>
    <s v="대변"/>
    <s v="401"/>
    <s v="용역매출"/>
    <x v="4"/>
    <n v="0"/>
    <n v="120000"/>
    <n v="120000"/>
    <s v="(유)광주가구산업"/>
    <m/>
    <s v="인사노무자문료 1 X 120,000"/>
  </r>
  <r>
    <s v="2025-01-13"/>
    <x v="10"/>
    <s v="50001"/>
    <s v="차변"/>
    <s v="101"/>
    <s v="현금"/>
    <x v="1"/>
    <n v="132000"/>
    <n v="0"/>
    <n v="-132000"/>
    <s v="(유)광주가구산업"/>
    <m/>
    <s v="인사노무자문료 1 X 120,000"/>
  </r>
  <r>
    <s v="2025-01-13"/>
    <x v="10"/>
    <s v="50002"/>
    <s v="대변"/>
    <s v="255"/>
    <s v="부가세예수금"/>
    <x v="3"/>
    <n v="0"/>
    <n v="10000"/>
    <n v="10000"/>
    <s v="(주)에이스미트"/>
    <m/>
    <s v="인사노무자문료 1 X 100,000"/>
  </r>
  <r>
    <s v="2025-01-13"/>
    <x v="10"/>
    <s v="50002"/>
    <s v="대변"/>
    <s v="401"/>
    <s v="용역매출"/>
    <x v="4"/>
    <n v="0"/>
    <n v="100000"/>
    <n v="100000"/>
    <s v="(주)에이스미트"/>
    <m/>
    <s v="인사노무자문료 1 X 100,000"/>
  </r>
  <r>
    <s v="2025-01-13"/>
    <x v="10"/>
    <s v="50002"/>
    <s v="차변"/>
    <s v="101"/>
    <s v="현금"/>
    <x v="1"/>
    <n v="110000"/>
    <n v="0"/>
    <n v="-110000"/>
    <s v="(주)에이스미트"/>
    <m/>
    <s v="인사노무자문료 1 X 100,000"/>
  </r>
  <r>
    <s v="2025-01-13"/>
    <x v="10"/>
    <s v="50003"/>
    <s v="대변"/>
    <s v="255"/>
    <s v="부가세예수금"/>
    <x v="3"/>
    <n v="0"/>
    <n v="20000"/>
    <n v="20000"/>
    <s v="미곡종합포장(주)"/>
    <m/>
    <s v="인사노무자문료 1 X 200,000"/>
  </r>
  <r>
    <s v="2025-01-13"/>
    <x v="10"/>
    <s v="50003"/>
    <s v="대변"/>
    <s v="401"/>
    <s v="용역매출"/>
    <x v="4"/>
    <n v="0"/>
    <n v="200000"/>
    <n v="200000"/>
    <s v="미곡종합포장(주)"/>
    <m/>
    <s v="인사노무자문료 1 X 200,000"/>
  </r>
  <r>
    <s v="2025-01-13"/>
    <x v="10"/>
    <s v="50003"/>
    <s v="차변"/>
    <s v="101"/>
    <s v="현금"/>
    <x v="1"/>
    <n v="220000"/>
    <n v="0"/>
    <n v="-220000"/>
    <s v="미곡종합포장(주)"/>
    <m/>
    <s v="인사노무자문료 1 X 200,000"/>
  </r>
  <r>
    <s v="2025-01-13"/>
    <x v="10"/>
    <s v="50004"/>
    <s v="대변"/>
    <s v="255"/>
    <s v="부가세예수금"/>
    <x v="3"/>
    <n v="0"/>
    <n v="15000"/>
    <n v="15000"/>
    <s v="방방곡곡플라워"/>
    <m/>
    <s v="인사노무자문료 1 X 150,000"/>
  </r>
  <r>
    <s v="2025-01-13"/>
    <x v="10"/>
    <s v="50004"/>
    <s v="대변"/>
    <s v="401"/>
    <s v="용역매출"/>
    <x v="4"/>
    <n v="0"/>
    <n v="150000"/>
    <n v="150000"/>
    <s v="방방곡곡플라워"/>
    <m/>
    <s v="인사노무자문료 1 X 150,000"/>
  </r>
  <r>
    <s v="2025-01-13"/>
    <x v="10"/>
    <s v="50004"/>
    <s v="차변"/>
    <s v="101"/>
    <s v="현금"/>
    <x v="1"/>
    <n v="165000"/>
    <n v="0"/>
    <n v="-165000"/>
    <s v="방방곡곡플라워"/>
    <m/>
    <s v="인사노무자문료 1 X 150,000"/>
  </r>
  <r>
    <s v="2025-01-13"/>
    <x v="10"/>
    <s v="50005"/>
    <s v="대변"/>
    <s v="255"/>
    <s v="부가세예수금"/>
    <x v="3"/>
    <n v="0"/>
    <n v="10000"/>
    <n v="10000"/>
    <s v="주식회사 한솔무역"/>
    <m/>
    <s v="인사노무자문료 1 X 100,000"/>
  </r>
  <r>
    <s v="2025-01-13"/>
    <x v="10"/>
    <s v="50005"/>
    <s v="대변"/>
    <s v="401"/>
    <s v="용역매출"/>
    <x v="4"/>
    <n v="0"/>
    <n v="100000"/>
    <n v="100000"/>
    <s v="주식회사 한솔무역"/>
    <m/>
    <s v="인사노무자문료 1 X 100,000"/>
  </r>
  <r>
    <s v="2025-01-13"/>
    <x v="10"/>
    <s v="50005"/>
    <s v="차변"/>
    <s v="101"/>
    <s v="현금"/>
    <x v="1"/>
    <n v="110000"/>
    <n v="0"/>
    <n v="-110000"/>
    <s v="주식회사 한솔무역"/>
    <m/>
    <s v="인사노무자문료 1 X 100,000"/>
  </r>
  <r>
    <s v="2025-01-13"/>
    <x v="10"/>
    <s v="50006"/>
    <s v="대변"/>
    <s v="255"/>
    <s v="부가세예수금"/>
    <x v="3"/>
    <n v="0"/>
    <n v="10000"/>
    <n v="10000"/>
    <s v="주식회사 세연이앤에스"/>
    <m/>
    <s v="인사노무자문료 1 X 100,000"/>
  </r>
  <r>
    <s v="2025-01-13"/>
    <x v="10"/>
    <s v="50006"/>
    <s v="대변"/>
    <s v="401"/>
    <s v="용역매출"/>
    <x v="4"/>
    <n v="0"/>
    <n v="100000"/>
    <n v="100000"/>
    <s v="주식회사 세연이앤에스"/>
    <m/>
    <s v="인사노무자문료 1 X 100,000"/>
  </r>
  <r>
    <s v="2025-01-13"/>
    <x v="10"/>
    <s v="50006"/>
    <s v="차변"/>
    <s v="101"/>
    <s v="현금"/>
    <x v="1"/>
    <n v="110000"/>
    <n v="0"/>
    <n v="-110000"/>
    <s v="주식회사 세연이앤에스"/>
    <m/>
    <s v="인사노무자문료 1 X 100,000"/>
  </r>
  <r>
    <s v="2025-01-13"/>
    <x v="10"/>
    <s v="50007"/>
    <s v="대변"/>
    <s v="255"/>
    <s v="부가세예수금"/>
    <x v="3"/>
    <n v="0"/>
    <n v="7000"/>
    <n v="7000"/>
    <s v="동지애드"/>
    <m/>
    <s v="인사노무자문료 1 X 70,000"/>
  </r>
  <r>
    <s v="2025-01-13"/>
    <x v="10"/>
    <s v="50007"/>
    <s v="대변"/>
    <s v="401"/>
    <s v="용역매출"/>
    <x v="4"/>
    <n v="0"/>
    <n v="70000"/>
    <n v="70000"/>
    <s v="동지애드"/>
    <m/>
    <s v="인사노무자문료 1 X 70,000"/>
  </r>
  <r>
    <s v="2025-01-13"/>
    <x v="10"/>
    <s v="50007"/>
    <s v="차변"/>
    <s v="101"/>
    <s v="현금"/>
    <x v="1"/>
    <n v="77000"/>
    <n v="0"/>
    <n v="-77000"/>
    <s v="동지애드"/>
    <m/>
    <s v="인사노무자문료 1 X 70,000"/>
  </r>
  <r>
    <s v="2025-01-14"/>
    <x v="11"/>
    <s v="00001"/>
    <s v="차변"/>
    <s v="812"/>
    <s v="여비교통비(판)"/>
    <x v="9"/>
    <n v="1800"/>
    <n v="0"/>
    <n v="-1800"/>
    <s v="한국정보통신 - 윌슨파킹"/>
    <m/>
    <m/>
  </r>
  <r>
    <s v="2025-01-14"/>
    <x v="11"/>
    <s v="00001"/>
    <s v="대변"/>
    <s v="101"/>
    <s v="현금"/>
    <x v="1"/>
    <n v="0"/>
    <n v="1800"/>
    <n v="1800"/>
    <s v="하나카드(4088)"/>
    <m/>
    <m/>
  </r>
  <r>
    <s v="2025-01-14"/>
    <x v="11"/>
    <s v="00002"/>
    <s v="차변"/>
    <s v="812"/>
    <s v="여비교통비(판)"/>
    <x v="9"/>
    <n v="3800"/>
    <n v="0"/>
    <n v="-3800"/>
    <s v="주식회사 심심당"/>
    <m/>
    <m/>
  </r>
  <r>
    <s v="2025-01-14"/>
    <x v="11"/>
    <s v="00002"/>
    <s v="대변"/>
    <s v="101"/>
    <s v="현금"/>
    <x v="1"/>
    <n v="0"/>
    <n v="3800"/>
    <n v="3800"/>
    <s v="국민카드(2005)"/>
    <m/>
    <m/>
  </r>
  <r>
    <s v="2025-01-14"/>
    <x v="11"/>
    <s v="00003"/>
    <s v="대변"/>
    <s v="101"/>
    <s v="현금"/>
    <x v="1"/>
    <n v="0"/>
    <n v="3980"/>
    <n v="3980"/>
    <s v="하나카드(4088)"/>
    <m/>
    <m/>
  </r>
  <r>
    <s v="2025-01-14"/>
    <x v="11"/>
    <s v="00003"/>
    <s v="차변"/>
    <s v="824"/>
    <s v="운반비(판)"/>
    <x v="15"/>
    <n v="3980"/>
    <n v="0"/>
    <n v="-3980"/>
    <s v="우정사업본부광주"/>
    <m/>
    <m/>
  </r>
  <r>
    <s v="2025-01-15"/>
    <x v="12"/>
    <s v="00001"/>
    <s v="대변"/>
    <s v="101"/>
    <s v="현금"/>
    <x v="1"/>
    <n v="0"/>
    <n v="9840"/>
    <n v="9840"/>
    <s v="국민카드(2005)"/>
    <m/>
    <m/>
  </r>
  <r>
    <s v="2025-01-15"/>
    <x v="12"/>
    <s v="00001"/>
    <s v="차변"/>
    <s v="824"/>
    <s v="운반비(판)"/>
    <x v="15"/>
    <n v="9840"/>
    <n v="0"/>
    <n v="-9840"/>
    <s v="우정사업본부광주"/>
    <m/>
    <m/>
  </r>
  <r>
    <s v="2025-01-15"/>
    <x v="12"/>
    <s v="50001"/>
    <s v="대변"/>
    <s v="255"/>
    <s v="부가세예수금"/>
    <x v="3"/>
    <n v="0"/>
    <n v="10000"/>
    <n v="10000"/>
    <s v="(주)커피볶는집"/>
    <m/>
    <s v="인사노무자문료 1 X 100,000"/>
  </r>
  <r>
    <s v="2025-01-15"/>
    <x v="12"/>
    <s v="50001"/>
    <s v="대변"/>
    <s v="401"/>
    <s v="용역매출"/>
    <x v="4"/>
    <n v="0"/>
    <n v="100000"/>
    <n v="100000"/>
    <s v="(주)커피볶는집"/>
    <m/>
    <s v="인사노무자문료 1 X 100,000"/>
  </r>
  <r>
    <s v="2025-01-15"/>
    <x v="12"/>
    <s v="50001"/>
    <s v="차변"/>
    <s v="101"/>
    <s v="현금"/>
    <x v="1"/>
    <n v="110000"/>
    <n v="0"/>
    <n v="-110000"/>
    <s v="(주)커피볶는집"/>
    <m/>
    <s v="인사노무자문료 1 X 100,000"/>
  </r>
  <r>
    <s v="2025-01-15"/>
    <x v="12"/>
    <s v="50002"/>
    <s v="대변"/>
    <s v="255"/>
    <s v="부가세예수금"/>
    <x v="3"/>
    <n v="0"/>
    <n v="13636"/>
    <n v="13636"/>
    <s v="주식회사 청경"/>
    <m/>
    <s v="인사노무자문료 1 X 136,364"/>
  </r>
  <r>
    <s v="2025-01-15"/>
    <x v="12"/>
    <s v="50002"/>
    <s v="대변"/>
    <s v="401"/>
    <s v="용역매출"/>
    <x v="4"/>
    <n v="0"/>
    <n v="136364"/>
    <n v="136364"/>
    <s v="주식회사 청경"/>
    <m/>
    <s v="인사노무자문료 1 X 136,364"/>
  </r>
  <r>
    <s v="2025-01-15"/>
    <x v="12"/>
    <s v="50002"/>
    <s v="차변"/>
    <s v="101"/>
    <s v="현금"/>
    <x v="1"/>
    <n v="150000"/>
    <n v="0"/>
    <n v="-150000"/>
    <s v="주식회사 청경"/>
    <m/>
    <s v="인사노무자문료 1 X 136,364"/>
  </r>
  <r>
    <s v="2025-01-16"/>
    <x v="13"/>
    <s v="00001"/>
    <s v="차변"/>
    <s v="811"/>
    <s v="복리후생비(판)"/>
    <x v="8"/>
    <n v="3000"/>
    <n v="0"/>
    <n v="-3000"/>
    <s v="김밥랜드"/>
    <m/>
    <m/>
  </r>
  <r>
    <s v="2025-01-16"/>
    <x v="13"/>
    <s v="00001"/>
    <s v="대변"/>
    <s v="101"/>
    <s v="현금"/>
    <x v="1"/>
    <n v="0"/>
    <n v="3000"/>
    <n v="3000"/>
    <s v="하나카드(4088)"/>
    <m/>
    <m/>
  </r>
  <r>
    <s v="2025-01-16"/>
    <x v="13"/>
    <s v="00002"/>
    <s v="대변"/>
    <s v="101"/>
    <s v="현금"/>
    <x v="1"/>
    <n v="0"/>
    <n v="2000"/>
    <n v="2000"/>
    <s v="하나카드(4088)"/>
    <m/>
    <m/>
  </r>
  <r>
    <s v="2025-01-16"/>
    <x v="13"/>
    <s v="00002"/>
    <s v="차변"/>
    <s v="830"/>
    <s v="소모품비(판)"/>
    <x v="6"/>
    <n v="2000"/>
    <n v="0"/>
    <n v="-2000"/>
    <s v="엑센스"/>
    <m/>
    <m/>
  </r>
  <r>
    <s v="2025-01-16"/>
    <x v="13"/>
    <s v="00003"/>
    <s v="대변"/>
    <s v="101"/>
    <s v="현금"/>
    <x v="1"/>
    <n v="0"/>
    <n v="1000"/>
    <n v="1000"/>
    <s v="하나카드(4088)"/>
    <m/>
    <m/>
  </r>
  <r>
    <s v="2025-01-16"/>
    <x v="13"/>
    <s v="00003"/>
    <s v="차변"/>
    <s v="812"/>
    <s v="여비교통비(판)"/>
    <x v="9"/>
    <n v="1000"/>
    <n v="0"/>
    <n v="-1000"/>
    <s v="(주)대성전자유통"/>
    <m/>
    <m/>
  </r>
  <r>
    <s v="2025-01-16"/>
    <x v="13"/>
    <s v="00004"/>
    <s v="차변"/>
    <s v="822"/>
    <s v="차량유지비(판)"/>
    <x v="11"/>
    <n v="50000"/>
    <n v="0"/>
    <n v="-50000"/>
    <s v="대보디앤에스(주)함평나비(광주)주유소"/>
    <m/>
    <m/>
  </r>
  <r>
    <s v="2025-01-16"/>
    <x v="13"/>
    <s v="00004"/>
    <s v="대변"/>
    <s v="101"/>
    <s v="현금"/>
    <x v="1"/>
    <n v="0"/>
    <n v="50000"/>
    <n v="50000"/>
    <s v="국민카드(2005)"/>
    <m/>
    <m/>
  </r>
  <r>
    <s v="2025-01-16"/>
    <x v="13"/>
    <s v="00005"/>
    <s v="차변"/>
    <s v="811"/>
    <s v="복리후생비(판)"/>
    <x v="8"/>
    <n v="34960"/>
    <n v="0"/>
    <n v="-34960"/>
    <s v="정광석항아리보쌈첨단점"/>
    <m/>
    <m/>
  </r>
  <r>
    <s v="2025-01-16"/>
    <x v="13"/>
    <s v="00005"/>
    <s v="대변"/>
    <s v="101"/>
    <s v="현금"/>
    <x v="1"/>
    <n v="0"/>
    <n v="34960"/>
    <n v="34960"/>
    <s v="정광석항아리보쌈첨단점"/>
    <m/>
    <m/>
  </r>
  <r>
    <s v="2025-01-16"/>
    <x v="13"/>
    <s v="50001"/>
    <s v="대변"/>
    <s v="255"/>
    <s v="부가세예수금"/>
    <x v="3"/>
    <n v="0"/>
    <n v="10000"/>
    <n v="10000"/>
    <s v="리.베이커리"/>
    <m/>
    <s v="인사노무자문료 1 X 100,000"/>
  </r>
  <r>
    <s v="2025-01-16"/>
    <x v="13"/>
    <s v="50001"/>
    <s v="대변"/>
    <s v="401"/>
    <s v="용역매출"/>
    <x v="4"/>
    <n v="0"/>
    <n v="100000"/>
    <n v="100000"/>
    <s v="리.베이커리"/>
    <m/>
    <s v="인사노무자문료 1 X 100,000"/>
  </r>
  <r>
    <s v="2025-01-16"/>
    <x v="13"/>
    <s v="50001"/>
    <s v="차변"/>
    <s v="101"/>
    <s v="현금"/>
    <x v="1"/>
    <n v="110000"/>
    <n v="0"/>
    <n v="-110000"/>
    <s v="리.베이커리"/>
    <m/>
    <s v="인사노무자문료 1 X 100,000"/>
  </r>
  <r>
    <s v="2025-01-16"/>
    <x v="13"/>
    <s v="50002"/>
    <s v="대변"/>
    <s v="255"/>
    <s v="부가세예수금"/>
    <x v="3"/>
    <n v="0"/>
    <n v="6000"/>
    <n v="6000"/>
    <s v="이마트24광주농성점"/>
    <m/>
    <s v="인사노무자문료 1 X 60,000"/>
  </r>
  <r>
    <s v="2025-01-16"/>
    <x v="13"/>
    <s v="50002"/>
    <s v="대변"/>
    <s v="401"/>
    <s v="용역매출"/>
    <x v="4"/>
    <n v="0"/>
    <n v="60000"/>
    <n v="60000"/>
    <s v="이마트24광주농성점"/>
    <m/>
    <s v="인사노무자문료 1 X 60,000"/>
  </r>
  <r>
    <s v="2025-01-16"/>
    <x v="13"/>
    <s v="50002"/>
    <s v="차변"/>
    <s v="101"/>
    <s v="현금"/>
    <x v="1"/>
    <n v="66000"/>
    <n v="0"/>
    <n v="-66000"/>
    <s v="이마트24광주농성점"/>
    <m/>
    <s v="인사노무자문료 1 X 60,000"/>
  </r>
  <r>
    <s v="2025-01-17"/>
    <x v="14"/>
    <s v="00001"/>
    <s v="차변"/>
    <s v="812"/>
    <s v="여비교통비(판)"/>
    <x v="9"/>
    <n v="9000"/>
    <n v="0"/>
    <n v="-9000"/>
    <s v="이모네"/>
    <m/>
    <m/>
  </r>
  <r>
    <s v="2025-01-17"/>
    <x v="14"/>
    <s v="00001"/>
    <s v="대변"/>
    <s v="101"/>
    <s v="현금"/>
    <x v="1"/>
    <n v="0"/>
    <n v="9000"/>
    <n v="9000"/>
    <s v="하나카드(4088)"/>
    <m/>
    <m/>
  </r>
  <r>
    <s v="2025-01-18"/>
    <x v="15"/>
    <s v="00001"/>
    <s v="차변"/>
    <s v="830"/>
    <s v="소모품비(판)"/>
    <x v="6"/>
    <n v="3500"/>
    <n v="0"/>
    <n v="-3500"/>
    <s v="지에스(GS)25 첨단성원점"/>
    <m/>
    <m/>
  </r>
  <r>
    <s v="2025-01-18"/>
    <x v="15"/>
    <s v="00001"/>
    <s v="대변"/>
    <s v="101"/>
    <s v="현금"/>
    <x v="1"/>
    <n v="0"/>
    <n v="3500"/>
    <n v="3500"/>
    <s v="국민카드(2005)"/>
    <m/>
    <m/>
  </r>
  <r>
    <s v="2025-01-18"/>
    <x v="15"/>
    <s v="00002"/>
    <s v="차변"/>
    <s v="830"/>
    <s v="소모품비(판)"/>
    <x v="6"/>
    <n v="7500"/>
    <n v="0"/>
    <n v="-7500"/>
    <s v="햇살마트"/>
    <m/>
    <m/>
  </r>
  <r>
    <s v="2025-01-18"/>
    <x v="15"/>
    <s v="00002"/>
    <s v="대변"/>
    <s v="101"/>
    <s v="현금"/>
    <x v="1"/>
    <n v="0"/>
    <n v="7500"/>
    <n v="7500"/>
    <s v="국민카드(2005)"/>
    <m/>
    <m/>
  </r>
  <r>
    <s v="2025-01-20"/>
    <x v="16"/>
    <s v="00001"/>
    <s v="차변"/>
    <s v="830"/>
    <s v="소모품비(판)"/>
    <x v="6"/>
    <n v="16900"/>
    <n v="0"/>
    <n v="-16900"/>
    <s v="우리동네마트(무한유통)"/>
    <m/>
    <m/>
  </r>
  <r>
    <s v="2025-01-20"/>
    <x v="16"/>
    <s v="00001"/>
    <s v="대변"/>
    <s v="101"/>
    <s v="현금"/>
    <x v="1"/>
    <n v="0"/>
    <n v="16900"/>
    <n v="16900"/>
    <s v="국민카드(2005)"/>
    <m/>
    <m/>
  </r>
  <r>
    <s v="2025-01-20"/>
    <x v="16"/>
    <s v="00002"/>
    <s v="대변"/>
    <s v="101"/>
    <s v="현금"/>
    <x v="1"/>
    <n v="0"/>
    <n v="4000"/>
    <n v="4000"/>
    <s v="국민카드(2005)"/>
    <m/>
    <m/>
  </r>
  <r>
    <s v="2025-01-20"/>
    <x v="16"/>
    <s v="00002"/>
    <s v="차변"/>
    <s v="830"/>
    <s v="소모품비(판)"/>
    <x v="6"/>
    <n v="4000"/>
    <n v="0"/>
    <n v="-4000"/>
    <s v="엑센스"/>
    <m/>
    <m/>
  </r>
  <r>
    <s v="2025-01-20"/>
    <x v="16"/>
    <s v="00003"/>
    <s v="차변"/>
    <s v="812"/>
    <s v="여비교통비(판)"/>
    <x v="9"/>
    <n v="1400"/>
    <n v="0"/>
    <n v="-1400"/>
    <s v="세븐일레븐 광주하남용아점"/>
    <m/>
    <m/>
  </r>
  <r>
    <s v="2025-01-20"/>
    <x v="16"/>
    <s v="00003"/>
    <s v="대변"/>
    <s v="101"/>
    <s v="현금"/>
    <x v="1"/>
    <n v="0"/>
    <n v="1400"/>
    <n v="1400"/>
    <s v="하나카드(4088)"/>
    <m/>
    <m/>
  </r>
  <r>
    <s v="2025-01-20"/>
    <x v="16"/>
    <s v="00004"/>
    <s v="차변"/>
    <s v="812"/>
    <s v="여비교통비(판)"/>
    <x v="9"/>
    <n v="6000"/>
    <n v="0"/>
    <n v="-6000"/>
    <s v="환승주차장"/>
    <m/>
    <m/>
  </r>
  <r>
    <s v="2025-01-20"/>
    <x v="16"/>
    <s v="00004"/>
    <s v="대변"/>
    <s v="101"/>
    <s v="현금"/>
    <x v="1"/>
    <n v="0"/>
    <n v="6000"/>
    <n v="6000"/>
    <s v="하나카드(4088)"/>
    <m/>
    <m/>
  </r>
  <r>
    <s v="2025-01-20"/>
    <x v="16"/>
    <s v="00005"/>
    <s v="차변"/>
    <s v="812"/>
    <s v="여비교통비(판)"/>
    <x v="9"/>
    <n v="2000"/>
    <n v="0"/>
    <n v="-2000"/>
    <s v="텐퍼센트커피 광주하남2지구점"/>
    <m/>
    <m/>
  </r>
  <r>
    <s v="2025-01-20"/>
    <x v="16"/>
    <s v="00005"/>
    <s v="대변"/>
    <s v="101"/>
    <s v="현금"/>
    <x v="1"/>
    <n v="0"/>
    <n v="2000"/>
    <n v="2000"/>
    <s v="국민카드(2005)"/>
    <m/>
    <m/>
  </r>
  <r>
    <s v="2025-01-20"/>
    <x v="16"/>
    <s v="00006"/>
    <s v="차변"/>
    <s v="831"/>
    <s v="지급수수료(판)"/>
    <x v="7"/>
    <n v="2000"/>
    <n v="0"/>
    <n v="-2000"/>
    <s v="나이스페이먼츠 주식회사 (NICE Payments Co"/>
    <m/>
    <m/>
  </r>
  <r>
    <s v="2025-01-20"/>
    <x v="16"/>
    <s v="00006"/>
    <s v="대변"/>
    <s v="101"/>
    <s v="현금"/>
    <x v="1"/>
    <n v="0"/>
    <n v="2000"/>
    <n v="2000"/>
    <s v="하나카드(4088)"/>
    <m/>
    <m/>
  </r>
  <r>
    <s v="2025-01-20"/>
    <x v="16"/>
    <s v="00007"/>
    <s v="대변"/>
    <s v="101"/>
    <s v="현금"/>
    <x v="1"/>
    <n v="0"/>
    <n v="24130"/>
    <n v="24130"/>
    <s v="국민카드(2005)"/>
    <m/>
    <m/>
  </r>
  <r>
    <s v="2025-01-20"/>
    <x v="16"/>
    <s v="00007"/>
    <s v="차변"/>
    <s v="831"/>
    <s v="지급수수료(판)"/>
    <x v="7"/>
    <n v="24130"/>
    <n v="0"/>
    <n v="-24130"/>
    <s v="코웨이(주）"/>
    <m/>
    <m/>
  </r>
  <r>
    <s v="2025-01-20"/>
    <x v="16"/>
    <s v="00008"/>
    <s v="대변"/>
    <s v="101"/>
    <s v="현금"/>
    <x v="1"/>
    <n v="0"/>
    <n v="42650"/>
    <n v="42650"/>
    <s v="국민카드(2005)"/>
    <m/>
    <m/>
  </r>
  <r>
    <s v="2025-01-20"/>
    <x v="16"/>
    <s v="00008"/>
    <s v="차변"/>
    <s v="831"/>
    <s v="지급수수료(판)"/>
    <x v="7"/>
    <n v="42650"/>
    <n v="0"/>
    <n v="-42650"/>
    <s v="코웨이(주）"/>
    <m/>
    <m/>
  </r>
  <r>
    <s v="2025-01-20"/>
    <x v="16"/>
    <s v="00009"/>
    <s v="차변"/>
    <s v="812"/>
    <s v="여비교통비(판)"/>
    <x v="9"/>
    <n v="4000"/>
    <n v="0"/>
    <n v="-4000"/>
    <s v="텐퍼센트커피광주매곡중앙점"/>
    <m/>
    <m/>
  </r>
  <r>
    <s v="2025-01-20"/>
    <x v="16"/>
    <s v="00009"/>
    <s v="대변"/>
    <s v="101"/>
    <s v="현금"/>
    <x v="1"/>
    <n v="0"/>
    <n v="4000"/>
    <n v="4000"/>
    <s v="국민카드(2005)"/>
    <m/>
    <m/>
  </r>
  <r>
    <s v="2025-01-20"/>
    <x v="16"/>
    <s v="50001"/>
    <s v="차변"/>
    <s v="837"/>
    <s v="건물관리비(판)"/>
    <x v="16"/>
    <n v="181420"/>
    <n v="0"/>
    <n v="-181420"/>
    <s v="와이어스파크 지식산업센터 관리위원회"/>
    <m/>
    <s v="2동2205호"/>
  </r>
  <r>
    <s v="2025-01-20"/>
    <x v="16"/>
    <s v="50001"/>
    <s v="대변"/>
    <s v="101"/>
    <s v="현금"/>
    <x v="1"/>
    <n v="0"/>
    <n v="181420"/>
    <n v="181420"/>
    <s v="와이어스파크 지식산업센터 관리위원회"/>
    <m/>
    <s v="2동2205호"/>
  </r>
  <r>
    <s v="2025-01-21"/>
    <x v="17"/>
    <s v="00001"/>
    <s v="차변"/>
    <s v="830"/>
    <s v="소모품비(판)"/>
    <x v="6"/>
    <n v="20700"/>
    <n v="0"/>
    <n v="-20700"/>
    <s v="햇살마트"/>
    <m/>
    <m/>
  </r>
  <r>
    <s v="2025-01-21"/>
    <x v="17"/>
    <s v="00001"/>
    <s v="대변"/>
    <s v="101"/>
    <s v="현금"/>
    <x v="1"/>
    <n v="0"/>
    <n v="20700"/>
    <n v="20700"/>
    <s v="현대카드(4817)"/>
    <m/>
    <m/>
  </r>
  <r>
    <s v="2025-01-21"/>
    <x v="17"/>
    <s v="00002"/>
    <s v="대변"/>
    <s v="101"/>
    <s v="현금"/>
    <x v="1"/>
    <n v="0"/>
    <n v="1000"/>
    <n v="1000"/>
    <s v="하나카드(4088)"/>
    <m/>
    <m/>
  </r>
  <r>
    <s v="2025-01-21"/>
    <x v="17"/>
    <s v="00002"/>
    <s v="차변"/>
    <s v="812"/>
    <s v="여비교통비(판)"/>
    <x v="9"/>
    <n v="1000"/>
    <n v="0"/>
    <n v="-1000"/>
    <s v="에스케이쉴더스 주식회사"/>
    <m/>
    <m/>
  </r>
  <r>
    <s v="2025-01-21"/>
    <x v="17"/>
    <s v="00003"/>
    <s v="차변"/>
    <s v="812"/>
    <s v="여비교통비(판)"/>
    <x v="9"/>
    <n v="700"/>
    <n v="0"/>
    <n v="-700"/>
    <s v="GS25군산IC점"/>
    <m/>
    <m/>
  </r>
  <r>
    <s v="2025-01-21"/>
    <x v="17"/>
    <s v="00003"/>
    <s v="대변"/>
    <s v="101"/>
    <s v="현금"/>
    <x v="1"/>
    <n v="0"/>
    <n v="700"/>
    <n v="700"/>
    <s v="하나카드(4088)"/>
    <m/>
    <m/>
  </r>
  <r>
    <s v="2025-01-21"/>
    <x v="17"/>
    <s v="00004"/>
    <s v="대변"/>
    <s v="101"/>
    <s v="현금"/>
    <x v="1"/>
    <n v="0"/>
    <n v="6000"/>
    <n v="6000"/>
    <s v="국민카드(2005)"/>
    <m/>
    <m/>
  </r>
  <r>
    <s v="2025-01-21"/>
    <x v="17"/>
    <s v="00004"/>
    <s v="차변"/>
    <s v="812"/>
    <s v="여비교통비(판)"/>
    <x v="9"/>
    <n v="6000"/>
    <n v="0"/>
    <n v="-6000"/>
    <s v="미르씨앤에스"/>
    <m/>
    <m/>
  </r>
  <r>
    <s v="2025-01-21"/>
    <x v="17"/>
    <s v="50001"/>
    <s v="대변"/>
    <s v="255"/>
    <s v="부가세예수금"/>
    <x v="3"/>
    <n v="0"/>
    <n v="15000"/>
    <n v="15000"/>
    <s v="월간맥주수완점"/>
    <m/>
    <s v="인사노무자문료 1 X 150,000"/>
  </r>
  <r>
    <s v="2025-01-21"/>
    <x v="17"/>
    <s v="50001"/>
    <s v="대변"/>
    <s v="401"/>
    <s v="용역매출"/>
    <x v="4"/>
    <n v="0"/>
    <n v="150000"/>
    <n v="150000"/>
    <s v="월간맥주수완점"/>
    <m/>
    <s v="인사노무자문료 1 X 150,000"/>
  </r>
  <r>
    <s v="2025-01-21"/>
    <x v="17"/>
    <s v="50001"/>
    <s v="차변"/>
    <s v="101"/>
    <s v="현금"/>
    <x v="1"/>
    <n v="165000"/>
    <n v="0"/>
    <n v="-165000"/>
    <s v="월간맥주수완점"/>
    <m/>
    <s v="인사노무자문료 1 X 150,000"/>
  </r>
  <r>
    <s v="2025-01-21"/>
    <x v="17"/>
    <s v="50002"/>
    <s v="대변"/>
    <s v="255"/>
    <s v="부가세예수금"/>
    <x v="3"/>
    <n v="0"/>
    <n v="15000"/>
    <n v="15000"/>
    <s v="강남옥과한우촌"/>
    <m/>
    <s v="인사노무자문료 1 X 150,000"/>
  </r>
  <r>
    <s v="2025-01-21"/>
    <x v="17"/>
    <s v="50002"/>
    <s v="대변"/>
    <s v="401"/>
    <s v="용역매출"/>
    <x v="4"/>
    <n v="0"/>
    <n v="150000"/>
    <n v="150000"/>
    <s v="강남옥과한우촌"/>
    <m/>
    <s v="인사노무자문료 1 X 150,000"/>
  </r>
  <r>
    <s v="2025-01-21"/>
    <x v="17"/>
    <s v="50002"/>
    <s v="차변"/>
    <s v="101"/>
    <s v="현금"/>
    <x v="1"/>
    <n v="165000"/>
    <n v="0"/>
    <n v="-165000"/>
    <s v="강남옥과한우촌"/>
    <m/>
    <s v="인사노무자문료 1 X 150,000"/>
  </r>
  <r>
    <s v="2025-01-21"/>
    <x v="17"/>
    <s v="50003"/>
    <s v="대변"/>
    <s v="255"/>
    <s v="부가세예수금"/>
    <x v="3"/>
    <n v="0"/>
    <n v="10000"/>
    <n v="10000"/>
    <s v="연세바른병원"/>
    <m/>
    <s v="인사노무자문료 1 X 100,000"/>
  </r>
  <r>
    <s v="2025-01-21"/>
    <x v="17"/>
    <s v="50003"/>
    <s v="대변"/>
    <s v="401"/>
    <s v="용역매출"/>
    <x v="4"/>
    <n v="0"/>
    <n v="100000"/>
    <n v="100000"/>
    <s v="연세바른병원"/>
    <m/>
    <s v="인사노무자문료 1 X 100,000"/>
  </r>
  <r>
    <s v="2025-01-21"/>
    <x v="17"/>
    <s v="50003"/>
    <s v="차변"/>
    <s v="101"/>
    <s v="현금"/>
    <x v="1"/>
    <n v="110000"/>
    <n v="0"/>
    <n v="-110000"/>
    <s v="연세바른병원"/>
    <m/>
    <s v="인사노무자문료 1 X 100,000"/>
  </r>
  <r>
    <s v="2025-01-21"/>
    <x v="17"/>
    <s v="50004"/>
    <s v="대변"/>
    <s v="255"/>
    <s v="부가세예수금"/>
    <x v="3"/>
    <n v="0"/>
    <n v="20000"/>
    <n v="20000"/>
    <s v="탐진화물주식회사 유한회사"/>
    <m/>
    <s v="인사노무자문료 1 X 200,000"/>
  </r>
  <r>
    <s v="2025-01-21"/>
    <x v="17"/>
    <s v="50004"/>
    <s v="대변"/>
    <s v="401"/>
    <s v="용역매출"/>
    <x v="4"/>
    <n v="0"/>
    <n v="200000"/>
    <n v="200000"/>
    <s v="탐진화물주식회사 유한회사"/>
    <m/>
    <s v="인사노무자문료 1 X 200,000"/>
  </r>
  <r>
    <s v="2025-01-21"/>
    <x v="17"/>
    <s v="50004"/>
    <s v="차변"/>
    <s v="101"/>
    <s v="현금"/>
    <x v="1"/>
    <n v="220000"/>
    <n v="0"/>
    <n v="-220000"/>
    <s v="탐진화물주식회사 유한회사"/>
    <m/>
    <s v="인사노무자문료 1 X 200,000"/>
  </r>
  <r>
    <s v="2025-01-21"/>
    <x v="17"/>
    <s v="50005"/>
    <s v="대변"/>
    <s v="255"/>
    <s v="부가세예수금"/>
    <x v="3"/>
    <n v="0"/>
    <n v="10000"/>
    <n v="10000"/>
    <s v="주식화사 광원이엔지"/>
    <m/>
    <s v="인사노무자문료 1 X 100,000"/>
  </r>
  <r>
    <s v="2025-01-21"/>
    <x v="17"/>
    <s v="50005"/>
    <s v="대변"/>
    <s v="401"/>
    <s v="용역매출"/>
    <x v="4"/>
    <n v="0"/>
    <n v="100000"/>
    <n v="100000"/>
    <s v="주식화사 광원이엔지"/>
    <m/>
    <s v="인사노무자문료 1 X 100,000"/>
  </r>
  <r>
    <s v="2025-01-21"/>
    <x v="17"/>
    <s v="50005"/>
    <s v="차변"/>
    <s v="101"/>
    <s v="현금"/>
    <x v="1"/>
    <n v="110000"/>
    <n v="0"/>
    <n v="-110000"/>
    <s v="주식화사 광원이엔지"/>
    <m/>
    <s v="인사노무자문료 1 X 100,000"/>
  </r>
  <r>
    <s v="2025-01-21"/>
    <x v="17"/>
    <s v="50006"/>
    <s v="대변"/>
    <s v="255"/>
    <s v="부가세예수금"/>
    <x v="3"/>
    <n v="0"/>
    <n v="20000"/>
    <n v="20000"/>
    <s v="(주)해성푸드원"/>
    <m/>
    <s v="인사노무자문료 1 X 200,000"/>
  </r>
  <r>
    <s v="2025-01-21"/>
    <x v="17"/>
    <s v="50006"/>
    <s v="대변"/>
    <s v="401"/>
    <s v="용역매출"/>
    <x v="4"/>
    <n v="0"/>
    <n v="200000"/>
    <n v="200000"/>
    <s v="(주)해성푸드원"/>
    <m/>
    <s v="인사노무자문료 1 X 200,000"/>
  </r>
  <r>
    <s v="2025-01-21"/>
    <x v="17"/>
    <s v="50006"/>
    <s v="차변"/>
    <s v="101"/>
    <s v="현금"/>
    <x v="1"/>
    <n v="220000"/>
    <n v="0"/>
    <n v="-220000"/>
    <s v="(주)해성푸드원"/>
    <m/>
    <s v="인사노무자문료 1 X 200,000"/>
  </r>
  <r>
    <s v="2025-01-21"/>
    <x v="17"/>
    <s v="50007"/>
    <s v="대변"/>
    <s v="255"/>
    <s v="부가세예수금"/>
    <x v="3"/>
    <n v="0"/>
    <n v="15000"/>
    <n v="15000"/>
    <s v="최원호병원"/>
    <m/>
    <s v="인사노무자문료 1 X 150,000"/>
  </r>
  <r>
    <s v="2025-01-21"/>
    <x v="17"/>
    <s v="50007"/>
    <s v="대변"/>
    <s v="401"/>
    <s v="용역매출"/>
    <x v="4"/>
    <n v="0"/>
    <n v="150000"/>
    <n v="150000"/>
    <s v="최원호병원"/>
    <m/>
    <s v="인사노무자문료 1 X 150,000"/>
  </r>
  <r>
    <s v="2025-01-21"/>
    <x v="17"/>
    <s v="50007"/>
    <s v="차변"/>
    <s v="101"/>
    <s v="현금"/>
    <x v="1"/>
    <n v="165000"/>
    <n v="0"/>
    <n v="-165000"/>
    <s v="최원호병원"/>
    <m/>
    <s v="인사노무자문료 1 X 150,000"/>
  </r>
  <r>
    <s v="2025-01-21"/>
    <x v="17"/>
    <s v="50008"/>
    <s v="대변"/>
    <s v="255"/>
    <s v="부가세예수금"/>
    <x v="3"/>
    <n v="0"/>
    <n v="10000"/>
    <n v="10000"/>
    <s v="주식회사 동양금속"/>
    <m/>
    <s v="인사노무자문료 1 X 100,000"/>
  </r>
  <r>
    <s v="2025-01-21"/>
    <x v="17"/>
    <s v="50008"/>
    <s v="대변"/>
    <s v="401"/>
    <s v="용역매출"/>
    <x v="4"/>
    <n v="0"/>
    <n v="100000"/>
    <n v="100000"/>
    <s v="주식회사 동양금속"/>
    <m/>
    <s v="인사노무자문료 1 X 100,000"/>
  </r>
  <r>
    <s v="2025-01-21"/>
    <x v="17"/>
    <s v="50008"/>
    <s v="차변"/>
    <s v="101"/>
    <s v="현금"/>
    <x v="1"/>
    <n v="110000"/>
    <n v="0"/>
    <n v="-110000"/>
    <s v="주식회사 동양금속"/>
    <m/>
    <s v="인사노무자문료 1 X 100,000"/>
  </r>
  <r>
    <s v="2025-01-21"/>
    <x v="17"/>
    <s v="50009"/>
    <s v="대변"/>
    <s v="255"/>
    <s v="부가세예수금"/>
    <x v="3"/>
    <n v="0"/>
    <n v="10000"/>
    <n v="10000"/>
    <s v="(주)중동텍스타일"/>
    <m/>
    <s v="인사노무자문료 1 X 100,000"/>
  </r>
  <r>
    <s v="2025-01-21"/>
    <x v="17"/>
    <s v="50009"/>
    <s v="대변"/>
    <s v="401"/>
    <s v="용역매출"/>
    <x v="4"/>
    <n v="0"/>
    <n v="100000"/>
    <n v="100000"/>
    <s v="(주)중동텍스타일"/>
    <m/>
    <s v="인사노무자문료 1 X 100,000"/>
  </r>
  <r>
    <s v="2025-01-21"/>
    <x v="17"/>
    <s v="50009"/>
    <s v="차변"/>
    <s v="101"/>
    <s v="현금"/>
    <x v="1"/>
    <n v="110000"/>
    <n v="0"/>
    <n v="-110000"/>
    <s v="(주)중동텍스타일"/>
    <m/>
    <s v="인사노무자문료 1 X 100,000"/>
  </r>
  <r>
    <s v="2025-01-22"/>
    <x v="18"/>
    <s v="00001"/>
    <s v="차변"/>
    <s v="811"/>
    <s v="복리후생비(판)"/>
    <x v="8"/>
    <n v="3500"/>
    <n v="0"/>
    <n v="-3500"/>
    <s v="라 돌체 비타"/>
    <m/>
    <m/>
  </r>
  <r>
    <s v="2025-01-22"/>
    <x v="18"/>
    <s v="00001"/>
    <s v="대변"/>
    <s v="101"/>
    <s v="현금"/>
    <x v="1"/>
    <n v="0"/>
    <n v="3500"/>
    <n v="3500"/>
    <s v="현대카드(4817)"/>
    <m/>
    <m/>
  </r>
  <r>
    <s v="2025-01-22"/>
    <x v="18"/>
    <s v="00002"/>
    <s v="차변"/>
    <s v="811"/>
    <s v="복리후생비(판)"/>
    <x v="8"/>
    <n v="3000"/>
    <n v="0"/>
    <n v="-3000"/>
    <s v="김밥랜드"/>
    <m/>
    <m/>
  </r>
  <r>
    <s v="2025-01-22"/>
    <x v="18"/>
    <s v="00002"/>
    <s v="대변"/>
    <s v="101"/>
    <s v="현금"/>
    <x v="1"/>
    <n v="0"/>
    <n v="3000"/>
    <n v="3000"/>
    <s v="하나카드(4088)"/>
    <m/>
    <m/>
  </r>
  <r>
    <s v="2025-01-22"/>
    <x v="18"/>
    <s v="00003"/>
    <s v="차변"/>
    <s v="811"/>
    <s v="복리후생비(판)"/>
    <x v="8"/>
    <n v="3500"/>
    <n v="0"/>
    <n v="-3500"/>
    <s v="라 돌체 비타"/>
    <m/>
    <m/>
  </r>
  <r>
    <s v="2025-01-22"/>
    <x v="18"/>
    <s v="00003"/>
    <s v="대변"/>
    <s v="101"/>
    <s v="현금"/>
    <x v="1"/>
    <n v="0"/>
    <n v="3500"/>
    <n v="3500"/>
    <s v="하나카드(4088)"/>
    <m/>
    <m/>
  </r>
  <r>
    <s v="2025-01-22"/>
    <x v="18"/>
    <s v="00004"/>
    <s v="차변"/>
    <s v="830"/>
    <s v="소모품비(판)"/>
    <x v="6"/>
    <n v="15420"/>
    <n v="0"/>
    <n v="-15420"/>
    <s v="KCP - ( 주 ) 위메프"/>
    <m/>
    <m/>
  </r>
  <r>
    <s v="2025-01-22"/>
    <x v="18"/>
    <s v="00004"/>
    <s v="대변"/>
    <s v="101"/>
    <s v="현금"/>
    <x v="1"/>
    <n v="0"/>
    <n v="15420"/>
    <n v="15420"/>
    <s v="현대카드(4817)"/>
    <m/>
    <m/>
  </r>
  <r>
    <s v="2025-01-22"/>
    <x v="18"/>
    <s v="00005"/>
    <s v="차변"/>
    <s v="830"/>
    <s v="소모품비(판)"/>
    <x v="6"/>
    <n v="18120"/>
    <n v="0"/>
    <n v="-18120"/>
    <s v="KCP - ( 주 ) 위메프"/>
    <m/>
    <m/>
  </r>
  <r>
    <s v="2025-01-22"/>
    <x v="18"/>
    <s v="00005"/>
    <s v="대변"/>
    <s v="101"/>
    <s v="현금"/>
    <x v="1"/>
    <n v="0"/>
    <n v="18120"/>
    <n v="18120"/>
    <s v="현대카드(4817)"/>
    <m/>
    <m/>
  </r>
  <r>
    <s v="2025-01-22"/>
    <x v="18"/>
    <s v="00006"/>
    <s v="차변"/>
    <s v="830"/>
    <s v="소모품비(판)"/>
    <x v="6"/>
    <n v="25340"/>
    <n v="0"/>
    <n v="-25340"/>
    <s v="KCP - ( 주 ) 위메프"/>
    <m/>
    <m/>
  </r>
  <r>
    <s v="2025-01-22"/>
    <x v="18"/>
    <s v="00006"/>
    <s v="대변"/>
    <s v="101"/>
    <s v="현금"/>
    <x v="1"/>
    <n v="0"/>
    <n v="25340"/>
    <n v="25340"/>
    <s v="현대카드(4817)"/>
    <m/>
    <m/>
  </r>
  <r>
    <s v="2025-01-22"/>
    <x v="18"/>
    <s v="00007"/>
    <s v="차변"/>
    <s v="812"/>
    <s v="여비교통비(판)"/>
    <x v="9"/>
    <n v="6000"/>
    <n v="0"/>
    <n v="-6000"/>
    <s v="다락해 영어조합법인(더영광커피)"/>
    <m/>
    <m/>
  </r>
  <r>
    <s v="2025-01-22"/>
    <x v="18"/>
    <s v="00007"/>
    <s v="대변"/>
    <s v="101"/>
    <s v="현금"/>
    <x v="1"/>
    <n v="0"/>
    <n v="6000"/>
    <n v="6000"/>
    <s v="현대카드(4817)"/>
    <m/>
    <m/>
  </r>
  <r>
    <s v="2025-01-22"/>
    <x v="18"/>
    <s v="00008"/>
    <s v="차변"/>
    <s v="812"/>
    <s v="여비교통비(판)"/>
    <x v="9"/>
    <n v="1700"/>
    <n v="0"/>
    <n v="-1700"/>
    <s v="이마트24시R 영광중앙점"/>
    <m/>
    <m/>
  </r>
  <r>
    <s v="2025-01-22"/>
    <x v="18"/>
    <s v="00008"/>
    <s v="대변"/>
    <s v="101"/>
    <s v="현금"/>
    <x v="1"/>
    <n v="0"/>
    <n v="1700"/>
    <n v="1700"/>
    <s v="하나카드(4088)"/>
    <m/>
    <m/>
  </r>
  <r>
    <s v="2025-01-22"/>
    <x v="18"/>
    <s v="00009"/>
    <s v="차변"/>
    <s v="822"/>
    <s v="차량유지비(판)"/>
    <x v="11"/>
    <n v="50000"/>
    <n v="0"/>
    <n v="-50000"/>
    <s v="광주비아농업협동조합 주유소"/>
    <m/>
    <m/>
  </r>
  <r>
    <s v="2025-01-22"/>
    <x v="18"/>
    <s v="00009"/>
    <s v="대변"/>
    <s v="101"/>
    <s v="현금"/>
    <x v="1"/>
    <n v="0"/>
    <n v="50000"/>
    <n v="50000"/>
    <s v="하나카드(4088)"/>
    <m/>
    <m/>
  </r>
  <r>
    <s v="2025-01-22"/>
    <x v="18"/>
    <s v="00010"/>
    <s v="차변"/>
    <s v="822"/>
    <s v="차량유지비(판)"/>
    <x v="11"/>
    <n v="50000"/>
    <n v="0"/>
    <n v="-50000"/>
    <s v="삼성주유소"/>
    <m/>
    <m/>
  </r>
  <r>
    <s v="2025-01-22"/>
    <x v="18"/>
    <s v="00010"/>
    <s v="대변"/>
    <s v="101"/>
    <s v="현금"/>
    <x v="1"/>
    <n v="0"/>
    <n v="50000"/>
    <n v="50000"/>
    <s v="하나카드(4088)"/>
    <m/>
    <m/>
  </r>
  <r>
    <s v="2025-01-23"/>
    <x v="19"/>
    <s v="00001"/>
    <s v="차변"/>
    <s v="812"/>
    <s v="여비교통비(판)"/>
    <x v="9"/>
    <n v="600"/>
    <n v="0"/>
    <n v="-600"/>
    <s v="한국정보통신 - 윌슨파킹"/>
    <m/>
    <m/>
  </r>
  <r>
    <s v="2025-01-23"/>
    <x v="19"/>
    <s v="00001"/>
    <s v="대변"/>
    <s v="101"/>
    <s v="현금"/>
    <x v="1"/>
    <n v="0"/>
    <n v="600"/>
    <n v="600"/>
    <s v="하나카드(4088)"/>
    <m/>
    <m/>
  </r>
  <r>
    <s v="2025-01-23"/>
    <x v="19"/>
    <s v="50001"/>
    <s v="대변"/>
    <s v="255"/>
    <s v="부가세예수금"/>
    <x v="3"/>
    <n v="0"/>
    <n v="7000"/>
    <n v="7000"/>
    <s v="하서방해물칼국수"/>
    <m/>
    <s v="인사노무자문료 1 X 70,000"/>
  </r>
  <r>
    <s v="2025-01-23"/>
    <x v="19"/>
    <s v="50001"/>
    <s v="대변"/>
    <s v="401"/>
    <s v="용역매출"/>
    <x v="4"/>
    <n v="0"/>
    <n v="70000"/>
    <n v="70000"/>
    <s v="하서방해물칼국수"/>
    <m/>
    <s v="인사노무자문료 1 X 70,000"/>
  </r>
  <r>
    <s v="2025-01-23"/>
    <x v="19"/>
    <s v="50001"/>
    <s v="차변"/>
    <s v="101"/>
    <s v="현금"/>
    <x v="1"/>
    <n v="77000"/>
    <n v="0"/>
    <n v="-77000"/>
    <s v="하서방해물칼국수"/>
    <m/>
    <s v="인사노무자문료 1 X 70,000"/>
  </r>
  <r>
    <s v="2025-01-24"/>
    <x v="20"/>
    <s v="00001"/>
    <s v="차변"/>
    <s v="811"/>
    <s v="복리후생비(판)"/>
    <x v="8"/>
    <n v="7000"/>
    <n v="0"/>
    <n v="-7000"/>
    <s v="주식회사 울림푸드 한식뷔페 첨단 정부청사점"/>
    <m/>
    <m/>
  </r>
  <r>
    <s v="2025-01-24"/>
    <x v="20"/>
    <s v="00001"/>
    <s v="대변"/>
    <s v="101"/>
    <s v="현금"/>
    <x v="1"/>
    <n v="0"/>
    <n v="7000"/>
    <n v="7000"/>
    <s v="하나카드(4088)"/>
    <m/>
    <m/>
  </r>
  <r>
    <s v="2025-01-24"/>
    <x v="20"/>
    <s v="00002"/>
    <s v="차변"/>
    <s v="830"/>
    <s v="소모품비(판)"/>
    <x v="6"/>
    <n v="2000"/>
    <n v="0"/>
    <n v="-2000"/>
    <s v="KCP - ( 주 ) 위메프"/>
    <m/>
    <m/>
  </r>
  <r>
    <s v="2025-01-24"/>
    <x v="20"/>
    <s v="00002"/>
    <s v="대변"/>
    <s v="101"/>
    <s v="현금"/>
    <x v="1"/>
    <n v="0"/>
    <n v="2000"/>
    <n v="2000"/>
    <s v="하나카드(4088)"/>
    <m/>
    <m/>
  </r>
  <r>
    <s v="2025-01-24"/>
    <x v="20"/>
    <s v="00003"/>
    <s v="차변"/>
    <s v="830"/>
    <s v="소모품비(판)"/>
    <x v="6"/>
    <n v="13100"/>
    <n v="0"/>
    <n v="-13100"/>
    <s v="햇살마트"/>
    <m/>
    <m/>
  </r>
  <r>
    <s v="2025-01-24"/>
    <x v="20"/>
    <s v="00003"/>
    <s v="대변"/>
    <s v="101"/>
    <s v="현금"/>
    <x v="1"/>
    <n v="0"/>
    <n v="13100"/>
    <n v="13100"/>
    <s v="국민카드(2005)"/>
    <m/>
    <m/>
  </r>
  <r>
    <s v="2025-01-24"/>
    <x v="20"/>
    <s v="00004"/>
    <s v="차변"/>
    <s v="811"/>
    <s v="복리후생비(판)"/>
    <x v="8"/>
    <n v="19754"/>
    <n v="0"/>
    <n v="-19754"/>
    <s v="굽네치킨첨단2호점"/>
    <m/>
    <m/>
  </r>
  <r>
    <s v="2025-01-24"/>
    <x v="20"/>
    <s v="00004"/>
    <s v="대변"/>
    <s v="101"/>
    <s v="현금"/>
    <x v="1"/>
    <n v="0"/>
    <n v="19754"/>
    <n v="19754"/>
    <s v="굽네치킨첨단2호점"/>
    <m/>
    <m/>
  </r>
  <r>
    <s v="2025-01-24"/>
    <x v="20"/>
    <s v="50001"/>
    <s v="대변"/>
    <s v="255"/>
    <s v="부가세예수금"/>
    <x v="3"/>
    <n v="0"/>
    <n v="10000"/>
    <n v="10000"/>
    <s v="24시 동물병원 공감"/>
    <m/>
    <s v="인사노무자문료 1 X 100,000"/>
  </r>
  <r>
    <s v="2025-01-24"/>
    <x v="20"/>
    <s v="50001"/>
    <s v="대변"/>
    <s v="401"/>
    <s v="용역매출"/>
    <x v="4"/>
    <n v="0"/>
    <n v="100000"/>
    <n v="100000"/>
    <s v="24시 동물병원 공감"/>
    <m/>
    <s v="인사노무자문료 1 X 100,000"/>
  </r>
  <r>
    <s v="2025-01-24"/>
    <x v="20"/>
    <s v="50001"/>
    <s v="차변"/>
    <s v="101"/>
    <s v="현금"/>
    <x v="1"/>
    <n v="110000"/>
    <n v="0"/>
    <n v="-110000"/>
    <s v="24시 동물병원 공감"/>
    <m/>
    <s v="인사노무자문료 1 X 100,000"/>
  </r>
  <r>
    <s v="2025-01-24"/>
    <x v="20"/>
    <s v="50002"/>
    <s v="대변"/>
    <s v="255"/>
    <s v="부가세예수금"/>
    <x v="3"/>
    <n v="0"/>
    <n v="10000"/>
    <n v="10000"/>
    <s v="커피랩"/>
    <m/>
    <s v="인사노무자문료 1 X 100,000"/>
  </r>
  <r>
    <s v="2025-01-24"/>
    <x v="20"/>
    <s v="50002"/>
    <s v="대변"/>
    <s v="401"/>
    <s v="용역매출"/>
    <x v="4"/>
    <n v="0"/>
    <n v="100000"/>
    <n v="100000"/>
    <s v="커피랩"/>
    <m/>
    <s v="인사노무자문료 1 X 100,000"/>
  </r>
  <r>
    <s v="2025-01-24"/>
    <x v="20"/>
    <s v="50002"/>
    <s v="차변"/>
    <s v="101"/>
    <s v="현금"/>
    <x v="1"/>
    <n v="110000"/>
    <n v="0"/>
    <n v="-110000"/>
    <s v="커피랩"/>
    <m/>
    <s v="인사노무자문료 1 X 100,000"/>
  </r>
  <r>
    <s v="2025-01-24"/>
    <x v="20"/>
    <s v="50003"/>
    <s v="대변"/>
    <s v="255"/>
    <s v="부가세예수금"/>
    <x v="3"/>
    <n v="0"/>
    <n v="11819"/>
    <n v="11819"/>
    <s v="바오팜 주식회사"/>
    <m/>
    <s v="인사노무자문료 1 X 118,181"/>
  </r>
  <r>
    <s v="2025-01-24"/>
    <x v="20"/>
    <s v="50003"/>
    <s v="대변"/>
    <s v="401"/>
    <s v="용역매출"/>
    <x v="4"/>
    <n v="0"/>
    <n v="118181"/>
    <n v="118181"/>
    <s v="바오팜 주식회사"/>
    <m/>
    <s v="인사노무자문료 1 X 118,181"/>
  </r>
  <r>
    <s v="2025-01-24"/>
    <x v="20"/>
    <s v="50003"/>
    <s v="차변"/>
    <s v="101"/>
    <s v="현금"/>
    <x v="1"/>
    <n v="130000"/>
    <n v="0"/>
    <n v="-130000"/>
    <s v="바오팜 주식회사"/>
    <m/>
    <s v="인사노무자문료 1 X 118,181"/>
  </r>
  <r>
    <s v="2025-01-24"/>
    <x v="20"/>
    <s v="50004"/>
    <s v="대변"/>
    <s v="255"/>
    <s v="부가세예수금"/>
    <x v="3"/>
    <n v="0"/>
    <n v="10000"/>
    <n v="10000"/>
    <s v="(주)텝스텍"/>
    <m/>
    <s v="인사노무자문료 1 X 100,000"/>
  </r>
  <r>
    <s v="2025-01-24"/>
    <x v="20"/>
    <s v="50004"/>
    <s v="대변"/>
    <s v="401"/>
    <s v="용역매출"/>
    <x v="4"/>
    <n v="0"/>
    <n v="100000"/>
    <n v="100000"/>
    <s v="(주)텝스텍"/>
    <m/>
    <s v="인사노무자문료 1 X 100,000"/>
  </r>
  <r>
    <s v="2025-01-24"/>
    <x v="20"/>
    <s v="50004"/>
    <s v="차변"/>
    <s v="101"/>
    <s v="현금"/>
    <x v="1"/>
    <n v="110000"/>
    <n v="0"/>
    <n v="-110000"/>
    <s v="(주)텝스텍"/>
    <m/>
    <s v="인사노무자문료 1 X 100,000"/>
  </r>
  <r>
    <s v="2025-01-24"/>
    <x v="20"/>
    <s v="50005"/>
    <s v="대변"/>
    <s v="255"/>
    <s v="부가세예수금"/>
    <x v="3"/>
    <n v="0"/>
    <n v="15000"/>
    <n v="15000"/>
    <s v="(재)광주광역시사회서비스원 장기요양요원지원센터"/>
    <m/>
    <s v="인사노무자문료 1 X 150,000"/>
  </r>
  <r>
    <s v="2025-01-24"/>
    <x v="20"/>
    <s v="50005"/>
    <s v="대변"/>
    <s v="401"/>
    <s v="용역매출"/>
    <x v="4"/>
    <n v="0"/>
    <n v="150000"/>
    <n v="150000"/>
    <s v="(재)광주광역시사회서비스원 장기요양요원지원센터"/>
    <m/>
    <s v="인사노무자문료 1 X 150,000"/>
  </r>
  <r>
    <s v="2025-01-24"/>
    <x v="20"/>
    <s v="50005"/>
    <s v="차변"/>
    <s v="101"/>
    <s v="현금"/>
    <x v="1"/>
    <n v="165000"/>
    <n v="0"/>
    <n v="-165000"/>
    <s v="(재)광주광역시사회서비스원 장기요양요원지원센터"/>
    <m/>
    <s v="인사노무자문료 1 X 150,000"/>
  </r>
  <r>
    <s v="2025-01-24"/>
    <x v="20"/>
    <s v="50006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1-24"/>
    <x v="20"/>
    <s v="50006"/>
    <s v="대변"/>
    <s v="401"/>
    <s v="용역매출"/>
    <x v="4"/>
    <n v="0"/>
    <n v="150000"/>
    <n v="150000"/>
    <s v="농업회사법인(주)토리팜에프디"/>
    <m/>
    <s v="인사노무자문료 1 X 150,000"/>
  </r>
  <r>
    <s v="2025-01-24"/>
    <x v="20"/>
    <s v="50006"/>
    <s v="차변"/>
    <s v="101"/>
    <s v="현금"/>
    <x v="1"/>
    <n v="165000"/>
    <n v="0"/>
    <n v="-165000"/>
    <s v="농업회사법인(주)토리팜에프디"/>
    <m/>
    <s v="인사노무자문료 1 X 150,000"/>
  </r>
  <r>
    <s v="2025-01-24"/>
    <x v="20"/>
    <s v="50007"/>
    <s v="대변"/>
    <s v="255"/>
    <s v="부가세예수금"/>
    <x v="3"/>
    <n v="0"/>
    <n v="10000"/>
    <n v="10000"/>
    <s v="(주)에이버츄얼"/>
    <m/>
    <s v="인사노무자문료 1 X 100,000"/>
  </r>
  <r>
    <s v="2025-01-24"/>
    <x v="20"/>
    <s v="50007"/>
    <s v="대변"/>
    <s v="401"/>
    <s v="용역매출"/>
    <x v="4"/>
    <n v="0"/>
    <n v="100000"/>
    <n v="100000"/>
    <s v="(주)에이버츄얼"/>
    <m/>
    <s v="인사노무자문료 1 X 100,000"/>
  </r>
  <r>
    <s v="2025-01-24"/>
    <x v="20"/>
    <s v="50007"/>
    <s v="차변"/>
    <s v="101"/>
    <s v="현금"/>
    <x v="1"/>
    <n v="110000"/>
    <n v="0"/>
    <n v="-110000"/>
    <s v="(주)에이버츄얼"/>
    <m/>
    <s v="인사노무자문료 1 X 100,000"/>
  </r>
  <r>
    <s v="2025-01-25"/>
    <x v="21"/>
    <s v="00001"/>
    <s v="차변"/>
    <s v="830"/>
    <s v="소모품비(판)"/>
    <x v="6"/>
    <n v="9400"/>
    <n v="0"/>
    <n v="-9400"/>
    <s v="햇살마트"/>
    <m/>
    <m/>
  </r>
  <r>
    <s v="2025-01-25"/>
    <x v="21"/>
    <s v="00001"/>
    <s v="대변"/>
    <s v="101"/>
    <s v="현금"/>
    <x v="1"/>
    <n v="0"/>
    <n v="9400"/>
    <n v="9400"/>
    <s v="국민카드(2005)"/>
    <m/>
    <m/>
  </r>
  <r>
    <s v="2025-01-26"/>
    <x v="22"/>
    <s v="00001"/>
    <s v="출금"/>
    <s v="261"/>
    <s v="미지급세금"/>
    <x v="17"/>
    <n v="3926480"/>
    <n v="0"/>
    <n v="-3926480"/>
    <s v="서광주세무서"/>
    <s v="03"/>
    <s v="미지급부가세등 납부"/>
  </r>
  <r>
    <s v="2025-01-26"/>
    <x v="22"/>
    <s v="00001"/>
    <s v="출금"/>
    <s v="101"/>
    <s v="현금"/>
    <x v="1"/>
    <n v="0"/>
    <n v="3926480"/>
    <n v="3926480"/>
    <s v="서광주세무서"/>
    <s v="03"/>
    <s v="미지급부가세등 납부"/>
  </r>
  <r>
    <s v="2025-01-26"/>
    <x v="22"/>
    <s v="00002"/>
    <s v="출금"/>
    <s v="817"/>
    <s v="세금과공과금(판)"/>
    <x v="14"/>
    <n v="414580"/>
    <n v="0"/>
    <n v="-414580"/>
    <s v="광산구청"/>
    <s v="  "/>
    <s v="19마0591 자동차세"/>
  </r>
  <r>
    <s v="2025-01-26"/>
    <x v="22"/>
    <s v="00002"/>
    <s v="출금"/>
    <s v="101"/>
    <s v="현금"/>
    <x v="1"/>
    <n v="0"/>
    <n v="414580"/>
    <n v="414580"/>
    <s v="광산구청"/>
    <s v="  "/>
    <s v="19마0591 자동차세"/>
  </r>
  <r>
    <s v="2025-01-26"/>
    <x v="22"/>
    <s v="00003"/>
    <s v="출금"/>
    <s v="817"/>
    <s v="세금과공과금(판)"/>
    <x v="14"/>
    <n v="580410"/>
    <n v="0"/>
    <n v="-580410"/>
    <s v="광산구청"/>
    <s v="  "/>
    <s v="50보2351 자동차세"/>
  </r>
  <r>
    <s v="2025-01-26"/>
    <x v="22"/>
    <s v="00003"/>
    <s v="출금"/>
    <s v="101"/>
    <s v="현금"/>
    <x v="1"/>
    <n v="0"/>
    <n v="580410"/>
    <n v="580410"/>
    <s v="광산구청"/>
    <s v="  "/>
    <s v="50보2351 자동차세"/>
  </r>
  <r>
    <s v="2025-01-26"/>
    <x v="22"/>
    <s v="00004"/>
    <s v="차변"/>
    <s v="811"/>
    <s v="복리후생비(판)"/>
    <x v="8"/>
    <n v="3000"/>
    <n v="0"/>
    <n v="-3000"/>
    <s v="김밥랜드"/>
    <m/>
    <m/>
  </r>
  <r>
    <s v="2025-01-26"/>
    <x v="22"/>
    <s v="00004"/>
    <s v="대변"/>
    <s v="101"/>
    <s v="현금"/>
    <x v="1"/>
    <n v="0"/>
    <n v="3000"/>
    <n v="3000"/>
    <s v="하나카드(4088)"/>
    <m/>
    <m/>
  </r>
  <r>
    <s v="2025-01-26"/>
    <x v="22"/>
    <s v="00005"/>
    <s v="차변"/>
    <s v="830"/>
    <s v="소모품비(판)"/>
    <x v="6"/>
    <n v="5500"/>
    <n v="0"/>
    <n v="-5500"/>
    <s v="햇살마트"/>
    <m/>
    <m/>
  </r>
  <r>
    <s v="2025-01-26"/>
    <x v="22"/>
    <s v="00005"/>
    <s v="대변"/>
    <s v="101"/>
    <s v="현금"/>
    <x v="1"/>
    <n v="0"/>
    <n v="5500"/>
    <n v="5500"/>
    <s v="하나카드(4088)"/>
    <m/>
    <m/>
  </r>
  <r>
    <s v="2025-01-26"/>
    <x v="22"/>
    <s v="00006"/>
    <s v="차변"/>
    <s v="812"/>
    <s v="여비교통비(판)"/>
    <x v="9"/>
    <n v="5300"/>
    <n v="0"/>
    <n v="-5300"/>
    <s v="텐퍼센트커피"/>
    <m/>
    <m/>
  </r>
  <r>
    <s v="2025-01-26"/>
    <x v="22"/>
    <s v="00006"/>
    <s v="대변"/>
    <s v="101"/>
    <s v="현금"/>
    <x v="1"/>
    <n v="0"/>
    <n v="5300"/>
    <n v="5300"/>
    <s v="국민카드(2005)"/>
    <m/>
    <m/>
  </r>
  <r>
    <s v="2025-01-27"/>
    <x v="23"/>
    <s v="00001"/>
    <s v="대변"/>
    <s v="101"/>
    <s v="현금"/>
    <x v="1"/>
    <n v="0"/>
    <n v="4000"/>
    <n v="4000"/>
    <s v="국민카드(2005)"/>
    <m/>
    <m/>
  </r>
  <r>
    <s v="2025-01-27"/>
    <x v="23"/>
    <s v="00001"/>
    <s v="차변"/>
    <s v="812"/>
    <s v="여비교통비(판)"/>
    <x v="9"/>
    <n v="4000"/>
    <n v="0"/>
    <n v="-4000"/>
    <s v="주식회사 에이피알"/>
    <m/>
    <m/>
  </r>
  <r>
    <s v="2025-01-27"/>
    <x v="23"/>
    <s v="00002"/>
    <s v="차변"/>
    <s v="831"/>
    <s v="지급수수료(판)"/>
    <x v="7"/>
    <n v="5000"/>
    <n v="0"/>
    <n v="-5000"/>
    <s v="나이스페이먼츠 주식회사 (NICE Payments Co"/>
    <m/>
    <m/>
  </r>
  <r>
    <s v="2025-01-27"/>
    <x v="23"/>
    <s v="00002"/>
    <s v="대변"/>
    <s v="101"/>
    <s v="현금"/>
    <x v="1"/>
    <n v="0"/>
    <n v="5000"/>
    <n v="5000"/>
    <s v="하나카드(4088)"/>
    <m/>
    <m/>
  </r>
  <r>
    <s v="2025-01-27"/>
    <x v="23"/>
    <s v="50001"/>
    <s v="차변"/>
    <s v="135"/>
    <s v="부가세대급금"/>
    <x v="5"/>
    <n v="336"/>
    <n v="0"/>
    <n v="-336"/>
    <s v="（주）아트박스"/>
    <m/>
    <m/>
  </r>
  <r>
    <s v="2025-01-27"/>
    <x v="23"/>
    <s v="50001"/>
    <s v="차변"/>
    <s v="830"/>
    <s v="소모품비(판)"/>
    <x v="6"/>
    <n v="3364"/>
    <n v="0"/>
    <n v="-3364"/>
    <s v="（주）아트박스"/>
    <m/>
    <m/>
  </r>
  <r>
    <s v="2025-01-27"/>
    <x v="23"/>
    <s v="50001"/>
    <s v="대변"/>
    <s v="101"/>
    <s v="현금"/>
    <x v="1"/>
    <n v="0"/>
    <n v="3700"/>
    <n v="3700"/>
    <s v="국민카드(2005)"/>
    <m/>
    <m/>
  </r>
  <r>
    <s v="2025-01-28"/>
    <x v="24"/>
    <s v="00001"/>
    <s v="차변"/>
    <s v="830"/>
    <s v="소모품비(판)"/>
    <x v="6"/>
    <n v="4300"/>
    <n v="0"/>
    <n v="-4300"/>
    <s v="에이플러스마트"/>
    <m/>
    <m/>
  </r>
  <r>
    <s v="2025-01-28"/>
    <x v="24"/>
    <s v="00001"/>
    <s v="대변"/>
    <s v="101"/>
    <s v="현금"/>
    <x v="1"/>
    <n v="0"/>
    <n v="4300"/>
    <n v="4300"/>
    <s v="국민카드(2005)"/>
    <m/>
    <m/>
  </r>
  <r>
    <s v="2025-01-28"/>
    <x v="24"/>
    <s v="00002"/>
    <s v="차변"/>
    <s v="830"/>
    <s v="소모품비(판)"/>
    <x v="6"/>
    <n v="13540"/>
    <n v="0"/>
    <n v="-13540"/>
    <s v="홈마트"/>
    <m/>
    <m/>
  </r>
  <r>
    <s v="2025-01-28"/>
    <x v="24"/>
    <s v="00002"/>
    <s v="대변"/>
    <s v="101"/>
    <s v="현금"/>
    <x v="1"/>
    <n v="0"/>
    <n v="13540"/>
    <n v="13540"/>
    <s v="국민카드(2005)"/>
    <m/>
    <m/>
  </r>
  <r>
    <s v="2025-01-28"/>
    <x v="24"/>
    <s v="00003"/>
    <s v="차변"/>
    <s v="812"/>
    <s v="여비교통비(판)"/>
    <x v="9"/>
    <n v="3000"/>
    <n v="0"/>
    <n v="-3000"/>
    <s v="컴포즈커피광주문흥대주점"/>
    <m/>
    <m/>
  </r>
  <r>
    <s v="2025-01-28"/>
    <x v="24"/>
    <s v="00003"/>
    <s v="대변"/>
    <s v="101"/>
    <s v="현금"/>
    <x v="1"/>
    <n v="0"/>
    <n v="3000"/>
    <n v="3000"/>
    <s v="국민카드(2005)"/>
    <m/>
    <m/>
  </r>
  <r>
    <s v="2025-01-30"/>
    <x v="25"/>
    <s v="00001"/>
    <s v="차변"/>
    <s v="826"/>
    <s v="도서인쇄비(판)"/>
    <x v="2"/>
    <n v="63300"/>
    <n v="0"/>
    <n v="-63300"/>
    <s v="유한회사 아름다운세종문고"/>
    <m/>
    <m/>
  </r>
  <r>
    <s v="2025-01-30"/>
    <x v="25"/>
    <s v="00001"/>
    <s v="대변"/>
    <s v="101"/>
    <s v="현금"/>
    <x v="1"/>
    <n v="0"/>
    <n v="63300"/>
    <n v="63300"/>
    <s v="하나카드(4088)"/>
    <m/>
    <m/>
  </r>
  <r>
    <s v="2025-01-30"/>
    <x v="25"/>
    <s v="00002"/>
    <s v="차변"/>
    <s v="830"/>
    <s v="소모품비(판)"/>
    <x v="6"/>
    <n v="5900"/>
    <n v="0"/>
    <n v="-5900"/>
    <s v="에이플러스마트"/>
    <m/>
    <m/>
  </r>
  <r>
    <s v="2025-01-30"/>
    <x v="25"/>
    <s v="00002"/>
    <s v="대변"/>
    <s v="101"/>
    <s v="현금"/>
    <x v="1"/>
    <n v="0"/>
    <n v="5900"/>
    <n v="5900"/>
    <s v="하나카드(4088)"/>
    <m/>
    <m/>
  </r>
  <r>
    <s v="2025-01-31"/>
    <x v="26"/>
    <s v="00001"/>
    <s v="차변"/>
    <s v="802"/>
    <s v="직원급여(판)"/>
    <x v="18"/>
    <n v="1700000"/>
    <n v="0"/>
    <n v="-1700000"/>
    <m/>
    <s v="  "/>
    <s v="급여등지급"/>
  </r>
  <r>
    <s v="2025-01-31"/>
    <x v="26"/>
    <s v="00001"/>
    <s v="대변"/>
    <s v="101"/>
    <s v="현금"/>
    <x v="1"/>
    <n v="0"/>
    <n v="1476240"/>
    <n v="1476240"/>
    <m/>
    <s v="  "/>
    <s v="급여등지급"/>
  </r>
  <r>
    <s v="2025-01-31"/>
    <x v="26"/>
    <s v="00001"/>
    <s v="대변"/>
    <s v="254"/>
    <s v="예수금"/>
    <x v="12"/>
    <n v="0"/>
    <n v="149400"/>
    <n v="149400"/>
    <s v="국민연금공단"/>
    <s v="  "/>
    <s v="급여지급시 국민연금예수"/>
  </r>
  <r>
    <s v="2025-01-31"/>
    <x v="26"/>
    <s v="00001"/>
    <s v="대변"/>
    <s v="254"/>
    <s v="예수금"/>
    <x v="12"/>
    <n v="0"/>
    <n v="60260"/>
    <n v="60260"/>
    <s v="건강보험공단"/>
    <s v="  "/>
    <s v="급여지급시 건강보험예수"/>
  </r>
  <r>
    <s v="2025-01-31"/>
    <x v="26"/>
    <s v="00001"/>
    <s v="대변"/>
    <s v="254"/>
    <s v="예수금"/>
    <x v="12"/>
    <n v="0"/>
    <n v="6300"/>
    <n v="6300"/>
    <s v="근로복지공단"/>
    <s v="  "/>
    <s v="급여지급시 고용보험예수"/>
  </r>
  <r>
    <s v="2025-01-31"/>
    <x v="26"/>
    <s v="00001"/>
    <s v="대변"/>
    <s v="254"/>
    <s v="예수금"/>
    <x v="12"/>
    <n v="0"/>
    <n v="7800"/>
    <n v="7800"/>
    <s v="건강보험공단"/>
    <s v="  "/>
    <s v="급여지급시 장기요양보험예수"/>
  </r>
  <r>
    <s v="2025-01-31"/>
    <x v="26"/>
    <s v="00002"/>
    <s v="대변"/>
    <s v="101"/>
    <s v="현금"/>
    <x v="1"/>
    <n v="0"/>
    <n v="3000"/>
    <n v="3000"/>
    <s v="하나카드(4088)"/>
    <m/>
    <m/>
  </r>
  <r>
    <s v="2025-01-31"/>
    <x v="26"/>
    <s v="00002"/>
    <s v="차변"/>
    <s v="811"/>
    <s v="복리후생비(판)"/>
    <x v="8"/>
    <n v="3000"/>
    <n v="0"/>
    <n v="-3000"/>
    <s v="아이스홀릭 첨단점"/>
    <m/>
    <m/>
  </r>
  <r>
    <s v="2025-01-31"/>
    <x v="26"/>
    <s v="50001"/>
    <s v="차변"/>
    <s v="135"/>
    <s v="부가세대급금"/>
    <x v="5"/>
    <n v="10000"/>
    <n v="0"/>
    <n v="-10000"/>
    <s v="서찬영세무회계사무소"/>
    <m/>
    <s v="기장료"/>
  </r>
  <r>
    <s v="2025-01-31"/>
    <x v="26"/>
    <s v="50001"/>
    <s v="차변"/>
    <s v="831"/>
    <s v="지급수수료(판)"/>
    <x v="7"/>
    <n v="100000"/>
    <n v="0"/>
    <n v="-100000"/>
    <s v="서찬영세무회계사무소"/>
    <m/>
    <s v="기장료"/>
  </r>
  <r>
    <s v="2025-01-31"/>
    <x v="26"/>
    <s v="50001"/>
    <s v="대변"/>
    <s v="101"/>
    <s v="현금"/>
    <x v="1"/>
    <n v="0"/>
    <n v="110000"/>
    <n v="110000"/>
    <s v="서찬영세무회계사무소"/>
    <m/>
    <s v="기장료"/>
  </r>
  <r>
    <s v="2025-01-31"/>
    <x v="26"/>
    <s v="50002"/>
    <s v="차변"/>
    <s v="135"/>
    <s v="부가세대급금"/>
    <x v="5"/>
    <n v="614"/>
    <n v="0"/>
    <n v="-614"/>
    <s v="(주) 다우기술"/>
    <m/>
    <s v="엔팩스 서비스 사용료 1 X 6,136"/>
  </r>
  <r>
    <s v="2025-01-31"/>
    <x v="26"/>
    <s v="50002"/>
    <s v="차변"/>
    <s v="831"/>
    <s v="지급수수료(판)"/>
    <x v="7"/>
    <n v="6136"/>
    <n v="0"/>
    <n v="-6136"/>
    <s v="(주) 다우기술"/>
    <m/>
    <s v="엔팩스 서비스 사용료 1 X 6,136"/>
  </r>
  <r>
    <s v="2025-01-31"/>
    <x v="26"/>
    <s v="50002"/>
    <s v="대변"/>
    <s v="101"/>
    <s v="현금"/>
    <x v="1"/>
    <n v="0"/>
    <n v="6750"/>
    <n v="6750"/>
    <s v="(주) 다우기술"/>
    <m/>
    <s v="엔팩스 서비스 사용료 1 X 6,136"/>
  </r>
  <r>
    <s v="2025-01-31"/>
    <x v="26"/>
    <s v="50003"/>
    <s v="차변"/>
    <s v="135"/>
    <s v="부가세대급금"/>
    <x v="5"/>
    <n v="4000"/>
    <n v="0"/>
    <n v="-4000"/>
    <s v="효성에프엠에스(주)"/>
    <m/>
    <s v="01월CMS사용료-gjsals596"/>
  </r>
  <r>
    <s v="2025-01-31"/>
    <x v="26"/>
    <s v="50003"/>
    <s v="차변"/>
    <s v="831"/>
    <s v="지급수수료(판)"/>
    <x v="7"/>
    <n v="40000"/>
    <n v="0"/>
    <n v="-40000"/>
    <s v="효성에프엠에스(주)"/>
    <m/>
    <s v="01월CMS사용료-gjsals596"/>
  </r>
  <r>
    <s v="2025-01-31"/>
    <x v="26"/>
    <s v="50003"/>
    <s v="대변"/>
    <s v="101"/>
    <s v="현금"/>
    <x v="1"/>
    <n v="0"/>
    <n v="44000"/>
    <n v="44000"/>
    <s v="효성에프엠에스(주)"/>
    <m/>
    <s v="01월CMS사용료-gjsals596"/>
  </r>
  <r>
    <s v="2025-01-31"/>
    <x v="26"/>
    <s v="50004"/>
    <s v="차변"/>
    <s v="135"/>
    <s v="부가세대급금"/>
    <x v="5"/>
    <n v="725"/>
    <n v="0"/>
    <n v="-725"/>
    <s v="효성에프엠에스(주)"/>
    <m/>
    <s v="01월CMS수수료-gjsals596"/>
  </r>
  <r>
    <s v="2025-01-31"/>
    <x v="26"/>
    <s v="50004"/>
    <s v="차변"/>
    <s v="831"/>
    <s v="지급수수료(판)"/>
    <x v="7"/>
    <n v="7250"/>
    <n v="0"/>
    <n v="-7250"/>
    <s v="효성에프엠에스(주)"/>
    <m/>
    <s v="01월CMS수수료-gjsals596"/>
  </r>
  <r>
    <s v="2025-01-31"/>
    <x v="26"/>
    <s v="50004"/>
    <s v="대변"/>
    <s v="101"/>
    <s v="현금"/>
    <x v="1"/>
    <n v="0"/>
    <n v="7975"/>
    <n v="7975"/>
    <s v="효성에프엠에스(주)"/>
    <m/>
    <s v="01월CMS수수료-gjsals596"/>
  </r>
  <r>
    <s v="2025-01-31"/>
    <x v="26"/>
    <s v="50005"/>
    <s v="대변"/>
    <s v="255"/>
    <s v="부가세예수금"/>
    <x v="3"/>
    <n v="0"/>
    <n v="15000"/>
    <n v="15000"/>
    <s v="주식회사 푸른하늘청자"/>
    <m/>
    <s v="인사노무자문료 1 X 150,000"/>
  </r>
  <r>
    <s v="2025-01-31"/>
    <x v="26"/>
    <s v="50005"/>
    <s v="대변"/>
    <s v="401"/>
    <s v="용역매출"/>
    <x v="4"/>
    <n v="0"/>
    <n v="150000"/>
    <n v="150000"/>
    <s v="주식회사 푸른하늘청자"/>
    <m/>
    <s v="인사노무자문료 1 X 150,000"/>
  </r>
  <r>
    <s v="2025-01-31"/>
    <x v="26"/>
    <s v="50005"/>
    <s v="차변"/>
    <s v="101"/>
    <s v="현금"/>
    <x v="1"/>
    <n v="165000"/>
    <n v="0"/>
    <n v="-165000"/>
    <s v="주식회사 푸른하늘청자"/>
    <m/>
    <s v="인사노무자문료 1 X 150,000"/>
  </r>
  <r>
    <s v="2025-01-31"/>
    <x v="26"/>
    <s v="50006"/>
    <s v="대변"/>
    <s v="255"/>
    <s v="부가세예수금"/>
    <x v="3"/>
    <n v="0"/>
    <n v="20000"/>
    <n v="20000"/>
    <s v="첨단튼튼병원"/>
    <m/>
    <s v="인사노무자문료 1 X 200,000"/>
  </r>
  <r>
    <s v="2025-01-31"/>
    <x v="26"/>
    <s v="50006"/>
    <s v="대변"/>
    <s v="401"/>
    <s v="용역매출"/>
    <x v="4"/>
    <n v="0"/>
    <n v="200000"/>
    <n v="200000"/>
    <s v="첨단튼튼병원"/>
    <m/>
    <s v="인사노무자문료 1 X 200,000"/>
  </r>
  <r>
    <s v="2025-01-31"/>
    <x v="26"/>
    <s v="50006"/>
    <s v="차변"/>
    <s v="101"/>
    <s v="현금"/>
    <x v="1"/>
    <n v="220000"/>
    <n v="0"/>
    <n v="-220000"/>
    <s v="첨단튼튼병원"/>
    <m/>
    <s v="인사노무자문료 1 X 200,000"/>
  </r>
  <r>
    <s v="2025-01-31"/>
    <x v="26"/>
    <s v="50007"/>
    <s v="대변"/>
    <s v="255"/>
    <s v="부가세예수금"/>
    <x v="3"/>
    <n v="0"/>
    <n v="-15000"/>
    <n v="-15000"/>
    <s v="(주)유진테크노"/>
    <m/>
    <s v="인사노무자문료 -1 X 150,000"/>
  </r>
  <r>
    <s v="2025-01-31"/>
    <x v="26"/>
    <s v="50007"/>
    <s v="대변"/>
    <s v="401"/>
    <s v="용역매출"/>
    <x v="4"/>
    <n v="0"/>
    <n v="-150000"/>
    <n v="-150000"/>
    <s v="(주)유진테크노"/>
    <m/>
    <s v="인사노무자문료 -1 X 150,000"/>
  </r>
  <r>
    <s v="2025-01-31"/>
    <x v="26"/>
    <s v="50007"/>
    <s v="차변"/>
    <s v="101"/>
    <s v="현금"/>
    <x v="1"/>
    <n v="-165000"/>
    <n v="0"/>
    <n v="165000"/>
    <s v="(주)유진테크노"/>
    <m/>
    <s v="인사노무자문료 -1 X 150,000"/>
  </r>
  <r>
    <s v="2025-01-31"/>
    <x v="26"/>
    <s v="50008"/>
    <s v="대변"/>
    <s v="255"/>
    <s v="부가세예수금"/>
    <x v="3"/>
    <n v="0"/>
    <n v="5000"/>
    <n v="5000"/>
    <s v="서호통상"/>
    <m/>
    <s v="인사노무자문료 1 X 50,000"/>
  </r>
  <r>
    <s v="2025-01-31"/>
    <x v="26"/>
    <s v="50008"/>
    <s v="대변"/>
    <s v="401"/>
    <s v="용역매출"/>
    <x v="4"/>
    <n v="0"/>
    <n v="50000"/>
    <n v="50000"/>
    <s v="서호통상"/>
    <m/>
    <s v="인사노무자문료 1 X 50,000"/>
  </r>
  <r>
    <s v="2025-01-31"/>
    <x v="26"/>
    <s v="50008"/>
    <s v="차변"/>
    <s v="101"/>
    <s v="현금"/>
    <x v="1"/>
    <n v="55000"/>
    <n v="0"/>
    <n v="-55000"/>
    <s v="서호통상"/>
    <m/>
    <s v="인사노무자문료 1 X 50,000"/>
  </r>
  <r>
    <s v="2025-01-31"/>
    <x v="26"/>
    <s v="50009"/>
    <s v="대변"/>
    <s v="255"/>
    <s v="부가세예수금"/>
    <x v="3"/>
    <n v="0"/>
    <n v="20000"/>
    <n v="20000"/>
    <s v="(주)연합기업"/>
    <m/>
    <s v="인사노무자문료 1 X 200,000"/>
  </r>
  <r>
    <s v="2025-01-31"/>
    <x v="26"/>
    <s v="50009"/>
    <s v="대변"/>
    <s v="401"/>
    <s v="용역매출"/>
    <x v="4"/>
    <n v="0"/>
    <n v="200000"/>
    <n v="200000"/>
    <s v="(주)연합기업"/>
    <m/>
    <s v="인사노무자문료 1 X 200,000"/>
  </r>
  <r>
    <s v="2025-01-31"/>
    <x v="26"/>
    <s v="50009"/>
    <s v="차변"/>
    <s v="101"/>
    <s v="현금"/>
    <x v="1"/>
    <n v="220000"/>
    <n v="0"/>
    <n v="-220000"/>
    <s v="(주)연합기업"/>
    <m/>
    <s v="인사노무자문료 1 X 200,000"/>
  </r>
  <r>
    <s v="2025-01-31"/>
    <x v="26"/>
    <s v="50010"/>
    <s v="대변"/>
    <s v="255"/>
    <s v="부가세예수금"/>
    <x v="3"/>
    <n v="0"/>
    <n v="15000"/>
    <n v="15000"/>
    <s v="롤링파스타(수완점)"/>
    <m/>
    <s v="인사노무자문료 1 X 150,000"/>
  </r>
  <r>
    <s v="2025-01-31"/>
    <x v="26"/>
    <s v="50010"/>
    <s v="대변"/>
    <s v="401"/>
    <s v="용역매출"/>
    <x v="4"/>
    <n v="0"/>
    <n v="150000"/>
    <n v="150000"/>
    <s v="롤링파스타(수완점)"/>
    <m/>
    <s v="인사노무자문료 1 X 150,000"/>
  </r>
  <r>
    <s v="2025-01-31"/>
    <x v="26"/>
    <s v="50010"/>
    <s v="차변"/>
    <s v="101"/>
    <s v="현금"/>
    <x v="1"/>
    <n v="165000"/>
    <n v="0"/>
    <n v="-165000"/>
    <s v="롤링파스타(수완점)"/>
    <m/>
    <s v="인사노무자문료 1 X 150,000"/>
  </r>
  <r>
    <s v="2025-01-31"/>
    <x v="26"/>
    <s v="50011"/>
    <s v="대변"/>
    <s v="255"/>
    <s v="부가세예수금"/>
    <x v="3"/>
    <n v="0"/>
    <n v="9091"/>
    <n v="9091"/>
    <s v="깐깐한 족발(화정점)"/>
    <m/>
    <s v="인사노무자문료 1 X 90,909"/>
  </r>
  <r>
    <s v="2025-01-31"/>
    <x v="26"/>
    <s v="50011"/>
    <s v="대변"/>
    <s v="401"/>
    <s v="용역매출"/>
    <x v="4"/>
    <n v="0"/>
    <n v="90909"/>
    <n v="90909"/>
    <s v="깐깐한 족발(화정점)"/>
    <m/>
    <s v="인사노무자문료 1 X 90,909"/>
  </r>
  <r>
    <s v="2025-01-31"/>
    <x v="26"/>
    <s v="50011"/>
    <s v="차변"/>
    <s v="101"/>
    <s v="현금"/>
    <x v="1"/>
    <n v="100000"/>
    <n v="0"/>
    <n v="-100000"/>
    <s v="깐깐한 족발(화정점)"/>
    <m/>
    <s v="인사노무자문료 1 X 90,909"/>
  </r>
  <r>
    <s v="2025-01-31"/>
    <x v="26"/>
    <s v="50012"/>
    <s v="대변"/>
    <s v="255"/>
    <s v="부가세예수금"/>
    <x v="3"/>
    <n v="0"/>
    <n v="12000"/>
    <n v="12000"/>
    <s v="마루샤브"/>
    <m/>
    <s v="인사노무자문료 1 X 120,000"/>
  </r>
  <r>
    <s v="2025-01-31"/>
    <x v="26"/>
    <s v="50012"/>
    <s v="대변"/>
    <s v="401"/>
    <s v="용역매출"/>
    <x v="4"/>
    <n v="0"/>
    <n v="120000"/>
    <n v="120000"/>
    <s v="마루샤브"/>
    <m/>
    <s v="인사노무자문료 1 X 120,000"/>
  </r>
  <r>
    <s v="2025-01-31"/>
    <x v="26"/>
    <s v="50012"/>
    <s v="차변"/>
    <s v="101"/>
    <s v="현금"/>
    <x v="1"/>
    <n v="132000"/>
    <n v="0"/>
    <n v="-132000"/>
    <s v="마루샤브"/>
    <m/>
    <s v="인사노무자문료 1 X 120,000"/>
  </r>
  <r>
    <s v="2025-01-31"/>
    <x v="26"/>
    <s v="50013"/>
    <s v="대변"/>
    <s v="255"/>
    <s v="부가세예수금"/>
    <x v="3"/>
    <n v="0"/>
    <n v="15000"/>
    <n v="15000"/>
    <s v="라스(LAS)어린이치과의원"/>
    <m/>
    <s v="인사노무자문료 1 X 150,000"/>
  </r>
  <r>
    <s v="2025-01-31"/>
    <x v="26"/>
    <s v="50013"/>
    <s v="대변"/>
    <s v="401"/>
    <s v="용역매출"/>
    <x v="4"/>
    <n v="0"/>
    <n v="150000"/>
    <n v="150000"/>
    <s v="라스(LAS)어린이치과의원"/>
    <m/>
    <s v="인사노무자문료 1 X 150,000"/>
  </r>
  <r>
    <s v="2025-01-31"/>
    <x v="26"/>
    <s v="50013"/>
    <s v="차변"/>
    <s v="101"/>
    <s v="현금"/>
    <x v="1"/>
    <n v="165000"/>
    <n v="0"/>
    <n v="-165000"/>
    <s v="라스(LAS)어린이치과의원"/>
    <m/>
    <s v="인사노무자문료 1 X 150,000"/>
  </r>
  <r>
    <s v="2025-01-31"/>
    <x v="26"/>
    <s v="50014"/>
    <s v="대변"/>
    <s v="255"/>
    <s v="부가세예수금"/>
    <x v="3"/>
    <n v="0"/>
    <n v="15000"/>
    <n v="15000"/>
    <s v="(주)유진테크노"/>
    <m/>
    <s v="인사노무자문료 1 X 150,000"/>
  </r>
  <r>
    <s v="2025-01-31"/>
    <x v="26"/>
    <s v="50014"/>
    <s v="대변"/>
    <s v="401"/>
    <s v="용역매출"/>
    <x v="4"/>
    <n v="0"/>
    <n v="150000"/>
    <n v="150000"/>
    <s v="(주)유진테크노"/>
    <m/>
    <s v="인사노무자문료 1 X 150,000"/>
  </r>
  <r>
    <s v="2025-01-31"/>
    <x v="26"/>
    <s v="50014"/>
    <s v="차변"/>
    <s v="101"/>
    <s v="현금"/>
    <x v="1"/>
    <n v="165000"/>
    <n v="0"/>
    <n v="-165000"/>
    <s v="(주)유진테크노"/>
    <m/>
    <s v="인사노무자문료 1 X 150,000"/>
  </r>
  <r>
    <s v="2025-01-31"/>
    <x v="26"/>
    <s v="50015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1-31"/>
    <x v="26"/>
    <s v="50015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1-31"/>
    <x v="26"/>
    <s v="50015"/>
    <s v="차변"/>
    <s v="101"/>
    <s v="현금"/>
    <x v="1"/>
    <n v="330000"/>
    <n v="0"/>
    <n v="-330000"/>
    <s v="재단법인 광주광역시 여성가족재단"/>
    <m/>
    <s v="인사노무자문료 1 X 300,000"/>
  </r>
  <r>
    <s v="2025-01-31"/>
    <x v="26"/>
    <s v="50016"/>
    <s v="대변"/>
    <s v="255"/>
    <s v="부가세예수금"/>
    <x v="3"/>
    <n v="0"/>
    <n v="12000"/>
    <n v="12000"/>
    <s v="농업회사법인(주)황칠코리아"/>
    <m/>
    <s v="인사노무자문료 1 X 120,000"/>
  </r>
  <r>
    <s v="2025-01-31"/>
    <x v="26"/>
    <s v="50016"/>
    <s v="대변"/>
    <s v="401"/>
    <s v="용역매출"/>
    <x v="4"/>
    <n v="0"/>
    <n v="120000"/>
    <n v="120000"/>
    <s v="농업회사법인(주)황칠코리아"/>
    <m/>
    <s v="인사노무자문료 1 X 120,000"/>
  </r>
  <r>
    <s v="2025-01-31"/>
    <x v="26"/>
    <s v="50016"/>
    <s v="차변"/>
    <s v="101"/>
    <s v="현금"/>
    <x v="1"/>
    <n v="132000"/>
    <n v="0"/>
    <n v="-132000"/>
    <s v="농업회사법인(주)황칠코리아"/>
    <m/>
    <s v="인사노무자문료 1 X 120,000"/>
  </r>
  <r>
    <s v="2025-01-31"/>
    <x v="26"/>
    <s v="50017"/>
    <s v="대변"/>
    <s v="255"/>
    <s v="부가세예수금"/>
    <x v="3"/>
    <n v="0"/>
    <n v="7000"/>
    <n v="7000"/>
    <s v="(유)임마누엘"/>
    <m/>
    <s v="인사노무자문료 1 X 70,000"/>
  </r>
  <r>
    <s v="2025-01-31"/>
    <x v="26"/>
    <s v="50017"/>
    <s v="대변"/>
    <s v="401"/>
    <s v="용역매출"/>
    <x v="4"/>
    <n v="0"/>
    <n v="70000"/>
    <n v="70000"/>
    <s v="(유)임마누엘"/>
    <m/>
    <s v="인사노무자문료 1 X 70,000"/>
  </r>
  <r>
    <s v="2025-01-31"/>
    <x v="26"/>
    <s v="50017"/>
    <s v="차변"/>
    <s v="101"/>
    <s v="현금"/>
    <x v="1"/>
    <n v="77000"/>
    <n v="0"/>
    <n v="-77000"/>
    <s v="(유)임마누엘"/>
    <m/>
    <s v="인사노무자문료 1 X 70,000"/>
  </r>
  <r>
    <s v="2025-01-31"/>
    <x v="26"/>
    <s v="50018"/>
    <s v="대변"/>
    <s v="255"/>
    <s v="부가세예수금"/>
    <x v="3"/>
    <n v="0"/>
    <n v="15000"/>
    <n v="15000"/>
    <s v="(주)한국피엔피서비스"/>
    <m/>
    <s v="인사노무자문료 1 X 150,000"/>
  </r>
  <r>
    <s v="2025-01-31"/>
    <x v="26"/>
    <s v="50018"/>
    <s v="대변"/>
    <s v="401"/>
    <s v="용역매출"/>
    <x v="4"/>
    <n v="0"/>
    <n v="150000"/>
    <n v="150000"/>
    <s v="(주)한국피엔피서비스"/>
    <m/>
    <s v="인사노무자문료 1 X 150,000"/>
  </r>
  <r>
    <s v="2025-01-31"/>
    <x v="26"/>
    <s v="50018"/>
    <s v="차변"/>
    <s v="101"/>
    <s v="현금"/>
    <x v="1"/>
    <n v="165000"/>
    <n v="0"/>
    <n v="-165000"/>
    <s v="(주)한국피엔피서비스"/>
    <m/>
    <s v="인사노무자문료 1 X 150,000"/>
  </r>
  <r>
    <s v="2025-01-31"/>
    <x v="26"/>
    <s v="50019"/>
    <s v="입금"/>
    <s v="255"/>
    <s v="부가세예수금"/>
    <x v="3"/>
    <n v="0"/>
    <n v="27272"/>
    <n v="27272"/>
    <s v="소비자현금영수증매출"/>
    <s v="  "/>
    <s v="현금영수증매출"/>
  </r>
  <r>
    <s v="2025-01-31"/>
    <x v="26"/>
    <s v="50019"/>
    <s v="입금"/>
    <s v="101"/>
    <s v="현금"/>
    <x v="1"/>
    <n v="27272"/>
    <n v="0"/>
    <n v="-27272"/>
    <s v="소비자현금영수증매출"/>
    <s v="  "/>
    <s v="현금영수증매출"/>
  </r>
  <r>
    <s v="2025-01-31"/>
    <x v="26"/>
    <s v="50019"/>
    <s v="입금"/>
    <s v="401"/>
    <s v="용역매출"/>
    <x v="4"/>
    <n v="0"/>
    <n v="272728"/>
    <n v="272728"/>
    <s v="소비자현금영수증매출"/>
    <s v="  "/>
    <s v="현금영수증매출"/>
  </r>
  <r>
    <s v="2025-01-31"/>
    <x v="26"/>
    <s v="50019"/>
    <s v="입금"/>
    <s v="101"/>
    <s v="현금"/>
    <x v="1"/>
    <n v="272728"/>
    <n v="0"/>
    <n v="-272728"/>
    <s v="소비자현금영수증매출"/>
    <s v="  "/>
    <s v="현금영수증매출"/>
  </r>
  <r>
    <s v="2025-02-01"/>
    <x v="27"/>
    <s v="00001"/>
    <s v="대변"/>
    <s v="101"/>
    <s v="현금"/>
    <x v="1"/>
    <n v="0"/>
    <n v="1000"/>
    <n v="1000"/>
    <s v="국민카드(2005)"/>
    <m/>
    <m/>
  </r>
  <r>
    <s v="2025-02-01"/>
    <x v="27"/>
    <s v="00001"/>
    <s v="차변"/>
    <s v="812"/>
    <s v="여비교통비(판)"/>
    <x v="9"/>
    <n v="1000"/>
    <n v="0"/>
    <n v="-1000"/>
    <s v="주식회사 에스아이티"/>
    <m/>
    <m/>
  </r>
  <r>
    <s v="2025-02-01"/>
    <x v="27"/>
    <s v="00002"/>
    <s v="차변"/>
    <s v="811"/>
    <s v="복리후생비(판)"/>
    <x v="8"/>
    <n v="21900"/>
    <n v="0"/>
    <n v="-21900"/>
    <s v="굽네치킨첨단2호점"/>
    <m/>
    <m/>
  </r>
  <r>
    <s v="2025-02-01"/>
    <x v="27"/>
    <s v="00002"/>
    <s v="대변"/>
    <s v="101"/>
    <s v="현금"/>
    <x v="1"/>
    <n v="0"/>
    <n v="21900"/>
    <n v="21900"/>
    <s v="굽네치킨첨단2호점"/>
    <m/>
    <m/>
  </r>
  <r>
    <s v="2025-02-01"/>
    <x v="27"/>
    <s v="50001"/>
    <s v="대변"/>
    <s v="255"/>
    <s v="부가세예수금"/>
    <x v="3"/>
    <n v="0"/>
    <n v="16091"/>
    <n v="16091"/>
    <s v="샤브사랑"/>
    <m/>
    <s v="인사노무자문료(샤브사랑과통큰갈비) 1 X 160,909"/>
  </r>
  <r>
    <s v="2025-02-01"/>
    <x v="27"/>
    <s v="50001"/>
    <s v="대변"/>
    <s v="401"/>
    <s v="용역매출"/>
    <x v="4"/>
    <n v="0"/>
    <n v="160909"/>
    <n v="160909"/>
    <s v="샤브사랑"/>
    <m/>
    <s v="인사노무자문료(샤브사랑과통큰갈비) 1 X 160,909"/>
  </r>
  <r>
    <s v="2025-02-01"/>
    <x v="27"/>
    <s v="50001"/>
    <s v="차변"/>
    <s v="101"/>
    <s v="현금"/>
    <x v="1"/>
    <n v="177000"/>
    <n v="0"/>
    <n v="-177000"/>
    <s v="샤브사랑"/>
    <m/>
    <s v="인사노무자문료(샤브사랑과통큰갈비) 1 X 160,909"/>
  </r>
  <r>
    <s v="2025-02-01"/>
    <x v="27"/>
    <s v="50002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2-01"/>
    <x v="27"/>
    <s v="50002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2-01"/>
    <x v="27"/>
    <s v="50002"/>
    <s v="차변"/>
    <s v="101"/>
    <s v="현금"/>
    <x v="1"/>
    <n v="132000"/>
    <n v="0"/>
    <n v="-132000"/>
    <s v="재단법인 장성먹거리통합지원센터"/>
    <m/>
    <s v="인사노무자문료 1 X 120,000"/>
  </r>
  <r>
    <s v="2025-02-01"/>
    <x v="27"/>
    <s v="50003"/>
    <s v="대변"/>
    <s v="255"/>
    <s v="부가세예수금"/>
    <x v="3"/>
    <n v="0"/>
    <n v="15000"/>
    <n v="15000"/>
    <s v="(주)혁진팩"/>
    <m/>
    <s v="인사노무자문료 1 X 150,000"/>
  </r>
  <r>
    <s v="2025-02-01"/>
    <x v="27"/>
    <s v="50003"/>
    <s v="대변"/>
    <s v="401"/>
    <s v="용역매출"/>
    <x v="4"/>
    <n v="0"/>
    <n v="150000"/>
    <n v="150000"/>
    <s v="(주)혁진팩"/>
    <m/>
    <s v="인사노무자문료 1 X 150,000"/>
  </r>
  <r>
    <s v="2025-02-01"/>
    <x v="27"/>
    <s v="50003"/>
    <s v="차변"/>
    <s v="101"/>
    <s v="현금"/>
    <x v="1"/>
    <n v="165000"/>
    <n v="0"/>
    <n v="-165000"/>
    <s v="(주)혁진팩"/>
    <m/>
    <s v="인사노무자문료 1 X 150,000"/>
  </r>
  <r>
    <s v="2025-02-01"/>
    <x v="27"/>
    <s v="50004"/>
    <s v="대변"/>
    <s v="255"/>
    <s v="부가세예수금"/>
    <x v="3"/>
    <n v="0"/>
    <n v="15000"/>
    <n v="15000"/>
    <s v="(주)미래아이엔씨"/>
    <m/>
    <s v="인사노무자문료 1 X 150,000"/>
  </r>
  <r>
    <s v="2025-02-01"/>
    <x v="27"/>
    <s v="50004"/>
    <s v="대변"/>
    <s v="401"/>
    <s v="용역매출"/>
    <x v="4"/>
    <n v="0"/>
    <n v="150000"/>
    <n v="150000"/>
    <s v="(주)미래아이엔씨"/>
    <m/>
    <s v="인사노무자문료 1 X 150,000"/>
  </r>
  <r>
    <s v="2025-02-01"/>
    <x v="27"/>
    <s v="50004"/>
    <s v="차변"/>
    <s v="101"/>
    <s v="현금"/>
    <x v="1"/>
    <n v="165000"/>
    <n v="0"/>
    <n v="-165000"/>
    <s v="(주)미래아이엔씨"/>
    <m/>
    <s v="인사노무자문료 1 X 150,000"/>
  </r>
  <r>
    <s v="2025-02-01"/>
    <x v="27"/>
    <s v="50005"/>
    <s v="대변"/>
    <s v="255"/>
    <s v="부가세예수금"/>
    <x v="3"/>
    <n v="0"/>
    <n v="9091"/>
    <n v="9091"/>
    <s v="해드림재활주간보호센터"/>
    <m/>
    <s v="인사노무자문료 1 X 90,909"/>
  </r>
  <r>
    <s v="2025-02-01"/>
    <x v="27"/>
    <s v="50005"/>
    <s v="대변"/>
    <s v="401"/>
    <s v="용역매출"/>
    <x v="4"/>
    <n v="0"/>
    <n v="90909"/>
    <n v="90909"/>
    <s v="해드림재활주간보호센터"/>
    <m/>
    <s v="인사노무자문료 1 X 90,909"/>
  </r>
  <r>
    <s v="2025-02-01"/>
    <x v="27"/>
    <s v="50005"/>
    <s v="차변"/>
    <s v="101"/>
    <s v="현금"/>
    <x v="1"/>
    <n v="100000"/>
    <n v="0"/>
    <n v="-100000"/>
    <s v="해드림재활주간보호센터"/>
    <m/>
    <s v="인사노무자문료 1 X 90,909"/>
  </r>
  <r>
    <s v="2025-02-02"/>
    <x v="28"/>
    <s v="50001"/>
    <s v="대변"/>
    <s v="101"/>
    <s v="현금"/>
    <x v="1"/>
    <n v="0"/>
    <n v="19500"/>
    <n v="19500"/>
    <s v="국민카드(2005)"/>
    <m/>
    <m/>
  </r>
  <r>
    <s v="2025-02-02"/>
    <x v="28"/>
    <s v="50001"/>
    <s v="차변"/>
    <s v="830"/>
    <s v="소모품비(판)"/>
    <x v="6"/>
    <n v="17728"/>
    <n v="0"/>
    <n v="-17728"/>
    <s v="다이소아성산업"/>
    <s v="  "/>
    <m/>
  </r>
  <r>
    <s v="2025-02-02"/>
    <x v="28"/>
    <s v="50001"/>
    <s v="차변"/>
    <s v="135"/>
    <s v="부가세대급금"/>
    <x v="5"/>
    <n v="1772"/>
    <n v="0"/>
    <n v="-1772"/>
    <s v="다이소아성산업"/>
    <s v="  "/>
    <m/>
  </r>
  <r>
    <s v="2025-02-03"/>
    <x v="29"/>
    <s v="00001"/>
    <s v="차변"/>
    <s v="811"/>
    <s v="복리후생비(판)"/>
    <x v="8"/>
    <n v="3000"/>
    <n v="0"/>
    <n v="-3000"/>
    <s v="김밥랜드"/>
    <m/>
    <m/>
  </r>
  <r>
    <s v="2025-02-03"/>
    <x v="29"/>
    <s v="00001"/>
    <s v="대변"/>
    <s v="101"/>
    <s v="현금"/>
    <x v="1"/>
    <n v="0"/>
    <n v="3000"/>
    <n v="3000"/>
    <s v="하나카드(4088)"/>
    <m/>
    <m/>
  </r>
  <r>
    <s v="2025-02-03"/>
    <x v="29"/>
    <s v="00002"/>
    <s v="차변"/>
    <s v="830"/>
    <s v="소모품비(판)"/>
    <x v="6"/>
    <n v="3300"/>
    <n v="0"/>
    <n v="-3300"/>
    <s v="세븐일레븐 광주와이어스파크점"/>
    <m/>
    <m/>
  </r>
  <r>
    <s v="2025-02-03"/>
    <x v="29"/>
    <s v="00002"/>
    <s v="대변"/>
    <s v="101"/>
    <s v="현금"/>
    <x v="1"/>
    <n v="0"/>
    <n v="3300"/>
    <n v="3300"/>
    <s v="현대카드(4817)"/>
    <m/>
    <m/>
  </r>
  <r>
    <s v="2025-02-03"/>
    <x v="29"/>
    <s v="00003"/>
    <s v="대변"/>
    <s v="101"/>
    <s v="현금"/>
    <x v="1"/>
    <n v="0"/>
    <n v="25930"/>
    <n v="25930"/>
    <s v="그란데"/>
    <m/>
    <m/>
  </r>
  <r>
    <s v="2025-02-03"/>
    <x v="29"/>
    <s v="00003"/>
    <s v="차변"/>
    <s v="830"/>
    <s v="소모품비(판)"/>
    <x v="6"/>
    <n v="25930"/>
    <n v="0"/>
    <n v="-25930"/>
    <s v="그란데"/>
    <m/>
    <m/>
  </r>
  <r>
    <s v="2025-02-03"/>
    <x v="29"/>
    <s v="00004"/>
    <s v="대변"/>
    <s v="101"/>
    <s v="현금"/>
    <x v="1"/>
    <n v="0"/>
    <n v="3973"/>
    <n v="3973"/>
    <s v="그란데"/>
    <m/>
    <m/>
  </r>
  <r>
    <s v="2025-02-03"/>
    <x v="29"/>
    <s v="00004"/>
    <s v="차변"/>
    <s v="830"/>
    <s v="소모품비(판)"/>
    <x v="6"/>
    <n v="3973"/>
    <n v="0"/>
    <n v="-3973"/>
    <s v="그란데"/>
    <m/>
    <m/>
  </r>
  <r>
    <s v="2025-02-03"/>
    <x v="29"/>
    <s v="50001"/>
    <s v="대변"/>
    <s v="255"/>
    <s v="부가세예수금"/>
    <x v="3"/>
    <n v="0"/>
    <n v="15000"/>
    <n v="15000"/>
    <s v="(주)유진테크노"/>
    <m/>
    <s v="인사노무자문료 1 X 150,000"/>
  </r>
  <r>
    <s v="2025-02-03"/>
    <x v="29"/>
    <s v="50001"/>
    <s v="대변"/>
    <s v="401"/>
    <s v="용역매출"/>
    <x v="4"/>
    <n v="0"/>
    <n v="150000"/>
    <n v="150000"/>
    <s v="(주)유진테크노"/>
    <m/>
    <s v="인사노무자문료 1 X 150,000"/>
  </r>
  <r>
    <s v="2025-02-03"/>
    <x v="29"/>
    <s v="50001"/>
    <s v="차변"/>
    <s v="101"/>
    <s v="현금"/>
    <x v="1"/>
    <n v="165000"/>
    <n v="0"/>
    <n v="-165000"/>
    <s v="(주)유진테크노"/>
    <m/>
    <s v="인사노무자문료 1 X 150,000"/>
  </r>
  <r>
    <s v="2025-02-03"/>
    <x v="29"/>
    <s v="50002"/>
    <s v="대변"/>
    <s v="255"/>
    <s v="부가세예수금"/>
    <x v="3"/>
    <n v="0"/>
    <n v="15000"/>
    <n v="15000"/>
    <s v="(주)유진테크노"/>
    <m/>
    <s v="인사노무자문료 1 X 150,000"/>
  </r>
  <r>
    <s v="2025-02-03"/>
    <x v="29"/>
    <s v="50002"/>
    <s v="대변"/>
    <s v="401"/>
    <s v="용역매출"/>
    <x v="4"/>
    <n v="0"/>
    <n v="150000"/>
    <n v="150000"/>
    <s v="(주)유진테크노"/>
    <m/>
    <s v="인사노무자문료 1 X 150,000"/>
  </r>
  <r>
    <s v="2025-02-03"/>
    <x v="29"/>
    <s v="50002"/>
    <s v="차변"/>
    <s v="101"/>
    <s v="현금"/>
    <x v="1"/>
    <n v="165000"/>
    <n v="0"/>
    <n v="-165000"/>
    <s v="(주)유진테크노"/>
    <m/>
    <s v="인사노무자문료 1 X 150,000"/>
  </r>
  <r>
    <s v="2025-02-03"/>
    <x v="29"/>
    <s v="50003"/>
    <s v="대변"/>
    <s v="255"/>
    <s v="부가세예수금"/>
    <x v="3"/>
    <n v="0"/>
    <n v="-15000"/>
    <n v="-15000"/>
    <s v="(주)유진테크노"/>
    <m/>
    <s v="인사노무자문료 -1 X 150,000"/>
  </r>
  <r>
    <s v="2025-02-03"/>
    <x v="29"/>
    <s v="50003"/>
    <s v="대변"/>
    <s v="401"/>
    <s v="용역매출"/>
    <x v="4"/>
    <n v="0"/>
    <n v="-150000"/>
    <n v="-150000"/>
    <s v="(주)유진테크노"/>
    <m/>
    <s v="인사노무자문료 -1 X 150,000"/>
  </r>
  <r>
    <s v="2025-02-03"/>
    <x v="29"/>
    <s v="50003"/>
    <s v="차변"/>
    <s v="101"/>
    <s v="현금"/>
    <x v="1"/>
    <n v="-165000"/>
    <n v="0"/>
    <n v="165000"/>
    <s v="(주)유진테크노"/>
    <m/>
    <s v="인사노무자문료 -1 X 150,000"/>
  </r>
  <r>
    <s v="2025-02-03"/>
    <x v="29"/>
    <s v="50004"/>
    <s v="대변"/>
    <s v="255"/>
    <s v="부가세예수금"/>
    <x v="3"/>
    <n v="0"/>
    <n v="-15000"/>
    <n v="-15000"/>
    <s v="(주)유진테크노"/>
    <m/>
    <s v="인사노무자문료 -1 X 150,000"/>
  </r>
  <r>
    <s v="2025-02-03"/>
    <x v="29"/>
    <s v="50004"/>
    <s v="대변"/>
    <s v="401"/>
    <s v="용역매출"/>
    <x v="4"/>
    <n v="0"/>
    <n v="-150000"/>
    <n v="-150000"/>
    <s v="(주)유진테크노"/>
    <m/>
    <s v="인사노무자문료 -1 X 150,000"/>
  </r>
  <r>
    <s v="2025-02-03"/>
    <x v="29"/>
    <s v="50004"/>
    <s v="차변"/>
    <s v="101"/>
    <s v="현금"/>
    <x v="1"/>
    <n v="-165000"/>
    <n v="0"/>
    <n v="165000"/>
    <s v="(주)유진테크노"/>
    <m/>
    <s v="인사노무자문료 -1 X 150,000"/>
  </r>
  <r>
    <s v="2025-02-03"/>
    <x v="29"/>
    <s v="50005"/>
    <s v="대변"/>
    <s v="255"/>
    <s v="부가세예수금"/>
    <x v="3"/>
    <n v="0"/>
    <n v="10000"/>
    <n v="10000"/>
    <s v="주식회사 주영테크"/>
    <m/>
    <s v="인사노무자문료 1 X 100,000"/>
  </r>
  <r>
    <s v="2025-02-03"/>
    <x v="29"/>
    <s v="50005"/>
    <s v="대변"/>
    <s v="401"/>
    <s v="용역매출"/>
    <x v="4"/>
    <n v="0"/>
    <n v="100000"/>
    <n v="100000"/>
    <s v="주식회사 주영테크"/>
    <m/>
    <s v="인사노무자문료 1 X 100,000"/>
  </r>
  <r>
    <s v="2025-02-03"/>
    <x v="29"/>
    <s v="50005"/>
    <s v="차변"/>
    <s v="101"/>
    <s v="현금"/>
    <x v="1"/>
    <n v="110000"/>
    <n v="0"/>
    <n v="-110000"/>
    <s v="주식회사 주영테크"/>
    <m/>
    <s v="인사노무자문료 1 X 100,000"/>
  </r>
  <r>
    <s v="2025-02-03"/>
    <x v="29"/>
    <s v="50006"/>
    <s v="대변"/>
    <s v="255"/>
    <s v="부가세예수금"/>
    <x v="3"/>
    <n v="0"/>
    <n v="12000"/>
    <n v="12000"/>
    <s v="용성이앤지"/>
    <m/>
    <s v="인사노무자문료 1 X 120,000"/>
  </r>
  <r>
    <s v="2025-02-03"/>
    <x v="29"/>
    <s v="50006"/>
    <s v="대변"/>
    <s v="401"/>
    <s v="용역매출"/>
    <x v="4"/>
    <n v="0"/>
    <n v="120000"/>
    <n v="120000"/>
    <s v="용성이앤지"/>
    <m/>
    <s v="인사노무자문료 1 X 120,000"/>
  </r>
  <r>
    <s v="2025-02-03"/>
    <x v="29"/>
    <s v="50006"/>
    <s v="차변"/>
    <s v="101"/>
    <s v="현금"/>
    <x v="1"/>
    <n v="132000"/>
    <n v="0"/>
    <n v="-132000"/>
    <s v="용성이앤지"/>
    <m/>
    <s v="인사노무자문료 1 X 120,000"/>
  </r>
  <r>
    <s v="2025-02-03"/>
    <x v="29"/>
    <s v="50007"/>
    <s v="대변"/>
    <s v="255"/>
    <s v="부가세예수금"/>
    <x v="3"/>
    <n v="0"/>
    <n v="15000"/>
    <n v="15000"/>
    <s v="(주)유진테크노"/>
    <m/>
    <s v="인사노무자문료 1 X 150,000"/>
  </r>
  <r>
    <s v="2025-02-03"/>
    <x v="29"/>
    <s v="50007"/>
    <s v="대변"/>
    <s v="401"/>
    <s v="용역매출"/>
    <x v="4"/>
    <n v="0"/>
    <n v="150000"/>
    <n v="150000"/>
    <s v="(주)유진테크노"/>
    <m/>
    <s v="인사노무자문료 1 X 150,000"/>
  </r>
  <r>
    <s v="2025-02-03"/>
    <x v="29"/>
    <s v="50007"/>
    <s v="차변"/>
    <s v="101"/>
    <s v="현금"/>
    <x v="1"/>
    <n v="165000"/>
    <n v="0"/>
    <n v="-165000"/>
    <s v="(주)유진테크노"/>
    <m/>
    <s v="인사노무자문료 1 X 150,000"/>
  </r>
  <r>
    <s v="2025-02-03"/>
    <x v="29"/>
    <s v="50008"/>
    <s v="대변"/>
    <s v="255"/>
    <s v="부가세예수금"/>
    <x v="3"/>
    <n v="0"/>
    <n v="15000"/>
    <n v="15000"/>
    <s v="연세탑신경외과"/>
    <m/>
    <s v="인사노무자문료 1 X 150,000"/>
  </r>
  <r>
    <s v="2025-02-03"/>
    <x v="29"/>
    <s v="50008"/>
    <s v="대변"/>
    <s v="401"/>
    <s v="용역매출"/>
    <x v="4"/>
    <n v="0"/>
    <n v="150000"/>
    <n v="150000"/>
    <s v="연세탑신경외과"/>
    <m/>
    <s v="인사노무자문료 1 X 150,000"/>
  </r>
  <r>
    <s v="2025-02-03"/>
    <x v="29"/>
    <s v="50008"/>
    <s v="차변"/>
    <s v="101"/>
    <s v="현금"/>
    <x v="1"/>
    <n v="165000"/>
    <n v="0"/>
    <n v="-165000"/>
    <s v="연세탑신경외과"/>
    <m/>
    <s v="인사노무자문료 1 X 150,000"/>
  </r>
  <r>
    <s v="2025-02-03"/>
    <x v="29"/>
    <s v="50009"/>
    <s v="대변"/>
    <s v="255"/>
    <s v="부가세예수금"/>
    <x v="3"/>
    <n v="0"/>
    <n v="10000"/>
    <n v="10000"/>
    <s v="와이앤애드"/>
    <m/>
    <s v="인사노무자문료 1 X 100,000"/>
  </r>
  <r>
    <s v="2025-02-03"/>
    <x v="29"/>
    <s v="50009"/>
    <s v="대변"/>
    <s v="401"/>
    <s v="용역매출"/>
    <x v="4"/>
    <n v="0"/>
    <n v="100000"/>
    <n v="100000"/>
    <s v="와이앤애드"/>
    <m/>
    <s v="인사노무자문료 1 X 100,000"/>
  </r>
  <r>
    <s v="2025-02-03"/>
    <x v="29"/>
    <s v="50009"/>
    <s v="차변"/>
    <s v="101"/>
    <s v="현금"/>
    <x v="1"/>
    <n v="110000"/>
    <n v="0"/>
    <n v="-110000"/>
    <s v="와이앤애드"/>
    <m/>
    <s v="인사노무자문료 1 X 100,000"/>
  </r>
  <r>
    <s v="2025-02-03"/>
    <x v="29"/>
    <s v="50010"/>
    <s v="대변"/>
    <s v="255"/>
    <s v="부가세예수금"/>
    <x v="3"/>
    <n v="0"/>
    <n v="15000"/>
    <n v="15000"/>
    <s v="주식회사 수연"/>
    <m/>
    <s v="인사노무자문료 1 X 150,000"/>
  </r>
  <r>
    <s v="2025-02-03"/>
    <x v="29"/>
    <s v="50010"/>
    <s v="대변"/>
    <s v="401"/>
    <s v="용역매출"/>
    <x v="4"/>
    <n v="0"/>
    <n v="150000"/>
    <n v="150000"/>
    <s v="주식회사 수연"/>
    <m/>
    <s v="인사노무자문료 1 X 150,000"/>
  </r>
  <r>
    <s v="2025-02-03"/>
    <x v="29"/>
    <s v="50010"/>
    <s v="차변"/>
    <s v="101"/>
    <s v="현금"/>
    <x v="1"/>
    <n v="165000"/>
    <n v="0"/>
    <n v="-165000"/>
    <s v="주식회사 수연"/>
    <m/>
    <s v="인사노무자문료 1 X 150,000"/>
  </r>
  <r>
    <s v="2025-02-03"/>
    <x v="29"/>
    <s v="50011"/>
    <s v="대변"/>
    <s v="255"/>
    <s v="부가세예수금"/>
    <x v="3"/>
    <n v="0"/>
    <n v="15000"/>
    <n v="15000"/>
    <s v="청담리브의원"/>
    <m/>
    <s v="인사노무자문료 1 X 150,000"/>
  </r>
  <r>
    <s v="2025-02-03"/>
    <x v="29"/>
    <s v="50011"/>
    <s v="대변"/>
    <s v="401"/>
    <s v="용역매출"/>
    <x v="4"/>
    <n v="0"/>
    <n v="150000"/>
    <n v="150000"/>
    <s v="청담리브의원"/>
    <m/>
    <s v="인사노무자문료 1 X 150,000"/>
  </r>
  <r>
    <s v="2025-02-03"/>
    <x v="29"/>
    <s v="50011"/>
    <s v="차변"/>
    <s v="101"/>
    <s v="현금"/>
    <x v="1"/>
    <n v="165000"/>
    <n v="0"/>
    <n v="-165000"/>
    <s v="청담리브의원"/>
    <m/>
    <s v="인사노무자문료 1 X 150,000"/>
  </r>
  <r>
    <s v="2025-02-04"/>
    <x v="30"/>
    <s v="00001"/>
    <s v="차변"/>
    <s v="812"/>
    <s v="여비교통비(판)"/>
    <x v="9"/>
    <n v="27000"/>
    <n v="0"/>
    <n v="-27000"/>
    <s v="밤실마을"/>
    <m/>
    <m/>
  </r>
  <r>
    <s v="2025-02-04"/>
    <x v="30"/>
    <s v="00001"/>
    <s v="대변"/>
    <s v="101"/>
    <s v="현금"/>
    <x v="1"/>
    <n v="0"/>
    <n v="27000"/>
    <n v="27000"/>
    <s v="현대카드(4817)"/>
    <m/>
    <m/>
  </r>
  <r>
    <s v="2025-02-04"/>
    <x v="30"/>
    <s v="00002"/>
    <s v="대변"/>
    <s v="101"/>
    <s v="현금"/>
    <x v="1"/>
    <n v="0"/>
    <n v="19900"/>
    <n v="19900"/>
    <s v="주식회사 메종"/>
    <m/>
    <m/>
  </r>
  <r>
    <s v="2025-02-04"/>
    <x v="30"/>
    <s v="00002"/>
    <s v="차변"/>
    <s v="830"/>
    <s v="소모품비(판)"/>
    <x v="6"/>
    <n v="19900"/>
    <n v="0"/>
    <n v="-19900"/>
    <s v="주식회사 메종"/>
    <m/>
    <m/>
  </r>
  <r>
    <s v="2025-02-04"/>
    <x v="30"/>
    <s v="50001"/>
    <s v="차변"/>
    <s v="135"/>
    <s v="부가세대급금"/>
    <x v="5"/>
    <n v="1159"/>
    <n v="0"/>
    <n v="-1159"/>
    <s v="㈜LG유플러스"/>
    <m/>
    <s v="2025년 02월 서비스 이용료 매출"/>
  </r>
  <r>
    <s v="2025-02-04"/>
    <x v="30"/>
    <s v="50001"/>
    <s v="차변"/>
    <s v="814"/>
    <s v="통신비(판)"/>
    <x v="10"/>
    <n v="11599"/>
    <n v="0"/>
    <n v="-11599"/>
    <s v="㈜LG유플러스"/>
    <m/>
    <s v="2025년 02월 서비스 이용료 매출"/>
  </r>
  <r>
    <s v="2025-02-04"/>
    <x v="30"/>
    <s v="50001"/>
    <s v="대변"/>
    <s v="101"/>
    <s v="현금"/>
    <x v="1"/>
    <n v="0"/>
    <n v="12758"/>
    <n v="12758"/>
    <s v="㈜LG유플러스"/>
    <m/>
    <s v="2025년 02월 서비스 이용료 매출"/>
  </r>
  <r>
    <s v="2025-02-05"/>
    <x v="31"/>
    <s v="00001"/>
    <s v="차변"/>
    <s v="811"/>
    <s v="복리후생비(판)"/>
    <x v="8"/>
    <n v="13000"/>
    <n v="0"/>
    <n v="-13000"/>
    <s v="본죽&amp;비빔밥광주첨단점"/>
    <m/>
    <m/>
  </r>
  <r>
    <s v="2025-02-05"/>
    <x v="31"/>
    <s v="00001"/>
    <s v="대변"/>
    <s v="101"/>
    <s v="현금"/>
    <x v="1"/>
    <n v="0"/>
    <n v="13000"/>
    <n v="13000"/>
    <s v="현대카드(4817)"/>
    <m/>
    <m/>
  </r>
  <r>
    <s v="2025-02-05"/>
    <x v="31"/>
    <s v="00002"/>
    <s v="차변"/>
    <s v="830"/>
    <s v="소모품비(판)"/>
    <x v="6"/>
    <n v="15000"/>
    <n v="0"/>
    <n v="-15000"/>
    <s v="KCP - ( 주 ) 위메프"/>
    <m/>
    <m/>
  </r>
  <r>
    <s v="2025-02-05"/>
    <x v="31"/>
    <s v="00002"/>
    <s v="대변"/>
    <s v="101"/>
    <s v="현금"/>
    <x v="1"/>
    <n v="0"/>
    <n v="15000"/>
    <n v="15000"/>
    <s v="현대카드(4817)"/>
    <m/>
    <m/>
  </r>
  <r>
    <s v="2025-02-05"/>
    <x v="31"/>
    <s v="00003"/>
    <s v="차변"/>
    <s v="812"/>
    <s v="여비교통비(판)"/>
    <x v="9"/>
    <n v="1900"/>
    <n v="0"/>
    <n v="-1900"/>
    <s v="(주)원일유통 강천산(광주)휴게소"/>
    <m/>
    <m/>
  </r>
  <r>
    <s v="2025-02-05"/>
    <x v="31"/>
    <s v="00003"/>
    <s v="대변"/>
    <s v="101"/>
    <s v="현금"/>
    <x v="1"/>
    <n v="0"/>
    <n v="1900"/>
    <n v="1900"/>
    <s v="현대카드(4817)"/>
    <m/>
    <m/>
  </r>
  <r>
    <s v="2025-02-05"/>
    <x v="31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2-05"/>
    <x v="31"/>
    <s v="50001"/>
    <s v="대변"/>
    <s v="401"/>
    <s v="용역매출"/>
    <x v="4"/>
    <n v="0"/>
    <n v="400000"/>
    <n v="400000"/>
    <s v="(주)모아주택산업"/>
    <m/>
    <s v="인사노무자문료 1 X 400,000"/>
  </r>
  <r>
    <s v="2025-02-05"/>
    <x v="31"/>
    <s v="50001"/>
    <s v="차변"/>
    <s v="101"/>
    <s v="현금"/>
    <x v="1"/>
    <n v="440000"/>
    <n v="0"/>
    <n v="-440000"/>
    <s v="(주)모아주택산업"/>
    <m/>
    <s v="인사노무자문료 1 X 400,000"/>
  </r>
  <r>
    <s v="2025-02-06"/>
    <x v="32"/>
    <s v="00001"/>
    <s v="대변"/>
    <s v="101"/>
    <s v="현금"/>
    <x v="1"/>
    <n v="0"/>
    <n v="1000"/>
    <n v="1000"/>
    <s v="현대카드(4817)"/>
    <m/>
    <m/>
  </r>
  <r>
    <s v="2025-02-06"/>
    <x v="32"/>
    <s v="00001"/>
    <s v="차변"/>
    <s v="812"/>
    <s v="여비교통비(판)"/>
    <x v="9"/>
    <n v="1000"/>
    <n v="0"/>
    <n v="-1000"/>
    <s v="(주)대성전자유통"/>
    <m/>
    <m/>
  </r>
  <r>
    <s v="2025-02-06"/>
    <x v="32"/>
    <s v="00002"/>
    <s v="차변"/>
    <s v="811"/>
    <s v="복리후생비(판)"/>
    <x v="8"/>
    <n v="33707"/>
    <n v="0"/>
    <n v="-33707"/>
    <s v="정광석항아리보쌈첨단점"/>
    <m/>
    <m/>
  </r>
  <r>
    <s v="2025-02-06"/>
    <x v="32"/>
    <s v="00002"/>
    <s v="대변"/>
    <s v="101"/>
    <s v="현금"/>
    <x v="1"/>
    <n v="0"/>
    <n v="33707"/>
    <n v="33707"/>
    <s v="정광석항아리보쌈첨단점"/>
    <m/>
    <m/>
  </r>
  <r>
    <s v="2025-02-06"/>
    <x v="32"/>
    <s v="50001"/>
    <s v="대변"/>
    <s v="255"/>
    <s v="부가세예수금"/>
    <x v="3"/>
    <n v="0"/>
    <n v="15000"/>
    <n v="15000"/>
    <s v="광주미래의원"/>
    <m/>
    <s v="인사노무자문료 1 X 150,000"/>
  </r>
  <r>
    <s v="2025-02-06"/>
    <x v="32"/>
    <s v="50001"/>
    <s v="대변"/>
    <s v="401"/>
    <s v="용역매출"/>
    <x v="4"/>
    <n v="0"/>
    <n v="150000"/>
    <n v="150000"/>
    <s v="광주미래의원"/>
    <m/>
    <s v="인사노무자문료 1 X 150,000"/>
  </r>
  <r>
    <s v="2025-02-06"/>
    <x v="32"/>
    <s v="50001"/>
    <s v="차변"/>
    <s v="101"/>
    <s v="현금"/>
    <x v="1"/>
    <n v="165000"/>
    <n v="0"/>
    <n v="-165000"/>
    <s v="광주미래의원"/>
    <m/>
    <s v="인사노무자문료 1 X 150,000"/>
  </r>
  <r>
    <s v="2025-02-06"/>
    <x v="32"/>
    <s v="50002"/>
    <s v="대변"/>
    <s v="255"/>
    <s v="부가세예수금"/>
    <x v="3"/>
    <n v="0"/>
    <n v="10000"/>
    <n v="10000"/>
    <s v="정원기업"/>
    <m/>
    <s v="인사노무자문료 1 X 100,000"/>
  </r>
  <r>
    <s v="2025-02-06"/>
    <x v="32"/>
    <s v="50002"/>
    <s v="대변"/>
    <s v="401"/>
    <s v="용역매출"/>
    <x v="4"/>
    <n v="0"/>
    <n v="100000"/>
    <n v="100000"/>
    <s v="정원기업"/>
    <m/>
    <s v="인사노무자문료 1 X 100,000"/>
  </r>
  <r>
    <s v="2025-02-06"/>
    <x v="32"/>
    <s v="50002"/>
    <s v="차변"/>
    <s v="101"/>
    <s v="현금"/>
    <x v="1"/>
    <n v="110000"/>
    <n v="0"/>
    <n v="-110000"/>
    <s v="정원기업"/>
    <m/>
    <s v="인사노무자문료 1 X 100,000"/>
  </r>
  <r>
    <s v="2025-02-06"/>
    <x v="32"/>
    <s v="50003"/>
    <s v="대변"/>
    <s v="101"/>
    <s v="현금"/>
    <x v="1"/>
    <n v="0"/>
    <n v="172000"/>
    <n v="172000"/>
    <s v="현대카드(4817)"/>
    <m/>
    <m/>
  </r>
  <r>
    <s v="2025-02-06"/>
    <x v="32"/>
    <s v="50003"/>
    <s v="차변"/>
    <s v="830"/>
    <s v="소모품비(판)"/>
    <x v="6"/>
    <n v="156364"/>
    <n v="0"/>
    <n v="-156364"/>
    <s v="토스페이먼츠 주식회사"/>
    <s v="  "/>
    <m/>
  </r>
  <r>
    <s v="2025-02-06"/>
    <x v="32"/>
    <s v="50003"/>
    <s v="차변"/>
    <s v="135"/>
    <s v="부가세대급금"/>
    <x v="5"/>
    <n v="15636"/>
    <n v="0"/>
    <n v="-15636"/>
    <s v="토스페이먼츠 주식회사"/>
    <s v="  "/>
    <m/>
  </r>
  <r>
    <s v="2025-02-07"/>
    <x v="33"/>
    <s v="00001"/>
    <s v="차변"/>
    <s v="811"/>
    <s v="복리후생비(판)"/>
    <x v="8"/>
    <n v="3000"/>
    <n v="0"/>
    <n v="-3000"/>
    <s v="김밥랜드"/>
    <m/>
    <m/>
  </r>
  <r>
    <s v="2025-02-07"/>
    <x v="33"/>
    <s v="00001"/>
    <s v="대변"/>
    <s v="101"/>
    <s v="현금"/>
    <x v="1"/>
    <n v="0"/>
    <n v="3000"/>
    <n v="3000"/>
    <s v="하나카드(4088)"/>
    <m/>
    <m/>
  </r>
  <r>
    <s v="2025-02-07"/>
    <x v="33"/>
    <s v="00002"/>
    <s v="차변"/>
    <s v="830"/>
    <s v="소모품비(판)"/>
    <x v="6"/>
    <n v="4000"/>
    <n v="0"/>
    <n v="-4000"/>
    <s v="다이소광주첨단2지구점"/>
    <m/>
    <m/>
  </r>
  <r>
    <s v="2025-02-07"/>
    <x v="33"/>
    <s v="00002"/>
    <s v="대변"/>
    <s v="101"/>
    <s v="현금"/>
    <x v="1"/>
    <n v="0"/>
    <n v="4000"/>
    <n v="4000"/>
    <s v="하나카드(4088)"/>
    <m/>
    <m/>
  </r>
  <r>
    <s v="2025-02-07"/>
    <x v="33"/>
    <s v="00003"/>
    <s v="차변"/>
    <s v="830"/>
    <s v="소모품비(판)"/>
    <x v="6"/>
    <n v="12200"/>
    <n v="0"/>
    <n v="-12200"/>
    <s v="햇살마트"/>
    <m/>
    <m/>
  </r>
  <r>
    <s v="2025-02-07"/>
    <x v="33"/>
    <s v="00003"/>
    <s v="대변"/>
    <s v="101"/>
    <s v="현금"/>
    <x v="1"/>
    <n v="0"/>
    <n v="12200"/>
    <n v="12200"/>
    <s v="하나카드(4088)"/>
    <m/>
    <m/>
  </r>
  <r>
    <s v="2025-02-07"/>
    <x v="33"/>
    <s v="00004"/>
    <s v="대변"/>
    <s v="101"/>
    <s v="현금"/>
    <x v="1"/>
    <n v="0"/>
    <n v="3740"/>
    <n v="3740"/>
    <s v="현대카드(4817)"/>
    <m/>
    <m/>
  </r>
  <r>
    <s v="2025-02-07"/>
    <x v="33"/>
    <s v="00004"/>
    <s v="차변"/>
    <s v="824"/>
    <s v="운반비(판)"/>
    <x v="15"/>
    <n v="3740"/>
    <n v="0"/>
    <n v="-3740"/>
    <s v="우정사업본부광주"/>
    <m/>
    <m/>
  </r>
  <r>
    <s v="2025-02-07"/>
    <x v="33"/>
    <s v="50001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2-07"/>
    <x v="33"/>
    <s v="50001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2-07"/>
    <x v="33"/>
    <s v="50001"/>
    <s v="대변"/>
    <s v="101"/>
    <s v="현금"/>
    <x v="1"/>
    <n v="0"/>
    <n v="21120"/>
    <n v="21120"/>
    <s v="주식회사 케이티"/>
    <m/>
    <s v="구내인터넷 Standard(100M) (503300019511) 1 X 19,200"/>
  </r>
  <r>
    <s v="2025-02-07"/>
    <x v="33"/>
    <s v="50002"/>
    <s v="차변"/>
    <s v="822"/>
    <s v="차량유지비(판)"/>
    <x v="11"/>
    <n v="5500"/>
    <n v="0"/>
    <n v="-5500"/>
    <s v="현대자동차㈜ 본사"/>
    <m/>
    <s v="제네시스 커넥티드서비스"/>
  </r>
  <r>
    <s v="2025-02-07"/>
    <x v="33"/>
    <s v="50002"/>
    <s v="대변"/>
    <s v="101"/>
    <s v="현금"/>
    <x v="1"/>
    <n v="0"/>
    <n v="5500"/>
    <n v="5500"/>
    <s v="현대자동차㈜ 본사"/>
    <m/>
    <s v="제네시스 커넥티드서비스"/>
  </r>
  <r>
    <s v="2025-02-08"/>
    <x v="34"/>
    <s v="00001"/>
    <s v="차변"/>
    <s v="811"/>
    <s v="복리후생비(판)"/>
    <x v="8"/>
    <n v="4000"/>
    <n v="0"/>
    <n v="-4000"/>
    <s v="텐퍼센트커피 광주첨단롯데점"/>
    <m/>
    <m/>
  </r>
  <r>
    <s v="2025-02-08"/>
    <x v="34"/>
    <s v="00001"/>
    <s v="대변"/>
    <s v="101"/>
    <s v="현금"/>
    <x v="1"/>
    <n v="0"/>
    <n v="4000"/>
    <n v="4000"/>
    <s v="현대카드(4817)"/>
    <m/>
    <m/>
  </r>
  <r>
    <s v="2025-02-08"/>
    <x v="34"/>
    <s v="00002"/>
    <s v="차변"/>
    <s v="812"/>
    <s v="여비교통비(판)"/>
    <x v="9"/>
    <n v="19500"/>
    <n v="0"/>
    <n v="-19500"/>
    <s v="열평집밥김치찌개"/>
    <m/>
    <m/>
  </r>
  <r>
    <s v="2025-02-08"/>
    <x v="34"/>
    <s v="00002"/>
    <s v="대변"/>
    <s v="101"/>
    <s v="현금"/>
    <x v="1"/>
    <n v="0"/>
    <n v="19500"/>
    <n v="19500"/>
    <s v="현대카드(4817)"/>
    <m/>
    <m/>
  </r>
  <r>
    <s v="2025-02-08"/>
    <x v="34"/>
    <s v="00003"/>
    <s v="대변"/>
    <s v="101"/>
    <s v="현금"/>
    <x v="1"/>
    <n v="0"/>
    <n v="3000"/>
    <n v="3000"/>
    <s v="삼능떡방앗간"/>
    <m/>
    <m/>
  </r>
  <r>
    <s v="2025-02-08"/>
    <x v="34"/>
    <s v="00003"/>
    <s v="차변"/>
    <s v="811"/>
    <s v="복리후생비(판)"/>
    <x v="8"/>
    <n v="3000"/>
    <n v="0"/>
    <n v="-3000"/>
    <s v="삼능떡방앗간"/>
    <m/>
    <m/>
  </r>
  <r>
    <s v="2025-02-08"/>
    <x v="34"/>
    <s v="00004"/>
    <s v="대변"/>
    <s v="101"/>
    <s v="현금"/>
    <x v="1"/>
    <n v="0"/>
    <n v="10000"/>
    <n v="10000"/>
    <s v="삼능떡방앗간"/>
    <m/>
    <m/>
  </r>
  <r>
    <s v="2025-02-08"/>
    <x v="34"/>
    <s v="00004"/>
    <s v="차변"/>
    <s v="811"/>
    <s v="복리후생비(판)"/>
    <x v="8"/>
    <n v="10000"/>
    <n v="0"/>
    <n v="-10000"/>
    <s v="삼능떡방앗간"/>
    <m/>
    <m/>
  </r>
  <r>
    <s v="2025-02-09"/>
    <x v="35"/>
    <s v="00001"/>
    <s v="차변"/>
    <s v="811"/>
    <s v="복리후생비(판)"/>
    <x v="8"/>
    <n v="67000"/>
    <n v="0"/>
    <n v="-67000"/>
    <s v="그린하우스"/>
    <m/>
    <m/>
  </r>
  <r>
    <s v="2025-02-09"/>
    <x v="35"/>
    <s v="00001"/>
    <s v="대변"/>
    <s v="101"/>
    <s v="현금"/>
    <x v="1"/>
    <n v="0"/>
    <n v="67000"/>
    <n v="67000"/>
    <s v="현대카드(4817)"/>
    <m/>
    <m/>
  </r>
  <r>
    <s v="2025-02-09"/>
    <x v="35"/>
    <s v="00002"/>
    <s v="차변"/>
    <s v="811"/>
    <s v="복리후생비(판)"/>
    <x v="8"/>
    <n v="3000"/>
    <n v="0"/>
    <n v="-3000"/>
    <s v="김밥랜드"/>
    <m/>
    <m/>
  </r>
  <r>
    <s v="2025-02-09"/>
    <x v="35"/>
    <s v="00002"/>
    <s v="대변"/>
    <s v="101"/>
    <s v="현금"/>
    <x v="1"/>
    <n v="0"/>
    <n v="3000"/>
    <n v="3000"/>
    <s v="현대카드(4817)"/>
    <m/>
    <m/>
  </r>
  <r>
    <s v="2025-02-09"/>
    <x v="35"/>
    <s v="00003"/>
    <s v="대변"/>
    <s v="101"/>
    <s v="현금"/>
    <x v="1"/>
    <n v="0"/>
    <n v="6000"/>
    <n v="6000"/>
    <s v="삼능떡방앗간"/>
    <m/>
    <m/>
  </r>
  <r>
    <s v="2025-02-09"/>
    <x v="35"/>
    <s v="00003"/>
    <s v="차변"/>
    <s v="811"/>
    <s v="복리후생비(판)"/>
    <x v="8"/>
    <n v="6000"/>
    <n v="0"/>
    <n v="-6000"/>
    <s v="삼능떡방앗간"/>
    <m/>
    <m/>
  </r>
  <r>
    <s v="2025-02-09"/>
    <x v="35"/>
    <s v="00004"/>
    <s v="차변"/>
    <s v="830"/>
    <s v="소모품비(판)"/>
    <x v="6"/>
    <n v="4980"/>
    <n v="0"/>
    <n v="-4980"/>
    <s v="（주）찬해영암마트"/>
    <m/>
    <m/>
  </r>
  <r>
    <s v="2025-02-09"/>
    <x v="35"/>
    <s v="00004"/>
    <s v="대변"/>
    <s v="101"/>
    <s v="현금"/>
    <x v="1"/>
    <n v="0"/>
    <n v="4980"/>
    <n v="4980"/>
    <s v="（주）찬해영암마트"/>
    <m/>
    <m/>
  </r>
  <r>
    <s v="2025-02-09"/>
    <x v="35"/>
    <s v="00005"/>
    <s v="차변"/>
    <s v="811"/>
    <s v="복리후생비(판)"/>
    <x v="8"/>
    <n v="25966"/>
    <n v="0"/>
    <n v="-25966"/>
    <s v="재일영농조합법인"/>
    <m/>
    <m/>
  </r>
  <r>
    <s v="2025-02-09"/>
    <x v="35"/>
    <s v="00005"/>
    <s v="대변"/>
    <s v="101"/>
    <s v="현금"/>
    <x v="1"/>
    <n v="0"/>
    <n v="25966"/>
    <n v="25966"/>
    <s v="재일영농조합법인"/>
    <m/>
    <m/>
  </r>
  <r>
    <s v="2025-02-09"/>
    <x v="35"/>
    <s v="50001"/>
    <s v="대변"/>
    <s v="101"/>
    <s v="현금"/>
    <x v="1"/>
    <n v="0"/>
    <n v="11000"/>
    <n v="11000"/>
    <s v="현대카드(4817)"/>
    <m/>
    <m/>
  </r>
  <r>
    <s v="2025-02-09"/>
    <x v="35"/>
    <s v="50001"/>
    <s v="차변"/>
    <s v="830"/>
    <s v="소모품비(판)"/>
    <x v="6"/>
    <n v="9999"/>
    <n v="0"/>
    <n v="-9999"/>
    <s v="다이소아성산업"/>
    <s v="  "/>
    <m/>
  </r>
  <r>
    <s v="2025-02-09"/>
    <x v="35"/>
    <s v="50001"/>
    <s v="차변"/>
    <s v="135"/>
    <s v="부가세대급금"/>
    <x v="5"/>
    <n v="1001"/>
    <n v="0"/>
    <n v="-1001"/>
    <s v="다이소아성산업"/>
    <s v="  "/>
    <m/>
  </r>
  <r>
    <s v="2025-02-10"/>
    <x v="36"/>
    <s v="00001"/>
    <s v="차변"/>
    <s v="254"/>
    <s v="예수금"/>
    <x v="12"/>
    <n v="68060"/>
    <n v="0"/>
    <n v="-68060"/>
    <s v="건강보험공단"/>
    <s v="  "/>
    <s v="2501건강"/>
  </r>
  <r>
    <s v="2025-02-10"/>
    <x v="36"/>
    <s v="00001"/>
    <s v="대변"/>
    <s v="101"/>
    <s v="현금"/>
    <x v="1"/>
    <n v="0"/>
    <n v="883640"/>
    <n v="883640"/>
    <s v="건강보험공단"/>
    <s v="  "/>
    <s v="2501건강"/>
  </r>
  <r>
    <s v="2025-02-10"/>
    <x v="36"/>
    <s v="00001"/>
    <s v="차변"/>
    <s v="821"/>
    <s v="보험료(판)"/>
    <x v="13"/>
    <n v="815580"/>
    <n v="0"/>
    <n v="-815580"/>
    <s v="건강보험공단"/>
    <s v="  "/>
    <s v="2501건강"/>
  </r>
  <r>
    <s v="2025-02-10"/>
    <x v="36"/>
    <s v="00002"/>
    <s v="차변"/>
    <s v="254"/>
    <s v="예수금"/>
    <x v="12"/>
    <n v="149400"/>
    <n v="0"/>
    <n v="-149400"/>
    <s v="국민연금공단"/>
    <s v="  "/>
    <s v="2501연금"/>
  </r>
  <r>
    <s v="2025-02-10"/>
    <x v="36"/>
    <s v="00002"/>
    <s v="대변"/>
    <s v="101"/>
    <s v="현금"/>
    <x v="1"/>
    <n v="0"/>
    <n v="298800"/>
    <n v="298800"/>
    <s v="국민연금공단"/>
    <s v="  "/>
    <s v="2501연금"/>
  </r>
  <r>
    <s v="2025-02-10"/>
    <x v="36"/>
    <s v="00002"/>
    <s v="차변"/>
    <s v="817"/>
    <s v="세금과공과금(판)"/>
    <x v="14"/>
    <n v="149400"/>
    <n v="0"/>
    <n v="-149400"/>
    <s v="국민연금공단"/>
    <s v="  "/>
    <s v="2501연금"/>
  </r>
  <r>
    <s v="2025-02-10"/>
    <x v="36"/>
    <s v="00003"/>
    <s v="차변"/>
    <s v="254"/>
    <s v="예수금"/>
    <x v="12"/>
    <n v="6300"/>
    <n v="0"/>
    <n v="-6300"/>
    <s v="근로복지공단"/>
    <s v="  "/>
    <s v="2501고용"/>
  </r>
  <r>
    <s v="2025-02-10"/>
    <x v="36"/>
    <s v="00003"/>
    <s v="대변"/>
    <s v="101"/>
    <s v="현금"/>
    <x v="1"/>
    <n v="0"/>
    <n v="14350"/>
    <n v="14350"/>
    <s v="근로복지공단"/>
    <s v="  "/>
    <s v="2501고용"/>
  </r>
  <r>
    <s v="2025-02-10"/>
    <x v="36"/>
    <s v="00003"/>
    <s v="차변"/>
    <s v="821"/>
    <s v="보험료(판)"/>
    <x v="13"/>
    <n v="8050"/>
    <n v="0"/>
    <n v="-8050"/>
    <s v="근로복지공단"/>
    <s v="  "/>
    <s v="2501고용"/>
  </r>
  <r>
    <s v="2025-02-10"/>
    <x v="36"/>
    <s v="00004"/>
    <s v="차변"/>
    <s v="830"/>
    <s v="소모품비(판)"/>
    <x v="6"/>
    <n v="8214"/>
    <n v="0"/>
    <n v="-8214"/>
    <s v="네이버페이"/>
    <m/>
    <m/>
  </r>
  <r>
    <s v="2025-02-10"/>
    <x v="36"/>
    <s v="00004"/>
    <s v="대변"/>
    <s v="101"/>
    <s v="현금"/>
    <x v="1"/>
    <n v="0"/>
    <n v="8214"/>
    <n v="8214"/>
    <s v="현대카드(4817)"/>
    <m/>
    <m/>
  </r>
  <r>
    <s v="2025-02-10"/>
    <x v="36"/>
    <s v="00005"/>
    <s v="차변"/>
    <s v="830"/>
    <s v="소모품비(판)"/>
    <x v="6"/>
    <n v="2000"/>
    <n v="0"/>
    <n v="-2000"/>
    <s v="KCP - ( 주 ) 위메프"/>
    <m/>
    <m/>
  </r>
  <r>
    <s v="2025-02-10"/>
    <x v="36"/>
    <s v="00005"/>
    <s v="대변"/>
    <s v="101"/>
    <s v="현금"/>
    <x v="1"/>
    <n v="0"/>
    <n v="2000"/>
    <n v="2000"/>
    <s v="하나카드(4088)"/>
    <m/>
    <m/>
  </r>
  <r>
    <s v="2025-02-10"/>
    <x v="36"/>
    <s v="00006"/>
    <s v="차변"/>
    <s v="814"/>
    <s v="통신비(판)"/>
    <x v="10"/>
    <n v="5500"/>
    <n v="0"/>
    <n v="-5500"/>
    <s v="주식회사 케이티"/>
    <m/>
    <m/>
  </r>
  <r>
    <s v="2025-02-10"/>
    <x v="36"/>
    <s v="00006"/>
    <s v="대변"/>
    <s v="101"/>
    <s v="현금"/>
    <x v="1"/>
    <n v="0"/>
    <n v="5500"/>
    <n v="5500"/>
    <s v="하나카드(4088)"/>
    <m/>
    <m/>
  </r>
  <r>
    <s v="2025-02-10"/>
    <x v="36"/>
    <s v="00007"/>
    <s v="차변"/>
    <s v="811"/>
    <s v="복리후생비(판)"/>
    <x v="8"/>
    <n v="33000"/>
    <n v="0"/>
    <n v="-33000"/>
    <s v="걸작떡볶이 첨단점"/>
    <m/>
    <m/>
  </r>
  <r>
    <s v="2025-02-10"/>
    <x v="36"/>
    <s v="00007"/>
    <s v="대변"/>
    <s v="101"/>
    <s v="현금"/>
    <x v="1"/>
    <n v="0"/>
    <n v="33000"/>
    <n v="33000"/>
    <s v="걸작떡볶이 첨단점"/>
    <m/>
    <m/>
  </r>
  <r>
    <s v="2025-02-10"/>
    <x v="36"/>
    <s v="00008"/>
    <s v="대변"/>
    <s v="101"/>
    <s v="현금"/>
    <x v="1"/>
    <n v="0"/>
    <n v="10000"/>
    <n v="10000"/>
    <s v="삼능떡방앗간"/>
    <m/>
    <m/>
  </r>
  <r>
    <s v="2025-02-10"/>
    <x v="36"/>
    <s v="00008"/>
    <s v="차변"/>
    <s v="811"/>
    <s v="복리후생비(판)"/>
    <x v="8"/>
    <n v="10000"/>
    <n v="0"/>
    <n v="-10000"/>
    <s v="삼능떡방앗간"/>
    <m/>
    <m/>
  </r>
  <r>
    <s v="2025-02-10"/>
    <x v="36"/>
    <s v="50001"/>
    <s v="대변"/>
    <s v="255"/>
    <s v="부가세예수금"/>
    <x v="3"/>
    <n v="0"/>
    <n v="10000"/>
    <n v="10000"/>
    <s v="(유)팔복산업"/>
    <m/>
    <s v="인사노무자문료 1 X 100,000"/>
  </r>
  <r>
    <s v="2025-02-10"/>
    <x v="36"/>
    <s v="50001"/>
    <s v="대변"/>
    <s v="401"/>
    <s v="용역매출"/>
    <x v="4"/>
    <n v="0"/>
    <n v="100000"/>
    <n v="100000"/>
    <s v="(유)팔복산업"/>
    <m/>
    <s v="인사노무자문료 1 X 100,000"/>
  </r>
  <r>
    <s v="2025-02-10"/>
    <x v="36"/>
    <s v="50001"/>
    <s v="차변"/>
    <s v="101"/>
    <s v="현금"/>
    <x v="1"/>
    <n v="110000"/>
    <n v="0"/>
    <n v="-110000"/>
    <s v="(유)팔복산업"/>
    <m/>
    <s v="인사노무자문료 1 X 100,000"/>
  </r>
  <r>
    <s v="2025-02-10"/>
    <x v="36"/>
    <s v="50002"/>
    <s v="대변"/>
    <s v="255"/>
    <s v="부가세예수금"/>
    <x v="3"/>
    <n v="0"/>
    <n v="10000"/>
    <n v="10000"/>
    <s v="현명산업주식회사"/>
    <m/>
    <s v="인사노무자문료 1 X 100,000"/>
  </r>
  <r>
    <s v="2025-02-10"/>
    <x v="36"/>
    <s v="50002"/>
    <s v="대변"/>
    <s v="401"/>
    <s v="용역매출"/>
    <x v="4"/>
    <n v="0"/>
    <n v="100000"/>
    <n v="100000"/>
    <s v="현명산업주식회사"/>
    <m/>
    <s v="인사노무자문료 1 X 100,000"/>
  </r>
  <r>
    <s v="2025-02-10"/>
    <x v="36"/>
    <s v="50002"/>
    <s v="차변"/>
    <s v="101"/>
    <s v="현금"/>
    <x v="1"/>
    <n v="110000"/>
    <n v="0"/>
    <n v="-110000"/>
    <s v="현명산업주식회사"/>
    <m/>
    <s v="인사노무자문료 1 X 100,000"/>
  </r>
  <r>
    <s v="2025-02-11"/>
    <x v="37"/>
    <s v="00001"/>
    <s v="차변"/>
    <s v="812"/>
    <s v="여비교통비(판)"/>
    <x v="9"/>
    <n v="9800"/>
    <n v="0"/>
    <n v="-9800"/>
    <s v="(주)이동의즐거움"/>
    <m/>
    <m/>
  </r>
  <r>
    <s v="2025-02-11"/>
    <x v="37"/>
    <s v="00001"/>
    <s v="대변"/>
    <s v="101"/>
    <s v="현금"/>
    <x v="1"/>
    <n v="0"/>
    <n v="9800"/>
    <n v="9800"/>
    <s v="하나카드(4088)"/>
    <m/>
    <m/>
  </r>
  <r>
    <s v="2025-02-11"/>
    <x v="37"/>
    <s v="00002"/>
    <s v="차변"/>
    <s v="812"/>
    <s v="여비교통비(판)"/>
    <x v="9"/>
    <n v="5500"/>
    <n v="0"/>
    <n v="-5500"/>
    <s v="컴포즈커피광주문흥대주점"/>
    <m/>
    <m/>
  </r>
  <r>
    <s v="2025-02-11"/>
    <x v="37"/>
    <s v="00002"/>
    <s v="대변"/>
    <s v="101"/>
    <s v="현금"/>
    <x v="1"/>
    <n v="0"/>
    <n v="5500"/>
    <n v="5500"/>
    <s v="하나카드(4088)"/>
    <m/>
    <m/>
  </r>
  <r>
    <s v="2025-02-11"/>
    <x v="37"/>
    <s v="00003"/>
    <s v="차변"/>
    <s v="822"/>
    <s v="차량유지비(판)"/>
    <x v="11"/>
    <n v="50000"/>
    <n v="0"/>
    <n v="-50000"/>
    <s v="슈퍼크린주유소"/>
    <m/>
    <m/>
  </r>
  <r>
    <s v="2025-02-11"/>
    <x v="37"/>
    <s v="00003"/>
    <s v="대변"/>
    <s v="101"/>
    <s v="현금"/>
    <x v="1"/>
    <n v="0"/>
    <n v="50000"/>
    <n v="50000"/>
    <s v="국민카드(2005)"/>
    <m/>
    <m/>
  </r>
  <r>
    <s v="2025-02-11"/>
    <x v="37"/>
    <s v="50001"/>
    <s v="대변"/>
    <s v="255"/>
    <s v="부가세예수금"/>
    <x v="3"/>
    <n v="0"/>
    <n v="10000"/>
    <n v="10000"/>
    <s v="주식회사 세연이앤에스"/>
    <m/>
    <s v="인사노무자문료 1 X 100,000"/>
  </r>
  <r>
    <s v="2025-02-11"/>
    <x v="37"/>
    <s v="50001"/>
    <s v="대변"/>
    <s v="401"/>
    <s v="용역매출"/>
    <x v="4"/>
    <n v="0"/>
    <n v="100000"/>
    <n v="100000"/>
    <s v="주식회사 세연이앤에스"/>
    <m/>
    <s v="인사노무자문료 1 X 100,000"/>
  </r>
  <r>
    <s v="2025-02-11"/>
    <x v="37"/>
    <s v="50001"/>
    <s v="차변"/>
    <s v="101"/>
    <s v="현금"/>
    <x v="1"/>
    <n v="110000"/>
    <n v="0"/>
    <n v="-110000"/>
    <s v="주식회사 세연이앤에스"/>
    <m/>
    <s v="인사노무자문료 1 X 100,000"/>
  </r>
  <r>
    <s v="2025-02-11"/>
    <x v="37"/>
    <s v="50002"/>
    <s v="대변"/>
    <s v="255"/>
    <s v="부가세예수금"/>
    <x v="3"/>
    <n v="0"/>
    <n v="7000"/>
    <n v="7000"/>
    <s v="동지애드"/>
    <m/>
    <s v="인사노무자문료 1 X 70,000"/>
  </r>
  <r>
    <s v="2025-02-11"/>
    <x v="37"/>
    <s v="50002"/>
    <s v="대변"/>
    <s v="401"/>
    <s v="용역매출"/>
    <x v="4"/>
    <n v="0"/>
    <n v="70000"/>
    <n v="70000"/>
    <s v="동지애드"/>
    <m/>
    <s v="인사노무자문료 1 X 70,000"/>
  </r>
  <r>
    <s v="2025-02-11"/>
    <x v="37"/>
    <s v="50002"/>
    <s v="차변"/>
    <s v="101"/>
    <s v="현금"/>
    <x v="1"/>
    <n v="77000"/>
    <n v="0"/>
    <n v="-77000"/>
    <s v="동지애드"/>
    <m/>
    <s v="인사노무자문료 1 X 70,000"/>
  </r>
  <r>
    <s v="2025-02-11"/>
    <x v="37"/>
    <s v="50003"/>
    <s v="대변"/>
    <s v="255"/>
    <s v="부가세예수금"/>
    <x v="3"/>
    <n v="0"/>
    <n v="15000"/>
    <n v="15000"/>
    <s v="방방곡곡플라워"/>
    <m/>
    <s v="인사노무자문료 1 X 150,000"/>
  </r>
  <r>
    <s v="2025-02-11"/>
    <x v="37"/>
    <s v="50003"/>
    <s v="대변"/>
    <s v="401"/>
    <s v="용역매출"/>
    <x v="4"/>
    <n v="0"/>
    <n v="150000"/>
    <n v="150000"/>
    <s v="방방곡곡플라워"/>
    <m/>
    <s v="인사노무자문료 1 X 150,000"/>
  </r>
  <r>
    <s v="2025-02-11"/>
    <x v="37"/>
    <s v="50003"/>
    <s v="차변"/>
    <s v="101"/>
    <s v="현금"/>
    <x v="1"/>
    <n v="165000"/>
    <n v="0"/>
    <n v="-165000"/>
    <s v="방방곡곡플라워"/>
    <m/>
    <s v="인사노무자문료 1 X 150,000"/>
  </r>
  <r>
    <s v="2025-02-11"/>
    <x v="37"/>
    <s v="50004"/>
    <s v="대변"/>
    <s v="255"/>
    <s v="부가세예수금"/>
    <x v="3"/>
    <n v="0"/>
    <n v="20000"/>
    <n v="20000"/>
    <s v="미곡종합포장(주)"/>
    <m/>
    <s v="인사노무자문료 1 X 200,000"/>
  </r>
  <r>
    <s v="2025-02-11"/>
    <x v="37"/>
    <s v="50004"/>
    <s v="대변"/>
    <s v="401"/>
    <s v="용역매출"/>
    <x v="4"/>
    <n v="0"/>
    <n v="200000"/>
    <n v="200000"/>
    <s v="미곡종합포장(주)"/>
    <m/>
    <s v="인사노무자문료 1 X 200,000"/>
  </r>
  <r>
    <s v="2025-02-11"/>
    <x v="37"/>
    <s v="50004"/>
    <s v="차변"/>
    <s v="101"/>
    <s v="현금"/>
    <x v="1"/>
    <n v="220000"/>
    <n v="0"/>
    <n v="-220000"/>
    <s v="미곡종합포장(주)"/>
    <m/>
    <s v="인사노무자문료 1 X 200,000"/>
  </r>
  <r>
    <s v="2025-02-11"/>
    <x v="37"/>
    <s v="50005"/>
    <s v="대변"/>
    <s v="255"/>
    <s v="부가세예수금"/>
    <x v="3"/>
    <n v="0"/>
    <n v="10000"/>
    <n v="10000"/>
    <s v="(주)에이스미트"/>
    <m/>
    <s v="인사노무자문료 1 X 100,000"/>
  </r>
  <r>
    <s v="2025-02-11"/>
    <x v="37"/>
    <s v="50005"/>
    <s v="대변"/>
    <s v="401"/>
    <s v="용역매출"/>
    <x v="4"/>
    <n v="0"/>
    <n v="100000"/>
    <n v="100000"/>
    <s v="(주)에이스미트"/>
    <m/>
    <s v="인사노무자문료 1 X 100,000"/>
  </r>
  <r>
    <s v="2025-02-11"/>
    <x v="37"/>
    <s v="50005"/>
    <s v="차변"/>
    <s v="101"/>
    <s v="현금"/>
    <x v="1"/>
    <n v="110000"/>
    <n v="0"/>
    <n v="-110000"/>
    <s v="(주)에이스미트"/>
    <m/>
    <s v="인사노무자문료 1 X 100,000"/>
  </r>
  <r>
    <s v="2025-02-11"/>
    <x v="37"/>
    <s v="50006"/>
    <s v="대변"/>
    <s v="255"/>
    <s v="부가세예수금"/>
    <x v="3"/>
    <n v="0"/>
    <n v="12000"/>
    <n v="12000"/>
    <s v="(유)광주가구산업"/>
    <m/>
    <s v="인사노무자문료 1 X 120,000"/>
  </r>
  <r>
    <s v="2025-02-11"/>
    <x v="37"/>
    <s v="50006"/>
    <s v="대변"/>
    <s v="401"/>
    <s v="용역매출"/>
    <x v="4"/>
    <n v="0"/>
    <n v="120000"/>
    <n v="120000"/>
    <s v="(유)광주가구산업"/>
    <m/>
    <s v="인사노무자문료 1 X 120,000"/>
  </r>
  <r>
    <s v="2025-02-11"/>
    <x v="37"/>
    <s v="50006"/>
    <s v="차변"/>
    <s v="101"/>
    <s v="현금"/>
    <x v="1"/>
    <n v="132000"/>
    <n v="0"/>
    <n v="-132000"/>
    <s v="(유)광주가구산업"/>
    <m/>
    <s v="인사노무자문료 1 X 120,000"/>
  </r>
  <r>
    <s v="2025-02-11"/>
    <x v="37"/>
    <s v="50007"/>
    <s v="대변"/>
    <s v="255"/>
    <s v="부가세예수금"/>
    <x v="3"/>
    <n v="0"/>
    <n v="10000"/>
    <n v="10000"/>
    <s v="주식회사 한솔무역"/>
    <m/>
    <s v="인사노무자문료 1 X 100,000"/>
  </r>
  <r>
    <s v="2025-02-11"/>
    <x v="37"/>
    <s v="50007"/>
    <s v="대변"/>
    <s v="401"/>
    <s v="용역매출"/>
    <x v="4"/>
    <n v="0"/>
    <n v="100000"/>
    <n v="100000"/>
    <s v="주식회사 한솔무역"/>
    <m/>
    <s v="인사노무자문료 1 X 100,000"/>
  </r>
  <r>
    <s v="2025-02-11"/>
    <x v="37"/>
    <s v="50007"/>
    <s v="차변"/>
    <s v="101"/>
    <s v="현금"/>
    <x v="1"/>
    <n v="110000"/>
    <n v="0"/>
    <n v="-110000"/>
    <s v="주식회사 한솔무역"/>
    <m/>
    <s v="인사노무자문료 1 X 100,000"/>
  </r>
  <r>
    <s v="2025-02-12"/>
    <x v="38"/>
    <s v="00001"/>
    <s v="차변"/>
    <s v="811"/>
    <s v="복리후생비(판)"/>
    <x v="8"/>
    <n v="3000"/>
    <n v="0"/>
    <n v="-3000"/>
    <s v="김밥랜드"/>
    <m/>
    <m/>
  </r>
  <r>
    <s v="2025-02-12"/>
    <x v="38"/>
    <s v="00001"/>
    <s v="대변"/>
    <s v="101"/>
    <s v="현금"/>
    <x v="1"/>
    <n v="0"/>
    <n v="3000"/>
    <n v="3000"/>
    <s v="하나카드(4088)"/>
    <m/>
    <m/>
  </r>
  <r>
    <s v="2025-02-12"/>
    <x v="38"/>
    <s v="00002"/>
    <s v="대변"/>
    <s v="101"/>
    <s v="현금"/>
    <x v="1"/>
    <n v="0"/>
    <n v="14000"/>
    <n v="14000"/>
    <s v="국민카드(2005)"/>
    <m/>
    <m/>
  </r>
  <r>
    <s v="2025-02-12"/>
    <x v="38"/>
    <s v="00002"/>
    <s v="차변"/>
    <s v="811"/>
    <s v="복리후생비(판)"/>
    <x v="8"/>
    <n v="14000"/>
    <n v="0"/>
    <n v="-14000"/>
    <s v="장성로컬푸드 첨단직매장"/>
    <m/>
    <m/>
  </r>
  <r>
    <s v="2025-02-12"/>
    <x v="38"/>
    <s v="00003"/>
    <s v="차변"/>
    <s v="831"/>
    <s v="지급수수료(판)"/>
    <x v="7"/>
    <n v="1990"/>
    <n v="0"/>
    <n v="-1990"/>
    <s v="토스페이먼츠 주식회사"/>
    <m/>
    <m/>
  </r>
  <r>
    <s v="2025-02-12"/>
    <x v="38"/>
    <s v="00003"/>
    <s v="대변"/>
    <s v="101"/>
    <s v="현금"/>
    <x v="1"/>
    <n v="0"/>
    <n v="1990"/>
    <n v="1990"/>
    <s v="하나카드(4088)"/>
    <m/>
    <m/>
  </r>
  <r>
    <s v="2025-02-12"/>
    <x v="38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2-12"/>
    <x v="38"/>
    <s v="50001"/>
    <s v="대변"/>
    <s v="401"/>
    <s v="용역매출"/>
    <x v="4"/>
    <n v="0"/>
    <n v="150000"/>
    <n v="150000"/>
    <s v="정다운메디컬센터"/>
    <m/>
    <s v="인사노무자문료 1 X 150,000"/>
  </r>
  <r>
    <s v="2025-02-12"/>
    <x v="38"/>
    <s v="50001"/>
    <s v="차변"/>
    <s v="101"/>
    <s v="현금"/>
    <x v="1"/>
    <n v="165000"/>
    <n v="0"/>
    <n v="-165000"/>
    <s v="정다운메디컬센터"/>
    <m/>
    <s v="인사노무자문료 1 X 150,000"/>
  </r>
  <r>
    <s v="2025-02-13"/>
    <x v="39"/>
    <s v="00001"/>
    <s v="차변"/>
    <s v="811"/>
    <s v="복리후생비(판)"/>
    <x v="8"/>
    <n v="3000"/>
    <n v="0"/>
    <n v="-3000"/>
    <s v="김밥랜드"/>
    <m/>
    <m/>
  </r>
  <r>
    <s v="2025-02-13"/>
    <x v="39"/>
    <s v="00001"/>
    <s v="대변"/>
    <s v="101"/>
    <s v="현금"/>
    <x v="1"/>
    <n v="0"/>
    <n v="3000"/>
    <n v="3000"/>
    <s v="하나카드(4088)"/>
    <m/>
    <m/>
  </r>
  <r>
    <s v="2025-02-13"/>
    <x v="39"/>
    <s v="00002"/>
    <s v="대변"/>
    <s v="101"/>
    <s v="현금"/>
    <x v="1"/>
    <n v="0"/>
    <n v="5500"/>
    <n v="5500"/>
    <s v="하나카드(4088)"/>
    <m/>
    <m/>
  </r>
  <r>
    <s v="2025-02-13"/>
    <x v="39"/>
    <s v="00002"/>
    <s v="차변"/>
    <s v="830"/>
    <s v="소모품비(판)"/>
    <x v="6"/>
    <n v="5500"/>
    <n v="0"/>
    <n v="-5500"/>
    <s v="엑센스"/>
    <m/>
    <m/>
  </r>
  <r>
    <s v="2025-02-13"/>
    <x v="39"/>
    <s v="00003"/>
    <s v="차변"/>
    <s v="830"/>
    <s v="소모품비(판)"/>
    <x v="6"/>
    <n v="15500"/>
    <n v="0"/>
    <n v="-15500"/>
    <s v="지에스25 광주본점"/>
    <m/>
    <m/>
  </r>
  <r>
    <s v="2025-02-13"/>
    <x v="39"/>
    <s v="00003"/>
    <s v="대변"/>
    <s v="101"/>
    <s v="현금"/>
    <x v="1"/>
    <n v="0"/>
    <n v="15500"/>
    <n v="15500"/>
    <s v="국민카드(2005)"/>
    <m/>
    <m/>
  </r>
  <r>
    <s v="2025-02-13"/>
    <x v="39"/>
    <s v="00004"/>
    <s v="대변"/>
    <s v="101"/>
    <s v="현금"/>
    <x v="1"/>
    <n v="0"/>
    <n v="49483"/>
    <n v="49483"/>
    <s v="주식회사 와이즈미디어커머스"/>
    <m/>
    <m/>
  </r>
  <r>
    <s v="2025-02-13"/>
    <x v="39"/>
    <s v="00004"/>
    <s v="차변"/>
    <s v="830"/>
    <s v="소모품비(판)"/>
    <x v="6"/>
    <n v="49483"/>
    <n v="0"/>
    <n v="-49483"/>
    <s v="주식회사 와이즈미디어커머스"/>
    <s v="  "/>
    <m/>
  </r>
  <r>
    <s v="2025-02-13"/>
    <x v="39"/>
    <s v="00005"/>
    <s v="대변"/>
    <s v="101"/>
    <s v="현금"/>
    <x v="1"/>
    <n v="0"/>
    <n v="2980"/>
    <n v="2980"/>
    <s v="주식회사 와이즈미디어커머스"/>
    <m/>
    <m/>
  </r>
  <r>
    <s v="2025-02-13"/>
    <x v="39"/>
    <s v="00005"/>
    <s v="차변"/>
    <s v="830"/>
    <s v="소모품비(판)"/>
    <x v="6"/>
    <n v="2980"/>
    <n v="0"/>
    <n v="-2980"/>
    <s v="주식회사 와이즈미디어커머스"/>
    <s v="  "/>
    <m/>
  </r>
  <r>
    <s v="2025-02-14"/>
    <x v="40"/>
    <s v="00001"/>
    <s v="차변"/>
    <s v="811"/>
    <s v="복리후생비(판)"/>
    <x v="8"/>
    <n v="7000"/>
    <n v="0"/>
    <n v="-7000"/>
    <s v="주식회사 울림푸드 한식뷔페 첨단 정부청사점"/>
    <m/>
    <m/>
  </r>
  <r>
    <s v="2025-02-14"/>
    <x v="40"/>
    <s v="00001"/>
    <s v="대변"/>
    <s v="101"/>
    <s v="현금"/>
    <x v="1"/>
    <n v="0"/>
    <n v="7000"/>
    <n v="7000"/>
    <s v="하나카드(4088)"/>
    <m/>
    <m/>
  </r>
  <r>
    <s v="2025-02-14"/>
    <x v="40"/>
    <s v="00002"/>
    <s v="차변"/>
    <s v="812"/>
    <s v="여비교통비(판)"/>
    <x v="9"/>
    <n v="5000"/>
    <n v="0"/>
    <n v="-5000"/>
    <s v="씨유 원광대병원 본관점"/>
    <m/>
    <m/>
  </r>
  <r>
    <s v="2025-02-14"/>
    <x v="40"/>
    <s v="00002"/>
    <s v="대변"/>
    <s v="101"/>
    <s v="현금"/>
    <x v="1"/>
    <n v="0"/>
    <n v="5000"/>
    <n v="5000"/>
    <s v="국민카드(2005)"/>
    <m/>
    <m/>
  </r>
  <r>
    <s v="2025-02-15"/>
    <x v="41"/>
    <s v="00001"/>
    <s v="차변"/>
    <s v="811"/>
    <s v="복리후생비(판)"/>
    <x v="8"/>
    <n v="3000"/>
    <n v="0"/>
    <n v="-3000"/>
    <s v="김밥랜드"/>
    <m/>
    <m/>
  </r>
  <r>
    <s v="2025-02-15"/>
    <x v="41"/>
    <s v="00001"/>
    <s v="대변"/>
    <s v="101"/>
    <s v="현금"/>
    <x v="1"/>
    <n v="0"/>
    <n v="3000"/>
    <n v="3000"/>
    <s v="국민카드(2005)"/>
    <m/>
    <m/>
  </r>
  <r>
    <s v="2025-02-15"/>
    <x v="41"/>
    <s v="00002"/>
    <s v="차변"/>
    <s v="830"/>
    <s v="소모품비(판)"/>
    <x v="6"/>
    <n v="20400"/>
    <n v="0"/>
    <n v="-20400"/>
    <s v="에이플러스마트"/>
    <m/>
    <m/>
  </r>
  <r>
    <s v="2025-02-15"/>
    <x v="41"/>
    <s v="00002"/>
    <s v="대변"/>
    <s v="101"/>
    <s v="현금"/>
    <x v="1"/>
    <n v="0"/>
    <n v="20400"/>
    <n v="20400"/>
    <s v="국민카드(2005)"/>
    <m/>
    <m/>
  </r>
  <r>
    <s v="2025-02-15"/>
    <x v="41"/>
    <s v="00003"/>
    <s v="차변"/>
    <s v="830"/>
    <s v="소모품비(판)"/>
    <x v="6"/>
    <n v="5900"/>
    <n v="0"/>
    <n v="-5900"/>
    <s v="지에스이십오(GS25) 광주문흥점"/>
    <m/>
    <m/>
  </r>
  <r>
    <s v="2025-02-15"/>
    <x v="41"/>
    <s v="00003"/>
    <s v="대변"/>
    <s v="101"/>
    <s v="현금"/>
    <x v="1"/>
    <n v="0"/>
    <n v="5900"/>
    <n v="5900"/>
    <s v="국민카드(2005)"/>
    <m/>
    <m/>
  </r>
  <r>
    <s v="2025-02-15"/>
    <x v="41"/>
    <s v="00004"/>
    <s v="차변"/>
    <s v="830"/>
    <s v="소모품비(판)"/>
    <x v="6"/>
    <n v="2900"/>
    <n v="0"/>
    <n v="-2900"/>
    <s v="햇살마트"/>
    <m/>
    <m/>
  </r>
  <r>
    <s v="2025-02-15"/>
    <x v="41"/>
    <s v="00004"/>
    <s v="대변"/>
    <s v="101"/>
    <s v="현금"/>
    <x v="1"/>
    <n v="0"/>
    <n v="2900"/>
    <n v="2900"/>
    <s v="국민카드(2005)"/>
    <m/>
    <m/>
  </r>
  <r>
    <s v="2025-02-15"/>
    <x v="41"/>
    <s v="00005"/>
    <s v="대변"/>
    <s v="101"/>
    <s v="현금"/>
    <x v="1"/>
    <n v="0"/>
    <n v="4000"/>
    <n v="4000"/>
    <s v="국민카드(2005)"/>
    <m/>
    <m/>
  </r>
  <r>
    <s v="2025-02-15"/>
    <x v="41"/>
    <s v="00005"/>
    <s v="차변"/>
    <s v="812"/>
    <s v="여비교통비(판)"/>
    <x v="9"/>
    <n v="4000"/>
    <n v="0"/>
    <n v="-4000"/>
    <s v="에스케이쉴더스 주식회사"/>
    <m/>
    <m/>
  </r>
  <r>
    <s v="2025-02-15"/>
    <x v="41"/>
    <s v="00006"/>
    <s v="차변"/>
    <s v="812"/>
    <s v="여비교통비(판)"/>
    <x v="9"/>
    <n v="2400"/>
    <n v="0"/>
    <n v="-2400"/>
    <s v="제이오CS"/>
    <m/>
    <m/>
  </r>
  <r>
    <s v="2025-02-15"/>
    <x v="41"/>
    <s v="00006"/>
    <s v="대변"/>
    <s v="101"/>
    <s v="현금"/>
    <x v="1"/>
    <n v="0"/>
    <n v="2400"/>
    <n v="2400"/>
    <s v="국민카드(2005)"/>
    <m/>
    <m/>
  </r>
  <r>
    <s v="2025-02-15"/>
    <x v="41"/>
    <s v="50001"/>
    <s v="대변"/>
    <s v="255"/>
    <s v="부가세예수금"/>
    <x v="3"/>
    <n v="0"/>
    <n v="13636"/>
    <n v="13636"/>
    <s v="주식회사 청경"/>
    <m/>
    <s v="인사노무자문료 1 X 136,364"/>
  </r>
  <r>
    <s v="2025-02-15"/>
    <x v="41"/>
    <s v="50001"/>
    <s v="대변"/>
    <s v="401"/>
    <s v="용역매출"/>
    <x v="4"/>
    <n v="0"/>
    <n v="136364"/>
    <n v="136364"/>
    <s v="주식회사 청경"/>
    <m/>
    <s v="인사노무자문료 1 X 136,364"/>
  </r>
  <r>
    <s v="2025-02-15"/>
    <x v="41"/>
    <s v="50001"/>
    <s v="차변"/>
    <s v="101"/>
    <s v="현금"/>
    <x v="1"/>
    <n v="150000"/>
    <n v="0"/>
    <n v="-150000"/>
    <s v="주식회사 청경"/>
    <m/>
    <s v="인사노무자문료 1 X 136,364"/>
  </r>
  <r>
    <s v="2025-02-16"/>
    <x v="42"/>
    <s v="00001"/>
    <s v="차변"/>
    <s v="812"/>
    <s v="여비교통비(판)"/>
    <x v="9"/>
    <n v="7200"/>
    <n v="0"/>
    <n v="-7200"/>
    <s v="이삭토스트"/>
    <m/>
    <m/>
  </r>
  <r>
    <s v="2025-02-16"/>
    <x v="42"/>
    <s v="00001"/>
    <s v="대변"/>
    <s v="101"/>
    <s v="현금"/>
    <x v="1"/>
    <n v="0"/>
    <n v="7200"/>
    <n v="7200"/>
    <s v="국민카드(2005)"/>
    <m/>
    <m/>
  </r>
  <r>
    <s v="2025-02-16"/>
    <x v="42"/>
    <s v="50001"/>
    <s v="대변"/>
    <s v="101"/>
    <s v="현금"/>
    <x v="1"/>
    <n v="0"/>
    <n v="5000"/>
    <n v="5000"/>
    <s v="국민카드(2005)"/>
    <m/>
    <m/>
  </r>
  <r>
    <s v="2025-02-16"/>
    <x v="42"/>
    <s v="50001"/>
    <s v="차변"/>
    <s v="830"/>
    <s v="소모품비(판)"/>
    <x v="6"/>
    <n v="4546"/>
    <n v="0"/>
    <n v="-4546"/>
    <s v="다이소아성산업"/>
    <s v="  "/>
    <m/>
  </r>
  <r>
    <s v="2025-02-16"/>
    <x v="42"/>
    <s v="50001"/>
    <s v="차변"/>
    <s v="135"/>
    <s v="부가세대급금"/>
    <x v="5"/>
    <n v="454"/>
    <n v="0"/>
    <n v="-454"/>
    <s v="다이소아성산업"/>
    <s v="  "/>
    <m/>
  </r>
  <r>
    <s v="2025-02-17"/>
    <x v="43"/>
    <s v="00001"/>
    <s v="차변"/>
    <s v="811"/>
    <s v="복리후생비(판)"/>
    <x v="8"/>
    <n v="3000"/>
    <n v="0"/>
    <n v="-3000"/>
    <s v="김밥랜드"/>
    <m/>
    <m/>
  </r>
  <r>
    <s v="2025-02-17"/>
    <x v="43"/>
    <s v="00001"/>
    <s v="대변"/>
    <s v="101"/>
    <s v="현금"/>
    <x v="1"/>
    <n v="0"/>
    <n v="3000"/>
    <n v="3000"/>
    <s v="하나카드(4088)"/>
    <m/>
    <m/>
  </r>
  <r>
    <s v="2025-02-17"/>
    <x v="43"/>
    <s v="00002"/>
    <s v="대변"/>
    <s v="101"/>
    <s v="현금"/>
    <x v="1"/>
    <n v="0"/>
    <n v="5300"/>
    <n v="5300"/>
    <s v="하나카드(4088)"/>
    <m/>
    <m/>
  </r>
  <r>
    <s v="2025-02-17"/>
    <x v="43"/>
    <s v="00002"/>
    <s v="차변"/>
    <s v="811"/>
    <s v="복리후생비(판)"/>
    <x v="8"/>
    <n v="5300"/>
    <n v="0"/>
    <n v="-5300"/>
    <s v="아이스홀릭 첨단점"/>
    <m/>
    <m/>
  </r>
  <r>
    <s v="2025-02-17"/>
    <x v="43"/>
    <s v="00003"/>
    <s v="차변"/>
    <s v="812"/>
    <s v="여비교통비(판)"/>
    <x v="9"/>
    <n v="5600"/>
    <n v="0"/>
    <n v="-5600"/>
    <s v="원지 휴게소"/>
    <m/>
    <m/>
  </r>
  <r>
    <s v="2025-02-17"/>
    <x v="43"/>
    <s v="00003"/>
    <s v="대변"/>
    <s v="101"/>
    <s v="현금"/>
    <x v="1"/>
    <n v="0"/>
    <n v="5600"/>
    <n v="5600"/>
    <s v="하나카드(4088)"/>
    <m/>
    <m/>
  </r>
  <r>
    <s v="2025-02-17"/>
    <x v="43"/>
    <s v="00004"/>
    <s v="차변"/>
    <s v="822"/>
    <s v="차량유지비(판)"/>
    <x v="11"/>
    <n v="50000"/>
    <n v="0"/>
    <n v="-50000"/>
    <s v="능주농협 주유소"/>
    <m/>
    <m/>
  </r>
  <r>
    <s v="2025-02-17"/>
    <x v="43"/>
    <s v="00004"/>
    <s v="대변"/>
    <s v="101"/>
    <s v="현금"/>
    <x v="1"/>
    <n v="0"/>
    <n v="50000"/>
    <n v="50000"/>
    <s v="하나카드(4088)"/>
    <m/>
    <m/>
  </r>
  <r>
    <s v="2025-02-17"/>
    <x v="43"/>
    <s v="50001"/>
    <s v="대변"/>
    <s v="255"/>
    <s v="부가세예수금"/>
    <x v="3"/>
    <n v="0"/>
    <n v="10000"/>
    <n v="10000"/>
    <s v="(주)커피볶는집"/>
    <m/>
    <s v="인사노무자문료 1 X 100,000"/>
  </r>
  <r>
    <s v="2025-02-17"/>
    <x v="43"/>
    <s v="50001"/>
    <s v="대변"/>
    <s v="401"/>
    <s v="용역매출"/>
    <x v="4"/>
    <n v="0"/>
    <n v="100000"/>
    <n v="100000"/>
    <s v="(주)커피볶는집"/>
    <m/>
    <s v="인사노무자문료 1 X 100,000"/>
  </r>
  <r>
    <s v="2025-02-17"/>
    <x v="43"/>
    <s v="50001"/>
    <s v="차변"/>
    <s v="101"/>
    <s v="현금"/>
    <x v="1"/>
    <n v="110000"/>
    <n v="0"/>
    <n v="-110000"/>
    <s v="(주)커피볶는집"/>
    <m/>
    <s v="인사노무자문료 1 X 100,000"/>
  </r>
  <r>
    <s v="2025-02-18"/>
    <x v="44"/>
    <s v="00001"/>
    <s v="차변"/>
    <s v="812"/>
    <s v="여비교통비(판)"/>
    <x v="9"/>
    <n v="10000"/>
    <n v="0"/>
    <n v="-10000"/>
    <s v="카페청사"/>
    <m/>
    <m/>
  </r>
  <r>
    <s v="2025-02-18"/>
    <x v="44"/>
    <s v="00001"/>
    <s v="대변"/>
    <s v="101"/>
    <s v="현금"/>
    <x v="1"/>
    <n v="0"/>
    <n v="10000"/>
    <n v="10000"/>
    <s v="농협카드(6215)"/>
    <m/>
    <m/>
  </r>
  <r>
    <s v="2025-02-18"/>
    <x v="44"/>
    <s v="00002"/>
    <s v="차변"/>
    <s v="813"/>
    <s v="접대비(기업업무추진비)(판)"/>
    <x v="0"/>
    <n v="57000"/>
    <n v="0"/>
    <n v="-57000"/>
    <s v="이영미궁중한방삼계탕"/>
    <m/>
    <m/>
  </r>
  <r>
    <s v="2025-02-18"/>
    <x v="44"/>
    <s v="00002"/>
    <s v="대변"/>
    <s v="101"/>
    <s v="현금"/>
    <x v="1"/>
    <n v="0"/>
    <n v="57000"/>
    <n v="57000"/>
    <s v="하나카드(4088)"/>
    <m/>
    <m/>
  </r>
  <r>
    <s v="2025-02-18"/>
    <x v="44"/>
    <s v="50001"/>
    <s v="대변"/>
    <s v="255"/>
    <s v="부가세예수금"/>
    <x v="3"/>
    <n v="0"/>
    <n v="6000"/>
    <n v="6000"/>
    <s v="이마트24광주농성점"/>
    <m/>
    <s v="인사노무자문료 1 X 60,000"/>
  </r>
  <r>
    <s v="2025-02-18"/>
    <x v="44"/>
    <s v="50001"/>
    <s v="대변"/>
    <s v="401"/>
    <s v="용역매출"/>
    <x v="4"/>
    <n v="0"/>
    <n v="60000"/>
    <n v="60000"/>
    <s v="이마트24광주농성점"/>
    <m/>
    <s v="인사노무자문료 1 X 60,000"/>
  </r>
  <r>
    <s v="2025-02-18"/>
    <x v="44"/>
    <s v="50001"/>
    <s v="차변"/>
    <s v="101"/>
    <s v="현금"/>
    <x v="1"/>
    <n v="66000"/>
    <n v="0"/>
    <n v="-66000"/>
    <s v="이마트24광주농성점"/>
    <m/>
    <s v="인사노무자문료 1 X 60,000"/>
  </r>
  <r>
    <s v="2025-02-18"/>
    <x v="44"/>
    <s v="50002"/>
    <s v="대변"/>
    <s v="101"/>
    <s v="현금"/>
    <x v="1"/>
    <n v="0"/>
    <n v="122000"/>
    <n v="122000"/>
    <s v="현대카드(4817)"/>
    <m/>
    <m/>
  </r>
  <r>
    <s v="2025-02-18"/>
    <x v="44"/>
    <s v="50002"/>
    <s v="차변"/>
    <s v="830"/>
    <s v="소모품비(판)"/>
    <x v="6"/>
    <n v="110909"/>
    <n v="0"/>
    <n v="-110909"/>
    <s v="KCP - ( 주 ) 위메프"/>
    <s v="  "/>
    <m/>
  </r>
  <r>
    <s v="2025-02-18"/>
    <x v="44"/>
    <s v="50002"/>
    <s v="차변"/>
    <s v="135"/>
    <s v="부가세대급금"/>
    <x v="5"/>
    <n v="11091"/>
    <n v="0"/>
    <n v="-11091"/>
    <s v="KCP - ( 주 ) 위메프"/>
    <s v="  "/>
    <m/>
  </r>
  <r>
    <s v="2025-02-19"/>
    <x v="45"/>
    <s v="00001"/>
    <s v="차변"/>
    <s v="811"/>
    <s v="복리후생비(판)"/>
    <x v="8"/>
    <n v="22000"/>
    <n v="0"/>
    <n v="-22000"/>
    <s v="채가곰탕"/>
    <m/>
    <m/>
  </r>
  <r>
    <s v="2025-02-19"/>
    <x v="45"/>
    <s v="00001"/>
    <s v="대변"/>
    <s v="101"/>
    <s v="현금"/>
    <x v="1"/>
    <n v="0"/>
    <n v="22000"/>
    <n v="22000"/>
    <s v="하나카드(4088)"/>
    <m/>
    <m/>
  </r>
  <r>
    <s v="2025-02-19"/>
    <x v="45"/>
    <s v="00002"/>
    <s v="차변"/>
    <s v="830"/>
    <s v="소모품비(판)"/>
    <x v="6"/>
    <n v="5500"/>
    <n v="0"/>
    <n v="-5500"/>
    <s v="KCP - ( 주 ) 위메프"/>
    <m/>
    <m/>
  </r>
  <r>
    <s v="2025-02-19"/>
    <x v="45"/>
    <s v="00002"/>
    <s v="대변"/>
    <s v="101"/>
    <s v="현금"/>
    <x v="1"/>
    <n v="0"/>
    <n v="5500"/>
    <n v="5500"/>
    <s v="하나카드(4088)"/>
    <m/>
    <m/>
  </r>
  <r>
    <s v="2025-02-19"/>
    <x v="45"/>
    <s v="00003"/>
    <s v="대변"/>
    <s v="101"/>
    <s v="현금"/>
    <x v="1"/>
    <n v="0"/>
    <n v="6500"/>
    <n v="6500"/>
    <s v="하나카드(4088)"/>
    <m/>
    <m/>
  </r>
  <r>
    <s v="2025-02-19"/>
    <x v="45"/>
    <s v="00003"/>
    <s v="차변"/>
    <s v="812"/>
    <s v="여비교통비(판)"/>
    <x v="9"/>
    <n v="6500"/>
    <n v="0"/>
    <n v="-6500"/>
    <s v="주식회사 굿윌"/>
    <m/>
    <m/>
  </r>
  <r>
    <s v="2025-02-19"/>
    <x v="45"/>
    <s v="00004"/>
    <s v="대변"/>
    <s v="101"/>
    <s v="현금"/>
    <x v="1"/>
    <n v="0"/>
    <n v="10120"/>
    <n v="10120"/>
    <s v="하나카드(4088)"/>
    <m/>
    <m/>
  </r>
  <r>
    <s v="2025-02-19"/>
    <x v="45"/>
    <s v="00004"/>
    <s v="차변"/>
    <s v="824"/>
    <s v="운반비(판)"/>
    <x v="15"/>
    <n v="10120"/>
    <n v="0"/>
    <n v="-10120"/>
    <s v="우정사업본부광주"/>
    <m/>
    <m/>
  </r>
  <r>
    <s v="2025-02-20"/>
    <x v="46"/>
    <s v="00001"/>
    <s v="차변"/>
    <s v="811"/>
    <s v="복리후생비(판)"/>
    <x v="8"/>
    <n v="3900"/>
    <n v="0"/>
    <n v="-3900"/>
    <s v="배스킨라빈스롯데마트수완점"/>
    <m/>
    <m/>
  </r>
  <r>
    <s v="2025-02-20"/>
    <x v="46"/>
    <s v="00001"/>
    <s v="대변"/>
    <s v="101"/>
    <s v="현금"/>
    <x v="1"/>
    <n v="0"/>
    <n v="3900"/>
    <n v="3900"/>
    <s v="국민카드(2005)"/>
    <m/>
    <m/>
  </r>
  <r>
    <s v="2025-02-20"/>
    <x v="46"/>
    <s v="00002"/>
    <s v="차변"/>
    <s v="830"/>
    <s v="소모품비(판)"/>
    <x v="6"/>
    <n v="3300"/>
    <n v="0"/>
    <n v="-3300"/>
    <s v="KCP - ( 주 ) 위메프"/>
    <m/>
    <m/>
  </r>
  <r>
    <s v="2025-02-20"/>
    <x v="46"/>
    <s v="00002"/>
    <s v="대변"/>
    <s v="101"/>
    <s v="현금"/>
    <x v="1"/>
    <n v="0"/>
    <n v="3300"/>
    <n v="3300"/>
    <s v="하나카드(4088)"/>
    <m/>
    <m/>
  </r>
  <r>
    <s v="2025-02-20"/>
    <x v="46"/>
    <s v="00003"/>
    <s v="대변"/>
    <s v="101"/>
    <s v="현금"/>
    <x v="1"/>
    <n v="0"/>
    <n v="24130"/>
    <n v="24130"/>
    <s v="국민카드(2005)"/>
    <m/>
    <m/>
  </r>
  <r>
    <s v="2025-02-20"/>
    <x v="46"/>
    <s v="00003"/>
    <s v="차변"/>
    <s v="831"/>
    <s v="지급수수료(판)"/>
    <x v="7"/>
    <n v="24130"/>
    <n v="0"/>
    <n v="-24130"/>
    <s v="코웨이(주）"/>
    <m/>
    <m/>
  </r>
  <r>
    <s v="2025-02-20"/>
    <x v="46"/>
    <s v="00004"/>
    <s v="대변"/>
    <s v="101"/>
    <s v="현금"/>
    <x v="1"/>
    <n v="0"/>
    <n v="42650"/>
    <n v="42650"/>
    <s v="국민카드(2005)"/>
    <m/>
    <m/>
  </r>
  <r>
    <s v="2025-02-20"/>
    <x v="46"/>
    <s v="00004"/>
    <s v="차변"/>
    <s v="831"/>
    <s v="지급수수료(판)"/>
    <x v="7"/>
    <n v="42650"/>
    <n v="0"/>
    <n v="-42650"/>
    <s v="코웨이(주）"/>
    <m/>
    <m/>
  </r>
  <r>
    <s v="2025-02-20"/>
    <x v="46"/>
    <s v="00005"/>
    <s v="차변"/>
    <s v="811"/>
    <s v="복리후생비(판)"/>
    <x v="8"/>
    <n v="21900"/>
    <n v="0"/>
    <n v="-21900"/>
    <s v="굽네치킨첨단2호점"/>
    <m/>
    <m/>
  </r>
  <r>
    <s v="2025-02-20"/>
    <x v="46"/>
    <s v="00005"/>
    <s v="대변"/>
    <s v="101"/>
    <s v="현금"/>
    <x v="1"/>
    <n v="0"/>
    <n v="21900"/>
    <n v="21900"/>
    <s v="굽네치킨첨단2호점"/>
    <m/>
    <m/>
  </r>
  <r>
    <s v="2025-02-20"/>
    <x v="46"/>
    <s v="50001"/>
    <s v="대변"/>
    <s v="255"/>
    <s v="부가세예수금"/>
    <x v="3"/>
    <n v="0"/>
    <n v="10000"/>
    <n v="10000"/>
    <s v="리.베이커리"/>
    <m/>
    <s v="인사노무자문료 1 X 100,000"/>
  </r>
  <r>
    <s v="2025-02-20"/>
    <x v="46"/>
    <s v="50001"/>
    <s v="대변"/>
    <s v="401"/>
    <s v="용역매출"/>
    <x v="4"/>
    <n v="0"/>
    <n v="100000"/>
    <n v="100000"/>
    <s v="리.베이커리"/>
    <m/>
    <s v="인사노무자문료 1 X 100,000"/>
  </r>
  <r>
    <s v="2025-02-20"/>
    <x v="46"/>
    <s v="50001"/>
    <s v="차변"/>
    <s v="101"/>
    <s v="현금"/>
    <x v="1"/>
    <n v="110000"/>
    <n v="0"/>
    <n v="-110000"/>
    <s v="리.베이커리"/>
    <m/>
    <s v="인사노무자문료 1 X 100,000"/>
  </r>
  <r>
    <s v="2025-02-20"/>
    <x v="46"/>
    <s v="50002"/>
    <s v="대변"/>
    <s v="255"/>
    <s v="부가세예수금"/>
    <x v="3"/>
    <n v="0"/>
    <n v="20000"/>
    <n v="20000"/>
    <s v="(주)해성푸드원"/>
    <m/>
    <s v="인사노무자문료 1 X 200,000"/>
  </r>
  <r>
    <s v="2025-02-20"/>
    <x v="46"/>
    <s v="50002"/>
    <s v="대변"/>
    <s v="401"/>
    <s v="용역매출"/>
    <x v="4"/>
    <n v="0"/>
    <n v="200000"/>
    <n v="200000"/>
    <s v="(주)해성푸드원"/>
    <m/>
    <s v="인사노무자문료 1 X 200,000"/>
  </r>
  <r>
    <s v="2025-02-20"/>
    <x v="46"/>
    <s v="50002"/>
    <s v="차변"/>
    <s v="101"/>
    <s v="현금"/>
    <x v="1"/>
    <n v="220000"/>
    <n v="0"/>
    <n v="-220000"/>
    <s v="(주)해성푸드원"/>
    <m/>
    <s v="인사노무자문료 1 X 200,000"/>
  </r>
  <r>
    <s v="2025-02-20"/>
    <x v="46"/>
    <s v="50003"/>
    <s v="대변"/>
    <s v="255"/>
    <s v="부가세예수금"/>
    <x v="3"/>
    <n v="0"/>
    <n v="10000"/>
    <n v="10000"/>
    <s v="주식회사 동양금속"/>
    <m/>
    <s v="인사노무자문료 1 X 100,000"/>
  </r>
  <r>
    <s v="2025-02-20"/>
    <x v="46"/>
    <s v="50003"/>
    <s v="대변"/>
    <s v="401"/>
    <s v="용역매출"/>
    <x v="4"/>
    <n v="0"/>
    <n v="100000"/>
    <n v="100000"/>
    <s v="주식회사 동양금속"/>
    <m/>
    <s v="인사노무자문료 1 X 100,000"/>
  </r>
  <r>
    <s v="2025-02-20"/>
    <x v="46"/>
    <s v="50003"/>
    <s v="차변"/>
    <s v="101"/>
    <s v="현금"/>
    <x v="1"/>
    <n v="110000"/>
    <n v="0"/>
    <n v="-110000"/>
    <s v="주식회사 동양금속"/>
    <m/>
    <s v="인사노무자문료 1 X 100,000"/>
  </r>
  <r>
    <s v="2025-02-20"/>
    <x v="46"/>
    <s v="50004"/>
    <s v="대변"/>
    <s v="255"/>
    <s v="부가세예수금"/>
    <x v="3"/>
    <n v="0"/>
    <n v="10000"/>
    <n v="10000"/>
    <s v="(주)중동텍스타일"/>
    <m/>
    <s v="인사노무자문료 1 X 100,000"/>
  </r>
  <r>
    <s v="2025-02-20"/>
    <x v="46"/>
    <s v="50004"/>
    <s v="대변"/>
    <s v="401"/>
    <s v="용역매출"/>
    <x v="4"/>
    <n v="0"/>
    <n v="100000"/>
    <n v="100000"/>
    <s v="(주)중동텍스타일"/>
    <m/>
    <s v="인사노무자문료 1 X 100,000"/>
  </r>
  <r>
    <s v="2025-02-20"/>
    <x v="46"/>
    <s v="50004"/>
    <s v="차변"/>
    <s v="101"/>
    <s v="현금"/>
    <x v="1"/>
    <n v="110000"/>
    <n v="0"/>
    <n v="-110000"/>
    <s v="(주)중동텍스타일"/>
    <m/>
    <s v="인사노무자문료 1 X 100,000"/>
  </r>
  <r>
    <s v="2025-02-20"/>
    <x v="46"/>
    <s v="50005"/>
    <s v="대변"/>
    <s v="255"/>
    <s v="부가세예수금"/>
    <x v="3"/>
    <n v="0"/>
    <n v="15000"/>
    <n v="15000"/>
    <s v="최원호병원"/>
    <m/>
    <s v="인사노무자문료 1 X 150,000"/>
  </r>
  <r>
    <s v="2025-02-20"/>
    <x v="46"/>
    <s v="50005"/>
    <s v="대변"/>
    <s v="401"/>
    <s v="용역매출"/>
    <x v="4"/>
    <n v="0"/>
    <n v="150000"/>
    <n v="150000"/>
    <s v="최원호병원"/>
    <m/>
    <s v="인사노무자문료 1 X 150,000"/>
  </r>
  <r>
    <s v="2025-02-20"/>
    <x v="46"/>
    <s v="50005"/>
    <s v="차변"/>
    <s v="101"/>
    <s v="현금"/>
    <x v="1"/>
    <n v="165000"/>
    <n v="0"/>
    <n v="-165000"/>
    <s v="최원호병원"/>
    <m/>
    <s v="인사노무자문료 1 X 150,000"/>
  </r>
  <r>
    <s v="2025-02-20"/>
    <x v="46"/>
    <s v="50006"/>
    <s v="대변"/>
    <s v="255"/>
    <s v="부가세예수금"/>
    <x v="3"/>
    <n v="0"/>
    <n v="100000"/>
    <n v="100000"/>
    <s v="(주)에이버츄얼"/>
    <m/>
    <s v="노동법률자문료 1 X 1,000,000"/>
  </r>
  <r>
    <s v="2025-02-20"/>
    <x v="46"/>
    <s v="50006"/>
    <s v="대변"/>
    <s v="401"/>
    <s v="용역매출"/>
    <x v="4"/>
    <n v="0"/>
    <n v="1000000"/>
    <n v="1000000"/>
    <s v="(주)에이버츄얼"/>
    <m/>
    <s v="노동법률자문료 1 X 1,000,000"/>
  </r>
  <r>
    <s v="2025-02-20"/>
    <x v="46"/>
    <s v="50006"/>
    <s v="차변"/>
    <s v="101"/>
    <s v="현금"/>
    <x v="1"/>
    <n v="1100000"/>
    <n v="0"/>
    <n v="-1100000"/>
    <s v="(주)에이버츄얼"/>
    <m/>
    <s v="노동법률자문료 1 X 1,000,000"/>
  </r>
  <r>
    <s v="2025-02-20"/>
    <x v="46"/>
    <s v="50007"/>
    <s v="차변"/>
    <s v="837"/>
    <s v="건물관리비(판)"/>
    <x v="16"/>
    <n v="180260"/>
    <n v="0"/>
    <n v="-180260"/>
    <s v="와이어스파크 지식산업센터 관리위원회"/>
    <m/>
    <s v="2동2205호"/>
  </r>
  <r>
    <s v="2025-02-20"/>
    <x v="46"/>
    <s v="50007"/>
    <s v="대변"/>
    <s v="101"/>
    <s v="현금"/>
    <x v="1"/>
    <n v="0"/>
    <n v="180260"/>
    <n v="180260"/>
    <s v="와이어스파크 지식산업센터 관리위원회"/>
    <m/>
    <s v="2동2205호"/>
  </r>
  <r>
    <s v="2025-02-20"/>
    <x v="46"/>
    <s v="50008"/>
    <s v="차변"/>
    <s v="135"/>
    <s v="부가세대급금"/>
    <x v="5"/>
    <n v="14454"/>
    <n v="0"/>
    <n v="-14454"/>
    <s v="롯데쇼핑(주)롯데아울렛광주수완점 오가"/>
    <m/>
    <m/>
  </r>
  <r>
    <s v="2025-02-20"/>
    <x v="46"/>
    <s v="50008"/>
    <s v="차변"/>
    <s v="830"/>
    <s v="소모품비(판)"/>
    <x v="6"/>
    <n v="144546"/>
    <n v="0"/>
    <n v="-144546"/>
    <s v="롯데쇼핑(주)롯데아울렛광주수완점 오가"/>
    <m/>
    <m/>
  </r>
  <r>
    <s v="2025-02-20"/>
    <x v="46"/>
    <s v="50008"/>
    <s v="대변"/>
    <s v="101"/>
    <s v="현금"/>
    <x v="1"/>
    <n v="0"/>
    <n v="159000"/>
    <n v="159000"/>
    <s v="국민카드(2005)"/>
    <m/>
    <m/>
  </r>
  <r>
    <s v="2025-02-20"/>
    <x v="46"/>
    <s v="50009"/>
    <s v="차변"/>
    <s v="135"/>
    <s v="부가세대급금"/>
    <x v="5"/>
    <n v="3181"/>
    <n v="0"/>
    <n v="-3181"/>
    <s v="롯데쇼핑(주)롯데아울렛광주수완점 오가"/>
    <m/>
    <m/>
  </r>
  <r>
    <s v="2025-02-20"/>
    <x v="46"/>
    <s v="50009"/>
    <s v="차변"/>
    <s v="830"/>
    <s v="소모품비(판)"/>
    <x v="6"/>
    <n v="31819"/>
    <n v="0"/>
    <n v="-31819"/>
    <s v="롯데쇼핑(주)롯데아울렛광주수완점 오가"/>
    <m/>
    <m/>
  </r>
  <r>
    <s v="2025-02-20"/>
    <x v="46"/>
    <s v="50009"/>
    <s v="대변"/>
    <s v="101"/>
    <s v="현금"/>
    <x v="1"/>
    <n v="0"/>
    <n v="35000"/>
    <n v="35000"/>
    <s v="농협카드(6215)"/>
    <m/>
    <m/>
  </r>
  <r>
    <s v="2025-02-21"/>
    <x v="47"/>
    <s v="00001"/>
    <s v="차변"/>
    <s v="811"/>
    <s v="복리후생비(판)"/>
    <x v="8"/>
    <n v="3000"/>
    <n v="0"/>
    <n v="-3000"/>
    <s v="김밥랜드"/>
    <m/>
    <m/>
  </r>
  <r>
    <s v="2025-02-21"/>
    <x v="47"/>
    <s v="00001"/>
    <s v="대변"/>
    <s v="101"/>
    <s v="현금"/>
    <x v="1"/>
    <n v="0"/>
    <n v="3000"/>
    <n v="3000"/>
    <s v="하나카드(4088)"/>
    <m/>
    <m/>
  </r>
  <r>
    <s v="2025-02-21"/>
    <x v="47"/>
    <s v="00002"/>
    <s v="차변"/>
    <s v="812"/>
    <s v="여비교통비(판)"/>
    <x v="9"/>
    <n v="1000"/>
    <n v="0"/>
    <n v="-1000"/>
    <s v="이마트24 군산누가병원점"/>
    <m/>
    <m/>
  </r>
  <r>
    <s v="2025-02-21"/>
    <x v="47"/>
    <s v="00002"/>
    <s v="대변"/>
    <s v="101"/>
    <s v="현금"/>
    <x v="1"/>
    <n v="0"/>
    <n v="1000"/>
    <n v="1000"/>
    <s v="하나카드(4088)"/>
    <m/>
    <m/>
  </r>
  <r>
    <s v="2025-02-21"/>
    <x v="47"/>
    <s v="00003"/>
    <s v="대변"/>
    <s v="101"/>
    <s v="현금"/>
    <x v="1"/>
    <n v="0"/>
    <n v="17400"/>
    <n v="17400"/>
    <s v="하나카드(4088)"/>
    <m/>
    <m/>
  </r>
  <r>
    <s v="2025-02-21"/>
    <x v="47"/>
    <s v="00003"/>
    <s v="차변"/>
    <s v="812"/>
    <s v="여비교통비(판)"/>
    <x v="9"/>
    <n v="17400"/>
    <n v="0"/>
    <n v="-17400"/>
    <s v="던킨 동군산병원점"/>
    <m/>
    <m/>
  </r>
  <r>
    <s v="2025-02-21"/>
    <x v="47"/>
    <s v="50001"/>
    <s v="대변"/>
    <s v="255"/>
    <s v="부가세예수금"/>
    <x v="3"/>
    <n v="0"/>
    <n v="10000"/>
    <n v="10000"/>
    <s v="24시 동물병원 공감"/>
    <m/>
    <s v="인사노무자문료 1 X 100,000"/>
  </r>
  <r>
    <s v="2025-02-21"/>
    <x v="47"/>
    <s v="50001"/>
    <s v="대변"/>
    <s v="401"/>
    <s v="용역매출"/>
    <x v="4"/>
    <n v="0"/>
    <n v="100000"/>
    <n v="100000"/>
    <s v="24시 동물병원 공감"/>
    <m/>
    <s v="인사노무자문료 1 X 100,000"/>
  </r>
  <r>
    <s v="2025-02-21"/>
    <x v="47"/>
    <s v="50001"/>
    <s v="차변"/>
    <s v="101"/>
    <s v="현금"/>
    <x v="1"/>
    <n v="110000"/>
    <n v="0"/>
    <n v="-110000"/>
    <s v="24시 동물병원 공감"/>
    <m/>
    <s v="인사노무자문료 1 X 100,000"/>
  </r>
  <r>
    <s v="2025-02-21"/>
    <x v="47"/>
    <s v="50002"/>
    <s v="대변"/>
    <s v="255"/>
    <s v="부가세예수금"/>
    <x v="3"/>
    <n v="0"/>
    <n v="15000"/>
    <n v="15000"/>
    <s v="강남옥과한우촌"/>
    <m/>
    <s v="인사노무자문료 1 X 150,000"/>
  </r>
  <r>
    <s v="2025-02-21"/>
    <x v="47"/>
    <s v="50002"/>
    <s v="대변"/>
    <s v="401"/>
    <s v="용역매출"/>
    <x v="4"/>
    <n v="0"/>
    <n v="150000"/>
    <n v="150000"/>
    <s v="강남옥과한우촌"/>
    <m/>
    <s v="인사노무자문료 1 X 150,000"/>
  </r>
  <r>
    <s v="2025-02-21"/>
    <x v="47"/>
    <s v="50002"/>
    <s v="차변"/>
    <s v="101"/>
    <s v="현금"/>
    <x v="1"/>
    <n v="165000"/>
    <n v="0"/>
    <n v="-165000"/>
    <s v="강남옥과한우촌"/>
    <m/>
    <s v="인사노무자문료 1 X 150,000"/>
  </r>
  <r>
    <s v="2025-02-21"/>
    <x v="47"/>
    <s v="50003"/>
    <s v="대변"/>
    <s v="255"/>
    <s v="부가세예수금"/>
    <x v="3"/>
    <n v="0"/>
    <n v="10000"/>
    <n v="10000"/>
    <s v="연세바른병원"/>
    <m/>
    <s v="인사노무자문료 1 X 100,000"/>
  </r>
  <r>
    <s v="2025-02-21"/>
    <x v="47"/>
    <s v="50003"/>
    <s v="대변"/>
    <s v="401"/>
    <s v="용역매출"/>
    <x v="4"/>
    <n v="0"/>
    <n v="100000"/>
    <n v="100000"/>
    <s v="연세바른병원"/>
    <m/>
    <s v="인사노무자문료 1 X 100,000"/>
  </r>
  <r>
    <s v="2025-02-21"/>
    <x v="47"/>
    <s v="50003"/>
    <s v="차변"/>
    <s v="101"/>
    <s v="현금"/>
    <x v="1"/>
    <n v="110000"/>
    <n v="0"/>
    <n v="-110000"/>
    <s v="연세바른병원"/>
    <m/>
    <s v="인사노무자문료 1 X 100,000"/>
  </r>
  <r>
    <s v="2025-02-21"/>
    <x v="47"/>
    <s v="50004"/>
    <s v="대변"/>
    <s v="255"/>
    <s v="부가세예수금"/>
    <x v="3"/>
    <n v="0"/>
    <n v="10000"/>
    <n v="10000"/>
    <s v="주식화사 광원이엔지"/>
    <m/>
    <s v="인사노무자문료 1 X 100,000"/>
  </r>
  <r>
    <s v="2025-02-21"/>
    <x v="47"/>
    <s v="50004"/>
    <s v="대변"/>
    <s v="401"/>
    <s v="용역매출"/>
    <x v="4"/>
    <n v="0"/>
    <n v="100000"/>
    <n v="100000"/>
    <s v="주식화사 광원이엔지"/>
    <m/>
    <s v="인사노무자문료 1 X 100,000"/>
  </r>
  <r>
    <s v="2025-02-21"/>
    <x v="47"/>
    <s v="50004"/>
    <s v="차변"/>
    <s v="101"/>
    <s v="현금"/>
    <x v="1"/>
    <n v="110000"/>
    <n v="0"/>
    <n v="-110000"/>
    <s v="주식화사 광원이엔지"/>
    <m/>
    <s v="인사노무자문료 1 X 100,000"/>
  </r>
  <r>
    <s v="2025-02-21"/>
    <x v="47"/>
    <s v="50005"/>
    <s v="대변"/>
    <s v="255"/>
    <s v="부가세예수금"/>
    <x v="3"/>
    <n v="0"/>
    <n v="20000"/>
    <n v="20000"/>
    <s v="탐진화물주식회사 유한회사"/>
    <m/>
    <s v="인사노무자문료 1 X 200,000"/>
  </r>
  <r>
    <s v="2025-02-21"/>
    <x v="47"/>
    <s v="50005"/>
    <s v="대변"/>
    <s v="401"/>
    <s v="용역매출"/>
    <x v="4"/>
    <n v="0"/>
    <n v="200000"/>
    <n v="200000"/>
    <s v="탐진화물주식회사 유한회사"/>
    <m/>
    <s v="인사노무자문료 1 X 200,000"/>
  </r>
  <r>
    <s v="2025-02-21"/>
    <x v="47"/>
    <s v="50005"/>
    <s v="차변"/>
    <s v="101"/>
    <s v="현금"/>
    <x v="1"/>
    <n v="220000"/>
    <n v="0"/>
    <n v="-220000"/>
    <s v="탐진화물주식회사 유한회사"/>
    <m/>
    <s v="인사노무자문료 1 X 200,000"/>
  </r>
  <r>
    <s v="2025-02-21"/>
    <x v="47"/>
    <s v="50006"/>
    <s v="대변"/>
    <s v="255"/>
    <s v="부가세예수금"/>
    <x v="3"/>
    <n v="0"/>
    <n v="15000"/>
    <n v="15000"/>
    <s v="월간맥주수완점"/>
    <m/>
    <s v="인사노무자문료 1 X 150,000"/>
  </r>
  <r>
    <s v="2025-02-21"/>
    <x v="47"/>
    <s v="50006"/>
    <s v="대변"/>
    <s v="401"/>
    <s v="용역매출"/>
    <x v="4"/>
    <n v="0"/>
    <n v="150000"/>
    <n v="150000"/>
    <s v="월간맥주수완점"/>
    <m/>
    <s v="인사노무자문료 1 X 150,000"/>
  </r>
  <r>
    <s v="2025-02-21"/>
    <x v="47"/>
    <s v="50006"/>
    <s v="차변"/>
    <s v="101"/>
    <s v="현금"/>
    <x v="1"/>
    <n v="165000"/>
    <n v="0"/>
    <n v="-165000"/>
    <s v="월간맥주수완점"/>
    <m/>
    <s v="인사노무자문료 1 X 150,000"/>
  </r>
  <r>
    <s v="2025-02-21"/>
    <x v="47"/>
    <s v="50007"/>
    <s v="대변"/>
    <s v="255"/>
    <s v="부가세예수금"/>
    <x v="3"/>
    <n v="0"/>
    <n v="20000"/>
    <n v="20000"/>
    <s v="(주)유토피아코리아"/>
    <m/>
    <s v="인사노무자문료 1 X 200,000"/>
  </r>
  <r>
    <s v="2025-02-21"/>
    <x v="47"/>
    <s v="50007"/>
    <s v="대변"/>
    <s v="401"/>
    <s v="용역매출"/>
    <x v="4"/>
    <n v="0"/>
    <n v="200000"/>
    <n v="200000"/>
    <s v="(주)유토피아코리아"/>
    <m/>
    <s v="인사노무자문료 1 X 200,000"/>
  </r>
  <r>
    <s v="2025-02-21"/>
    <x v="47"/>
    <s v="50007"/>
    <s v="차변"/>
    <s v="101"/>
    <s v="현금"/>
    <x v="1"/>
    <n v="220000"/>
    <n v="0"/>
    <n v="-220000"/>
    <s v="(주)유토피아코리아"/>
    <m/>
    <s v="인사노무자문료 1 X 200,000"/>
  </r>
  <r>
    <s v="2025-02-24"/>
    <x v="48"/>
    <s v="00001"/>
    <s v="대변"/>
    <s v="101"/>
    <s v="현금"/>
    <x v="1"/>
    <n v="0"/>
    <n v="100000"/>
    <n v="100000"/>
    <s v="현대카드(4817)"/>
    <m/>
    <m/>
  </r>
  <r>
    <s v="2025-02-24"/>
    <x v="48"/>
    <s v="00001"/>
    <s v="차변"/>
    <s v="811"/>
    <s v="복리후생비(판)"/>
    <x v="8"/>
    <n v="100000"/>
    <n v="0"/>
    <n v="-100000"/>
    <s v="주식회사 에스피씨삼립"/>
    <m/>
    <m/>
  </r>
  <r>
    <s v="2025-02-24"/>
    <x v="48"/>
    <s v="00002"/>
    <s v="차변"/>
    <s v="811"/>
    <s v="복리후생비(판)"/>
    <x v="8"/>
    <n v="3000"/>
    <n v="0"/>
    <n v="-3000"/>
    <s v="김밥랜드"/>
    <m/>
    <m/>
  </r>
  <r>
    <s v="2025-02-24"/>
    <x v="48"/>
    <s v="00002"/>
    <s v="대변"/>
    <s v="101"/>
    <s v="현금"/>
    <x v="1"/>
    <n v="0"/>
    <n v="3000"/>
    <n v="3000"/>
    <s v="하나카드(4088)"/>
    <m/>
    <m/>
  </r>
  <r>
    <s v="2025-02-24"/>
    <x v="48"/>
    <s v="00003"/>
    <s v="차변"/>
    <s v="811"/>
    <s v="복리후생비(판)"/>
    <x v="8"/>
    <n v="3000"/>
    <n v="0"/>
    <n v="-3000"/>
    <s v="김밥랜드"/>
    <m/>
    <m/>
  </r>
  <r>
    <s v="2025-02-24"/>
    <x v="48"/>
    <s v="00003"/>
    <s v="대변"/>
    <s v="101"/>
    <s v="현금"/>
    <x v="1"/>
    <n v="0"/>
    <n v="3000"/>
    <n v="3000"/>
    <s v="하나카드(4088)"/>
    <m/>
    <m/>
  </r>
  <r>
    <s v="2025-02-24"/>
    <x v="48"/>
    <s v="00004"/>
    <s v="차변"/>
    <s v="811"/>
    <s v="복리후생비(판)"/>
    <x v="8"/>
    <n v="3000"/>
    <n v="0"/>
    <n v="-3000"/>
    <s v="김밥랜드"/>
    <m/>
    <m/>
  </r>
  <r>
    <s v="2025-02-24"/>
    <x v="48"/>
    <s v="00004"/>
    <s v="대변"/>
    <s v="101"/>
    <s v="현금"/>
    <x v="1"/>
    <n v="0"/>
    <n v="3000"/>
    <n v="3000"/>
    <s v="하나카드(4088)"/>
    <m/>
    <m/>
  </r>
  <r>
    <s v="2025-02-24"/>
    <x v="48"/>
    <s v="00005"/>
    <s v="차변"/>
    <s v="830"/>
    <s v="소모품비(판)"/>
    <x v="6"/>
    <n v="15420"/>
    <n v="0"/>
    <n v="-15420"/>
    <s v="KCP - ( 주 ) 위메프"/>
    <m/>
    <m/>
  </r>
  <r>
    <s v="2025-02-24"/>
    <x v="48"/>
    <s v="00005"/>
    <s v="대변"/>
    <s v="101"/>
    <s v="현금"/>
    <x v="1"/>
    <n v="0"/>
    <n v="15420"/>
    <n v="15420"/>
    <s v="현대카드(4817)"/>
    <m/>
    <m/>
  </r>
  <r>
    <s v="2025-02-24"/>
    <x v="48"/>
    <s v="00006"/>
    <s v="차변"/>
    <s v="830"/>
    <s v="소모품비(판)"/>
    <x v="6"/>
    <n v="18120"/>
    <n v="0"/>
    <n v="-18120"/>
    <s v="KCP - ( 주 ) 위메프"/>
    <m/>
    <m/>
  </r>
  <r>
    <s v="2025-02-24"/>
    <x v="48"/>
    <s v="00006"/>
    <s v="대변"/>
    <s v="101"/>
    <s v="현금"/>
    <x v="1"/>
    <n v="0"/>
    <n v="18120"/>
    <n v="18120"/>
    <s v="현대카드(4817)"/>
    <m/>
    <m/>
  </r>
  <r>
    <s v="2025-02-24"/>
    <x v="48"/>
    <s v="00007"/>
    <s v="차변"/>
    <s v="830"/>
    <s v="소모품비(판)"/>
    <x v="6"/>
    <n v="25340"/>
    <n v="0"/>
    <n v="-25340"/>
    <s v="KCP - ( 주 ) 위메프"/>
    <m/>
    <m/>
  </r>
  <r>
    <s v="2025-02-24"/>
    <x v="48"/>
    <s v="00007"/>
    <s v="대변"/>
    <s v="101"/>
    <s v="현금"/>
    <x v="1"/>
    <n v="0"/>
    <n v="25340"/>
    <n v="25340"/>
    <s v="현대카드(4817)"/>
    <m/>
    <m/>
  </r>
  <r>
    <s v="2025-02-24"/>
    <x v="48"/>
    <s v="00008"/>
    <s v="차변"/>
    <s v="830"/>
    <s v="소모품비(판)"/>
    <x v="6"/>
    <n v="4000"/>
    <n v="0"/>
    <n v="-4000"/>
    <s v="KCP - ( 주 ) 위메프"/>
    <m/>
    <m/>
  </r>
  <r>
    <s v="2025-02-24"/>
    <x v="48"/>
    <s v="00008"/>
    <s v="대변"/>
    <s v="101"/>
    <s v="현금"/>
    <x v="1"/>
    <n v="0"/>
    <n v="4000"/>
    <n v="4000"/>
    <s v="하나카드(4088)"/>
    <m/>
    <m/>
  </r>
  <r>
    <s v="2025-02-24"/>
    <x v="48"/>
    <s v="00009"/>
    <s v="차변"/>
    <s v="830"/>
    <s v="소모품비(판)"/>
    <x v="6"/>
    <n v="4000"/>
    <n v="0"/>
    <n v="-4000"/>
    <s v="KCP - ( 주 ) 위메프"/>
    <m/>
    <m/>
  </r>
  <r>
    <s v="2025-02-24"/>
    <x v="48"/>
    <s v="00009"/>
    <s v="대변"/>
    <s v="101"/>
    <s v="현금"/>
    <x v="1"/>
    <n v="0"/>
    <n v="4000"/>
    <n v="4000"/>
    <s v="하나카드(4088)"/>
    <m/>
    <m/>
  </r>
  <r>
    <s v="2025-02-24"/>
    <x v="48"/>
    <s v="00010"/>
    <s v="차변"/>
    <s v="830"/>
    <s v="소모품비(판)"/>
    <x v="6"/>
    <n v="4000"/>
    <n v="0"/>
    <n v="-4000"/>
    <s v="KCP - ( 주 ) 위메프"/>
    <m/>
    <m/>
  </r>
  <r>
    <s v="2025-02-24"/>
    <x v="48"/>
    <s v="00010"/>
    <s v="대변"/>
    <s v="101"/>
    <s v="현금"/>
    <x v="1"/>
    <n v="0"/>
    <n v="4000"/>
    <n v="4000"/>
    <s v="하나카드(4088)"/>
    <m/>
    <m/>
  </r>
  <r>
    <s v="2025-02-24"/>
    <x v="48"/>
    <s v="00011"/>
    <s v="차변"/>
    <s v="830"/>
    <s v="소모품비(판)"/>
    <x v="6"/>
    <n v="7200"/>
    <n v="0"/>
    <n v="-7200"/>
    <s v="지에스이십오(GS25) 광주문흥점"/>
    <m/>
    <m/>
  </r>
  <r>
    <s v="2025-02-24"/>
    <x v="48"/>
    <s v="00011"/>
    <s v="대변"/>
    <s v="101"/>
    <s v="현금"/>
    <x v="1"/>
    <n v="0"/>
    <n v="7200"/>
    <n v="7200"/>
    <s v="하나카드(4088)"/>
    <m/>
    <m/>
  </r>
  <r>
    <s v="2025-02-24"/>
    <x v="48"/>
    <s v="00012"/>
    <s v="차변"/>
    <s v="812"/>
    <s v="여비교통비(판)"/>
    <x v="9"/>
    <n v="1400"/>
    <n v="0"/>
    <n v="-1400"/>
    <s v="(재)국립현대미술관문화재단"/>
    <m/>
    <m/>
  </r>
  <r>
    <s v="2025-02-24"/>
    <x v="48"/>
    <s v="00012"/>
    <s v="대변"/>
    <s v="101"/>
    <s v="현금"/>
    <x v="1"/>
    <n v="0"/>
    <n v="1400"/>
    <n v="1400"/>
    <s v="하나카드(4088)"/>
    <m/>
    <m/>
  </r>
  <r>
    <s v="2025-02-24"/>
    <x v="48"/>
    <s v="00013"/>
    <s v="차변"/>
    <s v="812"/>
    <s v="여비교통비(판)"/>
    <x v="9"/>
    <n v="3500"/>
    <n v="0"/>
    <n v="-3500"/>
    <s v="(재)국립현대미술관문화재단"/>
    <m/>
    <m/>
  </r>
  <r>
    <s v="2025-02-24"/>
    <x v="48"/>
    <s v="00013"/>
    <s v="대변"/>
    <s v="101"/>
    <s v="현금"/>
    <x v="1"/>
    <n v="0"/>
    <n v="3500"/>
    <n v="3500"/>
    <s v="하나카드(4088)"/>
    <m/>
    <m/>
  </r>
  <r>
    <s v="2025-02-24"/>
    <x v="48"/>
    <s v="00014"/>
    <s v="차변"/>
    <s v="812"/>
    <s v="여비교통비(판)"/>
    <x v="9"/>
    <n v="7100"/>
    <n v="0"/>
    <n v="-7100"/>
    <s v="(재)국립현대미술관문화재단"/>
    <m/>
    <m/>
  </r>
  <r>
    <s v="2025-02-24"/>
    <x v="48"/>
    <s v="00014"/>
    <s v="대변"/>
    <s v="101"/>
    <s v="현금"/>
    <x v="1"/>
    <n v="0"/>
    <n v="7100"/>
    <n v="7100"/>
    <s v="하나카드(4088)"/>
    <m/>
    <m/>
  </r>
  <r>
    <s v="2025-02-24"/>
    <x v="48"/>
    <s v="00015"/>
    <s v="차변"/>
    <s v="812"/>
    <s v="여비교통비(판)"/>
    <x v="9"/>
    <n v="6000"/>
    <n v="0"/>
    <n v="-6000"/>
    <s v="(주)에스지푸드 인사동 푸릇해"/>
    <m/>
    <m/>
  </r>
  <r>
    <s v="2025-02-24"/>
    <x v="48"/>
    <s v="00015"/>
    <s v="대변"/>
    <s v="101"/>
    <s v="현금"/>
    <x v="1"/>
    <n v="0"/>
    <n v="6000"/>
    <n v="6000"/>
    <s v="하나카드(4088)"/>
    <m/>
    <m/>
  </r>
  <r>
    <s v="2025-02-24"/>
    <x v="48"/>
    <s v="00016"/>
    <s v="차변"/>
    <s v="812"/>
    <s v="여비교통비(판)"/>
    <x v="9"/>
    <n v="10200"/>
    <n v="0"/>
    <n v="-10200"/>
    <s v="세영이지 주식회사"/>
    <m/>
    <m/>
  </r>
  <r>
    <s v="2025-02-24"/>
    <x v="48"/>
    <s v="00016"/>
    <s v="대변"/>
    <s v="101"/>
    <s v="현금"/>
    <x v="1"/>
    <n v="0"/>
    <n v="10200"/>
    <n v="10200"/>
    <s v="하나카드(4088)"/>
    <m/>
    <m/>
  </r>
  <r>
    <s v="2025-02-24"/>
    <x v="48"/>
    <s v="00017"/>
    <s v="차변"/>
    <s v="812"/>
    <s v="여비교통비(판)"/>
    <x v="9"/>
    <n v="15600"/>
    <n v="0"/>
    <n v="-15600"/>
    <s v="세븐일레븐 낙원점"/>
    <m/>
    <m/>
  </r>
  <r>
    <s v="2025-02-24"/>
    <x v="48"/>
    <s v="00017"/>
    <s v="대변"/>
    <s v="101"/>
    <s v="현금"/>
    <x v="1"/>
    <n v="0"/>
    <n v="15600"/>
    <n v="15600"/>
    <s v="하나카드(4088)"/>
    <m/>
    <m/>
  </r>
  <r>
    <s v="2025-02-24"/>
    <x v="48"/>
    <s v="00018"/>
    <s v="대변"/>
    <s v="101"/>
    <s v="현금"/>
    <x v="1"/>
    <n v="0"/>
    <n v="11600"/>
    <n v="11600"/>
    <s v="하나카드(4088)"/>
    <m/>
    <m/>
  </r>
  <r>
    <s v="2025-02-24"/>
    <x v="48"/>
    <s v="00018"/>
    <s v="차변"/>
    <s v="812"/>
    <s v="여비교통비(판)"/>
    <x v="9"/>
    <n v="11600"/>
    <n v="0"/>
    <n v="-11600"/>
    <s v="이도프라퍼티스 주식회사 인사동지점"/>
    <m/>
    <m/>
  </r>
  <r>
    <s v="2025-02-24"/>
    <x v="48"/>
    <s v="00019"/>
    <s v="대변"/>
    <s v="101"/>
    <s v="현금"/>
    <x v="1"/>
    <n v="0"/>
    <n v="12000"/>
    <n v="12000"/>
    <s v="하나카드(4088)"/>
    <m/>
    <m/>
  </r>
  <r>
    <s v="2025-02-24"/>
    <x v="48"/>
    <s v="00019"/>
    <s v="차변"/>
    <s v="812"/>
    <s v="여비교통비(판)"/>
    <x v="9"/>
    <n v="12000"/>
    <n v="0"/>
    <n v="-12000"/>
    <s v="이도프라퍼티스 주식회사 인사동지점"/>
    <m/>
    <m/>
  </r>
  <r>
    <s v="2025-02-24"/>
    <x v="48"/>
    <s v="00020"/>
    <s v="차변"/>
    <s v="812"/>
    <s v="여비교통비(판)"/>
    <x v="9"/>
    <n v="5000"/>
    <n v="0"/>
    <n v="-5000"/>
    <s v="공차 숙명여대점"/>
    <m/>
    <m/>
  </r>
  <r>
    <s v="2025-02-24"/>
    <x v="48"/>
    <s v="00020"/>
    <s v="대변"/>
    <s v="101"/>
    <s v="현금"/>
    <x v="1"/>
    <n v="0"/>
    <n v="5000"/>
    <n v="5000"/>
    <s v="하나카드(4088)"/>
    <m/>
    <m/>
  </r>
  <r>
    <s v="2025-02-24"/>
    <x v="48"/>
    <s v="00021"/>
    <s v="차변"/>
    <s v="812"/>
    <s v="여비교통비(판)"/>
    <x v="9"/>
    <n v="4400"/>
    <n v="0"/>
    <n v="-4400"/>
    <s v="한국정보통신 - 윌슨파킹"/>
    <m/>
    <m/>
  </r>
  <r>
    <s v="2025-02-24"/>
    <x v="48"/>
    <s v="00021"/>
    <s v="대변"/>
    <s v="101"/>
    <s v="현금"/>
    <x v="1"/>
    <n v="0"/>
    <n v="4400"/>
    <n v="4400"/>
    <s v="하나카드(4088)"/>
    <m/>
    <m/>
  </r>
  <r>
    <s v="2025-02-24"/>
    <x v="48"/>
    <s v="00022"/>
    <s v="대변"/>
    <s v="101"/>
    <s v="현금"/>
    <x v="1"/>
    <n v="0"/>
    <n v="56000"/>
    <n v="56000"/>
    <s v="하나카드(4088)"/>
    <m/>
    <m/>
  </r>
  <r>
    <s v="2025-02-24"/>
    <x v="48"/>
    <s v="00022"/>
    <s v="차변"/>
    <s v="813"/>
    <s v="접대비(기업업무추진비)(판)"/>
    <x v="0"/>
    <n v="56000"/>
    <n v="0"/>
    <n v="-56000"/>
    <s v="（주）우리물산"/>
    <s v="02"/>
    <s v="거래처 접대비(기업업무추진비)/신용카드(개인)"/>
  </r>
  <r>
    <s v="2025-02-24"/>
    <x v="48"/>
    <s v="00023"/>
    <s v="차변"/>
    <s v="831"/>
    <s v="지급수수료(판)"/>
    <x v="7"/>
    <n v="2000"/>
    <n v="0"/>
    <n v="-2000"/>
    <s v="주식회사스마트로"/>
    <m/>
    <m/>
  </r>
  <r>
    <s v="2025-02-24"/>
    <x v="48"/>
    <s v="00023"/>
    <s v="대변"/>
    <s v="101"/>
    <s v="현금"/>
    <x v="1"/>
    <n v="0"/>
    <n v="2000"/>
    <n v="2000"/>
    <s v="하나카드(4088)"/>
    <m/>
    <m/>
  </r>
  <r>
    <s v="2025-02-24"/>
    <x v="48"/>
    <s v="00024"/>
    <s v="차변"/>
    <s v="813"/>
    <s v="접대비(기업업무추진비)(판)"/>
    <x v="0"/>
    <n v="32900"/>
    <n v="0"/>
    <n v="-32900"/>
    <s v="핵밥 숙명여대점"/>
    <s v="02"/>
    <s v="거래처 접대비(기업업무추진비)/신용카드(개인)"/>
  </r>
  <r>
    <s v="2025-02-24"/>
    <x v="48"/>
    <s v="00024"/>
    <s v="대변"/>
    <s v="101"/>
    <s v="현금"/>
    <x v="1"/>
    <n v="0"/>
    <n v="32900"/>
    <n v="32900"/>
    <s v="하나카드(4088)"/>
    <m/>
    <m/>
  </r>
  <r>
    <s v="2025-02-24"/>
    <x v="48"/>
    <s v="00025"/>
    <s v="대변"/>
    <s v="101"/>
    <s v="현금"/>
    <x v="1"/>
    <n v="0"/>
    <n v="3000"/>
    <n v="3000"/>
    <s v="하나카드(4088)"/>
    <m/>
    <m/>
  </r>
  <r>
    <s v="2025-02-24"/>
    <x v="48"/>
    <s v="00025"/>
    <s v="차변"/>
    <s v="812"/>
    <s v="여비교통비(판)"/>
    <x v="9"/>
    <n v="3000"/>
    <n v="0"/>
    <n v="-3000"/>
    <s v="(주）모나미"/>
    <m/>
    <m/>
  </r>
  <r>
    <s v="2025-02-24"/>
    <x v="48"/>
    <s v="50001"/>
    <s v="대변"/>
    <s v="255"/>
    <s v="부가세예수금"/>
    <x v="3"/>
    <n v="0"/>
    <n v="10000"/>
    <n v="10000"/>
    <s v="(주)텝스텍"/>
    <m/>
    <s v="인사노무자문료 1 X 100,000"/>
  </r>
  <r>
    <s v="2025-02-24"/>
    <x v="48"/>
    <s v="50001"/>
    <s v="대변"/>
    <s v="401"/>
    <s v="용역매출"/>
    <x v="4"/>
    <n v="0"/>
    <n v="100000"/>
    <n v="100000"/>
    <s v="(주)텝스텍"/>
    <m/>
    <s v="인사노무자문료 1 X 100,000"/>
  </r>
  <r>
    <s v="2025-02-24"/>
    <x v="48"/>
    <s v="50001"/>
    <s v="차변"/>
    <s v="101"/>
    <s v="현금"/>
    <x v="1"/>
    <n v="110000"/>
    <n v="0"/>
    <n v="-110000"/>
    <s v="(주)텝스텍"/>
    <m/>
    <s v="인사노무자문료 1 X 100,000"/>
  </r>
  <r>
    <s v="2025-02-24"/>
    <x v="48"/>
    <s v="50002"/>
    <s v="대변"/>
    <s v="255"/>
    <s v="부가세예수금"/>
    <x v="3"/>
    <n v="0"/>
    <n v="-10000"/>
    <n v="-10000"/>
    <s v="(주)텝스텍"/>
    <m/>
    <s v="인사노무자문료 -1 X 100,000"/>
  </r>
  <r>
    <s v="2025-02-24"/>
    <x v="48"/>
    <s v="50002"/>
    <s v="대변"/>
    <s v="401"/>
    <s v="용역매출"/>
    <x v="4"/>
    <n v="0"/>
    <n v="-100000"/>
    <n v="-100000"/>
    <s v="(주)텝스텍"/>
    <m/>
    <s v="인사노무자문료 -1 X 100,000"/>
  </r>
  <r>
    <s v="2025-02-24"/>
    <x v="48"/>
    <s v="50002"/>
    <s v="차변"/>
    <s v="101"/>
    <s v="현금"/>
    <x v="1"/>
    <n v="-110000"/>
    <n v="0"/>
    <n v="110000"/>
    <s v="(주)텝스텍"/>
    <m/>
    <s v="인사노무자문료 -1 X 100,000"/>
  </r>
  <r>
    <s v="2025-02-24"/>
    <x v="48"/>
    <s v="50003"/>
    <s v="대변"/>
    <s v="255"/>
    <s v="부가세예수금"/>
    <x v="3"/>
    <n v="0"/>
    <n v="10000"/>
    <n v="10000"/>
    <s v="(주)텝스텍"/>
    <m/>
    <s v="인사노무자문료 1 X 100,000"/>
  </r>
  <r>
    <s v="2025-02-24"/>
    <x v="48"/>
    <s v="50003"/>
    <s v="대변"/>
    <s v="401"/>
    <s v="용역매출"/>
    <x v="4"/>
    <n v="0"/>
    <n v="100000"/>
    <n v="100000"/>
    <s v="(주)텝스텍"/>
    <m/>
    <s v="인사노무자문료 1 X 100,000"/>
  </r>
  <r>
    <s v="2025-02-24"/>
    <x v="48"/>
    <s v="50003"/>
    <s v="차변"/>
    <s v="101"/>
    <s v="현금"/>
    <x v="1"/>
    <n v="110000"/>
    <n v="0"/>
    <n v="-110000"/>
    <s v="(주)텝스텍"/>
    <m/>
    <s v="인사노무자문료 1 X 100,000"/>
  </r>
  <r>
    <s v="2025-02-25"/>
    <x v="49"/>
    <s v="00001"/>
    <s v="차변"/>
    <s v="811"/>
    <s v="복리후생비(판)"/>
    <x v="8"/>
    <n v="2000"/>
    <n v="0"/>
    <n v="-2000"/>
    <s v="씨제이 푸드빌（주）"/>
    <m/>
    <m/>
  </r>
  <r>
    <s v="2025-02-25"/>
    <x v="49"/>
    <s v="00001"/>
    <s v="대변"/>
    <s v="101"/>
    <s v="현금"/>
    <x v="1"/>
    <n v="0"/>
    <n v="2000"/>
    <n v="2000"/>
    <s v="하나카드(4088)"/>
    <m/>
    <m/>
  </r>
  <r>
    <s v="2025-02-25"/>
    <x v="49"/>
    <s v="00002"/>
    <s v="차변"/>
    <s v="811"/>
    <s v="복리후생비(판)"/>
    <x v="8"/>
    <n v="30500"/>
    <n v="0"/>
    <n v="-30500"/>
    <s v="씨제이 푸드빌（주）"/>
    <m/>
    <m/>
  </r>
  <r>
    <s v="2025-02-25"/>
    <x v="49"/>
    <s v="00002"/>
    <s v="대변"/>
    <s v="101"/>
    <s v="현금"/>
    <x v="1"/>
    <n v="0"/>
    <n v="30500"/>
    <n v="30500"/>
    <s v="하나카드(4088)"/>
    <m/>
    <m/>
  </r>
  <r>
    <s v="2025-02-25"/>
    <x v="49"/>
    <s v="00003"/>
    <s v="대변"/>
    <s v="101"/>
    <s v="현금"/>
    <x v="1"/>
    <n v="0"/>
    <n v="13900"/>
    <n v="13900"/>
    <s v="하나카드(4088)"/>
    <m/>
    <m/>
  </r>
  <r>
    <s v="2025-02-25"/>
    <x v="49"/>
    <s v="00003"/>
    <s v="차변"/>
    <s v="830"/>
    <s v="소모품비(판)"/>
    <x v="6"/>
    <n v="13900"/>
    <n v="0"/>
    <n v="-13900"/>
    <s v="주식회사 아트쉐어"/>
    <m/>
    <m/>
  </r>
  <r>
    <s v="2025-02-25"/>
    <x v="49"/>
    <s v="00004"/>
    <s v="차변"/>
    <s v="830"/>
    <s v="소모품비(판)"/>
    <x v="6"/>
    <n v="18000"/>
    <n v="0"/>
    <n v="-18000"/>
    <s v="천지산업 (주)"/>
    <m/>
    <m/>
  </r>
  <r>
    <s v="2025-02-25"/>
    <x v="49"/>
    <s v="00004"/>
    <s v="대변"/>
    <s v="101"/>
    <s v="현금"/>
    <x v="1"/>
    <n v="0"/>
    <n v="18000"/>
    <n v="18000"/>
    <s v="하나카드(4088)"/>
    <m/>
    <m/>
  </r>
  <r>
    <s v="2025-02-25"/>
    <x v="49"/>
    <s v="00005"/>
    <s v="차변"/>
    <s v="812"/>
    <s v="여비교통비(판)"/>
    <x v="9"/>
    <n v="6000"/>
    <n v="0"/>
    <n v="-6000"/>
    <s v="(주）호텔롯데"/>
    <m/>
    <m/>
  </r>
  <r>
    <s v="2025-02-25"/>
    <x v="49"/>
    <s v="00005"/>
    <s v="대변"/>
    <s v="101"/>
    <s v="현금"/>
    <x v="1"/>
    <n v="0"/>
    <n v="6000"/>
    <n v="6000"/>
    <s v="하나카드(4088)"/>
    <m/>
    <m/>
  </r>
  <r>
    <s v="2025-02-25"/>
    <x v="49"/>
    <s v="00006"/>
    <s v="차변"/>
    <s v="812"/>
    <s v="여비교통비(판)"/>
    <x v="9"/>
    <n v="5500"/>
    <n v="0"/>
    <n v="-5500"/>
    <s v="(주)코리아세븐 남산서울타워점"/>
    <m/>
    <m/>
  </r>
  <r>
    <s v="2025-02-25"/>
    <x v="49"/>
    <s v="00006"/>
    <s v="대변"/>
    <s v="101"/>
    <s v="현금"/>
    <x v="1"/>
    <n v="0"/>
    <n v="5500"/>
    <n v="5500"/>
    <s v="하나카드(4088)"/>
    <m/>
    <m/>
  </r>
  <r>
    <s v="2025-02-25"/>
    <x v="49"/>
    <s v="00007"/>
    <s v="차변"/>
    <s v="812"/>
    <s v="여비교통비(판)"/>
    <x v="9"/>
    <n v="3100"/>
    <n v="0"/>
    <n v="-3100"/>
    <s v="(주)비지에프리테일 CU명동역점"/>
    <m/>
    <m/>
  </r>
  <r>
    <s v="2025-02-25"/>
    <x v="49"/>
    <s v="00007"/>
    <s v="대변"/>
    <s v="101"/>
    <s v="현금"/>
    <x v="1"/>
    <n v="0"/>
    <n v="3100"/>
    <n v="3100"/>
    <s v="하나카드(4088)"/>
    <m/>
    <m/>
  </r>
  <r>
    <s v="2025-02-25"/>
    <x v="49"/>
    <s v="00008"/>
    <s v="차변"/>
    <s v="812"/>
    <s v="여비교통비(판)"/>
    <x v="9"/>
    <n v="10000"/>
    <n v="0"/>
    <n v="-10000"/>
    <s v="예반"/>
    <m/>
    <m/>
  </r>
  <r>
    <s v="2025-02-25"/>
    <x v="49"/>
    <s v="00008"/>
    <s v="대변"/>
    <s v="101"/>
    <s v="현금"/>
    <x v="1"/>
    <n v="0"/>
    <n v="10000"/>
    <n v="10000"/>
    <s v="하나카드(4088)"/>
    <m/>
    <m/>
  </r>
  <r>
    <s v="2025-02-25"/>
    <x v="49"/>
    <s v="00009"/>
    <s v="차변"/>
    <s v="812"/>
    <s v="여비교통비(판)"/>
    <x v="9"/>
    <n v="1300"/>
    <n v="0"/>
    <n v="-1300"/>
    <s v="(주)코리아세븐 명동롯데점"/>
    <m/>
    <m/>
  </r>
  <r>
    <s v="2025-02-25"/>
    <x v="49"/>
    <s v="00009"/>
    <s v="대변"/>
    <s v="101"/>
    <s v="현금"/>
    <x v="1"/>
    <n v="0"/>
    <n v="1300"/>
    <n v="1300"/>
    <s v="하나카드(4088)"/>
    <m/>
    <m/>
  </r>
  <r>
    <s v="2025-02-25"/>
    <x v="49"/>
    <s v="00010"/>
    <s v="차변"/>
    <s v="812"/>
    <s v="여비교통비(판)"/>
    <x v="9"/>
    <n v="8100"/>
    <n v="0"/>
    <n v="-8100"/>
    <s v="전통찻집 코끼리베이글"/>
    <m/>
    <m/>
  </r>
  <r>
    <s v="2025-02-25"/>
    <x v="49"/>
    <s v="00010"/>
    <s v="대변"/>
    <s v="101"/>
    <s v="현금"/>
    <x v="1"/>
    <n v="0"/>
    <n v="8100"/>
    <n v="8100"/>
    <s v="하나카드(4088)"/>
    <m/>
    <m/>
  </r>
  <r>
    <s v="2025-02-25"/>
    <x v="49"/>
    <s v="00011"/>
    <s v="대변"/>
    <s v="101"/>
    <s v="현금"/>
    <x v="1"/>
    <n v="0"/>
    <n v="13000"/>
    <n v="13000"/>
    <s v="하나카드(4088)"/>
    <m/>
    <m/>
  </r>
  <r>
    <s v="2025-02-25"/>
    <x v="49"/>
    <s v="00011"/>
    <s v="차변"/>
    <s v="812"/>
    <s v="여비교통비(판)"/>
    <x v="9"/>
    <n v="13000"/>
    <n v="0"/>
    <n v="-13000"/>
    <s v="（주）풀무원"/>
    <m/>
    <m/>
  </r>
  <r>
    <s v="2025-02-25"/>
    <x v="49"/>
    <s v="00012"/>
    <s v="차변"/>
    <s v="812"/>
    <s v="여비교통비(판)"/>
    <x v="9"/>
    <n v="10200"/>
    <n v="0"/>
    <n v="-10200"/>
    <s v="태극당 인사동점"/>
    <m/>
    <m/>
  </r>
  <r>
    <s v="2025-02-25"/>
    <x v="49"/>
    <s v="00012"/>
    <s v="대변"/>
    <s v="101"/>
    <s v="현금"/>
    <x v="1"/>
    <n v="0"/>
    <n v="10200"/>
    <n v="10200"/>
    <s v="하나카드(4088)"/>
    <m/>
    <m/>
  </r>
  <r>
    <s v="2025-02-25"/>
    <x v="49"/>
    <s v="00013"/>
    <s v="차변"/>
    <s v="813"/>
    <s v="접대비(기업업무추진비)(판)"/>
    <x v="0"/>
    <n v="48000"/>
    <n v="0"/>
    <n v="-48000"/>
    <s v="주식회사 명동교자 신관명동역점"/>
    <s v="02"/>
    <s v="거래처 접대비(기업업무추진비)/신용카드(개인)"/>
  </r>
  <r>
    <s v="2025-02-25"/>
    <x v="49"/>
    <s v="00013"/>
    <s v="대변"/>
    <s v="101"/>
    <s v="현금"/>
    <x v="1"/>
    <n v="0"/>
    <n v="48000"/>
    <n v="48000"/>
    <s v="하나카드(4088)"/>
    <m/>
    <m/>
  </r>
  <r>
    <s v="2025-02-25"/>
    <x v="49"/>
    <s v="00014"/>
    <s v="차변"/>
    <s v="812"/>
    <s v="여비교통비(판)"/>
    <x v="9"/>
    <n v="51981"/>
    <n v="0"/>
    <n v="-51981"/>
    <s v="주식회사 놀유니버스"/>
    <m/>
    <m/>
  </r>
  <r>
    <s v="2025-02-25"/>
    <x v="49"/>
    <s v="00014"/>
    <s v="대변"/>
    <s v="101"/>
    <s v="현금"/>
    <x v="1"/>
    <n v="0"/>
    <n v="51981"/>
    <n v="51981"/>
    <s v="주식회사 놀유니버스"/>
    <m/>
    <m/>
  </r>
  <r>
    <s v="2025-02-25"/>
    <x v="49"/>
    <s v="50001"/>
    <s v="대변"/>
    <s v="255"/>
    <s v="부가세예수금"/>
    <x v="3"/>
    <n v="0"/>
    <n v="7000"/>
    <n v="7000"/>
    <s v="하서방해물칼국수"/>
    <m/>
    <s v="인사노무자문료 1 X 70,000"/>
  </r>
  <r>
    <s v="2025-02-25"/>
    <x v="49"/>
    <s v="50001"/>
    <s v="대변"/>
    <s v="401"/>
    <s v="용역매출"/>
    <x v="4"/>
    <n v="0"/>
    <n v="70000"/>
    <n v="70000"/>
    <s v="하서방해물칼국수"/>
    <m/>
    <s v="인사노무자문료 1 X 70,000"/>
  </r>
  <r>
    <s v="2025-02-25"/>
    <x v="49"/>
    <s v="50001"/>
    <s v="차변"/>
    <s v="101"/>
    <s v="현금"/>
    <x v="1"/>
    <n v="77000"/>
    <n v="0"/>
    <n v="-77000"/>
    <s v="하서방해물칼국수"/>
    <m/>
    <s v="인사노무자문료 1 X 70,000"/>
  </r>
  <r>
    <s v="2025-02-25"/>
    <x v="49"/>
    <s v="50002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2-25"/>
    <x v="49"/>
    <s v="50002"/>
    <s v="대변"/>
    <s v="401"/>
    <s v="용역매출"/>
    <x v="4"/>
    <n v="0"/>
    <n v="150000"/>
    <n v="150000"/>
    <s v="농업회사법인(주)토리팜에프디"/>
    <m/>
    <s v="인사노무자문료 1 X 150,000"/>
  </r>
  <r>
    <s v="2025-02-25"/>
    <x v="49"/>
    <s v="50002"/>
    <s v="차변"/>
    <s v="101"/>
    <s v="현금"/>
    <x v="1"/>
    <n v="165000"/>
    <n v="0"/>
    <n v="-165000"/>
    <s v="농업회사법인(주)토리팜에프디"/>
    <m/>
    <s v="인사노무자문료 1 X 150,000"/>
  </r>
  <r>
    <s v="2025-02-25"/>
    <x v="49"/>
    <s v="50003"/>
    <s v="대변"/>
    <s v="255"/>
    <s v="부가세예수금"/>
    <x v="3"/>
    <n v="0"/>
    <n v="10000"/>
    <n v="10000"/>
    <s v="(주)에이버츄얼"/>
    <m/>
    <s v="인사노무자문료 1 X 100,000"/>
  </r>
  <r>
    <s v="2025-02-25"/>
    <x v="49"/>
    <s v="50003"/>
    <s v="대변"/>
    <s v="401"/>
    <s v="용역매출"/>
    <x v="4"/>
    <n v="0"/>
    <n v="100000"/>
    <n v="100000"/>
    <s v="(주)에이버츄얼"/>
    <m/>
    <s v="인사노무자문료 1 X 100,000"/>
  </r>
  <r>
    <s v="2025-02-25"/>
    <x v="49"/>
    <s v="50003"/>
    <s v="차변"/>
    <s v="101"/>
    <s v="현금"/>
    <x v="1"/>
    <n v="110000"/>
    <n v="0"/>
    <n v="-110000"/>
    <s v="(주)에이버츄얼"/>
    <m/>
    <s v="인사노무자문료 1 X 100,000"/>
  </r>
  <r>
    <s v="2025-02-25"/>
    <x v="49"/>
    <s v="50004"/>
    <s v="대변"/>
    <s v="101"/>
    <s v="현금"/>
    <x v="1"/>
    <n v="0"/>
    <n v="2000"/>
    <n v="2000"/>
    <s v="하나카드(4088)"/>
    <m/>
    <m/>
  </r>
  <r>
    <s v="2025-02-25"/>
    <x v="49"/>
    <s v="50004"/>
    <s v="차변"/>
    <s v="830"/>
    <s v="소모품비(판)"/>
    <x v="6"/>
    <n v="1818"/>
    <n v="0"/>
    <n v="-1818"/>
    <s v="다이소아성산업"/>
    <s v="  "/>
    <m/>
  </r>
  <r>
    <s v="2025-02-25"/>
    <x v="49"/>
    <s v="50004"/>
    <s v="차변"/>
    <s v="135"/>
    <s v="부가세대급금"/>
    <x v="5"/>
    <n v="182"/>
    <n v="0"/>
    <n v="-182"/>
    <s v="다이소아성산업"/>
    <s v="  "/>
    <m/>
  </r>
  <r>
    <s v="2025-02-26"/>
    <x v="50"/>
    <s v="00001"/>
    <s v="대변"/>
    <s v="101"/>
    <s v="현금"/>
    <x v="1"/>
    <n v="0"/>
    <n v="21600"/>
    <n v="21600"/>
    <s v="현대카드(4817)"/>
    <m/>
    <m/>
  </r>
  <r>
    <s v="2025-02-26"/>
    <x v="50"/>
    <s v="00001"/>
    <s v="차변"/>
    <s v="811"/>
    <s v="복리후생비(판)"/>
    <x v="8"/>
    <n v="21600"/>
    <n v="0"/>
    <n v="-21600"/>
    <s v="장성로컬푸드 첨단직매장"/>
    <m/>
    <m/>
  </r>
  <r>
    <s v="2025-02-26"/>
    <x v="50"/>
    <s v="00002"/>
    <s v="차변"/>
    <s v="812"/>
    <s v="여비교통비(판)"/>
    <x v="9"/>
    <n v="7200"/>
    <n v="0"/>
    <n v="-7200"/>
    <s v="투썸플레이스장덕점"/>
    <m/>
    <m/>
  </r>
  <r>
    <s v="2025-02-26"/>
    <x v="50"/>
    <s v="00002"/>
    <s v="대변"/>
    <s v="101"/>
    <s v="현금"/>
    <x v="1"/>
    <n v="0"/>
    <n v="7200"/>
    <n v="7200"/>
    <s v="현대카드(4817)"/>
    <m/>
    <m/>
  </r>
  <r>
    <s v="2025-02-26"/>
    <x v="50"/>
    <s v="50001"/>
    <s v="대변"/>
    <s v="255"/>
    <s v="부가세예수금"/>
    <x v="3"/>
    <n v="0"/>
    <n v="15000"/>
    <n v="15000"/>
    <s v="(재)광주광역시사회서비스원 장기요양요원지원센터"/>
    <m/>
    <s v="인사노무자문료 1 X 150,000"/>
  </r>
  <r>
    <s v="2025-02-26"/>
    <x v="50"/>
    <s v="50001"/>
    <s v="대변"/>
    <s v="401"/>
    <s v="용역매출"/>
    <x v="4"/>
    <n v="0"/>
    <n v="150000"/>
    <n v="150000"/>
    <s v="(재)광주광역시사회서비스원 장기요양요원지원센터"/>
    <m/>
    <s v="인사노무자문료 1 X 150,000"/>
  </r>
  <r>
    <s v="2025-02-26"/>
    <x v="50"/>
    <s v="50001"/>
    <s v="차변"/>
    <s v="101"/>
    <s v="현금"/>
    <x v="1"/>
    <n v="165000"/>
    <n v="0"/>
    <n v="-165000"/>
    <s v="(재)광주광역시사회서비스원 장기요양요원지원센터"/>
    <m/>
    <s v="인사노무자문료 1 X 150,000"/>
  </r>
  <r>
    <s v="2025-02-26"/>
    <x v="50"/>
    <s v="50002"/>
    <s v="대변"/>
    <s v="255"/>
    <s v="부가세예수금"/>
    <x v="3"/>
    <n v="0"/>
    <n v="15000"/>
    <n v="15000"/>
    <s v="롤링파스타(수완점)"/>
    <m/>
    <s v="인사노무자문료 1 X 150,000"/>
  </r>
  <r>
    <s v="2025-02-26"/>
    <x v="50"/>
    <s v="50002"/>
    <s v="대변"/>
    <s v="401"/>
    <s v="용역매출"/>
    <x v="4"/>
    <n v="0"/>
    <n v="150000"/>
    <n v="150000"/>
    <s v="롤링파스타(수완점)"/>
    <m/>
    <s v="인사노무자문료 1 X 150,000"/>
  </r>
  <r>
    <s v="2025-02-26"/>
    <x v="50"/>
    <s v="50002"/>
    <s v="차변"/>
    <s v="101"/>
    <s v="현금"/>
    <x v="1"/>
    <n v="165000"/>
    <n v="0"/>
    <n v="-165000"/>
    <s v="롤링파스타(수완점)"/>
    <m/>
    <s v="인사노무자문료 1 X 150,000"/>
  </r>
  <r>
    <s v="2025-02-26"/>
    <x v="50"/>
    <s v="50003"/>
    <s v="대변"/>
    <s v="255"/>
    <s v="부가세예수금"/>
    <x v="3"/>
    <n v="0"/>
    <n v="12000"/>
    <n v="12000"/>
    <s v="마루샤브"/>
    <m/>
    <s v="인사노무자문료 1 X 120,000"/>
  </r>
  <r>
    <s v="2025-02-26"/>
    <x v="50"/>
    <s v="50003"/>
    <s v="대변"/>
    <s v="401"/>
    <s v="용역매출"/>
    <x v="4"/>
    <n v="0"/>
    <n v="120000"/>
    <n v="120000"/>
    <s v="마루샤브"/>
    <m/>
    <s v="인사노무자문료 1 X 120,000"/>
  </r>
  <r>
    <s v="2025-02-26"/>
    <x v="50"/>
    <s v="50003"/>
    <s v="차변"/>
    <s v="101"/>
    <s v="현금"/>
    <x v="1"/>
    <n v="132000"/>
    <n v="0"/>
    <n v="-132000"/>
    <s v="마루샤브"/>
    <m/>
    <s v="인사노무자문료 1 X 120,000"/>
  </r>
  <r>
    <s v="2025-02-26"/>
    <x v="50"/>
    <s v="50004"/>
    <s v="대변"/>
    <s v="255"/>
    <s v="부가세예수금"/>
    <x v="3"/>
    <n v="0"/>
    <n v="5000"/>
    <n v="5000"/>
    <s v="서호통상"/>
    <m/>
    <s v="인사노무자문료 1 X 50,000"/>
  </r>
  <r>
    <s v="2025-02-26"/>
    <x v="50"/>
    <s v="50004"/>
    <s v="대변"/>
    <s v="401"/>
    <s v="용역매출"/>
    <x v="4"/>
    <n v="0"/>
    <n v="50000"/>
    <n v="50000"/>
    <s v="서호통상"/>
    <m/>
    <s v="인사노무자문료 1 X 50,000"/>
  </r>
  <r>
    <s v="2025-02-26"/>
    <x v="50"/>
    <s v="50004"/>
    <s v="차변"/>
    <s v="101"/>
    <s v="현금"/>
    <x v="1"/>
    <n v="55000"/>
    <n v="0"/>
    <n v="-55000"/>
    <s v="서호통상"/>
    <m/>
    <s v="인사노무자문료 1 X 50,000"/>
  </r>
  <r>
    <s v="2025-02-26"/>
    <x v="50"/>
    <s v="50005"/>
    <s v="대변"/>
    <s v="255"/>
    <s v="부가세예수금"/>
    <x v="3"/>
    <n v="0"/>
    <n v="15000"/>
    <n v="15000"/>
    <s v="라스(LAS)어린이치과의원"/>
    <m/>
    <s v="인사노무자문료 1 X 150,000"/>
  </r>
  <r>
    <s v="2025-02-26"/>
    <x v="50"/>
    <s v="50005"/>
    <s v="대변"/>
    <s v="401"/>
    <s v="용역매출"/>
    <x v="4"/>
    <n v="0"/>
    <n v="150000"/>
    <n v="150000"/>
    <s v="라스(LAS)어린이치과의원"/>
    <m/>
    <s v="인사노무자문료 1 X 150,000"/>
  </r>
  <r>
    <s v="2025-02-26"/>
    <x v="50"/>
    <s v="50005"/>
    <s v="차변"/>
    <s v="101"/>
    <s v="현금"/>
    <x v="1"/>
    <n v="165000"/>
    <n v="0"/>
    <n v="-165000"/>
    <s v="라스(LAS)어린이치과의원"/>
    <m/>
    <s v="인사노무자문료 1 X 150,000"/>
  </r>
  <r>
    <s v="2025-02-26"/>
    <x v="50"/>
    <s v="50006"/>
    <s v="대변"/>
    <s v="255"/>
    <s v="부가세예수금"/>
    <x v="3"/>
    <n v="0"/>
    <n v="20000"/>
    <n v="20000"/>
    <s v="(주)연합기업"/>
    <m/>
    <s v="인사노무자문료 1 X 200,000"/>
  </r>
  <r>
    <s v="2025-02-26"/>
    <x v="50"/>
    <s v="50006"/>
    <s v="대변"/>
    <s v="401"/>
    <s v="용역매출"/>
    <x v="4"/>
    <n v="0"/>
    <n v="200000"/>
    <n v="200000"/>
    <s v="(주)연합기업"/>
    <m/>
    <s v="인사노무자문료 1 X 200,000"/>
  </r>
  <r>
    <s v="2025-02-26"/>
    <x v="50"/>
    <s v="50006"/>
    <s v="차변"/>
    <s v="101"/>
    <s v="현금"/>
    <x v="1"/>
    <n v="220000"/>
    <n v="0"/>
    <n v="-220000"/>
    <s v="(주)연합기업"/>
    <m/>
    <s v="인사노무자문료 1 X 200,000"/>
  </r>
  <r>
    <s v="2025-02-26"/>
    <x v="50"/>
    <s v="50007"/>
    <s v="대변"/>
    <s v="255"/>
    <s v="부가세예수금"/>
    <x v="3"/>
    <n v="0"/>
    <n v="20000"/>
    <n v="20000"/>
    <s v="(주)연합기업"/>
    <m/>
    <s v="인사노무자문료(2024년 미발행분) 1 X 200,000"/>
  </r>
  <r>
    <s v="2025-02-26"/>
    <x v="50"/>
    <s v="50007"/>
    <s v="대변"/>
    <s v="401"/>
    <s v="용역매출"/>
    <x v="4"/>
    <n v="0"/>
    <n v="200000"/>
    <n v="200000"/>
    <s v="(주)연합기업"/>
    <m/>
    <s v="인사노무자문료(2024년 미발행분) 1 X 200,000"/>
  </r>
  <r>
    <s v="2025-02-26"/>
    <x v="50"/>
    <s v="50007"/>
    <s v="차변"/>
    <s v="101"/>
    <s v="현금"/>
    <x v="1"/>
    <n v="220000"/>
    <n v="0"/>
    <n v="-220000"/>
    <s v="(주)연합기업"/>
    <m/>
    <s v="인사노무자문료(2024년 미발행분) 1 X 200,000"/>
  </r>
  <r>
    <s v="2025-02-26"/>
    <x v="50"/>
    <s v="50008"/>
    <s v="대변"/>
    <s v="255"/>
    <s v="부가세예수금"/>
    <x v="3"/>
    <n v="0"/>
    <n v="9091"/>
    <n v="9091"/>
    <s v="깐깐한 족발(화정점)"/>
    <m/>
    <s v="인사노무자문료 1 X 90,909"/>
  </r>
  <r>
    <s v="2025-02-26"/>
    <x v="50"/>
    <s v="50008"/>
    <s v="대변"/>
    <s v="401"/>
    <s v="용역매출"/>
    <x v="4"/>
    <n v="0"/>
    <n v="90909"/>
    <n v="90909"/>
    <s v="깐깐한 족발(화정점)"/>
    <m/>
    <s v="인사노무자문료 1 X 90,909"/>
  </r>
  <r>
    <s v="2025-02-26"/>
    <x v="50"/>
    <s v="50008"/>
    <s v="차변"/>
    <s v="101"/>
    <s v="현금"/>
    <x v="1"/>
    <n v="100000"/>
    <n v="0"/>
    <n v="-100000"/>
    <s v="깐깐한 족발(화정점)"/>
    <m/>
    <s v="인사노무자문료 1 X 90,909"/>
  </r>
  <r>
    <s v="2025-02-26"/>
    <x v="50"/>
    <s v="50009"/>
    <s v="대변"/>
    <s v="255"/>
    <s v="부가세예수금"/>
    <x v="3"/>
    <n v="0"/>
    <n v="10000"/>
    <n v="10000"/>
    <s v="커피랩"/>
    <m/>
    <s v="인사노무자문료 1 X 100,000"/>
  </r>
  <r>
    <s v="2025-02-26"/>
    <x v="50"/>
    <s v="50009"/>
    <s v="대변"/>
    <s v="401"/>
    <s v="용역매출"/>
    <x v="4"/>
    <n v="0"/>
    <n v="100000"/>
    <n v="100000"/>
    <s v="커피랩"/>
    <m/>
    <s v="인사노무자문료 1 X 100,000"/>
  </r>
  <r>
    <s v="2025-02-26"/>
    <x v="50"/>
    <s v="50009"/>
    <s v="차변"/>
    <s v="101"/>
    <s v="현금"/>
    <x v="1"/>
    <n v="110000"/>
    <n v="0"/>
    <n v="-110000"/>
    <s v="커피랩"/>
    <m/>
    <s v="인사노무자문료 1 X 100,000"/>
  </r>
  <r>
    <s v="2025-02-26"/>
    <x v="50"/>
    <s v="50010"/>
    <s v="대변"/>
    <s v="255"/>
    <s v="부가세예수금"/>
    <x v="3"/>
    <n v="0"/>
    <n v="11819"/>
    <n v="11819"/>
    <s v="바오팜 주식회사"/>
    <m/>
    <s v="인사노무자문료 1 X 118,181"/>
  </r>
  <r>
    <s v="2025-02-26"/>
    <x v="50"/>
    <s v="50010"/>
    <s v="대변"/>
    <s v="401"/>
    <s v="용역매출"/>
    <x v="4"/>
    <n v="0"/>
    <n v="118181"/>
    <n v="118181"/>
    <s v="바오팜 주식회사"/>
    <m/>
    <s v="인사노무자문료 1 X 118,181"/>
  </r>
  <r>
    <s v="2025-02-26"/>
    <x v="50"/>
    <s v="50010"/>
    <s v="차변"/>
    <s v="101"/>
    <s v="현금"/>
    <x v="1"/>
    <n v="130000"/>
    <n v="0"/>
    <n v="-130000"/>
    <s v="바오팜 주식회사"/>
    <m/>
    <s v="인사노무자문료 1 X 118,181"/>
  </r>
  <r>
    <s v="2025-02-27"/>
    <x v="51"/>
    <s v="00001"/>
    <s v="대변"/>
    <s v="101"/>
    <s v="현금"/>
    <x v="1"/>
    <n v="0"/>
    <n v="6500"/>
    <n v="6500"/>
    <s v="하나카드(4088)"/>
    <m/>
    <m/>
  </r>
  <r>
    <s v="2025-02-27"/>
    <x v="51"/>
    <s v="00001"/>
    <s v="차변"/>
    <s v="830"/>
    <s v="소모품비(판)"/>
    <x v="6"/>
    <n v="6500"/>
    <n v="0"/>
    <n v="-6500"/>
    <s v="협동조합 오손도손"/>
    <m/>
    <m/>
  </r>
  <r>
    <s v="2025-02-27"/>
    <x v="51"/>
    <s v="00002"/>
    <s v="차변"/>
    <s v="812"/>
    <s v="여비교통비(판)"/>
    <x v="9"/>
    <n v="150"/>
    <n v="0"/>
    <n v="-150"/>
    <s v="한국정보통신 - 윌슨파킹"/>
    <m/>
    <m/>
  </r>
  <r>
    <s v="2025-02-27"/>
    <x v="51"/>
    <s v="00002"/>
    <s v="대변"/>
    <s v="101"/>
    <s v="현금"/>
    <x v="1"/>
    <n v="0"/>
    <n v="150"/>
    <n v="150"/>
    <s v="현대카드(4817)"/>
    <m/>
    <m/>
  </r>
  <r>
    <s v="2025-02-27"/>
    <x v="51"/>
    <s v="00003"/>
    <s v="차변"/>
    <s v="812"/>
    <s v="여비교통비(판)"/>
    <x v="9"/>
    <n v="600"/>
    <n v="0"/>
    <n v="-600"/>
    <s v="한국정보통신 - 윌슨파킹"/>
    <m/>
    <m/>
  </r>
  <r>
    <s v="2025-02-27"/>
    <x v="51"/>
    <s v="00003"/>
    <s v="대변"/>
    <s v="101"/>
    <s v="현금"/>
    <x v="1"/>
    <n v="0"/>
    <n v="600"/>
    <n v="600"/>
    <s v="하나카드(4088)"/>
    <m/>
    <m/>
  </r>
  <r>
    <s v="2025-02-27"/>
    <x v="51"/>
    <s v="00004"/>
    <s v="대변"/>
    <s v="101"/>
    <s v="현금"/>
    <x v="1"/>
    <n v="0"/>
    <n v="4700"/>
    <n v="4700"/>
    <s v="하나카드(4088)"/>
    <m/>
    <m/>
  </r>
  <r>
    <s v="2025-02-27"/>
    <x v="51"/>
    <s v="00004"/>
    <s v="차변"/>
    <s v="824"/>
    <s v="운반비(판)"/>
    <x v="15"/>
    <n v="4700"/>
    <n v="0"/>
    <n v="-4700"/>
    <s v="우정사업본부광주"/>
    <m/>
    <m/>
  </r>
  <r>
    <s v="2025-02-27"/>
    <x v="51"/>
    <s v="00005"/>
    <s v="차변"/>
    <s v="813"/>
    <s v="접대비(기업업무추진비)(판)"/>
    <x v="0"/>
    <n v="55800"/>
    <n v="0"/>
    <n v="-55800"/>
    <s v="바른샤브"/>
    <s v="02"/>
    <s v="거래처 접대비(기업업무추진비)/신용카드(개인)"/>
  </r>
  <r>
    <s v="2025-02-27"/>
    <x v="51"/>
    <s v="00005"/>
    <s v="대변"/>
    <s v="101"/>
    <s v="현금"/>
    <x v="1"/>
    <n v="0"/>
    <n v="55800"/>
    <n v="55800"/>
    <s v="현대카드(4817)"/>
    <m/>
    <m/>
  </r>
  <r>
    <s v="2025-02-27"/>
    <x v="51"/>
    <s v="50001"/>
    <s v="차변"/>
    <s v="135"/>
    <s v="부가세대급금"/>
    <x v="5"/>
    <n v="181818"/>
    <n v="0"/>
    <n v="-181818"/>
    <s v="（합명）노무법인희망나눔"/>
    <m/>
    <s v="고용산재 보험료 신고대행"/>
  </r>
  <r>
    <s v="2025-02-27"/>
    <x v="51"/>
    <s v="50001"/>
    <s v="차변"/>
    <s v="831"/>
    <s v="지급수수료(판)"/>
    <x v="7"/>
    <n v="1818182"/>
    <n v="0"/>
    <n v="-1818182"/>
    <s v="（합명）노무법인희망나눔"/>
    <m/>
    <s v="고용산재 보험료 신고대행"/>
  </r>
  <r>
    <s v="2025-02-27"/>
    <x v="51"/>
    <s v="50001"/>
    <s v="대변"/>
    <s v="101"/>
    <s v="현금"/>
    <x v="1"/>
    <n v="0"/>
    <n v="2000000"/>
    <n v="2000000"/>
    <s v="（합명）노무법인희망나눔"/>
    <m/>
    <s v="고용산재 보험료 신고대행"/>
  </r>
  <r>
    <s v="2025-02-28"/>
    <x v="52"/>
    <s v="00001"/>
    <s v="차변"/>
    <s v="802"/>
    <s v="직원급여(판)"/>
    <x v="18"/>
    <n v="1700000"/>
    <n v="0"/>
    <n v="-1700000"/>
    <m/>
    <s v="  "/>
    <s v="급여등지급"/>
  </r>
  <r>
    <s v="2025-02-28"/>
    <x v="52"/>
    <s v="00001"/>
    <s v="대변"/>
    <s v="101"/>
    <s v="현금"/>
    <x v="1"/>
    <n v="0"/>
    <n v="1476240"/>
    <n v="1476240"/>
    <m/>
    <s v="  "/>
    <s v="급여등지급"/>
  </r>
  <r>
    <s v="2025-02-28"/>
    <x v="52"/>
    <s v="00001"/>
    <s v="대변"/>
    <s v="254"/>
    <s v="예수금"/>
    <x v="12"/>
    <n v="0"/>
    <n v="149400"/>
    <n v="149400"/>
    <s v="국민연금공단"/>
    <s v="  "/>
    <s v="급여지급시 국민연금예수"/>
  </r>
  <r>
    <s v="2025-02-28"/>
    <x v="52"/>
    <s v="00001"/>
    <s v="대변"/>
    <s v="254"/>
    <s v="예수금"/>
    <x v="12"/>
    <n v="0"/>
    <n v="60260"/>
    <n v="60260"/>
    <s v="건강보험공단"/>
    <s v="  "/>
    <s v="급여지급시 건강보험예수"/>
  </r>
  <r>
    <s v="2025-02-28"/>
    <x v="52"/>
    <s v="00001"/>
    <s v="대변"/>
    <s v="254"/>
    <s v="예수금"/>
    <x v="12"/>
    <n v="0"/>
    <n v="6300"/>
    <n v="6300"/>
    <s v="근로복지공단"/>
    <s v="  "/>
    <s v="급여지급시 고용보험예수"/>
  </r>
  <r>
    <s v="2025-02-28"/>
    <x v="52"/>
    <s v="00001"/>
    <s v="대변"/>
    <s v="254"/>
    <s v="예수금"/>
    <x v="12"/>
    <n v="0"/>
    <n v="7800"/>
    <n v="7800"/>
    <s v="건강보험공단"/>
    <s v="  "/>
    <s v="급여지급시 장기요양보험예수"/>
  </r>
  <r>
    <s v="2025-02-28"/>
    <x v="52"/>
    <s v="00002"/>
    <s v="차변"/>
    <s v="811"/>
    <s v="복리후생비(판)"/>
    <x v="8"/>
    <n v="6000"/>
    <n v="0"/>
    <n v="-6000"/>
    <s v="김밥랜드"/>
    <m/>
    <m/>
  </r>
  <r>
    <s v="2025-02-28"/>
    <x v="52"/>
    <s v="00002"/>
    <s v="대변"/>
    <s v="101"/>
    <s v="현금"/>
    <x v="1"/>
    <n v="0"/>
    <n v="6000"/>
    <n v="6000"/>
    <s v="하나카드(4088)"/>
    <m/>
    <m/>
  </r>
  <r>
    <s v="2025-02-28"/>
    <x v="52"/>
    <s v="00003"/>
    <s v="차변"/>
    <s v="830"/>
    <s v="소모품비(판)"/>
    <x v="6"/>
    <n v="2150"/>
    <n v="0"/>
    <n v="-2150"/>
    <s v="세븐일레븐 광주와이어스파크점"/>
    <m/>
    <m/>
  </r>
  <r>
    <s v="2025-02-28"/>
    <x v="52"/>
    <s v="00003"/>
    <s v="대변"/>
    <s v="101"/>
    <s v="현금"/>
    <x v="1"/>
    <n v="0"/>
    <n v="2150"/>
    <n v="2150"/>
    <s v="하나카드(4088)"/>
    <m/>
    <m/>
  </r>
  <r>
    <s v="2025-02-28"/>
    <x v="52"/>
    <s v="50001"/>
    <s v="차변"/>
    <s v="135"/>
    <s v="부가세대급금"/>
    <x v="5"/>
    <n v="10000"/>
    <n v="0"/>
    <n v="-10000"/>
    <s v="서찬영세무회계사무소"/>
    <m/>
    <s v="기장료"/>
  </r>
  <r>
    <s v="2025-02-28"/>
    <x v="52"/>
    <s v="50001"/>
    <s v="차변"/>
    <s v="831"/>
    <s v="지급수수료(판)"/>
    <x v="7"/>
    <n v="100000"/>
    <n v="0"/>
    <n v="-100000"/>
    <s v="서찬영세무회계사무소"/>
    <m/>
    <s v="기장료"/>
  </r>
  <r>
    <s v="2025-02-28"/>
    <x v="52"/>
    <s v="50001"/>
    <s v="대변"/>
    <s v="101"/>
    <s v="현금"/>
    <x v="1"/>
    <n v="0"/>
    <n v="110000"/>
    <n v="110000"/>
    <s v="서찬영세무회계사무소"/>
    <m/>
    <s v="기장료"/>
  </r>
  <r>
    <s v="2025-02-28"/>
    <x v="52"/>
    <s v="50002"/>
    <s v="차변"/>
    <s v="135"/>
    <s v="부가세대급금"/>
    <x v="5"/>
    <n v="532"/>
    <n v="0"/>
    <n v="-532"/>
    <s v="(주) 다우기술"/>
    <m/>
    <s v="엔팩스 서비스 사용료 1 X 5,318"/>
  </r>
  <r>
    <s v="2025-02-28"/>
    <x v="52"/>
    <s v="50002"/>
    <s v="차변"/>
    <s v="831"/>
    <s v="지급수수료(판)"/>
    <x v="7"/>
    <n v="5318"/>
    <n v="0"/>
    <n v="-5318"/>
    <s v="(주) 다우기술"/>
    <m/>
    <s v="엔팩스 서비스 사용료 1 X 5,318"/>
  </r>
  <r>
    <s v="2025-02-28"/>
    <x v="52"/>
    <s v="50002"/>
    <s v="대변"/>
    <s v="101"/>
    <s v="현금"/>
    <x v="1"/>
    <n v="0"/>
    <n v="5850"/>
    <n v="5850"/>
    <s v="(주) 다우기술"/>
    <m/>
    <s v="엔팩스 서비스 사용료 1 X 5,318"/>
  </r>
  <r>
    <s v="2025-02-28"/>
    <x v="52"/>
    <s v="50003"/>
    <s v="차변"/>
    <s v="135"/>
    <s v="부가세대급금"/>
    <x v="5"/>
    <n v="4000"/>
    <n v="0"/>
    <n v="-4000"/>
    <s v="효성에프엠에스(주)"/>
    <m/>
    <s v="02월CMS사용료-gjsals596"/>
  </r>
  <r>
    <s v="2025-02-28"/>
    <x v="52"/>
    <s v="50003"/>
    <s v="차변"/>
    <s v="831"/>
    <s v="지급수수료(판)"/>
    <x v="7"/>
    <n v="40000"/>
    <n v="0"/>
    <n v="-40000"/>
    <s v="효성에프엠에스(주)"/>
    <m/>
    <s v="02월CMS사용료-gjsals596"/>
  </r>
  <r>
    <s v="2025-02-28"/>
    <x v="52"/>
    <s v="50003"/>
    <s v="대변"/>
    <s v="101"/>
    <s v="현금"/>
    <x v="1"/>
    <n v="0"/>
    <n v="44000"/>
    <n v="44000"/>
    <s v="효성에프엠에스(주)"/>
    <m/>
    <s v="02월CMS사용료-gjsals596"/>
  </r>
  <r>
    <s v="2025-02-28"/>
    <x v="52"/>
    <s v="50004"/>
    <s v="차변"/>
    <s v="135"/>
    <s v="부가세대급금"/>
    <x v="5"/>
    <n v="1315"/>
    <n v="0"/>
    <n v="-1315"/>
    <s v="효성에프엠에스(주)"/>
    <m/>
    <s v="02월CMS수수료-gjsals596"/>
  </r>
  <r>
    <s v="2025-02-28"/>
    <x v="52"/>
    <s v="50004"/>
    <s v="차변"/>
    <s v="831"/>
    <s v="지급수수료(판)"/>
    <x v="7"/>
    <n v="13150"/>
    <n v="0"/>
    <n v="-13150"/>
    <s v="효성에프엠에스(주)"/>
    <m/>
    <s v="02월CMS수수료-gjsals596"/>
  </r>
  <r>
    <s v="2025-02-28"/>
    <x v="52"/>
    <s v="50004"/>
    <s v="대변"/>
    <s v="101"/>
    <s v="현금"/>
    <x v="1"/>
    <n v="0"/>
    <n v="14465"/>
    <n v="14465"/>
    <s v="효성에프엠에스(주)"/>
    <m/>
    <s v="02월CMS수수료-gjsals596"/>
  </r>
  <r>
    <s v="2025-02-28"/>
    <x v="52"/>
    <s v="50005"/>
    <s v="대변"/>
    <s v="255"/>
    <s v="부가세예수금"/>
    <x v="3"/>
    <n v="0"/>
    <n v="20000"/>
    <n v="20000"/>
    <s v="첨단튼튼병원"/>
    <m/>
    <s v="인사노무자문료 1 X 200,000"/>
  </r>
  <r>
    <s v="2025-02-28"/>
    <x v="52"/>
    <s v="50005"/>
    <s v="대변"/>
    <s v="401"/>
    <s v="용역매출"/>
    <x v="4"/>
    <n v="0"/>
    <n v="200000"/>
    <n v="200000"/>
    <s v="첨단튼튼병원"/>
    <m/>
    <s v="인사노무자문료 1 X 200,000"/>
  </r>
  <r>
    <s v="2025-02-28"/>
    <x v="52"/>
    <s v="50005"/>
    <s v="차변"/>
    <s v="101"/>
    <s v="현금"/>
    <x v="1"/>
    <n v="220000"/>
    <n v="0"/>
    <n v="-220000"/>
    <s v="첨단튼튼병원"/>
    <m/>
    <s v="인사노무자문료 1 X 200,000"/>
  </r>
  <r>
    <s v="2025-02-28"/>
    <x v="52"/>
    <s v="50006"/>
    <s v="대변"/>
    <s v="255"/>
    <s v="부가세예수금"/>
    <x v="3"/>
    <n v="0"/>
    <n v="15000"/>
    <n v="15000"/>
    <s v="주식회사 푸른하늘청자"/>
    <m/>
    <s v="인사노무자문료 1 X 150,000"/>
  </r>
  <r>
    <s v="2025-02-28"/>
    <x v="52"/>
    <s v="50006"/>
    <s v="대변"/>
    <s v="401"/>
    <s v="용역매출"/>
    <x v="4"/>
    <n v="0"/>
    <n v="150000"/>
    <n v="150000"/>
    <s v="주식회사 푸른하늘청자"/>
    <m/>
    <s v="인사노무자문료 1 X 150,000"/>
  </r>
  <r>
    <s v="2025-02-28"/>
    <x v="52"/>
    <s v="50006"/>
    <s v="차변"/>
    <s v="101"/>
    <s v="현금"/>
    <x v="1"/>
    <n v="165000"/>
    <n v="0"/>
    <n v="-165000"/>
    <s v="주식회사 푸른하늘청자"/>
    <m/>
    <s v="인사노무자문료 1 X 150,000"/>
  </r>
  <r>
    <s v="2025-02-28"/>
    <x v="52"/>
    <s v="50007"/>
    <s v="대변"/>
    <s v="255"/>
    <s v="부가세예수금"/>
    <x v="3"/>
    <n v="0"/>
    <n v="12000"/>
    <n v="12000"/>
    <s v="용성이앤지"/>
    <m/>
    <s v="인사노무자문료 1 X 120,000"/>
  </r>
  <r>
    <s v="2025-02-28"/>
    <x v="52"/>
    <s v="50007"/>
    <s v="대변"/>
    <s v="401"/>
    <s v="용역매출"/>
    <x v="4"/>
    <n v="0"/>
    <n v="120000"/>
    <n v="120000"/>
    <s v="용성이앤지"/>
    <m/>
    <s v="인사노무자문료 1 X 120,000"/>
  </r>
  <r>
    <s v="2025-02-28"/>
    <x v="52"/>
    <s v="50007"/>
    <s v="차변"/>
    <s v="101"/>
    <s v="현금"/>
    <x v="1"/>
    <n v="132000"/>
    <n v="0"/>
    <n v="-132000"/>
    <s v="용성이앤지"/>
    <m/>
    <s v="인사노무자문료 1 X 120,000"/>
  </r>
  <r>
    <s v="2025-02-28"/>
    <x v="52"/>
    <s v="50008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2-28"/>
    <x v="52"/>
    <s v="50008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2-28"/>
    <x v="52"/>
    <s v="50008"/>
    <s v="차변"/>
    <s v="101"/>
    <s v="현금"/>
    <x v="1"/>
    <n v="330000"/>
    <n v="0"/>
    <n v="-330000"/>
    <s v="재단법인 광주광역시 여성가족재단"/>
    <m/>
    <s v="인사노무자문료 1 X 300,000"/>
  </r>
  <r>
    <s v="2025-02-28"/>
    <x v="52"/>
    <s v="50009"/>
    <s v="대변"/>
    <s v="255"/>
    <s v="부가세예수금"/>
    <x v="3"/>
    <n v="0"/>
    <n v="12000"/>
    <n v="12000"/>
    <s v="농업회사법인(주)황칠코리아"/>
    <m/>
    <s v="인사노무자문료 1 X 120,000"/>
  </r>
  <r>
    <s v="2025-02-28"/>
    <x v="52"/>
    <s v="50009"/>
    <s v="대변"/>
    <s v="401"/>
    <s v="용역매출"/>
    <x v="4"/>
    <n v="0"/>
    <n v="120000"/>
    <n v="120000"/>
    <s v="농업회사법인(주)황칠코리아"/>
    <m/>
    <s v="인사노무자문료 1 X 120,000"/>
  </r>
  <r>
    <s v="2025-02-28"/>
    <x v="52"/>
    <s v="50009"/>
    <s v="차변"/>
    <s v="101"/>
    <s v="현금"/>
    <x v="1"/>
    <n v="132000"/>
    <n v="0"/>
    <n v="-132000"/>
    <s v="농업회사법인(주)황칠코리아"/>
    <m/>
    <s v="인사노무자문료 1 X 120,000"/>
  </r>
  <r>
    <s v="2025-02-28"/>
    <x v="52"/>
    <s v="50010"/>
    <s v="대변"/>
    <s v="255"/>
    <s v="부가세예수금"/>
    <x v="3"/>
    <n v="0"/>
    <n v="7000"/>
    <n v="7000"/>
    <s v="(유)임마누엘"/>
    <m/>
    <s v="인사노무자문료 1 X 70,000"/>
  </r>
  <r>
    <s v="2025-02-28"/>
    <x v="52"/>
    <s v="50010"/>
    <s v="대변"/>
    <s v="401"/>
    <s v="용역매출"/>
    <x v="4"/>
    <n v="0"/>
    <n v="70000"/>
    <n v="70000"/>
    <s v="(유)임마누엘"/>
    <m/>
    <s v="인사노무자문료 1 X 70,000"/>
  </r>
  <r>
    <s v="2025-02-28"/>
    <x v="52"/>
    <s v="50010"/>
    <s v="차변"/>
    <s v="101"/>
    <s v="현금"/>
    <x v="1"/>
    <n v="77000"/>
    <n v="0"/>
    <n v="-77000"/>
    <s v="(유)임마누엘"/>
    <m/>
    <s v="인사노무자문료 1 X 70,000"/>
  </r>
  <r>
    <s v="2025-02-28"/>
    <x v="52"/>
    <s v="50011"/>
    <s v="대변"/>
    <s v="255"/>
    <s v="부가세예수금"/>
    <x v="3"/>
    <n v="0"/>
    <n v="15000"/>
    <n v="15000"/>
    <s v="(주)한국피엔피서비스"/>
    <m/>
    <s v="인사노무자문료 1 X 150,000"/>
  </r>
  <r>
    <s v="2025-02-28"/>
    <x v="52"/>
    <s v="50011"/>
    <s v="대변"/>
    <s v="401"/>
    <s v="용역매출"/>
    <x v="4"/>
    <n v="0"/>
    <n v="150000"/>
    <n v="150000"/>
    <s v="(주)한국피엔피서비스"/>
    <m/>
    <s v="인사노무자문료 1 X 150,000"/>
  </r>
  <r>
    <s v="2025-02-28"/>
    <x v="52"/>
    <s v="50011"/>
    <s v="차변"/>
    <s v="101"/>
    <s v="현금"/>
    <x v="1"/>
    <n v="165000"/>
    <n v="0"/>
    <n v="-165000"/>
    <s v="(주)한국피엔피서비스"/>
    <m/>
    <s v="인사노무자문료 1 X 150,000"/>
  </r>
  <r>
    <s v="2025-02-28"/>
    <x v="52"/>
    <s v="50012"/>
    <s v="대변"/>
    <s v="255"/>
    <s v="부가세예수금"/>
    <x v="3"/>
    <n v="0"/>
    <n v="50000"/>
    <n v="50000"/>
    <s v="호호재활의학과의원"/>
    <m/>
    <s v="인사노무자문료 1 X 500,000"/>
  </r>
  <r>
    <s v="2025-02-28"/>
    <x v="52"/>
    <s v="50012"/>
    <s v="대변"/>
    <s v="401"/>
    <s v="용역매출"/>
    <x v="4"/>
    <n v="0"/>
    <n v="500000"/>
    <n v="500000"/>
    <s v="호호재활의학과의원"/>
    <m/>
    <s v="인사노무자문료 1 X 500,000"/>
  </r>
  <r>
    <s v="2025-02-28"/>
    <x v="52"/>
    <s v="50012"/>
    <s v="차변"/>
    <s v="101"/>
    <s v="현금"/>
    <x v="1"/>
    <n v="550000"/>
    <n v="0"/>
    <n v="-550000"/>
    <s v="호호재활의학과의원"/>
    <m/>
    <s v="인사노무자문료 1 X 500,000"/>
  </r>
  <r>
    <s v="2025-02-28"/>
    <x v="52"/>
    <s v="50013"/>
    <s v="대변"/>
    <s v="255"/>
    <s v="부가세예수금"/>
    <x v="3"/>
    <n v="0"/>
    <n v="9091"/>
    <n v="9091"/>
    <s v="(주)탑텍코리아"/>
    <m/>
    <s v="인사노무자문료 1 X 90,909"/>
  </r>
  <r>
    <s v="2025-02-28"/>
    <x v="52"/>
    <s v="50013"/>
    <s v="대변"/>
    <s v="401"/>
    <s v="용역매출"/>
    <x v="4"/>
    <n v="0"/>
    <n v="90909"/>
    <n v="90909"/>
    <s v="(주)탑텍코리아"/>
    <m/>
    <s v="인사노무자문료 1 X 90,909"/>
  </r>
  <r>
    <s v="2025-02-28"/>
    <x v="52"/>
    <s v="50013"/>
    <s v="차변"/>
    <s v="101"/>
    <s v="현금"/>
    <x v="1"/>
    <n v="100000"/>
    <n v="0"/>
    <n v="-100000"/>
    <s v="(주)탑텍코리아"/>
    <m/>
    <s v="인사노무자문료 1 X 90,909"/>
  </r>
  <r>
    <s v="2025-02-28"/>
    <x v="52"/>
    <s v="50014"/>
    <s v="입금"/>
    <s v="255"/>
    <s v="부가세예수금"/>
    <x v="3"/>
    <n v="0"/>
    <n v="1827272"/>
    <n v="1827272"/>
    <s v="소비자현금영수증매출"/>
    <s v="  "/>
    <s v="현금영수증매출"/>
  </r>
  <r>
    <s v="2025-02-28"/>
    <x v="52"/>
    <s v="50014"/>
    <s v="입금"/>
    <s v="101"/>
    <s v="현금"/>
    <x v="1"/>
    <n v="1827272"/>
    <n v="0"/>
    <n v="-1827272"/>
    <s v="소비자현금영수증매출"/>
    <s v="  "/>
    <s v="현금영수증매출"/>
  </r>
  <r>
    <s v="2025-02-28"/>
    <x v="52"/>
    <s v="50014"/>
    <s v="입금"/>
    <s v="401"/>
    <s v="용역매출"/>
    <x v="4"/>
    <n v="0"/>
    <n v="18272728"/>
    <n v="18272728"/>
    <s v="소비자현금영수증매출"/>
    <s v="  "/>
    <s v="현금영수증매출"/>
  </r>
  <r>
    <s v="2025-02-28"/>
    <x v="52"/>
    <s v="50014"/>
    <s v="입금"/>
    <s v="101"/>
    <s v="현금"/>
    <x v="1"/>
    <n v="18272728"/>
    <n v="0"/>
    <n v="-18272728"/>
    <s v="소비자현금영수증매출"/>
    <s v="  "/>
    <s v="현금영수증매출"/>
  </r>
  <r>
    <s v="2025-03-01"/>
    <x v="53"/>
    <s v="00001"/>
    <s v="차변"/>
    <s v="811"/>
    <s v="복리후생비(판)"/>
    <x v="8"/>
    <n v="3000"/>
    <n v="0"/>
    <n v="-3000"/>
    <s v="김밥랜드"/>
    <m/>
    <m/>
  </r>
  <r>
    <s v="2025-03-01"/>
    <x v="53"/>
    <s v="00001"/>
    <s v="대변"/>
    <s v="101"/>
    <s v="현금"/>
    <x v="1"/>
    <n v="0"/>
    <n v="3000"/>
    <n v="3000"/>
    <s v="국민카드(2005)"/>
    <m/>
    <m/>
  </r>
  <r>
    <s v="2025-03-01"/>
    <x v="53"/>
    <s v="00002"/>
    <s v="차변"/>
    <s v="822"/>
    <s v="차량유지비(판)"/>
    <x v="11"/>
    <n v="50000"/>
    <n v="0"/>
    <n v="-50000"/>
    <s v="（유）금성물류 광주지점"/>
    <m/>
    <m/>
  </r>
  <r>
    <s v="2025-03-01"/>
    <x v="53"/>
    <s v="00002"/>
    <s v="대변"/>
    <s v="101"/>
    <s v="현금"/>
    <x v="1"/>
    <n v="0"/>
    <n v="50000"/>
    <n v="50000"/>
    <s v="현대카드(4817)"/>
    <m/>
    <m/>
  </r>
  <r>
    <s v="2025-03-01"/>
    <x v="53"/>
    <s v="50001"/>
    <s v="대변"/>
    <s v="255"/>
    <s v="부가세예수금"/>
    <x v="3"/>
    <n v="0"/>
    <n v="9091"/>
    <n v="9091"/>
    <s v="해드림재활주간보호센터"/>
    <m/>
    <s v="인사노무자문료 1 X 90,909"/>
  </r>
  <r>
    <s v="2025-03-01"/>
    <x v="53"/>
    <s v="50001"/>
    <s v="대변"/>
    <s v="401"/>
    <s v="용역매출"/>
    <x v="4"/>
    <n v="0"/>
    <n v="90909"/>
    <n v="90909"/>
    <s v="해드림재활주간보호센터"/>
    <m/>
    <s v="인사노무자문료 1 X 90,909"/>
  </r>
  <r>
    <s v="2025-03-01"/>
    <x v="53"/>
    <s v="50001"/>
    <s v="차변"/>
    <s v="101"/>
    <s v="현금"/>
    <x v="1"/>
    <n v="100000"/>
    <n v="0"/>
    <n v="-100000"/>
    <s v="해드림재활주간보호센터"/>
    <m/>
    <s v="인사노무자문료 1 X 90,909"/>
  </r>
  <r>
    <s v="2025-03-01"/>
    <x v="53"/>
    <s v="50002"/>
    <s v="대변"/>
    <s v="255"/>
    <s v="부가세예수금"/>
    <x v="3"/>
    <n v="0"/>
    <n v="10000"/>
    <n v="10000"/>
    <s v="샤브사랑"/>
    <m/>
    <s v="인사노무자문료 1 X 100,000"/>
  </r>
  <r>
    <s v="2025-03-01"/>
    <x v="53"/>
    <s v="50002"/>
    <s v="대변"/>
    <s v="401"/>
    <s v="용역매출"/>
    <x v="4"/>
    <n v="0"/>
    <n v="100000"/>
    <n v="100000"/>
    <s v="샤브사랑"/>
    <m/>
    <s v="인사노무자문료 1 X 100,000"/>
  </r>
  <r>
    <s v="2025-03-01"/>
    <x v="53"/>
    <s v="50002"/>
    <s v="차변"/>
    <s v="101"/>
    <s v="현금"/>
    <x v="1"/>
    <n v="110000"/>
    <n v="0"/>
    <n v="-110000"/>
    <s v="샤브사랑"/>
    <m/>
    <s v="인사노무자문료 1 X 100,000"/>
  </r>
  <r>
    <s v="2025-03-01"/>
    <x v="53"/>
    <s v="50003"/>
    <s v="대변"/>
    <s v="255"/>
    <s v="부가세예수금"/>
    <x v="3"/>
    <n v="0"/>
    <n v="15000"/>
    <n v="15000"/>
    <s v="청담리브의원"/>
    <m/>
    <s v="인사노무자문료 1 X 150,000"/>
  </r>
  <r>
    <s v="2025-03-01"/>
    <x v="53"/>
    <s v="50003"/>
    <s v="대변"/>
    <s v="401"/>
    <s v="용역매출"/>
    <x v="4"/>
    <n v="0"/>
    <n v="150000"/>
    <n v="150000"/>
    <s v="청담리브의원"/>
    <m/>
    <s v="인사노무자문료 1 X 150,000"/>
  </r>
  <r>
    <s v="2025-03-01"/>
    <x v="53"/>
    <s v="50003"/>
    <s v="차변"/>
    <s v="101"/>
    <s v="현금"/>
    <x v="1"/>
    <n v="165000"/>
    <n v="0"/>
    <n v="-165000"/>
    <s v="청담리브의원"/>
    <m/>
    <s v="인사노무자문료 1 X 150,000"/>
  </r>
  <r>
    <s v="2025-03-02"/>
    <x v="54"/>
    <s v="00001"/>
    <s v="차변"/>
    <s v="822"/>
    <s v="차량유지비(판)"/>
    <x v="11"/>
    <n v="50000"/>
    <n v="0"/>
    <n v="-50000"/>
    <s v="（유）금성물류 광주지점"/>
    <m/>
    <m/>
  </r>
  <r>
    <s v="2025-03-02"/>
    <x v="54"/>
    <s v="00001"/>
    <s v="대변"/>
    <s v="101"/>
    <s v="현금"/>
    <x v="1"/>
    <n v="0"/>
    <n v="50000"/>
    <n v="50000"/>
    <s v="현대카드(4817)"/>
    <m/>
    <m/>
  </r>
  <r>
    <s v="2025-03-02"/>
    <x v="54"/>
    <s v="50001"/>
    <s v="대변"/>
    <s v="101"/>
    <s v="현금"/>
    <x v="1"/>
    <n v="0"/>
    <n v="5000"/>
    <n v="5000"/>
    <s v="현대카드(4817)"/>
    <m/>
    <m/>
  </r>
  <r>
    <s v="2025-03-02"/>
    <x v="54"/>
    <s v="50001"/>
    <s v="차변"/>
    <s v="830"/>
    <s v="소모품비(판)"/>
    <x v="6"/>
    <n v="4545"/>
    <n v="0"/>
    <n v="-4545"/>
    <s v="다이소아성산업"/>
    <s v="  "/>
    <m/>
  </r>
  <r>
    <s v="2025-03-02"/>
    <x v="54"/>
    <s v="50001"/>
    <s v="차변"/>
    <s v="135"/>
    <s v="부가세대급금"/>
    <x v="5"/>
    <n v="455"/>
    <n v="0"/>
    <n v="-455"/>
    <s v="다이소아성산업"/>
    <s v="  "/>
    <m/>
  </r>
  <r>
    <s v="2025-03-02"/>
    <x v="54"/>
    <s v="50002"/>
    <s v="차변"/>
    <s v="135"/>
    <s v="부가세대급금"/>
    <x v="5"/>
    <n v="4768"/>
    <n v="0"/>
    <n v="-4768"/>
    <s v="주식회사 365 스테이셔너리"/>
    <m/>
    <m/>
  </r>
  <r>
    <s v="2025-03-02"/>
    <x v="54"/>
    <s v="50002"/>
    <s v="차변"/>
    <s v="830"/>
    <s v="소모품비(판)"/>
    <x v="6"/>
    <n v="47682"/>
    <n v="0"/>
    <n v="-47682"/>
    <s v="주식회사 365 스테이셔너리"/>
    <m/>
    <m/>
  </r>
  <r>
    <s v="2025-03-02"/>
    <x v="54"/>
    <s v="50002"/>
    <s v="대변"/>
    <s v="101"/>
    <s v="현금"/>
    <x v="1"/>
    <n v="0"/>
    <n v="52450"/>
    <n v="52450"/>
    <s v="현대카드(4817)"/>
    <m/>
    <m/>
  </r>
  <r>
    <s v="2025-03-03"/>
    <x v="55"/>
    <s v="00001"/>
    <s v="대변"/>
    <s v="101"/>
    <s v="현금"/>
    <x v="1"/>
    <n v="0"/>
    <n v="28800"/>
    <n v="28800"/>
    <s v="현대카드(4817)"/>
    <m/>
    <m/>
  </r>
  <r>
    <s v="2025-03-03"/>
    <x v="55"/>
    <s v="00001"/>
    <s v="차변"/>
    <s v="811"/>
    <s v="복리후생비(판)"/>
    <x v="8"/>
    <n v="28800"/>
    <n v="0"/>
    <n v="-28800"/>
    <s v="장성로컬푸드 첨단직매장"/>
    <m/>
    <m/>
  </r>
  <r>
    <s v="2025-03-04"/>
    <x v="56"/>
    <s v="00001"/>
    <s v="차변"/>
    <s v="811"/>
    <s v="복리후생비(판)"/>
    <x v="8"/>
    <n v="5500"/>
    <n v="0"/>
    <n v="-5500"/>
    <s v="김밥랜드"/>
    <m/>
    <m/>
  </r>
  <r>
    <s v="2025-03-04"/>
    <x v="56"/>
    <s v="00001"/>
    <s v="대변"/>
    <s v="101"/>
    <s v="현금"/>
    <x v="1"/>
    <n v="0"/>
    <n v="5500"/>
    <n v="5500"/>
    <s v="하나카드(4088)"/>
    <m/>
    <m/>
  </r>
  <r>
    <s v="2025-03-04"/>
    <x v="56"/>
    <s v="00002"/>
    <s v="차변"/>
    <s v="811"/>
    <s v="복리후생비(판)"/>
    <x v="8"/>
    <n v="22000"/>
    <n v="0"/>
    <n v="-22000"/>
    <s v="본가모밀 25시"/>
    <m/>
    <m/>
  </r>
  <r>
    <s v="2025-03-04"/>
    <x v="56"/>
    <s v="00002"/>
    <s v="대변"/>
    <s v="101"/>
    <s v="현금"/>
    <x v="1"/>
    <n v="0"/>
    <n v="22000"/>
    <n v="22000"/>
    <s v="하나카드(4088)"/>
    <m/>
    <m/>
  </r>
  <r>
    <s v="2025-03-04"/>
    <x v="56"/>
    <s v="50001"/>
    <s v="차변"/>
    <s v="135"/>
    <s v="부가세대급금"/>
    <x v="5"/>
    <n v="1269"/>
    <n v="0"/>
    <n v="-1269"/>
    <s v="㈜LG유플러스"/>
    <m/>
    <s v="2025년 03월 서비스 이용료 매출"/>
  </r>
  <r>
    <s v="2025-03-04"/>
    <x v="56"/>
    <s v="50001"/>
    <s v="차변"/>
    <s v="814"/>
    <s v="통신비(판)"/>
    <x v="10"/>
    <n v="12692"/>
    <n v="0"/>
    <n v="-12692"/>
    <s v="㈜LG유플러스"/>
    <m/>
    <s v="2025년 03월 서비스 이용료 매출"/>
  </r>
  <r>
    <s v="2025-03-04"/>
    <x v="56"/>
    <s v="50001"/>
    <s v="대변"/>
    <s v="101"/>
    <s v="현금"/>
    <x v="1"/>
    <n v="0"/>
    <n v="13961"/>
    <n v="13961"/>
    <s v="㈜LG유플러스"/>
    <m/>
    <s v="2025년 03월 서비스 이용료 매출"/>
  </r>
  <r>
    <s v="2025-03-04"/>
    <x v="56"/>
    <s v="50002"/>
    <s v="대변"/>
    <s v="255"/>
    <s v="부가세예수금"/>
    <x v="3"/>
    <n v="0"/>
    <n v="15000"/>
    <n v="15000"/>
    <s v="(주)유진테크노"/>
    <m/>
    <s v="인사노무자문료 1 X 150,000"/>
  </r>
  <r>
    <s v="2025-03-04"/>
    <x v="56"/>
    <s v="50002"/>
    <s v="대변"/>
    <s v="401"/>
    <s v="용역매출"/>
    <x v="4"/>
    <n v="0"/>
    <n v="150000"/>
    <n v="150000"/>
    <s v="(주)유진테크노"/>
    <m/>
    <s v="인사노무자문료 1 X 150,000"/>
  </r>
  <r>
    <s v="2025-03-04"/>
    <x v="56"/>
    <s v="50002"/>
    <s v="차변"/>
    <s v="101"/>
    <s v="현금"/>
    <x v="1"/>
    <n v="165000"/>
    <n v="0"/>
    <n v="-165000"/>
    <s v="(주)유진테크노"/>
    <m/>
    <s v="인사노무자문료 1 X 150,000"/>
  </r>
  <r>
    <s v="2025-03-04"/>
    <x v="56"/>
    <s v="50003"/>
    <s v="대변"/>
    <s v="255"/>
    <s v="부가세예수금"/>
    <x v="3"/>
    <n v="0"/>
    <n v="-15000"/>
    <n v="-15000"/>
    <s v="(주)유진테크노"/>
    <m/>
    <s v="인사노무자문료 -1 X 150,000"/>
  </r>
  <r>
    <s v="2025-03-04"/>
    <x v="56"/>
    <s v="50003"/>
    <s v="대변"/>
    <s v="401"/>
    <s v="용역매출"/>
    <x v="4"/>
    <n v="0"/>
    <n v="-150000"/>
    <n v="-150000"/>
    <s v="(주)유진테크노"/>
    <m/>
    <s v="인사노무자문료 -1 X 150,000"/>
  </r>
  <r>
    <s v="2025-03-04"/>
    <x v="56"/>
    <s v="50003"/>
    <s v="차변"/>
    <s v="101"/>
    <s v="현금"/>
    <x v="1"/>
    <n v="-165000"/>
    <n v="0"/>
    <n v="165000"/>
    <s v="(주)유진테크노"/>
    <m/>
    <s v="인사노무자문료 -1 X 150,000"/>
  </r>
  <r>
    <s v="2025-03-04"/>
    <x v="56"/>
    <s v="50004"/>
    <s v="대변"/>
    <s v="255"/>
    <s v="부가세예수금"/>
    <x v="3"/>
    <n v="0"/>
    <n v="10000"/>
    <n v="10000"/>
    <s v="와이앤애드"/>
    <m/>
    <s v="인사노무자문료 1 X 100,000"/>
  </r>
  <r>
    <s v="2025-03-04"/>
    <x v="56"/>
    <s v="50004"/>
    <s v="대변"/>
    <s v="401"/>
    <s v="용역매출"/>
    <x v="4"/>
    <n v="0"/>
    <n v="100000"/>
    <n v="100000"/>
    <s v="와이앤애드"/>
    <m/>
    <s v="인사노무자문료 1 X 100,000"/>
  </r>
  <r>
    <s v="2025-03-04"/>
    <x v="56"/>
    <s v="50004"/>
    <s v="차변"/>
    <s v="101"/>
    <s v="현금"/>
    <x v="1"/>
    <n v="110000"/>
    <n v="0"/>
    <n v="-110000"/>
    <s v="와이앤애드"/>
    <m/>
    <s v="인사노무자문료 1 X 100,000"/>
  </r>
  <r>
    <s v="2025-03-04"/>
    <x v="56"/>
    <s v="50005"/>
    <s v="대변"/>
    <s v="255"/>
    <s v="부가세예수금"/>
    <x v="3"/>
    <n v="0"/>
    <n v="15000"/>
    <n v="15000"/>
    <s v="(주)유진테크노"/>
    <m/>
    <s v="인사노무자문료 1 X 150,000"/>
  </r>
  <r>
    <s v="2025-03-04"/>
    <x v="56"/>
    <s v="50005"/>
    <s v="대변"/>
    <s v="401"/>
    <s v="용역매출"/>
    <x v="4"/>
    <n v="0"/>
    <n v="150000"/>
    <n v="150000"/>
    <s v="(주)유진테크노"/>
    <m/>
    <s v="인사노무자문료 1 X 150,000"/>
  </r>
  <r>
    <s v="2025-03-04"/>
    <x v="56"/>
    <s v="50005"/>
    <s v="차변"/>
    <s v="101"/>
    <s v="현금"/>
    <x v="1"/>
    <n v="165000"/>
    <n v="0"/>
    <n v="-165000"/>
    <s v="(주)유진테크노"/>
    <m/>
    <s v="인사노무자문료 1 X 150,000"/>
  </r>
  <r>
    <s v="2025-03-04"/>
    <x v="56"/>
    <s v="50006"/>
    <s v="대변"/>
    <s v="255"/>
    <s v="부가세예수금"/>
    <x v="3"/>
    <n v="0"/>
    <n v="15000"/>
    <n v="15000"/>
    <s v="연세탑신경외과"/>
    <m/>
    <s v="인사노무자문료 1 X 150,000"/>
  </r>
  <r>
    <s v="2025-03-04"/>
    <x v="56"/>
    <s v="50006"/>
    <s v="대변"/>
    <s v="401"/>
    <s v="용역매출"/>
    <x v="4"/>
    <n v="0"/>
    <n v="150000"/>
    <n v="150000"/>
    <s v="연세탑신경외과"/>
    <m/>
    <s v="인사노무자문료 1 X 150,000"/>
  </r>
  <r>
    <s v="2025-03-04"/>
    <x v="56"/>
    <s v="50006"/>
    <s v="차변"/>
    <s v="101"/>
    <s v="현금"/>
    <x v="1"/>
    <n v="165000"/>
    <n v="0"/>
    <n v="-165000"/>
    <s v="연세탑신경외과"/>
    <m/>
    <s v="인사노무자문료 1 X 150,000"/>
  </r>
  <r>
    <s v="2025-03-04"/>
    <x v="56"/>
    <s v="50007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3-04"/>
    <x v="56"/>
    <s v="50007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3-04"/>
    <x v="56"/>
    <s v="50007"/>
    <s v="차변"/>
    <s v="101"/>
    <s v="현금"/>
    <x v="1"/>
    <n v="132000"/>
    <n v="0"/>
    <n v="-132000"/>
    <s v="재단법인 장성먹거리통합지원센터"/>
    <m/>
    <s v="인사노무자문료 1 X 120,000"/>
  </r>
  <r>
    <s v="2025-03-04"/>
    <x v="56"/>
    <s v="50008"/>
    <s v="대변"/>
    <s v="255"/>
    <s v="부가세예수금"/>
    <x v="3"/>
    <n v="0"/>
    <n v="15000"/>
    <n v="15000"/>
    <s v="(주)혁진팩"/>
    <m/>
    <s v="인사노무자문료 1 X 150,000"/>
  </r>
  <r>
    <s v="2025-03-04"/>
    <x v="56"/>
    <s v="50008"/>
    <s v="대변"/>
    <s v="401"/>
    <s v="용역매출"/>
    <x v="4"/>
    <n v="0"/>
    <n v="150000"/>
    <n v="150000"/>
    <s v="(주)혁진팩"/>
    <m/>
    <s v="인사노무자문료 1 X 150,000"/>
  </r>
  <r>
    <s v="2025-03-04"/>
    <x v="56"/>
    <s v="50008"/>
    <s v="차변"/>
    <s v="101"/>
    <s v="현금"/>
    <x v="1"/>
    <n v="165000"/>
    <n v="0"/>
    <n v="-165000"/>
    <s v="(주)혁진팩"/>
    <m/>
    <s v="인사노무자문료 1 X 150,000"/>
  </r>
  <r>
    <s v="2025-03-04"/>
    <x v="56"/>
    <s v="50009"/>
    <s v="대변"/>
    <s v="255"/>
    <s v="부가세예수금"/>
    <x v="3"/>
    <n v="0"/>
    <n v="15000"/>
    <n v="15000"/>
    <s v="(주)미래아이엔씨"/>
    <m/>
    <s v="인사노무자문료 1 X 150,000"/>
  </r>
  <r>
    <s v="2025-03-04"/>
    <x v="56"/>
    <s v="50009"/>
    <s v="대변"/>
    <s v="401"/>
    <s v="용역매출"/>
    <x v="4"/>
    <n v="0"/>
    <n v="150000"/>
    <n v="150000"/>
    <s v="(주)미래아이엔씨"/>
    <m/>
    <s v="인사노무자문료 1 X 150,000"/>
  </r>
  <r>
    <s v="2025-03-04"/>
    <x v="56"/>
    <s v="50009"/>
    <s v="차변"/>
    <s v="101"/>
    <s v="현금"/>
    <x v="1"/>
    <n v="165000"/>
    <n v="0"/>
    <n v="-165000"/>
    <s v="(주)미래아이엔씨"/>
    <m/>
    <s v="인사노무자문료 1 X 150,000"/>
  </r>
  <r>
    <s v="2025-03-05"/>
    <x v="57"/>
    <s v="00001"/>
    <s v="차변"/>
    <s v="826"/>
    <s v="도서인쇄비(판)"/>
    <x v="2"/>
    <n v="15000"/>
    <n v="0"/>
    <n v="-15000"/>
    <s v="유한회사 아름다운세종문고"/>
    <m/>
    <m/>
  </r>
  <r>
    <s v="2025-03-05"/>
    <x v="57"/>
    <s v="00001"/>
    <s v="대변"/>
    <s v="101"/>
    <s v="현금"/>
    <x v="1"/>
    <n v="0"/>
    <n v="15000"/>
    <n v="15000"/>
    <s v="현대카드(4817)"/>
    <m/>
    <m/>
  </r>
  <r>
    <s v="2025-03-05"/>
    <x v="57"/>
    <s v="00002"/>
    <s v="차변"/>
    <s v="811"/>
    <s v="복리후생비(판)"/>
    <x v="8"/>
    <n v="14000"/>
    <n v="0"/>
    <n v="-14000"/>
    <s v="주식회사 울림푸드 한식뷔페 첨단 정부청사점"/>
    <m/>
    <m/>
  </r>
  <r>
    <s v="2025-03-05"/>
    <x v="57"/>
    <s v="00002"/>
    <s v="대변"/>
    <s v="101"/>
    <s v="현금"/>
    <x v="1"/>
    <n v="0"/>
    <n v="14000"/>
    <n v="14000"/>
    <s v="하나카드(4088)"/>
    <m/>
    <m/>
  </r>
  <r>
    <s v="2025-03-05"/>
    <x v="57"/>
    <s v="00003"/>
    <s v="차변"/>
    <s v="830"/>
    <s v="소모품비(판)"/>
    <x v="6"/>
    <n v="15000"/>
    <n v="0"/>
    <n v="-15000"/>
    <s v="KCP - ( 주 ) 위메프"/>
    <m/>
    <m/>
  </r>
  <r>
    <s v="2025-03-05"/>
    <x v="57"/>
    <s v="00003"/>
    <s v="대변"/>
    <s v="101"/>
    <s v="현금"/>
    <x v="1"/>
    <n v="0"/>
    <n v="15000"/>
    <n v="15000"/>
    <s v="현대카드(4817)"/>
    <m/>
    <m/>
  </r>
  <r>
    <s v="2025-03-05"/>
    <x v="57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3-05"/>
    <x v="57"/>
    <s v="50001"/>
    <s v="대변"/>
    <s v="401"/>
    <s v="용역매출"/>
    <x v="4"/>
    <n v="0"/>
    <n v="400000"/>
    <n v="400000"/>
    <s v="(주)모아주택산업"/>
    <m/>
    <s v="인사노무자문료 1 X 400,000"/>
  </r>
  <r>
    <s v="2025-03-05"/>
    <x v="57"/>
    <s v="50001"/>
    <s v="차변"/>
    <s v="101"/>
    <s v="현금"/>
    <x v="1"/>
    <n v="440000"/>
    <n v="0"/>
    <n v="-440000"/>
    <s v="(주)모아주택산업"/>
    <m/>
    <s v="인사노무자문료 1 X 400,000"/>
  </r>
  <r>
    <s v="2025-03-05"/>
    <x v="57"/>
    <s v="50002"/>
    <s v="대변"/>
    <s v="255"/>
    <s v="부가세예수금"/>
    <x v="3"/>
    <n v="0"/>
    <n v="15000"/>
    <n v="15000"/>
    <s v="광주미래의원"/>
    <m/>
    <s v="인사노무자문료 1 X 150,000"/>
  </r>
  <r>
    <s v="2025-03-05"/>
    <x v="57"/>
    <s v="50002"/>
    <s v="대변"/>
    <s v="401"/>
    <s v="용역매출"/>
    <x v="4"/>
    <n v="0"/>
    <n v="150000"/>
    <n v="150000"/>
    <s v="광주미래의원"/>
    <m/>
    <s v="인사노무자문료 1 X 150,000"/>
  </r>
  <r>
    <s v="2025-03-05"/>
    <x v="57"/>
    <s v="50002"/>
    <s v="차변"/>
    <s v="101"/>
    <s v="현금"/>
    <x v="1"/>
    <n v="165000"/>
    <n v="0"/>
    <n v="-165000"/>
    <s v="광주미래의원"/>
    <m/>
    <s v="인사노무자문료 1 X 150,000"/>
  </r>
  <r>
    <s v="2025-03-05"/>
    <x v="57"/>
    <s v="50003"/>
    <s v="대변"/>
    <s v="255"/>
    <s v="부가세예수금"/>
    <x v="3"/>
    <n v="0"/>
    <n v="15000"/>
    <n v="15000"/>
    <s v="주식회사 수연"/>
    <m/>
    <s v="인사노무자문료 1 X 150,000"/>
  </r>
  <r>
    <s v="2025-03-05"/>
    <x v="57"/>
    <s v="50003"/>
    <s v="대변"/>
    <s v="401"/>
    <s v="용역매출"/>
    <x v="4"/>
    <n v="0"/>
    <n v="150000"/>
    <n v="150000"/>
    <s v="주식회사 수연"/>
    <m/>
    <s v="인사노무자문료 1 X 150,000"/>
  </r>
  <r>
    <s v="2025-03-05"/>
    <x v="57"/>
    <s v="50003"/>
    <s v="차변"/>
    <s v="101"/>
    <s v="현금"/>
    <x v="1"/>
    <n v="165000"/>
    <n v="0"/>
    <n v="-165000"/>
    <s v="주식회사 수연"/>
    <m/>
    <s v="인사노무자문료 1 X 150,000"/>
  </r>
  <r>
    <s v="2025-03-05"/>
    <x v="57"/>
    <s v="50004"/>
    <s v="대변"/>
    <s v="255"/>
    <s v="부가세예수금"/>
    <x v="3"/>
    <n v="0"/>
    <n v="-15000"/>
    <n v="-15000"/>
    <s v="주식회사 수연"/>
    <m/>
    <s v="인사노무자문료 -1 X 150,000"/>
  </r>
  <r>
    <s v="2025-03-05"/>
    <x v="57"/>
    <s v="50004"/>
    <s v="대변"/>
    <s v="401"/>
    <s v="용역매출"/>
    <x v="4"/>
    <n v="0"/>
    <n v="-150000"/>
    <n v="-150000"/>
    <s v="주식회사 수연"/>
    <m/>
    <s v="인사노무자문료 -1 X 150,000"/>
  </r>
  <r>
    <s v="2025-03-05"/>
    <x v="57"/>
    <s v="50004"/>
    <s v="차변"/>
    <s v="101"/>
    <s v="현금"/>
    <x v="1"/>
    <n v="-165000"/>
    <n v="0"/>
    <n v="165000"/>
    <s v="주식회사 수연"/>
    <m/>
    <s v="인사노무자문료 -1 X 150,000"/>
  </r>
  <r>
    <s v="2025-03-05"/>
    <x v="57"/>
    <s v="50005"/>
    <s v="대변"/>
    <s v="255"/>
    <s v="부가세예수금"/>
    <x v="3"/>
    <n v="0"/>
    <n v="15000"/>
    <n v="15000"/>
    <s v="주식회사 수연"/>
    <m/>
    <s v="인사노무자문료 1 X 150,000"/>
  </r>
  <r>
    <s v="2025-03-05"/>
    <x v="57"/>
    <s v="50005"/>
    <s v="대변"/>
    <s v="401"/>
    <s v="용역매출"/>
    <x v="4"/>
    <n v="0"/>
    <n v="150000"/>
    <n v="150000"/>
    <s v="주식회사 수연"/>
    <m/>
    <s v="인사노무자문료 1 X 150,000"/>
  </r>
  <r>
    <s v="2025-03-05"/>
    <x v="57"/>
    <s v="50005"/>
    <s v="차변"/>
    <s v="101"/>
    <s v="현금"/>
    <x v="1"/>
    <n v="165000"/>
    <n v="0"/>
    <n v="-165000"/>
    <s v="주식회사 수연"/>
    <m/>
    <s v="인사노무자문료 1 X 150,000"/>
  </r>
  <r>
    <s v="2025-03-05"/>
    <x v="57"/>
    <s v="50006"/>
    <s v="대변"/>
    <s v="255"/>
    <s v="부가세예수금"/>
    <x v="3"/>
    <n v="0"/>
    <n v="10000"/>
    <n v="10000"/>
    <s v="주식회사 주영테크"/>
    <m/>
    <s v="인사노무자문료 1 X 100,000"/>
  </r>
  <r>
    <s v="2025-03-05"/>
    <x v="57"/>
    <s v="50006"/>
    <s v="대변"/>
    <s v="401"/>
    <s v="용역매출"/>
    <x v="4"/>
    <n v="0"/>
    <n v="100000"/>
    <n v="100000"/>
    <s v="주식회사 주영테크"/>
    <m/>
    <s v="인사노무자문료 1 X 100,000"/>
  </r>
  <r>
    <s v="2025-03-05"/>
    <x v="57"/>
    <s v="50006"/>
    <s v="차변"/>
    <s v="101"/>
    <s v="현금"/>
    <x v="1"/>
    <n v="110000"/>
    <n v="0"/>
    <n v="-110000"/>
    <s v="주식회사 주영테크"/>
    <m/>
    <s v="인사노무자문료 1 X 100,000"/>
  </r>
  <r>
    <s v="2025-03-05"/>
    <x v="57"/>
    <s v="50007"/>
    <s v="차변"/>
    <s v="135"/>
    <s v="부가세대급금"/>
    <x v="5"/>
    <n v="618"/>
    <n v="0"/>
    <n v="-618"/>
    <s v="주식회사 365 스테이셔너리"/>
    <m/>
    <m/>
  </r>
  <r>
    <s v="2025-03-05"/>
    <x v="57"/>
    <s v="50007"/>
    <s v="차변"/>
    <s v="830"/>
    <s v="소모품비(판)"/>
    <x v="6"/>
    <n v="6182"/>
    <n v="0"/>
    <n v="-6182"/>
    <s v="주식회사 365 스테이셔너리"/>
    <m/>
    <m/>
  </r>
  <r>
    <s v="2025-03-05"/>
    <x v="57"/>
    <s v="50007"/>
    <s v="대변"/>
    <s v="101"/>
    <s v="현금"/>
    <x v="1"/>
    <n v="0"/>
    <n v="6800"/>
    <n v="6800"/>
    <s v="하나카드(4088)"/>
    <m/>
    <m/>
  </r>
  <r>
    <s v="2025-03-06"/>
    <x v="58"/>
    <s v="00001"/>
    <s v="차변"/>
    <s v="811"/>
    <s v="복리후생비(판)"/>
    <x v="8"/>
    <n v="7000"/>
    <n v="0"/>
    <n v="-7000"/>
    <s v="오라봉국수"/>
    <m/>
    <m/>
  </r>
  <r>
    <s v="2025-03-06"/>
    <x v="58"/>
    <s v="00001"/>
    <s v="대변"/>
    <s v="101"/>
    <s v="현금"/>
    <x v="1"/>
    <n v="0"/>
    <n v="7000"/>
    <n v="7000"/>
    <s v="하나카드(4088)"/>
    <m/>
    <m/>
  </r>
  <r>
    <s v="2025-03-06"/>
    <x v="58"/>
    <s v="00002"/>
    <s v="대변"/>
    <s v="101"/>
    <s v="현금"/>
    <x v="1"/>
    <n v="0"/>
    <n v="70000"/>
    <n v="70000"/>
    <s v="현대카드(4817)"/>
    <m/>
    <m/>
  </r>
  <r>
    <s v="2025-03-06"/>
    <x v="58"/>
    <s v="00002"/>
    <s v="차변"/>
    <s v="811"/>
    <s v="복리후생비(판)"/>
    <x v="8"/>
    <n v="70000"/>
    <n v="0"/>
    <n v="-70000"/>
    <s v="주식회사 창억"/>
    <m/>
    <m/>
  </r>
  <r>
    <s v="2025-03-06"/>
    <x v="58"/>
    <s v="50001"/>
    <s v="대변"/>
    <s v="255"/>
    <s v="부가세예수금"/>
    <x v="3"/>
    <n v="0"/>
    <n v="-10000"/>
    <n v="-10000"/>
    <s v="정원기업"/>
    <m/>
    <s v="인사노무자문료 -1 X 100,000"/>
  </r>
  <r>
    <s v="2025-03-06"/>
    <x v="58"/>
    <s v="50001"/>
    <s v="대변"/>
    <s v="401"/>
    <s v="용역매출"/>
    <x v="4"/>
    <n v="0"/>
    <n v="-100000"/>
    <n v="-100000"/>
    <s v="정원기업"/>
    <m/>
    <s v="인사노무자문료 -1 X 100,000"/>
  </r>
  <r>
    <s v="2025-03-06"/>
    <x v="58"/>
    <s v="50001"/>
    <s v="차변"/>
    <s v="101"/>
    <s v="현금"/>
    <x v="1"/>
    <n v="-110000"/>
    <n v="0"/>
    <n v="110000"/>
    <s v="정원기업"/>
    <m/>
    <s v="인사노무자문료 -1 X 100,000"/>
  </r>
  <r>
    <s v="2025-03-06"/>
    <x v="58"/>
    <s v="50002"/>
    <s v="대변"/>
    <s v="255"/>
    <s v="부가세예수금"/>
    <x v="3"/>
    <n v="0"/>
    <n v="10000"/>
    <n v="10000"/>
    <s v="정원기업"/>
    <m/>
    <s v="인사노무자문료 1 X 100,000"/>
  </r>
  <r>
    <s v="2025-03-06"/>
    <x v="58"/>
    <s v="50002"/>
    <s v="대변"/>
    <s v="401"/>
    <s v="용역매출"/>
    <x v="4"/>
    <n v="0"/>
    <n v="100000"/>
    <n v="100000"/>
    <s v="정원기업"/>
    <m/>
    <s v="인사노무자문료 1 X 100,000"/>
  </r>
  <r>
    <s v="2025-03-06"/>
    <x v="58"/>
    <s v="50002"/>
    <s v="차변"/>
    <s v="101"/>
    <s v="현금"/>
    <x v="1"/>
    <n v="110000"/>
    <n v="0"/>
    <n v="-110000"/>
    <s v="정원기업"/>
    <m/>
    <s v="인사노무자문료 1 X 100,000"/>
  </r>
  <r>
    <s v="2025-03-06"/>
    <x v="58"/>
    <s v="50003"/>
    <s v="대변"/>
    <s v="255"/>
    <s v="부가세예수금"/>
    <x v="3"/>
    <n v="0"/>
    <n v="10000"/>
    <n v="10000"/>
    <s v="정원기업"/>
    <m/>
    <s v="인사노무자문료 1 X 100,000"/>
  </r>
  <r>
    <s v="2025-03-06"/>
    <x v="58"/>
    <s v="50003"/>
    <s v="대변"/>
    <s v="401"/>
    <s v="용역매출"/>
    <x v="4"/>
    <n v="0"/>
    <n v="100000"/>
    <n v="100000"/>
    <s v="정원기업"/>
    <m/>
    <s v="인사노무자문료 1 X 100,000"/>
  </r>
  <r>
    <s v="2025-03-06"/>
    <x v="58"/>
    <s v="50003"/>
    <s v="차변"/>
    <s v="101"/>
    <s v="현금"/>
    <x v="1"/>
    <n v="110000"/>
    <n v="0"/>
    <n v="-110000"/>
    <s v="정원기업"/>
    <m/>
    <s v="인사노무자문료 1 X 100,000"/>
  </r>
  <r>
    <s v="2025-03-07"/>
    <x v="59"/>
    <s v="00001"/>
    <s v="차변"/>
    <s v="813"/>
    <s v="접대비(기업업무추진비)(판)"/>
    <x v="0"/>
    <n v="55500"/>
    <n v="0"/>
    <n v="-55500"/>
    <s v="무두"/>
    <s v="02"/>
    <s v="거래처 접대비(기업업무추진비)/신용카드(개인)"/>
  </r>
  <r>
    <s v="2025-03-07"/>
    <x v="59"/>
    <s v="00001"/>
    <s v="대변"/>
    <s v="101"/>
    <s v="현금"/>
    <x v="1"/>
    <n v="0"/>
    <n v="55500"/>
    <n v="55500"/>
    <s v="국민카드(2005)"/>
    <m/>
    <m/>
  </r>
  <r>
    <s v="2025-03-07"/>
    <x v="59"/>
    <s v="00002"/>
    <s v="대변"/>
    <s v="101"/>
    <s v="현금"/>
    <x v="1"/>
    <n v="0"/>
    <n v="28183"/>
    <n v="28183"/>
    <s v="코카콜라음료 주식회사"/>
    <m/>
    <m/>
  </r>
  <r>
    <s v="2025-03-07"/>
    <x v="59"/>
    <s v="00002"/>
    <s v="차변"/>
    <s v="811"/>
    <s v="복리후생비(판)"/>
    <x v="8"/>
    <n v="28183"/>
    <n v="0"/>
    <n v="-28183"/>
    <s v="코카콜라음료 주식회사"/>
    <m/>
    <m/>
  </r>
  <r>
    <s v="2025-03-07"/>
    <x v="59"/>
    <s v="50001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3-07"/>
    <x v="59"/>
    <s v="50001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3-07"/>
    <x v="59"/>
    <s v="50001"/>
    <s v="대변"/>
    <s v="101"/>
    <s v="현금"/>
    <x v="1"/>
    <n v="0"/>
    <n v="21120"/>
    <n v="21120"/>
    <s v="주식회사 케이티"/>
    <m/>
    <s v="구내인터넷 Standard(100M) (503300019511) 1 X 19,200"/>
  </r>
  <r>
    <s v="2025-03-07"/>
    <x v="59"/>
    <s v="50002"/>
    <s v="차변"/>
    <s v="822"/>
    <s v="차량유지비(판)"/>
    <x v="11"/>
    <n v="5500"/>
    <n v="0"/>
    <n v="-5500"/>
    <s v="현대자동차㈜ 본사"/>
    <m/>
    <s v="제네시스 커넥티드서비스"/>
  </r>
  <r>
    <s v="2025-03-07"/>
    <x v="59"/>
    <s v="50002"/>
    <s v="대변"/>
    <s v="101"/>
    <s v="현금"/>
    <x v="1"/>
    <n v="0"/>
    <n v="5500"/>
    <n v="5500"/>
    <s v="현대자동차㈜ 본사"/>
    <m/>
    <s v="제네시스 커넥티드서비스"/>
  </r>
  <r>
    <s v="2025-03-08"/>
    <x v="60"/>
    <s v="00001"/>
    <s v="차변"/>
    <s v="811"/>
    <s v="복리후생비(판)"/>
    <x v="8"/>
    <n v="11000"/>
    <n v="0"/>
    <n v="-11000"/>
    <s v="미꾸미꾸"/>
    <m/>
    <m/>
  </r>
  <r>
    <s v="2025-03-08"/>
    <x v="60"/>
    <s v="00001"/>
    <s v="대변"/>
    <s v="101"/>
    <s v="현금"/>
    <x v="1"/>
    <n v="0"/>
    <n v="11000"/>
    <n v="11000"/>
    <s v="하나카드(4088)"/>
    <m/>
    <m/>
  </r>
  <r>
    <s v="2025-03-08"/>
    <x v="60"/>
    <s v="00002"/>
    <s v="차변"/>
    <s v="830"/>
    <s v="소모품비(판)"/>
    <x v="6"/>
    <n v="11400"/>
    <n v="0"/>
    <n v="-11400"/>
    <s v="에이플러스마트"/>
    <m/>
    <m/>
  </r>
  <r>
    <s v="2025-03-08"/>
    <x v="60"/>
    <s v="00002"/>
    <s v="대변"/>
    <s v="101"/>
    <s v="현금"/>
    <x v="1"/>
    <n v="0"/>
    <n v="11400"/>
    <n v="11400"/>
    <s v="국민카드(2005)"/>
    <m/>
    <m/>
  </r>
  <r>
    <s v="2025-03-09"/>
    <x v="61"/>
    <s v="00001"/>
    <s v="차변"/>
    <s v="830"/>
    <s v="소모품비(판)"/>
    <x v="6"/>
    <n v="920"/>
    <n v="0"/>
    <n v="-920"/>
    <s v="네이버페이"/>
    <m/>
    <m/>
  </r>
  <r>
    <s v="2025-03-09"/>
    <x v="61"/>
    <s v="00001"/>
    <s v="대변"/>
    <s v="101"/>
    <s v="현금"/>
    <x v="1"/>
    <n v="0"/>
    <n v="920"/>
    <n v="920"/>
    <s v="현대카드(4817)"/>
    <m/>
    <m/>
  </r>
  <r>
    <s v="2025-03-09"/>
    <x v="61"/>
    <s v="00002"/>
    <s v="차변"/>
    <s v="830"/>
    <s v="소모품비(판)"/>
    <x v="6"/>
    <n v="1400"/>
    <n v="0"/>
    <n v="-1400"/>
    <s v="지에스이십오(GS25) 광주문흥점"/>
    <m/>
    <m/>
  </r>
  <r>
    <s v="2025-03-09"/>
    <x v="61"/>
    <s v="00002"/>
    <s v="대변"/>
    <s v="101"/>
    <s v="현금"/>
    <x v="1"/>
    <n v="0"/>
    <n v="1400"/>
    <n v="1400"/>
    <s v="하나카드(4088)"/>
    <m/>
    <m/>
  </r>
  <r>
    <s v="2025-03-09"/>
    <x v="61"/>
    <s v="50001"/>
    <s v="대변"/>
    <s v="101"/>
    <s v="현금"/>
    <x v="1"/>
    <n v="0"/>
    <n v="7000"/>
    <n v="7000"/>
    <s v="국민카드(2005)"/>
    <m/>
    <m/>
  </r>
  <r>
    <s v="2025-03-09"/>
    <x v="61"/>
    <s v="50001"/>
    <s v="차변"/>
    <s v="830"/>
    <s v="소모품비(판)"/>
    <x v="6"/>
    <n v="6364"/>
    <n v="0"/>
    <n v="-6364"/>
    <s v="다이소아성산업"/>
    <s v="  "/>
    <m/>
  </r>
  <r>
    <s v="2025-03-09"/>
    <x v="61"/>
    <s v="50001"/>
    <s v="차변"/>
    <s v="135"/>
    <s v="부가세대급금"/>
    <x v="5"/>
    <n v="636"/>
    <n v="0"/>
    <n v="-636"/>
    <s v="다이소아성산업"/>
    <s v="  "/>
    <m/>
  </r>
  <r>
    <s v="2025-03-10"/>
    <x v="62"/>
    <s v="00001"/>
    <s v="차변"/>
    <s v="254"/>
    <s v="예수금"/>
    <x v="12"/>
    <n v="68060"/>
    <n v="0"/>
    <n v="-68060"/>
    <s v="건강보험공단"/>
    <s v="  "/>
    <s v="2502건강"/>
  </r>
  <r>
    <s v="2025-03-10"/>
    <x v="62"/>
    <s v="00001"/>
    <s v="대변"/>
    <s v="101"/>
    <s v="현금"/>
    <x v="1"/>
    <n v="0"/>
    <n v="723720"/>
    <n v="723720"/>
    <s v="건강보험공단"/>
    <s v="  "/>
    <s v="2502건강"/>
  </r>
  <r>
    <s v="2025-03-10"/>
    <x v="62"/>
    <s v="00001"/>
    <s v="차변"/>
    <s v="821"/>
    <s v="보험료(판)"/>
    <x v="13"/>
    <n v="655660"/>
    <n v="0"/>
    <n v="-655660"/>
    <s v="건강보험공단"/>
    <s v="  "/>
    <s v="2502건강"/>
  </r>
  <r>
    <s v="2025-03-10"/>
    <x v="62"/>
    <s v="00002"/>
    <s v="차변"/>
    <s v="254"/>
    <s v="예수금"/>
    <x v="12"/>
    <n v="149400"/>
    <n v="0"/>
    <n v="-149400"/>
    <s v="국민연금공단"/>
    <s v="  "/>
    <s v="2502연금"/>
  </r>
  <r>
    <s v="2025-03-10"/>
    <x v="62"/>
    <s v="00002"/>
    <s v="대변"/>
    <s v="101"/>
    <s v="현금"/>
    <x v="1"/>
    <n v="0"/>
    <n v="298800"/>
    <n v="298800"/>
    <s v="국민연금공단"/>
    <s v="  "/>
    <s v="2502연금"/>
  </r>
  <r>
    <s v="2025-03-10"/>
    <x v="62"/>
    <s v="00002"/>
    <s v="차변"/>
    <s v="817"/>
    <s v="세금과공과금(판)"/>
    <x v="14"/>
    <n v="149400"/>
    <n v="0"/>
    <n v="-149400"/>
    <s v="국민연금공단"/>
    <s v="  "/>
    <s v="2502연금"/>
  </r>
  <r>
    <s v="2025-03-10"/>
    <x v="62"/>
    <s v="00003"/>
    <s v="차변"/>
    <s v="254"/>
    <s v="예수금"/>
    <x v="12"/>
    <n v="6300"/>
    <n v="0"/>
    <n v="-6300"/>
    <s v="근로복지공단"/>
    <s v="  "/>
    <s v="2502고용"/>
  </r>
  <r>
    <s v="2025-03-10"/>
    <x v="62"/>
    <s v="00003"/>
    <s v="대변"/>
    <s v="101"/>
    <s v="현금"/>
    <x v="1"/>
    <n v="0"/>
    <n v="14350"/>
    <n v="14350"/>
    <s v="근로복지공단"/>
    <s v="  "/>
    <s v="2502고용"/>
  </r>
  <r>
    <s v="2025-03-10"/>
    <x v="62"/>
    <s v="00003"/>
    <s v="차변"/>
    <s v="821"/>
    <s v="보험료(판)"/>
    <x v="13"/>
    <n v="8050"/>
    <n v="0"/>
    <n v="-8050"/>
    <s v="근로복지공단"/>
    <s v="  "/>
    <s v="2502고용"/>
  </r>
  <r>
    <s v="2025-03-10"/>
    <x v="62"/>
    <s v="00004"/>
    <s v="차변"/>
    <s v="811"/>
    <s v="복리후생비(판)"/>
    <x v="8"/>
    <n v="3500"/>
    <n v="0"/>
    <n v="-3500"/>
    <s v="오라봉국수"/>
    <m/>
    <m/>
  </r>
  <r>
    <s v="2025-03-10"/>
    <x v="62"/>
    <s v="00004"/>
    <s v="대변"/>
    <s v="101"/>
    <s v="현금"/>
    <x v="1"/>
    <n v="0"/>
    <n v="3500"/>
    <n v="3500"/>
    <s v="하나카드(4088)"/>
    <m/>
    <m/>
  </r>
  <r>
    <s v="2025-03-10"/>
    <x v="62"/>
    <s v="00005"/>
    <s v="차변"/>
    <s v="830"/>
    <s v="소모품비(판)"/>
    <x v="6"/>
    <n v="9900"/>
    <n v="0"/>
    <n v="-9900"/>
    <s v="네이버페이"/>
    <m/>
    <m/>
  </r>
  <r>
    <s v="2025-03-10"/>
    <x v="62"/>
    <s v="00005"/>
    <s v="대변"/>
    <s v="101"/>
    <s v="현금"/>
    <x v="1"/>
    <n v="0"/>
    <n v="9900"/>
    <n v="9900"/>
    <s v="현대카드(4817)"/>
    <m/>
    <m/>
  </r>
  <r>
    <s v="2025-03-10"/>
    <x v="62"/>
    <s v="00006"/>
    <s v="대변"/>
    <s v="101"/>
    <s v="현금"/>
    <x v="1"/>
    <n v="0"/>
    <n v="600"/>
    <n v="600"/>
    <s v="하나카드(4088)"/>
    <m/>
    <m/>
  </r>
  <r>
    <s v="2025-03-10"/>
    <x v="62"/>
    <s v="00006"/>
    <s v="차변"/>
    <s v="830"/>
    <s v="소모품비(판)"/>
    <x v="6"/>
    <n v="600"/>
    <n v="0"/>
    <n v="-600"/>
    <s v="오피스디포광주첨단점"/>
    <m/>
    <m/>
  </r>
  <r>
    <s v="2025-03-10"/>
    <x v="62"/>
    <s v="00007"/>
    <s v="차변"/>
    <s v="822"/>
    <s v="차량유지비(판)"/>
    <x v="11"/>
    <n v="50000"/>
    <n v="0"/>
    <n v="-50000"/>
    <s v="（유）금성물류 광주지점"/>
    <m/>
    <m/>
  </r>
  <r>
    <s v="2025-03-10"/>
    <x v="62"/>
    <s v="00007"/>
    <s v="대변"/>
    <s v="101"/>
    <s v="현금"/>
    <x v="1"/>
    <n v="0"/>
    <n v="50000"/>
    <n v="50000"/>
    <s v="현대카드(4817)"/>
    <m/>
    <m/>
  </r>
  <r>
    <s v="2025-03-10"/>
    <x v="62"/>
    <s v="00008"/>
    <s v="차변"/>
    <s v="814"/>
    <s v="통신비(판)"/>
    <x v="10"/>
    <n v="5500"/>
    <n v="0"/>
    <n v="-5500"/>
    <s v="주식회사 케이티"/>
    <m/>
    <m/>
  </r>
  <r>
    <s v="2025-03-10"/>
    <x v="62"/>
    <s v="00008"/>
    <s v="대변"/>
    <s v="101"/>
    <s v="현금"/>
    <x v="1"/>
    <n v="0"/>
    <n v="5500"/>
    <n v="5500"/>
    <s v="하나카드(4088)"/>
    <m/>
    <m/>
  </r>
  <r>
    <s v="2025-03-10"/>
    <x v="62"/>
    <s v="50001"/>
    <s v="대변"/>
    <s v="255"/>
    <s v="부가세예수금"/>
    <x v="3"/>
    <n v="0"/>
    <n v="10000"/>
    <n v="10000"/>
    <s v="현명산업주식회사"/>
    <m/>
    <s v="인사노무자문료 1 X 100,000"/>
  </r>
  <r>
    <s v="2025-03-10"/>
    <x v="62"/>
    <s v="50001"/>
    <s v="대변"/>
    <s v="401"/>
    <s v="용역매출"/>
    <x v="4"/>
    <n v="0"/>
    <n v="100000"/>
    <n v="100000"/>
    <s v="현명산업주식회사"/>
    <m/>
    <s v="인사노무자문료 1 X 100,000"/>
  </r>
  <r>
    <s v="2025-03-10"/>
    <x v="62"/>
    <s v="50001"/>
    <s v="차변"/>
    <s v="101"/>
    <s v="현금"/>
    <x v="1"/>
    <n v="110000"/>
    <n v="0"/>
    <n v="-110000"/>
    <s v="현명산업주식회사"/>
    <m/>
    <s v="인사노무자문료 1 X 100,000"/>
  </r>
  <r>
    <s v="2025-03-10"/>
    <x v="62"/>
    <s v="50002"/>
    <s v="차변"/>
    <s v="135"/>
    <s v="부가세대급금"/>
    <x v="5"/>
    <n v="5000"/>
    <n v="0"/>
    <n v="-5000"/>
    <s v="롯데쇼핑(주)롯데아울렛광주수완점 오가"/>
    <m/>
    <m/>
  </r>
  <r>
    <s v="2025-03-10"/>
    <x v="62"/>
    <s v="50002"/>
    <s v="차변"/>
    <s v="830"/>
    <s v="소모품비(판)"/>
    <x v="6"/>
    <n v="50000"/>
    <n v="0"/>
    <n v="-50000"/>
    <s v="롯데쇼핑(주)롯데아울렛광주수완점 오가"/>
    <m/>
    <m/>
  </r>
  <r>
    <s v="2025-03-10"/>
    <x v="62"/>
    <s v="50002"/>
    <s v="대변"/>
    <s v="101"/>
    <s v="현금"/>
    <x v="1"/>
    <n v="0"/>
    <n v="55000"/>
    <n v="55000"/>
    <s v="현대카드(4817)"/>
    <m/>
    <m/>
  </r>
  <r>
    <s v="2025-03-11"/>
    <x v="63"/>
    <s v="00001"/>
    <s v="차변"/>
    <s v="811"/>
    <s v="복리후생비(판)"/>
    <x v="8"/>
    <n v="12000"/>
    <n v="0"/>
    <n v="-12000"/>
    <s v="오라봉국수"/>
    <m/>
    <m/>
  </r>
  <r>
    <s v="2025-03-11"/>
    <x v="63"/>
    <s v="00001"/>
    <s v="대변"/>
    <s v="101"/>
    <s v="현금"/>
    <x v="1"/>
    <n v="0"/>
    <n v="12000"/>
    <n v="12000"/>
    <s v="하나카드(4088)"/>
    <m/>
    <m/>
  </r>
  <r>
    <s v="2025-03-11"/>
    <x v="63"/>
    <s v="00002"/>
    <s v="차변"/>
    <s v="811"/>
    <s v="복리후생비(판)"/>
    <x v="8"/>
    <n v="22000"/>
    <n v="0"/>
    <n v="-22000"/>
    <s v="미꾸미꾸"/>
    <m/>
    <m/>
  </r>
  <r>
    <s v="2025-03-11"/>
    <x v="63"/>
    <s v="00002"/>
    <s v="대변"/>
    <s v="101"/>
    <s v="현금"/>
    <x v="1"/>
    <n v="0"/>
    <n v="22000"/>
    <n v="22000"/>
    <s v="하나카드(4088)"/>
    <m/>
    <m/>
  </r>
  <r>
    <s v="2025-03-11"/>
    <x v="63"/>
    <s v="00003"/>
    <s v="차변"/>
    <s v="812"/>
    <s v="여비교통비(판)"/>
    <x v="9"/>
    <n v="300"/>
    <n v="0"/>
    <n v="-300"/>
    <s v="(주)이동의즐거움"/>
    <m/>
    <m/>
  </r>
  <r>
    <s v="2025-03-11"/>
    <x v="63"/>
    <s v="00003"/>
    <s v="대변"/>
    <s v="101"/>
    <s v="현금"/>
    <x v="1"/>
    <n v="0"/>
    <n v="300"/>
    <n v="300"/>
    <s v="현대카드(4817)"/>
    <m/>
    <m/>
  </r>
  <r>
    <s v="2025-03-12"/>
    <x v="64"/>
    <s v="00001"/>
    <s v="대변"/>
    <s v="101"/>
    <s v="현금"/>
    <x v="1"/>
    <n v="0"/>
    <n v="7800"/>
    <n v="7800"/>
    <s v="현대카드(4817)"/>
    <m/>
    <m/>
  </r>
  <r>
    <s v="2025-03-12"/>
    <x v="64"/>
    <s v="00001"/>
    <s v="차변"/>
    <s v="811"/>
    <s v="복리후생비(판)"/>
    <x v="8"/>
    <n v="7800"/>
    <n v="0"/>
    <n v="-7800"/>
    <s v="아이스홀릭 첨단점"/>
    <m/>
    <m/>
  </r>
  <r>
    <s v="2025-03-12"/>
    <x v="64"/>
    <s v="00002"/>
    <s v="차변"/>
    <s v="811"/>
    <s v="복리후생비(판)"/>
    <x v="8"/>
    <n v="3500"/>
    <n v="0"/>
    <n v="-3500"/>
    <s v="오라봉국수"/>
    <m/>
    <m/>
  </r>
  <r>
    <s v="2025-03-12"/>
    <x v="64"/>
    <s v="00002"/>
    <s v="대변"/>
    <s v="101"/>
    <s v="현금"/>
    <x v="1"/>
    <n v="0"/>
    <n v="3500"/>
    <n v="3500"/>
    <s v="하나카드(4088)"/>
    <m/>
    <m/>
  </r>
  <r>
    <s v="2025-03-12"/>
    <x v="64"/>
    <s v="00003"/>
    <s v="차변"/>
    <s v="830"/>
    <s v="소모품비(판)"/>
    <x v="6"/>
    <n v="2150"/>
    <n v="0"/>
    <n v="-2150"/>
    <s v="세븐일레븐 광주와이어스파크점"/>
    <m/>
    <m/>
  </r>
  <r>
    <s v="2025-03-12"/>
    <x v="64"/>
    <s v="00003"/>
    <s v="대변"/>
    <s v="101"/>
    <s v="현금"/>
    <x v="1"/>
    <n v="0"/>
    <n v="2150"/>
    <n v="2150"/>
    <s v="하나카드(4088)"/>
    <m/>
    <m/>
  </r>
  <r>
    <s v="2025-03-12"/>
    <x v="64"/>
    <s v="00004"/>
    <s v="차변"/>
    <s v="812"/>
    <s v="여비교통비(판)"/>
    <x v="9"/>
    <n v="6500"/>
    <n v="0"/>
    <n v="-6500"/>
    <s v="샌드풀"/>
    <m/>
    <m/>
  </r>
  <r>
    <s v="2025-03-12"/>
    <x v="64"/>
    <s v="00004"/>
    <s v="대변"/>
    <s v="101"/>
    <s v="현금"/>
    <x v="1"/>
    <n v="0"/>
    <n v="6500"/>
    <n v="6500"/>
    <s v="하나카드(4088)"/>
    <m/>
    <m/>
  </r>
  <r>
    <s v="2025-03-12"/>
    <x v="64"/>
    <s v="00005"/>
    <s v="차변"/>
    <s v="831"/>
    <s v="지급수수료(판)"/>
    <x v="7"/>
    <n v="1990"/>
    <n v="0"/>
    <n v="-1990"/>
    <s v="나이스페이먼츠 주식회사 (NICE Payments Co"/>
    <m/>
    <m/>
  </r>
  <r>
    <s v="2025-03-12"/>
    <x v="64"/>
    <s v="00005"/>
    <s v="대변"/>
    <s v="101"/>
    <s v="현금"/>
    <x v="1"/>
    <n v="0"/>
    <n v="1990"/>
    <n v="1990"/>
    <s v="하나카드(4088)"/>
    <m/>
    <m/>
  </r>
  <r>
    <s v="2025-03-12"/>
    <x v="64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3-12"/>
    <x v="64"/>
    <s v="50001"/>
    <s v="대변"/>
    <s v="401"/>
    <s v="용역매출"/>
    <x v="4"/>
    <n v="0"/>
    <n v="150000"/>
    <n v="150000"/>
    <s v="정다운메디컬센터"/>
    <m/>
    <s v="인사노무자문료 1 X 150,000"/>
  </r>
  <r>
    <s v="2025-03-12"/>
    <x v="64"/>
    <s v="50001"/>
    <s v="차변"/>
    <s v="101"/>
    <s v="현금"/>
    <x v="1"/>
    <n v="165000"/>
    <n v="0"/>
    <n v="-165000"/>
    <s v="정다운메디컬센터"/>
    <m/>
    <s v="인사노무자문료 1 X 150,000"/>
  </r>
  <r>
    <s v="2025-03-13"/>
    <x v="65"/>
    <s v="00001"/>
    <s v="차변"/>
    <s v="811"/>
    <s v="복리후생비(판)"/>
    <x v="8"/>
    <n v="3500"/>
    <n v="0"/>
    <n v="-3500"/>
    <s v="오라봉국수"/>
    <m/>
    <m/>
  </r>
  <r>
    <s v="2025-03-13"/>
    <x v="65"/>
    <s v="00001"/>
    <s v="대변"/>
    <s v="101"/>
    <s v="현금"/>
    <x v="1"/>
    <n v="0"/>
    <n v="3500"/>
    <n v="3500"/>
    <s v="하나카드(4088)"/>
    <m/>
    <m/>
  </r>
  <r>
    <s v="2025-03-13"/>
    <x v="65"/>
    <s v="00002"/>
    <s v="차변"/>
    <s v="812"/>
    <s v="여비교통비(판)"/>
    <x v="9"/>
    <n v="7300"/>
    <n v="0"/>
    <n v="-7300"/>
    <s v="샌드풀"/>
    <m/>
    <m/>
  </r>
  <r>
    <s v="2025-03-13"/>
    <x v="65"/>
    <s v="00002"/>
    <s v="대변"/>
    <s v="101"/>
    <s v="현금"/>
    <x v="1"/>
    <n v="0"/>
    <n v="7300"/>
    <n v="7300"/>
    <s v="하나카드(4088)"/>
    <m/>
    <m/>
  </r>
  <r>
    <s v="2025-03-13"/>
    <x v="65"/>
    <s v="50001"/>
    <s v="대변"/>
    <s v="255"/>
    <s v="부가세예수금"/>
    <x v="3"/>
    <n v="0"/>
    <n v="50000"/>
    <n v="50000"/>
    <s v="미락식당"/>
    <m/>
    <s v="인사노무자문료 1 X 500,000"/>
  </r>
  <r>
    <s v="2025-03-13"/>
    <x v="65"/>
    <s v="50001"/>
    <s v="대변"/>
    <s v="401"/>
    <s v="용역매출"/>
    <x v="4"/>
    <n v="0"/>
    <n v="500000"/>
    <n v="500000"/>
    <s v="미락식당"/>
    <m/>
    <s v="인사노무자문료 1 X 500,000"/>
  </r>
  <r>
    <s v="2025-03-13"/>
    <x v="65"/>
    <s v="50001"/>
    <s v="차변"/>
    <s v="101"/>
    <s v="현금"/>
    <x v="1"/>
    <n v="550000"/>
    <n v="0"/>
    <n v="-550000"/>
    <s v="미락식당"/>
    <m/>
    <s v="인사노무자문료 1 X 500,000"/>
  </r>
  <r>
    <s v="2025-03-13"/>
    <x v="65"/>
    <s v="50002"/>
    <s v="대변"/>
    <s v="255"/>
    <s v="부가세예수금"/>
    <x v="3"/>
    <n v="0"/>
    <n v="100000"/>
    <n v="100000"/>
    <s v="(주)에이버츄얼"/>
    <m/>
    <s v="인사노무자문료 1 X 1,000,000"/>
  </r>
  <r>
    <s v="2025-03-13"/>
    <x v="65"/>
    <s v="50002"/>
    <s v="대변"/>
    <s v="401"/>
    <s v="용역매출"/>
    <x v="4"/>
    <n v="0"/>
    <n v="1000000"/>
    <n v="1000000"/>
    <s v="(주)에이버츄얼"/>
    <m/>
    <s v="인사노무자문료 1 X 1,000,000"/>
  </r>
  <r>
    <s v="2025-03-13"/>
    <x v="65"/>
    <s v="50002"/>
    <s v="차변"/>
    <s v="101"/>
    <s v="현금"/>
    <x v="1"/>
    <n v="1100000"/>
    <n v="0"/>
    <n v="-1100000"/>
    <s v="(주)에이버츄얼"/>
    <m/>
    <s v="인사노무자문료 1 X 1,000,000"/>
  </r>
  <r>
    <s v="2025-03-14"/>
    <x v="66"/>
    <s v="00001"/>
    <s v="차변"/>
    <s v="811"/>
    <s v="복리후생비(판)"/>
    <x v="8"/>
    <n v="3500"/>
    <n v="0"/>
    <n v="-3500"/>
    <s v="오라봉국수"/>
    <m/>
    <m/>
  </r>
  <r>
    <s v="2025-03-14"/>
    <x v="66"/>
    <s v="00001"/>
    <s v="대변"/>
    <s v="101"/>
    <s v="현금"/>
    <x v="1"/>
    <n v="0"/>
    <n v="3500"/>
    <n v="3500"/>
    <s v="하나카드(4088)"/>
    <m/>
    <m/>
  </r>
  <r>
    <s v="2025-03-14"/>
    <x v="66"/>
    <s v="00002"/>
    <s v="차변"/>
    <s v="830"/>
    <s v="소모품비(판)"/>
    <x v="6"/>
    <n v="4000"/>
    <n v="0"/>
    <n v="-4000"/>
    <s v="세븐일레븐 광주와이어스파크점"/>
    <m/>
    <m/>
  </r>
  <r>
    <s v="2025-03-14"/>
    <x v="66"/>
    <s v="00002"/>
    <s v="대변"/>
    <s v="101"/>
    <s v="현금"/>
    <x v="1"/>
    <n v="0"/>
    <n v="4000"/>
    <n v="4000"/>
    <s v="하나카드(4088)"/>
    <m/>
    <m/>
  </r>
  <r>
    <s v="2025-03-14"/>
    <x v="66"/>
    <s v="00003"/>
    <s v="차변"/>
    <s v="812"/>
    <s v="여비교통비(판)"/>
    <x v="9"/>
    <n v="1800"/>
    <n v="0"/>
    <n v="-1800"/>
    <s v="컴포즈커피 광주하남어등점"/>
    <m/>
    <m/>
  </r>
  <r>
    <s v="2025-03-14"/>
    <x v="66"/>
    <s v="00003"/>
    <s v="대변"/>
    <s v="101"/>
    <s v="현금"/>
    <x v="1"/>
    <n v="0"/>
    <n v="1800"/>
    <n v="1800"/>
    <s v="하나카드(4088)"/>
    <m/>
    <m/>
  </r>
  <r>
    <s v="2025-03-14"/>
    <x v="66"/>
    <s v="00004"/>
    <s v="차변"/>
    <s v="830"/>
    <s v="소모품비(판)"/>
    <x v="6"/>
    <n v="15600"/>
    <n v="0"/>
    <n v="-15600"/>
    <s v="별제이(BYULJAY)"/>
    <m/>
    <m/>
  </r>
  <r>
    <s v="2025-03-14"/>
    <x v="66"/>
    <s v="00004"/>
    <s v="대변"/>
    <s v="101"/>
    <s v="현금"/>
    <x v="1"/>
    <n v="0"/>
    <n v="15600"/>
    <n v="15600"/>
    <s v="별제이(BYULJAY)"/>
    <m/>
    <m/>
  </r>
  <r>
    <s v="2025-03-14"/>
    <x v="66"/>
    <s v="00005"/>
    <s v="차변"/>
    <s v="830"/>
    <s v="소모품비(판)"/>
    <x v="6"/>
    <n v="3000"/>
    <n v="0"/>
    <n v="-3000"/>
    <s v="별제이(BYULJAY)"/>
    <m/>
    <m/>
  </r>
  <r>
    <s v="2025-03-14"/>
    <x v="66"/>
    <s v="00005"/>
    <s v="대변"/>
    <s v="101"/>
    <s v="현금"/>
    <x v="1"/>
    <n v="0"/>
    <n v="3000"/>
    <n v="3000"/>
    <s v="별제이(BYULJAY)"/>
    <m/>
    <m/>
  </r>
  <r>
    <s v="2025-03-15"/>
    <x v="67"/>
    <s v="00001"/>
    <s v="차변"/>
    <s v="811"/>
    <s v="복리후생비(판)"/>
    <x v="8"/>
    <n v="21000"/>
    <n v="0"/>
    <n v="-21000"/>
    <s v="히로짬뽕"/>
    <m/>
    <m/>
  </r>
  <r>
    <s v="2025-03-15"/>
    <x v="67"/>
    <s v="00001"/>
    <s v="대변"/>
    <s v="101"/>
    <s v="현금"/>
    <x v="1"/>
    <n v="0"/>
    <n v="21000"/>
    <n v="21000"/>
    <s v="현대카드(4817)"/>
    <m/>
    <m/>
  </r>
  <r>
    <s v="2025-03-15"/>
    <x v="67"/>
    <s v="00002"/>
    <s v="차변"/>
    <s v="830"/>
    <s v="소모품비(판)"/>
    <x v="6"/>
    <n v="15200"/>
    <n v="0"/>
    <n v="-15200"/>
    <s v="햇살마트"/>
    <m/>
    <m/>
  </r>
  <r>
    <s v="2025-03-15"/>
    <x v="67"/>
    <s v="00002"/>
    <s v="대변"/>
    <s v="101"/>
    <s v="현금"/>
    <x v="1"/>
    <n v="0"/>
    <n v="15200"/>
    <n v="15200"/>
    <s v="국민카드(2005)"/>
    <m/>
    <m/>
  </r>
  <r>
    <s v="2025-03-15"/>
    <x v="67"/>
    <s v="00003"/>
    <s v="차변"/>
    <s v="812"/>
    <s v="여비교통비(판)"/>
    <x v="9"/>
    <n v="4000"/>
    <n v="0"/>
    <n v="-4000"/>
    <s v="메가MGC커피광주수완아울렛점"/>
    <m/>
    <m/>
  </r>
  <r>
    <s v="2025-03-15"/>
    <x v="67"/>
    <s v="00003"/>
    <s v="대변"/>
    <s v="101"/>
    <s v="현금"/>
    <x v="1"/>
    <n v="0"/>
    <n v="4000"/>
    <n v="4000"/>
    <s v="현대카드(4817)"/>
    <m/>
    <m/>
  </r>
  <r>
    <s v="2025-03-15"/>
    <x v="67"/>
    <s v="00004"/>
    <s v="대변"/>
    <s v="101"/>
    <s v="현금"/>
    <x v="1"/>
    <n v="0"/>
    <n v="1000"/>
    <n v="1000"/>
    <s v="하나카드(4088)"/>
    <m/>
    <m/>
  </r>
  <r>
    <s v="2025-03-15"/>
    <x v="67"/>
    <s v="00004"/>
    <s v="차변"/>
    <s v="812"/>
    <s v="여비교통비(판)"/>
    <x v="9"/>
    <n v="1000"/>
    <n v="0"/>
    <n v="-1000"/>
    <s v="광주비아농업협동조합"/>
    <m/>
    <m/>
  </r>
  <r>
    <s v="2025-03-15"/>
    <x v="67"/>
    <s v="00005"/>
    <s v="차변"/>
    <s v="812"/>
    <s v="여비교통비(판)"/>
    <x v="9"/>
    <n v="2100"/>
    <n v="0"/>
    <n v="-2100"/>
    <s v="지에스(GS)25 수완아울렛점"/>
    <m/>
    <m/>
  </r>
  <r>
    <s v="2025-03-15"/>
    <x v="67"/>
    <s v="00005"/>
    <s v="대변"/>
    <s v="101"/>
    <s v="현금"/>
    <x v="1"/>
    <n v="0"/>
    <n v="2100"/>
    <n v="2100"/>
    <s v="현대카드(4817)"/>
    <m/>
    <m/>
  </r>
  <r>
    <s v="2025-03-15"/>
    <x v="67"/>
    <s v="50001"/>
    <s v="대변"/>
    <s v="255"/>
    <s v="부가세예수금"/>
    <x v="3"/>
    <n v="0"/>
    <n v="20000"/>
    <n v="20000"/>
    <s v="미곡종합포장(주)"/>
    <m/>
    <s v="인사노무자문료 1 X 200,000"/>
  </r>
  <r>
    <s v="2025-03-15"/>
    <x v="67"/>
    <s v="50001"/>
    <s v="대변"/>
    <s v="401"/>
    <s v="용역매출"/>
    <x v="4"/>
    <n v="0"/>
    <n v="200000"/>
    <n v="200000"/>
    <s v="미곡종합포장(주)"/>
    <m/>
    <s v="인사노무자문료 1 X 200,000"/>
  </r>
  <r>
    <s v="2025-03-15"/>
    <x v="67"/>
    <s v="50001"/>
    <s v="차변"/>
    <s v="101"/>
    <s v="현금"/>
    <x v="1"/>
    <n v="220000"/>
    <n v="0"/>
    <n v="-220000"/>
    <s v="미곡종합포장(주)"/>
    <m/>
    <s v="인사노무자문료 1 X 200,000"/>
  </r>
  <r>
    <s v="2025-03-15"/>
    <x v="67"/>
    <s v="50002"/>
    <s v="대변"/>
    <s v="255"/>
    <s v="부가세예수금"/>
    <x v="3"/>
    <n v="0"/>
    <n v="15000"/>
    <n v="15000"/>
    <s v="방방곡곡플라워"/>
    <m/>
    <s v="인사노무자문료 1 X 150,000"/>
  </r>
  <r>
    <s v="2025-03-15"/>
    <x v="67"/>
    <s v="50002"/>
    <s v="대변"/>
    <s v="401"/>
    <s v="용역매출"/>
    <x v="4"/>
    <n v="0"/>
    <n v="150000"/>
    <n v="150000"/>
    <s v="방방곡곡플라워"/>
    <m/>
    <s v="인사노무자문료 1 X 150,000"/>
  </r>
  <r>
    <s v="2025-03-15"/>
    <x v="67"/>
    <s v="50002"/>
    <s v="차변"/>
    <s v="101"/>
    <s v="현금"/>
    <x v="1"/>
    <n v="165000"/>
    <n v="0"/>
    <n v="-165000"/>
    <s v="방방곡곡플라워"/>
    <m/>
    <s v="인사노무자문료 1 X 150,000"/>
  </r>
  <r>
    <s v="2025-03-15"/>
    <x v="67"/>
    <s v="50003"/>
    <s v="대변"/>
    <s v="255"/>
    <s v="부가세예수금"/>
    <x v="3"/>
    <n v="0"/>
    <n v="10000"/>
    <n v="10000"/>
    <s v="주식회사 한솔무역"/>
    <m/>
    <s v="인사노무자문료 1 X 100,000"/>
  </r>
  <r>
    <s v="2025-03-15"/>
    <x v="67"/>
    <s v="50003"/>
    <s v="대변"/>
    <s v="401"/>
    <s v="용역매출"/>
    <x v="4"/>
    <n v="0"/>
    <n v="100000"/>
    <n v="100000"/>
    <s v="주식회사 한솔무역"/>
    <m/>
    <s v="인사노무자문료 1 X 100,000"/>
  </r>
  <r>
    <s v="2025-03-15"/>
    <x v="67"/>
    <s v="50003"/>
    <s v="차변"/>
    <s v="101"/>
    <s v="현금"/>
    <x v="1"/>
    <n v="110000"/>
    <n v="0"/>
    <n v="-110000"/>
    <s v="주식회사 한솔무역"/>
    <m/>
    <s v="인사노무자문료 1 X 100,000"/>
  </r>
  <r>
    <s v="2025-03-15"/>
    <x v="67"/>
    <s v="50004"/>
    <s v="대변"/>
    <s v="255"/>
    <s v="부가세예수금"/>
    <x v="3"/>
    <n v="0"/>
    <n v="12000"/>
    <n v="12000"/>
    <s v="(유)광주가구산업"/>
    <m/>
    <s v="인사노무자문료 1 X 120,000"/>
  </r>
  <r>
    <s v="2025-03-15"/>
    <x v="67"/>
    <s v="50004"/>
    <s v="대변"/>
    <s v="401"/>
    <s v="용역매출"/>
    <x v="4"/>
    <n v="0"/>
    <n v="120000"/>
    <n v="120000"/>
    <s v="(유)광주가구산업"/>
    <m/>
    <s v="인사노무자문료 1 X 120,000"/>
  </r>
  <r>
    <s v="2025-03-15"/>
    <x v="67"/>
    <s v="50004"/>
    <s v="차변"/>
    <s v="101"/>
    <s v="현금"/>
    <x v="1"/>
    <n v="132000"/>
    <n v="0"/>
    <n v="-132000"/>
    <s v="(유)광주가구산업"/>
    <m/>
    <s v="인사노무자문료 1 X 120,000"/>
  </r>
  <r>
    <s v="2025-03-15"/>
    <x v="67"/>
    <s v="50005"/>
    <s v="대변"/>
    <s v="255"/>
    <s v="부가세예수금"/>
    <x v="3"/>
    <n v="0"/>
    <n v="7000"/>
    <n v="7000"/>
    <s v="동지애드"/>
    <m/>
    <s v="인사노무자문료 1 X 70,000"/>
  </r>
  <r>
    <s v="2025-03-15"/>
    <x v="67"/>
    <s v="50005"/>
    <s v="대변"/>
    <s v="401"/>
    <s v="용역매출"/>
    <x v="4"/>
    <n v="0"/>
    <n v="70000"/>
    <n v="70000"/>
    <s v="동지애드"/>
    <m/>
    <s v="인사노무자문료 1 X 70,000"/>
  </r>
  <r>
    <s v="2025-03-15"/>
    <x v="67"/>
    <s v="50005"/>
    <s v="차변"/>
    <s v="101"/>
    <s v="현금"/>
    <x v="1"/>
    <n v="77000"/>
    <n v="0"/>
    <n v="-77000"/>
    <s v="동지애드"/>
    <m/>
    <s v="인사노무자문료 1 X 70,000"/>
  </r>
  <r>
    <s v="2025-03-15"/>
    <x v="67"/>
    <s v="50006"/>
    <s v="대변"/>
    <s v="255"/>
    <s v="부가세예수금"/>
    <x v="3"/>
    <n v="0"/>
    <n v="10000"/>
    <n v="10000"/>
    <s v="주식회사 바우만테크"/>
    <m/>
    <s v="인사노무자문료 1 X 100,000"/>
  </r>
  <r>
    <s v="2025-03-15"/>
    <x v="67"/>
    <s v="50006"/>
    <s v="대변"/>
    <s v="401"/>
    <s v="용역매출"/>
    <x v="4"/>
    <n v="0"/>
    <n v="100000"/>
    <n v="100000"/>
    <s v="주식회사 바우만테크"/>
    <m/>
    <s v="인사노무자문료 1 X 100,000"/>
  </r>
  <r>
    <s v="2025-03-15"/>
    <x v="67"/>
    <s v="50006"/>
    <s v="차변"/>
    <s v="101"/>
    <s v="현금"/>
    <x v="1"/>
    <n v="110000"/>
    <n v="0"/>
    <n v="-110000"/>
    <s v="주식회사 바우만테크"/>
    <m/>
    <s v="인사노무자문료 1 X 100,000"/>
  </r>
  <r>
    <s v="2025-03-15"/>
    <x v="67"/>
    <s v="50007"/>
    <s v="대변"/>
    <s v="255"/>
    <s v="부가세예수금"/>
    <x v="3"/>
    <n v="0"/>
    <n v="10000"/>
    <n v="10000"/>
    <s v="(주)에이스미트"/>
    <m/>
    <s v="인사노무자문료 1 X 100,000"/>
  </r>
  <r>
    <s v="2025-03-15"/>
    <x v="67"/>
    <s v="50007"/>
    <s v="대변"/>
    <s v="401"/>
    <s v="용역매출"/>
    <x v="4"/>
    <n v="0"/>
    <n v="100000"/>
    <n v="100000"/>
    <s v="(주)에이스미트"/>
    <m/>
    <s v="인사노무자문료 1 X 100,000"/>
  </r>
  <r>
    <s v="2025-03-15"/>
    <x v="67"/>
    <s v="50007"/>
    <s v="차변"/>
    <s v="101"/>
    <s v="현금"/>
    <x v="1"/>
    <n v="110000"/>
    <n v="0"/>
    <n v="-110000"/>
    <s v="(주)에이스미트"/>
    <m/>
    <s v="인사노무자문료 1 X 100,000"/>
  </r>
  <r>
    <s v="2025-03-15"/>
    <x v="67"/>
    <s v="50008"/>
    <s v="대변"/>
    <s v="255"/>
    <s v="부가세예수금"/>
    <x v="3"/>
    <n v="0"/>
    <n v="10000"/>
    <n v="10000"/>
    <s v="주식회사 세연이앤에스"/>
    <m/>
    <s v="인사노무자문료 1 X 100,000"/>
  </r>
  <r>
    <s v="2025-03-15"/>
    <x v="67"/>
    <s v="50008"/>
    <s v="대변"/>
    <s v="401"/>
    <s v="용역매출"/>
    <x v="4"/>
    <n v="0"/>
    <n v="100000"/>
    <n v="100000"/>
    <s v="주식회사 세연이앤에스"/>
    <m/>
    <s v="인사노무자문료 1 X 100,000"/>
  </r>
  <r>
    <s v="2025-03-15"/>
    <x v="67"/>
    <s v="50008"/>
    <s v="차변"/>
    <s v="101"/>
    <s v="현금"/>
    <x v="1"/>
    <n v="110000"/>
    <n v="0"/>
    <n v="-110000"/>
    <s v="주식회사 세연이앤에스"/>
    <m/>
    <s v="인사노무자문료 1 X 100,000"/>
  </r>
  <r>
    <s v="2025-03-15"/>
    <x v="67"/>
    <s v="50009"/>
    <s v="대변"/>
    <s v="255"/>
    <s v="부가세예수금"/>
    <x v="3"/>
    <n v="0"/>
    <n v="10000"/>
    <n v="10000"/>
    <s v="주식회사 동양금속"/>
    <m/>
    <s v="인사노무자문료 1 X 100,000"/>
  </r>
  <r>
    <s v="2025-03-15"/>
    <x v="67"/>
    <s v="50009"/>
    <s v="대변"/>
    <s v="401"/>
    <s v="용역매출"/>
    <x v="4"/>
    <n v="0"/>
    <n v="100000"/>
    <n v="100000"/>
    <s v="주식회사 동양금속"/>
    <m/>
    <s v="인사노무자문료 1 X 100,000"/>
  </r>
  <r>
    <s v="2025-03-15"/>
    <x v="67"/>
    <s v="50009"/>
    <s v="차변"/>
    <s v="101"/>
    <s v="현금"/>
    <x v="1"/>
    <n v="110000"/>
    <n v="0"/>
    <n v="-110000"/>
    <s v="주식회사 동양금속"/>
    <m/>
    <s v="인사노무자문료 1 X 100,000"/>
  </r>
  <r>
    <s v="2025-03-15"/>
    <x v="67"/>
    <s v="50010"/>
    <s v="대변"/>
    <s v="255"/>
    <s v="부가세예수금"/>
    <x v="3"/>
    <n v="0"/>
    <n v="15000"/>
    <n v="15000"/>
    <s v="최원호병원"/>
    <m/>
    <s v="인사노무자문료 1 X 150,000"/>
  </r>
  <r>
    <s v="2025-03-15"/>
    <x v="67"/>
    <s v="50010"/>
    <s v="대변"/>
    <s v="401"/>
    <s v="용역매출"/>
    <x v="4"/>
    <n v="0"/>
    <n v="150000"/>
    <n v="150000"/>
    <s v="최원호병원"/>
    <m/>
    <s v="인사노무자문료 1 X 150,000"/>
  </r>
  <r>
    <s v="2025-03-15"/>
    <x v="67"/>
    <s v="50010"/>
    <s v="차변"/>
    <s v="101"/>
    <s v="현금"/>
    <x v="1"/>
    <n v="165000"/>
    <n v="0"/>
    <n v="-165000"/>
    <s v="최원호병원"/>
    <m/>
    <s v="인사노무자문료 1 X 150,000"/>
  </r>
  <r>
    <s v="2025-03-15"/>
    <x v="67"/>
    <s v="50011"/>
    <s v="대변"/>
    <s v="255"/>
    <s v="부가세예수금"/>
    <x v="3"/>
    <n v="0"/>
    <n v="10000"/>
    <n v="10000"/>
    <s v="(주)중동텍스타일"/>
    <m/>
    <s v="인사노무자문료 1 X 100,000"/>
  </r>
  <r>
    <s v="2025-03-15"/>
    <x v="67"/>
    <s v="50011"/>
    <s v="대변"/>
    <s v="401"/>
    <s v="용역매출"/>
    <x v="4"/>
    <n v="0"/>
    <n v="100000"/>
    <n v="100000"/>
    <s v="(주)중동텍스타일"/>
    <m/>
    <s v="인사노무자문료 1 X 100,000"/>
  </r>
  <r>
    <s v="2025-03-15"/>
    <x v="67"/>
    <s v="50011"/>
    <s v="차변"/>
    <s v="101"/>
    <s v="현금"/>
    <x v="1"/>
    <n v="110000"/>
    <n v="0"/>
    <n v="-110000"/>
    <s v="(주)중동텍스타일"/>
    <m/>
    <s v="인사노무자문료 1 X 100,000"/>
  </r>
  <r>
    <s v="2025-03-15"/>
    <x v="67"/>
    <s v="50012"/>
    <s v="대변"/>
    <s v="255"/>
    <s v="부가세예수금"/>
    <x v="3"/>
    <n v="0"/>
    <n v="13637"/>
    <n v="13637"/>
    <s v="주식회사 청경"/>
    <m/>
    <s v="인사노무자문료 1 X 136,363"/>
  </r>
  <r>
    <s v="2025-03-15"/>
    <x v="67"/>
    <s v="50012"/>
    <s v="대변"/>
    <s v="401"/>
    <s v="용역매출"/>
    <x v="4"/>
    <n v="0"/>
    <n v="136363"/>
    <n v="136363"/>
    <s v="주식회사 청경"/>
    <m/>
    <s v="인사노무자문료 1 X 136,363"/>
  </r>
  <r>
    <s v="2025-03-15"/>
    <x v="67"/>
    <s v="50012"/>
    <s v="차변"/>
    <s v="101"/>
    <s v="현금"/>
    <x v="1"/>
    <n v="150000"/>
    <n v="0"/>
    <n v="-150000"/>
    <s v="주식회사 청경"/>
    <m/>
    <s v="인사노무자문료 1 X 136,363"/>
  </r>
  <r>
    <s v="2025-03-15"/>
    <x v="67"/>
    <s v="50013"/>
    <s v="대변"/>
    <s v="101"/>
    <s v="현금"/>
    <x v="1"/>
    <n v="0"/>
    <n v="6900"/>
    <n v="6900"/>
    <s v="현대카드(4817)"/>
    <m/>
    <m/>
  </r>
  <r>
    <s v="2025-03-15"/>
    <x v="67"/>
    <s v="50013"/>
    <s v="차변"/>
    <s v="830"/>
    <s v="소모품비(판)"/>
    <x v="6"/>
    <n v="6273"/>
    <n v="0"/>
    <n v="-6273"/>
    <s v="롯데쇼핑（주）롯데마트 수완점"/>
    <s v="  "/>
    <m/>
  </r>
  <r>
    <s v="2025-03-15"/>
    <x v="67"/>
    <s v="50013"/>
    <s v="차변"/>
    <s v="135"/>
    <s v="부가세대급금"/>
    <x v="5"/>
    <n v="627"/>
    <n v="0"/>
    <n v="-627"/>
    <s v="롯데쇼핑（주）롯데마트 수완점"/>
    <s v="  "/>
    <m/>
  </r>
  <r>
    <s v="2025-03-15"/>
    <x v="67"/>
    <s v="50014"/>
    <s v="차변"/>
    <s v="135"/>
    <s v="부가세대급금"/>
    <x v="5"/>
    <n v="1445"/>
    <n v="0"/>
    <n v="-1445"/>
    <s v="롯데쇼핑（주）토이저러스 수완점"/>
    <m/>
    <m/>
  </r>
  <r>
    <s v="2025-03-15"/>
    <x v="67"/>
    <s v="50014"/>
    <s v="차변"/>
    <s v="830"/>
    <s v="소모품비(판)"/>
    <x v="6"/>
    <n v="14455"/>
    <n v="0"/>
    <n v="-14455"/>
    <s v="롯데쇼핑（주）토이저러스 수완점"/>
    <m/>
    <m/>
  </r>
  <r>
    <s v="2025-03-15"/>
    <x v="67"/>
    <s v="50014"/>
    <s v="대변"/>
    <s v="101"/>
    <s v="현금"/>
    <x v="1"/>
    <n v="0"/>
    <n v="15900"/>
    <n v="15900"/>
    <s v="현대카드(4817)"/>
    <m/>
    <m/>
  </r>
  <r>
    <s v="2025-03-16"/>
    <x v="68"/>
    <s v="00001"/>
    <s v="차변"/>
    <s v="830"/>
    <s v="소모품비(판)"/>
    <x v="6"/>
    <n v="2700"/>
    <n v="0"/>
    <n v="-2700"/>
    <s v="씨유 광주 청사점"/>
    <m/>
    <m/>
  </r>
  <r>
    <s v="2025-03-16"/>
    <x v="68"/>
    <s v="00001"/>
    <s v="대변"/>
    <s v="101"/>
    <s v="현금"/>
    <x v="1"/>
    <n v="0"/>
    <n v="2700"/>
    <n v="2700"/>
    <s v="현대카드(4817)"/>
    <m/>
    <m/>
  </r>
  <r>
    <s v="2025-03-17"/>
    <x v="69"/>
    <s v="00001"/>
    <s v="대변"/>
    <s v="101"/>
    <s v="현금"/>
    <x v="1"/>
    <n v="0"/>
    <n v="101000"/>
    <n v="101000"/>
    <s v="현대카드(4817)"/>
    <m/>
    <m/>
  </r>
  <r>
    <s v="2025-03-17"/>
    <x v="69"/>
    <s v="00001"/>
    <s v="차변"/>
    <s v="811"/>
    <s v="복리후생비(판)"/>
    <x v="8"/>
    <n v="101000"/>
    <n v="0"/>
    <n v="-101000"/>
    <s v="쿠쿠광산점"/>
    <s v="02"/>
    <s v="거래처 접대비(기업업무추진비)/신용카드(개인)"/>
  </r>
  <r>
    <s v="2025-03-17"/>
    <x v="69"/>
    <s v="00002"/>
    <s v="차변"/>
    <s v="811"/>
    <s v="복리후생비(판)"/>
    <x v="8"/>
    <n v="14000"/>
    <n v="0"/>
    <n v="-14000"/>
    <s v="주식회사 울림푸드 한식뷔페 첨단 정부청사점"/>
    <m/>
    <m/>
  </r>
  <r>
    <s v="2025-03-17"/>
    <x v="69"/>
    <s v="00002"/>
    <s v="대변"/>
    <s v="101"/>
    <s v="현금"/>
    <x v="1"/>
    <n v="0"/>
    <n v="14000"/>
    <n v="14000"/>
    <s v="하나카드(4088)"/>
    <m/>
    <m/>
  </r>
  <r>
    <s v="2025-03-18"/>
    <x v="70"/>
    <s v="00001"/>
    <s v="차변"/>
    <s v="812"/>
    <s v="여비교통비(판)"/>
    <x v="9"/>
    <n v="5000"/>
    <n v="0"/>
    <n v="-5000"/>
    <s v="고봉민김밥 화순전남대학교병원점"/>
    <m/>
    <m/>
  </r>
  <r>
    <s v="2025-03-18"/>
    <x v="70"/>
    <s v="00001"/>
    <s v="대변"/>
    <s v="101"/>
    <s v="현금"/>
    <x v="1"/>
    <n v="0"/>
    <n v="5000"/>
    <n v="5000"/>
    <s v="하나카드(4088)"/>
    <m/>
    <m/>
  </r>
  <r>
    <s v="2025-03-18"/>
    <x v="70"/>
    <s v="00002"/>
    <s v="대변"/>
    <s v="101"/>
    <s v="현금"/>
    <x v="1"/>
    <n v="0"/>
    <n v="3980"/>
    <n v="3980"/>
    <s v="국민카드(2005)"/>
    <m/>
    <m/>
  </r>
  <r>
    <s v="2025-03-18"/>
    <x v="70"/>
    <s v="00002"/>
    <s v="차변"/>
    <s v="824"/>
    <s v="운반비(판)"/>
    <x v="15"/>
    <n v="3980"/>
    <n v="0"/>
    <n v="-3980"/>
    <s v="우정사업본부광주"/>
    <m/>
    <m/>
  </r>
  <r>
    <s v="2025-03-19"/>
    <x v="71"/>
    <s v="00001"/>
    <s v="차변"/>
    <s v="811"/>
    <s v="복리후생비(판)"/>
    <x v="8"/>
    <n v="24000"/>
    <n v="0"/>
    <n v="-24000"/>
    <s v="윤아네진수성찬"/>
    <m/>
    <m/>
  </r>
  <r>
    <s v="2025-03-19"/>
    <x v="71"/>
    <s v="00001"/>
    <s v="대변"/>
    <s v="101"/>
    <s v="현금"/>
    <x v="1"/>
    <n v="0"/>
    <n v="24000"/>
    <n v="24000"/>
    <s v="국민카드(2005)"/>
    <m/>
    <m/>
  </r>
  <r>
    <s v="2025-03-19"/>
    <x v="71"/>
    <s v="00002"/>
    <s v="차변"/>
    <s v="811"/>
    <s v="복리후생비(판)"/>
    <x v="8"/>
    <n v="14000"/>
    <n v="0"/>
    <n v="-14000"/>
    <s v="주식회사 울림푸드 한식뷔페 첨단 정부청사점"/>
    <m/>
    <m/>
  </r>
  <r>
    <s v="2025-03-19"/>
    <x v="71"/>
    <s v="00002"/>
    <s v="대변"/>
    <s v="101"/>
    <s v="현금"/>
    <x v="1"/>
    <n v="0"/>
    <n v="14000"/>
    <n v="14000"/>
    <s v="하나카드(4088)"/>
    <m/>
    <m/>
  </r>
  <r>
    <s v="2025-03-19"/>
    <x v="71"/>
    <s v="50001"/>
    <s v="대변"/>
    <s v="255"/>
    <s v="부가세예수금"/>
    <x v="3"/>
    <n v="0"/>
    <n v="50000"/>
    <n v="50000"/>
    <s v="릴라네 정육점"/>
    <m/>
    <s v="인사노무자문료 1 X 500,000"/>
  </r>
  <r>
    <s v="2025-03-19"/>
    <x v="71"/>
    <s v="50001"/>
    <s v="대변"/>
    <s v="401"/>
    <s v="용역매출"/>
    <x v="4"/>
    <n v="0"/>
    <n v="500000"/>
    <n v="500000"/>
    <s v="릴라네 정육점"/>
    <m/>
    <s v="인사노무자문료 1 X 500,000"/>
  </r>
  <r>
    <s v="2025-03-19"/>
    <x v="71"/>
    <s v="50001"/>
    <s v="차변"/>
    <s v="101"/>
    <s v="현금"/>
    <x v="1"/>
    <n v="550000"/>
    <n v="0"/>
    <n v="-550000"/>
    <s v="릴라네 정육점"/>
    <m/>
    <s v="인사노무자문료 1 X 500,000"/>
  </r>
  <r>
    <s v="2025-03-20"/>
    <x v="72"/>
    <s v="00001"/>
    <s v="차변"/>
    <s v="811"/>
    <s v="복리후생비(판)"/>
    <x v="8"/>
    <n v="14000"/>
    <n v="0"/>
    <n v="-14000"/>
    <s v="주식회사 울림푸드 한식뷔페 첨단 정부청사점"/>
    <m/>
    <m/>
  </r>
  <r>
    <s v="2025-03-20"/>
    <x v="72"/>
    <s v="00001"/>
    <s v="대변"/>
    <s v="101"/>
    <s v="현금"/>
    <x v="1"/>
    <n v="0"/>
    <n v="14000"/>
    <n v="14000"/>
    <s v="하나카드(4088)"/>
    <m/>
    <m/>
  </r>
  <r>
    <s v="2025-03-20"/>
    <x v="72"/>
    <s v="00002"/>
    <s v="대변"/>
    <s v="101"/>
    <s v="현금"/>
    <x v="1"/>
    <n v="0"/>
    <n v="5180"/>
    <n v="5180"/>
    <s v="국민카드(2005)"/>
    <m/>
    <m/>
  </r>
  <r>
    <s v="2025-03-20"/>
    <x v="72"/>
    <s v="00002"/>
    <s v="차변"/>
    <s v="824"/>
    <s v="운반비(판)"/>
    <x v="15"/>
    <n v="5180"/>
    <n v="0"/>
    <n v="-5180"/>
    <s v="우정사업본부광주"/>
    <m/>
    <m/>
  </r>
  <r>
    <s v="2025-03-20"/>
    <x v="72"/>
    <s v="00003"/>
    <s v="대변"/>
    <s v="101"/>
    <s v="현금"/>
    <x v="1"/>
    <n v="0"/>
    <n v="24130"/>
    <n v="24130"/>
    <s v="국민카드(2005)"/>
    <m/>
    <m/>
  </r>
  <r>
    <s v="2025-03-20"/>
    <x v="72"/>
    <s v="00003"/>
    <s v="차변"/>
    <s v="831"/>
    <s v="지급수수료(판)"/>
    <x v="7"/>
    <n v="24130"/>
    <n v="0"/>
    <n v="-24130"/>
    <s v="코웨이(주）"/>
    <m/>
    <m/>
  </r>
  <r>
    <s v="2025-03-20"/>
    <x v="72"/>
    <s v="00004"/>
    <s v="대변"/>
    <s v="101"/>
    <s v="현금"/>
    <x v="1"/>
    <n v="0"/>
    <n v="42650"/>
    <n v="42650"/>
    <s v="국민카드(2005)"/>
    <m/>
    <m/>
  </r>
  <r>
    <s v="2025-03-20"/>
    <x v="72"/>
    <s v="00004"/>
    <s v="차변"/>
    <s v="831"/>
    <s v="지급수수료(판)"/>
    <x v="7"/>
    <n v="42650"/>
    <n v="0"/>
    <n v="-42650"/>
    <s v="코웨이(주）"/>
    <m/>
    <m/>
  </r>
  <r>
    <s v="2025-03-20"/>
    <x v="72"/>
    <s v="50001"/>
    <s v="차변"/>
    <s v="837"/>
    <s v="건물관리비(판)"/>
    <x v="16"/>
    <n v="191390"/>
    <n v="0"/>
    <n v="-191390"/>
    <s v="와이어스파크 지식산업센터 관리위원회"/>
    <m/>
    <s v="2동2205호"/>
  </r>
  <r>
    <s v="2025-03-20"/>
    <x v="72"/>
    <s v="50001"/>
    <s v="대변"/>
    <s v="101"/>
    <s v="현금"/>
    <x v="1"/>
    <n v="0"/>
    <n v="191390"/>
    <n v="191390"/>
    <s v="와이어스파크 지식산업센터 관리위원회"/>
    <m/>
    <s v="2동2205호"/>
  </r>
  <r>
    <s v="2025-03-21"/>
    <x v="73"/>
    <s v="00001"/>
    <s v="차변"/>
    <s v="811"/>
    <s v="복리후생비(판)"/>
    <x v="8"/>
    <n v="33000"/>
    <n v="0"/>
    <n v="-33000"/>
    <s v="미꾸미꾸"/>
    <m/>
    <m/>
  </r>
  <r>
    <s v="2025-03-21"/>
    <x v="73"/>
    <s v="00001"/>
    <s v="대변"/>
    <s v="101"/>
    <s v="현금"/>
    <x v="1"/>
    <n v="0"/>
    <n v="33000"/>
    <n v="33000"/>
    <s v="국민카드(2005)"/>
    <m/>
    <m/>
  </r>
  <r>
    <s v="2025-03-21"/>
    <x v="73"/>
    <s v="00002"/>
    <s v="차변"/>
    <s v="811"/>
    <s v="복리후생비(판)"/>
    <x v="8"/>
    <n v="14000"/>
    <n v="0"/>
    <n v="-14000"/>
    <s v="주식회사 울림푸드 한식뷔페 첨단 정부청사점"/>
    <m/>
    <m/>
  </r>
  <r>
    <s v="2025-03-21"/>
    <x v="73"/>
    <s v="00002"/>
    <s v="대변"/>
    <s v="101"/>
    <s v="현금"/>
    <x v="1"/>
    <n v="0"/>
    <n v="14000"/>
    <n v="14000"/>
    <s v="하나카드(4088)"/>
    <m/>
    <m/>
  </r>
  <r>
    <s v="2025-03-21"/>
    <x v="73"/>
    <s v="50001"/>
    <s v="대변"/>
    <s v="255"/>
    <s v="부가세예수금"/>
    <x v="3"/>
    <n v="0"/>
    <n v="20000"/>
    <n v="20000"/>
    <s v="(주)유토피아코리아"/>
    <m/>
    <s v="인사노무자문료 1 X 200,000"/>
  </r>
  <r>
    <s v="2025-03-21"/>
    <x v="73"/>
    <s v="50001"/>
    <s v="대변"/>
    <s v="401"/>
    <s v="용역매출"/>
    <x v="4"/>
    <n v="0"/>
    <n v="200000"/>
    <n v="200000"/>
    <s v="(주)유토피아코리아"/>
    <m/>
    <s v="인사노무자문료 1 X 200,000"/>
  </r>
  <r>
    <s v="2025-03-21"/>
    <x v="73"/>
    <s v="50001"/>
    <s v="차변"/>
    <s v="101"/>
    <s v="현금"/>
    <x v="1"/>
    <n v="220000"/>
    <n v="0"/>
    <n v="-220000"/>
    <s v="(주)유토피아코리아"/>
    <m/>
    <s v="인사노무자문료 1 X 200,000"/>
  </r>
  <r>
    <s v="2025-03-21"/>
    <x v="73"/>
    <s v="50002"/>
    <s v="대변"/>
    <s v="255"/>
    <s v="부가세예수금"/>
    <x v="3"/>
    <n v="0"/>
    <n v="10000"/>
    <n v="10000"/>
    <s v="연세바른병원"/>
    <m/>
    <s v="인사노무자문료 1 X 100,000"/>
  </r>
  <r>
    <s v="2025-03-21"/>
    <x v="73"/>
    <s v="50002"/>
    <s v="대변"/>
    <s v="401"/>
    <s v="용역매출"/>
    <x v="4"/>
    <n v="0"/>
    <n v="100000"/>
    <n v="100000"/>
    <s v="연세바른병원"/>
    <m/>
    <s v="인사노무자문료 1 X 100,000"/>
  </r>
  <r>
    <s v="2025-03-21"/>
    <x v="73"/>
    <s v="50002"/>
    <s v="차변"/>
    <s v="101"/>
    <s v="현금"/>
    <x v="1"/>
    <n v="110000"/>
    <n v="0"/>
    <n v="-110000"/>
    <s v="연세바른병원"/>
    <m/>
    <s v="인사노무자문료 1 X 100,000"/>
  </r>
  <r>
    <s v="2025-03-21"/>
    <x v="73"/>
    <s v="50003"/>
    <s v="대변"/>
    <s v="255"/>
    <s v="부가세예수금"/>
    <x v="3"/>
    <n v="0"/>
    <n v="10000"/>
    <n v="10000"/>
    <s v="주식화사 광원이엔지"/>
    <m/>
    <s v="인사노무자문료 1 X 100,000"/>
  </r>
  <r>
    <s v="2025-03-21"/>
    <x v="73"/>
    <s v="50003"/>
    <s v="대변"/>
    <s v="401"/>
    <s v="용역매출"/>
    <x v="4"/>
    <n v="0"/>
    <n v="100000"/>
    <n v="100000"/>
    <s v="주식화사 광원이엔지"/>
    <m/>
    <s v="인사노무자문료 1 X 100,000"/>
  </r>
  <r>
    <s v="2025-03-21"/>
    <x v="73"/>
    <s v="50003"/>
    <s v="차변"/>
    <s v="101"/>
    <s v="현금"/>
    <x v="1"/>
    <n v="110000"/>
    <n v="0"/>
    <n v="-110000"/>
    <s v="주식화사 광원이엔지"/>
    <m/>
    <s v="인사노무자문료 1 X 100,000"/>
  </r>
  <r>
    <s v="2025-03-21"/>
    <x v="73"/>
    <s v="50004"/>
    <s v="대변"/>
    <s v="255"/>
    <s v="부가세예수금"/>
    <x v="3"/>
    <n v="0"/>
    <n v="20000"/>
    <n v="20000"/>
    <s v="탐진화물주식회사 유한회사"/>
    <m/>
    <s v="인사노무자문료 1 X 200,000"/>
  </r>
  <r>
    <s v="2025-03-21"/>
    <x v="73"/>
    <s v="50004"/>
    <s v="대변"/>
    <s v="401"/>
    <s v="용역매출"/>
    <x v="4"/>
    <n v="0"/>
    <n v="200000"/>
    <n v="200000"/>
    <s v="탐진화물주식회사 유한회사"/>
    <m/>
    <s v="인사노무자문료 1 X 200,000"/>
  </r>
  <r>
    <s v="2025-03-21"/>
    <x v="73"/>
    <s v="50004"/>
    <s v="차변"/>
    <s v="101"/>
    <s v="현금"/>
    <x v="1"/>
    <n v="220000"/>
    <n v="0"/>
    <n v="-220000"/>
    <s v="탐진화물주식회사 유한회사"/>
    <m/>
    <s v="인사노무자문료 1 X 200,000"/>
  </r>
  <r>
    <s v="2025-03-21"/>
    <x v="73"/>
    <s v="50005"/>
    <s v="대변"/>
    <s v="255"/>
    <s v="부가세예수금"/>
    <x v="3"/>
    <n v="0"/>
    <n v="15000"/>
    <n v="15000"/>
    <s v="월간맥주수완점"/>
    <m/>
    <s v="인사노무자문료 1 X 150,000"/>
  </r>
  <r>
    <s v="2025-03-21"/>
    <x v="73"/>
    <s v="50005"/>
    <s v="대변"/>
    <s v="401"/>
    <s v="용역매출"/>
    <x v="4"/>
    <n v="0"/>
    <n v="150000"/>
    <n v="150000"/>
    <s v="월간맥주수완점"/>
    <m/>
    <s v="인사노무자문료 1 X 150,000"/>
  </r>
  <r>
    <s v="2025-03-21"/>
    <x v="73"/>
    <s v="50005"/>
    <s v="차변"/>
    <s v="101"/>
    <s v="현금"/>
    <x v="1"/>
    <n v="165000"/>
    <n v="0"/>
    <n v="-165000"/>
    <s v="월간맥주수완점"/>
    <m/>
    <s v="인사노무자문료 1 X 150,000"/>
  </r>
  <r>
    <s v="2025-03-21"/>
    <x v="73"/>
    <s v="50006"/>
    <s v="대변"/>
    <s v="255"/>
    <s v="부가세예수금"/>
    <x v="3"/>
    <n v="0"/>
    <n v="10000"/>
    <n v="10000"/>
    <s v="리.베이커리"/>
    <m/>
    <s v="인사노무자문료 1 X 100,000"/>
  </r>
  <r>
    <s v="2025-03-21"/>
    <x v="73"/>
    <s v="50006"/>
    <s v="대변"/>
    <s v="401"/>
    <s v="용역매출"/>
    <x v="4"/>
    <n v="0"/>
    <n v="100000"/>
    <n v="100000"/>
    <s v="리.베이커리"/>
    <m/>
    <s v="인사노무자문료 1 X 100,000"/>
  </r>
  <r>
    <s v="2025-03-21"/>
    <x v="73"/>
    <s v="50006"/>
    <s v="차변"/>
    <s v="101"/>
    <s v="현금"/>
    <x v="1"/>
    <n v="110000"/>
    <n v="0"/>
    <n v="-110000"/>
    <s v="리.베이커리"/>
    <m/>
    <s v="인사노무자문료 1 X 100,000"/>
  </r>
  <r>
    <s v="2025-03-21"/>
    <x v="73"/>
    <s v="50007"/>
    <s v="대변"/>
    <s v="255"/>
    <s v="부가세예수금"/>
    <x v="3"/>
    <n v="0"/>
    <n v="6000"/>
    <n v="6000"/>
    <s v="이마트24광주농성점"/>
    <m/>
    <s v="인사노무자문료 1 X 60,000"/>
  </r>
  <r>
    <s v="2025-03-21"/>
    <x v="73"/>
    <s v="50007"/>
    <s v="대변"/>
    <s v="401"/>
    <s v="용역매출"/>
    <x v="4"/>
    <n v="0"/>
    <n v="60000"/>
    <n v="60000"/>
    <s v="이마트24광주농성점"/>
    <m/>
    <s v="인사노무자문료 1 X 60,000"/>
  </r>
  <r>
    <s v="2025-03-21"/>
    <x v="73"/>
    <s v="50007"/>
    <s v="차변"/>
    <s v="101"/>
    <s v="현금"/>
    <x v="1"/>
    <n v="66000"/>
    <n v="0"/>
    <n v="-66000"/>
    <s v="이마트24광주농성점"/>
    <m/>
    <s v="인사노무자문료 1 X 60,000"/>
  </r>
  <r>
    <s v="2025-03-21"/>
    <x v="73"/>
    <s v="50008"/>
    <s v="대변"/>
    <s v="255"/>
    <s v="부가세예수금"/>
    <x v="3"/>
    <n v="0"/>
    <n v="20000"/>
    <n v="20000"/>
    <s v="(주)해성푸드원"/>
    <m/>
    <s v="인사노무자문료 1 X 200,000"/>
  </r>
  <r>
    <s v="2025-03-21"/>
    <x v="73"/>
    <s v="50008"/>
    <s v="대변"/>
    <s v="401"/>
    <s v="용역매출"/>
    <x v="4"/>
    <n v="0"/>
    <n v="200000"/>
    <n v="200000"/>
    <s v="(주)해성푸드원"/>
    <m/>
    <s v="인사노무자문료 1 X 200,000"/>
  </r>
  <r>
    <s v="2025-03-21"/>
    <x v="73"/>
    <s v="50008"/>
    <s v="차변"/>
    <s v="101"/>
    <s v="현금"/>
    <x v="1"/>
    <n v="220000"/>
    <n v="0"/>
    <n v="-220000"/>
    <s v="(주)해성푸드원"/>
    <m/>
    <s v="인사노무자문료 1 X 200,000"/>
  </r>
  <r>
    <s v="2025-03-21"/>
    <x v="73"/>
    <s v="50009"/>
    <s v="대변"/>
    <s v="255"/>
    <s v="부가세예수금"/>
    <x v="3"/>
    <n v="0"/>
    <n v="100000"/>
    <n v="100000"/>
    <s v="(주)에이버츄얼"/>
    <m/>
    <s v="인사노무자문료 1 X 1,000,000"/>
  </r>
  <r>
    <s v="2025-03-21"/>
    <x v="73"/>
    <s v="50009"/>
    <s v="대변"/>
    <s v="401"/>
    <s v="용역매출"/>
    <x v="4"/>
    <n v="0"/>
    <n v="1000000"/>
    <n v="1000000"/>
    <s v="(주)에이버츄얼"/>
    <m/>
    <s v="인사노무자문료 1 X 1,000,000"/>
  </r>
  <r>
    <s v="2025-03-21"/>
    <x v="73"/>
    <s v="50009"/>
    <s v="차변"/>
    <s v="101"/>
    <s v="현금"/>
    <x v="1"/>
    <n v="1100000"/>
    <n v="0"/>
    <n v="-1100000"/>
    <s v="(주)에이버츄얼"/>
    <m/>
    <s v="인사노무자문료 1 X 1,000,000"/>
  </r>
  <r>
    <s v="2025-03-21"/>
    <x v="73"/>
    <s v="50010"/>
    <s v="대변"/>
    <s v="101"/>
    <s v="현금"/>
    <x v="1"/>
    <n v="0"/>
    <n v="18970"/>
    <n v="18970"/>
    <s v="국민카드(2005)"/>
    <m/>
    <m/>
  </r>
  <r>
    <s v="2025-03-21"/>
    <x v="73"/>
    <s v="50010"/>
    <s v="차변"/>
    <s v="830"/>
    <s v="소모품비(판)"/>
    <x v="6"/>
    <n v="17246"/>
    <n v="0"/>
    <n v="-17246"/>
    <s v="롯데쇼핑（주）롯데슈퍼문흥점"/>
    <s v="  "/>
    <m/>
  </r>
  <r>
    <s v="2025-03-21"/>
    <x v="73"/>
    <s v="50010"/>
    <s v="차변"/>
    <s v="135"/>
    <s v="부가세대급금"/>
    <x v="5"/>
    <n v="1724"/>
    <n v="0"/>
    <n v="-1724"/>
    <s v="롯데쇼핑（주）롯데슈퍼문흥점"/>
    <s v="  "/>
    <m/>
  </r>
  <r>
    <s v="2025-03-21"/>
    <x v="73"/>
    <s v="50011"/>
    <s v="차변"/>
    <s v="135"/>
    <s v="부가세대급금"/>
    <x v="5"/>
    <n v="11290"/>
    <n v="0"/>
    <n v="-11290"/>
    <s v="롯데쇼핑(주)롯데아울렛광주수완점 오가"/>
    <m/>
    <m/>
  </r>
  <r>
    <s v="2025-03-21"/>
    <x v="73"/>
    <s v="50011"/>
    <s v="차변"/>
    <s v="830"/>
    <s v="소모품비(판)"/>
    <x v="6"/>
    <n v="112910"/>
    <n v="0"/>
    <n v="-112910"/>
    <s v="롯데쇼핑(주)롯데아울렛광주수완점 오가"/>
    <m/>
    <m/>
  </r>
  <r>
    <s v="2025-03-21"/>
    <x v="73"/>
    <s v="50011"/>
    <s v="대변"/>
    <s v="101"/>
    <s v="현금"/>
    <x v="1"/>
    <n v="0"/>
    <n v="124200"/>
    <n v="124200"/>
    <s v="국민카드(2005)"/>
    <m/>
    <m/>
  </r>
  <r>
    <s v="2025-03-22"/>
    <x v="74"/>
    <s v="00001"/>
    <s v="차변"/>
    <s v="811"/>
    <s v="복리후생비(판)"/>
    <x v="8"/>
    <n v="5000"/>
    <n v="0"/>
    <n v="-5000"/>
    <s v="벌크커피 첨단점"/>
    <m/>
    <m/>
  </r>
  <r>
    <s v="2025-03-22"/>
    <x v="74"/>
    <s v="00001"/>
    <s v="대변"/>
    <s v="101"/>
    <s v="현금"/>
    <x v="1"/>
    <n v="0"/>
    <n v="5000"/>
    <n v="5000"/>
    <s v="국민카드(2005)"/>
    <m/>
    <m/>
  </r>
  <r>
    <s v="2025-03-22"/>
    <x v="74"/>
    <s v="00002"/>
    <s v="차변"/>
    <s v="826"/>
    <s v="도서인쇄비(판)"/>
    <x v="2"/>
    <n v="15000"/>
    <n v="0"/>
    <n v="-15000"/>
    <s v="유한회사 아름다운세종문고"/>
    <m/>
    <m/>
  </r>
  <r>
    <s v="2025-03-22"/>
    <x v="74"/>
    <s v="00002"/>
    <s v="대변"/>
    <s v="101"/>
    <s v="현금"/>
    <x v="1"/>
    <n v="0"/>
    <n v="15000"/>
    <n v="15000"/>
    <s v="국민카드(2005)"/>
    <m/>
    <m/>
  </r>
  <r>
    <s v="2025-03-22"/>
    <x v="74"/>
    <s v="00003"/>
    <s v="대변"/>
    <s v="101"/>
    <s v="현금"/>
    <x v="1"/>
    <n v="0"/>
    <n v="1500"/>
    <n v="1500"/>
    <s v="현대카드(4817)"/>
    <m/>
    <m/>
  </r>
  <r>
    <s v="2025-03-22"/>
    <x v="74"/>
    <s v="00003"/>
    <s v="차변"/>
    <s v="812"/>
    <s v="여비교통비(판)"/>
    <x v="9"/>
    <n v="1500"/>
    <n v="0"/>
    <n v="-1500"/>
    <s v="에스케이쉴더스 주식회사"/>
    <m/>
    <m/>
  </r>
  <r>
    <s v="2025-03-22"/>
    <x v="74"/>
    <s v="00004"/>
    <s v="차변"/>
    <s v="812"/>
    <s v="여비교통비(판)"/>
    <x v="9"/>
    <n v="2500"/>
    <n v="0"/>
    <n v="-2500"/>
    <s v="씨유첨단중앙점"/>
    <m/>
    <m/>
  </r>
  <r>
    <s v="2025-03-22"/>
    <x v="74"/>
    <s v="00004"/>
    <s v="대변"/>
    <s v="101"/>
    <s v="현금"/>
    <x v="1"/>
    <n v="0"/>
    <n v="2500"/>
    <n v="2500"/>
    <s v="현대카드(4817)"/>
    <m/>
    <m/>
  </r>
  <r>
    <s v="2025-03-22"/>
    <x v="74"/>
    <s v="00005"/>
    <s v="대변"/>
    <s v="101"/>
    <s v="현금"/>
    <x v="1"/>
    <n v="0"/>
    <n v="33729"/>
    <n v="33729"/>
    <s v="주식회사 아이디오커머스"/>
    <m/>
    <m/>
  </r>
  <r>
    <s v="2025-03-22"/>
    <x v="74"/>
    <s v="00005"/>
    <s v="차변"/>
    <s v="830"/>
    <s v="소모품비(판)"/>
    <x v="6"/>
    <n v="33729"/>
    <n v="0"/>
    <n v="-33729"/>
    <s v="주식회사 아이디오커머스"/>
    <m/>
    <m/>
  </r>
  <r>
    <s v="2025-03-22"/>
    <x v="74"/>
    <s v="00006"/>
    <s v="대변"/>
    <s v="101"/>
    <s v="현금"/>
    <x v="1"/>
    <n v="0"/>
    <n v="28812"/>
    <n v="28812"/>
    <s v="주식회사 아이디오커머스"/>
    <m/>
    <m/>
  </r>
  <r>
    <s v="2025-03-22"/>
    <x v="74"/>
    <s v="00006"/>
    <s v="차변"/>
    <s v="830"/>
    <s v="소모품비(판)"/>
    <x v="6"/>
    <n v="28812"/>
    <n v="0"/>
    <n v="-28812"/>
    <s v="주식회사 아이디오커머스"/>
    <m/>
    <m/>
  </r>
  <r>
    <s v="2025-03-22"/>
    <x v="74"/>
    <s v="00007"/>
    <s v="대변"/>
    <s v="101"/>
    <s v="현금"/>
    <x v="1"/>
    <n v="0"/>
    <n v="25200"/>
    <n v="25200"/>
    <s v="그란데"/>
    <m/>
    <m/>
  </r>
  <r>
    <s v="2025-03-22"/>
    <x v="74"/>
    <s v="00007"/>
    <s v="차변"/>
    <s v="830"/>
    <s v="소모품비(판)"/>
    <x v="6"/>
    <n v="25200"/>
    <n v="0"/>
    <n v="-25200"/>
    <s v="그란데"/>
    <m/>
    <m/>
  </r>
  <r>
    <s v="2025-03-22"/>
    <x v="74"/>
    <s v="00008"/>
    <s v="대변"/>
    <s v="101"/>
    <s v="현금"/>
    <x v="1"/>
    <n v="0"/>
    <n v="3000"/>
    <n v="3000"/>
    <s v="그란데"/>
    <m/>
    <m/>
  </r>
  <r>
    <s v="2025-03-22"/>
    <x v="74"/>
    <s v="00008"/>
    <s v="차변"/>
    <s v="830"/>
    <s v="소모품비(판)"/>
    <x v="6"/>
    <n v="3000"/>
    <n v="0"/>
    <n v="-3000"/>
    <s v="그란데"/>
    <m/>
    <m/>
  </r>
  <r>
    <s v="2025-03-22"/>
    <x v="74"/>
    <s v="50001"/>
    <s v="대변"/>
    <s v="101"/>
    <s v="현금"/>
    <x v="1"/>
    <n v="0"/>
    <n v="23000"/>
    <n v="23000"/>
    <s v="현대카드(4817)"/>
    <m/>
    <m/>
  </r>
  <r>
    <s v="2025-03-22"/>
    <x v="74"/>
    <s v="50001"/>
    <s v="차변"/>
    <s v="830"/>
    <s v="소모품비(판)"/>
    <x v="6"/>
    <n v="20907"/>
    <n v="0"/>
    <n v="-20907"/>
    <s v="다이소아성산업"/>
    <s v="  "/>
    <m/>
  </r>
  <r>
    <s v="2025-03-22"/>
    <x v="74"/>
    <s v="50001"/>
    <s v="차변"/>
    <s v="135"/>
    <s v="부가세대급금"/>
    <x v="5"/>
    <n v="2093"/>
    <n v="0"/>
    <n v="-2093"/>
    <s v="다이소아성산업"/>
    <s v="  "/>
    <m/>
  </r>
  <r>
    <s v="2025-03-22"/>
    <x v="74"/>
    <s v="50002"/>
    <s v="대변"/>
    <s v="101"/>
    <s v="현금"/>
    <x v="1"/>
    <n v="0"/>
    <n v="500"/>
    <n v="500"/>
    <s v="현대카드(4817)"/>
    <m/>
    <m/>
  </r>
  <r>
    <s v="2025-03-22"/>
    <x v="74"/>
    <s v="50002"/>
    <s v="차변"/>
    <s v="830"/>
    <s v="소모품비(판)"/>
    <x v="6"/>
    <n v="455"/>
    <n v="0"/>
    <n v="-455"/>
    <s v="다이소아성산업"/>
    <s v="  "/>
    <m/>
  </r>
  <r>
    <s v="2025-03-22"/>
    <x v="74"/>
    <s v="50002"/>
    <s v="차변"/>
    <s v="135"/>
    <s v="부가세대급금"/>
    <x v="5"/>
    <n v="45"/>
    <n v="0"/>
    <n v="-45"/>
    <s v="다이소아성산업"/>
    <s v="  "/>
    <m/>
  </r>
  <r>
    <s v="2025-03-23"/>
    <x v="75"/>
    <s v="50001"/>
    <s v="대변"/>
    <s v="101"/>
    <s v="현금"/>
    <x v="1"/>
    <n v="0"/>
    <n v="7000"/>
    <n v="7000"/>
    <s v="현대카드(4817)"/>
    <m/>
    <m/>
  </r>
  <r>
    <s v="2025-03-23"/>
    <x v="75"/>
    <s v="50001"/>
    <s v="차변"/>
    <s v="830"/>
    <s v="소모품비(판)"/>
    <x v="6"/>
    <n v="6363"/>
    <n v="0"/>
    <n v="-6363"/>
    <s v="다이소아성산업"/>
    <s v="  "/>
    <m/>
  </r>
  <r>
    <s v="2025-03-23"/>
    <x v="75"/>
    <s v="50001"/>
    <s v="차변"/>
    <s v="135"/>
    <s v="부가세대급금"/>
    <x v="5"/>
    <n v="637"/>
    <n v="0"/>
    <n v="-637"/>
    <s v="다이소아성산업"/>
    <s v="  "/>
    <m/>
  </r>
  <r>
    <s v="2025-03-24"/>
    <x v="76"/>
    <s v="00001"/>
    <s v="차변"/>
    <s v="830"/>
    <s v="소모품비(판)"/>
    <x v="6"/>
    <n v="15420"/>
    <n v="0"/>
    <n v="-15420"/>
    <s v="KCP - ( 주 ) 위메프"/>
    <m/>
    <m/>
  </r>
  <r>
    <s v="2025-03-24"/>
    <x v="76"/>
    <s v="00001"/>
    <s v="대변"/>
    <s v="101"/>
    <s v="현금"/>
    <x v="1"/>
    <n v="0"/>
    <n v="15420"/>
    <n v="15420"/>
    <s v="현대카드(4817)"/>
    <m/>
    <m/>
  </r>
  <r>
    <s v="2025-03-24"/>
    <x v="76"/>
    <s v="00002"/>
    <s v="차변"/>
    <s v="830"/>
    <s v="소모품비(판)"/>
    <x v="6"/>
    <n v="18120"/>
    <n v="0"/>
    <n v="-18120"/>
    <s v="KCP - ( 주 ) 위메프"/>
    <m/>
    <m/>
  </r>
  <r>
    <s v="2025-03-24"/>
    <x v="76"/>
    <s v="00002"/>
    <s v="대변"/>
    <s v="101"/>
    <s v="현금"/>
    <x v="1"/>
    <n v="0"/>
    <n v="18120"/>
    <n v="18120"/>
    <s v="현대카드(4817)"/>
    <m/>
    <m/>
  </r>
  <r>
    <s v="2025-03-24"/>
    <x v="76"/>
    <s v="00003"/>
    <s v="차변"/>
    <s v="830"/>
    <s v="소모품비(판)"/>
    <x v="6"/>
    <n v="25340"/>
    <n v="0"/>
    <n v="-25340"/>
    <s v="KCP - ( 주 ) 위메프"/>
    <m/>
    <m/>
  </r>
  <r>
    <s v="2025-03-24"/>
    <x v="76"/>
    <s v="00003"/>
    <s v="대변"/>
    <s v="101"/>
    <s v="현금"/>
    <x v="1"/>
    <n v="0"/>
    <n v="25340"/>
    <n v="25340"/>
    <s v="현대카드(4817)"/>
    <m/>
    <m/>
  </r>
  <r>
    <s v="2025-03-24"/>
    <x v="76"/>
    <s v="00004"/>
    <s v="차변"/>
    <s v="830"/>
    <s v="소모품비(판)"/>
    <x v="6"/>
    <n v="3000"/>
    <n v="0"/>
    <n v="-3000"/>
    <s v="KCP - ( 주 ) 위메프"/>
    <m/>
    <m/>
  </r>
  <r>
    <s v="2025-03-24"/>
    <x v="76"/>
    <s v="00004"/>
    <s v="대변"/>
    <s v="101"/>
    <s v="현금"/>
    <x v="1"/>
    <n v="0"/>
    <n v="3000"/>
    <n v="3000"/>
    <s v="현대카드(4817)"/>
    <m/>
    <m/>
  </r>
  <r>
    <s v="2025-03-24"/>
    <x v="76"/>
    <s v="00005"/>
    <s v="차변"/>
    <s v="812"/>
    <s v="여비교통비(판)"/>
    <x v="9"/>
    <n v="5500"/>
    <n v="0"/>
    <n v="-5500"/>
    <s v="베이시스커피(BacisCoffee)"/>
    <m/>
    <m/>
  </r>
  <r>
    <s v="2025-03-24"/>
    <x v="76"/>
    <s v="00005"/>
    <s v="대변"/>
    <s v="101"/>
    <s v="현금"/>
    <x v="1"/>
    <n v="0"/>
    <n v="5500"/>
    <n v="5500"/>
    <s v="현대카드(4817)"/>
    <m/>
    <m/>
  </r>
  <r>
    <s v="2025-03-25"/>
    <x v="77"/>
    <s v="00001"/>
    <s v="차변"/>
    <s v="830"/>
    <s v="소모품비(판)"/>
    <x v="6"/>
    <n v="5200"/>
    <n v="0"/>
    <n v="-5200"/>
    <s v="햇살마트"/>
    <m/>
    <m/>
  </r>
  <r>
    <s v="2025-03-25"/>
    <x v="77"/>
    <s v="00001"/>
    <s v="대변"/>
    <s v="101"/>
    <s v="현금"/>
    <x v="1"/>
    <n v="0"/>
    <n v="5200"/>
    <n v="5200"/>
    <s v="현대카드(4817)"/>
    <m/>
    <m/>
  </r>
  <r>
    <s v="2025-03-25"/>
    <x v="77"/>
    <s v="00002"/>
    <s v="대변"/>
    <s v="101"/>
    <s v="현금"/>
    <x v="1"/>
    <n v="0"/>
    <n v="7000"/>
    <n v="7000"/>
    <s v="현대카드(4817)"/>
    <m/>
    <m/>
  </r>
  <r>
    <s v="2025-03-25"/>
    <x v="77"/>
    <s v="00002"/>
    <s v="차변"/>
    <s v="812"/>
    <s v="여비교통비(판)"/>
    <x v="9"/>
    <n v="7000"/>
    <n v="0"/>
    <n v="-7000"/>
    <s v="이씨엠디이서(상)휴게소"/>
    <m/>
    <m/>
  </r>
  <r>
    <s v="2025-03-25"/>
    <x v="77"/>
    <s v="00003"/>
    <s v="차변"/>
    <s v="812"/>
    <s v="여비교통비(판)"/>
    <x v="9"/>
    <n v="3000"/>
    <n v="0"/>
    <n v="-3000"/>
    <s v="한국정보통신 - 윌슨파킹"/>
    <m/>
    <m/>
  </r>
  <r>
    <s v="2025-03-25"/>
    <x v="77"/>
    <s v="00003"/>
    <s v="대변"/>
    <s v="101"/>
    <s v="현금"/>
    <x v="1"/>
    <n v="0"/>
    <n v="3000"/>
    <n v="3000"/>
    <s v="현대카드(4817)"/>
    <m/>
    <m/>
  </r>
  <r>
    <s v="2025-03-25"/>
    <x v="77"/>
    <s v="00004"/>
    <s v="차변"/>
    <s v="812"/>
    <s v="여비교통비(판)"/>
    <x v="9"/>
    <n v="3800"/>
    <n v="0"/>
    <n v="-3800"/>
    <s v="주식회사 심심당"/>
    <m/>
    <m/>
  </r>
  <r>
    <s v="2025-03-25"/>
    <x v="77"/>
    <s v="00004"/>
    <s v="대변"/>
    <s v="101"/>
    <s v="현금"/>
    <x v="1"/>
    <n v="0"/>
    <n v="3800"/>
    <n v="3800"/>
    <s v="현대카드(4817)"/>
    <m/>
    <m/>
  </r>
  <r>
    <s v="2025-03-25"/>
    <x v="77"/>
    <s v="50001"/>
    <s v="대변"/>
    <s v="255"/>
    <s v="부가세예수금"/>
    <x v="3"/>
    <n v="0"/>
    <n v="7000"/>
    <n v="7000"/>
    <s v="하서방해물칼국수"/>
    <m/>
    <s v="인사노무자문료 1 X 70,000"/>
  </r>
  <r>
    <s v="2025-03-25"/>
    <x v="77"/>
    <s v="50001"/>
    <s v="대변"/>
    <s v="401"/>
    <s v="용역매출"/>
    <x v="4"/>
    <n v="0"/>
    <n v="70000"/>
    <n v="70000"/>
    <s v="하서방해물칼국수"/>
    <m/>
    <s v="인사노무자문료 1 X 70,000"/>
  </r>
  <r>
    <s v="2025-03-25"/>
    <x v="77"/>
    <s v="50001"/>
    <s v="차변"/>
    <s v="101"/>
    <s v="현금"/>
    <x v="1"/>
    <n v="77000"/>
    <n v="0"/>
    <n v="-77000"/>
    <s v="하서방해물칼국수"/>
    <m/>
    <s v="인사노무자문료 1 X 70,000"/>
  </r>
  <r>
    <s v="2025-03-25"/>
    <x v="77"/>
    <s v="50002"/>
    <s v="대변"/>
    <s v="255"/>
    <s v="부가세예수금"/>
    <x v="3"/>
    <n v="0"/>
    <n v="10000"/>
    <n v="10000"/>
    <s v="24시 동물병원 공감"/>
    <m/>
    <s v="인사노무자문료 1 X 100,000"/>
  </r>
  <r>
    <s v="2025-03-25"/>
    <x v="77"/>
    <s v="50002"/>
    <s v="대변"/>
    <s v="401"/>
    <s v="용역매출"/>
    <x v="4"/>
    <n v="0"/>
    <n v="100000"/>
    <n v="100000"/>
    <s v="24시 동물병원 공감"/>
    <m/>
    <s v="인사노무자문료 1 X 100,000"/>
  </r>
  <r>
    <s v="2025-03-25"/>
    <x v="77"/>
    <s v="50002"/>
    <s v="차변"/>
    <s v="101"/>
    <s v="현금"/>
    <x v="1"/>
    <n v="110000"/>
    <n v="0"/>
    <n v="-110000"/>
    <s v="24시 동물병원 공감"/>
    <m/>
    <s v="인사노무자문료 1 X 100,000"/>
  </r>
  <r>
    <s v="2025-03-25"/>
    <x v="77"/>
    <s v="50003"/>
    <s v="대변"/>
    <s v="255"/>
    <s v="부가세예수금"/>
    <x v="3"/>
    <n v="0"/>
    <n v="-15000"/>
    <n v="-15000"/>
    <s v="(재)광주광역시사회서비스원 장기요양요원지원센터"/>
    <m/>
    <s v="인사노무자문료 -1 X 150,000"/>
  </r>
  <r>
    <s v="2025-03-25"/>
    <x v="77"/>
    <s v="50003"/>
    <s v="대변"/>
    <s v="401"/>
    <s v="용역매출"/>
    <x v="4"/>
    <n v="0"/>
    <n v="-150000"/>
    <n v="-150000"/>
    <s v="(재)광주광역시사회서비스원 장기요양요원지원센터"/>
    <m/>
    <s v="인사노무자문료 -1 X 150,000"/>
  </r>
  <r>
    <s v="2025-03-25"/>
    <x v="77"/>
    <s v="50003"/>
    <s v="차변"/>
    <s v="101"/>
    <s v="현금"/>
    <x v="1"/>
    <n v="-165000"/>
    <n v="0"/>
    <n v="165000"/>
    <s v="(재)광주광역시사회서비스원 장기요양요원지원센터"/>
    <m/>
    <s v="인사노무자문료 -1 X 150,000"/>
  </r>
  <r>
    <s v="2025-03-25"/>
    <x v="77"/>
    <s v="50004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3-25"/>
    <x v="77"/>
    <s v="50004"/>
    <s v="대변"/>
    <s v="401"/>
    <s v="용역매출"/>
    <x v="4"/>
    <n v="0"/>
    <n v="150000"/>
    <n v="150000"/>
    <s v="농업회사법인(주)토리팜에프디"/>
    <m/>
    <s v="인사노무자문료 1 X 150,000"/>
  </r>
  <r>
    <s v="2025-03-25"/>
    <x v="77"/>
    <s v="50004"/>
    <s v="차변"/>
    <s v="101"/>
    <s v="현금"/>
    <x v="1"/>
    <n v="165000"/>
    <n v="0"/>
    <n v="-165000"/>
    <s v="농업회사법인(주)토리팜에프디"/>
    <m/>
    <s v="인사노무자문료 1 X 150,000"/>
  </r>
  <r>
    <s v="2025-03-25"/>
    <x v="77"/>
    <s v="50005"/>
    <s v="대변"/>
    <s v="255"/>
    <s v="부가세예수금"/>
    <x v="3"/>
    <n v="0"/>
    <n v="15000"/>
    <n v="15000"/>
    <s v="(재)광주광역시사회서비스원 장기요양요원지원센터"/>
    <m/>
    <s v="인사노무자문료 1 X 150,000"/>
  </r>
  <r>
    <s v="2025-03-25"/>
    <x v="77"/>
    <s v="50005"/>
    <s v="대변"/>
    <s v="401"/>
    <s v="용역매출"/>
    <x v="4"/>
    <n v="0"/>
    <n v="150000"/>
    <n v="150000"/>
    <s v="(재)광주광역시사회서비스원 장기요양요원지원센터"/>
    <m/>
    <s v="인사노무자문료 1 X 150,000"/>
  </r>
  <r>
    <s v="2025-03-25"/>
    <x v="77"/>
    <s v="50005"/>
    <s v="차변"/>
    <s v="101"/>
    <s v="현금"/>
    <x v="1"/>
    <n v="165000"/>
    <n v="0"/>
    <n v="-165000"/>
    <s v="(재)광주광역시사회서비스원 장기요양요원지원센터"/>
    <m/>
    <s v="인사노무자문료 1 X 150,000"/>
  </r>
  <r>
    <s v="2025-03-25"/>
    <x v="77"/>
    <s v="50006"/>
    <s v="대변"/>
    <s v="255"/>
    <s v="부가세예수금"/>
    <x v="3"/>
    <n v="0"/>
    <n v="10000"/>
    <n v="10000"/>
    <s v="(주)에이버츄얼"/>
    <m/>
    <s v="인사노무자문료 1 X 100,000"/>
  </r>
  <r>
    <s v="2025-03-25"/>
    <x v="77"/>
    <s v="50006"/>
    <s v="대변"/>
    <s v="401"/>
    <s v="용역매출"/>
    <x v="4"/>
    <n v="0"/>
    <n v="100000"/>
    <n v="100000"/>
    <s v="(주)에이버츄얼"/>
    <m/>
    <s v="인사노무자문료 1 X 100,000"/>
  </r>
  <r>
    <s v="2025-03-25"/>
    <x v="77"/>
    <s v="50006"/>
    <s v="차변"/>
    <s v="101"/>
    <s v="현금"/>
    <x v="1"/>
    <n v="110000"/>
    <n v="0"/>
    <n v="-110000"/>
    <s v="(주)에이버츄얼"/>
    <m/>
    <s v="인사노무자문료 1 X 100,000"/>
  </r>
  <r>
    <s v="2025-03-26"/>
    <x v="78"/>
    <s v="00001"/>
    <s v="차변"/>
    <s v="811"/>
    <s v="복리후생비(판)"/>
    <x v="8"/>
    <n v="3500"/>
    <n v="0"/>
    <n v="-3500"/>
    <s v="오라봉국수"/>
    <m/>
    <m/>
  </r>
  <r>
    <s v="2025-03-26"/>
    <x v="78"/>
    <s v="00001"/>
    <s v="대변"/>
    <s v="101"/>
    <s v="현금"/>
    <x v="1"/>
    <n v="0"/>
    <n v="3500"/>
    <n v="3500"/>
    <s v="하나카드(4088)"/>
    <m/>
    <m/>
  </r>
  <r>
    <s v="2025-03-26"/>
    <x v="78"/>
    <s v="00002"/>
    <s v="차변"/>
    <s v="812"/>
    <s v="여비교통비(판)"/>
    <x v="9"/>
    <n v="8900"/>
    <n v="0"/>
    <n v="-8900"/>
    <s v="샌드풀"/>
    <m/>
    <m/>
  </r>
  <r>
    <s v="2025-03-26"/>
    <x v="78"/>
    <s v="00002"/>
    <s v="대변"/>
    <s v="101"/>
    <s v="현금"/>
    <x v="1"/>
    <n v="0"/>
    <n v="8900"/>
    <n v="8900"/>
    <s v="현대카드(4817)"/>
    <m/>
    <m/>
  </r>
  <r>
    <s v="2025-03-26"/>
    <x v="78"/>
    <s v="50001"/>
    <s v="대변"/>
    <s v="255"/>
    <s v="부가세예수금"/>
    <x v="3"/>
    <n v="0"/>
    <n v="5000"/>
    <n v="5000"/>
    <s v="서호통상"/>
    <m/>
    <s v="인사노무자문료 1 X 50,000"/>
  </r>
  <r>
    <s v="2025-03-26"/>
    <x v="78"/>
    <s v="50001"/>
    <s v="대변"/>
    <s v="401"/>
    <s v="용역매출"/>
    <x v="4"/>
    <n v="0"/>
    <n v="50000"/>
    <n v="50000"/>
    <s v="서호통상"/>
    <m/>
    <s v="인사노무자문료 1 X 50,000"/>
  </r>
  <r>
    <s v="2025-03-26"/>
    <x v="78"/>
    <s v="50001"/>
    <s v="차변"/>
    <s v="101"/>
    <s v="현금"/>
    <x v="1"/>
    <n v="55000"/>
    <n v="0"/>
    <n v="-55000"/>
    <s v="서호통상"/>
    <m/>
    <s v="인사노무자문료 1 X 50,000"/>
  </r>
  <r>
    <s v="2025-03-26"/>
    <x v="78"/>
    <s v="50002"/>
    <s v="대변"/>
    <s v="255"/>
    <s v="부가세예수금"/>
    <x v="3"/>
    <n v="0"/>
    <n v="20000"/>
    <n v="20000"/>
    <s v="(주)연합기업"/>
    <m/>
    <s v="인사노무자문료 1 X 200,000"/>
  </r>
  <r>
    <s v="2025-03-26"/>
    <x v="78"/>
    <s v="50002"/>
    <s v="대변"/>
    <s v="401"/>
    <s v="용역매출"/>
    <x v="4"/>
    <n v="0"/>
    <n v="200000"/>
    <n v="200000"/>
    <s v="(주)연합기업"/>
    <m/>
    <s v="인사노무자문료 1 X 200,000"/>
  </r>
  <r>
    <s v="2025-03-26"/>
    <x v="78"/>
    <s v="50002"/>
    <s v="차변"/>
    <s v="101"/>
    <s v="현금"/>
    <x v="1"/>
    <n v="220000"/>
    <n v="0"/>
    <n v="-220000"/>
    <s v="(주)연합기업"/>
    <m/>
    <s v="인사노무자문료 1 X 200,000"/>
  </r>
  <r>
    <s v="2025-03-26"/>
    <x v="78"/>
    <s v="50003"/>
    <s v="대변"/>
    <s v="255"/>
    <s v="부가세예수금"/>
    <x v="3"/>
    <n v="0"/>
    <n v="12000"/>
    <n v="12000"/>
    <s v="마루샤브"/>
    <m/>
    <s v="인사노무자문료 1 X 120,000"/>
  </r>
  <r>
    <s v="2025-03-26"/>
    <x v="78"/>
    <s v="50003"/>
    <s v="대변"/>
    <s v="401"/>
    <s v="용역매출"/>
    <x v="4"/>
    <n v="0"/>
    <n v="120000"/>
    <n v="120000"/>
    <s v="마루샤브"/>
    <m/>
    <s v="인사노무자문료 1 X 120,000"/>
  </r>
  <r>
    <s v="2025-03-26"/>
    <x v="78"/>
    <s v="50003"/>
    <s v="차변"/>
    <s v="101"/>
    <s v="현금"/>
    <x v="1"/>
    <n v="132000"/>
    <n v="0"/>
    <n v="-132000"/>
    <s v="마루샤브"/>
    <m/>
    <s v="인사노무자문료 1 X 120,000"/>
  </r>
  <r>
    <s v="2025-03-26"/>
    <x v="78"/>
    <s v="50004"/>
    <s v="대변"/>
    <s v="255"/>
    <s v="부가세예수금"/>
    <x v="3"/>
    <n v="0"/>
    <n v="9091"/>
    <n v="9091"/>
    <s v="깐깐한 족발(화정점)"/>
    <m/>
    <s v="인사노무자문료 1 X 90,909"/>
  </r>
  <r>
    <s v="2025-03-26"/>
    <x v="78"/>
    <s v="50004"/>
    <s v="대변"/>
    <s v="401"/>
    <s v="용역매출"/>
    <x v="4"/>
    <n v="0"/>
    <n v="90909"/>
    <n v="90909"/>
    <s v="깐깐한 족발(화정점)"/>
    <m/>
    <s v="인사노무자문료 1 X 90,909"/>
  </r>
  <r>
    <s v="2025-03-26"/>
    <x v="78"/>
    <s v="50004"/>
    <s v="차변"/>
    <s v="101"/>
    <s v="현금"/>
    <x v="1"/>
    <n v="100000"/>
    <n v="0"/>
    <n v="-100000"/>
    <s v="깐깐한 족발(화정점)"/>
    <m/>
    <s v="인사노무자문료 1 X 90,909"/>
  </r>
  <r>
    <s v="2025-03-26"/>
    <x v="78"/>
    <s v="50005"/>
    <s v="대변"/>
    <s v="255"/>
    <s v="부가세예수금"/>
    <x v="3"/>
    <n v="0"/>
    <n v="-15000"/>
    <n v="-15000"/>
    <s v="(주)파이스물류"/>
    <m/>
    <s v="인사노무자문료 -1 X 150,000"/>
  </r>
  <r>
    <s v="2025-03-26"/>
    <x v="78"/>
    <s v="50005"/>
    <s v="대변"/>
    <s v="401"/>
    <s v="용역매출"/>
    <x v="4"/>
    <n v="0"/>
    <n v="-150000"/>
    <n v="-150000"/>
    <s v="(주)파이스물류"/>
    <m/>
    <s v="인사노무자문료 -1 X 150,000"/>
  </r>
  <r>
    <s v="2025-03-26"/>
    <x v="78"/>
    <s v="50005"/>
    <s v="차변"/>
    <s v="101"/>
    <s v="현금"/>
    <x v="1"/>
    <n v="-165000"/>
    <n v="0"/>
    <n v="165000"/>
    <s v="(주)파이스물류"/>
    <m/>
    <s v="인사노무자문료 -1 X 150,000"/>
  </r>
  <r>
    <s v="2025-03-26"/>
    <x v="78"/>
    <s v="50006"/>
    <s v="대변"/>
    <s v="255"/>
    <s v="부가세예수금"/>
    <x v="3"/>
    <n v="0"/>
    <n v="15000"/>
    <n v="15000"/>
    <s v="(주)파이스물류"/>
    <m/>
    <s v="인사노무자문료 1 X 150,000"/>
  </r>
  <r>
    <s v="2025-03-26"/>
    <x v="78"/>
    <s v="50006"/>
    <s v="대변"/>
    <s v="401"/>
    <s v="용역매출"/>
    <x v="4"/>
    <n v="0"/>
    <n v="150000"/>
    <n v="150000"/>
    <s v="(주)파이스물류"/>
    <m/>
    <s v="인사노무자문료 1 X 150,000"/>
  </r>
  <r>
    <s v="2025-03-26"/>
    <x v="78"/>
    <s v="50006"/>
    <s v="차변"/>
    <s v="101"/>
    <s v="현금"/>
    <x v="1"/>
    <n v="165000"/>
    <n v="0"/>
    <n v="-165000"/>
    <s v="(주)파이스물류"/>
    <m/>
    <s v="인사노무자문료 1 X 150,000"/>
  </r>
  <r>
    <s v="2025-03-26"/>
    <x v="78"/>
    <s v="50007"/>
    <s v="대변"/>
    <s v="255"/>
    <s v="부가세예수금"/>
    <x v="3"/>
    <n v="0"/>
    <n v="15000"/>
    <n v="15000"/>
    <s v="라스(LAS)어린이치과의원"/>
    <m/>
    <s v="인사노무자문료 1 X 150,000"/>
  </r>
  <r>
    <s v="2025-03-26"/>
    <x v="78"/>
    <s v="50007"/>
    <s v="대변"/>
    <s v="401"/>
    <s v="용역매출"/>
    <x v="4"/>
    <n v="0"/>
    <n v="150000"/>
    <n v="150000"/>
    <s v="라스(LAS)어린이치과의원"/>
    <m/>
    <s v="인사노무자문료 1 X 150,000"/>
  </r>
  <r>
    <s v="2025-03-26"/>
    <x v="78"/>
    <s v="50007"/>
    <s v="차변"/>
    <s v="101"/>
    <s v="현금"/>
    <x v="1"/>
    <n v="165000"/>
    <n v="0"/>
    <n v="-165000"/>
    <s v="라스(LAS)어린이치과의원"/>
    <m/>
    <s v="인사노무자문료 1 X 150,000"/>
  </r>
  <r>
    <s v="2025-03-26"/>
    <x v="78"/>
    <s v="50008"/>
    <s v="대변"/>
    <s v="255"/>
    <s v="부가세예수금"/>
    <x v="3"/>
    <n v="0"/>
    <n v="10000"/>
    <n v="10000"/>
    <s v="커피랩"/>
    <m/>
    <s v="인사노무자문료 1 X 100,000"/>
  </r>
  <r>
    <s v="2025-03-26"/>
    <x v="78"/>
    <s v="50008"/>
    <s v="대변"/>
    <s v="401"/>
    <s v="용역매출"/>
    <x v="4"/>
    <n v="0"/>
    <n v="100000"/>
    <n v="100000"/>
    <s v="커피랩"/>
    <m/>
    <s v="인사노무자문료 1 X 100,000"/>
  </r>
  <r>
    <s v="2025-03-26"/>
    <x v="78"/>
    <s v="50008"/>
    <s v="차변"/>
    <s v="101"/>
    <s v="현금"/>
    <x v="1"/>
    <n v="110000"/>
    <n v="0"/>
    <n v="-110000"/>
    <s v="커피랩"/>
    <m/>
    <s v="인사노무자문료 1 X 100,000"/>
  </r>
  <r>
    <s v="2025-03-26"/>
    <x v="78"/>
    <s v="50009"/>
    <s v="대변"/>
    <s v="255"/>
    <s v="부가세예수금"/>
    <x v="3"/>
    <n v="0"/>
    <n v="11819"/>
    <n v="11819"/>
    <s v="바오팜 주식회사"/>
    <m/>
    <s v="인사노무자문료 1 X 118,181"/>
  </r>
  <r>
    <s v="2025-03-26"/>
    <x v="78"/>
    <s v="50009"/>
    <s v="대변"/>
    <s v="401"/>
    <s v="용역매출"/>
    <x v="4"/>
    <n v="0"/>
    <n v="118181"/>
    <n v="118181"/>
    <s v="바오팜 주식회사"/>
    <m/>
    <s v="인사노무자문료 1 X 118,181"/>
  </r>
  <r>
    <s v="2025-03-26"/>
    <x v="78"/>
    <s v="50009"/>
    <s v="차변"/>
    <s v="101"/>
    <s v="현금"/>
    <x v="1"/>
    <n v="130000"/>
    <n v="0"/>
    <n v="-130000"/>
    <s v="바오팜 주식회사"/>
    <m/>
    <s v="인사노무자문료 1 X 118,181"/>
  </r>
  <r>
    <s v="2025-03-27"/>
    <x v="79"/>
    <s v="00001"/>
    <s v="차변"/>
    <s v="811"/>
    <s v="복리후생비(판)"/>
    <x v="8"/>
    <n v="10000"/>
    <n v="0"/>
    <n v="-10000"/>
    <s v="1811고기짬뽕"/>
    <m/>
    <m/>
  </r>
  <r>
    <s v="2025-03-27"/>
    <x v="79"/>
    <s v="00001"/>
    <s v="대변"/>
    <s v="101"/>
    <s v="현금"/>
    <x v="1"/>
    <n v="0"/>
    <n v="10000"/>
    <n v="10000"/>
    <s v="하나카드(4088)"/>
    <m/>
    <m/>
  </r>
  <r>
    <s v="2025-03-28"/>
    <x v="80"/>
    <s v="00001"/>
    <s v="차변"/>
    <s v="812"/>
    <s v="여비교통비(판)"/>
    <x v="9"/>
    <n v="8400"/>
    <n v="0"/>
    <n v="-8400"/>
    <s v="(주)이동의즐거움"/>
    <m/>
    <m/>
  </r>
  <r>
    <s v="2025-03-28"/>
    <x v="80"/>
    <s v="00001"/>
    <s v="대변"/>
    <s v="101"/>
    <s v="현금"/>
    <x v="1"/>
    <n v="0"/>
    <n v="8400"/>
    <n v="8400"/>
    <s v="하나카드(4088)"/>
    <m/>
    <m/>
  </r>
  <r>
    <s v="2025-03-28"/>
    <x v="80"/>
    <s v="00002"/>
    <s v="차변"/>
    <s v="812"/>
    <s v="여비교통비(판)"/>
    <x v="9"/>
    <n v="1000"/>
    <n v="0"/>
    <n v="-1000"/>
    <s v="(주)이동의즐거움"/>
    <m/>
    <m/>
  </r>
  <r>
    <s v="2025-03-28"/>
    <x v="80"/>
    <s v="00002"/>
    <s v="대변"/>
    <s v="101"/>
    <s v="현금"/>
    <x v="1"/>
    <n v="0"/>
    <n v="1000"/>
    <n v="1000"/>
    <s v="하나카드(4088)"/>
    <m/>
    <m/>
  </r>
  <r>
    <s v="2025-03-28"/>
    <x v="80"/>
    <s v="00003"/>
    <s v="차변"/>
    <s v="812"/>
    <s v="여비교통비(판)"/>
    <x v="9"/>
    <n v="3000"/>
    <n v="0"/>
    <n v="-3000"/>
    <s v="주식회사 티머니"/>
    <m/>
    <m/>
  </r>
  <r>
    <s v="2025-03-28"/>
    <x v="80"/>
    <s v="00003"/>
    <s v="대변"/>
    <s v="101"/>
    <s v="현금"/>
    <x v="1"/>
    <n v="0"/>
    <n v="3000"/>
    <n v="3000"/>
    <s v="하나카드(4088)"/>
    <m/>
    <m/>
  </r>
  <r>
    <s v="2025-03-28"/>
    <x v="80"/>
    <s v="00004"/>
    <s v="차변"/>
    <s v="812"/>
    <s v="여비교통비(판)"/>
    <x v="9"/>
    <n v="9300"/>
    <n v="0"/>
    <n v="-9300"/>
    <s v="주식회사 티머니"/>
    <m/>
    <m/>
  </r>
  <r>
    <s v="2025-03-28"/>
    <x v="80"/>
    <s v="00004"/>
    <s v="대변"/>
    <s v="101"/>
    <s v="현금"/>
    <x v="1"/>
    <n v="0"/>
    <n v="9300"/>
    <n v="9300"/>
    <s v="하나카드(4088)"/>
    <m/>
    <m/>
  </r>
  <r>
    <s v="2025-03-28"/>
    <x v="80"/>
    <s v="50001"/>
    <s v="대변"/>
    <s v="255"/>
    <s v="부가세예수금"/>
    <x v="3"/>
    <n v="0"/>
    <n v="15000"/>
    <n v="15000"/>
    <s v="롤링파스타(수완점)"/>
    <m/>
    <s v="인사노무자문료 1 X 150,000"/>
  </r>
  <r>
    <s v="2025-03-28"/>
    <x v="80"/>
    <s v="50001"/>
    <s v="대변"/>
    <s v="401"/>
    <s v="용역매출"/>
    <x v="4"/>
    <n v="0"/>
    <n v="150000"/>
    <n v="150000"/>
    <s v="롤링파스타(수완점)"/>
    <m/>
    <s v="인사노무자문료 1 X 150,000"/>
  </r>
  <r>
    <s v="2025-03-28"/>
    <x v="80"/>
    <s v="50001"/>
    <s v="차변"/>
    <s v="101"/>
    <s v="현금"/>
    <x v="1"/>
    <n v="165000"/>
    <n v="0"/>
    <n v="-165000"/>
    <s v="롤링파스타(수완점)"/>
    <m/>
    <s v="인사노무자문료 1 X 150,000"/>
  </r>
  <r>
    <s v="2025-03-28"/>
    <x v="80"/>
    <s v="50002"/>
    <s v="대변"/>
    <s v="255"/>
    <s v="부가세예수금"/>
    <x v="3"/>
    <n v="0"/>
    <n v="10000"/>
    <n v="10000"/>
    <s v="주식회사 호원"/>
    <m/>
    <s v="인사노무자문료 1 X 100,000"/>
  </r>
  <r>
    <s v="2025-03-28"/>
    <x v="80"/>
    <s v="50002"/>
    <s v="대변"/>
    <s v="401"/>
    <s v="용역매출"/>
    <x v="4"/>
    <n v="0"/>
    <n v="100000"/>
    <n v="100000"/>
    <s v="주식회사 호원"/>
    <m/>
    <s v="인사노무자문료 1 X 100,000"/>
  </r>
  <r>
    <s v="2025-03-28"/>
    <x v="80"/>
    <s v="50002"/>
    <s v="차변"/>
    <s v="101"/>
    <s v="현금"/>
    <x v="1"/>
    <n v="110000"/>
    <n v="0"/>
    <n v="-110000"/>
    <s v="주식회사 호원"/>
    <m/>
    <s v="인사노무자문료 1 X 100,000"/>
  </r>
  <r>
    <s v="2025-03-28"/>
    <x v="80"/>
    <s v="50003"/>
    <s v="대변"/>
    <s v="255"/>
    <s v="부가세예수금"/>
    <x v="3"/>
    <n v="0"/>
    <n v="10000"/>
    <n v="10000"/>
    <s v="샤브사랑"/>
    <m/>
    <s v="인사노무자문료 1 X 100,000"/>
  </r>
  <r>
    <s v="2025-03-28"/>
    <x v="80"/>
    <s v="50003"/>
    <s v="대변"/>
    <s v="401"/>
    <s v="용역매출"/>
    <x v="4"/>
    <n v="0"/>
    <n v="100000"/>
    <n v="100000"/>
    <s v="샤브사랑"/>
    <m/>
    <s v="인사노무자문료 1 X 100,000"/>
  </r>
  <r>
    <s v="2025-03-28"/>
    <x v="80"/>
    <s v="50003"/>
    <s v="차변"/>
    <s v="101"/>
    <s v="현금"/>
    <x v="1"/>
    <n v="110000"/>
    <n v="0"/>
    <n v="-110000"/>
    <s v="샤브사랑"/>
    <m/>
    <s v="인사노무자문료 1 X 100,000"/>
  </r>
  <r>
    <s v="2025-03-29"/>
    <x v="81"/>
    <s v="00001"/>
    <s v="차변"/>
    <s v="811"/>
    <s v="복리후생비(판)"/>
    <x v="8"/>
    <n v="12000"/>
    <n v="0"/>
    <n v="-12000"/>
    <s v="김밥랜드"/>
    <m/>
    <m/>
  </r>
  <r>
    <s v="2025-03-29"/>
    <x v="81"/>
    <s v="00001"/>
    <s v="대변"/>
    <s v="101"/>
    <s v="현금"/>
    <x v="1"/>
    <n v="0"/>
    <n v="12000"/>
    <n v="12000"/>
    <s v="현대카드(4817)"/>
    <m/>
    <m/>
  </r>
  <r>
    <s v="2025-03-29"/>
    <x v="81"/>
    <s v="00002"/>
    <s v="차변"/>
    <s v="830"/>
    <s v="소모품비(판)"/>
    <x v="6"/>
    <n v="2000"/>
    <n v="0"/>
    <n v="-2000"/>
    <s v="씨유 켄싱턴리조트하동점"/>
    <m/>
    <m/>
  </r>
  <r>
    <s v="2025-03-29"/>
    <x v="81"/>
    <s v="00002"/>
    <s v="대변"/>
    <s v="101"/>
    <s v="현금"/>
    <x v="1"/>
    <n v="0"/>
    <n v="2000"/>
    <n v="2000"/>
    <s v="현대카드(4817)"/>
    <m/>
    <m/>
  </r>
  <r>
    <s v="2025-03-29"/>
    <x v="81"/>
    <s v="00003"/>
    <s v="차변"/>
    <s v="830"/>
    <s v="소모품비(판)"/>
    <x v="6"/>
    <n v="25800"/>
    <n v="0"/>
    <n v="-25800"/>
    <s v="씨유 켄싱턴리조트하동점"/>
    <m/>
    <m/>
  </r>
  <r>
    <s v="2025-03-29"/>
    <x v="81"/>
    <s v="00003"/>
    <s v="대변"/>
    <s v="101"/>
    <s v="현금"/>
    <x v="1"/>
    <n v="0"/>
    <n v="25800"/>
    <n v="25800"/>
    <s v="현대카드(4817)"/>
    <m/>
    <m/>
  </r>
  <r>
    <s v="2025-03-29"/>
    <x v="81"/>
    <s v="00004"/>
    <s v="차변"/>
    <s v="830"/>
    <s v="소모품비(판)"/>
    <x v="6"/>
    <n v="4200"/>
    <n v="0"/>
    <n v="-4200"/>
    <s v="씨유 켄싱턴리조트하동점"/>
    <m/>
    <m/>
  </r>
  <r>
    <s v="2025-03-29"/>
    <x v="81"/>
    <s v="00004"/>
    <s v="대변"/>
    <s v="101"/>
    <s v="현금"/>
    <x v="1"/>
    <n v="0"/>
    <n v="4200"/>
    <n v="4200"/>
    <s v="현대카드(4817)"/>
    <m/>
    <m/>
  </r>
  <r>
    <s v="2025-03-29"/>
    <x v="81"/>
    <s v="00005"/>
    <s v="차변"/>
    <s v="830"/>
    <s v="소모품비(판)"/>
    <x v="6"/>
    <n v="8900"/>
    <n v="0"/>
    <n v="-8900"/>
    <s v="에이플러스마트"/>
    <m/>
    <m/>
  </r>
  <r>
    <s v="2025-03-29"/>
    <x v="81"/>
    <s v="00005"/>
    <s v="대변"/>
    <s v="101"/>
    <s v="현금"/>
    <x v="1"/>
    <n v="0"/>
    <n v="8900"/>
    <n v="8900"/>
    <s v="현대카드(4817)"/>
    <m/>
    <m/>
  </r>
  <r>
    <s v="2025-03-29"/>
    <x v="81"/>
    <s v="00006"/>
    <s v="차변"/>
    <s v="830"/>
    <s v="소모품비(판)"/>
    <x v="6"/>
    <n v="14400"/>
    <n v="0"/>
    <n v="-14400"/>
    <s v="지에스이십오(GS25) 광주문흥점"/>
    <m/>
    <m/>
  </r>
  <r>
    <s v="2025-03-29"/>
    <x v="81"/>
    <s v="00006"/>
    <s v="대변"/>
    <s v="101"/>
    <s v="현금"/>
    <x v="1"/>
    <n v="0"/>
    <n v="14400"/>
    <n v="14400"/>
    <s v="현대카드(4817)"/>
    <m/>
    <m/>
  </r>
  <r>
    <s v="2025-03-29"/>
    <x v="81"/>
    <s v="00007"/>
    <s v="차변"/>
    <s v="812"/>
    <s v="여비교통비(판)"/>
    <x v="9"/>
    <n v="12500"/>
    <n v="0"/>
    <n v="-12500"/>
    <s v="길스가든더로드101(길s Garden the Road"/>
    <m/>
    <m/>
  </r>
  <r>
    <s v="2025-03-29"/>
    <x v="81"/>
    <s v="00007"/>
    <s v="대변"/>
    <s v="101"/>
    <s v="현금"/>
    <x v="1"/>
    <n v="0"/>
    <n v="12500"/>
    <n v="12500"/>
    <s v="현대카드(4817)"/>
    <m/>
    <m/>
  </r>
  <r>
    <s v="2025-03-29"/>
    <x v="81"/>
    <s v="00008"/>
    <s v="차변"/>
    <s v="812"/>
    <s v="여비교통비(판)"/>
    <x v="9"/>
    <n v="15400"/>
    <n v="0"/>
    <n v="-15400"/>
    <s v="(주)이동의즐거움"/>
    <m/>
    <m/>
  </r>
  <r>
    <s v="2025-03-29"/>
    <x v="81"/>
    <s v="00008"/>
    <s v="대변"/>
    <s v="101"/>
    <s v="현금"/>
    <x v="1"/>
    <n v="0"/>
    <n v="15400"/>
    <n v="15400"/>
    <s v="하나카드(4088)"/>
    <m/>
    <m/>
  </r>
  <r>
    <s v="2025-03-29"/>
    <x v="81"/>
    <s v="00009"/>
    <s v="차변"/>
    <s v="812"/>
    <s v="여비교통비(판)"/>
    <x v="9"/>
    <n v="1000"/>
    <n v="0"/>
    <n v="-1000"/>
    <s v="(주)이동의즐거움"/>
    <m/>
    <m/>
  </r>
  <r>
    <s v="2025-03-29"/>
    <x v="81"/>
    <s v="00009"/>
    <s v="대변"/>
    <s v="101"/>
    <s v="현금"/>
    <x v="1"/>
    <n v="0"/>
    <n v="1000"/>
    <n v="1000"/>
    <s v="하나카드(4088)"/>
    <m/>
    <m/>
  </r>
  <r>
    <s v="2025-03-29"/>
    <x v="81"/>
    <s v="00010"/>
    <s v="차변"/>
    <s v="812"/>
    <s v="여비교통비(판)"/>
    <x v="9"/>
    <n v="15000"/>
    <n v="0"/>
    <n v="-15000"/>
    <s v="길스가든더로드101(길s Garden the Road"/>
    <m/>
    <m/>
  </r>
  <r>
    <s v="2025-03-29"/>
    <x v="81"/>
    <s v="00010"/>
    <s v="대변"/>
    <s v="101"/>
    <s v="현금"/>
    <x v="1"/>
    <n v="0"/>
    <n v="15000"/>
    <n v="15000"/>
    <s v="하나카드(4088)"/>
    <m/>
    <m/>
  </r>
  <r>
    <s v="2025-03-29"/>
    <x v="81"/>
    <s v="00011"/>
    <s v="차변"/>
    <s v="812"/>
    <s v="여비교통비(판)"/>
    <x v="9"/>
    <n v="3400"/>
    <n v="0"/>
    <n v="-3400"/>
    <s v="동원사랑 할인마트"/>
    <m/>
    <m/>
  </r>
  <r>
    <s v="2025-03-29"/>
    <x v="81"/>
    <s v="00011"/>
    <s v="대변"/>
    <s v="101"/>
    <s v="현금"/>
    <x v="1"/>
    <n v="0"/>
    <n v="3400"/>
    <n v="3400"/>
    <s v="하나카드(4088)"/>
    <m/>
    <m/>
  </r>
  <r>
    <s v="2025-03-29"/>
    <x v="81"/>
    <s v="00012"/>
    <s v="차변"/>
    <s v="812"/>
    <s v="여비교통비(판)"/>
    <x v="9"/>
    <n v="8100"/>
    <n v="0"/>
    <n v="-8100"/>
    <s v="홍구빵집"/>
    <m/>
    <m/>
  </r>
  <r>
    <s v="2025-03-29"/>
    <x v="81"/>
    <s v="00012"/>
    <s v="대변"/>
    <s v="101"/>
    <s v="현금"/>
    <x v="1"/>
    <n v="0"/>
    <n v="8100"/>
    <n v="8100"/>
    <s v="하나카드(4088)"/>
    <m/>
    <m/>
  </r>
  <r>
    <s v="2025-03-29"/>
    <x v="81"/>
    <s v="00013"/>
    <s v="차변"/>
    <s v="812"/>
    <s v="여비교통비(판)"/>
    <x v="9"/>
    <n v="21400"/>
    <n v="0"/>
    <n v="-21400"/>
    <s v="주식회사 밤톨"/>
    <s v="02"/>
    <s v="거래처 접대비(기업업무추진비)/신용카드(개인)"/>
  </r>
  <r>
    <s v="2025-03-29"/>
    <x v="81"/>
    <s v="00013"/>
    <s v="대변"/>
    <s v="101"/>
    <s v="현금"/>
    <x v="1"/>
    <n v="0"/>
    <n v="21400"/>
    <n v="21400"/>
    <s v="하나카드(4088)"/>
    <m/>
    <m/>
  </r>
  <r>
    <s v="2025-03-29"/>
    <x v="81"/>
    <s v="00014"/>
    <s v="차변"/>
    <s v="813"/>
    <s v="접대비(기업업무추진비)(판)"/>
    <x v="0"/>
    <n v="36000"/>
    <n v="0"/>
    <n v="-36000"/>
    <s v="쉬어가기 좋은날"/>
    <m/>
    <m/>
  </r>
  <r>
    <s v="2025-03-29"/>
    <x v="81"/>
    <s v="00014"/>
    <s v="대변"/>
    <s v="101"/>
    <s v="현금"/>
    <x v="1"/>
    <n v="0"/>
    <n v="36000"/>
    <n v="36000"/>
    <s v="현대카드(4817)"/>
    <m/>
    <m/>
  </r>
  <r>
    <s v="2025-03-29"/>
    <x v="81"/>
    <s v="00015"/>
    <s v="차변"/>
    <s v="822"/>
    <s v="차량유지비(판)"/>
    <x v="11"/>
    <n v="50000"/>
    <n v="0"/>
    <n v="-50000"/>
    <s v="(주)원일유통 강천산(대구)주유소"/>
    <m/>
    <m/>
  </r>
  <r>
    <s v="2025-03-29"/>
    <x v="81"/>
    <s v="00015"/>
    <s v="대변"/>
    <s v="101"/>
    <s v="현금"/>
    <x v="1"/>
    <n v="0"/>
    <n v="50000"/>
    <n v="50000"/>
    <s v="농협카드(6215)"/>
    <m/>
    <m/>
  </r>
  <r>
    <s v="2025-03-29"/>
    <x v="81"/>
    <s v="50001"/>
    <s v="대변"/>
    <s v="255"/>
    <s v="부가세예수금"/>
    <x v="3"/>
    <n v="0"/>
    <n v="9091"/>
    <n v="9091"/>
    <s v="해드림재활주간보호센터"/>
    <m/>
    <s v="인사노무자문료 1 X 90,909"/>
  </r>
  <r>
    <s v="2025-03-29"/>
    <x v="81"/>
    <s v="50001"/>
    <s v="대변"/>
    <s v="401"/>
    <s v="용역매출"/>
    <x v="4"/>
    <n v="0"/>
    <n v="90909"/>
    <n v="90909"/>
    <s v="해드림재활주간보호센터"/>
    <m/>
    <s v="인사노무자문료 1 X 90,909"/>
  </r>
  <r>
    <s v="2025-03-29"/>
    <x v="81"/>
    <s v="50001"/>
    <s v="차변"/>
    <s v="101"/>
    <s v="현금"/>
    <x v="1"/>
    <n v="100000"/>
    <n v="0"/>
    <n v="-100000"/>
    <s v="해드림재활주간보호센터"/>
    <m/>
    <s v="인사노무자문료 1 X 90,909"/>
  </r>
  <r>
    <s v="2025-03-30"/>
    <x v="82"/>
    <s v="00001"/>
    <s v="차변"/>
    <s v="811"/>
    <s v="복리후생비(판)"/>
    <x v="8"/>
    <n v="5640"/>
    <n v="0"/>
    <n v="-5640"/>
    <s v="배스킨라빈스 첨단점"/>
    <m/>
    <m/>
  </r>
  <r>
    <s v="2025-03-30"/>
    <x v="82"/>
    <s v="00001"/>
    <s v="대변"/>
    <s v="101"/>
    <s v="현금"/>
    <x v="1"/>
    <n v="0"/>
    <n v="5640"/>
    <n v="5640"/>
    <s v="현대카드(4817)"/>
    <m/>
    <m/>
  </r>
  <r>
    <s v="2025-03-30"/>
    <x v="82"/>
    <s v="00002"/>
    <s v="차변"/>
    <s v="812"/>
    <s v="여비교통비(판)"/>
    <x v="9"/>
    <n v="17900"/>
    <n v="0"/>
    <n v="-17900"/>
    <s v="（주）이랜드파크 켄싱턴리조트 하동"/>
    <m/>
    <m/>
  </r>
  <r>
    <s v="2025-03-30"/>
    <x v="82"/>
    <s v="00002"/>
    <s v="대변"/>
    <s v="101"/>
    <s v="현금"/>
    <x v="1"/>
    <n v="0"/>
    <n v="17900"/>
    <n v="17900"/>
    <s v="현대카드(4817)"/>
    <m/>
    <m/>
  </r>
  <r>
    <s v="2025-03-31"/>
    <x v="83"/>
    <s v="00001"/>
    <s v="차변"/>
    <s v="802"/>
    <s v="직원급여(판)"/>
    <x v="18"/>
    <n v="1700000"/>
    <n v="0"/>
    <n v="-1700000"/>
    <m/>
    <s v="  "/>
    <s v="급여등지급"/>
  </r>
  <r>
    <s v="2025-03-31"/>
    <x v="83"/>
    <s v="00001"/>
    <s v="대변"/>
    <s v="101"/>
    <s v="현금"/>
    <x v="1"/>
    <n v="0"/>
    <n v="1476240"/>
    <n v="1476240"/>
    <m/>
    <s v="  "/>
    <s v="급여등지급"/>
  </r>
  <r>
    <s v="2025-03-31"/>
    <x v="83"/>
    <s v="00001"/>
    <s v="대변"/>
    <s v="254"/>
    <s v="예수금"/>
    <x v="12"/>
    <n v="0"/>
    <n v="149400"/>
    <n v="149400"/>
    <s v="국민연금공단"/>
    <s v="  "/>
    <s v="급여지급시 국민연금예수"/>
  </r>
  <r>
    <s v="2025-03-31"/>
    <x v="83"/>
    <s v="00001"/>
    <s v="대변"/>
    <s v="254"/>
    <s v="예수금"/>
    <x v="12"/>
    <n v="0"/>
    <n v="60260"/>
    <n v="60260"/>
    <s v="건강보험공단"/>
    <s v="  "/>
    <s v="급여지급시 건강보험예수"/>
  </r>
  <r>
    <s v="2025-03-31"/>
    <x v="83"/>
    <s v="00001"/>
    <s v="대변"/>
    <s v="254"/>
    <s v="예수금"/>
    <x v="12"/>
    <n v="0"/>
    <n v="6300"/>
    <n v="6300"/>
    <s v="근로복지공단"/>
    <s v="  "/>
    <s v="급여지급시 고용보험예수"/>
  </r>
  <r>
    <s v="2025-03-31"/>
    <x v="83"/>
    <s v="00001"/>
    <s v="대변"/>
    <s v="254"/>
    <s v="예수금"/>
    <x v="12"/>
    <n v="0"/>
    <n v="7800"/>
    <n v="7800"/>
    <s v="건강보험공단"/>
    <s v="  "/>
    <s v="급여지급시 장기요양보험예수"/>
  </r>
  <r>
    <s v="2025-03-31"/>
    <x v="83"/>
    <s v="00002"/>
    <s v="차변"/>
    <s v="811"/>
    <s v="복리후생비(판)"/>
    <x v="8"/>
    <n v="14000"/>
    <n v="0"/>
    <n v="-14000"/>
    <s v="주식회사 울림푸드 한식뷔페 첨단 정부청사점"/>
    <m/>
    <m/>
  </r>
  <r>
    <s v="2025-03-31"/>
    <x v="83"/>
    <s v="00002"/>
    <s v="대변"/>
    <s v="101"/>
    <s v="현금"/>
    <x v="1"/>
    <n v="0"/>
    <n v="14000"/>
    <n v="14000"/>
    <s v="현대카드(4817)"/>
    <m/>
    <m/>
  </r>
  <r>
    <s v="2025-03-31"/>
    <x v="83"/>
    <s v="00003"/>
    <s v="차변"/>
    <s v="830"/>
    <s v="소모품비(판)"/>
    <x v="6"/>
    <n v="7700"/>
    <n v="0"/>
    <n v="-7700"/>
    <s v="햇살마트"/>
    <m/>
    <m/>
  </r>
  <r>
    <s v="2025-03-31"/>
    <x v="83"/>
    <s v="00003"/>
    <s v="대변"/>
    <s v="101"/>
    <s v="현금"/>
    <x v="1"/>
    <n v="0"/>
    <n v="7700"/>
    <n v="7700"/>
    <s v="현대카드(4817)"/>
    <m/>
    <m/>
  </r>
  <r>
    <s v="2025-03-31"/>
    <x v="83"/>
    <s v="00004"/>
    <s v="차변"/>
    <s v="812"/>
    <s v="여비교통비(판)"/>
    <x v="9"/>
    <n v="1250"/>
    <n v="0"/>
    <n v="-1250"/>
    <s v="(주)이동의즐거움"/>
    <m/>
    <m/>
  </r>
  <r>
    <s v="2025-03-31"/>
    <x v="83"/>
    <s v="00004"/>
    <s v="대변"/>
    <s v="101"/>
    <s v="현금"/>
    <x v="1"/>
    <n v="0"/>
    <n v="1250"/>
    <n v="1250"/>
    <s v="현대카드(4817)"/>
    <m/>
    <m/>
  </r>
  <r>
    <s v="2025-03-31"/>
    <x v="83"/>
    <s v="50001"/>
    <s v="차변"/>
    <s v="135"/>
    <s v="부가세대급금"/>
    <x v="5"/>
    <n v="111"/>
    <n v="0"/>
    <n v="-111"/>
    <s v="네이버 주식회사"/>
    <m/>
    <s v="네이버 검색광고_사이트검색광고"/>
  </r>
  <r>
    <s v="2025-03-31"/>
    <x v="83"/>
    <s v="50001"/>
    <s v="차변"/>
    <s v="833"/>
    <s v="광고선전비(판)"/>
    <x v="19"/>
    <n v="1110"/>
    <n v="0"/>
    <n v="-1110"/>
    <s v="네이버 주식회사"/>
    <m/>
    <s v="네이버 검색광고_사이트검색광고"/>
  </r>
  <r>
    <s v="2025-03-31"/>
    <x v="83"/>
    <s v="50001"/>
    <s v="대변"/>
    <s v="101"/>
    <s v="현금"/>
    <x v="1"/>
    <n v="0"/>
    <n v="1221"/>
    <n v="1221"/>
    <s v="네이버 주식회사"/>
    <m/>
    <s v="네이버 검색광고_사이트검색광고"/>
  </r>
  <r>
    <s v="2025-03-31"/>
    <x v="83"/>
    <s v="50002"/>
    <s v="차변"/>
    <s v="135"/>
    <s v="부가세대급금"/>
    <x v="5"/>
    <n v="10000"/>
    <n v="0"/>
    <n v="-10000"/>
    <s v="서찬영세무회계사무소"/>
    <m/>
    <s v="기장료"/>
  </r>
  <r>
    <s v="2025-03-31"/>
    <x v="83"/>
    <s v="50002"/>
    <s v="차변"/>
    <s v="831"/>
    <s v="지급수수료(판)"/>
    <x v="7"/>
    <n v="100000"/>
    <n v="0"/>
    <n v="-100000"/>
    <s v="서찬영세무회계사무소"/>
    <m/>
    <s v="기장료"/>
  </r>
  <r>
    <s v="2025-03-31"/>
    <x v="83"/>
    <s v="50002"/>
    <s v="대변"/>
    <s v="101"/>
    <s v="현금"/>
    <x v="1"/>
    <n v="0"/>
    <n v="110000"/>
    <n v="110000"/>
    <s v="서찬영세무회계사무소"/>
    <m/>
    <s v="기장료"/>
  </r>
  <r>
    <s v="2025-03-31"/>
    <x v="83"/>
    <s v="50003"/>
    <s v="차변"/>
    <s v="135"/>
    <s v="부가세대급금"/>
    <x v="5"/>
    <n v="768"/>
    <n v="0"/>
    <n v="-768"/>
    <s v="(주) 다우기술"/>
    <m/>
    <s v="엔팩스 서비스 사용료 1 X 7,682"/>
  </r>
  <r>
    <s v="2025-03-31"/>
    <x v="83"/>
    <s v="50003"/>
    <s v="차변"/>
    <s v="831"/>
    <s v="지급수수료(판)"/>
    <x v="7"/>
    <n v="7682"/>
    <n v="0"/>
    <n v="-7682"/>
    <s v="(주) 다우기술"/>
    <m/>
    <s v="엔팩스 서비스 사용료 1 X 7,682"/>
  </r>
  <r>
    <s v="2025-03-31"/>
    <x v="83"/>
    <s v="50003"/>
    <s v="대변"/>
    <s v="101"/>
    <s v="현금"/>
    <x v="1"/>
    <n v="0"/>
    <n v="8450"/>
    <n v="8450"/>
    <s v="(주) 다우기술"/>
    <m/>
    <s v="엔팩스 서비스 사용료 1 X 7,682"/>
  </r>
  <r>
    <s v="2025-03-31"/>
    <x v="83"/>
    <s v="50004"/>
    <s v="차변"/>
    <s v="135"/>
    <s v="부가세대급금"/>
    <x v="5"/>
    <n v="4000"/>
    <n v="0"/>
    <n v="-4000"/>
    <s v="효성에프엠에스(주)"/>
    <m/>
    <s v="03월CMS사용료-gjsals596"/>
  </r>
  <r>
    <s v="2025-03-31"/>
    <x v="83"/>
    <s v="50004"/>
    <s v="차변"/>
    <s v="831"/>
    <s v="지급수수료(판)"/>
    <x v="7"/>
    <n v="40000"/>
    <n v="0"/>
    <n v="-40000"/>
    <s v="효성에프엠에스(주)"/>
    <m/>
    <s v="03월CMS사용료-gjsals596"/>
  </r>
  <r>
    <s v="2025-03-31"/>
    <x v="83"/>
    <s v="50004"/>
    <s v="대변"/>
    <s v="101"/>
    <s v="현금"/>
    <x v="1"/>
    <n v="0"/>
    <n v="44000"/>
    <n v="44000"/>
    <s v="효성에프엠에스(주)"/>
    <m/>
    <s v="03월CMS사용료-gjsals596"/>
  </r>
  <r>
    <s v="2025-03-31"/>
    <x v="83"/>
    <s v="50005"/>
    <s v="차변"/>
    <s v="135"/>
    <s v="부가세대급금"/>
    <x v="5"/>
    <n v="1145"/>
    <n v="0"/>
    <n v="-1145"/>
    <s v="효성에프엠에스(주)"/>
    <m/>
    <s v="03월CMS수수료-gjsals596"/>
  </r>
  <r>
    <s v="2025-03-31"/>
    <x v="83"/>
    <s v="50005"/>
    <s v="차변"/>
    <s v="831"/>
    <s v="지급수수료(판)"/>
    <x v="7"/>
    <n v="11450"/>
    <n v="0"/>
    <n v="-11450"/>
    <s v="효성에프엠에스(주)"/>
    <m/>
    <s v="03월CMS수수료-gjsals596"/>
  </r>
  <r>
    <s v="2025-03-31"/>
    <x v="83"/>
    <s v="50005"/>
    <s v="대변"/>
    <s v="101"/>
    <s v="현금"/>
    <x v="1"/>
    <n v="0"/>
    <n v="12595"/>
    <n v="12595"/>
    <s v="효성에프엠에스(주)"/>
    <m/>
    <s v="03월CMS수수료-gjsals596"/>
  </r>
  <r>
    <s v="2025-03-31"/>
    <x v="83"/>
    <s v="50006"/>
    <s v="대변"/>
    <s v="255"/>
    <s v="부가세예수금"/>
    <x v="3"/>
    <n v="0"/>
    <n v="15000"/>
    <n v="15000"/>
    <s v="주식회사 푸른하늘청자"/>
    <m/>
    <s v="인사노무자문료 1 X 150,000"/>
  </r>
  <r>
    <s v="2025-03-31"/>
    <x v="83"/>
    <s v="50006"/>
    <s v="대변"/>
    <s v="401"/>
    <s v="용역매출"/>
    <x v="4"/>
    <n v="0"/>
    <n v="150000"/>
    <n v="150000"/>
    <s v="주식회사 푸른하늘청자"/>
    <m/>
    <s v="인사노무자문료 1 X 150,000"/>
  </r>
  <r>
    <s v="2025-03-31"/>
    <x v="83"/>
    <s v="50006"/>
    <s v="차변"/>
    <s v="101"/>
    <s v="현금"/>
    <x v="1"/>
    <n v="165000"/>
    <n v="0"/>
    <n v="-165000"/>
    <s v="주식회사 푸른하늘청자"/>
    <m/>
    <s v="인사노무자문료 1 X 150,000"/>
  </r>
  <r>
    <s v="2025-03-31"/>
    <x v="83"/>
    <s v="50007"/>
    <s v="대변"/>
    <s v="255"/>
    <s v="부가세예수금"/>
    <x v="3"/>
    <n v="0"/>
    <n v="20000"/>
    <n v="20000"/>
    <s v="첨단튼튼병원"/>
    <m/>
    <s v="인사노무자문료 1 X 200,000"/>
  </r>
  <r>
    <s v="2025-03-31"/>
    <x v="83"/>
    <s v="50007"/>
    <s v="대변"/>
    <s v="401"/>
    <s v="용역매출"/>
    <x v="4"/>
    <n v="0"/>
    <n v="200000"/>
    <n v="200000"/>
    <s v="첨단튼튼병원"/>
    <m/>
    <s v="인사노무자문료 1 X 200,000"/>
  </r>
  <r>
    <s v="2025-03-31"/>
    <x v="83"/>
    <s v="50007"/>
    <s v="차변"/>
    <s v="101"/>
    <s v="현금"/>
    <x v="1"/>
    <n v="220000"/>
    <n v="0"/>
    <n v="-220000"/>
    <s v="첨단튼튼병원"/>
    <m/>
    <s v="인사노무자문료 1 X 200,000"/>
  </r>
  <r>
    <s v="2025-03-31"/>
    <x v="83"/>
    <s v="50008"/>
    <s v="대변"/>
    <s v="255"/>
    <s v="부가세예수금"/>
    <x v="3"/>
    <n v="0"/>
    <n v="15000"/>
    <n v="15000"/>
    <s v="(주)파이스물류"/>
    <m/>
    <s v="인사노무자문료 1 X 150,000"/>
  </r>
  <r>
    <s v="2025-03-31"/>
    <x v="83"/>
    <s v="50008"/>
    <s v="대변"/>
    <s v="401"/>
    <s v="용역매출"/>
    <x v="4"/>
    <n v="0"/>
    <n v="150000"/>
    <n v="150000"/>
    <s v="(주)파이스물류"/>
    <m/>
    <s v="인사노무자문료 1 X 150,000"/>
  </r>
  <r>
    <s v="2025-03-31"/>
    <x v="83"/>
    <s v="50008"/>
    <s v="차변"/>
    <s v="101"/>
    <s v="현금"/>
    <x v="1"/>
    <n v="165000"/>
    <n v="0"/>
    <n v="-165000"/>
    <s v="(주)파이스물류"/>
    <m/>
    <s v="인사노무자문료 1 X 150,000"/>
  </r>
  <r>
    <s v="2025-03-31"/>
    <x v="83"/>
    <s v="50009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3-31"/>
    <x v="83"/>
    <s v="50009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3-31"/>
    <x v="83"/>
    <s v="50009"/>
    <s v="차변"/>
    <s v="101"/>
    <s v="현금"/>
    <x v="1"/>
    <n v="330000"/>
    <n v="0"/>
    <n v="-330000"/>
    <s v="재단법인 광주광역시 여성가족재단"/>
    <m/>
    <s v="인사노무자문료 1 X 300,000"/>
  </r>
  <r>
    <s v="2025-03-31"/>
    <x v="83"/>
    <s v="50010"/>
    <s v="대변"/>
    <s v="255"/>
    <s v="부가세예수금"/>
    <x v="3"/>
    <n v="0"/>
    <n v="12000"/>
    <n v="12000"/>
    <s v="농업회사법인(주)황칠코리아"/>
    <m/>
    <s v="인사노무자문료 1 X 120,000"/>
  </r>
  <r>
    <s v="2025-03-31"/>
    <x v="83"/>
    <s v="50010"/>
    <s v="대변"/>
    <s v="401"/>
    <s v="용역매출"/>
    <x v="4"/>
    <n v="0"/>
    <n v="120000"/>
    <n v="120000"/>
    <s v="농업회사법인(주)황칠코리아"/>
    <m/>
    <s v="인사노무자문료 1 X 120,000"/>
  </r>
  <r>
    <s v="2025-03-31"/>
    <x v="83"/>
    <s v="50010"/>
    <s v="차변"/>
    <s v="101"/>
    <s v="현금"/>
    <x v="1"/>
    <n v="132000"/>
    <n v="0"/>
    <n v="-132000"/>
    <s v="농업회사법인(주)황칠코리아"/>
    <m/>
    <s v="인사노무자문료 1 X 120,000"/>
  </r>
  <r>
    <s v="2025-03-31"/>
    <x v="83"/>
    <s v="50011"/>
    <s v="대변"/>
    <s v="255"/>
    <s v="부가세예수금"/>
    <x v="3"/>
    <n v="0"/>
    <n v="7000"/>
    <n v="7000"/>
    <s v="(유)임마누엘"/>
    <m/>
    <s v="인사노무자문료 1 X 70,000"/>
  </r>
  <r>
    <s v="2025-03-31"/>
    <x v="83"/>
    <s v="50011"/>
    <s v="대변"/>
    <s v="401"/>
    <s v="용역매출"/>
    <x v="4"/>
    <n v="0"/>
    <n v="70000"/>
    <n v="70000"/>
    <s v="(유)임마누엘"/>
    <m/>
    <s v="인사노무자문료 1 X 70,000"/>
  </r>
  <r>
    <s v="2025-03-31"/>
    <x v="83"/>
    <s v="50011"/>
    <s v="차변"/>
    <s v="101"/>
    <s v="현금"/>
    <x v="1"/>
    <n v="77000"/>
    <n v="0"/>
    <n v="-77000"/>
    <s v="(유)임마누엘"/>
    <m/>
    <s v="인사노무자문료 1 X 70,000"/>
  </r>
  <r>
    <s v="2025-03-31"/>
    <x v="83"/>
    <s v="50012"/>
    <s v="대변"/>
    <s v="255"/>
    <s v="부가세예수금"/>
    <x v="3"/>
    <n v="0"/>
    <n v="15000"/>
    <n v="15000"/>
    <s v="(주)한국피엔피서비스"/>
    <m/>
    <s v="인사노무자문료 1 X 150,000"/>
  </r>
  <r>
    <s v="2025-03-31"/>
    <x v="83"/>
    <s v="50012"/>
    <s v="대변"/>
    <s v="401"/>
    <s v="용역매출"/>
    <x v="4"/>
    <n v="0"/>
    <n v="150000"/>
    <n v="150000"/>
    <s v="(주)한국피엔피서비스"/>
    <m/>
    <s v="인사노무자문료 1 X 150,000"/>
  </r>
  <r>
    <s v="2025-03-31"/>
    <x v="83"/>
    <s v="50012"/>
    <s v="차변"/>
    <s v="101"/>
    <s v="현금"/>
    <x v="1"/>
    <n v="165000"/>
    <n v="0"/>
    <n v="-165000"/>
    <s v="(주)한국피엔피서비스"/>
    <m/>
    <s v="인사노무자문료 1 X 150,000"/>
  </r>
  <r>
    <s v="2025-03-31"/>
    <x v="83"/>
    <s v="50013"/>
    <s v="대변"/>
    <s v="255"/>
    <s v="부가세예수금"/>
    <x v="3"/>
    <n v="0"/>
    <n v="10000"/>
    <n v="10000"/>
    <s v="(주)텝스텍"/>
    <m/>
    <s v="인사노무자문료 1 X 100,000"/>
  </r>
  <r>
    <s v="2025-03-31"/>
    <x v="83"/>
    <s v="50013"/>
    <s v="대변"/>
    <s v="401"/>
    <s v="용역매출"/>
    <x v="4"/>
    <n v="0"/>
    <n v="100000"/>
    <n v="100000"/>
    <s v="(주)텝스텍"/>
    <m/>
    <s v="인사노무자문료 1 X 100,000"/>
  </r>
  <r>
    <s v="2025-03-31"/>
    <x v="83"/>
    <s v="50013"/>
    <s v="차변"/>
    <s v="101"/>
    <s v="현금"/>
    <x v="1"/>
    <n v="110000"/>
    <n v="0"/>
    <n v="-110000"/>
    <s v="(주)텝스텍"/>
    <m/>
    <s v="인사노무자문료 1 X 100,000"/>
  </r>
  <r>
    <s v="2025-03-31"/>
    <x v="83"/>
    <s v="50014"/>
    <s v="입금"/>
    <s v="255"/>
    <s v="부가세예수금"/>
    <x v="3"/>
    <n v="0"/>
    <n v="959090"/>
    <n v="959090"/>
    <s v="소비자현금영수증매출"/>
    <s v="  "/>
    <s v="현금영수증매출"/>
  </r>
  <r>
    <s v="2025-03-31"/>
    <x v="83"/>
    <s v="50014"/>
    <s v="입금"/>
    <s v="101"/>
    <s v="현금"/>
    <x v="1"/>
    <n v="959090"/>
    <n v="0"/>
    <n v="-959090"/>
    <s v="소비자현금영수증매출"/>
    <s v="  "/>
    <s v="현금영수증매출"/>
  </r>
  <r>
    <s v="2025-03-31"/>
    <x v="83"/>
    <s v="50014"/>
    <s v="입금"/>
    <s v="401"/>
    <s v="용역매출"/>
    <x v="4"/>
    <n v="0"/>
    <n v="9590910"/>
    <n v="9590910"/>
    <s v="소비자현금영수증매출"/>
    <s v="  "/>
    <s v="현금영수증매출"/>
  </r>
  <r>
    <s v="2025-03-31"/>
    <x v="83"/>
    <s v="50014"/>
    <s v="입금"/>
    <s v="101"/>
    <s v="현금"/>
    <x v="1"/>
    <n v="9590910"/>
    <n v="0"/>
    <n v="-9590910"/>
    <s v="소비자현금영수증매출"/>
    <s v="  "/>
    <s v="현금영수증매출"/>
  </r>
  <r>
    <s v="2025-04-01"/>
    <x v="84"/>
    <s v="00001"/>
    <s v="차변"/>
    <s v="811"/>
    <s v="복리후생비(판)"/>
    <x v="8"/>
    <n v="5100"/>
    <n v="0"/>
    <n v="-5100"/>
    <s v="공차첨단엘씨타워점"/>
    <m/>
    <m/>
  </r>
  <r>
    <s v="2025-04-01"/>
    <x v="84"/>
    <s v="00001"/>
    <s v="대변"/>
    <s v="101"/>
    <s v="현금"/>
    <x v="1"/>
    <n v="0"/>
    <n v="5100"/>
    <n v="5100"/>
    <s v="현대카드(4817)"/>
    <m/>
    <m/>
  </r>
  <r>
    <s v="2025-04-01"/>
    <x v="84"/>
    <s v="00002"/>
    <s v="차변"/>
    <s v="811"/>
    <s v="복리후생비(판)"/>
    <x v="8"/>
    <n v="16000"/>
    <n v="0"/>
    <n v="-16000"/>
    <s v="주식회사 울림푸드 한식뷔페 첨단 정부청사점"/>
    <m/>
    <m/>
  </r>
  <r>
    <s v="2025-04-01"/>
    <x v="84"/>
    <s v="00002"/>
    <s v="대변"/>
    <s v="101"/>
    <s v="현금"/>
    <x v="1"/>
    <n v="0"/>
    <n v="16000"/>
    <n v="16000"/>
    <s v="현대카드(4817)"/>
    <m/>
    <m/>
  </r>
  <r>
    <s v="2025-04-01"/>
    <x v="84"/>
    <s v="00003"/>
    <s v="대변"/>
    <s v="101"/>
    <s v="현금"/>
    <x v="1"/>
    <n v="0"/>
    <n v="1000"/>
    <n v="1000"/>
    <s v="현대카드(4817)"/>
    <m/>
    <m/>
  </r>
  <r>
    <s v="2025-04-01"/>
    <x v="84"/>
    <s v="00003"/>
    <s v="차변"/>
    <s v="812"/>
    <s v="여비교통비(판)"/>
    <x v="9"/>
    <n v="1000"/>
    <n v="0"/>
    <n v="-1000"/>
    <s v="(주)대성전자유통"/>
    <m/>
    <m/>
  </r>
  <r>
    <s v="2025-04-01"/>
    <x v="84"/>
    <s v="00004"/>
    <s v="대변"/>
    <s v="101"/>
    <s v="현금"/>
    <x v="1"/>
    <n v="0"/>
    <n v="1000"/>
    <n v="1000"/>
    <s v="현대카드(4817)"/>
    <m/>
    <m/>
  </r>
  <r>
    <s v="2025-04-01"/>
    <x v="84"/>
    <s v="00004"/>
    <s v="차변"/>
    <s v="812"/>
    <s v="여비교통비(판)"/>
    <x v="9"/>
    <n v="1000"/>
    <n v="0"/>
    <n v="-1000"/>
    <s v="(주)대성전자유통"/>
    <m/>
    <m/>
  </r>
  <r>
    <s v="2025-04-01"/>
    <x v="84"/>
    <s v="00005"/>
    <s v="대변"/>
    <s v="101"/>
    <s v="현금"/>
    <x v="1"/>
    <n v="0"/>
    <n v="3980"/>
    <n v="3980"/>
    <s v="현대카드(4817)"/>
    <m/>
    <m/>
  </r>
  <r>
    <s v="2025-04-01"/>
    <x v="84"/>
    <s v="00005"/>
    <s v="차변"/>
    <s v="824"/>
    <s v="운반비(판)"/>
    <x v="15"/>
    <n v="3980"/>
    <n v="0"/>
    <n v="-3980"/>
    <s v="우정사업본부광주"/>
    <m/>
    <m/>
  </r>
  <r>
    <s v="2025-04-01"/>
    <x v="84"/>
    <s v="00006"/>
    <s v="대변"/>
    <s v="101"/>
    <s v="현금"/>
    <x v="1"/>
    <n v="0"/>
    <n v="6020"/>
    <n v="6020"/>
    <s v="현대카드(4817)"/>
    <m/>
    <m/>
  </r>
  <r>
    <s v="2025-04-01"/>
    <x v="84"/>
    <s v="00006"/>
    <s v="차변"/>
    <s v="824"/>
    <s v="운반비(판)"/>
    <x v="15"/>
    <n v="6020"/>
    <n v="0"/>
    <n v="-6020"/>
    <s v="우정사업본부광주"/>
    <m/>
    <m/>
  </r>
  <r>
    <s v="2025-04-01"/>
    <x v="84"/>
    <s v="50001"/>
    <s v="대변"/>
    <s v="255"/>
    <s v="부가세예수금"/>
    <x v="3"/>
    <n v="0"/>
    <n v="10000"/>
    <n v="10000"/>
    <s v="(주)커피볶는집"/>
    <m/>
    <s v="인사노무자문료 1 X 100,000"/>
  </r>
  <r>
    <s v="2025-04-01"/>
    <x v="84"/>
    <s v="50001"/>
    <s v="대변"/>
    <s v="401"/>
    <s v="용역매출"/>
    <x v="4"/>
    <n v="0"/>
    <n v="100000"/>
    <n v="100000"/>
    <s v="(주)커피볶는집"/>
    <m/>
    <s v="인사노무자문료 1 X 100,000"/>
  </r>
  <r>
    <s v="2025-04-01"/>
    <x v="84"/>
    <s v="50001"/>
    <s v="차변"/>
    <s v="101"/>
    <s v="현금"/>
    <x v="1"/>
    <n v="110000"/>
    <n v="0"/>
    <n v="-110000"/>
    <s v="(주)커피볶는집"/>
    <m/>
    <s v="인사노무자문료 1 X 100,000"/>
  </r>
  <r>
    <s v="2025-04-01"/>
    <x v="84"/>
    <s v="50002"/>
    <s v="대변"/>
    <s v="255"/>
    <s v="부가세예수금"/>
    <x v="3"/>
    <n v="0"/>
    <n v="12000"/>
    <n v="12000"/>
    <s v="용성이앤지"/>
    <m/>
    <s v="인사노무자문료 1 X 120,000"/>
  </r>
  <r>
    <s v="2025-04-01"/>
    <x v="84"/>
    <s v="50002"/>
    <s v="대변"/>
    <s v="401"/>
    <s v="용역매출"/>
    <x v="4"/>
    <n v="0"/>
    <n v="120000"/>
    <n v="120000"/>
    <s v="용성이앤지"/>
    <m/>
    <s v="인사노무자문료 1 X 120,000"/>
  </r>
  <r>
    <s v="2025-04-01"/>
    <x v="84"/>
    <s v="50002"/>
    <s v="차변"/>
    <s v="101"/>
    <s v="현금"/>
    <x v="1"/>
    <n v="132000"/>
    <n v="0"/>
    <n v="-132000"/>
    <s v="용성이앤지"/>
    <m/>
    <s v="인사노무자문료 1 X 120,000"/>
  </r>
  <r>
    <s v="2025-04-01"/>
    <x v="84"/>
    <s v="50003"/>
    <s v="대변"/>
    <s v="255"/>
    <s v="부가세예수금"/>
    <x v="3"/>
    <n v="0"/>
    <n v="15000"/>
    <n v="15000"/>
    <s v="(주)유진테크노"/>
    <m/>
    <s v="인사노무자문료 1 X 150,000"/>
  </r>
  <r>
    <s v="2025-04-01"/>
    <x v="84"/>
    <s v="50003"/>
    <s v="대변"/>
    <s v="401"/>
    <s v="용역매출"/>
    <x v="4"/>
    <n v="0"/>
    <n v="150000"/>
    <n v="150000"/>
    <s v="(주)유진테크노"/>
    <m/>
    <s v="인사노무자문료 1 X 150,000"/>
  </r>
  <r>
    <s v="2025-04-01"/>
    <x v="84"/>
    <s v="50003"/>
    <s v="차변"/>
    <s v="101"/>
    <s v="현금"/>
    <x v="1"/>
    <n v="165000"/>
    <n v="0"/>
    <n v="-165000"/>
    <s v="(주)유진테크노"/>
    <m/>
    <s v="인사노무자문료 1 X 150,000"/>
  </r>
  <r>
    <s v="2025-04-01"/>
    <x v="84"/>
    <s v="50004"/>
    <s v="대변"/>
    <s v="255"/>
    <s v="부가세예수금"/>
    <x v="3"/>
    <n v="0"/>
    <n v="15000"/>
    <n v="15000"/>
    <s v="청담리브의원"/>
    <m/>
    <s v="인사노무자문료 1 X 150,000"/>
  </r>
  <r>
    <s v="2025-04-01"/>
    <x v="84"/>
    <s v="50004"/>
    <s v="대변"/>
    <s v="401"/>
    <s v="용역매출"/>
    <x v="4"/>
    <n v="0"/>
    <n v="150000"/>
    <n v="150000"/>
    <s v="청담리브의원"/>
    <m/>
    <s v="인사노무자문료 1 X 150,000"/>
  </r>
  <r>
    <s v="2025-04-01"/>
    <x v="84"/>
    <s v="50004"/>
    <s v="차변"/>
    <s v="101"/>
    <s v="현금"/>
    <x v="1"/>
    <n v="165000"/>
    <n v="0"/>
    <n v="-165000"/>
    <s v="청담리브의원"/>
    <m/>
    <s v="인사노무자문료 1 X 150,000"/>
  </r>
  <r>
    <s v="2025-04-01"/>
    <x v="84"/>
    <s v="50005"/>
    <s v="대변"/>
    <s v="255"/>
    <s v="부가세예수금"/>
    <x v="3"/>
    <n v="0"/>
    <n v="10000"/>
    <n v="10000"/>
    <s v="와이앤애드"/>
    <m/>
    <s v="인사노무자문료 1 X 100,000"/>
  </r>
  <r>
    <s v="2025-04-01"/>
    <x v="84"/>
    <s v="50005"/>
    <s v="대변"/>
    <s v="401"/>
    <s v="용역매출"/>
    <x v="4"/>
    <n v="0"/>
    <n v="100000"/>
    <n v="100000"/>
    <s v="와이앤애드"/>
    <m/>
    <s v="인사노무자문료 1 X 100,000"/>
  </r>
  <r>
    <s v="2025-04-01"/>
    <x v="84"/>
    <s v="50005"/>
    <s v="차변"/>
    <s v="101"/>
    <s v="현금"/>
    <x v="1"/>
    <n v="110000"/>
    <n v="0"/>
    <n v="-110000"/>
    <s v="와이앤애드"/>
    <m/>
    <s v="인사노무자문료 1 X 100,000"/>
  </r>
  <r>
    <s v="2025-04-01"/>
    <x v="84"/>
    <s v="50006"/>
    <s v="대변"/>
    <s v="255"/>
    <s v="부가세예수금"/>
    <x v="3"/>
    <n v="0"/>
    <n v="10000"/>
    <n v="10000"/>
    <s v="(주)에이버츄얼"/>
    <m/>
    <s v="인사노무자문료 1 X 100,000"/>
  </r>
  <r>
    <s v="2025-04-01"/>
    <x v="84"/>
    <s v="50006"/>
    <s v="대변"/>
    <s v="401"/>
    <s v="용역매출"/>
    <x v="4"/>
    <n v="0"/>
    <n v="100000"/>
    <n v="100000"/>
    <s v="(주)에이버츄얼"/>
    <m/>
    <s v="인사노무자문료 1 X 100,000"/>
  </r>
  <r>
    <s v="2025-04-01"/>
    <x v="84"/>
    <s v="50006"/>
    <s v="차변"/>
    <s v="101"/>
    <s v="현금"/>
    <x v="1"/>
    <n v="110000"/>
    <n v="0"/>
    <n v="-110000"/>
    <s v="(주)에이버츄얼"/>
    <m/>
    <s v="인사노무자문료 1 X 100,000"/>
  </r>
  <r>
    <s v="2025-04-01"/>
    <x v="84"/>
    <s v="50007"/>
    <s v="대변"/>
    <s v="255"/>
    <s v="부가세예수금"/>
    <x v="3"/>
    <n v="0"/>
    <n v="15000"/>
    <n v="15000"/>
    <s v="연세탑신경외과"/>
    <m/>
    <s v="인사노무자문료 1 X 150,000"/>
  </r>
  <r>
    <s v="2025-04-01"/>
    <x v="84"/>
    <s v="50007"/>
    <s v="대변"/>
    <s v="401"/>
    <s v="용역매출"/>
    <x v="4"/>
    <n v="0"/>
    <n v="150000"/>
    <n v="150000"/>
    <s v="연세탑신경외과"/>
    <m/>
    <s v="인사노무자문료 1 X 150,000"/>
  </r>
  <r>
    <s v="2025-04-01"/>
    <x v="84"/>
    <s v="50007"/>
    <s v="차변"/>
    <s v="101"/>
    <s v="현금"/>
    <x v="1"/>
    <n v="165000"/>
    <n v="0"/>
    <n v="-165000"/>
    <s v="연세탑신경외과"/>
    <m/>
    <s v="인사노무자문료 1 X 150,000"/>
  </r>
  <r>
    <s v="2025-04-02"/>
    <x v="85"/>
    <s v="00001"/>
    <s v="차변"/>
    <s v="811"/>
    <s v="복리후생비(판)"/>
    <x v="8"/>
    <n v="2000"/>
    <n v="0"/>
    <n v="-2000"/>
    <s v="메가엠지씨커피 광주상무미즈피아점"/>
    <m/>
    <m/>
  </r>
  <r>
    <s v="2025-04-02"/>
    <x v="85"/>
    <s v="00001"/>
    <s v="대변"/>
    <s v="101"/>
    <s v="현금"/>
    <x v="1"/>
    <n v="0"/>
    <n v="2000"/>
    <n v="2000"/>
    <s v="현대카드(4817)"/>
    <m/>
    <m/>
  </r>
  <r>
    <s v="2025-04-02"/>
    <x v="85"/>
    <s v="00002"/>
    <s v="차변"/>
    <s v="811"/>
    <s v="복리후생비(판)"/>
    <x v="8"/>
    <n v="6600"/>
    <n v="0"/>
    <n v="-6600"/>
    <s v="메가엠지씨커피 광주상무미즈피아점"/>
    <m/>
    <m/>
  </r>
  <r>
    <s v="2025-04-02"/>
    <x v="85"/>
    <s v="00002"/>
    <s v="대변"/>
    <s v="101"/>
    <s v="현금"/>
    <x v="1"/>
    <n v="0"/>
    <n v="6600"/>
    <n v="6600"/>
    <s v="하나카드(4088)"/>
    <m/>
    <m/>
  </r>
  <r>
    <s v="2025-04-02"/>
    <x v="85"/>
    <s v="00003"/>
    <s v="차변"/>
    <s v="830"/>
    <s v="소모품비(판)"/>
    <x v="6"/>
    <n v="4400"/>
    <n v="0"/>
    <n v="-4400"/>
    <s v="KCP - ( 주 ) 위메프"/>
    <m/>
    <m/>
  </r>
  <r>
    <s v="2025-04-02"/>
    <x v="85"/>
    <s v="00003"/>
    <s v="대변"/>
    <s v="101"/>
    <s v="현금"/>
    <x v="1"/>
    <n v="0"/>
    <n v="4400"/>
    <n v="4400"/>
    <s v="하나카드(4088)"/>
    <m/>
    <m/>
  </r>
  <r>
    <s v="2025-04-02"/>
    <x v="85"/>
    <s v="50001"/>
    <s v="대변"/>
    <s v="255"/>
    <s v="부가세예수금"/>
    <x v="3"/>
    <n v="0"/>
    <n v="10000"/>
    <n v="10000"/>
    <s v="정원기업"/>
    <m/>
    <s v="인사노무자문료 1 X 100,000"/>
  </r>
  <r>
    <s v="2025-04-02"/>
    <x v="85"/>
    <s v="50001"/>
    <s v="대변"/>
    <s v="401"/>
    <s v="용역매출"/>
    <x v="4"/>
    <n v="0"/>
    <n v="100000"/>
    <n v="100000"/>
    <s v="정원기업"/>
    <m/>
    <s v="인사노무자문료 1 X 100,000"/>
  </r>
  <r>
    <s v="2025-04-02"/>
    <x v="85"/>
    <s v="50001"/>
    <s v="차변"/>
    <s v="101"/>
    <s v="현금"/>
    <x v="1"/>
    <n v="110000"/>
    <n v="0"/>
    <n v="-110000"/>
    <s v="정원기업"/>
    <m/>
    <s v="인사노무자문료 1 X 100,000"/>
  </r>
  <r>
    <s v="2025-04-02"/>
    <x v="85"/>
    <s v="50002"/>
    <s v="대변"/>
    <s v="255"/>
    <s v="부가세예수금"/>
    <x v="3"/>
    <n v="0"/>
    <n v="10000"/>
    <n v="10000"/>
    <s v="주식회사 주영테크"/>
    <m/>
    <s v="인사노무자문료 1 X 100,000"/>
  </r>
  <r>
    <s v="2025-04-02"/>
    <x v="85"/>
    <s v="50002"/>
    <s v="대변"/>
    <s v="401"/>
    <s v="용역매출"/>
    <x v="4"/>
    <n v="0"/>
    <n v="100000"/>
    <n v="100000"/>
    <s v="주식회사 주영테크"/>
    <m/>
    <s v="인사노무자문료 1 X 100,000"/>
  </r>
  <r>
    <s v="2025-04-02"/>
    <x v="85"/>
    <s v="50002"/>
    <s v="차변"/>
    <s v="101"/>
    <s v="현금"/>
    <x v="1"/>
    <n v="110000"/>
    <n v="0"/>
    <n v="-110000"/>
    <s v="주식회사 주영테크"/>
    <m/>
    <s v="인사노무자문료 1 X 100,000"/>
  </r>
  <r>
    <s v="2025-04-02"/>
    <x v="85"/>
    <s v="50003"/>
    <s v="대변"/>
    <s v="255"/>
    <s v="부가세예수금"/>
    <x v="3"/>
    <n v="0"/>
    <n v="15000"/>
    <n v="15000"/>
    <s v="주식회사 수연"/>
    <m/>
    <s v="인사노무자문료 1 X 150,000"/>
  </r>
  <r>
    <s v="2025-04-02"/>
    <x v="85"/>
    <s v="50003"/>
    <s v="대변"/>
    <s v="401"/>
    <s v="용역매출"/>
    <x v="4"/>
    <n v="0"/>
    <n v="150000"/>
    <n v="150000"/>
    <s v="주식회사 수연"/>
    <m/>
    <s v="인사노무자문료 1 X 150,000"/>
  </r>
  <r>
    <s v="2025-04-02"/>
    <x v="85"/>
    <s v="50003"/>
    <s v="차변"/>
    <s v="101"/>
    <s v="현금"/>
    <x v="1"/>
    <n v="165000"/>
    <n v="0"/>
    <n v="-165000"/>
    <s v="주식회사 수연"/>
    <m/>
    <s v="인사노무자문료 1 X 150,000"/>
  </r>
  <r>
    <s v="2025-04-03"/>
    <x v="86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4-03"/>
    <x v="86"/>
    <s v="00001"/>
    <s v="대변"/>
    <s v="101"/>
    <s v="현금"/>
    <x v="1"/>
    <n v="0"/>
    <n v="16000"/>
    <n v="16000"/>
    <s v="하나카드(4088)"/>
    <m/>
    <m/>
  </r>
  <r>
    <s v="2025-04-03"/>
    <x v="86"/>
    <s v="50001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4-03"/>
    <x v="86"/>
    <s v="50001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4-03"/>
    <x v="86"/>
    <s v="50001"/>
    <s v="차변"/>
    <s v="101"/>
    <s v="현금"/>
    <x v="1"/>
    <n v="132000"/>
    <n v="0"/>
    <n v="-132000"/>
    <s v="재단법인 장성먹거리통합지원센터"/>
    <m/>
    <s v="인사노무자문료 1 X 120,000"/>
  </r>
  <r>
    <s v="2025-04-03"/>
    <x v="86"/>
    <s v="50002"/>
    <s v="대변"/>
    <s v="255"/>
    <s v="부가세예수금"/>
    <x v="3"/>
    <n v="0"/>
    <n v="15000"/>
    <n v="15000"/>
    <s v="(주)혁진팩"/>
    <m/>
    <s v="인사노무자문료 1 X 150,000"/>
  </r>
  <r>
    <s v="2025-04-03"/>
    <x v="86"/>
    <s v="50002"/>
    <s v="대변"/>
    <s v="401"/>
    <s v="용역매출"/>
    <x v="4"/>
    <n v="0"/>
    <n v="150000"/>
    <n v="150000"/>
    <s v="(주)혁진팩"/>
    <m/>
    <s v="인사노무자문료 1 X 150,000"/>
  </r>
  <r>
    <s v="2025-04-03"/>
    <x v="86"/>
    <s v="50002"/>
    <s v="차변"/>
    <s v="101"/>
    <s v="현금"/>
    <x v="1"/>
    <n v="165000"/>
    <n v="0"/>
    <n v="-165000"/>
    <s v="(주)혁진팩"/>
    <m/>
    <s v="인사노무자문료 1 X 150,000"/>
  </r>
  <r>
    <s v="2025-04-03"/>
    <x v="86"/>
    <s v="50003"/>
    <s v="대변"/>
    <s v="255"/>
    <s v="부가세예수금"/>
    <x v="3"/>
    <n v="0"/>
    <n v="15000"/>
    <n v="15000"/>
    <s v="(주)미래아이엔씨"/>
    <m/>
    <s v="인사노무자문료 1 X 150,000"/>
  </r>
  <r>
    <s v="2025-04-03"/>
    <x v="86"/>
    <s v="50003"/>
    <s v="대변"/>
    <s v="401"/>
    <s v="용역매출"/>
    <x v="4"/>
    <n v="0"/>
    <n v="150000"/>
    <n v="150000"/>
    <s v="(주)미래아이엔씨"/>
    <m/>
    <s v="인사노무자문료 1 X 150,000"/>
  </r>
  <r>
    <s v="2025-04-03"/>
    <x v="86"/>
    <s v="50003"/>
    <s v="차변"/>
    <s v="101"/>
    <s v="현금"/>
    <x v="1"/>
    <n v="165000"/>
    <n v="0"/>
    <n v="-165000"/>
    <s v="(주)미래아이엔씨"/>
    <m/>
    <s v="인사노무자문료 1 X 150,000"/>
  </r>
  <r>
    <s v="2025-04-03"/>
    <x v="86"/>
    <s v="50004"/>
    <s v="대변"/>
    <s v="255"/>
    <s v="부가세예수금"/>
    <x v="3"/>
    <n v="0"/>
    <n v="370000"/>
    <n v="370000"/>
    <s v="동광건설 주식회사"/>
    <m/>
    <s v="고용.산재보험료 확정정산수수료 1 X 3,700,000"/>
  </r>
  <r>
    <s v="2025-04-03"/>
    <x v="86"/>
    <s v="50004"/>
    <s v="대변"/>
    <s v="401"/>
    <s v="용역매출"/>
    <x v="4"/>
    <n v="0"/>
    <n v="3700000"/>
    <n v="3700000"/>
    <s v="동광건설 주식회사"/>
    <m/>
    <s v="고용.산재보험료 확정정산수수료 1 X 3,700,000"/>
  </r>
  <r>
    <s v="2025-04-03"/>
    <x v="86"/>
    <s v="50004"/>
    <s v="차변"/>
    <s v="101"/>
    <s v="현금"/>
    <x v="1"/>
    <n v="4070000"/>
    <n v="0"/>
    <n v="-4070000"/>
    <s v="동광건설 주식회사"/>
    <m/>
    <s v="고용.산재보험료 확정정산수수료 1 X 3,700,000"/>
  </r>
  <r>
    <s v="2025-04-04"/>
    <x v="87"/>
    <s v="00001"/>
    <s v="차변"/>
    <s v="811"/>
    <s v="복리후생비(판)"/>
    <x v="8"/>
    <n v="3500"/>
    <n v="0"/>
    <n v="-3500"/>
    <s v="오라봉국수"/>
    <m/>
    <m/>
  </r>
  <r>
    <s v="2025-04-04"/>
    <x v="87"/>
    <s v="00001"/>
    <s v="대변"/>
    <s v="101"/>
    <s v="현금"/>
    <x v="1"/>
    <n v="0"/>
    <n v="3500"/>
    <n v="3500"/>
    <s v="하나카드(4088)"/>
    <m/>
    <m/>
  </r>
  <r>
    <s v="2025-04-04"/>
    <x v="87"/>
    <s v="00002"/>
    <s v="차변"/>
    <s v="822"/>
    <s v="차량유지비(판)"/>
    <x v="11"/>
    <n v="50000"/>
    <n v="0"/>
    <n v="-50000"/>
    <s v="신용주유소"/>
    <m/>
    <m/>
  </r>
  <r>
    <s v="2025-04-04"/>
    <x v="87"/>
    <s v="00002"/>
    <s v="대변"/>
    <s v="101"/>
    <s v="현금"/>
    <x v="1"/>
    <n v="0"/>
    <n v="50000"/>
    <n v="50000"/>
    <s v="현대카드(4817)"/>
    <m/>
    <m/>
  </r>
  <r>
    <s v="2025-04-04"/>
    <x v="87"/>
    <s v="00003"/>
    <s v="차변"/>
    <s v="813"/>
    <s v="접대비(기업업무추진비)(판)"/>
    <x v="0"/>
    <n v="75700"/>
    <n v="0"/>
    <n v="-75700"/>
    <s v="바른샤브"/>
    <s v="02"/>
    <s v="거래처 접대비(기업업무추진비)/신용카드(개인)"/>
  </r>
  <r>
    <s v="2025-04-04"/>
    <x v="87"/>
    <s v="00003"/>
    <s v="대변"/>
    <s v="101"/>
    <s v="현금"/>
    <x v="1"/>
    <n v="0"/>
    <n v="75700"/>
    <n v="75700"/>
    <s v="현대카드(4817)"/>
    <m/>
    <m/>
  </r>
  <r>
    <s v="2025-04-04"/>
    <x v="87"/>
    <s v="50001"/>
    <s v="차변"/>
    <s v="135"/>
    <s v="부가세대급금"/>
    <x v="5"/>
    <n v="1499"/>
    <n v="0"/>
    <n v="-1499"/>
    <s v="㈜LG유플러스"/>
    <m/>
    <s v="2025년 04월 서비스 이용료 매출"/>
  </r>
  <r>
    <s v="2025-04-04"/>
    <x v="87"/>
    <s v="50001"/>
    <s v="차변"/>
    <s v="814"/>
    <s v="통신비(판)"/>
    <x v="10"/>
    <n v="14991"/>
    <n v="0"/>
    <n v="-14991"/>
    <s v="㈜LG유플러스"/>
    <m/>
    <s v="2025년 04월 서비스 이용료 매출"/>
  </r>
  <r>
    <s v="2025-04-04"/>
    <x v="87"/>
    <s v="50001"/>
    <s v="대변"/>
    <s v="101"/>
    <s v="현금"/>
    <x v="1"/>
    <n v="0"/>
    <n v="16490"/>
    <n v="16490"/>
    <s v="㈜LG유플러스"/>
    <m/>
    <s v="2025년 04월 서비스 이용료 매출"/>
  </r>
  <r>
    <s v="2025-04-05"/>
    <x v="88"/>
    <s v="00001"/>
    <s v="차변"/>
    <s v="830"/>
    <s v="소모품비(판)"/>
    <x v="6"/>
    <n v="36640"/>
    <n v="0"/>
    <n v="-36640"/>
    <s v="햇살마트"/>
    <m/>
    <m/>
  </r>
  <r>
    <s v="2025-04-05"/>
    <x v="88"/>
    <s v="00001"/>
    <s v="대변"/>
    <s v="101"/>
    <s v="현금"/>
    <x v="1"/>
    <n v="0"/>
    <n v="36640"/>
    <n v="36640"/>
    <s v="현대카드(4817)"/>
    <m/>
    <m/>
  </r>
  <r>
    <s v="2025-04-05"/>
    <x v="88"/>
    <s v="00002"/>
    <s v="차변"/>
    <s v="830"/>
    <s v="소모품비(판)"/>
    <x v="6"/>
    <n v="4194"/>
    <n v="0"/>
    <n v="-4194"/>
    <s v="에스디마켓(SD MARKET)"/>
    <m/>
    <m/>
  </r>
  <r>
    <s v="2025-04-05"/>
    <x v="88"/>
    <s v="00002"/>
    <s v="대변"/>
    <s v="101"/>
    <s v="현금"/>
    <x v="1"/>
    <n v="0"/>
    <n v="4194"/>
    <n v="4194"/>
    <s v="에스디마켓(SD MARKET)"/>
    <m/>
    <m/>
  </r>
  <r>
    <s v="2025-04-05"/>
    <x v="88"/>
    <s v="00003"/>
    <s v="차변"/>
    <s v="830"/>
    <s v="소모품비(판)"/>
    <x v="6"/>
    <n v="5059"/>
    <n v="0"/>
    <n v="-5059"/>
    <s v="에스디마켓(SD MARKET)"/>
    <m/>
    <m/>
  </r>
  <r>
    <s v="2025-04-05"/>
    <x v="88"/>
    <s v="00003"/>
    <s v="대변"/>
    <s v="101"/>
    <s v="현금"/>
    <x v="1"/>
    <n v="0"/>
    <n v="5059"/>
    <n v="5059"/>
    <s v="에스디마켓(SD MARKET)"/>
    <m/>
    <m/>
  </r>
  <r>
    <s v="2025-04-05"/>
    <x v="88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4-05"/>
    <x v="88"/>
    <s v="50001"/>
    <s v="대변"/>
    <s v="401"/>
    <s v="용역매출"/>
    <x v="4"/>
    <n v="0"/>
    <n v="400000"/>
    <n v="400000"/>
    <s v="(주)모아주택산업"/>
    <m/>
    <s v="인사노무자문료 1 X 400,000"/>
  </r>
  <r>
    <s v="2025-04-05"/>
    <x v="88"/>
    <s v="50001"/>
    <s v="차변"/>
    <s v="101"/>
    <s v="현금"/>
    <x v="1"/>
    <n v="440000"/>
    <n v="0"/>
    <n v="-440000"/>
    <s v="(주)모아주택산업"/>
    <m/>
    <s v="인사노무자문료 1 X 400,000"/>
  </r>
  <r>
    <s v="2025-04-06"/>
    <x v="89"/>
    <s v="00001"/>
    <s v="차변"/>
    <s v="831"/>
    <s v="지급수수료(판)"/>
    <x v="7"/>
    <n v="2990"/>
    <n v="0"/>
    <n v="-2990"/>
    <s v="토스페이먼츠 주식회사"/>
    <m/>
    <m/>
  </r>
  <r>
    <s v="2025-04-06"/>
    <x v="89"/>
    <s v="00001"/>
    <s v="대변"/>
    <s v="101"/>
    <s v="현금"/>
    <x v="1"/>
    <n v="0"/>
    <n v="2990"/>
    <n v="2990"/>
    <s v="현대카드(4817)"/>
    <m/>
    <m/>
  </r>
  <r>
    <s v="2025-04-06"/>
    <x v="89"/>
    <s v="00002"/>
    <s v="차변"/>
    <s v="811"/>
    <s v="복리후생비(판)"/>
    <x v="8"/>
    <n v="23311"/>
    <n v="0"/>
    <n v="-23311"/>
    <s v="교촌치킨첨단1호점"/>
    <m/>
    <m/>
  </r>
  <r>
    <s v="2025-04-06"/>
    <x v="89"/>
    <s v="00002"/>
    <s v="대변"/>
    <s v="101"/>
    <s v="현금"/>
    <x v="1"/>
    <n v="0"/>
    <n v="23311"/>
    <n v="23311"/>
    <s v="교촌치킨첨단1호점"/>
    <m/>
    <m/>
  </r>
  <r>
    <s v="2025-04-07"/>
    <x v="90"/>
    <s v="00001"/>
    <s v="차변"/>
    <s v="830"/>
    <s v="소모품비(판)"/>
    <x v="6"/>
    <n v="15000"/>
    <n v="0"/>
    <n v="-15000"/>
    <s v="KCP - ( 주 ) 위메프"/>
    <m/>
    <m/>
  </r>
  <r>
    <s v="2025-04-07"/>
    <x v="90"/>
    <s v="00001"/>
    <s v="대변"/>
    <s v="101"/>
    <s v="현금"/>
    <x v="1"/>
    <n v="0"/>
    <n v="15000"/>
    <n v="15000"/>
    <s v="현대카드(4817)"/>
    <m/>
    <m/>
  </r>
  <r>
    <s v="2025-04-07"/>
    <x v="90"/>
    <s v="50001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4-07"/>
    <x v="90"/>
    <s v="50001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4-07"/>
    <x v="90"/>
    <s v="50001"/>
    <s v="대변"/>
    <s v="101"/>
    <s v="현금"/>
    <x v="1"/>
    <n v="0"/>
    <n v="21120"/>
    <n v="21120"/>
    <s v="주식회사 케이티"/>
    <m/>
    <s v="구내인터넷 Standard(100M) (503300019511) 1 X 19,200"/>
  </r>
  <r>
    <s v="2025-04-07"/>
    <x v="90"/>
    <s v="50002"/>
    <s v="차변"/>
    <s v="822"/>
    <s v="차량유지비(판)"/>
    <x v="11"/>
    <n v="5500"/>
    <n v="0"/>
    <n v="-5500"/>
    <s v="현대자동차㈜ 본사"/>
    <m/>
    <s v="제네시스 커넥티드서비스"/>
  </r>
  <r>
    <s v="2025-04-07"/>
    <x v="90"/>
    <s v="50002"/>
    <s v="대변"/>
    <s v="101"/>
    <s v="현금"/>
    <x v="1"/>
    <n v="0"/>
    <n v="5500"/>
    <n v="5500"/>
    <s v="현대자동차㈜ 본사"/>
    <m/>
    <s v="제네시스 커넥티드서비스"/>
  </r>
  <r>
    <s v="2025-04-08"/>
    <x v="91"/>
    <s v="00001"/>
    <s v="차변"/>
    <s v="811"/>
    <s v="복리후생비(판)"/>
    <x v="8"/>
    <n v="5100"/>
    <n v="0"/>
    <n v="-5100"/>
    <s v="공차첨단엘씨타워점"/>
    <m/>
    <m/>
  </r>
  <r>
    <s v="2025-04-08"/>
    <x v="91"/>
    <s v="00001"/>
    <s v="대변"/>
    <s v="101"/>
    <s v="현금"/>
    <x v="1"/>
    <n v="0"/>
    <n v="5100"/>
    <n v="5100"/>
    <s v="하나카드(4088)"/>
    <m/>
    <m/>
  </r>
  <r>
    <s v="2025-04-08"/>
    <x v="91"/>
    <s v="00002"/>
    <s v="차변"/>
    <s v="812"/>
    <s v="여비교통비(판)"/>
    <x v="9"/>
    <n v="1700"/>
    <n v="0"/>
    <n v="-1700"/>
    <s v="위즈코프(주) 주암(천안방향)휴게소"/>
    <m/>
    <m/>
  </r>
  <r>
    <s v="2025-04-08"/>
    <x v="91"/>
    <s v="00002"/>
    <s v="대변"/>
    <s v="101"/>
    <s v="현금"/>
    <x v="1"/>
    <n v="0"/>
    <n v="1700"/>
    <n v="1700"/>
    <s v="하나카드(4088)"/>
    <m/>
    <m/>
  </r>
  <r>
    <s v="2025-04-08"/>
    <x v="91"/>
    <s v="00003"/>
    <s v="차변"/>
    <s v="812"/>
    <s v="여비교통비(판)"/>
    <x v="9"/>
    <n v="4000"/>
    <n v="0"/>
    <n v="-4000"/>
    <s v="위즈코프(주) 주암(천안방향)휴게소"/>
    <m/>
    <m/>
  </r>
  <r>
    <s v="2025-04-08"/>
    <x v="91"/>
    <s v="00003"/>
    <s v="대변"/>
    <s v="101"/>
    <s v="현금"/>
    <x v="1"/>
    <n v="0"/>
    <n v="4000"/>
    <n v="4000"/>
    <s v="하나카드(4088)"/>
    <m/>
    <m/>
  </r>
  <r>
    <s v="2025-04-08"/>
    <x v="91"/>
    <s v="00004"/>
    <s v="차변"/>
    <s v="812"/>
    <s v="여비교통비(판)"/>
    <x v="9"/>
    <n v="1800"/>
    <n v="0"/>
    <n v="-1800"/>
    <s v="한국정보통신 - 윌슨파킹"/>
    <m/>
    <m/>
  </r>
  <r>
    <s v="2025-04-08"/>
    <x v="91"/>
    <s v="00004"/>
    <s v="대변"/>
    <s v="101"/>
    <s v="현금"/>
    <x v="1"/>
    <n v="0"/>
    <n v="1800"/>
    <n v="1800"/>
    <s v="하나카드(4088)"/>
    <m/>
    <m/>
  </r>
  <r>
    <s v="2025-04-08"/>
    <x v="91"/>
    <s v="00005"/>
    <s v="차변"/>
    <s v="831"/>
    <s v="지급수수료(판)"/>
    <x v="7"/>
    <n v="4000"/>
    <n v="0"/>
    <n v="-4000"/>
    <s v="토스페이먼츠 주식회사"/>
    <m/>
    <m/>
  </r>
  <r>
    <s v="2025-04-08"/>
    <x v="91"/>
    <s v="00005"/>
    <s v="대변"/>
    <s v="101"/>
    <s v="현금"/>
    <x v="1"/>
    <n v="0"/>
    <n v="4000"/>
    <n v="4000"/>
    <s v="하나카드(4088)"/>
    <m/>
    <m/>
  </r>
  <r>
    <s v="2025-04-08"/>
    <x v="91"/>
    <s v="50001"/>
    <s v="대변"/>
    <s v="255"/>
    <s v="부가세예수금"/>
    <x v="3"/>
    <n v="0"/>
    <n v="20000"/>
    <n v="20000"/>
    <s v="(유)에이스"/>
    <m/>
    <s v="인사노무자문료 1 X 200,000"/>
  </r>
  <r>
    <s v="2025-04-08"/>
    <x v="91"/>
    <s v="50001"/>
    <s v="대변"/>
    <s v="401"/>
    <s v="용역매출"/>
    <x v="4"/>
    <n v="0"/>
    <n v="200000"/>
    <n v="200000"/>
    <s v="(유)에이스"/>
    <m/>
    <s v="인사노무자문료 1 X 200,000"/>
  </r>
  <r>
    <s v="2025-04-08"/>
    <x v="91"/>
    <s v="50001"/>
    <s v="차변"/>
    <s v="101"/>
    <s v="현금"/>
    <x v="1"/>
    <n v="220000"/>
    <n v="0"/>
    <n v="-220000"/>
    <s v="(유)에이스"/>
    <m/>
    <s v="인사노무자문료 1 X 200,000"/>
  </r>
  <r>
    <s v="2025-04-08"/>
    <x v="91"/>
    <s v="50002"/>
    <s v="대변"/>
    <s v="255"/>
    <s v="부가세예수금"/>
    <x v="3"/>
    <n v="0"/>
    <n v="-20000"/>
    <n v="-20000"/>
    <s v="(유)에이스"/>
    <m/>
    <s v="인사노무자문료 -1 X 200,000"/>
  </r>
  <r>
    <s v="2025-04-08"/>
    <x v="91"/>
    <s v="50002"/>
    <s v="대변"/>
    <s v="401"/>
    <s v="용역매출"/>
    <x v="4"/>
    <n v="0"/>
    <n v="-200000"/>
    <n v="-200000"/>
    <s v="(유)에이스"/>
    <m/>
    <s v="인사노무자문료 -1 X 200,000"/>
  </r>
  <r>
    <s v="2025-04-08"/>
    <x v="91"/>
    <s v="50002"/>
    <s v="차변"/>
    <s v="101"/>
    <s v="현금"/>
    <x v="1"/>
    <n v="-220000"/>
    <n v="0"/>
    <n v="220000"/>
    <s v="(유)에이스"/>
    <m/>
    <s v="인사노무자문료 -1 X 200,000"/>
  </r>
  <r>
    <s v="2025-04-08"/>
    <x v="91"/>
    <s v="50003"/>
    <s v="대변"/>
    <s v="255"/>
    <s v="부가세예수금"/>
    <x v="3"/>
    <n v="0"/>
    <n v="20000"/>
    <n v="20000"/>
    <s v="(유)에이스"/>
    <m/>
    <s v="인사노무자문료 1 X 200,000"/>
  </r>
  <r>
    <s v="2025-04-08"/>
    <x v="91"/>
    <s v="50003"/>
    <s v="대변"/>
    <s v="401"/>
    <s v="용역매출"/>
    <x v="4"/>
    <n v="0"/>
    <n v="200000"/>
    <n v="200000"/>
    <s v="(유)에이스"/>
    <m/>
    <s v="인사노무자문료 1 X 200,000"/>
  </r>
  <r>
    <s v="2025-04-08"/>
    <x v="91"/>
    <s v="50003"/>
    <s v="차변"/>
    <s v="101"/>
    <s v="현금"/>
    <x v="1"/>
    <n v="220000"/>
    <n v="0"/>
    <n v="-220000"/>
    <s v="(유)에이스"/>
    <m/>
    <s v="인사노무자문료 1 X 200,000"/>
  </r>
  <r>
    <s v="2025-04-08"/>
    <x v="91"/>
    <s v="50004"/>
    <s v="대변"/>
    <s v="255"/>
    <s v="부가세예수금"/>
    <x v="3"/>
    <n v="0"/>
    <n v="15000"/>
    <n v="15000"/>
    <s v="광주미래의원"/>
    <m/>
    <s v="인사노무자문료 1 X 150,000"/>
  </r>
  <r>
    <s v="2025-04-08"/>
    <x v="91"/>
    <s v="50004"/>
    <s v="대변"/>
    <s v="401"/>
    <s v="용역매출"/>
    <x v="4"/>
    <n v="0"/>
    <n v="150000"/>
    <n v="150000"/>
    <s v="광주미래의원"/>
    <m/>
    <s v="인사노무자문료 1 X 150,000"/>
  </r>
  <r>
    <s v="2025-04-08"/>
    <x v="91"/>
    <s v="50004"/>
    <s v="차변"/>
    <s v="101"/>
    <s v="현금"/>
    <x v="1"/>
    <n v="165000"/>
    <n v="0"/>
    <n v="-165000"/>
    <s v="광주미래의원"/>
    <m/>
    <s v="인사노무자문료 1 X 150,000"/>
  </r>
  <r>
    <s v="2025-04-09"/>
    <x v="92"/>
    <s v="00001"/>
    <s v="차변"/>
    <s v="830"/>
    <s v="소모품비(판)"/>
    <x v="6"/>
    <n v="5267"/>
    <n v="0"/>
    <n v="-5267"/>
    <s v="네이버페이"/>
    <m/>
    <m/>
  </r>
  <r>
    <s v="2025-04-09"/>
    <x v="92"/>
    <s v="00001"/>
    <s v="대변"/>
    <s v="101"/>
    <s v="현금"/>
    <x v="1"/>
    <n v="0"/>
    <n v="5267"/>
    <n v="5267"/>
    <s v="현대카드(4817)"/>
    <m/>
    <m/>
  </r>
  <r>
    <s v="2025-04-09"/>
    <x v="92"/>
    <s v="00002"/>
    <s v="차변"/>
    <s v="812"/>
    <s v="여비교통비(판)"/>
    <x v="9"/>
    <n v="11400"/>
    <n v="0"/>
    <n v="-11400"/>
    <s v="(주)이동의즐거움"/>
    <m/>
    <m/>
  </r>
  <r>
    <s v="2025-04-09"/>
    <x v="92"/>
    <s v="00002"/>
    <s v="대변"/>
    <s v="101"/>
    <s v="현금"/>
    <x v="1"/>
    <n v="0"/>
    <n v="11400"/>
    <n v="11400"/>
    <s v="하나카드(4088)"/>
    <m/>
    <m/>
  </r>
  <r>
    <s v="2025-04-09"/>
    <x v="92"/>
    <s v="00003"/>
    <s v="차변"/>
    <s v="812"/>
    <s v="여비교통비(판)"/>
    <x v="9"/>
    <n v="12100"/>
    <n v="0"/>
    <n v="-12100"/>
    <s v="(주)이동의즐거움"/>
    <m/>
    <m/>
  </r>
  <r>
    <s v="2025-04-09"/>
    <x v="92"/>
    <s v="00003"/>
    <s v="대변"/>
    <s v="101"/>
    <s v="현금"/>
    <x v="1"/>
    <n v="0"/>
    <n v="12100"/>
    <n v="12100"/>
    <s v="하나카드(4088)"/>
    <m/>
    <m/>
  </r>
  <r>
    <s v="2025-04-09"/>
    <x v="92"/>
    <s v="00004"/>
    <s v="차변"/>
    <s v="811"/>
    <s v="복리후생비(판)"/>
    <x v="8"/>
    <n v="38000"/>
    <n v="0"/>
    <n v="-38000"/>
    <s v="정광석항아리보쌈첨단점"/>
    <m/>
    <m/>
  </r>
  <r>
    <s v="2025-04-09"/>
    <x v="92"/>
    <s v="00004"/>
    <s v="대변"/>
    <s v="101"/>
    <s v="현금"/>
    <x v="1"/>
    <n v="0"/>
    <n v="38000"/>
    <n v="38000"/>
    <s v="정광석항아리보쌈첨단점"/>
    <m/>
    <m/>
  </r>
  <r>
    <s v="2025-04-10"/>
    <x v="93"/>
    <s v="00001"/>
    <s v="출금"/>
    <s v="136"/>
    <s v="선납세금"/>
    <x v="20"/>
    <n v="3743000"/>
    <n v="0"/>
    <n v="-3743000"/>
    <s v="서광주세무서"/>
    <s v="  "/>
    <s v="25년 1기예정고지 납부"/>
  </r>
  <r>
    <s v="2025-04-10"/>
    <x v="93"/>
    <s v="00001"/>
    <s v="출금"/>
    <s v="101"/>
    <s v="현금"/>
    <x v="1"/>
    <n v="0"/>
    <n v="3743000"/>
    <n v="3743000"/>
    <s v="서광주세무서"/>
    <s v="  "/>
    <s v="25년 1기예정고지 납부"/>
  </r>
  <r>
    <s v="2025-04-10"/>
    <x v="93"/>
    <s v="00002"/>
    <s v="차변"/>
    <s v="254"/>
    <s v="예수금"/>
    <x v="12"/>
    <n v="68060"/>
    <n v="0"/>
    <n v="-68060"/>
    <s v="건강보험공단"/>
    <s v="  "/>
    <s v="2503건강"/>
  </r>
  <r>
    <s v="2025-04-10"/>
    <x v="93"/>
    <s v="00002"/>
    <s v="대변"/>
    <s v="101"/>
    <s v="현금"/>
    <x v="1"/>
    <n v="0"/>
    <n v="723720"/>
    <n v="723720"/>
    <s v="건강보험공단"/>
    <s v="  "/>
    <s v="2503건강"/>
  </r>
  <r>
    <s v="2025-04-10"/>
    <x v="93"/>
    <s v="00002"/>
    <s v="차변"/>
    <s v="821"/>
    <s v="보험료(판)"/>
    <x v="13"/>
    <n v="655660"/>
    <n v="0"/>
    <n v="-655660"/>
    <s v="건강보험공단"/>
    <s v="  "/>
    <s v="2503건강"/>
  </r>
  <r>
    <s v="2025-04-10"/>
    <x v="93"/>
    <s v="00003"/>
    <s v="차변"/>
    <s v="254"/>
    <s v="예수금"/>
    <x v="12"/>
    <n v="149400"/>
    <n v="0"/>
    <n v="-149400"/>
    <s v="국민연금공단"/>
    <s v="  "/>
    <s v="2503연금"/>
  </r>
  <r>
    <s v="2025-04-10"/>
    <x v="93"/>
    <s v="00003"/>
    <s v="대변"/>
    <s v="101"/>
    <s v="현금"/>
    <x v="1"/>
    <n v="0"/>
    <n v="298800"/>
    <n v="298800"/>
    <s v="국민연금공단"/>
    <s v="  "/>
    <s v="2503연금"/>
  </r>
  <r>
    <s v="2025-04-10"/>
    <x v="93"/>
    <s v="00003"/>
    <s v="차변"/>
    <s v="817"/>
    <s v="세금과공과금(판)"/>
    <x v="14"/>
    <n v="149400"/>
    <n v="0"/>
    <n v="-149400"/>
    <s v="국민연금공단"/>
    <s v="  "/>
    <s v="2503연금"/>
  </r>
  <r>
    <s v="2025-04-10"/>
    <x v="93"/>
    <s v="00004"/>
    <s v="차변"/>
    <s v="254"/>
    <s v="예수금"/>
    <x v="12"/>
    <n v="6300"/>
    <n v="0"/>
    <n v="-6300"/>
    <s v="근로복지공단"/>
    <s v="  "/>
    <s v="2503고용"/>
  </r>
  <r>
    <s v="2025-04-10"/>
    <x v="93"/>
    <s v="00004"/>
    <s v="대변"/>
    <s v="101"/>
    <s v="현금"/>
    <x v="1"/>
    <n v="0"/>
    <n v="14350"/>
    <n v="14350"/>
    <s v="근로복지공단"/>
    <s v="  "/>
    <s v="2503고용"/>
  </r>
  <r>
    <s v="2025-04-10"/>
    <x v="93"/>
    <s v="00004"/>
    <s v="차변"/>
    <s v="821"/>
    <s v="보험료(판)"/>
    <x v="13"/>
    <n v="8050"/>
    <n v="0"/>
    <n v="-8050"/>
    <s v="근로복지공단"/>
    <s v="  "/>
    <s v="2503고용"/>
  </r>
  <r>
    <s v="2025-04-10"/>
    <x v="93"/>
    <s v="00005"/>
    <s v="차변"/>
    <s v="811"/>
    <s v="복리후생비(판)"/>
    <x v="8"/>
    <n v="16000"/>
    <n v="0"/>
    <n v="-16000"/>
    <s v="주식회사 울림푸드 한식뷔페 첨단 정부청사점"/>
    <m/>
    <m/>
  </r>
  <r>
    <s v="2025-04-10"/>
    <x v="93"/>
    <s v="00005"/>
    <s v="대변"/>
    <s v="101"/>
    <s v="현금"/>
    <x v="1"/>
    <n v="0"/>
    <n v="16000"/>
    <n v="16000"/>
    <s v="하나카드(4088)"/>
    <m/>
    <m/>
  </r>
  <r>
    <s v="2025-04-10"/>
    <x v="93"/>
    <s v="00006"/>
    <s v="차변"/>
    <s v="830"/>
    <s v="소모품비(판)"/>
    <x v="6"/>
    <n v="9900"/>
    <n v="0"/>
    <n v="-9900"/>
    <s v="네이버페이"/>
    <m/>
    <m/>
  </r>
  <r>
    <s v="2025-04-10"/>
    <x v="93"/>
    <s v="00006"/>
    <s v="대변"/>
    <s v="101"/>
    <s v="현금"/>
    <x v="1"/>
    <n v="0"/>
    <n v="9900"/>
    <n v="9900"/>
    <s v="현대카드(4817)"/>
    <m/>
    <m/>
  </r>
  <r>
    <s v="2025-04-10"/>
    <x v="93"/>
    <s v="00007"/>
    <s v="차변"/>
    <s v="830"/>
    <s v="소모품비(판)"/>
    <x v="6"/>
    <n v="13400"/>
    <n v="0"/>
    <n v="-13400"/>
    <s v="햇살마트"/>
    <m/>
    <m/>
  </r>
  <r>
    <s v="2025-04-10"/>
    <x v="93"/>
    <s v="00007"/>
    <s v="대변"/>
    <s v="101"/>
    <s v="현금"/>
    <x v="1"/>
    <n v="0"/>
    <n v="13400"/>
    <n v="13400"/>
    <s v="하나카드(4088)"/>
    <m/>
    <m/>
  </r>
  <r>
    <s v="2025-04-10"/>
    <x v="93"/>
    <s v="00008"/>
    <s v="차변"/>
    <s v="830"/>
    <s v="소모품비(판)"/>
    <x v="6"/>
    <n v="4200"/>
    <n v="0"/>
    <n v="-4200"/>
    <s v="햇살마트"/>
    <m/>
    <m/>
  </r>
  <r>
    <s v="2025-04-10"/>
    <x v="93"/>
    <s v="00008"/>
    <s v="대변"/>
    <s v="101"/>
    <s v="현금"/>
    <x v="1"/>
    <n v="0"/>
    <n v="4200"/>
    <n v="4200"/>
    <s v="하나카드(4088)"/>
    <m/>
    <m/>
  </r>
  <r>
    <s v="2025-04-10"/>
    <x v="93"/>
    <s v="00009"/>
    <s v="차변"/>
    <s v="822"/>
    <s v="차량유지비(판)"/>
    <x v="11"/>
    <n v="50000"/>
    <n v="0"/>
    <n v="-50000"/>
    <s v="（유）금성물류 광주지점"/>
    <m/>
    <m/>
  </r>
  <r>
    <s v="2025-04-10"/>
    <x v="93"/>
    <s v="00009"/>
    <s v="대변"/>
    <s v="101"/>
    <s v="현금"/>
    <x v="1"/>
    <n v="0"/>
    <n v="50000"/>
    <n v="50000"/>
    <s v="현대카드(4817)"/>
    <m/>
    <m/>
  </r>
  <r>
    <s v="2025-04-10"/>
    <x v="93"/>
    <s v="00010"/>
    <s v="차변"/>
    <s v="814"/>
    <s v="통신비(판)"/>
    <x v="10"/>
    <n v="5500"/>
    <n v="0"/>
    <n v="-5500"/>
    <s v="주식회사 케이티"/>
    <m/>
    <m/>
  </r>
  <r>
    <s v="2025-04-10"/>
    <x v="93"/>
    <s v="00010"/>
    <s v="대변"/>
    <s v="101"/>
    <s v="현금"/>
    <x v="1"/>
    <n v="0"/>
    <n v="5500"/>
    <n v="5500"/>
    <s v="하나카드(4088)"/>
    <m/>
    <m/>
  </r>
  <r>
    <s v="2025-04-11"/>
    <x v="94"/>
    <s v="00001"/>
    <s v="차변"/>
    <s v="812"/>
    <s v="여비교통비(판)"/>
    <x v="9"/>
    <n v="1800"/>
    <n v="0"/>
    <n v="-1800"/>
    <s v="컴포즈커피광주문흥대주점"/>
    <m/>
    <m/>
  </r>
  <r>
    <s v="2025-04-11"/>
    <x v="94"/>
    <s v="00001"/>
    <s v="대변"/>
    <s v="101"/>
    <s v="현금"/>
    <x v="1"/>
    <n v="0"/>
    <n v="1800"/>
    <n v="1800"/>
    <s v="하나카드(4088)"/>
    <m/>
    <m/>
  </r>
  <r>
    <s v="2025-04-11"/>
    <x v="94"/>
    <s v="50001"/>
    <s v="대변"/>
    <s v="255"/>
    <s v="부가세예수금"/>
    <x v="3"/>
    <n v="0"/>
    <n v="10000"/>
    <n v="10000"/>
    <s v="주식회사 세연이앤에스"/>
    <m/>
    <s v="인사노무자문료 1 X 100,000"/>
  </r>
  <r>
    <s v="2025-04-11"/>
    <x v="94"/>
    <s v="50001"/>
    <s v="대변"/>
    <s v="401"/>
    <s v="용역매출"/>
    <x v="4"/>
    <n v="0"/>
    <n v="100000"/>
    <n v="100000"/>
    <s v="주식회사 세연이앤에스"/>
    <m/>
    <s v="인사노무자문료 1 X 100,000"/>
  </r>
  <r>
    <s v="2025-04-11"/>
    <x v="94"/>
    <s v="50001"/>
    <s v="차변"/>
    <s v="101"/>
    <s v="현금"/>
    <x v="1"/>
    <n v="110000"/>
    <n v="0"/>
    <n v="-110000"/>
    <s v="주식회사 세연이앤에스"/>
    <m/>
    <s v="인사노무자문료 1 X 100,000"/>
  </r>
  <r>
    <s v="2025-04-11"/>
    <x v="94"/>
    <s v="50002"/>
    <s v="대변"/>
    <s v="255"/>
    <s v="부가세예수금"/>
    <x v="3"/>
    <n v="0"/>
    <n v="7000"/>
    <n v="7000"/>
    <s v="동지애드"/>
    <m/>
    <s v="인사노무자문료 1 X 70,000"/>
  </r>
  <r>
    <s v="2025-04-11"/>
    <x v="94"/>
    <s v="50002"/>
    <s v="대변"/>
    <s v="401"/>
    <s v="용역매출"/>
    <x v="4"/>
    <n v="0"/>
    <n v="70000"/>
    <n v="70000"/>
    <s v="동지애드"/>
    <m/>
    <s v="인사노무자문료 1 X 70,000"/>
  </r>
  <r>
    <s v="2025-04-11"/>
    <x v="94"/>
    <s v="50002"/>
    <s v="차변"/>
    <s v="101"/>
    <s v="현금"/>
    <x v="1"/>
    <n v="77000"/>
    <n v="0"/>
    <n v="-77000"/>
    <s v="동지애드"/>
    <m/>
    <s v="인사노무자문료 1 X 70,000"/>
  </r>
  <r>
    <s v="2025-04-11"/>
    <x v="94"/>
    <s v="50003"/>
    <s v="대변"/>
    <s v="255"/>
    <s v="부가세예수금"/>
    <x v="3"/>
    <n v="0"/>
    <n v="10000"/>
    <n v="10000"/>
    <s v="주식회사 바우만테크"/>
    <m/>
    <s v="인사노무자문료 1 X 100,000"/>
  </r>
  <r>
    <s v="2025-04-11"/>
    <x v="94"/>
    <s v="50003"/>
    <s v="대변"/>
    <s v="401"/>
    <s v="용역매출"/>
    <x v="4"/>
    <n v="0"/>
    <n v="100000"/>
    <n v="100000"/>
    <s v="주식회사 바우만테크"/>
    <m/>
    <s v="인사노무자문료 1 X 100,000"/>
  </r>
  <r>
    <s v="2025-04-11"/>
    <x v="94"/>
    <s v="50003"/>
    <s v="차변"/>
    <s v="101"/>
    <s v="현금"/>
    <x v="1"/>
    <n v="110000"/>
    <n v="0"/>
    <n v="-110000"/>
    <s v="주식회사 바우만테크"/>
    <m/>
    <s v="인사노무자문료 1 X 100,000"/>
  </r>
  <r>
    <s v="2025-04-11"/>
    <x v="94"/>
    <s v="50004"/>
    <s v="대변"/>
    <s v="255"/>
    <s v="부가세예수금"/>
    <x v="3"/>
    <n v="0"/>
    <n v="10000"/>
    <n v="10000"/>
    <s v="(주)에이스미트"/>
    <m/>
    <s v="인사노무자문료 1 X 100,000"/>
  </r>
  <r>
    <s v="2025-04-11"/>
    <x v="94"/>
    <s v="50004"/>
    <s v="대변"/>
    <s v="401"/>
    <s v="용역매출"/>
    <x v="4"/>
    <n v="0"/>
    <n v="100000"/>
    <n v="100000"/>
    <s v="(주)에이스미트"/>
    <m/>
    <s v="인사노무자문료 1 X 100,000"/>
  </r>
  <r>
    <s v="2025-04-11"/>
    <x v="94"/>
    <s v="50004"/>
    <s v="차변"/>
    <s v="101"/>
    <s v="현금"/>
    <x v="1"/>
    <n v="110000"/>
    <n v="0"/>
    <n v="-110000"/>
    <s v="(주)에이스미트"/>
    <m/>
    <s v="인사노무자문료 1 X 100,000"/>
  </r>
  <r>
    <s v="2025-04-11"/>
    <x v="94"/>
    <s v="50005"/>
    <s v="대변"/>
    <s v="255"/>
    <s v="부가세예수금"/>
    <x v="3"/>
    <n v="0"/>
    <n v="15000"/>
    <n v="15000"/>
    <s v="방방곡곡플라워"/>
    <m/>
    <s v="인사노무자문료 1 X 150,000"/>
  </r>
  <r>
    <s v="2025-04-11"/>
    <x v="94"/>
    <s v="50005"/>
    <s v="대변"/>
    <s v="401"/>
    <s v="용역매출"/>
    <x v="4"/>
    <n v="0"/>
    <n v="150000"/>
    <n v="150000"/>
    <s v="방방곡곡플라워"/>
    <m/>
    <s v="인사노무자문료 1 X 150,000"/>
  </r>
  <r>
    <s v="2025-04-11"/>
    <x v="94"/>
    <s v="50005"/>
    <s v="차변"/>
    <s v="101"/>
    <s v="현금"/>
    <x v="1"/>
    <n v="165000"/>
    <n v="0"/>
    <n v="-165000"/>
    <s v="방방곡곡플라워"/>
    <m/>
    <s v="인사노무자문료 1 X 150,000"/>
  </r>
  <r>
    <s v="2025-04-11"/>
    <x v="94"/>
    <s v="50006"/>
    <s v="대변"/>
    <s v="255"/>
    <s v="부가세예수금"/>
    <x v="3"/>
    <n v="0"/>
    <n v="20000"/>
    <n v="20000"/>
    <s v="미곡종합포장(주)"/>
    <m/>
    <s v="인사노무자문료 1 X 200,000"/>
  </r>
  <r>
    <s v="2025-04-11"/>
    <x v="94"/>
    <s v="50006"/>
    <s v="대변"/>
    <s v="401"/>
    <s v="용역매출"/>
    <x v="4"/>
    <n v="0"/>
    <n v="200000"/>
    <n v="200000"/>
    <s v="미곡종합포장(주)"/>
    <m/>
    <s v="인사노무자문료 1 X 200,000"/>
  </r>
  <r>
    <s v="2025-04-11"/>
    <x v="94"/>
    <s v="50006"/>
    <s v="차변"/>
    <s v="101"/>
    <s v="현금"/>
    <x v="1"/>
    <n v="220000"/>
    <n v="0"/>
    <n v="-220000"/>
    <s v="미곡종합포장(주)"/>
    <m/>
    <s v="인사노무자문료 1 X 200,000"/>
  </r>
  <r>
    <s v="2025-04-11"/>
    <x v="94"/>
    <s v="50007"/>
    <s v="대변"/>
    <s v="255"/>
    <s v="부가세예수금"/>
    <x v="3"/>
    <n v="0"/>
    <n v="12000"/>
    <n v="12000"/>
    <s v="(유)광주가구산업"/>
    <m/>
    <s v="인사노무자문료 1 X 120,000"/>
  </r>
  <r>
    <s v="2025-04-11"/>
    <x v="94"/>
    <s v="50007"/>
    <s v="대변"/>
    <s v="401"/>
    <s v="용역매출"/>
    <x v="4"/>
    <n v="0"/>
    <n v="120000"/>
    <n v="120000"/>
    <s v="(유)광주가구산업"/>
    <m/>
    <s v="인사노무자문료 1 X 120,000"/>
  </r>
  <r>
    <s v="2025-04-11"/>
    <x v="94"/>
    <s v="50007"/>
    <s v="차변"/>
    <s v="101"/>
    <s v="현금"/>
    <x v="1"/>
    <n v="132000"/>
    <n v="0"/>
    <n v="-132000"/>
    <s v="(유)광주가구산업"/>
    <m/>
    <s v="인사노무자문료 1 X 120,000"/>
  </r>
  <r>
    <s v="2025-04-11"/>
    <x v="94"/>
    <s v="50008"/>
    <s v="대변"/>
    <s v="255"/>
    <s v="부가세예수금"/>
    <x v="3"/>
    <n v="0"/>
    <n v="10000"/>
    <n v="10000"/>
    <s v="주식회사 한솔무역"/>
    <m/>
    <s v="인사노무자문료 1 X 100,000"/>
  </r>
  <r>
    <s v="2025-04-11"/>
    <x v="94"/>
    <s v="50008"/>
    <s v="대변"/>
    <s v="401"/>
    <s v="용역매출"/>
    <x v="4"/>
    <n v="0"/>
    <n v="100000"/>
    <n v="100000"/>
    <s v="주식회사 한솔무역"/>
    <m/>
    <s v="인사노무자문료 1 X 100,000"/>
  </r>
  <r>
    <s v="2025-04-11"/>
    <x v="94"/>
    <s v="50008"/>
    <s v="차변"/>
    <s v="101"/>
    <s v="현금"/>
    <x v="1"/>
    <n v="110000"/>
    <n v="0"/>
    <n v="-110000"/>
    <s v="주식회사 한솔무역"/>
    <m/>
    <s v="인사노무자문료 1 X 100,000"/>
  </r>
  <r>
    <s v="2025-04-12"/>
    <x v="95"/>
    <s v="00001"/>
    <s v="차변"/>
    <s v="811"/>
    <s v="복리후생비(판)"/>
    <x v="8"/>
    <n v="3000"/>
    <n v="0"/>
    <n v="-3000"/>
    <s v="벌크커피 첨단점"/>
    <m/>
    <m/>
  </r>
  <r>
    <s v="2025-04-12"/>
    <x v="95"/>
    <s v="00001"/>
    <s v="대변"/>
    <s v="101"/>
    <s v="현금"/>
    <x v="1"/>
    <n v="0"/>
    <n v="3000"/>
    <n v="3000"/>
    <s v="하나카드(4088)"/>
    <m/>
    <m/>
  </r>
  <r>
    <s v="2025-04-12"/>
    <x v="95"/>
    <s v="00002"/>
    <s v="차변"/>
    <s v="831"/>
    <s v="지급수수료(판)"/>
    <x v="7"/>
    <n v="1990"/>
    <n v="0"/>
    <n v="-1990"/>
    <s v="토스페이먼츠 주식회사"/>
    <m/>
    <m/>
  </r>
  <r>
    <s v="2025-04-12"/>
    <x v="95"/>
    <s v="00002"/>
    <s v="대변"/>
    <s v="101"/>
    <s v="현금"/>
    <x v="1"/>
    <n v="0"/>
    <n v="1990"/>
    <n v="1990"/>
    <s v="하나카드(4088)"/>
    <m/>
    <m/>
  </r>
  <r>
    <s v="2025-04-12"/>
    <x v="95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4-12"/>
    <x v="95"/>
    <s v="50001"/>
    <s v="대변"/>
    <s v="401"/>
    <s v="용역매출"/>
    <x v="4"/>
    <n v="0"/>
    <n v="150000"/>
    <n v="150000"/>
    <s v="정다운메디컬센터"/>
    <m/>
    <s v="인사노무자문료 1 X 150,000"/>
  </r>
  <r>
    <s v="2025-04-12"/>
    <x v="95"/>
    <s v="50001"/>
    <s v="차변"/>
    <s v="101"/>
    <s v="현금"/>
    <x v="1"/>
    <n v="165000"/>
    <n v="0"/>
    <n v="-165000"/>
    <s v="정다운메디컬센터"/>
    <m/>
    <s v="인사노무자문료 1 X 150,000"/>
  </r>
  <r>
    <s v="2025-04-13"/>
    <x v="96"/>
    <s v="00001"/>
    <s v="차변"/>
    <s v="812"/>
    <s v="여비교통비(판)"/>
    <x v="9"/>
    <n v="10000"/>
    <n v="0"/>
    <n v="-10000"/>
    <s v="육수당 광주터미널점"/>
    <m/>
    <m/>
  </r>
  <r>
    <s v="2025-04-13"/>
    <x v="96"/>
    <s v="00001"/>
    <s v="대변"/>
    <s v="101"/>
    <s v="현금"/>
    <x v="1"/>
    <n v="0"/>
    <n v="10000"/>
    <n v="10000"/>
    <s v="하나카드(4088)"/>
    <m/>
    <m/>
  </r>
  <r>
    <s v="2025-04-13"/>
    <x v="96"/>
    <s v="00002"/>
    <s v="대변"/>
    <s v="101"/>
    <s v="현금"/>
    <x v="1"/>
    <n v="0"/>
    <n v="2500"/>
    <n v="2500"/>
    <s v="하나카드(4088)"/>
    <m/>
    <m/>
  </r>
  <r>
    <s v="2025-04-13"/>
    <x v="96"/>
    <s v="00002"/>
    <s v="차변"/>
    <s v="812"/>
    <s v="여비교통비(판)"/>
    <x v="9"/>
    <n v="2500"/>
    <n v="0"/>
    <n v="-2500"/>
    <s v="금호고속 주식회사"/>
    <m/>
    <m/>
  </r>
  <r>
    <s v="2025-04-13"/>
    <x v="96"/>
    <s v="00003"/>
    <s v="차변"/>
    <s v="812"/>
    <s v="여비교통비(판)"/>
    <x v="9"/>
    <n v="1100"/>
    <n v="0"/>
    <n v="-1100"/>
    <s v="유한회사 세븐일레븐고속점"/>
    <m/>
    <m/>
  </r>
  <r>
    <s v="2025-04-13"/>
    <x v="96"/>
    <s v="00003"/>
    <s v="대변"/>
    <s v="101"/>
    <s v="현금"/>
    <x v="1"/>
    <n v="0"/>
    <n v="1100"/>
    <n v="1100"/>
    <s v="하나카드(4088)"/>
    <m/>
    <m/>
  </r>
  <r>
    <s v="2025-04-13"/>
    <x v="96"/>
    <s v="00004"/>
    <s v="차변"/>
    <s v="812"/>
    <s v="여비교통비(판)"/>
    <x v="9"/>
    <n v="1800"/>
    <n v="0"/>
    <n v="-1800"/>
    <s v="유한회사 세븐일레븐고속점"/>
    <m/>
    <m/>
  </r>
  <r>
    <s v="2025-04-13"/>
    <x v="96"/>
    <s v="00004"/>
    <s v="대변"/>
    <s v="101"/>
    <s v="현금"/>
    <x v="1"/>
    <n v="0"/>
    <n v="1800"/>
    <n v="1800"/>
    <s v="하나카드(4088)"/>
    <m/>
    <m/>
  </r>
  <r>
    <s v="2025-04-13"/>
    <x v="96"/>
    <s v="50001"/>
    <s v="대변"/>
    <s v="101"/>
    <s v="현금"/>
    <x v="1"/>
    <n v="0"/>
    <n v="14000"/>
    <n v="14000"/>
    <s v="현대카드(4817)"/>
    <m/>
    <m/>
  </r>
  <r>
    <s v="2025-04-13"/>
    <x v="96"/>
    <s v="50001"/>
    <s v="차변"/>
    <s v="830"/>
    <s v="소모품비(판)"/>
    <x v="6"/>
    <n v="12726"/>
    <n v="0"/>
    <n v="-12726"/>
    <s v="다이소아성산업"/>
    <s v="  "/>
    <m/>
  </r>
  <r>
    <s v="2025-04-13"/>
    <x v="96"/>
    <s v="50001"/>
    <s v="차변"/>
    <s v="135"/>
    <s v="부가세대급금"/>
    <x v="5"/>
    <n v="1274"/>
    <n v="0"/>
    <n v="-1274"/>
    <s v="다이소아성산업"/>
    <s v="  "/>
    <m/>
  </r>
  <r>
    <s v="2025-04-14"/>
    <x v="97"/>
    <s v="00001"/>
    <s v="차변"/>
    <s v="811"/>
    <s v="복리후생비(판)"/>
    <x v="8"/>
    <n v="3500"/>
    <n v="0"/>
    <n v="-3500"/>
    <s v="오라봉국수"/>
    <m/>
    <m/>
  </r>
  <r>
    <s v="2025-04-14"/>
    <x v="97"/>
    <s v="00001"/>
    <s v="대변"/>
    <s v="101"/>
    <s v="현금"/>
    <x v="1"/>
    <n v="0"/>
    <n v="3500"/>
    <n v="3500"/>
    <s v="하나카드(4088)"/>
    <m/>
    <m/>
  </r>
  <r>
    <s v="2025-04-14"/>
    <x v="97"/>
    <s v="00002"/>
    <s v="차변"/>
    <s v="811"/>
    <s v="복리후생비(판)"/>
    <x v="8"/>
    <n v="37000"/>
    <n v="0"/>
    <n v="-37000"/>
    <s v="정통집전남대점"/>
    <m/>
    <m/>
  </r>
  <r>
    <s v="2025-04-14"/>
    <x v="97"/>
    <s v="00002"/>
    <s v="대변"/>
    <s v="101"/>
    <s v="현금"/>
    <x v="1"/>
    <n v="0"/>
    <n v="37000"/>
    <n v="37000"/>
    <s v="국민카드(2005)"/>
    <m/>
    <m/>
  </r>
  <r>
    <s v="2025-04-14"/>
    <x v="97"/>
    <s v="00003"/>
    <s v="차변"/>
    <s v="830"/>
    <s v="소모품비(판)"/>
    <x v="6"/>
    <n v="5350"/>
    <n v="0"/>
    <n v="-5350"/>
    <s v="세븐일레븐 광주와이어스파크점"/>
    <m/>
    <m/>
  </r>
  <r>
    <s v="2025-04-14"/>
    <x v="97"/>
    <s v="00003"/>
    <s v="대변"/>
    <s v="101"/>
    <s v="현금"/>
    <x v="1"/>
    <n v="0"/>
    <n v="5350"/>
    <n v="5350"/>
    <s v="하나카드(4088)"/>
    <m/>
    <m/>
  </r>
  <r>
    <s v="2025-04-14"/>
    <x v="97"/>
    <s v="00004"/>
    <s v="대변"/>
    <s v="101"/>
    <s v="현금"/>
    <x v="1"/>
    <n v="0"/>
    <n v="5400"/>
    <n v="5400"/>
    <s v="하나카드(4088)"/>
    <m/>
    <m/>
  </r>
  <r>
    <s v="2025-04-14"/>
    <x v="97"/>
    <s v="00004"/>
    <s v="차변"/>
    <s v="812"/>
    <s v="여비교통비(판)"/>
    <x v="9"/>
    <n v="5400"/>
    <n v="0"/>
    <n v="-5400"/>
    <s v="주식회사 에스아이티"/>
    <m/>
    <m/>
  </r>
  <r>
    <s v="2025-04-14"/>
    <x v="97"/>
    <s v="00005"/>
    <s v="차변"/>
    <s v="813"/>
    <s v="접대비(기업업무추진비)(판)"/>
    <x v="0"/>
    <n v="33000"/>
    <n v="0"/>
    <n v="-33000"/>
    <s v="올리브(OLIVE)"/>
    <s v="02"/>
    <s v="거래처 접대비(기업업무추진비)/신용카드(개인)"/>
  </r>
  <r>
    <s v="2025-04-14"/>
    <x v="97"/>
    <s v="00005"/>
    <s v="대변"/>
    <s v="101"/>
    <s v="현금"/>
    <x v="1"/>
    <n v="0"/>
    <n v="33000"/>
    <n v="33000"/>
    <s v="국민카드(2005)"/>
    <m/>
    <m/>
  </r>
  <r>
    <s v="2025-04-14"/>
    <x v="97"/>
    <s v="00006"/>
    <s v="차변"/>
    <s v="830"/>
    <s v="소모품비(판)"/>
    <x v="6"/>
    <n v="12540"/>
    <n v="0"/>
    <n v="-12540"/>
    <s v="주식회사 다다통상"/>
    <m/>
    <m/>
  </r>
  <r>
    <s v="2025-04-14"/>
    <x v="97"/>
    <s v="00006"/>
    <s v="대변"/>
    <s v="101"/>
    <s v="현금"/>
    <x v="1"/>
    <n v="0"/>
    <n v="12540"/>
    <n v="12540"/>
    <s v="주식회사 다다통상"/>
    <m/>
    <m/>
  </r>
  <r>
    <s v="2025-04-14"/>
    <x v="97"/>
    <s v="00007"/>
    <s v="차변"/>
    <s v="830"/>
    <s v="소모품비(판)"/>
    <x v="6"/>
    <n v="4190"/>
    <n v="0"/>
    <n v="-4190"/>
    <s v="주식회사 다다통상"/>
    <m/>
    <m/>
  </r>
  <r>
    <s v="2025-04-14"/>
    <x v="97"/>
    <s v="00007"/>
    <s v="대변"/>
    <s v="101"/>
    <s v="현금"/>
    <x v="1"/>
    <n v="0"/>
    <n v="4190"/>
    <n v="4190"/>
    <s v="주식회사 다다통상"/>
    <m/>
    <m/>
  </r>
  <r>
    <s v="2025-04-14"/>
    <x v="97"/>
    <s v="00008"/>
    <s v="차변"/>
    <s v="830"/>
    <s v="소모품비(판)"/>
    <x v="6"/>
    <n v="4190"/>
    <n v="0"/>
    <n v="-4190"/>
    <s v="주식회사 다다통상"/>
    <m/>
    <m/>
  </r>
  <r>
    <s v="2025-04-14"/>
    <x v="97"/>
    <s v="00008"/>
    <s v="대변"/>
    <s v="101"/>
    <s v="현금"/>
    <x v="1"/>
    <n v="0"/>
    <n v="4190"/>
    <n v="4190"/>
    <s v="주식회사 다다통상"/>
    <m/>
    <m/>
  </r>
  <r>
    <s v="2025-04-14"/>
    <x v="97"/>
    <s v="00009"/>
    <s v="차변"/>
    <s v="830"/>
    <s v="소모품비(판)"/>
    <x v="6"/>
    <n v="3000"/>
    <n v="0"/>
    <n v="-3000"/>
    <s v="주식회사 다다통상"/>
    <m/>
    <m/>
  </r>
  <r>
    <s v="2025-04-14"/>
    <x v="97"/>
    <s v="00009"/>
    <s v="대변"/>
    <s v="101"/>
    <s v="현금"/>
    <x v="1"/>
    <n v="0"/>
    <n v="3000"/>
    <n v="3000"/>
    <s v="주식회사 다다통상"/>
    <m/>
    <m/>
  </r>
  <r>
    <s v="2025-04-15"/>
    <x v="98"/>
    <s v="00001"/>
    <s v="차변"/>
    <s v="811"/>
    <s v="복리후생비(판)"/>
    <x v="8"/>
    <n v="5100"/>
    <n v="0"/>
    <n v="-5100"/>
    <s v="공차첨단엘씨타워점"/>
    <m/>
    <m/>
  </r>
  <r>
    <s v="2025-04-15"/>
    <x v="98"/>
    <s v="00001"/>
    <s v="대변"/>
    <s v="101"/>
    <s v="현금"/>
    <x v="1"/>
    <n v="0"/>
    <n v="5100"/>
    <n v="5100"/>
    <s v="국민카드(2005)"/>
    <m/>
    <m/>
  </r>
  <r>
    <s v="2025-04-15"/>
    <x v="98"/>
    <s v="00002"/>
    <s v="차변"/>
    <s v="811"/>
    <s v="복리후생비(판)"/>
    <x v="8"/>
    <n v="16000"/>
    <n v="0"/>
    <n v="-16000"/>
    <s v="주식회사 울림푸드 한식뷔페 첨단 정부청사점"/>
    <m/>
    <m/>
  </r>
  <r>
    <s v="2025-04-15"/>
    <x v="98"/>
    <s v="00002"/>
    <s v="대변"/>
    <s v="101"/>
    <s v="현금"/>
    <x v="1"/>
    <n v="0"/>
    <n v="16000"/>
    <n v="16000"/>
    <s v="하나카드(4088)"/>
    <m/>
    <m/>
  </r>
  <r>
    <s v="2025-04-15"/>
    <x v="98"/>
    <s v="00003"/>
    <s v="차변"/>
    <s v="830"/>
    <s v="소모품비(판)"/>
    <x v="6"/>
    <n v="10000"/>
    <n v="0"/>
    <n v="-10000"/>
    <s v="햇살마트"/>
    <m/>
    <m/>
  </r>
  <r>
    <s v="2025-04-15"/>
    <x v="98"/>
    <s v="00003"/>
    <s v="대변"/>
    <s v="101"/>
    <s v="현금"/>
    <x v="1"/>
    <n v="0"/>
    <n v="10000"/>
    <n v="10000"/>
    <s v="국민카드(2005)"/>
    <m/>
    <m/>
  </r>
  <r>
    <s v="2025-04-15"/>
    <x v="98"/>
    <s v="00004"/>
    <s v="대변"/>
    <s v="101"/>
    <s v="현금"/>
    <x v="1"/>
    <n v="0"/>
    <n v="1000"/>
    <n v="1000"/>
    <s v="국민카드(2005)"/>
    <m/>
    <m/>
  </r>
  <r>
    <s v="2025-04-15"/>
    <x v="98"/>
    <s v="00004"/>
    <s v="차변"/>
    <s v="812"/>
    <s v="여비교통비(판)"/>
    <x v="9"/>
    <n v="1000"/>
    <n v="0"/>
    <n v="-1000"/>
    <s v="(주)대성전자유통"/>
    <m/>
    <m/>
  </r>
  <r>
    <s v="2025-04-15"/>
    <x v="98"/>
    <s v="50001"/>
    <s v="대변"/>
    <s v="255"/>
    <s v="부가세예수금"/>
    <x v="3"/>
    <n v="0"/>
    <n v="10000"/>
    <n v="10000"/>
    <s v="(주)커피볶는집"/>
    <m/>
    <s v="인사노무자문료 1 X 100,000"/>
  </r>
  <r>
    <s v="2025-04-15"/>
    <x v="98"/>
    <s v="50001"/>
    <s v="대변"/>
    <s v="401"/>
    <s v="용역매출"/>
    <x v="4"/>
    <n v="0"/>
    <n v="100000"/>
    <n v="100000"/>
    <s v="(주)커피볶는집"/>
    <m/>
    <s v="인사노무자문료 1 X 100,000"/>
  </r>
  <r>
    <s v="2025-04-15"/>
    <x v="98"/>
    <s v="50001"/>
    <s v="차변"/>
    <s v="101"/>
    <s v="현금"/>
    <x v="1"/>
    <n v="110000"/>
    <n v="0"/>
    <n v="-110000"/>
    <s v="(주)커피볶는집"/>
    <m/>
    <s v="인사노무자문료 1 X 100,000"/>
  </r>
  <r>
    <s v="2025-04-15"/>
    <x v="98"/>
    <s v="50002"/>
    <s v="대변"/>
    <s v="255"/>
    <s v="부가세예수금"/>
    <x v="3"/>
    <n v="0"/>
    <n v="13637"/>
    <n v="13637"/>
    <s v="주식회사 청경"/>
    <m/>
    <s v="인사노무자문료 1 X 136,363"/>
  </r>
  <r>
    <s v="2025-04-15"/>
    <x v="98"/>
    <s v="50002"/>
    <s v="대변"/>
    <s v="401"/>
    <s v="용역매출"/>
    <x v="4"/>
    <n v="0"/>
    <n v="136363"/>
    <n v="136363"/>
    <s v="주식회사 청경"/>
    <m/>
    <s v="인사노무자문료 1 X 136,363"/>
  </r>
  <r>
    <s v="2025-04-15"/>
    <x v="98"/>
    <s v="50002"/>
    <s v="차변"/>
    <s v="101"/>
    <s v="현금"/>
    <x v="1"/>
    <n v="150000"/>
    <n v="0"/>
    <n v="-150000"/>
    <s v="주식회사 청경"/>
    <m/>
    <s v="인사노무자문료 1 X 136,363"/>
  </r>
  <r>
    <s v="2025-04-16"/>
    <x v="99"/>
    <s v="00001"/>
    <s v="차변"/>
    <s v="811"/>
    <s v="복리후생비(판)"/>
    <x v="8"/>
    <n v="14000"/>
    <n v="0"/>
    <n v="-14000"/>
    <s v="윤아네진수성찬"/>
    <m/>
    <m/>
  </r>
  <r>
    <s v="2025-04-16"/>
    <x v="99"/>
    <s v="00001"/>
    <s v="대변"/>
    <s v="101"/>
    <s v="현금"/>
    <x v="1"/>
    <n v="0"/>
    <n v="14000"/>
    <n v="14000"/>
    <s v="하나카드(4088)"/>
    <m/>
    <m/>
  </r>
  <r>
    <s v="2025-04-16"/>
    <x v="99"/>
    <s v="00002"/>
    <s v="차변"/>
    <s v="812"/>
    <s v="여비교통비(판)"/>
    <x v="9"/>
    <n v="900"/>
    <n v="0"/>
    <n v="-900"/>
    <s v="조선대학교"/>
    <m/>
    <m/>
  </r>
  <r>
    <s v="2025-04-16"/>
    <x v="99"/>
    <s v="00002"/>
    <s v="대변"/>
    <s v="101"/>
    <s v="현금"/>
    <x v="1"/>
    <n v="0"/>
    <n v="900"/>
    <n v="900"/>
    <s v="하나카드(4088)"/>
    <m/>
    <m/>
  </r>
  <r>
    <s v="2025-04-16"/>
    <x v="99"/>
    <s v="00003"/>
    <s v="대변"/>
    <s v="101"/>
    <s v="현금"/>
    <x v="1"/>
    <n v="0"/>
    <n v="4940"/>
    <n v="4940"/>
    <s v="하나카드(4088)"/>
    <m/>
    <m/>
  </r>
  <r>
    <s v="2025-04-16"/>
    <x v="99"/>
    <s v="00003"/>
    <s v="차변"/>
    <s v="824"/>
    <s v="운반비(판)"/>
    <x v="15"/>
    <n v="4940"/>
    <n v="0"/>
    <n v="-4940"/>
    <s v="우정사업본부광주"/>
    <m/>
    <m/>
  </r>
  <r>
    <s v="2025-04-16"/>
    <x v="99"/>
    <s v="50001"/>
    <s v="대변"/>
    <s v="255"/>
    <s v="부가세예수금"/>
    <x v="3"/>
    <n v="0"/>
    <n v="6000"/>
    <n v="6000"/>
    <s v="이마트24광주농성점"/>
    <m/>
    <s v="인사노무자문료 1 X 60,000"/>
  </r>
  <r>
    <s v="2025-04-16"/>
    <x v="99"/>
    <s v="50001"/>
    <s v="대변"/>
    <s v="401"/>
    <s v="용역매출"/>
    <x v="4"/>
    <n v="0"/>
    <n v="60000"/>
    <n v="60000"/>
    <s v="이마트24광주농성점"/>
    <m/>
    <s v="인사노무자문료 1 X 60,000"/>
  </r>
  <r>
    <s v="2025-04-16"/>
    <x v="99"/>
    <s v="50001"/>
    <s v="차변"/>
    <s v="101"/>
    <s v="현금"/>
    <x v="1"/>
    <n v="66000"/>
    <n v="0"/>
    <n v="-66000"/>
    <s v="이마트24광주농성점"/>
    <m/>
    <s v="인사노무자문료 1 X 60,000"/>
  </r>
  <r>
    <s v="2025-04-16"/>
    <x v="99"/>
    <s v="50002"/>
    <s v="대변"/>
    <s v="255"/>
    <s v="부가세예수금"/>
    <x v="3"/>
    <n v="0"/>
    <n v="10000"/>
    <n v="10000"/>
    <s v="리.베이커리"/>
    <m/>
    <s v="인사노무자문료 1 X 100,000"/>
  </r>
  <r>
    <s v="2025-04-16"/>
    <x v="99"/>
    <s v="50002"/>
    <s v="대변"/>
    <s v="401"/>
    <s v="용역매출"/>
    <x v="4"/>
    <n v="0"/>
    <n v="100000"/>
    <n v="100000"/>
    <s v="리.베이커리"/>
    <m/>
    <s v="인사노무자문료 1 X 100,000"/>
  </r>
  <r>
    <s v="2025-04-16"/>
    <x v="99"/>
    <s v="50002"/>
    <s v="차변"/>
    <s v="101"/>
    <s v="현금"/>
    <x v="1"/>
    <n v="110000"/>
    <n v="0"/>
    <n v="-110000"/>
    <s v="리.베이커리"/>
    <m/>
    <s v="인사노무자문료 1 X 100,000"/>
  </r>
  <r>
    <s v="2025-04-16"/>
    <x v="99"/>
    <s v="50003"/>
    <s v="대변"/>
    <s v="255"/>
    <s v="부가세예수금"/>
    <x v="3"/>
    <n v="0"/>
    <n v="15000"/>
    <n v="15000"/>
    <s v="(주)유진테크노"/>
    <m/>
    <s v="인사노무자문료(1월분) 1 X 150,000"/>
  </r>
  <r>
    <s v="2025-04-16"/>
    <x v="99"/>
    <s v="50003"/>
    <s v="대변"/>
    <s v="401"/>
    <s v="용역매출"/>
    <x v="4"/>
    <n v="0"/>
    <n v="150000"/>
    <n v="150000"/>
    <s v="(주)유진테크노"/>
    <m/>
    <s v="인사노무자문료(1월분) 1 X 150,000"/>
  </r>
  <r>
    <s v="2025-04-16"/>
    <x v="99"/>
    <s v="50003"/>
    <s v="차변"/>
    <s v="101"/>
    <s v="현금"/>
    <x v="1"/>
    <n v="165000"/>
    <n v="0"/>
    <n v="-165000"/>
    <s v="(주)유진테크노"/>
    <m/>
    <s v="인사노무자문료(1월분) 1 X 150,000"/>
  </r>
  <r>
    <s v="2025-04-17"/>
    <x v="100"/>
    <s v="00001"/>
    <s v="차변"/>
    <s v="811"/>
    <s v="복리후생비(판)"/>
    <x v="8"/>
    <n v="2900"/>
    <n v="0"/>
    <n v="-2900"/>
    <s v="메가엠지씨커피 광주상무미즈피아점"/>
    <m/>
    <m/>
  </r>
  <r>
    <s v="2025-04-17"/>
    <x v="100"/>
    <s v="00001"/>
    <s v="대변"/>
    <s v="101"/>
    <s v="현금"/>
    <x v="1"/>
    <n v="0"/>
    <n v="2900"/>
    <n v="2900"/>
    <s v="하나카드(4088)"/>
    <m/>
    <m/>
  </r>
  <r>
    <s v="2025-04-17"/>
    <x v="100"/>
    <s v="00002"/>
    <s v="차변"/>
    <s v="811"/>
    <s v="복리후생비(판)"/>
    <x v="8"/>
    <n v="6600"/>
    <n v="0"/>
    <n v="-6600"/>
    <s v="메가엠지씨커피 광주상무미즈피아점"/>
    <m/>
    <m/>
  </r>
  <r>
    <s v="2025-04-17"/>
    <x v="100"/>
    <s v="00002"/>
    <s v="대변"/>
    <s v="101"/>
    <s v="현금"/>
    <x v="1"/>
    <n v="0"/>
    <n v="6600"/>
    <n v="6600"/>
    <s v="하나카드(4088)"/>
    <m/>
    <m/>
  </r>
  <r>
    <s v="2025-04-17"/>
    <x v="100"/>
    <s v="00003"/>
    <s v="차변"/>
    <s v="830"/>
    <s v="소모품비(판)"/>
    <x v="6"/>
    <n v="2200"/>
    <n v="0"/>
    <n v="-2200"/>
    <s v="KCP - ( 주 ) 위메프"/>
    <m/>
    <m/>
  </r>
  <r>
    <s v="2025-04-17"/>
    <x v="100"/>
    <s v="00003"/>
    <s v="대변"/>
    <s v="101"/>
    <s v="현금"/>
    <x v="1"/>
    <n v="0"/>
    <n v="2200"/>
    <n v="2200"/>
    <s v="하나카드(4088)"/>
    <m/>
    <m/>
  </r>
  <r>
    <s v="2025-04-17"/>
    <x v="100"/>
    <s v="00004"/>
    <s v="차변"/>
    <s v="812"/>
    <s v="여비교통비(판)"/>
    <x v="9"/>
    <n v="7500"/>
    <n v="0"/>
    <n v="-7500"/>
    <s v="이마트24 고흥파랑새점"/>
    <m/>
    <m/>
  </r>
  <r>
    <s v="2025-04-17"/>
    <x v="100"/>
    <s v="00004"/>
    <s v="대변"/>
    <s v="101"/>
    <s v="현금"/>
    <x v="1"/>
    <n v="0"/>
    <n v="7500"/>
    <n v="7500"/>
    <s v="하나카드(4088)"/>
    <m/>
    <m/>
  </r>
  <r>
    <s v="2025-04-17"/>
    <x v="100"/>
    <s v="00005"/>
    <s v="차변"/>
    <s v="812"/>
    <s v="여비교통비(판)"/>
    <x v="9"/>
    <n v="1800"/>
    <n v="0"/>
    <n v="-1800"/>
    <s v="한국정보통신 - 윌슨파킹"/>
    <m/>
    <m/>
  </r>
  <r>
    <s v="2025-04-17"/>
    <x v="100"/>
    <s v="00005"/>
    <s v="대변"/>
    <s v="101"/>
    <s v="현금"/>
    <x v="1"/>
    <n v="0"/>
    <n v="1800"/>
    <n v="1800"/>
    <s v="하나카드(4088)"/>
    <m/>
    <m/>
  </r>
  <r>
    <s v="2025-04-17"/>
    <x v="100"/>
    <s v="00006"/>
    <s v="차변"/>
    <s v="812"/>
    <s v="여비교통비(판)"/>
    <x v="9"/>
    <n v="4400"/>
    <n v="0"/>
    <n v="-4400"/>
    <s v="지에스(GS)25화순칠충로점"/>
    <m/>
    <m/>
  </r>
  <r>
    <s v="2025-04-17"/>
    <x v="100"/>
    <s v="00006"/>
    <s v="대변"/>
    <s v="101"/>
    <s v="현금"/>
    <x v="1"/>
    <n v="0"/>
    <n v="4400"/>
    <n v="4400"/>
    <s v="하나카드(4088)"/>
    <m/>
    <m/>
  </r>
  <r>
    <s v="2025-04-17"/>
    <x v="100"/>
    <s v="00007"/>
    <s v="차변"/>
    <s v="812"/>
    <s v="여비교통비(판)"/>
    <x v="9"/>
    <n v="2000"/>
    <n v="0"/>
    <n v="-2000"/>
    <s v="카페청사"/>
    <m/>
    <m/>
  </r>
  <r>
    <s v="2025-04-17"/>
    <x v="100"/>
    <s v="00007"/>
    <s v="대변"/>
    <s v="101"/>
    <s v="현금"/>
    <x v="1"/>
    <n v="0"/>
    <n v="2000"/>
    <n v="2000"/>
    <s v="하나카드(4088)"/>
    <m/>
    <m/>
  </r>
  <r>
    <s v="2025-04-17"/>
    <x v="100"/>
    <s v="00008"/>
    <s v="차변"/>
    <s v="812"/>
    <s v="여비교통비(판)"/>
    <x v="9"/>
    <n v="1800"/>
    <n v="0"/>
    <n v="-1800"/>
    <s v="컴포즈커피(광산우체국점)"/>
    <m/>
    <m/>
  </r>
  <r>
    <s v="2025-04-17"/>
    <x v="100"/>
    <s v="00008"/>
    <s v="대변"/>
    <s v="101"/>
    <s v="현금"/>
    <x v="1"/>
    <n v="0"/>
    <n v="1800"/>
    <n v="1800"/>
    <s v="하나카드(4088)"/>
    <m/>
    <m/>
  </r>
  <r>
    <s v="2025-04-18"/>
    <x v="101"/>
    <s v="00001"/>
    <s v="차변"/>
    <s v="811"/>
    <s v="복리후생비(판)"/>
    <x v="8"/>
    <n v="10500"/>
    <n v="0"/>
    <n v="-10500"/>
    <s v="라 돌체 비타"/>
    <m/>
    <m/>
  </r>
  <r>
    <s v="2025-04-18"/>
    <x v="101"/>
    <s v="00001"/>
    <s v="대변"/>
    <s v="101"/>
    <s v="현금"/>
    <x v="1"/>
    <n v="0"/>
    <n v="10500"/>
    <n v="10500"/>
    <s v="하나카드(4088)"/>
    <m/>
    <m/>
  </r>
  <r>
    <s v="2025-04-18"/>
    <x v="101"/>
    <s v="00002"/>
    <s v="차변"/>
    <s v="812"/>
    <s v="여비교통비(판)"/>
    <x v="9"/>
    <n v="7500"/>
    <n v="0"/>
    <n v="-7500"/>
    <s v="안녕바우"/>
    <m/>
    <m/>
  </r>
  <r>
    <s v="2025-04-18"/>
    <x v="101"/>
    <s v="00002"/>
    <s v="대변"/>
    <s v="101"/>
    <s v="현금"/>
    <x v="1"/>
    <n v="0"/>
    <n v="7500"/>
    <n v="7500"/>
    <s v="하나카드(4088)"/>
    <m/>
    <m/>
  </r>
  <r>
    <s v="2025-04-18"/>
    <x v="101"/>
    <s v="00003"/>
    <s v="차변"/>
    <s v="813"/>
    <s v="접대비(기업업무추진비)(판)"/>
    <x v="0"/>
    <n v="106000"/>
    <n v="0"/>
    <n v="-106000"/>
    <s v="해녀촌"/>
    <s v="02"/>
    <s v="거래처 접대비(기업업무추진비)/신용카드(개인)"/>
  </r>
  <r>
    <s v="2025-04-18"/>
    <x v="101"/>
    <s v="00003"/>
    <s v="대변"/>
    <s v="101"/>
    <s v="현금"/>
    <x v="1"/>
    <n v="0"/>
    <n v="106000"/>
    <n v="106000"/>
    <s v="하나카드(4088)"/>
    <m/>
    <m/>
  </r>
  <r>
    <s v="2025-04-18"/>
    <x v="101"/>
    <s v="50001"/>
    <s v="차변"/>
    <s v="837"/>
    <s v="건물관리비(판)"/>
    <x v="16"/>
    <n v="171770"/>
    <n v="0"/>
    <n v="-171770"/>
    <s v="와이어스파크 지식산업센터 관리위원회"/>
    <m/>
    <s v="2동2205호"/>
  </r>
  <r>
    <s v="2025-04-18"/>
    <x v="101"/>
    <s v="50001"/>
    <s v="대변"/>
    <s v="101"/>
    <s v="현금"/>
    <x v="1"/>
    <n v="0"/>
    <n v="171770"/>
    <n v="171770"/>
    <s v="와이어스파크 지식산업센터 관리위원회"/>
    <m/>
    <s v="2동2205호"/>
  </r>
  <r>
    <s v="2025-04-19"/>
    <x v="102"/>
    <s v="00001"/>
    <s v="차변"/>
    <s v="811"/>
    <s v="복리후생비(판)"/>
    <x v="8"/>
    <n v="9500"/>
    <n v="0"/>
    <n v="-9500"/>
    <s v="김밥랜드"/>
    <m/>
    <m/>
  </r>
  <r>
    <s v="2025-04-19"/>
    <x v="102"/>
    <s v="00001"/>
    <s v="대변"/>
    <s v="101"/>
    <s v="현금"/>
    <x v="1"/>
    <n v="0"/>
    <n v="9500"/>
    <n v="9500"/>
    <s v="하나카드(4088)"/>
    <m/>
    <m/>
  </r>
  <r>
    <s v="2025-04-19"/>
    <x v="102"/>
    <s v="00002"/>
    <s v="대변"/>
    <s v="101"/>
    <s v="현금"/>
    <x v="1"/>
    <n v="0"/>
    <n v="6200"/>
    <n v="6200"/>
    <s v="하나카드(4088)"/>
    <m/>
    <m/>
  </r>
  <r>
    <s v="2025-04-19"/>
    <x v="102"/>
    <s v="00002"/>
    <s v="차변"/>
    <s v="812"/>
    <s v="여비교통비(판)"/>
    <x v="9"/>
    <n v="6200"/>
    <n v="0"/>
    <n v="-6200"/>
    <s v="유한회사 고기왕"/>
    <m/>
    <m/>
  </r>
  <r>
    <s v="2025-04-19"/>
    <x v="102"/>
    <s v="00003"/>
    <s v="차변"/>
    <s v="812"/>
    <s v="여비교통비(판)"/>
    <x v="9"/>
    <n v="1800"/>
    <n v="0"/>
    <n v="-1800"/>
    <s v="한국정보통신 - 윌슨파킹"/>
    <m/>
    <m/>
  </r>
  <r>
    <s v="2025-04-19"/>
    <x v="102"/>
    <s v="00003"/>
    <s v="대변"/>
    <s v="101"/>
    <s v="현금"/>
    <x v="1"/>
    <n v="0"/>
    <n v="1800"/>
    <n v="1800"/>
    <s v="하나카드(4088)"/>
    <m/>
    <m/>
  </r>
  <r>
    <s v="2025-04-19"/>
    <x v="102"/>
    <s v="00004"/>
    <s v="차변"/>
    <s v="812"/>
    <s v="여비교통비(판)"/>
    <x v="9"/>
    <n v="3600"/>
    <n v="0"/>
    <n v="-3600"/>
    <s v="한국정보통신 - 윌슨파킹"/>
    <m/>
    <m/>
  </r>
  <r>
    <s v="2025-04-19"/>
    <x v="102"/>
    <s v="00004"/>
    <s v="대변"/>
    <s v="101"/>
    <s v="현금"/>
    <x v="1"/>
    <n v="0"/>
    <n v="3600"/>
    <n v="3600"/>
    <s v="하나카드(4088)"/>
    <m/>
    <m/>
  </r>
  <r>
    <s v="2025-04-20"/>
    <x v="103"/>
    <s v="00001"/>
    <s v="차변"/>
    <s v="812"/>
    <s v="여비교통비(판)"/>
    <x v="9"/>
    <n v="1800"/>
    <n v="0"/>
    <n v="-1800"/>
    <s v="한국정보통신 - 윌슨파킹"/>
    <m/>
    <m/>
  </r>
  <r>
    <s v="2025-04-20"/>
    <x v="103"/>
    <s v="00001"/>
    <s v="대변"/>
    <s v="101"/>
    <s v="현금"/>
    <x v="1"/>
    <n v="0"/>
    <n v="1800"/>
    <n v="1800"/>
    <s v="하나카드(4088)"/>
    <m/>
    <m/>
  </r>
  <r>
    <s v="2025-04-20"/>
    <x v="103"/>
    <s v="00002"/>
    <s v="차변"/>
    <s v="811"/>
    <s v="복리후생비(판)"/>
    <x v="8"/>
    <n v="22900"/>
    <n v="0"/>
    <n v="-22900"/>
    <s v="첨단점굽네치킨"/>
    <m/>
    <m/>
  </r>
  <r>
    <s v="2025-04-20"/>
    <x v="103"/>
    <s v="00002"/>
    <s v="대변"/>
    <s v="101"/>
    <s v="현금"/>
    <x v="1"/>
    <n v="0"/>
    <n v="22900"/>
    <n v="22900"/>
    <s v="첨단점굽네치킨"/>
    <m/>
    <m/>
  </r>
  <r>
    <s v="2025-04-21"/>
    <x v="104"/>
    <s v="00001"/>
    <s v="대변"/>
    <s v="101"/>
    <s v="현금"/>
    <x v="1"/>
    <n v="0"/>
    <n v="40430"/>
    <n v="40430"/>
    <s v="현대카드(4817)"/>
    <m/>
    <m/>
  </r>
  <r>
    <s v="2025-04-21"/>
    <x v="104"/>
    <s v="00001"/>
    <s v="차변"/>
    <s v="811"/>
    <s v="복리후생비(판)"/>
    <x v="8"/>
    <n v="40430"/>
    <n v="0"/>
    <n v="-40430"/>
    <s v="장성로컬푸드 첨단직매장"/>
    <m/>
    <m/>
  </r>
  <r>
    <s v="2025-04-21"/>
    <x v="104"/>
    <s v="00002"/>
    <s v="대변"/>
    <s v="101"/>
    <s v="현금"/>
    <x v="1"/>
    <n v="0"/>
    <n v="24130"/>
    <n v="24130"/>
    <s v="국민카드(2005)"/>
    <m/>
    <m/>
  </r>
  <r>
    <s v="2025-04-21"/>
    <x v="104"/>
    <s v="00002"/>
    <s v="차변"/>
    <s v="831"/>
    <s v="지급수수료(판)"/>
    <x v="7"/>
    <n v="24130"/>
    <n v="0"/>
    <n v="-24130"/>
    <s v="코웨이(주）"/>
    <m/>
    <m/>
  </r>
  <r>
    <s v="2025-04-21"/>
    <x v="104"/>
    <s v="00003"/>
    <s v="대변"/>
    <s v="101"/>
    <s v="현금"/>
    <x v="1"/>
    <n v="0"/>
    <n v="42650"/>
    <n v="42650"/>
    <s v="국민카드(2005)"/>
    <m/>
    <m/>
  </r>
  <r>
    <s v="2025-04-21"/>
    <x v="104"/>
    <s v="00003"/>
    <s v="차변"/>
    <s v="831"/>
    <s v="지급수수료(판)"/>
    <x v="7"/>
    <n v="42650"/>
    <n v="0"/>
    <n v="-42650"/>
    <s v="코웨이(주）"/>
    <m/>
    <m/>
  </r>
  <r>
    <s v="2025-04-22"/>
    <x v="105"/>
    <s v="00001"/>
    <s v="차변"/>
    <s v="811"/>
    <s v="복리후생비(판)"/>
    <x v="8"/>
    <n v="5100"/>
    <n v="0"/>
    <n v="-5100"/>
    <s v="공차첨단엘씨타워점"/>
    <m/>
    <m/>
  </r>
  <r>
    <s v="2025-04-22"/>
    <x v="105"/>
    <s v="00001"/>
    <s v="대변"/>
    <s v="101"/>
    <s v="현금"/>
    <x v="1"/>
    <n v="0"/>
    <n v="5100"/>
    <n v="5100"/>
    <s v="현대카드(4817)"/>
    <m/>
    <m/>
  </r>
  <r>
    <s v="2025-04-22"/>
    <x v="105"/>
    <s v="00002"/>
    <s v="차변"/>
    <s v="830"/>
    <s v="소모품비(판)"/>
    <x v="6"/>
    <n v="15420"/>
    <n v="0"/>
    <n v="-15420"/>
    <s v="KCP - ( 주 ) 위메프"/>
    <m/>
    <m/>
  </r>
  <r>
    <s v="2025-04-22"/>
    <x v="105"/>
    <s v="00002"/>
    <s v="대변"/>
    <s v="101"/>
    <s v="현금"/>
    <x v="1"/>
    <n v="0"/>
    <n v="15420"/>
    <n v="15420"/>
    <s v="현대카드(4817)"/>
    <m/>
    <m/>
  </r>
  <r>
    <s v="2025-04-22"/>
    <x v="105"/>
    <s v="00003"/>
    <s v="차변"/>
    <s v="830"/>
    <s v="소모품비(판)"/>
    <x v="6"/>
    <n v="18120"/>
    <n v="0"/>
    <n v="-18120"/>
    <s v="KCP - ( 주 ) 위메프"/>
    <m/>
    <m/>
  </r>
  <r>
    <s v="2025-04-22"/>
    <x v="105"/>
    <s v="00003"/>
    <s v="대변"/>
    <s v="101"/>
    <s v="현금"/>
    <x v="1"/>
    <n v="0"/>
    <n v="18120"/>
    <n v="18120"/>
    <s v="현대카드(4817)"/>
    <m/>
    <m/>
  </r>
  <r>
    <s v="2025-04-22"/>
    <x v="105"/>
    <s v="00004"/>
    <s v="차변"/>
    <s v="830"/>
    <s v="소모품비(판)"/>
    <x v="6"/>
    <n v="25340"/>
    <n v="0"/>
    <n v="-25340"/>
    <s v="KCP - ( 주 ) 위메프"/>
    <m/>
    <m/>
  </r>
  <r>
    <s v="2025-04-22"/>
    <x v="105"/>
    <s v="00004"/>
    <s v="대변"/>
    <s v="101"/>
    <s v="현금"/>
    <x v="1"/>
    <n v="0"/>
    <n v="25340"/>
    <n v="25340"/>
    <s v="현대카드(4817)"/>
    <m/>
    <m/>
  </r>
  <r>
    <s v="2025-04-22"/>
    <x v="105"/>
    <s v="00005"/>
    <s v="대변"/>
    <s v="101"/>
    <s v="현금"/>
    <x v="1"/>
    <n v="0"/>
    <n v="8800"/>
    <n v="8800"/>
    <s v="현대카드(4817)"/>
    <m/>
    <m/>
  </r>
  <r>
    <s v="2025-04-22"/>
    <x v="105"/>
    <s v="00005"/>
    <s v="차변"/>
    <s v="824"/>
    <s v="운반비(판)"/>
    <x v="15"/>
    <n v="8800"/>
    <n v="0"/>
    <n v="-8800"/>
    <s v="우정사업본부광주"/>
    <m/>
    <m/>
  </r>
  <r>
    <s v="2025-04-22"/>
    <x v="105"/>
    <s v="50001"/>
    <s v="대변"/>
    <s v="255"/>
    <s v="부가세예수금"/>
    <x v="3"/>
    <n v="0"/>
    <n v="10000"/>
    <n v="10000"/>
    <s v="연세바른병원"/>
    <m/>
    <s v="인사노무자문료 1 X 100,000"/>
  </r>
  <r>
    <s v="2025-04-22"/>
    <x v="105"/>
    <s v="50001"/>
    <s v="대변"/>
    <s v="401"/>
    <s v="용역매출"/>
    <x v="4"/>
    <n v="0"/>
    <n v="100000"/>
    <n v="100000"/>
    <s v="연세바른병원"/>
    <m/>
    <s v="인사노무자문료 1 X 100,000"/>
  </r>
  <r>
    <s v="2025-04-22"/>
    <x v="105"/>
    <s v="50001"/>
    <s v="차변"/>
    <s v="101"/>
    <s v="현금"/>
    <x v="1"/>
    <n v="110000"/>
    <n v="0"/>
    <n v="-110000"/>
    <s v="연세바른병원"/>
    <m/>
    <s v="인사노무자문료 1 X 100,000"/>
  </r>
  <r>
    <s v="2025-04-22"/>
    <x v="105"/>
    <s v="50002"/>
    <s v="대변"/>
    <s v="255"/>
    <s v="부가세예수금"/>
    <x v="3"/>
    <n v="0"/>
    <n v="-20000"/>
    <n v="-20000"/>
    <s v="연세바른병원"/>
    <m/>
    <s v="인사노무자문료 -1 X 200,000"/>
  </r>
  <r>
    <s v="2025-04-22"/>
    <x v="105"/>
    <s v="50002"/>
    <s v="대변"/>
    <s v="401"/>
    <s v="용역매출"/>
    <x v="4"/>
    <n v="0"/>
    <n v="-200000"/>
    <n v="-200000"/>
    <s v="연세바른병원"/>
    <m/>
    <s v="인사노무자문료 -1 X 200,000"/>
  </r>
  <r>
    <s v="2025-04-22"/>
    <x v="105"/>
    <s v="50002"/>
    <s v="차변"/>
    <s v="101"/>
    <s v="현금"/>
    <x v="1"/>
    <n v="-220000"/>
    <n v="0"/>
    <n v="220000"/>
    <s v="연세바른병원"/>
    <m/>
    <s v="인사노무자문료 -1 X 200,000"/>
  </r>
  <r>
    <s v="2025-04-22"/>
    <x v="105"/>
    <s v="50003"/>
    <s v="대변"/>
    <s v="255"/>
    <s v="부가세예수금"/>
    <x v="3"/>
    <n v="0"/>
    <n v="10000"/>
    <n v="10000"/>
    <s v="주식화사 광원이엔지"/>
    <m/>
    <s v="인사노무자문료 1 X 100,000"/>
  </r>
  <r>
    <s v="2025-04-22"/>
    <x v="105"/>
    <s v="50003"/>
    <s v="대변"/>
    <s v="401"/>
    <s v="용역매출"/>
    <x v="4"/>
    <n v="0"/>
    <n v="100000"/>
    <n v="100000"/>
    <s v="주식화사 광원이엔지"/>
    <m/>
    <s v="인사노무자문료 1 X 100,000"/>
  </r>
  <r>
    <s v="2025-04-22"/>
    <x v="105"/>
    <s v="50003"/>
    <s v="차변"/>
    <s v="101"/>
    <s v="현금"/>
    <x v="1"/>
    <n v="110000"/>
    <n v="0"/>
    <n v="-110000"/>
    <s v="주식화사 광원이엔지"/>
    <m/>
    <s v="인사노무자문료 1 X 100,000"/>
  </r>
  <r>
    <s v="2025-04-22"/>
    <x v="105"/>
    <s v="50004"/>
    <s v="대변"/>
    <s v="255"/>
    <s v="부가세예수금"/>
    <x v="3"/>
    <n v="0"/>
    <n v="20000"/>
    <n v="20000"/>
    <s v="탐진화물주식회사 유한회사"/>
    <m/>
    <s v="인사노무자문료 1 X 200,000"/>
  </r>
  <r>
    <s v="2025-04-22"/>
    <x v="105"/>
    <s v="50004"/>
    <s v="대변"/>
    <s v="401"/>
    <s v="용역매출"/>
    <x v="4"/>
    <n v="0"/>
    <n v="200000"/>
    <n v="200000"/>
    <s v="탐진화물주식회사 유한회사"/>
    <m/>
    <s v="인사노무자문료 1 X 200,000"/>
  </r>
  <r>
    <s v="2025-04-22"/>
    <x v="105"/>
    <s v="50004"/>
    <s v="차변"/>
    <s v="101"/>
    <s v="현금"/>
    <x v="1"/>
    <n v="220000"/>
    <n v="0"/>
    <n v="-220000"/>
    <s v="탐진화물주식회사 유한회사"/>
    <m/>
    <s v="인사노무자문료 1 X 200,000"/>
  </r>
  <r>
    <s v="2025-04-22"/>
    <x v="105"/>
    <s v="50005"/>
    <s v="대변"/>
    <s v="255"/>
    <s v="부가세예수금"/>
    <x v="3"/>
    <n v="0"/>
    <n v="11819"/>
    <n v="11819"/>
    <s v="바오팜 주식회사"/>
    <m/>
    <s v="인사노무자문료 1 X 118,181"/>
  </r>
  <r>
    <s v="2025-04-22"/>
    <x v="105"/>
    <s v="50005"/>
    <s v="대변"/>
    <s v="401"/>
    <s v="용역매출"/>
    <x v="4"/>
    <n v="0"/>
    <n v="118181"/>
    <n v="118181"/>
    <s v="바오팜 주식회사"/>
    <m/>
    <s v="인사노무자문료 1 X 118,181"/>
  </r>
  <r>
    <s v="2025-04-22"/>
    <x v="105"/>
    <s v="50005"/>
    <s v="차변"/>
    <s v="101"/>
    <s v="현금"/>
    <x v="1"/>
    <n v="130000"/>
    <n v="0"/>
    <n v="-130000"/>
    <s v="바오팜 주식회사"/>
    <m/>
    <s v="인사노무자문료 1 X 118,181"/>
  </r>
  <r>
    <s v="2025-04-22"/>
    <x v="105"/>
    <s v="50006"/>
    <s v="대변"/>
    <s v="255"/>
    <s v="부가세예수금"/>
    <x v="3"/>
    <n v="0"/>
    <n v="-15000"/>
    <n v="-15000"/>
    <s v="농업회사법인(주)황칠코리아"/>
    <m/>
    <s v="인사노무자문료 -1 X 150,000"/>
  </r>
  <r>
    <s v="2025-04-22"/>
    <x v="105"/>
    <s v="50006"/>
    <s v="대변"/>
    <s v="401"/>
    <s v="용역매출"/>
    <x v="4"/>
    <n v="0"/>
    <n v="-150000"/>
    <n v="-150000"/>
    <s v="농업회사법인(주)황칠코리아"/>
    <m/>
    <s v="인사노무자문료 -1 X 150,000"/>
  </r>
  <r>
    <s v="2025-04-22"/>
    <x v="105"/>
    <s v="50006"/>
    <s v="차변"/>
    <s v="101"/>
    <s v="현금"/>
    <x v="1"/>
    <n v="-165000"/>
    <n v="0"/>
    <n v="165000"/>
    <s v="농업회사법인(주)황칠코리아"/>
    <m/>
    <s v="인사노무자문료 -1 X 150,000"/>
  </r>
  <r>
    <s v="2025-04-22"/>
    <x v="105"/>
    <s v="50007"/>
    <s v="대변"/>
    <s v="255"/>
    <s v="부가세예수금"/>
    <x v="3"/>
    <n v="0"/>
    <n v="15000"/>
    <n v="15000"/>
    <s v="월간맥주수완점"/>
    <m/>
    <s v="인사노무자문료 1 X 150,000"/>
  </r>
  <r>
    <s v="2025-04-22"/>
    <x v="105"/>
    <s v="50007"/>
    <s v="대변"/>
    <s v="401"/>
    <s v="용역매출"/>
    <x v="4"/>
    <n v="0"/>
    <n v="150000"/>
    <n v="150000"/>
    <s v="월간맥주수완점"/>
    <m/>
    <s v="인사노무자문료 1 X 150,000"/>
  </r>
  <r>
    <s v="2025-04-22"/>
    <x v="105"/>
    <s v="50007"/>
    <s v="차변"/>
    <s v="101"/>
    <s v="현금"/>
    <x v="1"/>
    <n v="165000"/>
    <n v="0"/>
    <n v="-165000"/>
    <s v="월간맥주수완점"/>
    <m/>
    <s v="인사노무자문료 1 X 150,000"/>
  </r>
  <r>
    <s v="2025-04-22"/>
    <x v="105"/>
    <s v="50008"/>
    <s v="대변"/>
    <s v="255"/>
    <s v="부가세예수금"/>
    <x v="3"/>
    <n v="0"/>
    <n v="-20000"/>
    <n v="-20000"/>
    <s v="월간맥주수완점"/>
    <m/>
    <s v="인사노무자문료 -1 X 200,000"/>
  </r>
  <r>
    <s v="2025-04-22"/>
    <x v="105"/>
    <s v="50008"/>
    <s v="대변"/>
    <s v="401"/>
    <s v="용역매출"/>
    <x v="4"/>
    <n v="0"/>
    <n v="-200000"/>
    <n v="-200000"/>
    <s v="월간맥주수완점"/>
    <m/>
    <s v="인사노무자문료 -1 X 200,000"/>
  </r>
  <r>
    <s v="2025-04-22"/>
    <x v="105"/>
    <s v="50008"/>
    <s v="차변"/>
    <s v="101"/>
    <s v="현금"/>
    <x v="1"/>
    <n v="-220000"/>
    <n v="0"/>
    <n v="220000"/>
    <s v="월간맥주수완점"/>
    <m/>
    <s v="인사노무자문료 -1 X 200,000"/>
  </r>
  <r>
    <s v="2025-04-22"/>
    <x v="105"/>
    <s v="50009"/>
    <s v="대변"/>
    <s v="255"/>
    <s v="부가세예수금"/>
    <x v="3"/>
    <n v="0"/>
    <n v="15000"/>
    <n v="15000"/>
    <s v="농업회사법인(주)황칠코리아"/>
    <m/>
    <s v="인사노무자문료 1 X 150,000"/>
  </r>
  <r>
    <s v="2025-04-22"/>
    <x v="105"/>
    <s v="50009"/>
    <s v="대변"/>
    <s v="401"/>
    <s v="용역매출"/>
    <x v="4"/>
    <n v="0"/>
    <n v="150000"/>
    <n v="150000"/>
    <s v="농업회사법인(주)황칠코리아"/>
    <m/>
    <s v="인사노무자문료 1 X 150,000"/>
  </r>
  <r>
    <s v="2025-04-22"/>
    <x v="105"/>
    <s v="50009"/>
    <s v="차변"/>
    <s v="101"/>
    <s v="현금"/>
    <x v="1"/>
    <n v="165000"/>
    <n v="0"/>
    <n v="-165000"/>
    <s v="농업회사법인(주)황칠코리아"/>
    <m/>
    <s v="인사노무자문료 1 X 150,000"/>
  </r>
  <r>
    <s v="2025-04-22"/>
    <x v="105"/>
    <s v="50010"/>
    <s v="대변"/>
    <s v="255"/>
    <s v="부가세예수금"/>
    <x v="3"/>
    <n v="0"/>
    <n v="20000"/>
    <n v="20000"/>
    <s v="월간맥주수완점"/>
    <m/>
    <s v="인사노무자문료 1 X 200,000"/>
  </r>
  <r>
    <s v="2025-04-22"/>
    <x v="105"/>
    <s v="50010"/>
    <s v="대변"/>
    <s v="401"/>
    <s v="용역매출"/>
    <x v="4"/>
    <n v="0"/>
    <n v="200000"/>
    <n v="200000"/>
    <s v="월간맥주수완점"/>
    <m/>
    <s v="인사노무자문료 1 X 200,000"/>
  </r>
  <r>
    <s v="2025-04-22"/>
    <x v="105"/>
    <s v="50010"/>
    <s v="차변"/>
    <s v="101"/>
    <s v="현금"/>
    <x v="1"/>
    <n v="220000"/>
    <n v="0"/>
    <n v="-220000"/>
    <s v="월간맥주수완점"/>
    <m/>
    <s v="인사노무자문료 1 X 200,000"/>
  </r>
  <r>
    <s v="2025-04-22"/>
    <x v="105"/>
    <s v="50011"/>
    <s v="대변"/>
    <s v="255"/>
    <s v="부가세예수금"/>
    <x v="3"/>
    <n v="0"/>
    <n v="20000"/>
    <n v="20000"/>
    <s v="(주)유토피아코리아"/>
    <m/>
    <s v="인사노무자문료 1 X 200,000"/>
  </r>
  <r>
    <s v="2025-04-22"/>
    <x v="105"/>
    <s v="50011"/>
    <s v="대변"/>
    <s v="401"/>
    <s v="용역매출"/>
    <x v="4"/>
    <n v="0"/>
    <n v="200000"/>
    <n v="200000"/>
    <s v="(주)유토피아코리아"/>
    <m/>
    <s v="인사노무자문료 1 X 200,000"/>
  </r>
  <r>
    <s v="2025-04-22"/>
    <x v="105"/>
    <s v="50011"/>
    <s v="차변"/>
    <s v="101"/>
    <s v="현금"/>
    <x v="1"/>
    <n v="220000"/>
    <n v="0"/>
    <n v="-220000"/>
    <s v="(주)유토피아코리아"/>
    <m/>
    <s v="인사노무자문료 1 X 200,000"/>
  </r>
  <r>
    <s v="2025-04-22"/>
    <x v="105"/>
    <s v="50012"/>
    <s v="대변"/>
    <s v="255"/>
    <s v="부가세예수금"/>
    <x v="3"/>
    <n v="0"/>
    <n v="20000"/>
    <n v="20000"/>
    <s v="연세바른병원"/>
    <m/>
    <s v="인사노무자문료 1 X 200,000"/>
  </r>
  <r>
    <s v="2025-04-22"/>
    <x v="105"/>
    <s v="50012"/>
    <s v="대변"/>
    <s v="401"/>
    <s v="용역매출"/>
    <x v="4"/>
    <n v="0"/>
    <n v="200000"/>
    <n v="200000"/>
    <s v="연세바른병원"/>
    <m/>
    <s v="인사노무자문료 1 X 200,000"/>
  </r>
  <r>
    <s v="2025-04-22"/>
    <x v="105"/>
    <s v="50012"/>
    <s v="차변"/>
    <s v="101"/>
    <s v="현금"/>
    <x v="1"/>
    <n v="220000"/>
    <n v="0"/>
    <n v="-220000"/>
    <s v="연세바른병원"/>
    <m/>
    <s v="인사노무자문료 1 X 200,000"/>
  </r>
  <r>
    <s v="2025-04-23"/>
    <x v="106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4-23"/>
    <x v="106"/>
    <s v="00001"/>
    <s v="대변"/>
    <s v="101"/>
    <s v="현금"/>
    <x v="1"/>
    <n v="0"/>
    <n v="16000"/>
    <n v="16000"/>
    <s v="하나카드(4088)"/>
    <m/>
    <m/>
  </r>
  <r>
    <s v="2025-04-23"/>
    <x v="106"/>
    <s v="00002"/>
    <s v="차변"/>
    <s v="822"/>
    <s v="차량유지비(판)"/>
    <x v="11"/>
    <n v="50000"/>
    <n v="0"/>
    <n v="-50000"/>
    <s v="한백석유첨단주유소"/>
    <m/>
    <m/>
  </r>
  <r>
    <s v="2025-04-23"/>
    <x v="106"/>
    <s v="00002"/>
    <s v="대변"/>
    <s v="101"/>
    <s v="현금"/>
    <x v="1"/>
    <n v="0"/>
    <n v="50000"/>
    <n v="50000"/>
    <s v="국민카드(2005)"/>
    <m/>
    <m/>
  </r>
  <r>
    <s v="2025-04-23"/>
    <x v="106"/>
    <s v="00003"/>
    <s v="차변"/>
    <s v="822"/>
    <s v="차량유지비(판)"/>
    <x v="11"/>
    <n v="5000"/>
    <n v="0"/>
    <n v="-5000"/>
    <s v="한백석유첨단주유소"/>
    <m/>
    <m/>
  </r>
  <r>
    <s v="2025-04-23"/>
    <x v="106"/>
    <s v="00003"/>
    <s v="대변"/>
    <s v="101"/>
    <s v="현금"/>
    <x v="1"/>
    <n v="0"/>
    <n v="5000"/>
    <n v="5000"/>
    <s v="국민카드(2005)"/>
    <m/>
    <m/>
  </r>
  <r>
    <s v="2025-04-23"/>
    <x v="106"/>
    <s v="00004"/>
    <s v="차변"/>
    <s v="811"/>
    <s v="복리후생비(판)"/>
    <x v="8"/>
    <n v="34771"/>
    <n v="0"/>
    <n v="-34771"/>
    <s v="정광석항아리보쌈첨단점"/>
    <m/>
    <m/>
  </r>
  <r>
    <s v="2025-04-23"/>
    <x v="106"/>
    <s v="00004"/>
    <s v="대변"/>
    <s v="101"/>
    <s v="현금"/>
    <x v="1"/>
    <n v="0"/>
    <n v="34771"/>
    <n v="34771"/>
    <s v="정광석항아리보쌈첨단점"/>
    <m/>
    <m/>
  </r>
  <r>
    <s v="2025-04-23"/>
    <x v="106"/>
    <s v="50001"/>
    <s v="대변"/>
    <s v="255"/>
    <s v="부가세예수금"/>
    <x v="3"/>
    <n v="0"/>
    <n v="7000"/>
    <n v="7000"/>
    <s v="하서방해물칼국수"/>
    <m/>
    <s v="인사노무자문료 1 X 70,000"/>
  </r>
  <r>
    <s v="2025-04-23"/>
    <x v="106"/>
    <s v="50001"/>
    <s v="대변"/>
    <s v="401"/>
    <s v="용역매출"/>
    <x v="4"/>
    <n v="0"/>
    <n v="70000"/>
    <n v="70000"/>
    <s v="하서방해물칼국수"/>
    <m/>
    <s v="인사노무자문료 1 X 70,000"/>
  </r>
  <r>
    <s v="2025-04-23"/>
    <x v="106"/>
    <s v="50001"/>
    <s v="차변"/>
    <s v="101"/>
    <s v="현금"/>
    <x v="1"/>
    <n v="77000"/>
    <n v="0"/>
    <n v="-77000"/>
    <s v="하서방해물칼국수"/>
    <m/>
    <s v="인사노무자문료 1 X 70,000"/>
  </r>
  <r>
    <s v="2025-04-23"/>
    <x v="106"/>
    <s v="50002"/>
    <s v="대변"/>
    <s v="255"/>
    <s v="부가세예수금"/>
    <x v="3"/>
    <n v="0"/>
    <n v="20000"/>
    <n v="20000"/>
    <s v="(주)해성푸드원"/>
    <m/>
    <s v="인사노무자문료 1 X 200,000"/>
  </r>
  <r>
    <s v="2025-04-23"/>
    <x v="106"/>
    <s v="50002"/>
    <s v="대변"/>
    <s v="401"/>
    <s v="용역매출"/>
    <x v="4"/>
    <n v="0"/>
    <n v="200000"/>
    <n v="200000"/>
    <s v="(주)해성푸드원"/>
    <m/>
    <s v="인사노무자문료 1 X 200,000"/>
  </r>
  <r>
    <s v="2025-04-23"/>
    <x v="106"/>
    <s v="50002"/>
    <s v="차변"/>
    <s v="101"/>
    <s v="현금"/>
    <x v="1"/>
    <n v="220000"/>
    <n v="0"/>
    <n v="-220000"/>
    <s v="(주)해성푸드원"/>
    <m/>
    <s v="인사노무자문료 1 X 200,000"/>
  </r>
  <r>
    <s v="2025-04-23"/>
    <x v="106"/>
    <s v="50003"/>
    <s v="대변"/>
    <s v="255"/>
    <s v="부가세예수금"/>
    <x v="3"/>
    <n v="0"/>
    <n v="10000"/>
    <n v="10000"/>
    <s v="주식회사 동양금속"/>
    <m/>
    <s v="인사노무자문료 1 X 100,000"/>
  </r>
  <r>
    <s v="2025-04-23"/>
    <x v="106"/>
    <s v="50003"/>
    <s v="대변"/>
    <s v="401"/>
    <s v="용역매출"/>
    <x v="4"/>
    <n v="0"/>
    <n v="100000"/>
    <n v="100000"/>
    <s v="주식회사 동양금속"/>
    <m/>
    <s v="인사노무자문료 1 X 100,000"/>
  </r>
  <r>
    <s v="2025-04-23"/>
    <x v="106"/>
    <s v="50003"/>
    <s v="차변"/>
    <s v="101"/>
    <s v="현금"/>
    <x v="1"/>
    <n v="110000"/>
    <n v="0"/>
    <n v="-110000"/>
    <s v="주식회사 동양금속"/>
    <m/>
    <s v="인사노무자문료 1 X 100,000"/>
  </r>
  <r>
    <s v="2025-04-23"/>
    <x v="106"/>
    <s v="50004"/>
    <s v="대변"/>
    <s v="255"/>
    <s v="부가세예수금"/>
    <x v="3"/>
    <n v="0"/>
    <n v="10000"/>
    <n v="10000"/>
    <s v="(주)중동텍스타일"/>
    <m/>
    <s v="인사노무자문료 1 X 100,000"/>
  </r>
  <r>
    <s v="2025-04-23"/>
    <x v="106"/>
    <s v="50004"/>
    <s v="대변"/>
    <s v="401"/>
    <s v="용역매출"/>
    <x v="4"/>
    <n v="0"/>
    <n v="100000"/>
    <n v="100000"/>
    <s v="(주)중동텍스타일"/>
    <m/>
    <s v="인사노무자문료 1 X 100,000"/>
  </r>
  <r>
    <s v="2025-04-23"/>
    <x v="106"/>
    <s v="50004"/>
    <s v="차변"/>
    <s v="101"/>
    <s v="현금"/>
    <x v="1"/>
    <n v="110000"/>
    <n v="0"/>
    <n v="-110000"/>
    <s v="(주)중동텍스타일"/>
    <m/>
    <s v="인사노무자문료 1 X 100,000"/>
  </r>
  <r>
    <s v="2025-04-23"/>
    <x v="106"/>
    <s v="50005"/>
    <s v="대변"/>
    <s v="255"/>
    <s v="부가세예수금"/>
    <x v="3"/>
    <n v="0"/>
    <n v="15000"/>
    <n v="15000"/>
    <s v="최원호병원"/>
    <m/>
    <s v="인사노무자문료 1 X 150,000"/>
  </r>
  <r>
    <s v="2025-04-23"/>
    <x v="106"/>
    <s v="50005"/>
    <s v="대변"/>
    <s v="401"/>
    <s v="용역매출"/>
    <x v="4"/>
    <n v="0"/>
    <n v="150000"/>
    <n v="150000"/>
    <s v="최원호병원"/>
    <m/>
    <s v="인사노무자문료 1 X 150,000"/>
  </r>
  <r>
    <s v="2025-04-23"/>
    <x v="106"/>
    <s v="50005"/>
    <s v="차변"/>
    <s v="101"/>
    <s v="현금"/>
    <x v="1"/>
    <n v="165000"/>
    <n v="0"/>
    <n v="-165000"/>
    <s v="최원호병원"/>
    <m/>
    <s v="인사노무자문료 1 X 150,000"/>
  </r>
  <r>
    <s v="2025-04-24"/>
    <x v="107"/>
    <s v="00001"/>
    <s v="차변"/>
    <s v="811"/>
    <s v="복리후생비(판)"/>
    <x v="8"/>
    <n v="21000"/>
    <n v="0"/>
    <n v="-21000"/>
    <s v="히로짬뽕"/>
    <m/>
    <m/>
  </r>
  <r>
    <s v="2025-04-24"/>
    <x v="107"/>
    <s v="00001"/>
    <s v="대변"/>
    <s v="101"/>
    <s v="현금"/>
    <x v="1"/>
    <n v="0"/>
    <n v="21000"/>
    <n v="21000"/>
    <s v="하나카드(4088)"/>
    <m/>
    <m/>
  </r>
  <r>
    <s v="2025-04-24"/>
    <x v="107"/>
    <s v="00002"/>
    <s v="차변"/>
    <s v="812"/>
    <s v="여비교통비(판)"/>
    <x v="9"/>
    <n v="2700"/>
    <n v="0"/>
    <n v="-2700"/>
    <s v="(주)로로"/>
    <m/>
    <m/>
  </r>
  <r>
    <s v="2025-04-24"/>
    <x v="107"/>
    <s v="00002"/>
    <s v="대변"/>
    <s v="101"/>
    <s v="현금"/>
    <x v="1"/>
    <n v="0"/>
    <n v="2700"/>
    <n v="2700"/>
    <s v="하나카드(4088)"/>
    <m/>
    <m/>
  </r>
  <r>
    <s v="2025-04-24"/>
    <x v="107"/>
    <s v="00003"/>
    <s v="차변"/>
    <s v="812"/>
    <s v="여비교통비(판)"/>
    <x v="9"/>
    <n v="8200"/>
    <n v="0"/>
    <n v="-8200"/>
    <s v="(주)로로"/>
    <m/>
    <m/>
  </r>
  <r>
    <s v="2025-04-24"/>
    <x v="107"/>
    <s v="00003"/>
    <s v="대변"/>
    <s v="101"/>
    <s v="현금"/>
    <x v="1"/>
    <n v="0"/>
    <n v="8200"/>
    <n v="8200"/>
    <s v="하나카드(4088)"/>
    <m/>
    <m/>
  </r>
  <r>
    <s v="2025-04-24"/>
    <x v="107"/>
    <s v="00004"/>
    <s v="대변"/>
    <s v="101"/>
    <s v="현금"/>
    <x v="1"/>
    <n v="0"/>
    <n v="1200"/>
    <n v="1200"/>
    <s v="하나카드(4088)"/>
    <m/>
    <m/>
  </r>
  <r>
    <s v="2025-04-24"/>
    <x v="107"/>
    <s v="00004"/>
    <s v="차변"/>
    <s v="812"/>
    <s v="여비교통비(판)"/>
    <x v="9"/>
    <n v="1200"/>
    <n v="0"/>
    <n v="-1200"/>
    <s v="주식회사 에스아이티"/>
    <m/>
    <m/>
  </r>
  <r>
    <s v="2025-04-24"/>
    <x v="107"/>
    <s v="00005"/>
    <s v="차변"/>
    <s v="812"/>
    <s v="여비교통비(판)"/>
    <x v="9"/>
    <n v="105653"/>
    <n v="0"/>
    <n v="-105653"/>
    <s v="주식회사 트립닷컴코리아"/>
    <m/>
    <m/>
  </r>
  <r>
    <s v="2025-04-24"/>
    <x v="107"/>
    <s v="00005"/>
    <s v="대변"/>
    <s v="101"/>
    <s v="현금"/>
    <x v="1"/>
    <n v="0"/>
    <n v="105653"/>
    <n v="105653"/>
    <s v="주식회사 트립닷컴코리아"/>
    <m/>
    <m/>
  </r>
  <r>
    <s v="2025-04-24"/>
    <x v="107"/>
    <s v="50001"/>
    <s v="대변"/>
    <s v="255"/>
    <s v="부가세예수금"/>
    <x v="3"/>
    <n v="0"/>
    <n v="10000"/>
    <n v="10000"/>
    <s v="24시 동물병원 공감"/>
    <m/>
    <s v="인사노무자문료 1 X 100,000"/>
  </r>
  <r>
    <s v="2025-04-24"/>
    <x v="107"/>
    <s v="50001"/>
    <s v="대변"/>
    <s v="401"/>
    <s v="용역매출"/>
    <x v="4"/>
    <n v="0"/>
    <n v="100000"/>
    <n v="100000"/>
    <s v="24시 동물병원 공감"/>
    <m/>
    <s v="인사노무자문료 1 X 100,000"/>
  </r>
  <r>
    <s v="2025-04-24"/>
    <x v="107"/>
    <s v="50001"/>
    <s v="차변"/>
    <s v="101"/>
    <s v="현금"/>
    <x v="1"/>
    <n v="110000"/>
    <n v="0"/>
    <n v="-110000"/>
    <s v="24시 동물병원 공감"/>
    <m/>
    <s v="인사노무자문료 1 X 100,000"/>
  </r>
  <r>
    <s v="2025-04-25"/>
    <x v="108"/>
    <s v="00001"/>
    <s v="차변"/>
    <s v="811"/>
    <s v="복리후생비(판)"/>
    <x v="8"/>
    <n v="14033"/>
    <n v="0"/>
    <n v="-14033"/>
    <s v="비알코리아(주) 배스킨라빈스 광주수완"/>
    <m/>
    <m/>
  </r>
  <r>
    <s v="2025-04-25"/>
    <x v="108"/>
    <s v="00001"/>
    <s v="대변"/>
    <s v="101"/>
    <s v="현금"/>
    <x v="1"/>
    <n v="0"/>
    <n v="14033"/>
    <n v="14033"/>
    <s v="비알코리아(주) 배스킨라빈스 광주수완"/>
    <m/>
    <m/>
  </r>
  <r>
    <s v="2025-04-25"/>
    <x v="108"/>
    <s v="00002"/>
    <s v="차변"/>
    <s v="830"/>
    <s v="소모품비(판)"/>
    <x v="6"/>
    <n v="18156"/>
    <n v="0"/>
    <n v="-18156"/>
    <s v="주식회사 다다통상"/>
    <m/>
    <m/>
  </r>
  <r>
    <s v="2025-04-25"/>
    <x v="108"/>
    <s v="00002"/>
    <s v="대변"/>
    <s v="101"/>
    <s v="현금"/>
    <x v="1"/>
    <n v="0"/>
    <n v="18156"/>
    <n v="18156"/>
    <s v="주식회사 다다통상"/>
    <m/>
    <m/>
  </r>
  <r>
    <s v="2025-04-25"/>
    <x v="108"/>
    <s v="00003"/>
    <s v="차변"/>
    <s v="830"/>
    <s v="소모품비(판)"/>
    <x v="6"/>
    <n v="2764"/>
    <n v="0"/>
    <n v="-2764"/>
    <s v="주식회사 다다통상"/>
    <m/>
    <m/>
  </r>
  <r>
    <s v="2025-04-25"/>
    <x v="108"/>
    <s v="00003"/>
    <s v="대변"/>
    <s v="101"/>
    <s v="현금"/>
    <x v="1"/>
    <n v="0"/>
    <n v="2764"/>
    <n v="2764"/>
    <s v="주식회사 다다통상"/>
    <m/>
    <m/>
  </r>
  <r>
    <s v="2025-04-26"/>
    <x v="109"/>
    <s v="00001"/>
    <s v="차변"/>
    <s v="811"/>
    <s v="복리후생비(판)"/>
    <x v="8"/>
    <n v="27500"/>
    <n v="0"/>
    <n v="-27500"/>
    <s v="히로짬뽕"/>
    <m/>
    <m/>
  </r>
  <r>
    <s v="2025-04-26"/>
    <x v="109"/>
    <s v="00001"/>
    <s v="대변"/>
    <s v="101"/>
    <s v="현금"/>
    <x v="1"/>
    <n v="0"/>
    <n v="27500"/>
    <n v="27500"/>
    <s v="농협카드(6215)"/>
    <m/>
    <m/>
  </r>
  <r>
    <s v="2025-04-26"/>
    <x v="109"/>
    <s v="00002"/>
    <s v="차변"/>
    <s v="812"/>
    <s v="여비교통비(판)"/>
    <x v="9"/>
    <n v="1800"/>
    <n v="0"/>
    <n v="-1800"/>
    <s v="한국정보통신 - 윌슨파킹"/>
    <m/>
    <m/>
  </r>
  <r>
    <s v="2025-04-26"/>
    <x v="109"/>
    <s v="00002"/>
    <s v="대변"/>
    <s v="101"/>
    <s v="현금"/>
    <x v="1"/>
    <n v="0"/>
    <n v="1800"/>
    <n v="1800"/>
    <s v="하나카드(4088)"/>
    <m/>
    <m/>
  </r>
  <r>
    <s v="2025-04-26"/>
    <x v="109"/>
    <s v="00003"/>
    <s v="대변"/>
    <s v="101"/>
    <s v="현금"/>
    <x v="1"/>
    <n v="0"/>
    <n v="1000"/>
    <n v="1000"/>
    <s v="하나카드(4088)"/>
    <m/>
    <m/>
  </r>
  <r>
    <s v="2025-04-26"/>
    <x v="109"/>
    <s v="00003"/>
    <s v="차변"/>
    <s v="812"/>
    <s v="여비교통비(판)"/>
    <x v="9"/>
    <n v="1000"/>
    <n v="0"/>
    <n v="-1000"/>
    <s v="주식회사 에스아이티"/>
    <m/>
    <m/>
  </r>
  <r>
    <s v="2025-04-26"/>
    <x v="109"/>
    <s v="00004"/>
    <s v="차변"/>
    <s v="812"/>
    <s v="여비교통비(판)"/>
    <x v="9"/>
    <n v="1800"/>
    <n v="0"/>
    <n v="-1800"/>
    <s v="지에스(GS)25 수완아울렛점"/>
    <m/>
    <m/>
  </r>
  <r>
    <s v="2025-04-26"/>
    <x v="109"/>
    <s v="00004"/>
    <s v="대변"/>
    <s v="101"/>
    <s v="현금"/>
    <x v="1"/>
    <n v="0"/>
    <n v="1800"/>
    <n v="1800"/>
    <s v="농협카드(6215)"/>
    <m/>
    <m/>
  </r>
  <r>
    <s v="2025-04-26"/>
    <x v="109"/>
    <s v="50001"/>
    <s v="대변"/>
    <s v="255"/>
    <s v="부가세예수금"/>
    <x v="3"/>
    <n v="0"/>
    <n v="10000"/>
    <n v="10000"/>
    <s v="(유)담양담빛샤브"/>
    <m/>
    <s v="인사노무자문료 1 X 100,000"/>
  </r>
  <r>
    <s v="2025-04-26"/>
    <x v="109"/>
    <s v="50001"/>
    <s v="대변"/>
    <s v="401"/>
    <s v="용역매출"/>
    <x v="4"/>
    <n v="0"/>
    <n v="100000"/>
    <n v="100000"/>
    <s v="(유)담양담빛샤브"/>
    <m/>
    <s v="인사노무자문료 1 X 100,000"/>
  </r>
  <r>
    <s v="2025-04-26"/>
    <x v="109"/>
    <s v="50001"/>
    <s v="차변"/>
    <s v="101"/>
    <s v="현금"/>
    <x v="1"/>
    <n v="110000"/>
    <n v="0"/>
    <n v="-110000"/>
    <s v="(유)담양담빛샤브"/>
    <m/>
    <s v="인사노무자문료 1 X 100,000"/>
  </r>
  <r>
    <s v="2025-04-26"/>
    <x v="109"/>
    <s v="50002"/>
    <s v="대변"/>
    <s v="255"/>
    <s v="부가세예수금"/>
    <x v="3"/>
    <n v="0"/>
    <n v="15000"/>
    <n v="15000"/>
    <s v="라스(LAS)어린이치과의원"/>
    <m/>
    <s v="인사노무자문료 1 X 150,000"/>
  </r>
  <r>
    <s v="2025-04-26"/>
    <x v="109"/>
    <s v="50002"/>
    <s v="대변"/>
    <s v="401"/>
    <s v="용역매출"/>
    <x v="4"/>
    <n v="0"/>
    <n v="150000"/>
    <n v="150000"/>
    <s v="라스(LAS)어린이치과의원"/>
    <m/>
    <s v="인사노무자문료 1 X 150,000"/>
  </r>
  <r>
    <s v="2025-04-26"/>
    <x v="109"/>
    <s v="50002"/>
    <s v="차변"/>
    <s v="101"/>
    <s v="현금"/>
    <x v="1"/>
    <n v="165000"/>
    <n v="0"/>
    <n v="-165000"/>
    <s v="라스(LAS)어린이치과의원"/>
    <m/>
    <s v="인사노무자문료 1 X 150,000"/>
  </r>
  <r>
    <s v="2025-04-26"/>
    <x v="109"/>
    <s v="50003"/>
    <s v="대변"/>
    <s v="255"/>
    <s v="부가세예수금"/>
    <x v="3"/>
    <n v="0"/>
    <n v="20000"/>
    <n v="20000"/>
    <s v="(주)연합기업"/>
    <m/>
    <s v="인사노무자문료 1 X 200,000"/>
  </r>
  <r>
    <s v="2025-04-26"/>
    <x v="109"/>
    <s v="50003"/>
    <s v="대변"/>
    <s v="401"/>
    <s v="용역매출"/>
    <x v="4"/>
    <n v="0"/>
    <n v="200000"/>
    <n v="200000"/>
    <s v="(주)연합기업"/>
    <m/>
    <s v="인사노무자문료 1 X 200,000"/>
  </r>
  <r>
    <s v="2025-04-26"/>
    <x v="109"/>
    <s v="50003"/>
    <s v="차변"/>
    <s v="101"/>
    <s v="현금"/>
    <x v="1"/>
    <n v="220000"/>
    <n v="0"/>
    <n v="-220000"/>
    <s v="(주)연합기업"/>
    <m/>
    <s v="인사노무자문료 1 X 200,000"/>
  </r>
  <r>
    <s v="2025-04-26"/>
    <x v="109"/>
    <s v="50004"/>
    <s v="차변"/>
    <s v="135"/>
    <s v="부가세대급금"/>
    <x v="5"/>
    <n v="6100"/>
    <n v="0"/>
    <n v="-6100"/>
    <s v="롯데쇼핑（주）토이저러스 수완점"/>
    <m/>
    <m/>
  </r>
  <r>
    <s v="2025-04-26"/>
    <x v="109"/>
    <s v="50004"/>
    <s v="차변"/>
    <s v="830"/>
    <s v="소모품비(판)"/>
    <x v="6"/>
    <n v="61000"/>
    <n v="0"/>
    <n v="-61000"/>
    <s v="롯데쇼핑（주）토이저러스 수완점"/>
    <m/>
    <m/>
  </r>
  <r>
    <s v="2025-04-26"/>
    <x v="109"/>
    <s v="50004"/>
    <s v="대변"/>
    <s v="101"/>
    <s v="현금"/>
    <x v="1"/>
    <n v="0"/>
    <n v="67100"/>
    <n v="67100"/>
    <s v="농협카드(6215)"/>
    <m/>
    <m/>
  </r>
  <r>
    <s v="2025-04-28"/>
    <x v="110"/>
    <s v="00001"/>
    <s v="차변"/>
    <s v="826"/>
    <s v="도서인쇄비(판)"/>
    <x v="2"/>
    <n v="18800"/>
    <n v="0"/>
    <n v="-18800"/>
    <s v="유한회사 아름다운세종문고"/>
    <m/>
    <m/>
  </r>
  <r>
    <s v="2025-04-28"/>
    <x v="110"/>
    <s v="00001"/>
    <s v="대변"/>
    <s v="101"/>
    <s v="현금"/>
    <x v="1"/>
    <n v="0"/>
    <n v="18800"/>
    <n v="18800"/>
    <s v="농협카드(6215)"/>
    <m/>
    <m/>
  </r>
  <r>
    <s v="2025-04-28"/>
    <x v="110"/>
    <s v="00002"/>
    <s v="차변"/>
    <s v="811"/>
    <s v="복리후생비(판)"/>
    <x v="8"/>
    <n v="16000"/>
    <n v="0"/>
    <n v="-16000"/>
    <s v="주식회사 울림푸드 한식뷔페 첨단 정부청사점"/>
    <m/>
    <m/>
  </r>
  <r>
    <s v="2025-04-28"/>
    <x v="110"/>
    <s v="00002"/>
    <s v="대변"/>
    <s v="101"/>
    <s v="현금"/>
    <x v="1"/>
    <n v="0"/>
    <n v="16000"/>
    <n v="16000"/>
    <s v="하나카드(4088)"/>
    <m/>
    <m/>
  </r>
  <r>
    <s v="2025-04-28"/>
    <x v="110"/>
    <s v="00003"/>
    <s v="차변"/>
    <s v="812"/>
    <s v="여비교통비(판)"/>
    <x v="9"/>
    <n v="2500"/>
    <n v="0"/>
    <n v="-2500"/>
    <s v="원더풀명품찹쌀꽈배기"/>
    <m/>
    <m/>
  </r>
  <r>
    <s v="2025-04-28"/>
    <x v="110"/>
    <s v="00003"/>
    <s v="대변"/>
    <s v="101"/>
    <s v="현금"/>
    <x v="1"/>
    <n v="0"/>
    <n v="2500"/>
    <n v="2500"/>
    <s v="하나카드(4088)"/>
    <m/>
    <m/>
  </r>
  <r>
    <s v="2025-04-28"/>
    <x v="110"/>
    <s v="00004"/>
    <s v="차변"/>
    <s v="812"/>
    <s v="여비교통비(판)"/>
    <x v="9"/>
    <n v="68200"/>
    <n v="0"/>
    <n v="-68200"/>
    <s v="주식회사 에스알"/>
    <m/>
    <m/>
  </r>
  <r>
    <s v="2025-04-28"/>
    <x v="110"/>
    <s v="00004"/>
    <s v="대변"/>
    <s v="101"/>
    <s v="현금"/>
    <x v="1"/>
    <n v="0"/>
    <n v="68200"/>
    <n v="68200"/>
    <s v="현대카드(4817)"/>
    <m/>
    <m/>
  </r>
  <r>
    <s v="2025-04-28"/>
    <x v="110"/>
    <s v="00005"/>
    <s v="차변"/>
    <s v="812"/>
    <s v="여비교통비(판)"/>
    <x v="9"/>
    <n v="68500"/>
    <n v="0"/>
    <n v="-68500"/>
    <s v="주식회사 에스알"/>
    <m/>
    <m/>
  </r>
  <r>
    <s v="2025-04-28"/>
    <x v="110"/>
    <s v="00005"/>
    <s v="대변"/>
    <s v="101"/>
    <s v="현금"/>
    <x v="1"/>
    <n v="0"/>
    <n v="68500"/>
    <n v="68500"/>
    <s v="현대카드(4817)"/>
    <m/>
    <m/>
  </r>
  <r>
    <s v="2025-04-28"/>
    <x v="110"/>
    <s v="00006"/>
    <s v="차변"/>
    <s v="812"/>
    <s v="여비교통비(판)"/>
    <x v="9"/>
    <n v="-68500"/>
    <n v="0"/>
    <n v="68500"/>
    <s v="주식회사 에스알"/>
    <m/>
    <m/>
  </r>
  <r>
    <s v="2025-04-28"/>
    <x v="110"/>
    <s v="00006"/>
    <s v="대변"/>
    <s v="101"/>
    <s v="현금"/>
    <x v="1"/>
    <n v="0"/>
    <n v="-68500"/>
    <n v="-68500"/>
    <s v="현대카드(4817)"/>
    <m/>
    <m/>
  </r>
  <r>
    <s v="2025-04-28"/>
    <x v="110"/>
    <s v="50001"/>
    <s v="대변"/>
    <s v="255"/>
    <s v="부가세예수금"/>
    <x v="3"/>
    <n v="0"/>
    <n v="10000"/>
    <n v="10000"/>
    <s v="커피랩"/>
    <m/>
    <s v="인사노무자문료 1 X 100,000"/>
  </r>
  <r>
    <s v="2025-04-28"/>
    <x v="110"/>
    <s v="50001"/>
    <s v="대변"/>
    <s v="401"/>
    <s v="용역매출"/>
    <x v="4"/>
    <n v="0"/>
    <n v="100000"/>
    <n v="100000"/>
    <s v="커피랩"/>
    <m/>
    <s v="인사노무자문료 1 X 100,000"/>
  </r>
  <r>
    <s v="2025-04-28"/>
    <x v="110"/>
    <s v="50001"/>
    <s v="차변"/>
    <s v="101"/>
    <s v="현금"/>
    <x v="1"/>
    <n v="110000"/>
    <n v="0"/>
    <n v="-110000"/>
    <s v="커피랩"/>
    <m/>
    <s v="인사노무자문료 1 X 100,000"/>
  </r>
  <r>
    <s v="2025-04-28"/>
    <x v="110"/>
    <s v="50002"/>
    <s v="대변"/>
    <s v="255"/>
    <s v="부가세예수금"/>
    <x v="3"/>
    <n v="0"/>
    <n v="5000"/>
    <n v="5000"/>
    <s v="서호통상"/>
    <m/>
    <s v="인사노무자문료 1 X 50,000"/>
  </r>
  <r>
    <s v="2025-04-28"/>
    <x v="110"/>
    <s v="50002"/>
    <s v="대변"/>
    <s v="401"/>
    <s v="용역매출"/>
    <x v="4"/>
    <n v="0"/>
    <n v="50000"/>
    <n v="50000"/>
    <s v="서호통상"/>
    <m/>
    <s v="인사노무자문료 1 X 50,000"/>
  </r>
  <r>
    <s v="2025-04-28"/>
    <x v="110"/>
    <s v="50002"/>
    <s v="차변"/>
    <s v="101"/>
    <s v="현금"/>
    <x v="1"/>
    <n v="55000"/>
    <n v="0"/>
    <n v="-55000"/>
    <s v="서호통상"/>
    <m/>
    <s v="인사노무자문료 1 X 50,000"/>
  </r>
  <r>
    <s v="2025-04-28"/>
    <x v="110"/>
    <s v="50003"/>
    <s v="대변"/>
    <s v="255"/>
    <s v="부가세예수금"/>
    <x v="3"/>
    <n v="0"/>
    <n v="12000"/>
    <n v="12000"/>
    <s v="마루샤브"/>
    <m/>
    <s v="인사노무자문료 1 X 120,000"/>
  </r>
  <r>
    <s v="2025-04-28"/>
    <x v="110"/>
    <s v="50003"/>
    <s v="대변"/>
    <s v="401"/>
    <s v="용역매출"/>
    <x v="4"/>
    <n v="0"/>
    <n v="120000"/>
    <n v="120000"/>
    <s v="마루샤브"/>
    <m/>
    <s v="인사노무자문료 1 X 120,000"/>
  </r>
  <r>
    <s v="2025-04-28"/>
    <x v="110"/>
    <s v="50003"/>
    <s v="차변"/>
    <s v="101"/>
    <s v="현금"/>
    <x v="1"/>
    <n v="132000"/>
    <n v="0"/>
    <n v="-132000"/>
    <s v="마루샤브"/>
    <m/>
    <s v="인사노무자문료 1 X 120,000"/>
  </r>
  <r>
    <s v="2025-04-28"/>
    <x v="110"/>
    <s v="50004"/>
    <s v="대변"/>
    <s v="255"/>
    <s v="부가세예수금"/>
    <x v="3"/>
    <n v="0"/>
    <n v="9091"/>
    <n v="9091"/>
    <s v="깐깐한 족발(화정점)"/>
    <m/>
    <s v="인사노무자문료 1 X 90,909"/>
  </r>
  <r>
    <s v="2025-04-28"/>
    <x v="110"/>
    <s v="50004"/>
    <s v="대변"/>
    <s v="401"/>
    <s v="용역매출"/>
    <x v="4"/>
    <n v="0"/>
    <n v="90909"/>
    <n v="90909"/>
    <s v="깐깐한 족발(화정점)"/>
    <m/>
    <s v="인사노무자문료 1 X 90,909"/>
  </r>
  <r>
    <s v="2025-04-28"/>
    <x v="110"/>
    <s v="50004"/>
    <s v="차변"/>
    <s v="101"/>
    <s v="현금"/>
    <x v="1"/>
    <n v="100000"/>
    <n v="0"/>
    <n v="-100000"/>
    <s v="깐깐한 족발(화정점)"/>
    <m/>
    <s v="인사노무자문료 1 X 90,909"/>
  </r>
  <r>
    <s v="2025-04-29"/>
    <x v="111"/>
    <s v="00001"/>
    <s v="대변"/>
    <s v="101"/>
    <s v="현금"/>
    <x v="1"/>
    <n v="0"/>
    <n v="3000"/>
    <n v="3000"/>
    <s v="하나카드(4088)"/>
    <m/>
    <m/>
  </r>
  <r>
    <s v="2025-04-29"/>
    <x v="111"/>
    <s v="00001"/>
    <s v="차변"/>
    <s v="830"/>
    <s v="소모품비(판)"/>
    <x v="6"/>
    <n v="3000"/>
    <n v="0"/>
    <n v="-3000"/>
    <s v="엑센스"/>
    <m/>
    <m/>
  </r>
  <r>
    <s v="2025-04-29"/>
    <x v="111"/>
    <s v="00002"/>
    <s v="차변"/>
    <s v="812"/>
    <s v="여비교통비(판)"/>
    <x v="9"/>
    <n v="68300"/>
    <n v="0"/>
    <n v="-68300"/>
    <s v="주식회사 에스알"/>
    <m/>
    <m/>
  </r>
  <r>
    <s v="2025-04-29"/>
    <x v="111"/>
    <s v="00002"/>
    <s v="대변"/>
    <s v="101"/>
    <s v="현금"/>
    <x v="1"/>
    <n v="0"/>
    <n v="68300"/>
    <n v="68300"/>
    <s v="현대카드(4817)"/>
    <m/>
    <m/>
  </r>
  <r>
    <s v="2025-04-29"/>
    <x v="111"/>
    <s v="00003"/>
    <s v="차변"/>
    <s v="822"/>
    <s v="차량유지비(판)"/>
    <x v="11"/>
    <n v="50000"/>
    <n v="0"/>
    <n v="-50000"/>
    <s v="（유）금성물류 광주지점"/>
    <m/>
    <m/>
  </r>
  <r>
    <s v="2025-04-29"/>
    <x v="111"/>
    <s v="00003"/>
    <s v="대변"/>
    <s v="101"/>
    <s v="현금"/>
    <x v="1"/>
    <n v="0"/>
    <n v="50000"/>
    <n v="50000"/>
    <s v="현대카드(4817)"/>
    <m/>
    <m/>
  </r>
  <r>
    <s v="2025-04-29"/>
    <x v="111"/>
    <s v="00004"/>
    <s v="차변"/>
    <s v="811"/>
    <s v="복리후생비(판)"/>
    <x v="8"/>
    <n v="18760"/>
    <n v="0"/>
    <n v="-18760"/>
    <s v="첨단점굽네치킨"/>
    <m/>
    <m/>
  </r>
  <r>
    <s v="2025-04-29"/>
    <x v="111"/>
    <s v="00004"/>
    <s v="대변"/>
    <s v="101"/>
    <s v="현금"/>
    <x v="1"/>
    <n v="0"/>
    <n v="18760"/>
    <n v="18760"/>
    <s v="첨단점굽네치킨"/>
    <m/>
    <m/>
  </r>
  <r>
    <s v="2025-04-29"/>
    <x v="111"/>
    <s v="50001"/>
    <s v="대변"/>
    <s v="255"/>
    <s v="부가세예수금"/>
    <x v="3"/>
    <n v="0"/>
    <n v="15000"/>
    <n v="15000"/>
    <s v="롤링파스타(수완점)"/>
    <m/>
    <s v="인사노무자문료 1 X 150,000"/>
  </r>
  <r>
    <s v="2025-04-29"/>
    <x v="111"/>
    <s v="50001"/>
    <s v="대변"/>
    <s v="401"/>
    <s v="용역매출"/>
    <x v="4"/>
    <n v="0"/>
    <n v="150000"/>
    <n v="150000"/>
    <s v="롤링파스타(수완점)"/>
    <m/>
    <s v="인사노무자문료 1 X 150,000"/>
  </r>
  <r>
    <s v="2025-04-29"/>
    <x v="111"/>
    <s v="50001"/>
    <s v="차변"/>
    <s v="101"/>
    <s v="현금"/>
    <x v="1"/>
    <n v="165000"/>
    <n v="0"/>
    <n v="-165000"/>
    <s v="롤링파스타(수완점)"/>
    <m/>
    <s v="인사노무자문료 1 X 150,000"/>
  </r>
  <r>
    <s v="2025-04-29"/>
    <x v="111"/>
    <s v="50002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4-29"/>
    <x v="111"/>
    <s v="50002"/>
    <s v="대변"/>
    <s v="401"/>
    <s v="용역매출"/>
    <x v="4"/>
    <n v="0"/>
    <n v="150000"/>
    <n v="150000"/>
    <s v="농업회사법인(주)토리팜에프디"/>
    <m/>
    <s v="인사노무자문료 1 X 150,000"/>
  </r>
  <r>
    <s v="2025-04-29"/>
    <x v="111"/>
    <s v="50002"/>
    <s v="차변"/>
    <s v="101"/>
    <s v="현금"/>
    <x v="1"/>
    <n v="165000"/>
    <n v="0"/>
    <n v="-165000"/>
    <s v="농업회사법인(주)토리팜에프디"/>
    <m/>
    <s v="인사노무자문료 1 X 150,000"/>
  </r>
  <r>
    <s v="2025-04-29"/>
    <x v="111"/>
    <s v="50003"/>
    <s v="대변"/>
    <s v="255"/>
    <s v="부가세예수금"/>
    <x v="3"/>
    <n v="0"/>
    <n v="10000"/>
    <n v="10000"/>
    <s v="주식회사 호원"/>
    <m/>
    <s v="인사노무자문료 1 X 100,000"/>
  </r>
  <r>
    <s v="2025-04-29"/>
    <x v="111"/>
    <s v="50003"/>
    <s v="대변"/>
    <s v="401"/>
    <s v="용역매출"/>
    <x v="4"/>
    <n v="0"/>
    <n v="100000"/>
    <n v="100000"/>
    <s v="주식회사 호원"/>
    <m/>
    <s v="인사노무자문료 1 X 100,000"/>
  </r>
  <r>
    <s v="2025-04-29"/>
    <x v="111"/>
    <s v="50003"/>
    <s v="차변"/>
    <s v="101"/>
    <s v="현금"/>
    <x v="1"/>
    <n v="110000"/>
    <n v="0"/>
    <n v="-110000"/>
    <s v="주식회사 호원"/>
    <m/>
    <s v="인사노무자문료 1 X 100,000"/>
  </r>
  <r>
    <s v="2025-04-29"/>
    <x v="111"/>
    <s v="50004"/>
    <s v="대변"/>
    <s v="101"/>
    <s v="현금"/>
    <x v="1"/>
    <n v="0"/>
    <n v="333160"/>
    <n v="333160"/>
    <s v="현대카드(4817)"/>
    <m/>
    <m/>
  </r>
  <r>
    <s v="2025-04-29"/>
    <x v="111"/>
    <s v="50004"/>
    <s v="차변"/>
    <s v="830"/>
    <s v="소모품비(판)"/>
    <x v="6"/>
    <n v="302873"/>
    <n v="0"/>
    <n v="-302873"/>
    <s v="토스페이먼츠 주식회사"/>
    <s v="  "/>
    <m/>
  </r>
  <r>
    <s v="2025-04-29"/>
    <x v="111"/>
    <s v="50004"/>
    <s v="차변"/>
    <s v="135"/>
    <s v="부가세대급금"/>
    <x v="5"/>
    <n v="30287"/>
    <n v="0"/>
    <n v="-30287"/>
    <s v="토스페이먼츠 주식회사"/>
    <s v="  "/>
    <m/>
  </r>
  <r>
    <s v="2025-04-29"/>
    <x v="111"/>
    <s v="50005"/>
    <s v="대변"/>
    <s v="101"/>
    <s v="현금"/>
    <x v="1"/>
    <n v="0"/>
    <n v="750748"/>
    <n v="750748"/>
    <s v="현대카드(4817)"/>
    <m/>
    <m/>
  </r>
  <r>
    <s v="2025-04-29"/>
    <x v="111"/>
    <s v="50005"/>
    <s v="차변"/>
    <s v="830"/>
    <s v="소모품비(판)"/>
    <x v="6"/>
    <n v="682499"/>
    <n v="0"/>
    <n v="-682499"/>
    <s v="토스페이먼츠 주식회사"/>
    <s v="  "/>
    <m/>
  </r>
  <r>
    <s v="2025-04-29"/>
    <x v="111"/>
    <s v="50005"/>
    <s v="차변"/>
    <s v="135"/>
    <s v="부가세대급금"/>
    <x v="5"/>
    <n v="68249"/>
    <n v="0"/>
    <n v="-68249"/>
    <s v="토스페이먼츠 주식회사"/>
    <s v="  "/>
    <m/>
  </r>
  <r>
    <s v="2025-04-30"/>
    <x v="112"/>
    <s v="00001"/>
    <s v="차변"/>
    <s v="802"/>
    <s v="직원급여(판)"/>
    <x v="18"/>
    <n v="1700000"/>
    <n v="0"/>
    <n v="-1700000"/>
    <m/>
    <s v="  "/>
    <s v="급여등지급"/>
  </r>
  <r>
    <s v="2025-04-30"/>
    <x v="112"/>
    <s v="00001"/>
    <s v="대변"/>
    <s v="101"/>
    <s v="현금"/>
    <x v="1"/>
    <n v="0"/>
    <n v="1476240"/>
    <n v="1476240"/>
    <m/>
    <s v="  "/>
    <s v="급여등지급"/>
  </r>
  <r>
    <s v="2025-04-30"/>
    <x v="112"/>
    <s v="00001"/>
    <s v="대변"/>
    <s v="254"/>
    <s v="예수금"/>
    <x v="12"/>
    <n v="0"/>
    <n v="149400"/>
    <n v="149400"/>
    <s v="국민연금공단"/>
    <s v="  "/>
    <s v="급여지급시 국민연금예수"/>
  </r>
  <r>
    <s v="2025-04-30"/>
    <x v="112"/>
    <s v="00001"/>
    <s v="대변"/>
    <s v="254"/>
    <s v="예수금"/>
    <x v="12"/>
    <n v="0"/>
    <n v="60260"/>
    <n v="60260"/>
    <s v="건강보험공단"/>
    <s v="  "/>
    <s v="급여지급시 건강보험예수"/>
  </r>
  <r>
    <s v="2025-04-30"/>
    <x v="112"/>
    <s v="00001"/>
    <s v="대변"/>
    <s v="254"/>
    <s v="예수금"/>
    <x v="12"/>
    <n v="0"/>
    <n v="6300"/>
    <n v="6300"/>
    <s v="근로복지공단"/>
    <s v="  "/>
    <s v="급여지급시 고용보험예수"/>
  </r>
  <r>
    <s v="2025-04-30"/>
    <x v="112"/>
    <s v="00001"/>
    <s v="대변"/>
    <s v="254"/>
    <s v="예수금"/>
    <x v="12"/>
    <n v="0"/>
    <n v="7800"/>
    <n v="7800"/>
    <s v="건강보험공단"/>
    <s v="  "/>
    <s v="급여지급시 장기요양보험예수"/>
  </r>
  <r>
    <s v="2025-04-30"/>
    <x v="112"/>
    <s v="00002"/>
    <s v="차변"/>
    <s v="812"/>
    <s v="여비교통비(판)"/>
    <x v="9"/>
    <n v="15800"/>
    <n v="0"/>
    <n v="-15800"/>
    <s v="해안식당 광주첨단점"/>
    <m/>
    <m/>
  </r>
  <r>
    <s v="2025-04-30"/>
    <x v="112"/>
    <s v="00002"/>
    <s v="대변"/>
    <s v="101"/>
    <s v="현금"/>
    <x v="1"/>
    <n v="0"/>
    <n v="15800"/>
    <n v="15800"/>
    <s v="농협카드(6215)"/>
    <m/>
    <m/>
  </r>
  <r>
    <s v="2025-04-30"/>
    <x v="112"/>
    <s v="00003"/>
    <s v="차변"/>
    <s v="822"/>
    <s v="차량유지비(판)"/>
    <x v="11"/>
    <n v="50000"/>
    <n v="0"/>
    <n v="-50000"/>
    <s v="한백석유첨단주유소"/>
    <m/>
    <m/>
  </r>
  <r>
    <s v="2025-04-30"/>
    <x v="112"/>
    <s v="00003"/>
    <s v="대변"/>
    <s v="101"/>
    <s v="현금"/>
    <x v="1"/>
    <n v="0"/>
    <n v="50000"/>
    <n v="50000"/>
    <s v="국민카드(2005)"/>
    <m/>
    <m/>
  </r>
  <r>
    <s v="2025-04-30"/>
    <x v="112"/>
    <s v="50001"/>
    <s v="차변"/>
    <s v="135"/>
    <s v="부가세대급금"/>
    <x v="5"/>
    <n v="10000"/>
    <n v="0"/>
    <n v="-10000"/>
    <s v="서찬영세무회계사무소"/>
    <m/>
    <s v="기장료"/>
  </r>
  <r>
    <s v="2025-04-30"/>
    <x v="112"/>
    <s v="50001"/>
    <s v="차변"/>
    <s v="831"/>
    <s v="지급수수료(판)"/>
    <x v="7"/>
    <n v="100000"/>
    <n v="0"/>
    <n v="-100000"/>
    <s v="서찬영세무회계사무소"/>
    <m/>
    <s v="기장료"/>
  </r>
  <r>
    <s v="2025-04-30"/>
    <x v="112"/>
    <s v="50001"/>
    <s v="대변"/>
    <s v="101"/>
    <s v="현금"/>
    <x v="1"/>
    <n v="0"/>
    <n v="110000"/>
    <n v="110000"/>
    <s v="서찬영세무회계사무소"/>
    <m/>
    <s v="기장료"/>
  </r>
  <r>
    <s v="2025-04-30"/>
    <x v="112"/>
    <s v="50002"/>
    <s v="차변"/>
    <s v="135"/>
    <s v="부가세대급금"/>
    <x v="5"/>
    <n v="659"/>
    <n v="0"/>
    <n v="-659"/>
    <s v="(주) 다우기술"/>
    <m/>
    <s v="엔팩스 서비스 사용료 1 X 6,591"/>
  </r>
  <r>
    <s v="2025-04-30"/>
    <x v="112"/>
    <s v="50002"/>
    <s v="차변"/>
    <s v="831"/>
    <s v="지급수수료(판)"/>
    <x v="7"/>
    <n v="6591"/>
    <n v="0"/>
    <n v="-6591"/>
    <s v="(주) 다우기술"/>
    <m/>
    <s v="엔팩스 서비스 사용료 1 X 6,591"/>
  </r>
  <r>
    <s v="2025-04-30"/>
    <x v="112"/>
    <s v="50002"/>
    <s v="대변"/>
    <s v="101"/>
    <s v="현금"/>
    <x v="1"/>
    <n v="0"/>
    <n v="7250"/>
    <n v="7250"/>
    <s v="(주) 다우기술"/>
    <m/>
    <s v="엔팩스 서비스 사용료 1 X 6,591"/>
  </r>
  <r>
    <s v="2025-04-30"/>
    <x v="112"/>
    <s v="50003"/>
    <s v="차변"/>
    <s v="135"/>
    <s v="부가세대급금"/>
    <x v="5"/>
    <n v="4000"/>
    <n v="0"/>
    <n v="-4000"/>
    <s v="효성에프엠에스(주)"/>
    <m/>
    <s v="04월CMS사용료-gjsals596"/>
  </r>
  <r>
    <s v="2025-04-30"/>
    <x v="112"/>
    <s v="50003"/>
    <s v="차변"/>
    <s v="831"/>
    <s v="지급수수료(판)"/>
    <x v="7"/>
    <n v="40000"/>
    <n v="0"/>
    <n v="-40000"/>
    <s v="효성에프엠에스(주)"/>
    <m/>
    <s v="04월CMS사용료-gjsals596"/>
  </r>
  <r>
    <s v="2025-04-30"/>
    <x v="112"/>
    <s v="50003"/>
    <s v="대변"/>
    <s v="101"/>
    <s v="현금"/>
    <x v="1"/>
    <n v="0"/>
    <n v="44000"/>
    <n v="44000"/>
    <s v="효성에프엠에스(주)"/>
    <m/>
    <s v="04월CMS사용료-gjsals596"/>
  </r>
  <r>
    <s v="2025-04-30"/>
    <x v="112"/>
    <s v="50004"/>
    <s v="차변"/>
    <s v="135"/>
    <s v="부가세대급금"/>
    <x v="5"/>
    <n v="1165"/>
    <n v="0"/>
    <n v="-1165"/>
    <s v="효성에프엠에스(주)"/>
    <m/>
    <s v="04월CMS수수료-gjsals596"/>
  </r>
  <r>
    <s v="2025-04-30"/>
    <x v="112"/>
    <s v="50004"/>
    <s v="차변"/>
    <s v="831"/>
    <s v="지급수수료(판)"/>
    <x v="7"/>
    <n v="11650"/>
    <n v="0"/>
    <n v="-11650"/>
    <s v="효성에프엠에스(주)"/>
    <m/>
    <s v="04월CMS수수료-gjsals596"/>
  </r>
  <r>
    <s v="2025-04-30"/>
    <x v="112"/>
    <s v="50004"/>
    <s v="대변"/>
    <s v="101"/>
    <s v="현금"/>
    <x v="1"/>
    <n v="0"/>
    <n v="12815"/>
    <n v="12815"/>
    <s v="효성에프엠에스(주)"/>
    <m/>
    <s v="04월CMS수수료-gjsals596"/>
  </r>
  <r>
    <s v="2025-04-30"/>
    <x v="112"/>
    <s v="50005"/>
    <s v="대변"/>
    <s v="255"/>
    <s v="부가세예수금"/>
    <x v="3"/>
    <n v="0"/>
    <n v="15000"/>
    <n v="15000"/>
    <s v="(주)파이스물류"/>
    <m/>
    <s v="인사노무자문료 1 X 150,000"/>
  </r>
  <r>
    <s v="2025-04-30"/>
    <x v="112"/>
    <s v="50005"/>
    <s v="대변"/>
    <s v="401"/>
    <s v="용역매출"/>
    <x v="4"/>
    <n v="0"/>
    <n v="150000"/>
    <n v="150000"/>
    <s v="(주)파이스물류"/>
    <m/>
    <s v="인사노무자문료 1 X 150,000"/>
  </r>
  <r>
    <s v="2025-04-30"/>
    <x v="112"/>
    <s v="50005"/>
    <s v="차변"/>
    <s v="101"/>
    <s v="현금"/>
    <x v="1"/>
    <n v="165000"/>
    <n v="0"/>
    <n v="-165000"/>
    <s v="(주)파이스물류"/>
    <m/>
    <s v="인사노무자문료 1 X 150,000"/>
  </r>
  <r>
    <s v="2025-04-30"/>
    <x v="112"/>
    <s v="50006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4-30"/>
    <x v="112"/>
    <s v="50006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4-30"/>
    <x v="112"/>
    <s v="50006"/>
    <s v="차변"/>
    <s v="101"/>
    <s v="현금"/>
    <x v="1"/>
    <n v="330000"/>
    <n v="0"/>
    <n v="-330000"/>
    <s v="재단법인 광주광역시 여성가족재단"/>
    <m/>
    <s v="인사노무자문료 1 X 300,000"/>
  </r>
  <r>
    <s v="2025-04-30"/>
    <x v="112"/>
    <s v="50007"/>
    <s v="대변"/>
    <s v="255"/>
    <s v="부가세예수금"/>
    <x v="3"/>
    <n v="0"/>
    <n v="12000"/>
    <n v="12000"/>
    <s v="농업회사법인(주)황칠코리아"/>
    <m/>
    <s v="인사노무자문료 1 X 120,000"/>
  </r>
  <r>
    <s v="2025-04-30"/>
    <x v="112"/>
    <s v="50007"/>
    <s v="대변"/>
    <s v="401"/>
    <s v="용역매출"/>
    <x v="4"/>
    <n v="0"/>
    <n v="120000"/>
    <n v="120000"/>
    <s v="농업회사법인(주)황칠코리아"/>
    <m/>
    <s v="인사노무자문료 1 X 120,000"/>
  </r>
  <r>
    <s v="2025-04-30"/>
    <x v="112"/>
    <s v="50007"/>
    <s v="차변"/>
    <s v="101"/>
    <s v="현금"/>
    <x v="1"/>
    <n v="132000"/>
    <n v="0"/>
    <n v="-132000"/>
    <s v="농업회사법인(주)황칠코리아"/>
    <m/>
    <s v="인사노무자문료 1 X 120,000"/>
  </r>
  <r>
    <s v="2025-04-30"/>
    <x v="112"/>
    <s v="50008"/>
    <s v="대변"/>
    <s v="255"/>
    <s v="부가세예수금"/>
    <x v="3"/>
    <n v="0"/>
    <n v="7000"/>
    <n v="7000"/>
    <s v="(유)임마누엘"/>
    <m/>
    <s v="인사노무자문료 1 X 70,000"/>
  </r>
  <r>
    <s v="2025-04-30"/>
    <x v="112"/>
    <s v="50008"/>
    <s v="대변"/>
    <s v="401"/>
    <s v="용역매출"/>
    <x v="4"/>
    <n v="0"/>
    <n v="70000"/>
    <n v="70000"/>
    <s v="(유)임마누엘"/>
    <m/>
    <s v="인사노무자문료 1 X 70,000"/>
  </r>
  <r>
    <s v="2025-04-30"/>
    <x v="112"/>
    <s v="50008"/>
    <s v="차변"/>
    <s v="101"/>
    <s v="현금"/>
    <x v="1"/>
    <n v="77000"/>
    <n v="0"/>
    <n v="-77000"/>
    <s v="(유)임마누엘"/>
    <m/>
    <s v="인사노무자문료 1 X 70,000"/>
  </r>
  <r>
    <s v="2025-04-30"/>
    <x v="112"/>
    <s v="50009"/>
    <s v="대변"/>
    <s v="255"/>
    <s v="부가세예수금"/>
    <x v="3"/>
    <n v="0"/>
    <n v="15000"/>
    <n v="15000"/>
    <s v="(주)한국피엔피서비스"/>
    <m/>
    <s v="인사노무자문료 1 X 150,000"/>
  </r>
  <r>
    <s v="2025-04-30"/>
    <x v="112"/>
    <s v="50009"/>
    <s v="대변"/>
    <s v="401"/>
    <s v="용역매출"/>
    <x v="4"/>
    <n v="0"/>
    <n v="150000"/>
    <n v="150000"/>
    <s v="(주)한국피엔피서비스"/>
    <m/>
    <s v="인사노무자문료 1 X 150,000"/>
  </r>
  <r>
    <s v="2025-04-30"/>
    <x v="112"/>
    <s v="50009"/>
    <s v="차변"/>
    <s v="101"/>
    <s v="현금"/>
    <x v="1"/>
    <n v="165000"/>
    <n v="0"/>
    <n v="-165000"/>
    <s v="(주)한국피엔피서비스"/>
    <m/>
    <s v="인사노무자문료 1 X 150,000"/>
  </r>
  <r>
    <s v="2025-04-30"/>
    <x v="112"/>
    <s v="50010"/>
    <s v="대변"/>
    <s v="255"/>
    <s v="부가세예수금"/>
    <x v="3"/>
    <n v="0"/>
    <n v="10000"/>
    <n v="10000"/>
    <s v="(주)텝스텍"/>
    <m/>
    <s v="인사노무자문료 1 X 100,000"/>
  </r>
  <r>
    <s v="2025-04-30"/>
    <x v="112"/>
    <s v="50010"/>
    <s v="대변"/>
    <s v="401"/>
    <s v="용역매출"/>
    <x v="4"/>
    <n v="0"/>
    <n v="100000"/>
    <n v="100000"/>
    <s v="(주)텝스텍"/>
    <m/>
    <s v="인사노무자문료 1 X 100,000"/>
  </r>
  <r>
    <s v="2025-04-30"/>
    <x v="112"/>
    <s v="50010"/>
    <s v="차변"/>
    <s v="101"/>
    <s v="현금"/>
    <x v="1"/>
    <n v="110000"/>
    <n v="0"/>
    <n v="-110000"/>
    <s v="(주)텝스텍"/>
    <m/>
    <s v="인사노무자문료 1 X 100,000"/>
  </r>
  <r>
    <s v="2025-04-30"/>
    <x v="112"/>
    <s v="50011"/>
    <s v="입금"/>
    <s v="255"/>
    <s v="부가세예수금"/>
    <x v="3"/>
    <n v="0"/>
    <n v="136363"/>
    <n v="136363"/>
    <s v="소비자현금영수증매출"/>
    <s v="  "/>
    <s v="현금영수증매출"/>
  </r>
  <r>
    <s v="2025-04-30"/>
    <x v="112"/>
    <s v="50011"/>
    <s v="입금"/>
    <s v="101"/>
    <s v="현금"/>
    <x v="1"/>
    <n v="136363"/>
    <n v="0"/>
    <n v="-136363"/>
    <s v="소비자현금영수증매출"/>
    <s v="  "/>
    <s v="현금영수증매출"/>
  </r>
  <r>
    <s v="2025-04-30"/>
    <x v="112"/>
    <s v="50011"/>
    <s v="입금"/>
    <s v="401"/>
    <s v="용역매출"/>
    <x v="4"/>
    <n v="0"/>
    <n v="1363637"/>
    <n v="1363637"/>
    <s v="소비자현금영수증매출"/>
    <s v="  "/>
    <s v="현금영수증매출"/>
  </r>
  <r>
    <s v="2025-04-30"/>
    <x v="112"/>
    <s v="50011"/>
    <s v="입금"/>
    <s v="101"/>
    <s v="현금"/>
    <x v="1"/>
    <n v="1363637"/>
    <n v="0"/>
    <n v="-1363637"/>
    <s v="소비자현금영수증매출"/>
    <s v="  "/>
    <s v="현금영수증매출"/>
  </r>
  <r>
    <s v="2025-04-30"/>
    <x v="112"/>
    <s v="50012"/>
    <s v="대변"/>
    <s v="101"/>
    <s v="현금"/>
    <x v="1"/>
    <n v="0"/>
    <n v="80590"/>
    <n v="80590"/>
    <s v="국민카드(2005)"/>
    <m/>
    <m/>
  </r>
  <r>
    <s v="2025-04-30"/>
    <x v="112"/>
    <s v="50012"/>
    <s v="차변"/>
    <s v="830"/>
    <s v="소모품비(판)"/>
    <x v="6"/>
    <n v="73264"/>
    <n v="0"/>
    <n v="-73264"/>
    <s v="롯데쇼핑（주）롯데마트 수완점"/>
    <s v="  "/>
    <m/>
  </r>
  <r>
    <s v="2025-04-30"/>
    <x v="112"/>
    <s v="50012"/>
    <s v="차변"/>
    <s v="135"/>
    <s v="부가세대급금"/>
    <x v="5"/>
    <n v="7326"/>
    <n v="0"/>
    <n v="-7326"/>
    <s v="롯데쇼핑（주）롯데마트 수완점"/>
    <s v="  "/>
    <m/>
  </r>
  <r>
    <s v="2025-05-01"/>
    <x v="113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5-01"/>
    <x v="113"/>
    <s v="00001"/>
    <s v="대변"/>
    <s v="101"/>
    <s v="현금"/>
    <x v="1"/>
    <n v="0"/>
    <n v="16000"/>
    <n v="16000"/>
    <s v="하나카드(4088)"/>
    <m/>
    <m/>
  </r>
  <r>
    <s v="2025-05-01"/>
    <x v="113"/>
    <s v="00002"/>
    <s v="차변"/>
    <s v="830"/>
    <s v="소모품비(판)"/>
    <x v="6"/>
    <n v="3850"/>
    <n v="0"/>
    <n v="-3850"/>
    <s v="씨유 광주 청사점"/>
    <m/>
    <m/>
  </r>
  <r>
    <s v="2025-05-01"/>
    <x v="113"/>
    <s v="00002"/>
    <s v="대변"/>
    <s v="101"/>
    <s v="현금"/>
    <x v="1"/>
    <n v="0"/>
    <n v="3850"/>
    <n v="3850"/>
    <s v="농협카드(6215)"/>
    <m/>
    <m/>
  </r>
  <r>
    <s v="2025-05-01"/>
    <x v="113"/>
    <s v="50001"/>
    <s v="대변"/>
    <s v="255"/>
    <s v="부가세예수금"/>
    <x v="3"/>
    <n v="0"/>
    <n v="9091"/>
    <n v="9091"/>
    <s v="해드림재활주간보호센터"/>
    <m/>
    <s v="인사노무자문료 1 X 90,909"/>
  </r>
  <r>
    <s v="2025-05-01"/>
    <x v="113"/>
    <s v="50001"/>
    <s v="대변"/>
    <s v="401"/>
    <s v="용역매출"/>
    <x v="4"/>
    <n v="0"/>
    <n v="90909"/>
    <n v="90909"/>
    <s v="해드림재활주간보호센터"/>
    <m/>
    <s v="인사노무자문료 1 X 90,909"/>
  </r>
  <r>
    <s v="2025-05-01"/>
    <x v="113"/>
    <s v="50001"/>
    <s v="차변"/>
    <s v="101"/>
    <s v="현금"/>
    <x v="1"/>
    <n v="100000"/>
    <n v="0"/>
    <n v="-100000"/>
    <s v="해드림재활주간보호센터"/>
    <m/>
    <s v="인사노무자문료 1 X 90,909"/>
  </r>
  <r>
    <s v="2025-05-01"/>
    <x v="113"/>
    <s v="50002"/>
    <s v="대변"/>
    <s v="255"/>
    <s v="부가세예수금"/>
    <x v="3"/>
    <n v="0"/>
    <n v="20000"/>
    <n v="20000"/>
    <s v="첨단튼튼병원"/>
    <m/>
    <s v="인사노무자문료 1 X 200,000"/>
  </r>
  <r>
    <s v="2025-05-01"/>
    <x v="113"/>
    <s v="50002"/>
    <s v="대변"/>
    <s v="401"/>
    <s v="용역매출"/>
    <x v="4"/>
    <n v="0"/>
    <n v="200000"/>
    <n v="200000"/>
    <s v="첨단튼튼병원"/>
    <m/>
    <s v="인사노무자문료 1 X 200,000"/>
  </r>
  <r>
    <s v="2025-05-01"/>
    <x v="113"/>
    <s v="50002"/>
    <s v="차변"/>
    <s v="101"/>
    <s v="현금"/>
    <x v="1"/>
    <n v="220000"/>
    <n v="0"/>
    <n v="-220000"/>
    <s v="첨단튼튼병원"/>
    <m/>
    <s v="인사노무자문료 1 X 200,000"/>
  </r>
  <r>
    <s v="2025-05-01"/>
    <x v="113"/>
    <s v="50003"/>
    <s v="대변"/>
    <s v="255"/>
    <s v="부가세예수금"/>
    <x v="3"/>
    <n v="0"/>
    <n v="10000"/>
    <n v="10000"/>
    <s v="현명산업주식회사"/>
    <m/>
    <s v="인사노무자문료(4월분) 1 X 100,000"/>
  </r>
  <r>
    <s v="2025-05-01"/>
    <x v="113"/>
    <s v="50003"/>
    <s v="대변"/>
    <s v="401"/>
    <s v="용역매출"/>
    <x v="4"/>
    <n v="0"/>
    <n v="100000"/>
    <n v="100000"/>
    <s v="현명산업주식회사"/>
    <m/>
    <s v="인사노무자문료(4월분) 1 X 100,000"/>
  </r>
  <r>
    <s v="2025-05-01"/>
    <x v="113"/>
    <s v="50003"/>
    <s v="차변"/>
    <s v="101"/>
    <s v="현금"/>
    <x v="1"/>
    <n v="110000"/>
    <n v="0"/>
    <n v="-110000"/>
    <s v="현명산업주식회사"/>
    <m/>
    <s v="인사노무자문료(4월분) 1 X 100,000"/>
  </r>
  <r>
    <s v="2025-05-02"/>
    <x v="114"/>
    <s v="00001"/>
    <s v="차변"/>
    <s v="811"/>
    <s v="복리후생비(판)"/>
    <x v="8"/>
    <n v="21320"/>
    <n v="0"/>
    <n v="-21320"/>
    <s v="유한회사 빅푸드식자재"/>
    <m/>
    <m/>
  </r>
  <r>
    <s v="2025-05-02"/>
    <x v="114"/>
    <s v="00001"/>
    <s v="대변"/>
    <s v="101"/>
    <s v="현금"/>
    <x v="1"/>
    <n v="0"/>
    <n v="21320"/>
    <n v="21320"/>
    <s v="하나카드(4088)"/>
    <m/>
    <m/>
  </r>
  <r>
    <s v="2025-05-02"/>
    <x v="114"/>
    <s v="00002"/>
    <s v="차변"/>
    <s v="811"/>
    <s v="복리후생비(판)"/>
    <x v="8"/>
    <n v="20000"/>
    <n v="0"/>
    <n v="-20000"/>
    <s v="엄가네시골집뼈해장국"/>
    <m/>
    <m/>
  </r>
  <r>
    <s v="2025-05-02"/>
    <x v="114"/>
    <s v="00002"/>
    <s v="대변"/>
    <s v="101"/>
    <s v="현금"/>
    <x v="1"/>
    <n v="0"/>
    <n v="20000"/>
    <n v="20000"/>
    <s v="하나카드(4088)"/>
    <m/>
    <m/>
  </r>
  <r>
    <s v="2025-05-02"/>
    <x v="114"/>
    <s v="00003"/>
    <s v="대변"/>
    <s v="101"/>
    <s v="현금"/>
    <x v="1"/>
    <n v="0"/>
    <n v="23340"/>
    <n v="23340"/>
    <s v="하나카드(4088)"/>
    <m/>
    <m/>
  </r>
  <r>
    <s v="2025-05-02"/>
    <x v="114"/>
    <s v="00003"/>
    <s v="차변"/>
    <s v="811"/>
    <s v="복리후생비(판)"/>
    <x v="8"/>
    <n v="23340"/>
    <n v="0"/>
    <n v="-23340"/>
    <s v="장성로컬푸드 첨단직매장"/>
    <m/>
    <m/>
  </r>
  <r>
    <s v="2025-05-02"/>
    <x v="114"/>
    <s v="00004"/>
    <s v="차변"/>
    <s v="831"/>
    <s v="지급수수료(판)"/>
    <x v="7"/>
    <n v="9000"/>
    <n v="0"/>
    <n v="-9000"/>
    <s v="주식회사 코페이"/>
    <m/>
    <m/>
  </r>
  <r>
    <s v="2025-05-02"/>
    <x v="114"/>
    <s v="00004"/>
    <s v="대변"/>
    <s v="101"/>
    <s v="현금"/>
    <x v="1"/>
    <n v="0"/>
    <n v="9000"/>
    <n v="9000"/>
    <s v="하나카드(4088)"/>
    <m/>
    <m/>
  </r>
  <r>
    <s v="2025-05-02"/>
    <x v="114"/>
    <s v="50001"/>
    <s v="대변"/>
    <s v="255"/>
    <s v="부가세예수금"/>
    <x v="3"/>
    <n v="0"/>
    <n v="15000"/>
    <n v="15000"/>
    <s v="연세탑신경외과"/>
    <m/>
    <s v="인사노무자문료 1 X 150,000"/>
  </r>
  <r>
    <s v="2025-05-02"/>
    <x v="114"/>
    <s v="50001"/>
    <s v="대변"/>
    <s v="401"/>
    <s v="용역매출"/>
    <x v="4"/>
    <n v="0"/>
    <n v="150000"/>
    <n v="150000"/>
    <s v="연세탑신경외과"/>
    <m/>
    <s v="인사노무자문료 1 X 150,000"/>
  </r>
  <r>
    <s v="2025-05-02"/>
    <x v="114"/>
    <s v="50001"/>
    <s v="차변"/>
    <s v="101"/>
    <s v="현금"/>
    <x v="1"/>
    <n v="165000"/>
    <n v="0"/>
    <n v="-165000"/>
    <s v="연세탑신경외과"/>
    <m/>
    <s v="인사노무자문료 1 X 150,000"/>
  </r>
  <r>
    <s v="2025-05-02"/>
    <x v="114"/>
    <s v="50002"/>
    <s v="대변"/>
    <s v="255"/>
    <s v="부가세예수금"/>
    <x v="3"/>
    <n v="0"/>
    <n v="15000"/>
    <n v="15000"/>
    <s v="주식회사 수연"/>
    <m/>
    <s v="인사노무자문료 1 X 150,000"/>
  </r>
  <r>
    <s v="2025-05-02"/>
    <x v="114"/>
    <s v="50002"/>
    <s v="대변"/>
    <s v="401"/>
    <s v="용역매출"/>
    <x v="4"/>
    <n v="0"/>
    <n v="150000"/>
    <n v="150000"/>
    <s v="주식회사 수연"/>
    <m/>
    <s v="인사노무자문료 1 X 150,000"/>
  </r>
  <r>
    <s v="2025-05-02"/>
    <x v="114"/>
    <s v="50002"/>
    <s v="차변"/>
    <s v="101"/>
    <s v="현금"/>
    <x v="1"/>
    <n v="165000"/>
    <n v="0"/>
    <n v="-165000"/>
    <s v="주식회사 수연"/>
    <m/>
    <s v="인사노무자문료 1 X 150,000"/>
  </r>
  <r>
    <s v="2025-05-02"/>
    <x v="114"/>
    <s v="50003"/>
    <s v="대변"/>
    <s v="255"/>
    <s v="부가세예수금"/>
    <x v="3"/>
    <n v="0"/>
    <n v="-15000"/>
    <n v="-15000"/>
    <s v="주식회사 수연"/>
    <m/>
    <s v="인사노무자문료 -1 X 150,000"/>
  </r>
  <r>
    <s v="2025-05-02"/>
    <x v="114"/>
    <s v="50003"/>
    <s v="대변"/>
    <s v="401"/>
    <s v="용역매출"/>
    <x v="4"/>
    <n v="0"/>
    <n v="-150000"/>
    <n v="-150000"/>
    <s v="주식회사 수연"/>
    <m/>
    <s v="인사노무자문료 -1 X 150,000"/>
  </r>
  <r>
    <s v="2025-05-02"/>
    <x v="114"/>
    <s v="50003"/>
    <s v="차변"/>
    <s v="101"/>
    <s v="현금"/>
    <x v="1"/>
    <n v="-165000"/>
    <n v="0"/>
    <n v="165000"/>
    <s v="주식회사 수연"/>
    <m/>
    <s v="인사노무자문료 -1 X 150,000"/>
  </r>
  <r>
    <s v="2025-05-02"/>
    <x v="114"/>
    <s v="50004"/>
    <s v="대변"/>
    <s v="255"/>
    <s v="부가세예수금"/>
    <x v="3"/>
    <n v="0"/>
    <n v="15000"/>
    <n v="15000"/>
    <s v="주식회사 수연"/>
    <m/>
    <s v="인사노무자문료 1 X 150,000"/>
  </r>
  <r>
    <s v="2025-05-02"/>
    <x v="114"/>
    <s v="50004"/>
    <s v="대변"/>
    <s v="401"/>
    <s v="용역매출"/>
    <x v="4"/>
    <n v="0"/>
    <n v="150000"/>
    <n v="150000"/>
    <s v="주식회사 수연"/>
    <m/>
    <s v="인사노무자문료 1 X 150,000"/>
  </r>
  <r>
    <s v="2025-05-02"/>
    <x v="114"/>
    <s v="50004"/>
    <s v="차변"/>
    <s v="101"/>
    <s v="현금"/>
    <x v="1"/>
    <n v="165000"/>
    <n v="0"/>
    <n v="-165000"/>
    <s v="주식회사 수연"/>
    <m/>
    <s v="인사노무자문료 1 X 150,000"/>
  </r>
  <r>
    <s v="2025-05-02"/>
    <x v="114"/>
    <s v="50005"/>
    <s v="대변"/>
    <s v="255"/>
    <s v="부가세예수금"/>
    <x v="3"/>
    <n v="0"/>
    <n v="10000"/>
    <n v="10000"/>
    <s v="(주)에이버츄얼"/>
    <m/>
    <s v="인사노무자문료 1 X 100,000"/>
  </r>
  <r>
    <s v="2025-05-02"/>
    <x v="114"/>
    <s v="50005"/>
    <s v="대변"/>
    <s v="401"/>
    <s v="용역매출"/>
    <x v="4"/>
    <n v="0"/>
    <n v="100000"/>
    <n v="100000"/>
    <s v="(주)에이버츄얼"/>
    <m/>
    <s v="인사노무자문료 1 X 100,000"/>
  </r>
  <r>
    <s v="2025-05-02"/>
    <x v="114"/>
    <s v="50005"/>
    <s v="차변"/>
    <s v="101"/>
    <s v="현금"/>
    <x v="1"/>
    <n v="110000"/>
    <n v="0"/>
    <n v="-110000"/>
    <s v="(주)에이버츄얼"/>
    <m/>
    <s v="인사노무자문료 1 X 100,000"/>
  </r>
  <r>
    <s v="2025-05-02"/>
    <x v="114"/>
    <s v="50006"/>
    <s v="대변"/>
    <s v="255"/>
    <s v="부가세예수금"/>
    <x v="3"/>
    <n v="0"/>
    <n v="15000"/>
    <n v="15000"/>
    <s v="청담리브의원"/>
    <m/>
    <s v="인사노무자문료 1 X 150,000"/>
  </r>
  <r>
    <s v="2025-05-02"/>
    <x v="114"/>
    <s v="50006"/>
    <s v="대변"/>
    <s v="401"/>
    <s v="용역매출"/>
    <x v="4"/>
    <n v="0"/>
    <n v="150000"/>
    <n v="150000"/>
    <s v="청담리브의원"/>
    <m/>
    <s v="인사노무자문료 1 X 150,000"/>
  </r>
  <r>
    <s v="2025-05-02"/>
    <x v="114"/>
    <s v="50006"/>
    <s v="차변"/>
    <s v="101"/>
    <s v="현금"/>
    <x v="1"/>
    <n v="165000"/>
    <n v="0"/>
    <n v="-165000"/>
    <s v="청담리브의원"/>
    <m/>
    <s v="인사노무자문료 1 X 150,000"/>
  </r>
  <r>
    <s v="2025-05-02"/>
    <x v="114"/>
    <s v="50007"/>
    <s v="대변"/>
    <s v="255"/>
    <s v="부가세예수금"/>
    <x v="3"/>
    <n v="0"/>
    <n v="10000"/>
    <n v="10000"/>
    <s v="와이앤애드"/>
    <m/>
    <s v="인사노무자문료 1 X 100,000"/>
  </r>
  <r>
    <s v="2025-05-02"/>
    <x v="114"/>
    <s v="50007"/>
    <s v="대변"/>
    <s v="401"/>
    <s v="용역매출"/>
    <x v="4"/>
    <n v="0"/>
    <n v="100000"/>
    <n v="100000"/>
    <s v="와이앤애드"/>
    <m/>
    <s v="인사노무자문료 1 X 100,000"/>
  </r>
  <r>
    <s v="2025-05-02"/>
    <x v="114"/>
    <s v="50007"/>
    <s v="차변"/>
    <s v="101"/>
    <s v="현금"/>
    <x v="1"/>
    <n v="110000"/>
    <n v="0"/>
    <n v="-110000"/>
    <s v="와이앤애드"/>
    <m/>
    <s v="인사노무자문료 1 X 100,000"/>
  </r>
  <r>
    <s v="2025-05-02"/>
    <x v="114"/>
    <s v="50008"/>
    <s v="대변"/>
    <s v="255"/>
    <s v="부가세예수금"/>
    <x v="3"/>
    <n v="0"/>
    <n v="12000"/>
    <n v="12000"/>
    <s v="용성이앤지"/>
    <m/>
    <s v="인사노무자문료 1 X 120,000"/>
  </r>
  <r>
    <s v="2025-05-02"/>
    <x v="114"/>
    <s v="50008"/>
    <s v="대변"/>
    <s v="401"/>
    <s v="용역매출"/>
    <x v="4"/>
    <n v="0"/>
    <n v="120000"/>
    <n v="120000"/>
    <s v="용성이앤지"/>
    <m/>
    <s v="인사노무자문료 1 X 120,000"/>
  </r>
  <r>
    <s v="2025-05-02"/>
    <x v="114"/>
    <s v="50008"/>
    <s v="차변"/>
    <s v="101"/>
    <s v="현금"/>
    <x v="1"/>
    <n v="132000"/>
    <n v="0"/>
    <n v="-132000"/>
    <s v="용성이앤지"/>
    <m/>
    <s v="인사노무자문료 1 X 120,000"/>
  </r>
  <r>
    <s v="2025-05-02"/>
    <x v="114"/>
    <s v="50009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5-02"/>
    <x v="114"/>
    <s v="50009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5-02"/>
    <x v="114"/>
    <s v="50009"/>
    <s v="차변"/>
    <s v="101"/>
    <s v="현금"/>
    <x v="1"/>
    <n v="132000"/>
    <n v="0"/>
    <n v="-132000"/>
    <s v="재단법인 장성먹거리통합지원센터"/>
    <m/>
    <s v="인사노무자문료 1 X 120,000"/>
  </r>
  <r>
    <s v="2025-05-02"/>
    <x v="114"/>
    <s v="50010"/>
    <s v="대변"/>
    <s v="255"/>
    <s v="부가세예수금"/>
    <x v="3"/>
    <n v="0"/>
    <n v="15000"/>
    <n v="15000"/>
    <s v="(주)혁진팩"/>
    <m/>
    <s v="인사노무자문료 1 X 150,000"/>
  </r>
  <r>
    <s v="2025-05-02"/>
    <x v="114"/>
    <s v="50010"/>
    <s v="대변"/>
    <s v="401"/>
    <s v="용역매출"/>
    <x v="4"/>
    <n v="0"/>
    <n v="150000"/>
    <n v="150000"/>
    <s v="(주)혁진팩"/>
    <m/>
    <s v="인사노무자문료 1 X 150,000"/>
  </r>
  <r>
    <s v="2025-05-02"/>
    <x v="114"/>
    <s v="50010"/>
    <s v="차변"/>
    <s v="101"/>
    <s v="현금"/>
    <x v="1"/>
    <n v="165000"/>
    <n v="0"/>
    <n v="-165000"/>
    <s v="(주)혁진팩"/>
    <m/>
    <s v="인사노무자문료 1 X 150,000"/>
  </r>
  <r>
    <s v="2025-05-02"/>
    <x v="114"/>
    <s v="50011"/>
    <s v="대변"/>
    <s v="255"/>
    <s v="부가세예수금"/>
    <x v="3"/>
    <n v="0"/>
    <n v="15000"/>
    <n v="15000"/>
    <s v="(주)미래아이엔씨"/>
    <m/>
    <s v="인사노무자문료 1 X 150,000"/>
  </r>
  <r>
    <s v="2025-05-02"/>
    <x v="114"/>
    <s v="50011"/>
    <s v="대변"/>
    <s v="401"/>
    <s v="용역매출"/>
    <x v="4"/>
    <n v="0"/>
    <n v="150000"/>
    <n v="150000"/>
    <s v="(주)미래아이엔씨"/>
    <m/>
    <s v="인사노무자문료 1 X 150,000"/>
  </r>
  <r>
    <s v="2025-05-02"/>
    <x v="114"/>
    <s v="50011"/>
    <s v="차변"/>
    <s v="101"/>
    <s v="현금"/>
    <x v="1"/>
    <n v="165000"/>
    <n v="0"/>
    <n v="-165000"/>
    <s v="(주)미래아이엔씨"/>
    <m/>
    <s v="인사노무자문료 1 X 150,000"/>
  </r>
  <r>
    <s v="2025-05-02"/>
    <x v="114"/>
    <s v="50012"/>
    <s v="차변"/>
    <s v="135"/>
    <s v="부가세대급금"/>
    <x v="5"/>
    <n v="14672"/>
    <n v="0"/>
    <n v="-14672"/>
    <s v="롯데쇼핑(주)롯데아울렛광주수완점 오가"/>
    <m/>
    <m/>
  </r>
  <r>
    <s v="2025-05-02"/>
    <x v="114"/>
    <s v="50012"/>
    <s v="차변"/>
    <s v="830"/>
    <s v="소모품비(판)"/>
    <x v="6"/>
    <n v="146728"/>
    <n v="0"/>
    <n v="-146728"/>
    <s v="롯데쇼핑(주)롯데아울렛광주수완점 오가"/>
    <m/>
    <m/>
  </r>
  <r>
    <s v="2025-05-02"/>
    <x v="114"/>
    <s v="50012"/>
    <s v="대변"/>
    <s v="101"/>
    <s v="현금"/>
    <x v="1"/>
    <n v="0"/>
    <n v="161400"/>
    <n v="161400"/>
    <s v="국민카드(2005)"/>
    <m/>
    <m/>
  </r>
  <r>
    <s v="2025-05-02"/>
    <x v="114"/>
    <s v="50013"/>
    <s v="차변"/>
    <s v="135"/>
    <s v="부가세대급금"/>
    <x v="5"/>
    <n v="2054"/>
    <n v="0"/>
    <n v="-2054"/>
    <s v="롯데쇼핑(주)롯데아울렛광주수완점 오가"/>
    <m/>
    <m/>
  </r>
  <r>
    <s v="2025-05-02"/>
    <x v="114"/>
    <s v="50013"/>
    <s v="차변"/>
    <s v="830"/>
    <s v="소모품비(판)"/>
    <x v="6"/>
    <n v="20546"/>
    <n v="0"/>
    <n v="-20546"/>
    <s v="롯데쇼핑(주)롯데아울렛광주수완점 오가"/>
    <m/>
    <m/>
  </r>
  <r>
    <s v="2025-05-02"/>
    <x v="114"/>
    <s v="50013"/>
    <s v="대변"/>
    <s v="101"/>
    <s v="현금"/>
    <x v="1"/>
    <n v="0"/>
    <n v="22600"/>
    <n v="22600"/>
    <s v="국민카드(2005)"/>
    <m/>
    <m/>
  </r>
  <r>
    <s v="2025-05-03"/>
    <x v="115"/>
    <s v="00001"/>
    <s v="차변"/>
    <s v="811"/>
    <s v="복리후생비(판)"/>
    <x v="8"/>
    <n v="7200"/>
    <n v="0"/>
    <n v="-7200"/>
    <s v="궁전제과"/>
    <m/>
    <m/>
  </r>
  <r>
    <s v="2025-05-03"/>
    <x v="115"/>
    <s v="00001"/>
    <s v="대변"/>
    <s v="101"/>
    <s v="현금"/>
    <x v="1"/>
    <n v="0"/>
    <n v="7200"/>
    <n v="7200"/>
    <s v="하나카드(4088)"/>
    <m/>
    <m/>
  </r>
  <r>
    <s v="2025-05-03"/>
    <x v="115"/>
    <s v="00002"/>
    <s v="차변"/>
    <s v="811"/>
    <s v="복리후생비(판)"/>
    <x v="8"/>
    <n v="9000"/>
    <n v="0"/>
    <n v="-9000"/>
    <s v="김밥랜드"/>
    <m/>
    <m/>
  </r>
  <r>
    <s v="2025-05-03"/>
    <x v="115"/>
    <s v="00002"/>
    <s v="대변"/>
    <s v="101"/>
    <s v="현금"/>
    <x v="1"/>
    <n v="0"/>
    <n v="9000"/>
    <n v="9000"/>
    <s v="농협카드(6215)"/>
    <m/>
    <m/>
  </r>
  <r>
    <s v="2025-05-03"/>
    <x v="115"/>
    <s v="00003"/>
    <s v="차변"/>
    <s v="830"/>
    <s v="소모품비(판)"/>
    <x v="6"/>
    <n v="4500"/>
    <n v="0"/>
    <n v="-4500"/>
    <s v="(주)코리아세븐 광주첨단라인점"/>
    <m/>
    <m/>
  </r>
  <r>
    <s v="2025-05-03"/>
    <x v="115"/>
    <s v="00003"/>
    <s v="대변"/>
    <s v="101"/>
    <s v="현금"/>
    <x v="1"/>
    <n v="0"/>
    <n v="4500"/>
    <n v="4500"/>
    <s v="농협카드(6215)"/>
    <m/>
    <m/>
  </r>
  <r>
    <s v="2025-05-03"/>
    <x v="115"/>
    <s v="00004"/>
    <s v="차변"/>
    <s v="812"/>
    <s v="여비교통비(판)"/>
    <x v="9"/>
    <n v="17900"/>
    <n v="0"/>
    <n v="-17900"/>
    <s v="(주) 명윤"/>
    <m/>
    <m/>
  </r>
  <r>
    <s v="2025-05-03"/>
    <x v="115"/>
    <s v="00004"/>
    <s v="대변"/>
    <s v="101"/>
    <s v="현금"/>
    <x v="1"/>
    <n v="0"/>
    <n v="17900"/>
    <n v="17900"/>
    <s v="하나카드(4088)"/>
    <m/>
    <m/>
  </r>
  <r>
    <s v="2025-05-03"/>
    <x v="115"/>
    <s v="00005"/>
    <s v="차변"/>
    <s v="812"/>
    <s v="여비교통비(판)"/>
    <x v="9"/>
    <n v="1800"/>
    <n v="0"/>
    <n v="-1800"/>
    <s v="한국정보통신 - 윌슨파킹"/>
    <m/>
    <m/>
  </r>
  <r>
    <s v="2025-05-03"/>
    <x v="115"/>
    <s v="00005"/>
    <s v="대변"/>
    <s v="101"/>
    <s v="현금"/>
    <x v="1"/>
    <n v="0"/>
    <n v="1800"/>
    <n v="1800"/>
    <s v="하나카드(4088)"/>
    <m/>
    <m/>
  </r>
  <r>
    <s v="2025-05-03"/>
    <x v="115"/>
    <s v="00006"/>
    <s v="차변"/>
    <s v="812"/>
    <s v="여비교통비(판)"/>
    <x v="9"/>
    <n v="1800"/>
    <n v="0"/>
    <n v="-1800"/>
    <s v="한국정보통신 - 윌슨파킹"/>
    <m/>
    <m/>
  </r>
  <r>
    <s v="2025-05-03"/>
    <x v="115"/>
    <s v="00006"/>
    <s v="대변"/>
    <s v="101"/>
    <s v="현금"/>
    <x v="1"/>
    <n v="0"/>
    <n v="1800"/>
    <n v="1800"/>
    <s v="하나카드(4088)"/>
    <m/>
    <m/>
  </r>
  <r>
    <s v="2025-05-03"/>
    <x v="115"/>
    <s v="00007"/>
    <s v="차변"/>
    <s v="831"/>
    <s v="지급수수료(판)"/>
    <x v="7"/>
    <n v="9600"/>
    <n v="0"/>
    <n v="-9600"/>
    <s v="토스페이먼츠 주식회사"/>
    <m/>
    <m/>
  </r>
  <r>
    <s v="2025-05-03"/>
    <x v="115"/>
    <s v="00007"/>
    <s v="대변"/>
    <s v="101"/>
    <s v="현금"/>
    <x v="1"/>
    <n v="0"/>
    <n v="9600"/>
    <n v="9600"/>
    <s v="하나카드(4088)"/>
    <m/>
    <m/>
  </r>
  <r>
    <s v="2025-05-03"/>
    <x v="115"/>
    <s v="00008"/>
    <s v="대변"/>
    <s v="101"/>
    <s v="현금"/>
    <x v="1"/>
    <n v="0"/>
    <n v="7400"/>
    <n v="7400"/>
    <s v="（주）아트박스"/>
    <m/>
    <m/>
  </r>
  <r>
    <s v="2025-05-03"/>
    <x v="115"/>
    <s v="00008"/>
    <s v="차변"/>
    <s v="830"/>
    <s v="소모품비(판)"/>
    <x v="6"/>
    <n v="7400"/>
    <n v="0"/>
    <n v="-7400"/>
    <s v="（주）아트박스"/>
    <m/>
    <m/>
  </r>
  <r>
    <s v="2025-05-03"/>
    <x v="115"/>
    <s v="50002"/>
    <s v="차변"/>
    <s v="135"/>
    <s v="부가세대급금"/>
    <x v="5"/>
    <n v="318"/>
    <n v="0"/>
    <n v="-318"/>
    <s v="（주）아트박스"/>
    <m/>
    <m/>
  </r>
  <r>
    <s v="2025-05-03"/>
    <x v="115"/>
    <s v="50002"/>
    <s v="차변"/>
    <s v="830"/>
    <s v="소모품비(판)"/>
    <x v="6"/>
    <n v="3182"/>
    <n v="0"/>
    <n v="-3182"/>
    <s v="（주）아트박스"/>
    <m/>
    <m/>
  </r>
  <r>
    <s v="2025-05-03"/>
    <x v="115"/>
    <s v="50002"/>
    <s v="대변"/>
    <s v="101"/>
    <s v="현금"/>
    <x v="1"/>
    <n v="0"/>
    <n v="3500"/>
    <n v="3500"/>
    <s v="하나카드(4088)"/>
    <m/>
    <m/>
  </r>
  <r>
    <s v="2025-05-04"/>
    <x v="116"/>
    <s v="00001"/>
    <s v="차변"/>
    <s v="811"/>
    <s v="복리후생비(판)"/>
    <x v="8"/>
    <n v="4900"/>
    <n v="0"/>
    <n v="-4900"/>
    <s v="배스킨라빈스 첨단점"/>
    <m/>
    <m/>
  </r>
  <r>
    <s v="2025-05-04"/>
    <x v="116"/>
    <s v="00001"/>
    <s v="대변"/>
    <s v="101"/>
    <s v="현금"/>
    <x v="1"/>
    <n v="0"/>
    <n v="4900"/>
    <n v="4900"/>
    <s v="현대카드(4817)"/>
    <m/>
    <m/>
  </r>
  <r>
    <s v="2025-05-04"/>
    <x v="116"/>
    <s v="00002"/>
    <s v="대변"/>
    <s v="101"/>
    <s v="현금"/>
    <x v="1"/>
    <n v="0"/>
    <n v="25000"/>
    <n v="25000"/>
    <s v="농협카드(6215)"/>
    <m/>
    <m/>
  </r>
  <r>
    <s v="2025-05-04"/>
    <x v="116"/>
    <s v="00002"/>
    <s v="차변"/>
    <s v="811"/>
    <s v="복리후생비(판)"/>
    <x v="8"/>
    <n v="25000"/>
    <n v="0"/>
    <n v="-25000"/>
    <s v="장성로컬푸드 첨단직매장"/>
    <m/>
    <m/>
  </r>
  <r>
    <s v="2025-05-04"/>
    <x v="116"/>
    <s v="00003"/>
    <s v="차변"/>
    <s v="830"/>
    <s v="소모품비(판)"/>
    <x v="6"/>
    <n v="22000"/>
    <n v="0"/>
    <n v="-22000"/>
    <s v="햇살마트"/>
    <m/>
    <m/>
  </r>
  <r>
    <s v="2025-05-04"/>
    <x v="116"/>
    <s v="00003"/>
    <s v="대변"/>
    <s v="101"/>
    <s v="현금"/>
    <x v="1"/>
    <n v="0"/>
    <n v="22000"/>
    <n v="22000"/>
    <s v="현대카드(4817)"/>
    <m/>
    <m/>
  </r>
  <r>
    <s v="2025-05-04"/>
    <x v="116"/>
    <s v="00004"/>
    <s v="대변"/>
    <s v="101"/>
    <s v="현금"/>
    <x v="1"/>
    <n v="0"/>
    <n v="700"/>
    <n v="700"/>
    <s v="하나카드(4088)"/>
    <m/>
    <m/>
  </r>
  <r>
    <s v="2025-05-04"/>
    <x v="116"/>
    <s v="00004"/>
    <s v="차변"/>
    <s v="812"/>
    <s v="여비교통비(판)"/>
    <x v="9"/>
    <n v="700"/>
    <n v="0"/>
    <n v="-700"/>
    <s v="(주)푸르웰"/>
    <m/>
    <m/>
  </r>
  <r>
    <s v="2025-05-04"/>
    <x v="116"/>
    <s v="00005"/>
    <s v="차변"/>
    <s v="812"/>
    <s v="여비교통비(판)"/>
    <x v="9"/>
    <n v="1800"/>
    <n v="0"/>
    <n v="-1800"/>
    <s v="씨유(CU) 메타프로방스점"/>
    <m/>
    <m/>
  </r>
  <r>
    <s v="2025-05-04"/>
    <x v="116"/>
    <s v="00005"/>
    <s v="대변"/>
    <s v="101"/>
    <s v="현금"/>
    <x v="1"/>
    <n v="0"/>
    <n v="1800"/>
    <n v="1800"/>
    <s v="하나카드(4088)"/>
    <m/>
    <m/>
  </r>
  <r>
    <s v="2025-05-04"/>
    <x v="116"/>
    <s v="00006"/>
    <s v="차변"/>
    <s v="812"/>
    <s v="여비교통비(판)"/>
    <x v="9"/>
    <n v="14000"/>
    <n v="0"/>
    <n v="-14000"/>
    <s v="부부도너츠"/>
    <m/>
    <m/>
  </r>
  <r>
    <s v="2025-05-04"/>
    <x v="116"/>
    <s v="00006"/>
    <s v="대변"/>
    <s v="101"/>
    <s v="현금"/>
    <x v="1"/>
    <n v="0"/>
    <n v="14000"/>
    <n v="14000"/>
    <s v="농협카드(6215)"/>
    <m/>
    <m/>
  </r>
  <r>
    <s v="2025-05-04"/>
    <x v="116"/>
    <s v="00007"/>
    <s v="차변"/>
    <s v="812"/>
    <s v="여비교통비(판)"/>
    <x v="9"/>
    <n v="8000"/>
    <n v="0"/>
    <n v="-8000"/>
    <s v="츄카츄카"/>
    <m/>
    <m/>
  </r>
  <r>
    <s v="2025-05-04"/>
    <x v="116"/>
    <s v="00007"/>
    <s v="대변"/>
    <s v="101"/>
    <s v="현금"/>
    <x v="1"/>
    <n v="0"/>
    <n v="8000"/>
    <n v="8000"/>
    <s v="농협카드(6215)"/>
    <m/>
    <m/>
  </r>
  <r>
    <s v="2025-05-04"/>
    <x v="116"/>
    <s v="00008"/>
    <s v="차변"/>
    <s v="831"/>
    <s v="지급수수료(판)"/>
    <x v="7"/>
    <n v="53000"/>
    <n v="0"/>
    <n v="-53000"/>
    <s v="주식회사 코페이"/>
    <m/>
    <m/>
  </r>
  <r>
    <s v="2025-05-04"/>
    <x v="116"/>
    <s v="00008"/>
    <s v="대변"/>
    <s v="101"/>
    <s v="현금"/>
    <x v="1"/>
    <n v="0"/>
    <n v="53000"/>
    <n v="53000"/>
    <s v="농협카드(6215)"/>
    <m/>
    <m/>
  </r>
  <r>
    <s v="2025-05-04"/>
    <x v="116"/>
    <s v="50001"/>
    <s v="차변"/>
    <s v="135"/>
    <s v="부가세대급금"/>
    <x v="5"/>
    <n v="1523"/>
    <n v="0"/>
    <n v="-1523"/>
    <s v="㈜LG유플러스"/>
    <m/>
    <s v="2025년 05월 서비스 이용료 매출"/>
  </r>
  <r>
    <s v="2025-05-04"/>
    <x v="116"/>
    <s v="50001"/>
    <s v="차변"/>
    <s v="814"/>
    <s v="통신비(판)"/>
    <x v="10"/>
    <n v="15230"/>
    <n v="0"/>
    <n v="-15230"/>
    <s v="㈜LG유플러스"/>
    <m/>
    <s v="2025년 05월 서비스 이용료 매출"/>
  </r>
  <r>
    <s v="2025-05-04"/>
    <x v="116"/>
    <s v="50001"/>
    <s v="대변"/>
    <s v="101"/>
    <s v="현금"/>
    <x v="1"/>
    <n v="0"/>
    <n v="16753"/>
    <n v="16753"/>
    <s v="㈜LG유플러스"/>
    <m/>
    <s v="2025년 05월 서비스 이용료 매출"/>
  </r>
  <r>
    <s v="2025-05-04"/>
    <x v="116"/>
    <s v="50002"/>
    <s v="대변"/>
    <s v="255"/>
    <s v="부가세예수금"/>
    <x v="3"/>
    <n v="0"/>
    <n v="10000"/>
    <n v="10000"/>
    <s v="샤브사랑"/>
    <m/>
    <s v="인사노무자문료 1 X 100,000"/>
  </r>
  <r>
    <s v="2025-05-04"/>
    <x v="116"/>
    <s v="50002"/>
    <s v="대변"/>
    <s v="401"/>
    <s v="용역매출"/>
    <x v="4"/>
    <n v="0"/>
    <n v="100000"/>
    <n v="100000"/>
    <s v="샤브사랑"/>
    <m/>
    <s v="인사노무자문료 1 X 100,000"/>
  </r>
  <r>
    <s v="2025-05-04"/>
    <x v="116"/>
    <s v="50002"/>
    <s v="차변"/>
    <s v="101"/>
    <s v="현금"/>
    <x v="1"/>
    <n v="110000"/>
    <n v="0"/>
    <n v="-110000"/>
    <s v="샤브사랑"/>
    <m/>
    <s v="인사노무자문료 1 X 100,000"/>
  </r>
  <r>
    <s v="2025-05-05"/>
    <x v="117"/>
    <s v="00001"/>
    <s v="대변"/>
    <s v="101"/>
    <s v="현금"/>
    <x v="1"/>
    <n v="0"/>
    <n v="12400"/>
    <n v="12400"/>
    <s v="농협카드(6215)"/>
    <m/>
    <m/>
  </r>
  <r>
    <s v="2025-05-05"/>
    <x v="117"/>
    <s v="00001"/>
    <s v="차변"/>
    <s v="812"/>
    <s v="여비교통비(판)"/>
    <x v="9"/>
    <n v="12400"/>
    <n v="0"/>
    <n v="-12400"/>
    <s v="무인계란집"/>
    <m/>
    <m/>
  </r>
  <r>
    <s v="2025-05-05"/>
    <x v="117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5-05"/>
    <x v="117"/>
    <s v="50001"/>
    <s v="대변"/>
    <s v="401"/>
    <s v="용역매출"/>
    <x v="4"/>
    <n v="0"/>
    <n v="400000"/>
    <n v="400000"/>
    <s v="(주)모아주택산업"/>
    <m/>
    <s v="인사노무자문료 1 X 400,000"/>
  </r>
  <r>
    <s v="2025-05-05"/>
    <x v="117"/>
    <s v="50001"/>
    <s v="차변"/>
    <s v="101"/>
    <s v="현금"/>
    <x v="1"/>
    <n v="440000"/>
    <n v="0"/>
    <n v="-440000"/>
    <s v="(주)모아주택산업"/>
    <m/>
    <s v="인사노무자문료 1 X 400,000"/>
  </r>
  <r>
    <s v="2025-05-05"/>
    <x v="117"/>
    <s v="50002"/>
    <s v="대변"/>
    <s v="255"/>
    <s v="부가세예수금"/>
    <x v="3"/>
    <n v="0"/>
    <n v="15000"/>
    <n v="15000"/>
    <s v="(주)유진테크노"/>
    <m/>
    <s v="인사노무자문료 1 X 150,000"/>
  </r>
  <r>
    <s v="2025-05-05"/>
    <x v="117"/>
    <s v="50002"/>
    <s v="대변"/>
    <s v="401"/>
    <s v="용역매출"/>
    <x v="4"/>
    <n v="0"/>
    <n v="150000"/>
    <n v="150000"/>
    <s v="(주)유진테크노"/>
    <m/>
    <s v="인사노무자문료 1 X 150,000"/>
  </r>
  <r>
    <s v="2025-05-05"/>
    <x v="117"/>
    <s v="50002"/>
    <s v="차변"/>
    <s v="101"/>
    <s v="현금"/>
    <x v="1"/>
    <n v="165000"/>
    <n v="0"/>
    <n v="-165000"/>
    <s v="(주)유진테크노"/>
    <m/>
    <s v="인사노무자문료 1 X 150,000"/>
  </r>
  <r>
    <s v="2025-05-06"/>
    <x v="118"/>
    <s v="00001"/>
    <s v="차변"/>
    <s v="830"/>
    <s v="소모품비(판)"/>
    <x v="6"/>
    <n v="8790"/>
    <n v="0"/>
    <n v="-8790"/>
    <s v="KCP - ( 주 ) 위메프"/>
    <m/>
    <m/>
  </r>
  <r>
    <s v="2025-05-06"/>
    <x v="118"/>
    <s v="00001"/>
    <s v="대변"/>
    <s v="101"/>
    <s v="현금"/>
    <x v="1"/>
    <n v="0"/>
    <n v="8790"/>
    <n v="8790"/>
    <s v="현대카드(4817)"/>
    <m/>
    <m/>
  </r>
  <r>
    <s v="2025-05-06"/>
    <x v="118"/>
    <s v="00002"/>
    <s v="대변"/>
    <s v="101"/>
    <s v="현금"/>
    <x v="1"/>
    <n v="0"/>
    <n v="25000"/>
    <n v="25000"/>
    <s v="국민카드(2005)"/>
    <m/>
    <m/>
  </r>
  <r>
    <s v="2025-05-06"/>
    <x v="118"/>
    <s v="00002"/>
    <s v="차변"/>
    <s v="830"/>
    <s v="소모품비(판)"/>
    <x v="6"/>
    <n v="25000"/>
    <n v="0"/>
    <n v="-25000"/>
    <s v="채상공방"/>
    <m/>
    <m/>
  </r>
  <r>
    <s v="2025-05-06"/>
    <x v="118"/>
    <s v="00003"/>
    <s v="대변"/>
    <s v="101"/>
    <s v="현금"/>
    <x v="1"/>
    <n v="0"/>
    <n v="2400"/>
    <n v="2400"/>
    <s v="하나카드(4088)"/>
    <m/>
    <m/>
  </r>
  <r>
    <s v="2025-05-06"/>
    <x v="118"/>
    <s v="00003"/>
    <s v="차변"/>
    <s v="812"/>
    <s v="여비교통비(판)"/>
    <x v="9"/>
    <n v="2400"/>
    <n v="0"/>
    <n v="-2400"/>
    <s v="무인계란집"/>
    <m/>
    <m/>
  </r>
  <r>
    <s v="2025-05-06"/>
    <x v="118"/>
    <s v="00004"/>
    <s v="차변"/>
    <s v="812"/>
    <s v="여비교통비(판)"/>
    <x v="9"/>
    <n v="6500"/>
    <n v="0"/>
    <n v="-6500"/>
    <s v="한국정보통신 - 윌슨파킹"/>
    <m/>
    <m/>
  </r>
  <r>
    <s v="2025-05-06"/>
    <x v="118"/>
    <s v="00004"/>
    <s v="대변"/>
    <s v="101"/>
    <s v="현금"/>
    <x v="1"/>
    <n v="0"/>
    <n v="6500"/>
    <n v="6500"/>
    <s v="하나카드(4088)"/>
    <m/>
    <m/>
  </r>
  <r>
    <s v="2025-05-06"/>
    <x v="118"/>
    <s v="00005"/>
    <s v="차변"/>
    <s v="822"/>
    <s v="차량유지비(판)"/>
    <x v="11"/>
    <n v="50000"/>
    <n v="0"/>
    <n v="-50000"/>
    <s v="（유）금성물류 광주지점"/>
    <m/>
    <m/>
  </r>
  <r>
    <s v="2025-05-06"/>
    <x v="118"/>
    <s v="00005"/>
    <s v="대변"/>
    <s v="101"/>
    <s v="현금"/>
    <x v="1"/>
    <n v="0"/>
    <n v="50000"/>
    <n v="50000"/>
    <s v="현대카드(4817)"/>
    <m/>
    <m/>
  </r>
  <r>
    <s v="2025-05-06"/>
    <x v="118"/>
    <s v="00006"/>
    <s v="차변"/>
    <s v="831"/>
    <s v="지급수수료(판)"/>
    <x v="7"/>
    <n v="2990"/>
    <n v="0"/>
    <n v="-2990"/>
    <s v="토스페이먼츠 주식회사"/>
    <m/>
    <m/>
  </r>
  <r>
    <s v="2025-05-06"/>
    <x v="118"/>
    <s v="00006"/>
    <s v="대변"/>
    <s v="101"/>
    <s v="현금"/>
    <x v="1"/>
    <n v="0"/>
    <n v="2990"/>
    <n v="2990"/>
    <s v="현대카드(4817)"/>
    <m/>
    <m/>
  </r>
  <r>
    <s v="2025-05-06"/>
    <x v="118"/>
    <s v="00007"/>
    <s v="차변"/>
    <s v="813"/>
    <s v="접대비(기업업무추진비)(판)"/>
    <x v="0"/>
    <n v="13500"/>
    <n v="0"/>
    <n v="-13500"/>
    <s v="추월당 카페"/>
    <s v="02"/>
    <s v="거래처 접대비(기업업무추진비)/신용카드(개인)"/>
  </r>
  <r>
    <s v="2025-05-06"/>
    <x v="118"/>
    <s v="00007"/>
    <s v="대변"/>
    <s v="101"/>
    <s v="현금"/>
    <x v="1"/>
    <n v="0"/>
    <n v="13500"/>
    <n v="13500"/>
    <s v="하나카드(4088)"/>
    <m/>
    <m/>
  </r>
  <r>
    <s v="2025-05-06"/>
    <x v="118"/>
    <s v="00008"/>
    <s v="차변"/>
    <s v="811"/>
    <s v="복리후생비(판)"/>
    <x v="8"/>
    <n v="53110"/>
    <n v="0"/>
    <n v="-53110"/>
    <s v="아구찜 참 잘하는집 광주 계림점"/>
    <m/>
    <m/>
  </r>
  <r>
    <s v="2025-05-06"/>
    <x v="118"/>
    <s v="00008"/>
    <s v="대변"/>
    <s v="101"/>
    <s v="현금"/>
    <x v="1"/>
    <n v="0"/>
    <n v="53110"/>
    <n v="53110"/>
    <s v="아구찜 참 잘하는집 광주 계림점"/>
    <m/>
    <m/>
  </r>
  <r>
    <s v="2025-05-07"/>
    <x v="119"/>
    <s v="50001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5-07"/>
    <x v="119"/>
    <s v="50001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5-07"/>
    <x v="119"/>
    <s v="50001"/>
    <s v="대변"/>
    <s v="101"/>
    <s v="현금"/>
    <x v="1"/>
    <n v="0"/>
    <n v="21120"/>
    <n v="21120"/>
    <s v="주식회사 케이티"/>
    <m/>
    <s v="구내인터넷 Standard(100M) (503300019511) 1 X 19,200"/>
  </r>
  <r>
    <s v="2025-05-07"/>
    <x v="119"/>
    <s v="50002"/>
    <s v="차변"/>
    <s v="822"/>
    <s v="차량유지비(판)"/>
    <x v="11"/>
    <n v="5500"/>
    <n v="0"/>
    <n v="-5500"/>
    <s v="현대자동차㈜ 본사"/>
    <m/>
    <s v="제네시스 커넥티드서비스"/>
  </r>
  <r>
    <s v="2025-05-07"/>
    <x v="119"/>
    <s v="50002"/>
    <s v="대변"/>
    <s v="101"/>
    <s v="현금"/>
    <x v="1"/>
    <n v="0"/>
    <n v="5500"/>
    <n v="5500"/>
    <s v="현대자동차㈜ 본사"/>
    <m/>
    <s v="제네시스 커넥티드서비스"/>
  </r>
  <r>
    <s v="2025-05-07"/>
    <x v="119"/>
    <s v="50003"/>
    <s v="대변"/>
    <s v="255"/>
    <s v="부가세예수금"/>
    <x v="3"/>
    <n v="0"/>
    <n v="10000"/>
    <n v="10000"/>
    <s v="주식회사 주영테크"/>
    <m/>
    <s v="인사노무자문료 1 X 100,000"/>
  </r>
  <r>
    <s v="2025-05-07"/>
    <x v="119"/>
    <s v="50003"/>
    <s v="대변"/>
    <s v="401"/>
    <s v="용역매출"/>
    <x v="4"/>
    <n v="0"/>
    <n v="100000"/>
    <n v="100000"/>
    <s v="주식회사 주영테크"/>
    <m/>
    <s v="인사노무자문료 1 X 100,000"/>
  </r>
  <r>
    <s v="2025-05-07"/>
    <x v="119"/>
    <s v="50003"/>
    <s v="차변"/>
    <s v="101"/>
    <s v="현금"/>
    <x v="1"/>
    <n v="110000"/>
    <n v="0"/>
    <n v="-110000"/>
    <s v="주식회사 주영테크"/>
    <m/>
    <s v="인사노무자문료 1 X 100,000"/>
  </r>
  <r>
    <s v="2025-05-08"/>
    <x v="120"/>
    <s v="00001"/>
    <s v="차변"/>
    <s v="811"/>
    <s v="복리후생비(판)"/>
    <x v="8"/>
    <n v="22000"/>
    <n v="0"/>
    <n v="-22000"/>
    <s v="본가모밀 25시"/>
    <m/>
    <m/>
  </r>
  <r>
    <s v="2025-05-08"/>
    <x v="120"/>
    <s v="00001"/>
    <s v="대변"/>
    <s v="101"/>
    <s v="현금"/>
    <x v="1"/>
    <n v="0"/>
    <n v="22000"/>
    <n v="22000"/>
    <s v="하나카드(4088)"/>
    <m/>
    <m/>
  </r>
  <r>
    <s v="2025-05-08"/>
    <x v="120"/>
    <s v="00002"/>
    <s v="차변"/>
    <s v="811"/>
    <s v="복리후생비(판)"/>
    <x v="8"/>
    <n v="3500"/>
    <n v="0"/>
    <n v="-3500"/>
    <s v="오라봉국수"/>
    <m/>
    <m/>
  </r>
  <r>
    <s v="2025-05-08"/>
    <x v="120"/>
    <s v="00002"/>
    <s v="대변"/>
    <s v="101"/>
    <s v="현금"/>
    <x v="1"/>
    <n v="0"/>
    <n v="3500"/>
    <n v="3500"/>
    <s v="국민카드(2005)"/>
    <m/>
    <m/>
  </r>
  <r>
    <s v="2025-05-08"/>
    <x v="120"/>
    <s v="00003"/>
    <s v="차변"/>
    <s v="812"/>
    <s v="여비교통비(판)"/>
    <x v="9"/>
    <n v="3000"/>
    <n v="0"/>
    <n v="-3000"/>
    <s v="카페히어로 1호점"/>
    <m/>
    <m/>
  </r>
  <r>
    <s v="2025-05-08"/>
    <x v="120"/>
    <s v="00003"/>
    <s v="대변"/>
    <s v="101"/>
    <s v="현금"/>
    <x v="1"/>
    <n v="0"/>
    <n v="3000"/>
    <n v="3000"/>
    <s v="하나카드(4088)"/>
    <m/>
    <m/>
  </r>
  <r>
    <s v="2025-05-08"/>
    <x v="120"/>
    <s v="50001"/>
    <s v="대변"/>
    <s v="255"/>
    <s v="부가세예수금"/>
    <x v="3"/>
    <n v="0"/>
    <n v="15000"/>
    <n v="15000"/>
    <s v="광주미래의원"/>
    <m/>
    <s v="인사노무자문료 1 X 150,000"/>
  </r>
  <r>
    <s v="2025-05-08"/>
    <x v="120"/>
    <s v="50001"/>
    <s v="대변"/>
    <s v="401"/>
    <s v="용역매출"/>
    <x v="4"/>
    <n v="0"/>
    <n v="150000"/>
    <n v="150000"/>
    <s v="광주미래의원"/>
    <m/>
    <s v="인사노무자문료 1 X 150,000"/>
  </r>
  <r>
    <s v="2025-05-08"/>
    <x v="120"/>
    <s v="50001"/>
    <s v="차변"/>
    <s v="101"/>
    <s v="현금"/>
    <x v="1"/>
    <n v="165000"/>
    <n v="0"/>
    <n v="-165000"/>
    <s v="광주미래의원"/>
    <m/>
    <s v="인사노무자문료 1 X 150,000"/>
  </r>
  <r>
    <s v="2025-05-08"/>
    <x v="120"/>
    <s v="50002"/>
    <s v="대변"/>
    <s v="255"/>
    <s v="부가세예수금"/>
    <x v="3"/>
    <n v="0"/>
    <n v="10000"/>
    <n v="10000"/>
    <s v="정원기업"/>
    <m/>
    <s v="인사노무자문료 1 X 100,000"/>
  </r>
  <r>
    <s v="2025-05-08"/>
    <x v="120"/>
    <s v="50002"/>
    <s v="대변"/>
    <s v="401"/>
    <s v="용역매출"/>
    <x v="4"/>
    <n v="0"/>
    <n v="100000"/>
    <n v="100000"/>
    <s v="정원기업"/>
    <m/>
    <s v="인사노무자문료 1 X 100,000"/>
  </r>
  <r>
    <s v="2025-05-08"/>
    <x v="120"/>
    <s v="50002"/>
    <s v="차변"/>
    <s v="101"/>
    <s v="현금"/>
    <x v="1"/>
    <n v="110000"/>
    <n v="0"/>
    <n v="-110000"/>
    <s v="정원기업"/>
    <m/>
    <s v="인사노무자문료 1 X 100,000"/>
  </r>
  <r>
    <s v="2025-05-09"/>
    <x v="121"/>
    <s v="00001"/>
    <s v="차변"/>
    <s v="830"/>
    <s v="소모품비(판)"/>
    <x v="6"/>
    <n v="5500"/>
    <n v="0"/>
    <n v="-5500"/>
    <s v="네이버페이"/>
    <m/>
    <m/>
  </r>
  <r>
    <s v="2025-05-09"/>
    <x v="121"/>
    <s v="00001"/>
    <s v="대변"/>
    <s v="101"/>
    <s v="현금"/>
    <x v="1"/>
    <n v="0"/>
    <n v="5500"/>
    <n v="5500"/>
    <s v="현대카드(4817)"/>
    <m/>
    <m/>
  </r>
  <r>
    <s v="2025-05-09"/>
    <x v="121"/>
    <s v="00002"/>
    <s v="차변"/>
    <s v="822"/>
    <s v="차량유지비(판)"/>
    <x v="11"/>
    <n v="50000"/>
    <n v="0"/>
    <n v="-50000"/>
    <s v="（유）금성물류 광주지점"/>
    <m/>
    <m/>
  </r>
  <r>
    <s v="2025-05-09"/>
    <x v="121"/>
    <s v="00002"/>
    <s v="대변"/>
    <s v="101"/>
    <s v="현금"/>
    <x v="1"/>
    <n v="0"/>
    <n v="50000"/>
    <n v="50000"/>
    <s v="현대카드(4817)"/>
    <m/>
    <m/>
  </r>
  <r>
    <s v="2025-05-09"/>
    <x v="121"/>
    <s v="00003"/>
    <s v="차변"/>
    <s v="814"/>
    <s v="통신비(판)"/>
    <x v="10"/>
    <n v="5500"/>
    <n v="0"/>
    <n v="-5500"/>
    <s v="주식회사 케이티"/>
    <m/>
    <m/>
  </r>
  <r>
    <s v="2025-05-09"/>
    <x v="121"/>
    <s v="00003"/>
    <s v="대변"/>
    <s v="101"/>
    <s v="현금"/>
    <x v="1"/>
    <n v="0"/>
    <n v="5500"/>
    <n v="5500"/>
    <s v="하나카드(4088)"/>
    <m/>
    <m/>
  </r>
  <r>
    <s v="2025-05-09"/>
    <x v="121"/>
    <s v="00004"/>
    <s v="대변"/>
    <s v="101"/>
    <s v="현금"/>
    <x v="1"/>
    <n v="0"/>
    <n v="20000"/>
    <n v="20000"/>
    <s v="（주）아트박스"/>
    <m/>
    <m/>
  </r>
  <r>
    <s v="2025-05-09"/>
    <x v="121"/>
    <s v="00004"/>
    <s v="차변"/>
    <s v="830"/>
    <s v="소모품비(판)"/>
    <x v="6"/>
    <n v="20000"/>
    <n v="0"/>
    <n v="-20000"/>
    <s v="（주）아트박스"/>
    <m/>
    <m/>
  </r>
  <r>
    <s v="2025-05-09"/>
    <x v="121"/>
    <s v="50001"/>
    <s v="대변"/>
    <s v="255"/>
    <s v="부가세예수금"/>
    <x v="3"/>
    <n v="0"/>
    <n v="20000"/>
    <n v="20000"/>
    <s v="(유)에이스"/>
    <m/>
    <s v="인사노무자문료 1 X 200,000"/>
  </r>
  <r>
    <s v="2025-05-09"/>
    <x v="121"/>
    <s v="50001"/>
    <s v="대변"/>
    <s v="401"/>
    <s v="용역매출"/>
    <x v="4"/>
    <n v="0"/>
    <n v="200000"/>
    <n v="200000"/>
    <s v="(유)에이스"/>
    <m/>
    <s v="인사노무자문료 1 X 200,000"/>
  </r>
  <r>
    <s v="2025-05-09"/>
    <x v="121"/>
    <s v="50001"/>
    <s v="차변"/>
    <s v="101"/>
    <s v="현금"/>
    <x v="1"/>
    <n v="220000"/>
    <n v="0"/>
    <n v="-220000"/>
    <s v="(유)에이스"/>
    <m/>
    <s v="인사노무자문료 1 X 200,000"/>
  </r>
  <r>
    <s v="2025-05-10"/>
    <x v="122"/>
    <s v="00001"/>
    <s v="차변"/>
    <s v="811"/>
    <s v="복리후생비(판)"/>
    <x v="8"/>
    <n v="3300"/>
    <n v="0"/>
    <n v="-3300"/>
    <s v="컴포즈커피첨단신동아점"/>
    <m/>
    <m/>
  </r>
  <r>
    <s v="2025-05-10"/>
    <x v="122"/>
    <s v="00001"/>
    <s v="대변"/>
    <s v="101"/>
    <s v="현금"/>
    <x v="1"/>
    <n v="0"/>
    <n v="3300"/>
    <n v="3300"/>
    <s v="농협카드(6215)"/>
    <m/>
    <m/>
  </r>
  <r>
    <s v="2025-05-10"/>
    <x v="122"/>
    <s v="00002"/>
    <s v="차변"/>
    <s v="830"/>
    <s v="소모품비(판)"/>
    <x v="6"/>
    <n v="9900"/>
    <n v="0"/>
    <n v="-9900"/>
    <s v="네이버페이"/>
    <m/>
    <m/>
  </r>
  <r>
    <s v="2025-05-10"/>
    <x v="122"/>
    <s v="00002"/>
    <s v="대변"/>
    <s v="101"/>
    <s v="현금"/>
    <x v="1"/>
    <n v="0"/>
    <n v="9900"/>
    <n v="9900"/>
    <s v="현대카드(4817)"/>
    <m/>
    <m/>
  </r>
  <r>
    <s v="2025-05-10"/>
    <x v="122"/>
    <s v="00003"/>
    <s v="차변"/>
    <s v="812"/>
    <s v="여비교통비(판)"/>
    <x v="9"/>
    <n v="6400"/>
    <n v="0"/>
    <n v="-6400"/>
    <s v="한국정보통신 - 윌슨파킹"/>
    <m/>
    <m/>
  </r>
  <r>
    <s v="2025-05-10"/>
    <x v="122"/>
    <s v="00003"/>
    <s v="대변"/>
    <s v="101"/>
    <s v="현금"/>
    <x v="1"/>
    <n v="0"/>
    <n v="6400"/>
    <n v="6400"/>
    <s v="현대카드(4817)"/>
    <m/>
    <m/>
  </r>
  <r>
    <s v="2025-05-11"/>
    <x v="123"/>
    <s v="00001"/>
    <s v="차변"/>
    <s v="830"/>
    <s v="소모품비(판)"/>
    <x v="6"/>
    <n v="1500"/>
    <n v="0"/>
    <n v="-1500"/>
    <s v="에이플러스마트"/>
    <m/>
    <m/>
  </r>
  <r>
    <s v="2025-05-11"/>
    <x v="123"/>
    <s v="00001"/>
    <s v="대변"/>
    <s v="101"/>
    <s v="현금"/>
    <x v="1"/>
    <n v="0"/>
    <n v="1500"/>
    <n v="1500"/>
    <s v="하나카드(4088)"/>
    <m/>
    <m/>
  </r>
  <r>
    <s v="2025-05-11"/>
    <x v="123"/>
    <s v="00002"/>
    <s v="차변"/>
    <s v="830"/>
    <s v="소모품비(판)"/>
    <x v="6"/>
    <n v="2200"/>
    <n v="0"/>
    <n v="-2200"/>
    <s v="에이플러스마트"/>
    <m/>
    <m/>
  </r>
  <r>
    <s v="2025-05-11"/>
    <x v="123"/>
    <s v="00002"/>
    <s v="대변"/>
    <s v="101"/>
    <s v="현금"/>
    <x v="1"/>
    <n v="0"/>
    <n v="2200"/>
    <n v="2200"/>
    <s v="하나카드(4088)"/>
    <m/>
    <m/>
  </r>
  <r>
    <s v="2025-05-11"/>
    <x v="123"/>
    <s v="00003"/>
    <s v="차변"/>
    <s v="830"/>
    <s v="소모품비(판)"/>
    <x v="6"/>
    <n v="5800"/>
    <n v="0"/>
    <n v="-5800"/>
    <s v="지에스이십오(GS25) 광주문흥점"/>
    <m/>
    <m/>
  </r>
  <r>
    <s v="2025-05-11"/>
    <x v="123"/>
    <s v="00003"/>
    <s v="대변"/>
    <s v="101"/>
    <s v="현금"/>
    <x v="1"/>
    <n v="0"/>
    <n v="5800"/>
    <n v="5800"/>
    <s v="농협카드(6215)"/>
    <m/>
    <m/>
  </r>
  <r>
    <s v="2025-05-11"/>
    <x v="123"/>
    <s v="00004"/>
    <s v="차변"/>
    <s v="812"/>
    <s v="여비교통비(판)"/>
    <x v="9"/>
    <n v="3000"/>
    <n v="0"/>
    <n v="-3000"/>
    <s v="씨유 망월주유소점"/>
    <m/>
    <m/>
  </r>
  <r>
    <s v="2025-05-11"/>
    <x v="123"/>
    <s v="00004"/>
    <s v="대변"/>
    <s v="101"/>
    <s v="현금"/>
    <x v="1"/>
    <n v="0"/>
    <n v="3000"/>
    <n v="3000"/>
    <s v="농협카드(6215)"/>
    <m/>
    <m/>
  </r>
  <r>
    <s v="2025-05-11"/>
    <x v="123"/>
    <s v="00005"/>
    <s v="차변"/>
    <s v="812"/>
    <s v="여비교통비(판)"/>
    <x v="9"/>
    <n v="6500"/>
    <n v="0"/>
    <n v="-6500"/>
    <s v="한국정보통신 - 윌슨파킹"/>
    <m/>
    <m/>
  </r>
  <r>
    <s v="2025-05-11"/>
    <x v="123"/>
    <s v="00005"/>
    <s v="대변"/>
    <s v="101"/>
    <s v="현금"/>
    <x v="1"/>
    <n v="0"/>
    <n v="6500"/>
    <n v="6500"/>
    <s v="하나카드(4088)"/>
    <m/>
    <m/>
  </r>
  <r>
    <s v="2025-05-11"/>
    <x v="123"/>
    <s v="00006"/>
    <s v="대변"/>
    <s v="101"/>
    <s v="현금"/>
    <x v="1"/>
    <n v="0"/>
    <n v="22700"/>
    <n v="22700"/>
    <s v="월드통상"/>
    <m/>
    <m/>
  </r>
  <r>
    <s v="2025-05-11"/>
    <x v="123"/>
    <s v="00006"/>
    <s v="차변"/>
    <s v="830"/>
    <s v="소모품비(판)"/>
    <x v="6"/>
    <n v="22700"/>
    <n v="0"/>
    <n v="-22700"/>
    <s v="월드통상"/>
    <m/>
    <m/>
  </r>
  <r>
    <s v="2025-05-12"/>
    <x v="124"/>
    <s v="00001"/>
    <s v="차변"/>
    <s v="254"/>
    <s v="예수금"/>
    <x v="12"/>
    <n v="149400"/>
    <n v="0"/>
    <n v="-149400"/>
    <s v="국민연금공단"/>
    <s v="  "/>
    <s v="2504연금"/>
  </r>
  <r>
    <s v="2025-05-12"/>
    <x v="124"/>
    <s v="00001"/>
    <s v="대변"/>
    <s v="101"/>
    <s v="현금"/>
    <x v="1"/>
    <n v="0"/>
    <n v="298800"/>
    <n v="298800"/>
    <s v="국민연금공단"/>
    <s v="  "/>
    <s v="2504연금"/>
  </r>
  <r>
    <s v="2025-05-12"/>
    <x v="124"/>
    <s v="00001"/>
    <s v="차변"/>
    <s v="817"/>
    <s v="세금과공과금(판)"/>
    <x v="14"/>
    <n v="149400"/>
    <n v="0"/>
    <n v="-149400"/>
    <s v="국민연금공단"/>
    <s v="  "/>
    <s v="2504연금"/>
  </r>
  <r>
    <s v="2025-05-12"/>
    <x v="124"/>
    <s v="00002"/>
    <s v="차변"/>
    <s v="254"/>
    <s v="예수금"/>
    <x v="12"/>
    <n v="6300"/>
    <n v="0"/>
    <n v="-6300"/>
    <s v="근로복지공단"/>
    <s v="  "/>
    <s v="2504고용"/>
  </r>
  <r>
    <s v="2025-05-12"/>
    <x v="124"/>
    <s v="00002"/>
    <s v="대변"/>
    <s v="101"/>
    <s v="현금"/>
    <x v="1"/>
    <n v="0"/>
    <n v="14350"/>
    <n v="14350"/>
    <s v="근로복지공단"/>
    <s v="  "/>
    <s v="2504고용"/>
  </r>
  <r>
    <s v="2025-05-12"/>
    <x v="124"/>
    <s v="00002"/>
    <s v="차변"/>
    <s v="821"/>
    <s v="보험료(판)"/>
    <x v="13"/>
    <n v="8050"/>
    <n v="0"/>
    <n v="-8050"/>
    <s v="근로복지공단"/>
    <s v="  "/>
    <s v="2504고용"/>
  </r>
  <r>
    <s v="2025-05-12"/>
    <x v="124"/>
    <s v="00003"/>
    <s v="대변"/>
    <s v="101"/>
    <s v="현금"/>
    <x v="1"/>
    <n v="0"/>
    <n v="5300"/>
    <n v="5300"/>
    <s v="현대카드(4817)"/>
    <m/>
    <m/>
  </r>
  <r>
    <s v="2025-05-12"/>
    <x v="124"/>
    <s v="00003"/>
    <s v="차변"/>
    <s v="824"/>
    <s v="운반비(판)"/>
    <x v="15"/>
    <n v="5300"/>
    <n v="0"/>
    <n v="-5300"/>
    <s v="우정사업본부광주"/>
    <m/>
    <m/>
  </r>
  <r>
    <s v="2025-05-12"/>
    <x v="124"/>
    <s v="00004"/>
    <s v="차변"/>
    <s v="831"/>
    <s v="지급수수료(판)"/>
    <x v="7"/>
    <n v="1990"/>
    <n v="0"/>
    <n v="-1990"/>
    <s v="나이스페이먼츠 주식회사 (NICE Payments Co"/>
    <m/>
    <m/>
  </r>
  <r>
    <s v="2025-05-12"/>
    <x v="124"/>
    <s v="00004"/>
    <s v="대변"/>
    <s v="101"/>
    <s v="현금"/>
    <x v="1"/>
    <n v="0"/>
    <n v="1990"/>
    <n v="1990"/>
    <s v="하나카드(4088)"/>
    <m/>
    <m/>
  </r>
  <r>
    <s v="2025-05-12"/>
    <x v="124"/>
    <s v="00005"/>
    <s v="차변"/>
    <s v="822"/>
    <s v="차량유지비(판)"/>
    <x v="11"/>
    <n v="50000"/>
    <n v="0"/>
    <n v="-50000"/>
    <s v="한백석유첨단주유소"/>
    <m/>
    <m/>
  </r>
  <r>
    <s v="2025-05-12"/>
    <x v="124"/>
    <s v="00005"/>
    <s v="대변"/>
    <s v="101"/>
    <s v="현금"/>
    <x v="1"/>
    <n v="0"/>
    <n v="50000"/>
    <n v="50000"/>
    <s v="국민카드(2005)"/>
    <m/>
    <m/>
  </r>
  <r>
    <s v="2025-05-12"/>
    <x v="124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5-12"/>
    <x v="124"/>
    <s v="50001"/>
    <s v="대변"/>
    <s v="401"/>
    <s v="용역매출"/>
    <x v="4"/>
    <n v="0"/>
    <n v="150000"/>
    <n v="150000"/>
    <s v="정다운메디컬센터"/>
    <m/>
    <s v="인사노무자문료 1 X 150,000"/>
  </r>
  <r>
    <s v="2025-05-12"/>
    <x v="124"/>
    <s v="50001"/>
    <s v="차변"/>
    <s v="101"/>
    <s v="현금"/>
    <x v="1"/>
    <n v="165000"/>
    <n v="0"/>
    <n v="-165000"/>
    <s v="정다운메디컬센터"/>
    <m/>
    <s v="인사노무자문료 1 X 150,000"/>
  </r>
  <r>
    <s v="2025-05-13"/>
    <x v="125"/>
    <s v="00001"/>
    <s v="차변"/>
    <s v="811"/>
    <s v="복리후생비(판)"/>
    <x v="8"/>
    <n v="22000"/>
    <n v="0"/>
    <n v="-22000"/>
    <s v="채가곰탕"/>
    <m/>
    <m/>
  </r>
  <r>
    <s v="2025-05-13"/>
    <x v="125"/>
    <s v="00001"/>
    <s v="대변"/>
    <s v="101"/>
    <s v="현금"/>
    <x v="1"/>
    <n v="0"/>
    <n v="22000"/>
    <n v="22000"/>
    <s v="하나카드(4088)"/>
    <m/>
    <m/>
  </r>
  <r>
    <s v="2025-05-13"/>
    <x v="125"/>
    <s v="00002"/>
    <s v="차변"/>
    <s v="830"/>
    <s v="소모품비(판)"/>
    <x v="6"/>
    <n v="9100"/>
    <n v="0"/>
    <n v="-9100"/>
    <s v="에이플러스마트"/>
    <m/>
    <m/>
  </r>
  <r>
    <s v="2025-05-13"/>
    <x v="125"/>
    <s v="00002"/>
    <s v="대변"/>
    <s v="101"/>
    <s v="현금"/>
    <x v="1"/>
    <n v="0"/>
    <n v="9100"/>
    <n v="9100"/>
    <s v="하나카드(4088)"/>
    <m/>
    <m/>
  </r>
  <r>
    <s v="2025-05-13"/>
    <x v="125"/>
    <s v="00003"/>
    <s v="차변"/>
    <s v="812"/>
    <s v="여비교통비(판)"/>
    <x v="9"/>
    <n v="2000"/>
    <n v="0"/>
    <n v="-2000"/>
    <s v="이마트24 롯데시네마광산점"/>
    <m/>
    <m/>
  </r>
  <r>
    <s v="2025-05-13"/>
    <x v="125"/>
    <s v="00003"/>
    <s v="대변"/>
    <s v="101"/>
    <s v="현금"/>
    <x v="1"/>
    <n v="0"/>
    <n v="2000"/>
    <n v="2000"/>
    <s v="하나카드(4088)"/>
    <m/>
    <m/>
  </r>
  <r>
    <s v="2025-05-13"/>
    <x v="125"/>
    <s v="00004"/>
    <s v="차변"/>
    <s v="812"/>
    <s v="여비교통비(판)"/>
    <x v="9"/>
    <n v="600"/>
    <n v="0"/>
    <n v="-600"/>
    <s v="한국정보통신 - 윌슨파킹"/>
    <m/>
    <m/>
  </r>
  <r>
    <s v="2025-05-13"/>
    <x v="125"/>
    <s v="00004"/>
    <s v="대변"/>
    <s v="101"/>
    <s v="현금"/>
    <x v="1"/>
    <n v="0"/>
    <n v="600"/>
    <n v="600"/>
    <s v="하나카드(4088)"/>
    <m/>
    <m/>
  </r>
  <r>
    <s v="2025-05-13"/>
    <x v="125"/>
    <s v="00005"/>
    <s v="차변"/>
    <s v="812"/>
    <s v="여비교통비(판)"/>
    <x v="9"/>
    <n v="1800"/>
    <n v="0"/>
    <n v="-1800"/>
    <s v="컴포즈커피광주문흥대주점"/>
    <m/>
    <m/>
  </r>
  <r>
    <s v="2025-05-13"/>
    <x v="125"/>
    <s v="00005"/>
    <s v="대변"/>
    <s v="101"/>
    <s v="현금"/>
    <x v="1"/>
    <n v="0"/>
    <n v="1800"/>
    <n v="1800"/>
    <s v="하나카드(4088)"/>
    <m/>
    <m/>
  </r>
  <r>
    <s v="2025-05-13"/>
    <x v="125"/>
    <s v="00006"/>
    <s v="차변"/>
    <s v="812"/>
    <s v="여비교통비(판)"/>
    <x v="9"/>
    <n v="2500"/>
    <n v="0"/>
    <n v="-2500"/>
    <s v="컴포즈커피광주문흥대주점"/>
    <m/>
    <m/>
  </r>
  <r>
    <s v="2025-05-13"/>
    <x v="125"/>
    <s v="00006"/>
    <s v="대변"/>
    <s v="101"/>
    <s v="현금"/>
    <x v="1"/>
    <n v="0"/>
    <n v="2500"/>
    <n v="2500"/>
    <s v="하나카드(4088)"/>
    <m/>
    <m/>
  </r>
  <r>
    <s v="2025-05-13"/>
    <x v="125"/>
    <s v="50001"/>
    <s v="대변"/>
    <s v="255"/>
    <s v="부가세예수금"/>
    <x v="3"/>
    <n v="0"/>
    <n v="10000"/>
    <n v="10000"/>
    <s v="(주)에이스미트"/>
    <m/>
    <s v="인사노무자문료 1 X 100,000"/>
  </r>
  <r>
    <s v="2025-05-13"/>
    <x v="125"/>
    <s v="50001"/>
    <s v="대변"/>
    <s v="401"/>
    <s v="용역매출"/>
    <x v="4"/>
    <n v="0"/>
    <n v="100000"/>
    <n v="100000"/>
    <s v="(주)에이스미트"/>
    <m/>
    <s v="인사노무자문료 1 X 100,000"/>
  </r>
  <r>
    <s v="2025-05-13"/>
    <x v="125"/>
    <s v="50001"/>
    <s v="차변"/>
    <s v="101"/>
    <s v="현금"/>
    <x v="1"/>
    <n v="110000"/>
    <n v="0"/>
    <n v="-110000"/>
    <s v="(주)에이스미트"/>
    <m/>
    <s v="인사노무자문료 1 X 100,000"/>
  </r>
  <r>
    <s v="2025-05-13"/>
    <x v="125"/>
    <s v="50002"/>
    <s v="대변"/>
    <s v="255"/>
    <s v="부가세예수금"/>
    <x v="3"/>
    <n v="0"/>
    <n v="15000"/>
    <n v="15000"/>
    <s v="방방곡곡플라워"/>
    <m/>
    <s v="인사노무자문료 1 X 150,000"/>
  </r>
  <r>
    <s v="2025-05-13"/>
    <x v="125"/>
    <s v="50002"/>
    <s v="대변"/>
    <s v="401"/>
    <s v="용역매출"/>
    <x v="4"/>
    <n v="0"/>
    <n v="150000"/>
    <n v="150000"/>
    <s v="방방곡곡플라워"/>
    <m/>
    <s v="인사노무자문료 1 X 150,000"/>
  </r>
  <r>
    <s v="2025-05-13"/>
    <x v="125"/>
    <s v="50002"/>
    <s v="차변"/>
    <s v="101"/>
    <s v="현금"/>
    <x v="1"/>
    <n v="165000"/>
    <n v="0"/>
    <n v="-165000"/>
    <s v="방방곡곡플라워"/>
    <m/>
    <s v="인사노무자문료 1 X 150,000"/>
  </r>
  <r>
    <s v="2025-05-13"/>
    <x v="125"/>
    <s v="50003"/>
    <s v="대변"/>
    <s v="255"/>
    <s v="부가세예수금"/>
    <x v="3"/>
    <n v="0"/>
    <n v="10000"/>
    <n v="10000"/>
    <s v="주식회사 한솔무역"/>
    <m/>
    <s v="인사노무자문료 1 X 100,000"/>
  </r>
  <r>
    <s v="2025-05-13"/>
    <x v="125"/>
    <s v="50003"/>
    <s v="대변"/>
    <s v="401"/>
    <s v="용역매출"/>
    <x v="4"/>
    <n v="0"/>
    <n v="100000"/>
    <n v="100000"/>
    <s v="주식회사 한솔무역"/>
    <m/>
    <s v="인사노무자문료 1 X 100,000"/>
  </r>
  <r>
    <s v="2025-05-13"/>
    <x v="125"/>
    <s v="50003"/>
    <s v="차변"/>
    <s v="101"/>
    <s v="현금"/>
    <x v="1"/>
    <n v="110000"/>
    <n v="0"/>
    <n v="-110000"/>
    <s v="주식회사 한솔무역"/>
    <m/>
    <s v="인사노무자문료 1 X 100,000"/>
  </r>
  <r>
    <s v="2025-05-13"/>
    <x v="125"/>
    <s v="50004"/>
    <s v="대변"/>
    <s v="255"/>
    <s v="부가세예수금"/>
    <x v="3"/>
    <n v="0"/>
    <n v="20000"/>
    <n v="20000"/>
    <s v="미곡종합포장(주)"/>
    <m/>
    <s v="인사노무자문료 1 X 200,000"/>
  </r>
  <r>
    <s v="2025-05-13"/>
    <x v="125"/>
    <s v="50004"/>
    <s v="대변"/>
    <s v="401"/>
    <s v="용역매출"/>
    <x v="4"/>
    <n v="0"/>
    <n v="200000"/>
    <n v="200000"/>
    <s v="미곡종합포장(주)"/>
    <m/>
    <s v="인사노무자문료 1 X 200,000"/>
  </r>
  <r>
    <s v="2025-05-13"/>
    <x v="125"/>
    <s v="50004"/>
    <s v="차변"/>
    <s v="101"/>
    <s v="현금"/>
    <x v="1"/>
    <n v="220000"/>
    <n v="0"/>
    <n v="-220000"/>
    <s v="미곡종합포장(주)"/>
    <m/>
    <s v="인사노무자문료 1 X 200,000"/>
  </r>
  <r>
    <s v="2025-05-13"/>
    <x v="125"/>
    <s v="50005"/>
    <s v="대변"/>
    <s v="255"/>
    <s v="부가세예수금"/>
    <x v="3"/>
    <n v="0"/>
    <n v="10000"/>
    <n v="10000"/>
    <s v="주식회사 세연이앤에스"/>
    <m/>
    <s v="인사노무자문료 1 X 100,000"/>
  </r>
  <r>
    <s v="2025-05-13"/>
    <x v="125"/>
    <s v="50005"/>
    <s v="대변"/>
    <s v="401"/>
    <s v="용역매출"/>
    <x v="4"/>
    <n v="0"/>
    <n v="100000"/>
    <n v="100000"/>
    <s v="주식회사 세연이앤에스"/>
    <m/>
    <s v="인사노무자문료 1 X 100,000"/>
  </r>
  <r>
    <s v="2025-05-13"/>
    <x v="125"/>
    <s v="50005"/>
    <s v="차변"/>
    <s v="101"/>
    <s v="현금"/>
    <x v="1"/>
    <n v="110000"/>
    <n v="0"/>
    <n v="-110000"/>
    <s v="주식회사 세연이앤에스"/>
    <m/>
    <s v="인사노무자문료 1 X 100,000"/>
  </r>
  <r>
    <s v="2025-05-13"/>
    <x v="125"/>
    <s v="50006"/>
    <s v="대변"/>
    <s v="255"/>
    <s v="부가세예수금"/>
    <x v="3"/>
    <n v="0"/>
    <n v="7000"/>
    <n v="7000"/>
    <s v="동지애드"/>
    <m/>
    <s v="인사노무자문료 1 X 70,000"/>
  </r>
  <r>
    <s v="2025-05-13"/>
    <x v="125"/>
    <s v="50006"/>
    <s v="대변"/>
    <s v="401"/>
    <s v="용역매출"/>
    <x v="4"/>
    <n v="0"/>
    <n v="70000"/>
    <n v="70000"/>
    <s v="동지애드"/>
    <m/>
    <s v="인사노무자문료 1 X 70,000"/>
  </r>
  <r>
    <s v="2025-05-13"/>
    <x v="125"/>
    <s v="50006"/>
    <s v="차변"/>
    <s v="101"/>
    <s v="현금"/>
    <x v="1"/>
    <n v="77000"/>
    <n v="0"/>
    <n v="-77000"/>
    <s v="동지애드"/>
    <m/>
    <s v="인사노무자문료 1 X 70,000"/>
  </r>
  <r>
    <s v="2025-05-13"/>
    <x v="125"/>
    <s v="50007"/>
    <s v="대변"/>
    <s v="255"/>
    <s v="부가세예수금"/>
    <x v="3"/>
    <n v="0"/>
    <n v="10000"/>
    <n v="10000"/>
    <s v="주식회사 바우만테크"/>
    <m/>
    <s v="인사노무자문료 1 X 100,000"/>
  </r>
  <r>
    <s v="2025-05-13"/>
    <x v="125"/>
    <s v="50007"/>
    <s v="대변"/>
    <s v="401"/>
    <s v="용역매출"/>
    <x v="4"/>
    <n v="0"/>
    <n v="100000"/>
    <n v="100000"/>
    <s v="주식회사 바우만테크"/>
    <m/>
    <s v="인사노무자문료 1 X 100,000"/>
  </r>
  <r>
    <s v="2025-05-13"/>
    <x v="125"/>
    <s v="50007"/>
    <s v="차변"/>
    <s v="101"/>
    <s v="현금"/>
    <x v="1"/>
    <n v="110000"/>
    <n v="0"/>
    <n v="-110000"/>
    <s v="주식회사 바우만테크"/>
    <m/>
    <s v="인사노무자문료 1 X 100,000"/>
  </r>
  <r>
    <s v="2025-05-13"/>
    <x v="125"/>
    <s v="50008"/>
    <s v="대변"/>
    <s v="255"/>
    <s v="부가세예수금"/>
    <x v="3"/>
    <n v="0"/>
    <n v="12000"/>
    <n v="12000"/>
    <s v="(유)광주가구산업"/>
    <m/>
    <s v="인사노무자문료 1 X 120,000"/>
  </r>
  <r>
    <s v="2025-05-13"/>
    <x v="125"/>
    <s v="50008"/>
    <s v="대변"/>
    <s v="401"/>
    <s v="용역매출"/>
    <x v="4"/>
    <n v="0"/>
    <n v="120000"/>
    <n v="120000"/>
    <s v="(유)광주가구산업"/>
    <m/>
    <s v="인사노무자문료 1 X 120,000"/>
  </r>
  <r>
    <s v="2025-05-13"/>
    <x v="125"/>
    <s v="50008"/>
    <s v="차변"/>
    <s v="101"/>
    <s v="현금"/>
    <x v="1"/>
    <n v="132000"/>
    <n v="0"/>
    <n v="-132000"/>
    <s v="(유)광주가구산업"/>
    <m/>
    <s v="인사노무자문료 1 X 120,000"/>
  </r>
  <r>
    <s v="2025-05-13"/>
    <x v="125"/>
    <s v="50009"/>
    <s v="대변"/>
    <s v="255"/>
    <s v="부가세예수금"/>
    <x v="3"/>
    <n v="0"/>
    <n v="10000"/>
    <n v="10000"/>
    <s v="현명산업주식회사"/>
    <m/>
    <s v="인사노무자문료 1 X 100,000"/>
  </r>
  <r>
    <s v="2025-05-13"/>
    <x v="125"/>
    <s v="50009"/>
    <s v="대변"/>
    <s v="401"/>
    <s v="용역매출"/>
    <x v="4"/>
    <n v="0"/>
    <n v="100000"/>
    <n v="100000"/>
    <s v="현명산업주식회사"/>
    <m/>
    <s v="인사노무자문료 1 X 100,000"/>
  </r>
  <r>
    <s v="2025-05-13"/>
    <x v="125"/>
    <s v="50009"/>
    <s v="차변"/>
    <s v="101"/>
    <s v="현금"/>
    <x v="1"/>
    <n v="110000"/>
    <n v="0"/>
    <n v="-110000"/>
    <s v="현명산업주식회사"/>
    <m/>
    <s v="인사노무자문료 1 X 100,000"/>
  </r>
  <r>
    <s v="2025-05-14"/>
    <x v="126"/>
    <s v="00001"/>
    <s v="차변"/>
    <s v="811"/>
    <s v="복리후생비(판)"/>
    <x v="8"/>
    <n v="7050"/>
    <n v="0"/>
    <n v="-7050"/>
    <s v="브레드앤케익"/>
    <m/>
    <m/>
  </r>
  <r>
    <s v="2025-05-14"/>
    <x v="126"/>
    <s v="00001"/>
    <s v="대변"/>
    <s v="101"/>
    <s v="현금"/>
    <x v="1"/>
    <n v="0"/>
    <n v="7050"/>
    <n v="7050"/>
    <s v="하나카드(4088)"/>
    <m/>
    <m/>
  </r>
  <r>
    <s v="2025-05-14"/>
    <x v="126"/>
    <s v="00002"/>
    <s v="차변"/>
    <s v="811"/>
    <s v="복리후생비(판)"/>
    <x v="8"/>
    <n v="16000"/>
    <n v="0"/>
    <n v="-16000"/>
    <s v="주식회사 울림푸드 한식뷔페 첨단 정부청사점"/>
    <m/>
    <m/>
  </r>
  <r>
    <s v="2025-05-14"/>
    <x v="126"/>
    <s v="00002"/>
    <s v="대변"/>
    <s v="101"/>
    <s v="현금"/>
    <x v="1"/>
    <n v="0"/>
    <n v="16000"/>
    <n v="16000"/>
    <s v="하나카드(4088)"/>
    <m/>
    <m/>
  </r>
  <r>
    <s v="2025-05-14"/>
    <x v="126"/>
    <s v="50001"/>
    <s v="대변"/>
    <s v="101"/>
    <s v="현금"/>
    <x v="1"/>
    <n v="0"/>
    <n v="89910"/>
    <n v="89910"/>
    <s v="국민카드(2005)"/>
    <m/>
    <m/>
  </r>
  <r>
    <s v="2025-05-14"/>
    <x v="126"/>
    <s v="50001"/>
    <s v="차변"/>
    <s v="830"/>
    <s v="소모품비(판)"/>
    <x v="6"/>
    <n v="81737"/>
    <n v="0"/>
    <n v="-81737"/>
    <s v="롯데쇼핑（주）롯데마트 수완점"/>
    <s v="  "/>
    <m/>
  </r>
  <r>
    <s v="2025-05-14"/>
    <x v="126"/>
    <s v="50001"/>
    <s v="차변"/>
    <s v="135"/>
    <s v="부가세대급금"/>
    <x v="5"/>
    <n v="8173"/>
    <n v="0"/>
    <n v="-8173"/>
    <s v="롯데쇼핑（주）롯데마트 수완점"/>
    <s v="  "/>
    <m/>
  </r>
  <r>
    <s v="2025-05-15"/>
    <x v="127"/>
    <s v="00001"/>
    <s v="차변"/>
    <s v="830"/>
    <s v="소모품비(판)"/>
    <x v="6"/>
    <n v="3400"/>
    <n v="0"/>
    <n v="-3400"/>
    <s v="세븐일레븐 광주와이어스파크점"/>
    <m/>
    <m/>
  </r>
  <r>
    <s v="2025-05-15"/>
    <x v="127"/>
    <s v="00001"/>
    <s v="대변"/>
    <s v="101"/>
    <s v="현금"/>
    <x v="1"/>
    <n v="0"/>
    <n v="3400"/>
    <n v="3400"/>
    <s v="국민카드(2005)"/>
    <m/>
    <m/>
  </r>
  <r>
    <s v="2025-05-15"/>
    <x v="127"/>
    <s v="00002"/>
    <s v="차변"/>
    <s v="830"/>
    <s v="소모품비(판)"/>
    <x v="6"/>
    <n v="4500"/>
    <n v="0"/>
    <n v="-4500"/>
    <s v="홈마트"/>
    <m/>
    <m/>
  </r>
  <r>
    <s v="2025-05-15"/>
    <x v="127"/>
    <s v="00002"/>
    <s v="대변"/>
    <s v="101"/>
    <s v="현금"/>
    <x v="1"/>
    <n v="0"/>
    <n v="4500"/>
    <n v="4500"/>
    <s v="하나카드(4088)"/>
    <m/>
    <m/>
  </r>
  <r>
    <s v="2025-05-15"/>
    <x v="127"/>
    <s v="00003"/>
    <s v="차변"/>
    <s v="812"/>
    <s v="여비교통비(판)"/>
    <x v="9"/>
    <n v="1800"/>
    <n v="0"/>
    <n v="-1800"/>
    <s v="한국정보통신 - 윌슨파킹"/>
    <m/>
    <m/>
  </r>
  <r>
    <s v="2025-05-15"/>
    <x v="127"/>
    <s v="00003"/>
    <s v="대변"/>
    <s v="101"/>
    <s v="현금"/>
    <x v="1"/>
    <n v="0"/>
    <n v="1800"/>
    <n v="1800"/>
    <s v="하나카드(4088)"/>
    <m/>
    <m/>
  </r>
  <r>
    <s v="2025-05-15"/>
    <x v="127"/>
    <s v="00004"/>
    <s v="차변"/>
    <s v="812"/>
    <s v="여비교통비(판)"/>
    <x v="9"/>
    <n v="2100"/>
    <n v="0"/>
    <n v="-2100"/>
    <s v="조선대학교"/>
    <m/>
    <m/>
  </r>
  <r>
    <s v="2025-05-15"/>
    <x v="127"/>
    <s v="00004"/>
    <s v="대변"/>
    <s v="101"/>
    <s v="현금"/>
    <x v="1"/>
    <n v="0"/>
    <n v="2100"/>
    <n v="2100"/>
    <s v="하나카드(4088)"/>
    <m/>
    <m/>
  </r>
  <r>
    <s v="2025-05-15"/>
    <x v="127"/>
    <s v="00005"/>
    <s v="차변"/>
    <s v="812"/>
    <s v="여비교통비(판)"/>
    <x v="9"/>
    <n v="5500"/>
    <n v="0"/>
    <n v="-5500"/>
    <s v="카페히어로 1호점"/>
    <m/>
    <m/>
  </r>
  <r>
    <s v="2025-05-15"/>
    <x v="127"/>
    <s v="00005"/>
    <s v="대변"/>
    <s v="101"/>
    <s v="현금"/>
    <x v="1"/>
    <n v="0"/>
    <n v="5500"/>
    <n v="5500"/>
    <s v="하나카드(4088)"/>
    <m/>
    <m/>
  </r>
  <r>
    <s v="2025-05-15"/>
    <x v="127"/>
    <s v="00006"/>
    <s v="차변"/>
    <s v="812"/>
    <s v="여비교통비(판)"/>
    <x v="9"/>
    <n v="21045"/>
    <n v="0"/>
    <n v="-21045"/>
    <s v="금성칡냉면"/>
    <m/>
    <m/>
  </r>
  <r>
    <s v="2025-05-15"/>
    <x v="127"/>
    <s v="00006"/>
    <s v="대변"/>
    <s v="101"/>
    <s v="현금"/>
    <x v="1"/>
    <n v="0"/>
    <n v="21045"/>
    <n v="21045"/>
    <s v="금성칡냉면"/>
    <m/>
    <m/>
  </r>
  <r>
    <s v="2025-05-15"/>
    <x v="127"/>
    <s v="50001"/>
    <s v="대변"/>
    <s v="255"/>
    <s v="부가세예수금"/>
    <x v="3"/>
    <n v="0"/>
    <n v="10000"/>
    <n v="10000"/>
    <s v="리.베이커리"/>
    <m/>
    <s v="인사노무자문료 1 X 100,000"/>
  </r>
  <r>
    <s v="2025-05-15"/>
    <x v="127"/>
    <s v="50001"/>
    <s v="대변"/>
    <s v="401"/>
    <s v="용역매출"/>
    <x v="4"/>
    <n v="0"/>
    <n v="100000"/>
    <n v="100000"/>
    <s v="리.베이커리"/>
    <m/>
    <s v="인사노무자문료 1 X 100,000"/>
  </r>
  <r>
    <s v="2025-05-15"/>
    <x v="127"/>
    <s v="50001"/>
    <s v="차변"/>
    <s v="101"/>
    <s v="현금"/>
    <x v="1"/>
    <n v="110000"/>
    <n v="0"/>
    <n v="-110000"/>
    <s v="리.베이커리"/>
    <m/>
    <s v="인사노무자문료 1 X 100,000"/>
  </r>
  <r>
    <s v="2025-05-15"/>
    <x v="127"/>
    <s v="50002"/>
    <s v="대변"/>
    <s v="255"/>
    <s v="부가세예수금"/>
    <x v="3"/>
    <n v="0"/>
    <n v="10000"/>
    <n v="10000"/>
    <s v="(주)커피볶는집"/>
    <m/>
    <s v="인사노무자문료 1 X 100,000"/>
  </r>
  <r>
    <s v="2025-05-15"/>
    <x v="127"/>
    <s v="50002"/>
    <s v="대변"/>
    <s v="401"/>
    <s v="용역매출"/>
    <x v="4"/>
    <n v="0"/>
    <n v="100000"/>
    <n v="100000"/>
    <s v="(주)커피볶는집"/>
    <m/>
    <s v="인사노무자문료 1 X 100,000"/>
  </r>
  <r>
    <s v="2025-05-15"/>
    <x v="127"/>
    <s v="50002"/>
    <s v="차변"/>
    <s v="101"/>
    <s v="현금"/>
    <x v="1"/>
    <n v="110000"/>
    <n v="0"/>
    <n v="-110000"/>
    <s v="(주)커피볶는집"/>
    <m/>
    <s v="인사노무자문료 1 X 100,000"/>
  </r>
  <r>
    <s v="2025-05-16"/>
    <x v="128"/>
    <s v="00001"/>
    <s v="차변"/>
    <s v="812"/>
    <s v="여비교통비(판)"/>
    <x v="9"/>
    <n v="2000"/>
    <n v="0"/>
    <n v="-2000"/>
    <s v="메가엠지씨커피 광주월남호반점"/>
    <m/>
    <m/>
  </r>
  <r>
    <s v="2025-05-16"/>
    <x v="128"/>
    <s v="00001"/>
    <s v="대변"/>
    <s v="101"/>
    <s v="현금"/>
    <x v="1"/>
    <n v="0"/>
    <n v="2000"/>
    <n v="2000"/>
    <s v="하나카드(4088)"/>
    <m/>
    <m/>
  </r>
  <r>
    <s v="2025-05-16"/>
    <x v="128"/>
    <s v="00002"/>
    <s v="차변"/>
    <s v="812"/>
    <s v="여비교통비(판)"/>
    <x v="9"/>
    <n v="1700"/>
    <n v="0"/>
    <n v="-1700"/>
    <s v="대보유통(주) 부안(목포)휴게소"/>
    <m/>
    <m/>
  </r>
  <r>
    <s v="2025-05-16"/>
    <x v="128"/>
    <s v="00002"/>
    <s v="대변"/>
    <s v="101"/>
    <s v="현금"/>
    <x v="1"/>
    <n v="0"/>
    <n v="1700"/>
    <n v="1700"/>
    <s v="하나카드(4088)"/>
    <m/>
    <m/>
  </r>
  <r>
    <s v="2025-05-16"/>
    <x v="128"/>
    <s v="00003"/>
    <s v="차변"/>
    <s v="812"/>
    <s v="여비교통비(판)"/>
    <x v="9"/>
    <n v="9000"/>
    <n v="0"/>
    <n v="-9000"/>
    <s v="고향국밥"/>
    <m/>
    <m/>
  </r>
  <r>
    <s v="2025-05-16"/>
    <x v="128"/>
    <s v="00003"/>
    <s v="대변"/>
    <s v="101"/>
    <s v="현금"/>
    <x v="1"/>
    <n v="0"/>
    <n v="9000"/>
    <n v="9000"/>
    <s v="하나카드(4088)"/>
    <m/>
    <m/>
  </r>
  <r>
    <s v="2025-05-16"/>
    <x v="128"/>
    <s v="50001"/>
    <s v="대변"/>
    <s v="255"/>
    <s v="부가세예수금"/>
    <x v="3"/>
    <n v="0"/>
    <n v="6000"/>
    <n v="6000"/>
    <s v="이마트24광주농성점"/>
    <m/>
    <s v="인사노무자문료 1 X 60,000"/>
  </r>
  <r>
    <s v="2025-05-16"/>
    <x v="128"/>
    <s v="50001"/>
    <s v="대변"/>
    <s v="401"/>
    <s v="용역매출"/>
    <x v="4"/>
    <n v="0"/>
    <n v="60000"/>
    <n v="60000"/>
    <s v="이마트24광주농성점"/>
    <m/>
    <s v="인사노무자문료 1 X 60,000"/>
  </r>
  <r>
    <s v="2025-05-16"/>
    <x v="128"/>
    <s v="50001"/>
    <s v="차변"/>
    <s v="101"/>
    <s v="현금"/>
    <x v="1"/>
    <n v="66000"/>
    <n v="0"/>
    <n v="-66000"/>
    <s v="이마트24광주농성점"/>
    <m/>
    <s v="인사노무자문료 1 X 60,000"/>
  </r>
  <r>
    <s v="2025-05-16"/>
    <x v="128"/>
    <s v="50002"/>
    <s v="대변"/>
    <s v="255"/>
    <s v="부가세예수금"/>
    <x v="3"/>
    <n v="0"/>
    <n v="13637"/>
    <n v="13637"/>
    <s v="주식회사 청경"/>
    <m/>
    <s v="인사노무자문료 1 X 136,363"/>
  </r>
  <r>
    <s v="2025-05-16"/>
    <x v="128"/>
    <s v="50002"/>
    <s v="대변"/>
    <s v="401"/>
    <s v="용역매출"/>
    <x v="4"/>
    <n v="0"/>
    <n v="136363"/>
    <n v="136363"/>
    <s v="주식회사 청경"/>
    <m/>
    <s v="인사노무자문료 1 X 136,363"/>
  </r>
  <r>
    <s v="2025-05-16"/>
    <x v="128"/>
    <s v="50002"/>
    <s v="차변"/>
    <s v="101"/>
    <s v="현금"/>
    <x v="1"/>
    <n v="150000"/>
    <n v="0"/>
    <n v="-150000"/>
    <s v="주식회사 청경"/>
    <m/>
    <s v="인사노무자문료 1 X 136,363"/>
  </r>
  <r>
    <s v="2025-05-17"/>
    <x v="129"/>
    <s v="50001"/>
    <s v="차변"/>
    <s v="135"/>
    <s v="부가세대급금"/>
    <x v="5"/>
    <n v="12027"/>
    <n v="0"/>
    <n v="-12027"/>
    <s v="롯데쇼핑(주)롯데아울렛광주수완점 오가"/>
    <m/>
    <m/>
  </r>
  <r>
    <s v="2025-05-17"/>
    <x v="129"/>
    <s v="50001"/>
    <s v="차변"/>
    <s v="830"/>
    <s v="소모품비(판)"/>
    <x v="6"/>
    <n v="120273"/>
    <n v="0"/>
    <n v="-120273"/>
    <s v="롯데쇼핑(주)롯데아울렛광주수완점 오가"/>
    <m/>
    <m/>
  </r>
  <r>
    <s v="2025-05-17"/>
    <x v="129"/>
    <s v="50001"/>
    <s v="대변"/>
    <s v="101"/>
    <s v="현금"/>
    <x v="1"/>
    <n v="0"/>
    <n v="132300"/>
    <n v="132300"/>
    <s v="국민카드(2005)"/>
    <m/>
    <m/>
  </r>
  <r>
    <s v="2025-05-18"/>
    <x v="130"/>
    <s v="00001"/>
    <s v="차변"/>
    <s v="811"/>
    <s v="복리후생비(판)"/>
    <x v="8"/>
    <n v="66000"/>
    <n v="0"/>
    <n v="-66000"/>
    <s v="그린하우스"/>
    <m/>
    <m/>
  </r>
  <r>
    <s v="2025-05-18"/>
    <x v="130"/>
    <s v="00001"/>
    <s v="대변"/>
    <s v="101"/>
    <s v="현금"/>
    <x v="1"/>
    <n v="0"/>
    <n v="66000"/>
    <n v="66000"/>
    <s v="농협카드(6215)"/>
    <m/>
    <m/>
  </r>
  <r>
    <s v="2025-05-18"/>
    <x v="130"/>
    <s v="00002"/>
    <s v="차변"/>
    <s v="830"/>
    <s v="소모품비(판)"/>
    <x v="6"/>
    <n v="1300"/>
    <n v="0"/>
    <n v="-1300"/>
    <s v="KCP - ( 주 ) 위메프"/>
    <m/>
    <m/>
  </r>
  <r>
    <s v="2025-05-18"/>
    <x v="130"/>
    <s v="00002"/>
    <s v="대변"/>
    <s v="101"/>
    <s v="현금"/>
    <x v="1"/>
    <n v="0"/>
    <n v="1300"/>
    <n v="1300"/>
    <s v="하나카드(4088)"/>
    <m/>
    <m/>
  </r>
  <r>
    <s v="2025-05-18"/>
    <x v="130"/>
    <s v="00003"/>
    <s v="차변"/>
    <s v="812"/>
    <s v="여비교통비(판)"/>
    <x v="9"/>
    <n v="3500"/>
    <n v="0"/>
    <n v="-3500"/>
    <s v="대보유통(주) 부안(서울)휴게소"/>
    <m/>
    <m/>
  </r>
  <r>
    <s v="2025-05-18"/>
    <x v="130"/>
    <s v="00003"/>
    <s v="대변"/>
    <s v="101"/>
    <s v="현금"/>
    <x v="1"/>
    <n v="0"/>
    <n v="3500"/>
    <n v="3500"/>
    <s v="현대카드(4817)"/>
    <m/>
    <m/>
  </r>
  <r>
    <s v="2025-05-18"/>
    <x v="130"/>
    <s v="00004"/>
    <s v="차변"/>
    <s v="812"/>
    <s v="여비교통비(판)"/>
    <x v="9"/>
    <n v="3600"/>
    <n v="0"/>
    <n v="-3600"/>
    <s v="한국정보통신 - 윌슨파킹"/>
    <m/>
    <m/>
  </r>
  <r>
    <s v="2025-05-18"/>
    <x v="130"/>
    <s v="00004"/>
    <s v="대변"/>
    <s v="101"/>
    <s v="현금"/>
    <x v="1"/>
    <n v="0"/>
    <n v="3600"/>
    <n v="3600"/>
    <s v="하나카드(4088)"/>
    <m/>
    <m/>
  </r>
  <r>
    <s v="2025-05-18"/>
    <x v="130"/>
    <s v="00005"/>
    <s v="차변"/>
    <s v="831"/>
    <s v="지급수수료(판)"/>
    <x v="7"/>
    <n v="6000"/>
    <n v="0"/>
    <n v="-6000"/>
    <s v="한국신용카드결제(주)"/>
    <m/>
    <m/>
  </r>
  <r>
    <s v="2025-05-18"/>
    <x v="130"/>
    <s v="00005"/>
    <s v="대변"/>
    <s v="101"/>
    <s v="현금"/>
    <x v="1"/>
    <n v="0"/>
    <n v="6000"/>
    <n v="6000"/>
    <s v="하나카드(4088)"/>
    <m/>
    <m/>
  </r>
  <r>
    <s v="2025-05-19"/>
    <x v="131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5-19"/>
    <x v="131"/>
    <s v="00001"/>
    <s v="대변"/>
    <s v="101"/>
    <s v="현금"/>
    <x v="1"/>
    <n v="0"/>
    <n v="16000"/>
    <n v="16000"/>
    <s v="하나카드(4088)"/>
    <m/>
    <m/>
  </r>
  <r>
    <s v="2025-05-20"/>
    <x v="132"/>
    <s v="00001"/>
    <s v="차변"/>
    <s v="830"/>
    <s v="소모품비(판)"/>
    <x v="6"/>
    <n v="12980"/>
    <n v="0"/>
    <n v="-12980"/>
    <s v="골목시장SM마트"/>
    <m/>
    <m/>
  </r>
  <r>
    <s v="2025-05-20"/>
    <x v="132"/>
    <s v="00001"/>
    <s v="대변"/>
    <s v="101"/>
    <s v="현금"/>
    <x v="1"/>
    <n v="0"/>
    <n v="12980"/>
    <n v="12980"/>
    <s v="현대카드(4817)"/>
    <m/>
    <m/>
  </r>
  <r>
    <s v="2025-05-20"/>
    <x v="132"/>
    <s v="00002"/>
    <s v="대변"/>
    <s v="101"/>
    <s v="현금"/>
    <x v="1"/>
    <n v="0"/>
    <n v="24130"/>
    <n v="24130"/>
    <s v="국민카드(2005)"/>
    <m/>
    <m/>
  </r>
  <r>
    <s v="2025-05-20"/>
    <x v="132"/>
    <s v="00002"/>
    <s v="차변"/>
    <s v="831"/>
    <s v="지급수수료(판)"/>
    <x v="7"/>
    <n v="24130"/>
    <n v="0"/>
    <n v="-24130"/>
    <s v="코웨이(주）"/>
    <m/>
    <m/>
  </r>
  <r>
    <s v="2025-05-20"/>
    <x v="132"/>
    <s v="00003"/>
    <s v="대변"/>
    <s v="101"/>
    <s v="현금"/>
    <x v="1"/>
    <n v="0"/>
    <n v="42650"/>
    <n v="42650"/>
    <s v="국민카드(2005)"/>
    <m/>
    <m/>
  </r>
  <r>
    <s v="2025-05-20"/>
    <x v="132"/>
    <s v="00003"/>
    <s v="차변"/>
    <s v="831"/>
    <s v="지급수수료(판)"/>
    <x v="7"/>
    <n v="42650"/>
    <n v="0"/>
    <n v="-42650"/>
    <s v="코웨이(주）"/>
    <m/>
    <m/>
  </r>
  <r>
    <s v="2025-05-20"/>
    <x v="132"/>
    <s v="50001"/>
    <s v="대변"/>
    <s v="255"/>
    <s v="부가세예수금"/>
    <x v="3"/>
    <n v="0"/>
    <n v="10000"/>
    <n v="10000"/>
    <s v="주식회사 동양금속"/>
    <m/>
    <s v="인사노무자문료 1 X 100,000"/>
  </r>
  <r>
    <s v="2025-05-20"/>
    <x v="132"/>
    <s v="50001"/>
    <s v="대변"/>
    <s v="401"/>
    <s v="용역매출"/>
    <x v="4"/>
    <n v="0"/>
    <n v="100000"/>
    <n v="100000"/>
    <s v="주식회사 동양금속"/>
    <m/>
    <s v="인사노무자문료 1 X 100,000"/>
  </r>
  <r>
    <s v="2025-05-20"/>
    <x v="132"/>
    <s v="50001"/>
    <s v="차변"/>
    <s v="101"/>
    <s v="현금"/>
    <x v="1"/>
    <n v="110000"/>
    <n v="0"/>
    <n v="-110000"/>
    <s v="주식회사 동양금속"/>
    <m/>
    <s v="인사노무자문료 1 X 100,000"/>
  </r>
  <r>
    <s v="2025-05-20"/>
    <x v="132"/>
    <s v="50002"/>
    <s v="대변"/>
    <s v="255"/>
    <s v="부가세예수금"/>
    <x v="3"/>
    <n v="0"/>
    <n v="15000"/>
    <n v="15000"/>
    <s v="최원호병원"/>
    <m/>
    <s v="인사노무자문료 1 X 150,000"/>
  </r>
  <r>
    <s v="2025-05-20"/>
    <x v="132"/>
    <s v="50002"/>
    <s v="대변"/>
    <s v="401"/>
    <s v="용역매출"/>
    <x v="4"/>
    <n v="0"/>
    <n v="150000"/>
    <n v="150000"/>
    <s v="최원호병원"/>
    <m/>
    <s v="인사노무자문료 1 X 150,000"/>
  </r>
  <r>
    <s v="2025-05-20"/>
    <x v="132"/>
    <s v="50002"/>
    <s v="차변"/>
    <s v="101"/>
    <s v="현금"/>
    <x v="1"/>
    <n v="165000"/>
    <n v="0"/>
    <n v="-165000"/>
    <s v="최원호병원"/>
    <m/>
    <s v="인사노무자문료 1 X 150,000"/>
  </r>
  <r>
    <s v="2025-05-20"/>
    <x v="132"/>
    <s v="50003"/>
    <s v="대변"/>
    <s v="255"/>
    <s v="부가세예수금"/>
    <x v="3"/>
    <n v="0"/>
    <n v="10000"/>
    <n v="10000"/>
    <s v="(주)중동텍스타일"/>
    <m/>
    <s v="인사노무자문료 1 X 100,000"/>
  </r>
  <r>
    <s v="2025-05-20"/>
    <x v="132"/>
    <s v="50003"/>
    <s v="대변"/>
    <s v="401"/>
    <s v="용역매출"/>
    <x v="4"/>
    <n v="0"/>
    <n v="100000"/>
    <n v="100000"/>
    <s v="(주)중동텍스타일"/>
    <m/>
    <s v="인사노무자문료 1 X 100,000"/>
  </r>
  <r>
    <s v="2025-05-20"/>
    <x v="132"/>
    <s v="50003"/>
    <s v="차변"/>
    <s v="101"/>
    <s v="현금"/>
    <x v="1"/>
    <n v="110000"/>
    <n v="0"/>
    <n v="-110000"/>
    <s v="(주)중동텍스타일"/>
    <m/>
    <s v="인사노무자문료 1 X 100,000"/>
  </r>
  <r>
    <s v="2025-05-20"/>
    <x v="132"/>
    <s v="50004"/>
    <s v="차변"/>
    <s v="837"/>
    <s v="건물관리비(판)"/>
    <x v="16"/>
    <n v="157780"/>
    <n v="0"/>
    <n v="-157780"/>
    <s v="와이어스파크 지식산업센터 관리위원회"/>
    <m/>
    <s v="2동2205호"/>
  </r>
  <r>
    <s v="2025-05-20"/>
    <x v="132"/>
    <s v="50004"/>
    <s v="대변"/>
    <s v="101"/>
    <s v="현금"/>
    <x v="1"/>
    <n v="0"/>
    <n v="157780"/>
    <n v="157780"/>
    <s v="와이어스파크 지식산업센터 관리위원회"/>
    <m/>
    <s v="2동2205호"/>
  </r>
  <r>
    <s v="2025-05-21"/>
    <x v="133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5-21"/>
    <x v="133"/>
    <s v="00001"/>
    <s v="대변"/>
    <s v="101"/>
    <s v="현금"/>
    <x v="1"/>
    <n v="0"/>
    <n v="16000"/>
    <n v="16000"/>
    <s v="하나카드(4088)"/>
    <m/>
    <m/>
  </r>
  <r>
    <s v="2025-05-21"/>
    <x v="133"/>
    <s v="50001"/>
    <s v="대변"/>
    <s v="255"/>
    <s v="부가세예수금"/>
    <x v="3"/>
    <n v="0"/>
    <n v="15000"/>
    <n v="15000"/>
    <s v="월간맥주수완점"/>
    <m/>
    <s v="인사노무자문료 1 X 150,000"/>
  </r>
  <r>
    <s v="2025-05-21"/>
    <x v="133"/>
    <s v="50001"/>
    <s v="대변"/>
    <s v="401"/>
    <s v="용역매출"/>
    <x v="4"/>
    <n v="0"/>
    <n v="150000"/>
    <n v="150000"/>
    <s v="월간맥주수완점"/>
    <m/>
    <s v="인사노무자문료 1 X 150,000"/>
  </r>
  <r>
    <s v="2025-05-21"/>
    <x v="133"/>
    <s v="50001"/>
    <s v="차변"/>
    <s v="101"/>
    <s v="현금"/>
    <x v="1"/>
    <n v="165000"/>
    <n v="0"/>
    <n v="-165000"/>
    <s v="월간맥주수완점"/>
    <m/>
    <s v="인사노무자문료 1 X 150,000"/>
  </r>
  <r>
    <s v="2025-05-21"/>
    <x v="133"/>
    <s v="50002"/>
    <s v="대변"/>
    <s v="255"/>
    <s v="부가세예수금"/>
    <x v="3"/>
    <n v="0"/>
    <n v="20000"/>
    <n v="20000"/>
    <s v="(주)유토피아코리아"/>
    <m/>
    <s v="인사노무자문료 1 X 200,000"/>
  </r>
  <r>
    <s v="2025-05-21"/>
    <x v="133"/>
    <s v="50002"/>
    <s v="대변"/>
    <s v="401"/>
    <s v="용역매출"/>
    <x v="4"/>
    <n v="0"/>
    <n v="200000"/>
    <n v="200000"/>
    <s v="(주)유토피아코리아"/>
    <m/>
    <s v="인사노무자문료 1 X 200,000"/>
  </r>
  <r>
    <s v="2025-05-21"/>
    <x v="133"/>
    <s v="50002"/>
    <s v="차변"/>
    <s v="101"/>
    <s v="현금"/>
    <x v="1"/>
    <n v="220000"/>
    <n v="0"/>
    <n v="-220000"/>
    <s v="(주)유토피아코리아"/>
    <m/>
    <s v="인사노무자문료 1 X 200,000"/>
  </r>
  <r>
    <s v="2025-05-21"/>
    <x v="133"/>
    <s v="50003"/>
    <s v="대변"/>
    <s v="255"/>
    <s v="부가세예수금"/>
    <x v="3"/>
    <n v="0"/>
    <n v="10000"/>
    <n v="10000"/>
    <s v="주식화사 광원이엔지"/>
    <m/>
    <s v="인사노무자문료 1 X 100,000"/>
  </r>
  <r>
    <s v="2025-05-21"/>
    <x v="133"/>
    <s v="50003"/>
    <s v="대변"/>
    <s v="401"/>
    <s v="용역매출"/>
    <x v="4"/>
    <n v="0"/>
    <n v="100000"/>
    <n v="100000"/>
    <s v="주식화사 광원이엔지"/>
    <m/>
    <s v="인사노무자문료 1 X 100,000"/>
  </r>
  <r>
    <s v="2025-05-21"/>
    <x v="133"/>
    <s v="50003"/>
    <s v="차변"/>
    <s v="101"/>
    <s v="현금"/>
    <x v="1"/>
    <n v="110000"/>
    <n v="0"/>
    <n v="-110000"/>
    <s v="주식화사 광원이엔지"/>
    <m/>
    <s v="인사노무자문료 1 X 100,000"/>
  </r>
  <r>
    <s v="2025-05-22"/>
    <x v="134"/>
    <s v="00001"/>
    <s v="차변"/>
    <s v="830"/>
    <s v="소모품비(판)"/>
    <x v="6"/>
    <n v="15420"/>
    <n v="0"/>
    <n v="-15420"/>
    <s v="KCP - ( 주 ) 위메프"/>
    <m/>
    <m/>
  </r>
  <r>
    <s v="2025-05-22"/>
    <x v="134"/>
    <s v="00001"/>
    <s v="대변"/>
    <s v="101"/>
    <s v="현금"/>
    <x v="1"/>
    <n v="0"/>
    <n v="15420"/>
    <n v="15420"/>
    <s v="현대카드(4817)"/>
    <m/>
    <m/>
  </r>
  <r>
    <s v="2025-05-22"/>
    <x v="134"/>
    <s v="00002"/>
    <s v="차변"/>
    <s v="830"/>
    <s v="소모품비(판)"/>
    <x v="6"/>
    <n v="18120"/>
    <n v="0"/>
    <n v="-18120"/>
    <s v="KCP - ( 주 ) 위메프"/>
    <m/>
    <m/>
  </r>
  <r>
    <s v="2025-05-22"/>
    <x v="134"/>
    <s v="00002"/>
    <s v="대변"/>
    <s v="101"/>
    <s v="현금"/>
    <x v="1"/>
    <n v="0"/>
    <n v="18120"/>
    <n v="18120"/>
    <s v="현대카드(4817)"/>
    <m/>
    <m/>
  </r>
  <r>
    <s v="2025-05-22"/>
    <x v="134"/>
    <s v="00003"/>
    <s v="차변"/>
    <s v="830"/>
    <s v="소모품비(판)"/>
    <x v="6"/>
    <n v="25340"/>
    <n v="0"/>
    <n v="-25340"/>
    <s v="KCP - ( 주 ) 위메프"/>
    <m/>
    <m/>
  </r>
  <r>
    <s v="2025-05-22"/>
    <x v="134"/>
    <s v="00003"/>
    <s v="대변"/>
    <s v="101"/>
    <s v="현금"/>
    <x v="1"/>
    <n v="0"/>
    <n v="25340"/>
    <n v="25340"/>
    <s v="현대카드(4817)"/>
    <m/>
    <m/>
  </r>
  <r>
    <s v="2025-05-22"/>
    <x v="134"/>
    <s v="00004"/>
    <s v="대변"/>
    <s v="101"/>
    <s v="현금"/>
    <x v="1"/>
    <n v="0"/>
    <n v="5540"/>
    <n v="5540"/>
    <s v="농협카드(6215)"/>
    <m/>
    <m/>
  </r>
  <r>
    <s v="2025-05-22"/>
    <x v="134"/>
    <s v="00004"/>
    <s v="차변"/>
    <s v="824"/>
    <s v="운반비(판)"/>
    <x v="15"/>
    <n v="5540"/>
    <n v="0"/>
    <n v="-5540"/>
    <s v="우정사업본부광주"/>
    <m/>
    <m/>
  </r>
  <r>
    <s v="2025-05-22"/>
    <x v="134"/>
    <s v="00005"/>
    <s v="차변"/>
    <s v="822"/>
    <s v="차량유지비(판)"/>
    <x v="11"/>
    <n v="30000"/>
    <n v="0"/>
    <n v="-30000"/>
    <s v="（유）금성물류 광주지점"/>
    <m/>
    <m/>
  </r>
  <r>
    <s v="2025-05-22"/>
    <x v="134"/>
    <s v="00005"/>
    <s v="대변"/>
    <s v="101"/>
    <s v="현금"/>
    <x v="1"/>
    <n v="0"/>
    <n v="30000"/>
    <n v="30000"/>
    <s v="현대카드(4817)"/>
    <m/>
    <m/>
  </r>
  <r>
    <s v="2025-05-23"/>
    <x v="135"/>
    <s v="00001"/>
    <s v="차변"/>
    <s v="811"/>
    <s v="복리후생비(판)"/>
    <x v="8"/>
    <n v="3500"/>
    <n v="0"/>
    <n v="-3500"/>
    <s v="오라봉국수"/>
    <m/>
    <m/>
  </r>
  <r>
    <s v="2025-05-23"/>
    <x v="135"/>
    <s v="00001"/>
    <s v="대변"/>
    <s v="101"/>
    <s v="현금"/>
    <x v="1"/>
    <n v="0"/>
    <n v="3500"/>
    <n v="3500"/>
    <s v="하나카드(4088)"/>
    <m/>
    <m/>
  </r>
  <r>
    <s v="2025-05-23"/>
    <x v="135"/>
    <s v="00002"/>
    <s v="차변"/>
    <s v="812"/>
    <s v="여비교통비(판)"/>
    <x v="9"/>
    <n v="6300"/>
    <n v="0"/>
    <n v="-6300"/>
    <s v="더벤티 광주첨단병원점"/>
    <m/>
    <m/>
  </r>
  <r>
    <s v="2025-05-23"/>
    <x v="135"/>
    <s v="00002"/>
    <s v="대변"/>
    <s v="101"/>
    <s v="현금"/>
    <x v="1"/>
    <n v="0"/>
    <n v="6300"/>
    <n v="6300"/>
    <s v="하나카드(4088)"/>
    <m/>
    <m/>
  </r>
  <r>
    <s v="2025-05-23"/>
    <x v="135"/>
    <s v="00003"/>
    <s v="대변"/>
    <s v="101"/>
    <s v="현금"/>
    <x v="1"/>
    <n v="0"/>
    <n v="4000"/>
    <n v="4000"/>
    <s v="하나카드(4088)"/>
    <m/>
    <m/>
  </r>
  <r>
    <s v="2025-05-23"/>
    <x v="135"/>
    <s v="00003"/>
    <s v="차변"/>
    <s v="812"/>
    <s v="여비교통비(판)"/>
    <x v="9"/>
    <n v="4000"/>
    <n v="0"/>
    <n v="-4000"/>
    <s v="주식회사 성후"/>
    <m/>
    <m/>
  </r>
  <r>
    <s v="2025-05-23"/>
    <x v="135"/>
    <s v="00004"/>
    <s v="차변"/>
    <s v="813"/>
    <s v="접대비(기업업무추진비)(판)"/>
    <x v="0"/>
    <n v="65000"/>
    <n v="0"/>
    <n v="-65000"/>
    <s v="돌쇠네 식육식당"/>
    <s v="02"/>
    <s v="거래처 접대비(기업업무추진비)/신용카드(개인)"/>
  </r>
  <r>
    <s v="2025-05-23"/>
    <x v="135"/>
    <s v="00004"/>
    <s v="대변"/>
    <s v="101"/>
    <s v="현금"/>
    <x v="1"/>
    <n v="0"/>
    <n v="65000"/>
    <n v="65000"/>
    <s v="하나카드(4088)"/>
    <m/>
    <m/>
  </r>
  <r>
    <s v="2025-05-23"/>
    <x v="135"/>
    <s v="00005"/>
    <s v="차변"/>
    <s v="811"/>
    <s v="복리후생비(판)"/>
    <x v="8"/>
    <n v="23900"/>
    <n v="0"/>
    <n v="-23900"/>
    <s v="굽네치킨(첨단중앙점)"/>
    <m/>
    <m/>
  </r>
  <r>
    <s v="2025-05-23"/>
    <x v="135"/>
    <s v="00005"/>
    <s v="대변"/>
    <s v="101"/>
    <s v="현금"/>
    <x v="1"/>
    <n v="0"/>
    <n v="23900"/>
    <n v="23900"/>
    <s v="굽네치킨(첨단중앙점)"/>
    <m/>
    <m/>
  </r>
  <r>
    <s v="2025-05-23"/>
    <x v="135"/>
    <s v="50001"/>
    <s v="대변"/>
    <s v="255"/>
    <s v="부가세예수금"/>
    <x v="3"/>
    <n v="0"/>
    <n v="7000"/>
    <n v="7000"/>
    <s v="하서방해물칼국수"/>
    <m/>
    <s v="인사노무자문료 1 X 70,000"/>
  </r>
  <r>
    <s v="2025-05-23"/>
    <x v="135"/>
    <s v="50001"/>
    <s v="대변"/>
    <s v="401"/>
    <s v="용역매출"/>
    <x v="4"/>
    <n v="0"/>
    <n v="70000"/>
    <n v="70000"/>
    <s v="하서방해물칼국수"/>
    <m/>
    <s v="인사노무자문료 1 X 70,000"/>
  </r>
  <r>
    <s v="2025-05-23"/>
    <x v="135"/>
    <s v="50001"/>
    <s v="차변"/>
    <s v="101"/>
    <s v="현금"/>
    <x v="1"/>
    <n v="77000"/>
    <n v="0"/>
    <n v="-77000"/>
    <s v="하서방해물칼국수"/>
    <m/>
    <s v="인사노무자문료 1 X 70,000"/>
  </r>
  <r>
    <s v="2025-05-24"/>
    <x v="136"/>
    <s v="00001"/>
    <s v="차변"/>
    <s v="811"/>
    <s v="복리후생비(판)"/>
    <x v="8"/>
    <n v="27260"/>
    <n v="0"/>
    <n v="-27260"/>
    <s v="유한회사 빅푸드식자재"/>
    <m/>
    <m/>
  </r>
  <r>
    <s v="2025-05-24"/>
    <x v="136"/>
    <s v="00001"/>
    <s v="대변"/>
    <s v="101"/>
    <s v="현금"/>
    <x v="1"/>
    <n v="0"/>
    <n v="27260"/>
    <n v="27260"/>
    <s v="현대카드(4817)"/>
    <m/>
    <m/>
  </r>
  <r>
    <s v="2025-05-24"/>
    <x v="136"/>
    <s v="00002"/>
    <s v="차변"/>
    <s v="830"/>
    <s v="소모품비(판)"/>
    <x v="6"/>
    <n v="2200"/>
    <n v="0"/>
    <n v="-2200"/>
    <s v="지에스(GS)25 첨단성원점"/>
    <m/>
    <m/>
  </r>
  <r>
    <s v="2025-05-24"/>
    <x v="136"/>
    <s v="00002"/>
    <s v="대변"/>
    <s v="101"/>
    <s v="현금"/>
    <x v="1"/>
    <n v="0"/>
    <n v="2200"/>
    <n v="2200"/>
    <s v="하나카드(4088)"/>
    <m/>
    <m/>
  </r>
  <r>
    <s v="2025-05-24"/>
    <x v="136"/>
    <s v="00003"/>
    <s v="차변"/>
    <s v="830"/>
    <s v="소모품비(판)"/>
    <x v="6"/>
    <n v="7600"/>
    <n v="0"/>
    <n v="-7600"/>
    <s v="햇살마트"/>
    <m/>
    <m/>
  </r>
  <r>
    <s v="2025-05-24"/>
    <x v="136"/>
    <s v="00003"/>
    <s v="대변"/>
    <s v="101"/>
    <s v="현금"/>
    <x v="1"/>
    <n v="0"/>
    <n v="7600"/>
    <n v="7600"/>
    <s v="현대카드(4817)"/>
    <m/>
    <m/>
  </r>
  <r>
    <s v="2025-05-24"/>
    <x v="136"/>
    <s v="00004"/>
    <s v="차변"/>
    <s v="812"/>
    <s v="여비교통비(판)"/>
    <x v="9"/>
    <n v="1800"/>
    <n v="0"/>
    <n v="-1800"/>
    <s v="사단법인 양동공영주차장관리위원회"/>
    <m/>
    <m/>
  </r>
  <r>
    <s v="2025-05-24"/>
    <x v="136"/>
    <s v="00004"/>
    <s v="대변"/>
    <s v="101"/>
    <s v="현금"/>
    <x v="1"/>
    <n v="0"/>
    <n v="1800"/>
    <n v="1800"/>
    <s v="하나카드(4088)"/>
    <m/>
    <m/>
  </r>
  <r>
    <s v="2025-05-24"/>
    <x v="136"/>
    <s v="00005"/>
    <s v="차변"/>
    <s v="812"/>
    <s v="여비교통비(판)"/>
    <x v="9"/>
    <n v="1800"/>
    <n v="0"/>
    <n v="-1800"/>
    <s v="한국정보통신 - 윌슨파킹"/>
    <m/>
    <m/>
  </r>
  <r>
    <s v="2025-05-24"/>
    <x v="136"/>
    <s v="00005"/>
    <s v="대변"/>
    <s v="101"/>
    <s v="현금"/>
    <x v="1"/>
    <n v="0"/>
    <n v="1800"/>
    <n v="1800"/>
    <s v="하나카드(4088)"/>
    <m/>
    <m/>
  </r>
  <r>
    <s v="2025-05-24"/>
    <x v="136"/>
    <s v="00006"/>
    <s v="차변"/>
    <s v="812"/>
    <s v="여비교통비(판)"/>
    <x v="9"/>
    <n v="3600"/>
    <n v="0"/>
    <n v="-3600"/>
    <s v="한국정보통신 - 윌슨파킹"/>
    <m/>
    <m/>
  </r>
  <r>
    <s v="2025-05-24"/>
    <x v="136"/>
    <s v="00006"/>
    <s v="대변"/>
    <s v="101"/>
    <s v="현금"/>
    <x v="1"/>
    <n v="0"/>
    <n v="3600"/>
    <n v="3600"/>
    <s v="하나카드(4088)"/>
    <m/>
    <m/>
  </r>
  <r>
    <s v="2025-05-24"/>
    <x v="136"/>
    <s v="00007"/>
    <s v="차변"/>
    <s v="822"/>
    <s v="차량유지비(판)"/>
    <x v="11"/>
    <n v="50000"/>
    <n v="0"/>
    <n v="-50000"/>
    <s v="지에스칼텍스（주）용봉천주유소"/>
    <m/>
    <m/>
  </r>
  <r>
    <s v="2025-05-24"/>
    <x v="136"/>
    <s v="00007"/>
    <s v="대변"/>
    <s v="101"/>
    <s v="현금"/>
    <x v="1"/>
    <n v="0"/>
    <n v="50000"/>
    <n v="50000"/>
    <s v="현대카드(4817)"/>
    <m/>
    <m/>
  </r>
  <r>
    <s v="2025-05-24"/>
    <x v="136"/>
    <s v="00008"/>
    <s v="차변"/>
    <s v="822"/>
    <s v="차량유지비(판)"/>
    <x v="11"/>
    <n v="77000"/>
    <n v="0"/>
    <n v="-77000"/>
    <s v="삼진자동차정비"/>
    <m/>
    <m/>
  </r>
  <r>
    <s v="2025-05-24"/>
    <x v="136"/>
    <s v="00008"/>
    <s v="대변"/>
    <s v="101"/>
    <s v="현금"/>
    <x v="1"/>
    <n v="0"/>
    <n v="77000"/>
    <n v="77000"/>
    <s v="현대카드(4817)"/>
    <m/>
    <m/>
  </r>
  <r>
    <s v="2025-05-25"/>
    <x v="137"/>
    <s v="00001"/>
    <s v="차변"/>
    <s v="811"/>
    <s v="복리후생비(판)"/>
    <x v="8"/>
    <n v="32000"/>
    <n v="0"/>
    <n v="-32000"/>
    <s v="그린하우스"/>
    <m/>
    <m/>
  </r>
  <r>
    <s v="2025-05-25"/>
    <x v="137"/>
    <s v="00001"/>
    <s v="대변"/>
    <s v="101"/>
    <s v="현금"/>
    <x v="1"/>
    <n v="0"/>
    <n v="32000"/>
    <n v="32000"/>
    <s v="현대카드(4817)"/>
    <m/>
    <m/>
  </r>
  <r>
    <s v="2025-05-25"/>
    <x v="137"/>
    <s v="00002"/>
    <s v="차변"/>
    <s v="830"/>
    <s v="소모품비(판)"/>
    <x v="6"/>
    <n v="7000"/>
    <n v="0"/>
    <n v="-7000"/>
    <s v="홈마트"/>
    <m/>
    <m/>
  </r>
  <r>
    <s v="2025-05-25"/>
    <x v="137"/>
    <s v="00002"/>
    <s v="대변"/>
    <s v="101"/>
    <s v="현금"/>
    <x v="1"/>
    <n v="0"/>
    <n v="7000"/>
    <n v="7000"/>
    <s v="하나카드(4088)"/>
    <m/>
    <m/>
  </r>
  <r>
    <s v="2025-05-25"/>
    <x v="137"/>
    <s v="00003"/>
    <s v="차변"/>
    <s v="812"/>
    <s v="여비교통비(판)"/>
    <x v="9"/>
    <n v="6500"/>
    <n v="0"/>
    <n v="-6500"/>
    <s v="한국정보통신 - 윌슨파킹"/>
    <m/>
    <m/>
  </r>
  <r>
    <s v="2025-05-25"/>
    <x v="137"/>
    <s v="00003"/>
    <s v="대변"/>
    <s v="101"/>
    <s v="현금"/>
    <x v="1"/>
    <n v="0"/>
    <n v="6500"/>
    <n v="6500"/>
    <s v="하나카드(4088)"/>
    <m/>
    <m/>
  </r>
  <r>
    <s v="2025-05-25"/>
    <x v="137"/>
    <s v="50001"/>
    <s v="대변"/>
    <s v="101"/>
    <s v="현금"/>
    <x v="1"/>
    <n v="0"/>
    <n v="16000"/>
    <n v="16000"/>
    <s v="현대카드(4817)"/>
    <m/>
    <m/>
  </r>
  <r>
    <s v="2025-05-25"/>
    <x v="137"/>
    <s v="50001"/>
    <s v="차변"/>
    <s v="830"/>
    <s v="소모품비(판)"/>
    <x v="6"/>
    <n v="14544"/>
    <n v="0"/>
    <n v="-14544"/>
    <s v="다이소아성산업"/>
    <s v="  "/>
    <m/>
  </r>
  <r>
    <s v="2025-05-25"/>
    <x v="137"/>
    <s v="50001"/>
    <s v="차변"/>
    <s v="135"/>
    <s v="부가세대급금"/>
    <x v="5"/>
    <n v="1456"/>
    <n v="0"/>
    <n v="-1456"/>
    <s v="다이소아성산업"/>
    <s v="  "/>
    <m/>
  </r>
  <r>
    <s v="2025-05-26"/>
    <x v="138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5-26"/>
    <x v="138"/>
    <s v="00001"/>
    <s v="대변"/>
    <s v="101"/>
    <s v="현금"/>
    <x v="1"/>
    <n v="0"/>
    <n v="16000"/>
    <n v="16000"/>
    <s v="하나카드(4088)"/>
    <m/>
    <m/>
  </r>
  <r>
    <s v="2025-05-26"/>
    <x v="138"/>
    <s v="00002"/>
    <s v="차변"/>
    <s v="830"/>
    <s v="소모품비(판)"/>
    <x v="6"/>
    <n v="11700"/>
    <n v="0"/>
    <n v="-11700"/>
    <s v="에이플러스마트"/>
    <m/>
    <m/>
  </r>
  <r>
    <s v="2025-05-26"/>
    <x v="138"/>
    <s v="00002"/>
    <s v="대변"/>
    <s v="101"/>
    <s v="현금"/>
    <x v="1"/>
    <n v="0"/>
    <n v="11700"/>
    <n v="11700"/>
    <s v="하나카드(4088)"/>
    <m/>
    <m/>
  </r>
  <r>
    <s v="2025-05-26"/>
    <x v="138"/>
    <s v="00003"/>
    <s v="대변"/>
    <s v="101"/>
    <s v="현금"/>
    <x v="1"/>
    <n v="0"/>
    <n v="9160"/>
    <n v="9160"/>
    <s v="하나카드(4088)"/>
    <m/>
    <m/>
  </r>
  <r>
    <s v="2025-05-26"/>
    <x v="138"/>
    <s v="00003"/>
    <s v="차변"/>
    <s v="824"/>
    <s v="운반비(판)"/>
    <x v="15"/>
    <n v="9160"/>
    <n v="0"/>
    <n v="-9160"/>
    <s v="우정사업본부광주"/>
    <m/>
    <m/>
  </r>
  <r>
    <s v="2025-05-26"/>
    <x v="138"/>
    <s v="50001"/>
    <s v="대변"/>
    <s v="255"/>
    <s v="부가세예수금"/>
    <x v="3"/>
    <n v="0"/>
    <n v="20000"/>
    <n v="20000"/>
    <s v="24시 동물병원 공감"/>
    <m/>
    <s v="인사노무자문료 1 X 200,000"/>
  </r>
  <r>
    <s v="2025-05-26"/>
    <x v="138"/>
    <s v="50001"/>
    <s v="대변"/>
    <s v="401"/>
    <s v="용역매출"/>
    <x v="4"/>
    <n v="0"/>
    <n v="200000"/>
    <n v="200000"/>
    <s v="24시 동물병원 공감"/>
    <m/>
    <s v="인사노무자문료 1 X 200,000"/>
  </r>
  <r>
    <s v="2025-05-26"/>
    <x v="138"/>
    <s v="50001"/>
    <s v="차변"/>
    <s v="101"/>
    <s v="현금"/>
    <x v="1"/>
    <n v="220000"/>
    <n v="0"/>
    <n v="-220000"/>
    <s v="24시 동물병원 공감"/>
    <m/>
    <s v="인사노무자문료 1 X 200,000"/>
  </r>
  <r>
    <s v="2025-05-26"/>
    <x v="138"/>
    <s v="50002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5-26"/>
    <x v="138"/>
    <s v="50002"/>
    <s v="대변"/>
    <s v="401"/>
    <s v="용역매출"/>
    <x v="4"/>
    <n v="0"/>
    <n v="150000"/>
    <n v="150000"/>
    <s v="농업회사법인(주)토리팜에프디"/>
    <m/>
    <s v="인사노무자문료 1 X 150,000"/>
  </r>
  <r>
    <s v="2025-05-26"/>
    <x v="138"/>
    <s v="50002"/>
    <s v="차변"/>
    <s v="101"/>
    <s v="현금"/>
    <x v="1"/>
    <n v="165000"/>
    <n v="0"/>
    <n v="-165000"/>
    <s v="농업회사법인(주)토리팜에프디"/>
    <m/>
    <s v="인사노무자문료 1 X 150,000"/>
  </r>
  <r>
    <s v="2025-05-26"/>
    <x v="138"/>
    <s v="50003"/>
    <s v="대변"/>
    <s v="101"/>
    <s v="현금"/>
    <x v="1"/>
    <n v="0"/>
    <n v="106700"/>
    <n v="106700"/>
    <s v="국민카드(2005)"/>
    <m/>
    <m/>
  </r>
  <r>
    <s v="2025-05-26"/>
    <x v="138"/>
    <s v="50003"/>
    <s v="차변"/>
    <s v="830"/>
    <s v="소모품비(판)"/>
    <x v="6"/>
    <n v="97000"/>
    <n v="0"/>
    <n v="-97000"/>
    <s v="롯데쇼핑（주）롯데마트 수완점"/>
    <s v="  "/>
    <m/>
  </r>
  <r>
    <s v="2025-05-26"/>
    <x v="138"/>
    <s v="50003"/>
    <s v="차변"/>
    <s v="135"/>
    <s v="부가세대급금"/>
    <x v="5"/>
    <n v="9700"/>
    <n v="0"/>
    <n v="-9700"/>
    <s v="롯데쇼핑（주）롯데마트 수완점"/>
    <s v="  "/>
    <m/>
  </r>
  <r>
    <s v="2025-05-27"/>
    <x v="139"/>
    <s v="00001"/>
    <s v="차변"/>
    <s v="811"/>
    <s v="복리후생비(판)"/>
    <x v="8"/>
    <n v="5100"/>
    <n v="0"/>
    <n v="-5100"/>
    <s v="공차첨단엘씨타워점"/>
    <m/>
    <m/>
  </r>
  <r>
    <s v="2025-05-27"/>
    <x v="139"/>
    <s v="00001"/>
    <s v="대변"/>
    <s v="101"/>
    <s v="현금"/>
    <x v="1"/>
    <n v="0"/>
    <n v="5100"/>
    <n v="5100"/>
    <s v="하나카드(4088)"/>
    <m/>
    <m/>
  </r>
  <r>
    <s v="2025-05-27"/>
    <x v="139"/>
    <s v="00002"/>
    <s v="차변"/>
    <s v="811"/>
    <s v="복리후생비(판)"/>
    <x v="8"/>
    <n v="22000"/>
    <n v="0"/>
    <n v="-22000"/>
    <s v="미꾸미꾸"/>
    <m/>
    <m/>
  </r>
  <r>
    <s v="2025-05-27"/>
    <x v="139"/>
    <s v="00002"/>
    <s v="대변"/>
    <s v="101"/>
    <s v="현금"/>
    <x v="1"/>
    <n v="0"/>
    <n v="22000"/>
    <n v="22000"/>
    <s v="하나카드(4088)"/>
    <m/>
    <m/>
  </r>
  <r>
    <s v="2025-05-27"/>
    <x v="139"/>
    <s v="00003"/>
    <s v="차변"/>
    <s v="830"/>
    <s v="소모품비(판)"/>
    <x v="6"/>
    <n v="69706"/>
    <n v="0"/>
    <n v="-69706"/>
    <s v="토스페이먼츠 주식회사"/>
    <m/>
    <m/>
  </r>
  <r>
    <s v="2025-05-27"/>
    <x v="139"/>
    <s v="00003"/>
    <s v="대변"/>
    <s v="101"/>
    <s v="현금"/>
    <x v="1"/>
    <n v="0"/>
    <n v="69706"/>
    <n v="69706"/>
    <s v="현대카드(4817)"/>
    <m/>
    <m/>
  </r>
  <r>
    <s v="2025-05-27"/>
    <x v="139"/>
    <s v="00004"/>
    <s v="차변"/>
    <s v="830"/>
    <s v="소모품비(판)"/>
    <x v="6"/>
    <n v="2200"/>
    <n v="0"/>
    <n v="-2200"/>
    <s v="지에스이십오(GS25) 광주문흥점"/>
    <m/>
    <m/>
  </r>
  <r>
    <s v="2025-05-27"/>
    <x v="139"/>
    <s v="00004"/>
    <s v="대변"/>
    <s v="101"/>
    <s v="현금"/>
    <x v="1"/>
    <n v="0"/>
    <n v="2200"/>
    <n v="2200"/>
    <s v="하나카드(4088)"/>
    <m/>
    <m/>
  </r>
  <r>
    <s v="2025-05-27"/>
    <x v="139"/>
    <s v="00005"/>
    <s v="차변"/>
    <s v="811"/>
    <s v="복리후생비(판)"/>
    <x v="8"/>
    <n v="35070"/>
    <n v="0"/>
    <n v="-35070"/>
    <s v="정광석항아리보쌈첨단점"/>
    <m/>
    <m/>
  </r>
  <r>
    <s v="2025-05-27"/>
    <x v="139"/>
    <s v="00005"/>
    <s v="대변"/>
    <s v="101"/>
    <s v="현금"/>
    <x v="1"/>
    <n v="0"/>
    <n v="35070"/>
    <n v="35070"/>
    <s v="정광석항아리보쌈첨단점"/>
    <m/>
    <m/>
  </r>
  <r>
    <s v="2025-05-27"/>
    <x v="139"/>
    <s v="50001"/>
    <s v="대변"/>
    <s v="255"/>
    <s v="부가세예수금"/>
    <x v="3"/>
    <n v="0"/>
    <n v="10000"/>
    <n v="10000"/>
    <s v="(유)담양담빛샤브"/>
    <m/>
    <s v="인사노무자문료 1 X 100,000"/>
  </r>
  <r>
    <s v="2025-05-27"/>
    <x v="139"/>
    <s v="50001"/>
    <s v="대변"/>
    <s v="401"/>
    <s v="용역매출"/>
    <x v="4"/>
    <n v="0"/>
    <n v="100000"/>
    <n v="100000"/>
    <s v="(유)담양담빛샤브"/>
    <m/>
    <s v="인사노무자문료 1 X 100,000"/>
  </r>
  <r>
    <s v="2025-05-27"/>
    <x v="139"/>
    <s v="50001"/>
    <s v="차변"/>
    <s v="101"/>
    <s v="현금"/>
    <x v="1"/>
    <n v="110000"/>
    <n v="0"/>
    <n v="-110000"/>
    <s v="(유)담양담빛샤브"/>
    <m/>
    <s v="인사노무자문료 1 X 100,000"/>
  </r>
  <r>
    <s v="2025-05-27"/>
    <x v="139"/>
    <s v="50002"/>
    <s v="대변"/>
    <s v="255"/>
    <s v="부가세예수금"/>
    <x v="3"/>
    <n v="0"/>
    <n v="20000"/>
    <n v="20000"/>
    <s v="(주)연합기업"/>
    <m/>
    <s v="인사노무자문료 1 X 200,000"/>
  </r>
  <r>
    <s v="2025-05-27"/>
    <x v="139"/>
    <s v="50002"/>
    <s v="대변"/>
    <s v="401"/>
    <s v="용역매출"/>
    <x v="4"/>
    <n v="0"/>
    <n v="200000"/>
    <n v="200000"/>
    <s v="(주)연합기업"/>
    <m/>
    <s v="인사노무자문료 1 X 200,000"/>
  </r>
  <r>
    <s v="2025-05-27"/>
    <x v="139"/>
    <s v="50002"/>
    <s v="차변"/>
    <s v="101"/>
    <s v="현금"/>
    <x v="1"/>
    <n v="220000"/>
    <n v="0"/>
    <n v="-220000"/>
    <s v="(주)연합기업"/>
    <m/>
    <s v="인사노무자문료 1 X 200,000"/>
  </r>
  <r>
    <s v="2025-05-27"/>
    <x v="139"/>
    <s v="50003"/>
    <s v="대변"/>
    <s v="255"/>
    <s v="부가세예수금"/>
    <x v="3"/>
    <n v="0"/>
    <n v="9091"/>
    <n v="9091"/>
    <s v="깐깐한 족발(화정점)"/>
    <m/>
    <s v="인사노무자문료 1 X 90,909"/>
  </r>
  <r>
    <s v="2025-05-27"/>
    <x v="139"/>
    <s v="50003"/>
    <s v="대변"/>
    <s v="401"/>
    <s v="용역매출"/>
    <x v="4"/>
    <n v="0"/>
    <n v="90909"/>
    <n v="90909"/>
    <s v="깐깐한 족발(화정점)"/>
    <m/>
    <s v="인사노무자문료 1 X 90,909"/>
  </r>
  <r>
    <s v="2025-05-27"/>
    <x v="139"/>
    <s v="50003"/>
    <s v="차변"/>
    <s v="101"/>
    <s v="현금"/>
    <x v="1"/>
    <n v="100000"/>
    <n v="0"/>
    <n v="-100000"/>
    <s v="깐깐한 족발(화정점)"/>
    <m/>
    <s v="인사노무자문료 1 X 90,909"/>
  </r>
  <r>
    <s v="2025-05-27"/>
    <x v="139"/>
    <s v="50004"/>
    <s v="대변"/>
    <s v="255"/>
    <s v="부가세예수금"/>
    <x v="3"/>
    <n v="0"/>
    <n v="5000"/>
    <n v="5000"/>
    <s v="서호통상"/>
    <m/>
    <s v="인사노무자문료 1 X 50,000"/>
  </r>
  <r>
    <s v="2025-05-27"/>
    <x v="139"/>
    <s v="50004"/>
    <s v="대변"/>
    <s v="401"/>
    <s v="용역매출"/>
    <x v="4"/>
    <n v="0"/>
    <n v="50000"/>
    <n v="50000"/>
    <s v="서호통상"/>
    <m/>
    <s v="인사노무자문료 1 X 50,000"/>
  </r>
  <r>
    <s v="2025-05-27"/>
    <x v="139"/>
    <s v="50004"/>
    <s v="차변"/>
    <s v="101"/>
    <s v="현금"/>
    <x v="1"/>
    <n v="55000"/>
    <n v="0"/>
    <n v="-55000"/>
    <s v="서호통상"/>
    <m/>
    <s v="인사노무자문료 1 X 50,000"/>
  </r>
  <r>
    <s v="2025-05-27"/>
    <x v="139"/>
    <s v="50005"/>
    <s v="대변"/>
    <s v="255"/>
    <s v="부가세예수금"/>
    <x v="3"/>
    <n v="0"/>
    <n v="12000"/>
    <n v="12000"/>
    <s v="마루샤브"/>
    <m/>
    <s v="인사노무자문료 1 X 120,000"/>
  </r>
  <r>
    <s v="2025-05-27"/>
    <x v="139"/>
    <s v="50005"/>
    <s v="대변"/>
    <s v="401"/>
    <s v="용역매출"/>
    <x v="4"/>
    <n v="0"/>
    <n v="120000"/>
    <n v="120000"/>
    <s v="마루샤브"/>
    <m/>
    <s v="인사노무자문료 1 X 120,000"/>
  </r>
  <r>
    <s v="2025-05-27"/>
    <x v="139"/>
    <s v="50005"/>
    <s v="차변"/>
    <s v="101"/>
    <s v="현금"/>
    <x v="1"/>
    <n v="132000"/>
    <n v="0"/>
    <n v="-132000"/>
    <s v="마루샤브"/>
    <m/>
    <s v="인사노무자문료 1 X 120,000"/>
  </r>
  <r>
    <s v="2025-05-27"/>
    <x v="139"/>
    <s v="50006"/>
    <s v="대변"/>
    <s v="255"/>
    <s v="부가세예수금"/>
    <x v="3"/>
    <n v="0"/>
    <n v="10000"/>
    <n v="10000"/>
    <s v="커피랩"/>
    <m/>
    <s v="인사노무자문료 1 X 100,000"/>
  </r>
  <r>
    <s v="2025-05-27"/>
    <x v="139"/>
    <s v="50006"/>
    <s v="대변"/>
    <s v="401"/>
    <s v="용역매출"/>
    <x v="4"/>
    <n v="0"/>
    <n v="100000"/>
    <n v="100000"/>
    <s v="커피랩"/>
    <m/>
    <s v="인사노무자문료 1 X 100,000"/>
  </r>
  <r>
    <s v="2025-05-27"/>
    <x v="139"/>
    <s v="50006"/>
    <s v="차변"/>
    <s v="101"/>
    <s v="현금"/>
    <x v="1"/>
    <n v="110000"/>
    <n v="0"/>
    <n v="-110000"/>
    <s v="커피랩"/>
    <m/>
    <s v="인사노무자문료 1 X 100,000"/>
  </r>
  <r>
    <s v="2025-05-27"/>
    <x v="139"/>
    <s v="50007"/>
    <s v="대변"/>
    <s v="255"/>
    <s v="부가세예수금"/>
    <x v="3"/>
    <n v="0"/>
    <n v="11819"/>
    <n v="11819"/>
    <s v="바오팜 주식회사"/>
    <m/>
    <s v="인사노무자문료 1 X 118,181"/>
  </r>
  <r>
    <s v="2025-05-27"/>
    <x v="139"/>
    <s v="50007"/>
    <s v="대변"/>
    <s v="401"/>
    <s v="용역매출"/>
    <x v="4"/>
    <n v="0"/>
    <n v="118181"/>
    <n v="118181"/>
    <s v="바오팜 주식회사"/>
    <m/>
    <s v="인사노무자문료 1 X 118,181"/>
  </r>
  <r>
    <s v="2025-05-27"/>
    <x v="139"/>
    <s v="50007"/>
    <s v="차변"/>
    <s v="101"/>
    <s v="현금"/>
    <x v="1"/>
    <n v="130000"/>
    <n v="0"/>
    <n v="-130000"/>
    <s v="바오팜 주식회사"/>
    <m/>
    <s v="인사노무자문료 1 X 118,181"/>
  </r>
  <r>
    <s v="2025-05-28"/>
    <x v="140"/>
    <s v="00001"/>
    <s v="차변"/>
    <s v="830"/>
    <s v="소모품비(판)"/>
    <x v="6"/>
    <n v="2700"/>
    <n v="0"/>
    <n v="-2700"/>
    <s v="세븐일레븐 광주와이어스파크점"/>
    <m/>
    <m/>
  </r>
  <r>
    <s v="2025-05-28"/>
    <x v="140"/>
    <s v="00001"/>
    <s v="대변"/>
    <s v="101"/>
    <s v="현금"/>
    <x v="1"/>
    <n v="0"/>
    <n v="2700"/>
    <n v="2700"/>
    <s v="하나카드(4088)"/>
    <m/>
    <m/>
  </r>
  <r>
    <s v="2025-05-28"/>
    <x v="140"/>
    <s v="00002"/>
    <s v="차변"/>
    <s v="830"/>
    <s v="소모품비(판)"/>
    <x v="6"/>
    <n v="10960"/>
    <n v="0"/>
    <n v="-10960"/>
    <s v="골목시장SM마트"/>
    <m/>
    <m/>
  </r>
  <r>
    <s v="2025-05-28"/>
    <x v="140"/>
    <s v="00002"/>
    <s v="대변"/>
    <s v="101"/>
    <s v="현금"/>
    <x v="1"/>
    <n v="0"/>
    <n v="10960"/>
    <n v="10960"/>
    <s v="하나카드(4088)"/>
    <m/>
    <m/>
  </r>
  <r>
    <s v="2025-05-28"/>
    <x v="140"/>
    <s v="50001"/>
    <s v="대변"/>
    <s v="255"/>
    <s v="부가세예수금"/>
    <x v="3"/>
    <n v="0"/>
    <n v="10000"/>
    <n v="10000"/>
    <s v="주식회사 호원"/>
    <m/>
    <s v="인사노무자문료 1 X 100,000"/>
  </r>
  <r>
    <s v="2025-05-28"/>
    <x v="140"/>
    <s v="50001"/>
    <s v="대변"/>
    <s v="401"/>
    <s v="용역매출"/>
    <x v="4"/>
    <n v="0"/>
    <n v="100000"/>
    <n v="100000"/>
    <s v="주식회사 호원"/>
    <m/>
    <s v="인사노무자문료 1 X 100,000"/>
  </r>
  <r>
    <s v="2025-05-28"/>
    <x v="140"/>
    <s v="50001"/>
    <s v="차변"/>
    <s v="101"/>
    <s v="현금"/>
    <x v="1"/>
    <n v="110000"/>
    <n v="0"/>
    <n v="-110000"/>
    <s v="주식회사 호원"/>
    <m/>
    <s v="인사노무자문료 1 X 100,000"/>
  </r>
  <r>
    <s v="2025-05-28"/>
    <x v="140"/>
    <s v="50002"/>
    <s v="대변"/>
    <s v="255"/>
    <s v="부가세예수금"/>
    <x v="3"/>
    <n v="0"/>
    <n v="15000"/>
    <n v="15000"/>
    <s v="롤링파스타(수완점)"/>
    <m/>
    <s v="인사노무자문료 1 X 150,000"/>
  </r>
  <r>
    <s v="2025-05-28"/>
    <x v="140"/>
    <s v="50002"/>
    <s v="대변"/>
    <s v="401"/>
    <s v="용역매출"/>
    <x v="4"/>
    <n v="0"/>
    <n v="150000"/>
    <n v="150000"/>
    <s v="롤링파스타(수완점)"/>
    <m/>
    <s v="인사노무자문료 1 X 150,000"/>
  </r>
  <r>
    <s v="2025-05-28"/>
    <x v="140"/>
    <s v="50002"/>
    <s v="차변"/>
    <s v="101"/>
    <s v="현금"/>
    <x v="1"/>
    <n v="165000"/>
    <n v="0"/>
    <n v="-165000"/>
    <s v="롤링파스타(수완점)"/>
    <m/>
    <s v="인사노무자문료 1 X 150,000"/>
  </r>
  <r>
    <s v="2025-05-28"/>
    <x v="140"/>
    <s v="50003"/>
    <s v="대변"/>
    <s v="255"/>
    <s v="부가세예수금"/>
    <x v="3"/>
    <n v="0"/>
    <n v="15000"/>
    <n v="15000"/>
    <s v="라스(LAS)어린이치과의원"/>
    <m/>
    <s v="인사노무자문료 1 X 150,000"/>
  </r>
  <r>
    <s v="2025-05-28"/>
    <x v="140"/>
    <s v="50003"/>
    <s v="대변"/>
    <s v="401"/>
    <s v="용역매출"/>
    <x v="4"/>
    <n v="0"/>
    <n v="150000"/>
    <n v="150000"/>
    <s v="라스(LAS)어린이치과의원"/>
    <m/>
    <s v="인사노무자문료 1 X 150,000"/>
  </r>
  <r>
    <s v="2025-05-28"/>
    <x v="140"/>
    <s v="50003"/>
    <s v="차변"/>
    <s v="101"/>
    <s v="현금"/>
    <x v="1"/>
    <n v="165000"/>
    <n v="0"/>
    <n v="-165000"/>
    <s v="라스(LAS)어린이치과의원"/>
    <m/>
    <s v="인사노무자문료 1 X 150,000"/>
  </r>
  <r>
    <s v="2025-05-29"/>
    <x v="141"/>
    <s v="00001"/>
    <s v="차변"/>
    <s v="812"/>
    <s v="여비교통비(판)"/>
    <x v="9"/>
    <n v="1600"/>
    <n v="0"/>
    <n v="-1600"/>
    <s v="곡성순천휴게소"/>
    <m/>
    <m/>
  </r>
  <r>
    <s v="2025-05-29"/>
    <x v="141"/>
    <s v="00001"/>
    <s v="대변"/>
    <s v="101"/>
    <s v="현금"/>
    <x v="1"/>
    <n v="0"/>
    <n v="1600"/>
    <n v="1600"/>
    <s v="하나카드(4088)"/>
    <m/>
    <m/>
  </r>
  <r>
    <s v="2025-05-29"/>
    <x v="141"/>
    <s v="00002"/>
    <s v="차변"/>
    <s v="812"/>
    <s v="여비교통비(판)"/>
    <x v="9"/>
    <n v="3300"/>
    <n v="0"/>
    <n v="-3300"/>
    <s v="예스마트부국점"/>
    <m/>
    <m/>
  </r>
  <r>
    <s v="2025-05-29"/>
    <x v="141"/>
    <s v="00002"/>
    <s v="대변"/>
    <s v="101"/>
    <s v="현금"/>
    <x v="1"/>
    <n v="0"/>
    <n v="3300"/>
    <n v="3300"/>
    <s v="하나카드(4088)"/>
    <m/>
    <m/>
  </r>
  <r>
    <s v="2025-05-30"/>
    <x v="142"/>
    <s v="00001"/>
    <s v="차변"/>
    <s v="811"/>
    <s v="복리후생비(판)"/>
    <x v="8"/>
    <n v="33000"/>
    <n v="0"/>
    <n v="-33000"/>
    <s v="미꾸미꾸"/>
    <m/>
    <m/>
  </r>
  <r>
    <s v="2025-05-30"/>
    <x v="142"/>
    <s v="00001"/>
    <s v="대변"/>
    <s v="101"/>
    <s v="현금"/>
    <x v="1"/>
    <n v="0"/>
    <n v="33000"/>
    <n v="33000"/>
    <s v="하나카드(4088)"/>
    <m/>
    <m/>
  </r>
  <r>
    <s v="2025-05-30"/>
    <x v="142"/>
    <s v="00002"/>
    <s v="차변"/>
    <s v="830"/>
    <s v="소모품비(판)"/>
    <x v="6"/>
    <n v="11700"/>
    <n v="0"/>
    <n v="-11700"/>
    <s v="에이플러스마트"/>
    <m/>
    <m/>
  </r>
  <r>
    <s v="2025-05-30"/>
    <x v="142"/>
    <s v="00002"/>
    <s v="대변"/>
    <s v="101"/>
    <s v="현금"/>
    <x v="1"/>
    <n v="0"/>
    <n v="11700"/>
    <n v="11700"/>
    <s v="하나카드(4088)"/>
    <m/>
    <m/>
  </r>
  <r>
    <s v="2025-05-30"/>
    <x v="142"/>
    <s v="00003"/>
    <s v="차변"/>
    <s v="830"/>
    <s v="소모품비(판)"/>
    <x v="6"/>
    <n v="8800"/>
    <n v="0"/>
    <n v="-8800"/>
    <s v="하루마켓"/>
    <m/>
    <m/>
  </r>
  <r>
    <s v="2025-05-30"/>
    <x v="142"/>
    <s v="00003"/>
    <s v="대변"/>
    <s v="101"/>
    <s v="현금"/>
    <x v="1"/>
    <n v="0"/>
    <n v="8800"/>
    <n v="8800"/>
    <s v="하나카드(4088)"/>
    <m/>
    <m/>
  </r>
  <r>
    <s v="2025-05-30"/>
    <x v="142"/>
    <s v="00004"/>
    <s v="차변"/>
    <s v="831"/>
    <s v="지급수수료(판)"/>
    <x v="7"/>
    <n v="27900"/>
    <n v="0"/>
    <n v="-27900"/>
    <s v="나이스페이먼츠 주식회사 (NICE Payments Co"/>
    <m/>
    <m/>
  </r>
  <r>
    <s v="2025-05-30"/>
    <x v="142"/>
    <s v="00004"/>
    <s v="대변"/>
    <s v="101"/>
    <s v="현금"/>
    <x v="1"/>
    <n v="0"/>
    <n v="27900"/>
    <n v="27900"/>
    <s v="현대카드(4817)"/>
    <m/>
    <m/>
  </r>
  <r>
    <s v="2025-05-30"/>
    <x v="142"/>
    <s v="50001"/>
    <s v="차변"/>
    <s v="135"/>
    <s v="부가세대급금"/>
    <x v="5"/>
    <n v="4000"/>
    <n v="0"/>
    <n v="-4000"/>
    <s v="효성에프엠에스(주)"/>
    <m/>
    <s v="05월CMS사용료-gjsals596"/>
  </r>
  <r>
    <s v="2025-05-30"/>
    <x v="142"/>
    <s v="50001"/>
    <s v="차변"/>
    <s v="831"/>
    <s v="지급수수료(판)"/>
    <x v="7"/>
    <n v="40000"/>
    <n v="0"/>
    <n v="-40000"/>
    <s v="효성에프엠에스(주)"/>
    <m/>
    <s v="05월CMS사용료-gjsals596"/>
  </r>
  <r>
    <s v="2025-05-30"/>
    <x v="142"/>
    <s v="50001"/>
    <s v="대변"/>
    <s v="101"/>
    <s v="현금"/>
    <x v="1"/>
    <n v="0"/>
    <n v="44000"/>
    <n v="44000"/>
    <s v="효성에프엠에스(주)"/>
    <m/>
    <s v="05월CMS사용료-gjsals596"/>
  </r>
  <r>
    <s v="2025-05-30"/>
    <x v="142"/>
    <s v="50002"/>
    <s v="차변"/>
    <s v="135"/>
    <s v="부가세대급금"/>
    <x v="5"/>
    <n v="1155"/>
    <n v="0"/>
    <n v="-1155"/>
    <s v="효성에프엠에스(주)"/>
    <m/>
    <s v="05월CMS수수료-gjsals596"/>
  </r>
  <r>
    <s v="2025-05-30"/>
    <x v="142"/>
    <s v="50002"/>
    <s v="차변"/>
    <s v="831"/>
    <s v="지급수수료(판)"/>
    <x v="7"/>
    <n v="11550"/>
    <n v="0"/>
    <n v="-11550"/>
    <s v="효성에프엠에스(주)"/>
    <m/>
    <s v="05월CMS수수료-gjsals596"/>
  </r>
  <r>
    <s v="2025-05-30"/>
    <x v="142"/>
    <s v="50002"/>
    <s v="대변"/>
    <s v="101"/>
    <s v="현금"/>
    <x v="1"/>
    <n v="0"/>
    <n v="12705"/>
    <n v="12705"/>
    <s v="효성에프엠에스(주)"/>
    <m/>
    <s v="05월CMS수수료-gjsals596"/>
  </r>
  <r>
    <s v="2025-05-30"/>
    <x v="142"/>
    <s v="50003"/>
    <s v="대변"/>
    <s v="255"/>
    <s v="부가세예수금"/>
    <x v="3"/>
    <n v="0"/>
    <n v="15000"/>
    <n v="15000"/>
    <s v="(주)파이스물류"/>
    <m/>
    <s v="인사노무자문료 1 X 150,000"/>
  </r>
  <r>
    <s v="2025-05-30"/>
    <x v="142"/>
    <s v="50003"/>
    <s v="대변"/>
    <s v="401"/>
    <s v="용역매출"/>
    <x v="4"/>
    <n v="0"/>
    <n v="150000"/>
    <n v="150000"/>
    <s v="(주)파이스물류"/>
    <m/>
    <s v="인사노무자문료 1 X 150,000"/>
  </r>
  <r>
    <s v="2025-05-30"/>
    <x v="142"/>
    <s v="50003"/>
    <s v="차변"/>
    <s v="101"/>
    <s v="현금"/>
    <x v="1"/>
    <n v="165000"/>
    <n v="0"/>
    <n v="-165000"/>
    <s v="(주)파이스물류"/>
    <m/>
    <s v="인사노무자문료 1 X 150,000"/>
  </r>
  <r>
    <s v="2025-05-30"/>
    <x v="142"/>
    <s v="50004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5-30"/>
    <x v="142"/>
    <s v="50004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5-30"/>
    <x v="142"/>
    <s v="50004"/>
    <s v="차변"/>
    <s v="101"/>
    <s v="현금"/>
    <x v="1"/>
    <n v="330000"/>
    <n v="0"/>
    <n v="-330000"/>
    <s v="재단법인 광주광역시 여성가족재단"/>
    <m/>
    <s v="인사노무자문료 1 X 300,000"/>
  </r>
  <r>
    <s v="2025-05-30"/>
    <x v="142"/>
    <s v="50005"/>
    <s v="대변"/>
    <s v="255"/>
    <s v="부가세예수금"/>
    <x v="3"/>
    <n v="0"/>
    <n v="12000"/>
    <n v="12000"/>
    <s v="농업회사법인(주)황칠코리아"/>
    <m/>
    <s v="인사노무자문료 1 X 120,000"/>
  </r>
  <r>
    <s v="2025-05-30"/>
    <x v="142"/>
    <s v="50005"/>
    <s v="대변"/>
    <s v="401"/>
    <s v="용역매출"/>
    <x v="4"/>
    <n v="0"/>
    <n v="120000"/>
    <n v="120000"/>
    <s v="농업회사법인(주)황칠코리아"/>
    <m/>
    <s v="인사노무자문료 1 X 120,000"/>
  </r>
  <r>
    <s v="2025-05-30"/>
    <x v="142"/>
    <s v="50005"/>
    <s v="차변"/>
    <s v="101"/>
    <s v="현금"/>
    <x v="1"/>
    <n v="132000"/>
    <n v="0"/>
    <n v="-132000"/>
    <s v="농업회사법인(주)황칠코리아"/>
    <m/>
    <s v="인사노무자문료 1 X 120,000"/>
  </r>
  <r>
    <s v="2025-05-30"/>
    <x v="142"/>
    <s v="50006"/>
    <s v="대변"/>
    <s v="255"/>
    <s v="부가세예수금"/>
    <x v="3"/>
    <n v="0"/>
    <n v="7000"/>
    <n v="7000"/>
    <s v="(유)임마누엘"/>
    <m/>
    <s v="인사노무자문료 1 X 70,000"/>
  </r>
  <r>
    <s v="2025-05-30"/>
    <x v="142"/>
    <s v="50006"/>
    <s v="대변"/>
    <s v="401"/>
    <s v="용역매출"/>
    <x v="4"/>
    <n v="0"/>
    <n v="70000"/>
    <n v="70000"/>
    <s v="(유)임마누엘"/>
    <m/>
    <s v="인사노무자문료 1 X 70,000"/>
  </r>
  <r>
    <s v="2025-05-30"/>
    <x v="142"/>
    <s v="50006"/>
    <s v="차변"/>
    <s v="101"/>
    <s v="현금"/>
    <x v="1"/>
    <n v="77000"/>
    <n v="0"/>
    <n v="-77000"/>
    <s v="(유)임마누엘"/>
    <m/>
    <s v="인사노무자문료 1 X 70,000"/>
  </r>
  <r>
    <s v="2025-05-30"/>
    <x v="142"/>
    <s v="50007"/>
    <s v="대변"/>
    <s v="255"/>
    <s v="부가세예수금"/>
    <x v="3"/>
    <n v="0"/>
    <n v="15000"/>
    <n v="15000"/>
    <s v="(주)한국피엔피서비스"/>
    <m/>
    <s v="인사노무자문료 1 X 150,000"/>
  </r>
  <r>
    <s v="2025-05-30"/>
    <x v="142"/>
    <s v="50007"/>
    <s v="대변"/>
    <s v="401"/>
    <s v="용역매출"/>
    <x v="4"/>
    <n v="0"/>
    <n v="150000"/>
    <n v="150000"/>
    <s v="(주)한국피엔피서비스"/>
    <m/>
    <s v="인사노무자문료 1 X 150,000"/>
  </r>
  <r>
    <s v="2025-05-30"/>
    <x v="142"/>
    <s v="50007"/>
    <s v="차변"/>
    <s v="101"/>
    <s v="현금"/>
    <x v="1"/>
    <n v="165000"/>
    <n v="0"/>
    <n v="-165000"/>
    <s v="(주)한국피엔피서비스"/>
    <m/>
    <s v="인사노무자문료 1 X 150,000"/>
  </r>
  <r>
    <s v="2025-05-30"/>
    <x v="142"/>
    <s v="50008"/>
    <s v="대변"/>
    <s v="255"/>
    <s v="부가세예수금"/>
    <x v="3"/>
    <n v="0"/>
    <n v="10000"/>
    <n v="10000"/>
    <s v="(주)텝스텍"/>
    <m/>
    <s v="인사노무자문료 1 X 100,000"/>
  </r>
  <r>
    <s v="2025-05-30"/>
    <x v="142"/>
    <s v="50008"/>
    <s v="대변"/>
    <s v="401"/>
    <s v="용역매출"/>
    <x v="4"/>
    <n v="0"/>
    <n v="100000"/>
    <n v="100000"/>
    <s v="(주)텝스텍"/>
    <m/>
    <s v="인사노무자문료 1 X 100,000"/>
  </r>
  <r>
    <s v="2025-05-30"/>
    <x v="142"/>
    <s v="50008"/>
    <s v="차변"/>
    <s v="101"/>
    <s v="현금"/>
    <x v="1"/>
    <n v="110000"/>
    <n v="0"/>
    <n v="-110000"/>
    <s v="(주)텝스텍"/>
    <m/>
    <s v="인사노무자문료 1 X 100,000"/>
  </r>
  <r>
    <s v="2025-05-31"/>
    <x v="143"/>
    <s v="00001"/>
    <s v="차변"/>
    <s v="802"/>
    <s v="직원급여(판)"/>
    <x v="18"/>
    <n v="1700000"/>
    <n v="0"/>
    <n v="-1700000"/>
    <m/>
    <s v="  "/>
    <s v="급여등지급"/>
  </r>
  <r>
    <s v="2025-05-31"/>
    <x v="143"/>
    <s v="00001"/>
    <s v="대변"/>
    <s v="101"/>
    <s v="현금"/>
    <x v="1"/>
    <n v="0"/>
    <n v="1476240"/>
    <n v="1476240"/>
    <m/>
    <s v="  "/>
    <s v="급여등지급"/>
  </r>
  <r>
    <s v="2025-05-31"/>
    <x v="143"/>
    <s v="00001"/>
    <s v="대변"/>
    <s v="254"/>
    <s v="예수금"/>
    <x v="12"/>
    <n v="0"/>
    <n v="149400"/>
    <n v="149400"/>
    <s v="국민연금공단"/>
    <s v="  "/>
    <s v="급여지급시 국민연금예수"/>
  </r>
  <r>
    <s v="2025-05-31"/>
    <x v="143"/>
    <s v="00001"/>
    <s v="대변"/>
    <s v="254"/>
    <s v="예수금"/>
    <x v="12"/>
    <n v="0"/>
    <n v="60260"/>
    <n v="60260"/>
    <s v="건강보험공단"/>
    <s v="  "/>
    <s v="급여지급시 건강보험예수"/>
  </r>
  <r>
    <s v="2025-05-31"/>
    <x v="143"/>
    <s v="00001"/>
    <s v="대변"/>
    <s v="254"/>
    <s v="예수금"/>
    <x v="12"/>
    <n v="0"/>
    <n v="6300"/>
    <n v="6300"/>
    <s v="근로복지공단"/>
    <s v="  "/>
    <s v="급여지급시 고용보험예수"/>
  </r>
  <r>
    <s v="2025-05-31"/>
    <x v="143"/>
    <s v="00001"/>
    <s v="대변"/>
    <s v="254"/>
    <s v="예수금"/>
    <x v="12"/>
    <n v="0"/>
    <n v="7800"/>
    <n v="7800"/>
    <s v="건강보험공단"/>
    <s v="  "/>
    <s v="급여지급시 장기요양보험예수"/>
  </r>
  <r>
    <s v="2025-05-31"/>
    <x v="143"/>
    <s v="00002"/>
    <s v="차변"/>
    <s v="812"/>
    <s v="여비교통비(판)"/>
    <x v="9"/>
    <n v="3600"/>
    <n v="0"/>
    <n v="-3600"/>
    <s v="한국정보통신 - 윌슨파킹"/>
    <m/>
    <m/>
  </r>
  <r>
    <s v="2025-05-31"/>
    <x v="143"/>
    <s v="00002"/>
    <s v="대변"/>
    <s v="101"/>
    <s v="현금"/>
    <x v="1"/>
    <n v="0"/>
    <n v="3600"/>
    <n v="3600"/>
    <s v="하나카드(4088)"/>
    <m/>
    <m/>
  </r>
  <r>
    <s v="2025-05-31"/>
    <x v="143"/>
    <s v="00003"/>
    <s v="차변"/>
    <s v="822"/>
    <s v="차량유지비(판)"/>
    <x v="11"/>
    <n v="50000"/>
    <n v="0"/>
    <n v="-50000"/>
    <s v="（유）금성물류 광주지점"/>
    <m/>
    <m/>
  </r>
  <r>
    <s v="2025-05-31"/>
    <x v="143"/>
    <s v="00003"/>
    <s v="대변"/>
    <s v="101"/>
    <s v="현금"/>
    <x v="1"/>
    <n v="0"/>
    <n v="50000"/>
    <n v="50000"/>
    <s v="현대카드(4817)"/>
    <m/>
    <m/>
  </r>
  <r>
    <s v="2025-05-31"/>
    <x v="143"/>
    <s v="00004"/>
    <s v="차변"/>
    <s v="813"/>
    <s v="접대비(기업업무추진비)(판)"/>
    <x v="0"/>
    <n v="60000"/>
    <n v="0"/>
    <n v="-60000"/>
    <s v="이영미궁중한방삼계탕"/>
    <m/>
    <m/>
  </r>
  <r>
    <s v="2025-05-31"/>
    <x v="143"/>
    <s v="00004"/>
    <s v="대변"/>
    <s v="101"/>
    <s v="현금"/>
    <x v="1"/>
    <n v="0"/>
    <n v="60000"/>
    <n v="60000"/>
    <s v="현대카드(4817)"/>
    <m/>
    <m/>
  </r>
  <r>
    <s v="2025-05-31"/>
    <x v="143"/>
    <s v="50001"/>
    <s v="차변"/>
    <s v="135"/>
    <s v="부가세대급금"/>
    <x v="5"/>
    <n v="68150"/>
    <n v="0"/>
    <n v="-68150"/>
    <s v="서찬영세무회계사무소"/>
    <m/>
    <s v="종합소득세신고용역보수"/>
  </r>
  <r>
    <s v="2025-05-31"/>
    <x v="143"/>
    <s v="50001"/>
    <s v="차변"/>
    <s v="831"/>
    <s v="지급수수료(판)"/>
    <x v="7"/>
    <n v="681580"/>
    <n v="0"/>
    <n v="-681580"/>
    <s v="서찬영세무회계사무소"/>
    <m/>
    <s v="종합소득세신고용역보수"/>
  </r>
  <r>
    <s v="2025-05-31"/>
    <x v="143"/>
    <s v="50001"/>
    <s v="대변"/>
    <s v="101"/>
    <s v="현금"/>
    <x v="1"/>
    <n v="0"/>
    <n v="749730"/>
    <n v="749730"/>
    <s v="서찬영세무회계사무소"/>
    <m/>
    <s v="종합소득세신고용역보수"/>
  </r>
  <r>
    <s v="2025-05-31"/>
    <x v="143"/>
    <s v="50002"/>
    <s v="차변"/>
    <s v="135"/>
    <s v="부가세대급금"/>
    <x v="5"/>
    <n v="10000"/>
    <n v="0"/>
    <n v="-10000"/>
    <s v="서찬영세무회계사무소"/>
    <m/>
    <s v="기장료"/>
  </r>
  <r>
    <s v="2025-05-31"/>
    <x v="143"/>
    <s v="50002"/>
    <s v="차변"/>
    <s v="831"/>
    <s v="지급수수료(판)"/>
    <x v="7"/>
    <n v="100000"/>
    <n v="0"/>
    <n v="-100000"/>
    <s v="서찬영세무회계사무소"/>
    <m/>
    <s v="기장료"/>
  </r>
  <r>
    <s v="2025-05-31"/>
    <x v="143"/>
    <s v="50002"/>
    <s v="대변"/>
    <s v="101"/>
    <s v="현금"/>
    <x v="1"/>
    <n v="0"/>
    <n v="110000"/>
    <n v="110000"/>
    <s v="서찬영세무회계사무소"/>
    <m/>
    <s v="기장료"/>
  </r>
  <r>
    <s v="2025-05-31"/>
    <x v="143"/>
    <s v="50003"/>
    <s v="차변"/>
    <s v="135"/>
    <s v="부가세대급금"/>
    <x v="5"/>
    <n v="723"/>
    <n v="0"/>
    <n v="-723"/>
    <s v="(주) 다우기술"/>
    <m/>
    <s v="엔팩스 서비스 사용료 1 X 7,227"/>
  </r>
  <r>
    <s v="2025-05-31"/>
    <x v="143"/>
    <s v="50003"/>
    <s v="차변"/>
    <s v="831"/>
    <s v="지급수수료(판)"/>
    <x v="7"/>
    <n v="7227"/>
    <n v="0"/>
    <n v="-7227"/>
    <s v="(주) 다우기술"/>
    <m/>
    <s v="엔팩스 서비스 사용료 1 X 7,227"/>
  </r>
  <r>
    <s v="2025-05-31"/>
    <x v="143"/>
    <s v="50003"/>
    <s v="대변"/>
    <s v="101"/>
    <s v="현금"/>
    <x v="1"/>
    <n v="0"/>
    <n v="7950"/>
    <n v="7950"/>
    <s v="(주) 다우기술"/>
    <m/>
    <s v="엔팩스 서비스 사용료 1 X 7,227"/>
  </r>
  <r>
    <s v="2025-05-31"/>
    <x v="143"/>
    <s v="50004"/>
    <s v="입금"/>
    <s v="255"/>
    <s v="부가세예수금"/>
    <x v="3"/>
    <n v="0"/>
    <n v="40363"/>
    <n v="40363"/>
    <s v="소비자현금영수증매출"/>
    <s v="  "/>
    <s v="현금영수증매출"/>
  </r>
  <r>
    <s v="2025-05-31"/>
    <x v="143"/>
    <s v="50004"/>
    <s v="입금"/>
    <s v="101"/>
    <s v="현금"/>
    <x v="1"/>
    <n v="40363"/>
    <n v="0"/>
    <n v="-40363"/>
    <s v="소비자현금영수증매출"/>
    <s v="  "/>
    <s v="현금영수증매출"/>
  </r>
  <r>
    <s v="2025-05-31"/>
    <x v="143"/>
    <s v="50004"/>
    <s v="입금"/>
    <s v="401"/>
    <s v="용역매출"/>
    <x v="4"/>
    <n v="0"/>
    <n v="403637"/>
    <n v="403637"/>
    <s v="소비자현금영수증매출"/>
    <s v="  "/>
    <s v="현금영수증매출"/>
  </r>
  <r>
    <s v="2025-05-31"/>
    <x v="143"/>
    <s v="50004"/>
    <s v="입금"/>
    <s v="101"/>
    <s v="현금"/>
    <x v="1"/>
    <n v="403637"/>
    <n v="0"/>
    <n v="-403637"/>
    <s v="소비자현금영수증매출"/>
    <s v="  "/>
    <s v="현금영수증매출"/>
  </r>
  <r>
    <s v="2025-06-01"/>
    <x v="144"/>
    <s v="50001"/>
    <s v="대변"/>
    <s v="255"/>
    <s v="부가세예수금"/>
    <x v="3"/>
    <n v="0"/>
    <n v="15000"/>
    <n v="15000"/>
    <s v="주식회사 푸른하늘청자"/>
    <m/>
    <s v="인사노무자문료 1 X 150,000"/>
  </r>
  <r>
    <s v="2025-06-01"/>
    <x v="144"/>
    <s v="50001"/>
    <s v="대변"/>
    <s v="401"/>
    <s v="용역매출"/>
    <x v="4"/>
    <n v="0"/>
    <n v="150000"/>
    <n v="150000"/>
    <s v="주식회사 푸른하늘청자"/>
    <m/>
    <s v="인사노무자문료 1 X 150,000"/>
  </r>
  <r>
    <s v="2025-06-01"/>
    <x v="144"/>
    <s v="50001"/>
    <s v="차변"/>
    <s v="101"/>
    <s v="현금"/>
    <x v="1"/>
    <n v="165000"/>
    <n v="0"/>
    <n v="-165000"/>
    <s v="주식회사 푸른하늘청자"/>
    <m/>
    <s v="인사노무자문료 1 X 150,000"/>
  </r>
  <r>
    <s v="2025-06-01"/>
    <x v="144"/>
    <s v="50002"/>
    <s v="대변"/>
    <s v="255"/>
    <s v="부가세예수금"/>
    <x v="3"/>
    <n v="0"/>
    <n v="20000"/>
    <n v="20000"/>
    <s v="첨단튼튼병원"/>
    <m/>
    <s v="인사노무자문료 1 X 200,000"/>
  </r>
  <r>
    <s v="2025-06-01"/>
    <x v="144"/>
    <s v="50002"/>
    <s v="대변"/>
    <s v="401"/>
    <s v="용역매출"/>
    <x v="4"/>
    <n v="0"/>
    <n v="200000"/>
    <n v="200000"/>
    <s v="첨단튼튼병원"/>
    <m/>
    <s v="인사노무자문료 1 X 200,000"/>
  </r>
  <r>
    <s v="2025-06-01"/>
    <x v="144"/>
    <s v="50002"/>
    <s v="차변"/>
    <s v="101"/>
    <s v="현금"/>
    <x v="1"/>
    <n v="220000"/>
    <n v="0"/>
    <n v="-220000"/>
    <s v="첨단튼튼병원"/>
    <m/>
    <s v="인사노무자문료 1 X 200,000"/>
  </r>
  <r>
    <s v="2025-06-01"/>
    <x v="144"/>
    <s v="50003"/>
    <s v="대변"/>
    <s v="255"/>
    <s v="부가세예수금"/>
    <x v="3"/>
    <n v="0"/>
    <n v="9091"/>
    <n v="9091"/>
    <s v="해드림재활주간보호센터"/>
    <m/>
    <s v="인사노무자문료 1 X 90,909"/>
  </r>
  <r>
    <s v="2025-06-01"/>
    <x v="144"/>
    <s v="50003"/>
    <s v="대변"/>
    <s v="401"/>
    <s v="용역매출"/>
    <x v="4"/>
    <n v="0"/>
    <n v="90909"/>
    <n v="90909"/>
    <s v="해드림재활주간보호센터"/>
    <m/>
    <s v="인사노무자문료 1 X 90,909"/>
  </r>
  <r>
    <s v="2025-06-01"/>
    <x v="144"/>
    <s v="50003"/>
    <s v="차변"/>
    <s v="101"/>
    <s v="현금"/>
    <x v="1"/>
    <n v="100000"/>
    <n v="0"/>
    <n v="-100000"/>
    <s v="해드림재활주간보호센터"/>
    <m/>
    <s v="인사노무자문료 1 X 90,909"/>
  </r>
  <r>
    <s v="2025-06-01"/>
    <x v="144"/>
    <s v="50004"/>
    <s v="대변"/>
    <s v="255"/>
    <s v="부가세예수금"/>
    <x v="3"/>
    <n v="0"/>
    <n v="10000"/>
    <n v="10000"/>
    <s v="샤브사랑"/>
    <m/>
    <s v="인사노무자문료 1 X 100,000"/>
  </r>
  <r>
    <s v="2025-06-01"/>
    <x v="144"/>
    <s v="50004"/>
    <s v="대변"/>
    <s v="401"/>
    <s v="용역매출"/>
    <x v="4"/>
    <n v="0"/>
    <n v="100000"/>
    <n v="100000"/>
    <s v="샤브사랑"/>
    <m/>
    <s v="인사노무자문료 1 X 100,000"/>
  </r>
  <r>
    <s v="2025-06-01"/>
    <x v="144"/>
    <s v="50004"/>
    <s v="차변"/>
    <s v="101"/>
    <s v="현금"/>
    <x v="1"/>
    <n v="110000"/>
    <n v="0"/>
    <n v="-110000"/>
    <s v="샤브사랑"/>
    <m/>
    <s v="인사노무자문료 1 X 100,000"/>
  </r>
  <r>
    <s v="2025-06-01"/>
    <x v="144"/>
    <s v="50005"/>
    <s v="대변"/>
    <s v="255"/>
    <s v="부가세예수금"/>
    <x v="3"/>
    <n v="0"/>
    <n v="15000"/>
    <n v="15000"/>
    <s v="주식회사 수연"/>
    <m/>
    <s v="인사노무자문료 1 X 150,000"/>
  </r>
  <r>
    <s v="2025-06-01"/>
    <x v="144"/>
    <s v="50005"/>
    <s v="대변"/>
    <s v="401"/>
    <s v="용역매출"/>
    <x v="4"/>
    <n v="0"/>
    <n v="150000"/>
    <n v="150000"/>
    <s v="주식회사 수연"/>
    <m/>
    <s v="인사노무자문료 1 X 150,000"/>
  </r>
  <r>
    <s v="2025-06-01"/>
    <x v="144"/>
    <s v="50005"/>
    <s v="차변"/>
    <s v="101"/>
    <s v="현금"/>
    <x v="1"/>
    <n v="165000"/>
    <n v="0"/>
    <n v="-165000"/>
    <s v="주식회사 수연"/>
    <m/>
    <s v="인사노무자문료 1 X 150,000"/>
  </r>
  <r>
    <s v="2025-06-01"/>
    <x v="144"/>
    <s v="50006"/>
    <s v="대변"/>
    <s v="101"/>
    <s v="현금"/>
    <x v="1"/>
    <n v="0"/>
    <n v="29500"/>
    <n v="29500"/>
    <s v="현대카드(4817)"/>
    <m/>
    <m/>
  </r>
  <r>
    <s v="2025-06-01"/>
    <x v="144"/>
    <s v="50006"/>
    <s v="차변"/>
    <s v="830"/>
    <s v="소모품비(판)"/>
    <x v="6"/>
    <n v="26816"/>
    <n v="0"/>
    <n v="-26816"/>
    <s v="다이소아성산업"/>
    <s v="  "/>
    <m/>
  </r>
  <r>
    <s v="2025-06-01"/>
    <x v="144"/>
    <s v="50006"/>
    <s v="차변"/>
    <s v="135"/>
    <s v="부가세대급금"/>
    <x v="5"/>
    <n v="2684"/>
    <n v="0"/>
    <n v="-2684"/>
    <s v="다이소아성산업"/>
    <s v="  "/>
    <m/>
  </r>
  <r>
    <s v="2025-06-02"/>
    <x v="145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6-02"/>
    <x v="145"/>
    <s v="00001"/>
    <s v="대변"/>
    <s v="101"/>
    <s v="현금"/>
    <x v="1"/>
    <n v="0"/>
    <n v="16000"/>
    <n v="16000"/>
    <s v="하나카드(4088)"/>
    <m/>
    <m/>
  </r>
  <r>
    <s v="2025-06-02"/>
    <x v="145"/>
    <s v="50001"/>
    <s v="대변"/>
    <s v="255"/>
    <s v="부가세예수금"/>
    <x v="3"/>
    <n v="0"/>
    <n v="15000"/>
    <n v="15000"/>
    <s v="연세탑신경외과"/>
    <m/>
    <s v="인사노무자문료 1 X 150,000"/>
  </r>
  <r>
    <s v="2025-06-02"/>
    <x v="145"/>
    <s v="50001"/>
    <s v="대변"/>
    <s v="401"/>
    <s v="용역매출"/>
    <x v="4"/>
    <n v="0"/>
    <n v="150000"/>
    <n v="150000"/>
    <s v="연세탑신경외과"/>
    <m/>
    <s v="인사노무자문료 1 X 150,000"/>
  </r>
  <r>
    <s v="2025-06-02"/>
    <x v="145"/>
    <s v="50001"/>
    <s v="차변"/>
    <s v="101"/>
    <s v="현금"/>
    <x v="1"/>
    <n v="165000"/>
    <n v="0"/>
    <n v="-165000"/>
    <s v="연세탑신경외과"/>
    <m/>
    <s v="인사노무자문료 1 X 150,000"/>
  </r>
  <r>
    <s v="2025-06-02"/>
    <x v="145"/>
    <s v="50002"/>
    <s v="대변"/>
    <s v="255"/>
    <s v="부가세예수금"/>
    <x v="3"/>
    <n v="0"/>
    <n v="13000"/>
    <n v="13000"/>
    <s v="(주)뉴아람식자재마트 운암점"/>
    <m/>
    <s v="인사노무자문료 1 X 130,000"/>
  </r>
  <r>
    <s v="2025-06-02"/>
    <x v="145"/>
    <s v="50002"/>
    <s v="대변"/>
    <s v="401"/>
    <s v="용역매출"/>
    <x v="4"/>
    <n v="0"/>
    <n v="130000"/>
    <n v="130000"/>
    <s v="(주)뉴아람식자재마트 운암점"/>
    <m/>
    <s v="인사노무자문료 1 X 130,000"/>
  </r>
  <r>
    <s v="2025-06-02"/>
    <x v="145"/>
    <s v="50002"/>
    <s v="차변"/>
    <s v="101"/>
    <s v="현금"/>
    <x v="1"/>
    <n v="143000"/>
    <n v="0"/>
    <n v="-143000"/>
    <s v="(주)뉴아람식자재마트 운암점"/>
    <m/>
    <s v="인사노무자문료 1 X 130,000"/>
  </r>
  <r>
    <s v="2025-06-02"/>
    <x v="145"/>
    <s v="50003"/>
    <s v="대변"/>
    <s v="255"/>
    <s v="부가세예수금"/>
    <x v="3"/>
    <n v="0"/>
    <n v="13000"/>
    <n v="13000"/>
    <s v="(주)뉴아람식자재마트 오치점"/>
    <m/>
    <s v="인사노무자문료 1 X 130,000"/>
  </r>
  <r>
    <s v="2025-06-02"/>
    <x v="145"/>
    <s v="50003"/>
    <s v="대변"/>
    <s v="401"/>
    <s v="용역매출"/>
    <x v="4"/>
    <n v="0"/>
    <n v="130000"/>
    <n v="130000"/>
    <s v="(주)뉴아람식자재마트 오치점"/>
    <m/>
    <s v="인사노무자문료 1 X 130,000"/>
  </r>
  <r>
    <s v="2025-06-02"/>
    <x v="145"/>
    <s v="50003"/>
    <s v="차변"/>
    <s v="101"/>
    <s v="현금"/>
    <x v="1"/>
    <n v="143000"/>
    <n v="0"/>
    <n v="-143000"/>
    <s v="(주)뉴아람식자재마트 오치점"/>
    <m/>
    <s v="인사노무자문료 1 X 130,000"/>
  </r>
  <r>
    <s v="2025-06-02"/>
    <x v="145"/>
    <s v="50004"/>
    <s v="대변"/>
    <s v="255"/>
    <s v="부가세예수금"/>
    <x v="3"/>
    <n v="0"/>
    <n v="12000"/>
    <n v="12000"/>
    <s v="용성이앤지"/>
    <m/>
    <s v="인사노무자문료 1 X 120,000"/>
  </r>
  <r>
    <s v="2025-06-02"/>
    <x v="145"/>
    <s v="50004"/>
    <s v="대변"/>
    <s v="401"/>
    <s v="용역매출"/>
    <x v="4"/>
    <n v="0"/>
    <n v="120000"/>
    <n v="120000"/>
    <s v="용성이앤지"/>
    <m/>
    <s v="인사노무자문료 1 X 120,000"/>
  </r>
  <r>
    <s v="2025-06-02"/>
    <x v="145"/>
    <s v="50004"/>
    <s v="차변"/>
    <s v="101"/>
    <s v="현금"/>
    <x v="1"/>
    <n v="132000"/>
    <n v="0"/>
    <n v="-132000"/>
    <s v="용성이앤지"/>
    <m/>
    <s v="인사노무자문료 1 X 120,000"/>
  </r>
  <r>
    <s v="2025-06-02"/>
    <x v="145"/>
    <s v="50005"/>
    <s v="대변"/>
    <s v="255"/>
    <s v="부가세예수금"/>
    <x v="3"/>
    <n v="0"/>
    <n v="15000"/>
    <n v="15000"/>
    <s v="청담리브의원"/>
    <m/>
    <s v="인사노무자문료 1 X 150,000"/>
  </r>
  <r>
    <s v="2025-06-02"/>
    <x v="145"/>
    <s v="50005"/>
    <s v="대변"/>
    <s v="401"/>
    <s v="용역매출"/>
    <x v="4"/>
    <n v="0"/>
    <n v="150000"/>
    <n v="150000"/>
    <s v="청담리브의원"/>
    <m/>
    <s v="인사노무자문료 1 X 150,000"/>
  </r>
  <r>
    <s v="2025-06-02"/>
    <x v="145"/>
    <s v="50005"/>
    <s v="차변"/>
    <s v="101"/>
    <s v="현금"/>
    <x v="1"/>
    <n v="165000"/>
    <n v="0"/>
    <n v="-165000"/>
    <s v="청담리브의원"/>
    <m/>
    <s v="인사노무자문료 1 X 150,000"/>
  </r>
  <r>
    <s v="2025-06-02"/>
    <x v="145"/>
    <s v="50006"/>
    <s v="대변"/>
    <s v="255"/>
    <s v="부가세예수금"/>
    <x v="3"/>
    <n v="0"/>
    <n v="10000"/>
    <n v="10000"/>
    <s v="와이앤애드"/>
    <m/>
    <s v="인사노무자문료 1 X 100,000"/>
  </r>
  <r>
    <s v="2025-06-02"/>
    <x v="145"/>
    <s v="50006"/>
    <s v="대변"/>
    <s v="401"/>
    <s v="용역매출"/>
    <x v="4"/>
    <n v="0"/>
    <n v="100000"/>
    <n v="100000"/>
    <s v="와이앤애드"/>
    <m/>
    <s v="인사노무자문료 1 X 100,000"/>
  </r>
  <r>
    <s v="2025-06-02"/>
    <x v="145"/>
    <s v="50006"/>
    <s v="차변"/>
    <s v="101"/>
    <s v="현금"/>
    <x v="1"/>
    <n v="110000"/>
    <n v="0"/>
    <n v="-110000"/>
    <s v="와이앤애드"/>
    <m/>
    <s v="인사노무자문료 1 X 100,000"/>
  </r>
  <r>
    <s v="2025-06-02"/>
    <x v="145"/>
    <s v="50007"/>
    <s v="대변"/>
    <s v="255"/>
    <s v="부가세예수금"/>
    <x v="3"/>
    <n v="0"/>
    <n v="10000"/>
    <n v="10000"/>
    <s v="(주)에이버츄얼"/>
    <m/>
    <s v="인사노무자문료 1 X 100,000"/>
  </r>
  <r>
    <s v="2025-06-02"/>
    <x v="145"/>
    <s v="50007"/>
    <s v="대변"/>
    <s v="401"/>
    <s v="용역매출"/>
    <x v="4"/>
    <n v="0"/>
    <n v="100000"/>
    <n v="100000"/>
    <s v="(주)에이버츄얼"/>
    <m/>
    <s v="인사노무자문료 1 X 100,000"/>
  </r>
  <r>
    <s v="2025-06-02"/>
    <x v="145"/>
    <s v="50007"/>
    <s v="차변"/>
    <s v="101"/>
    <s v="현금"/>
    <x v="1"/>
    <n v="110000"/>
    <n v="0"/>
    <n v="-110000"/>
    <s v="(주)에이버츄얼"/>
    <m/>
    <s v="인사노무자문료 1 X 100,000"/>
  </r>
  <r>
    <s v="2025-06-03"/>
    <x v="146"/>
    <s v="00001"/>
    <s v="대변"/>
    <s v="101"/>
    <s v="현금"/>
    <x v="1"/>
    <n v="0"/>
    <n v="2000"/>
    <n v="2000"/>
    <s v="하나카드(4088)"/>
    <m/>
    <m/>
  </r>
  <r>
    <s v="2025-06-03"/>
    <x v="146"/>
    <s v="00001"/>
    <s v="차변"/>
    <s v="812"/>
    <s v="여비교통비(판)"/>
    <x v="9"/>
    <n v="2000"/>
    <n v="0"/>
    <n v="-2000"/>
    <s v="주식회사 에스아이티"/>
    <m/>
    <m/>
  </r>
  <r>
    <s v="2025-06-03"/>
    <x v="146"/>
    <s v="50001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6-03"/>
    <x v="146"/>
    <s v="50001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6-03"/>
    <x v="146"/>
    <s v="50001"/>
    <s v="차변"/>
    <s v="101"/>
    <s v="현금"/>
    <x v="1"/>
    <n v="132000"/>
    <n v="0"/>
    <n v="-132000"/>
    <s v="재단법인 장성먹거리통합지원센터"/>
    <m/>
    <s v="인사노무자문료 1 X 120,000"/>
  </r>
  <r>
    <s v="2025-06-03"/>
    <x v="146"/>
    <s v="50002"/>
    <s v="대변"/>
    <s v="255"/>
    <s v="부가세예수금"/>
    <x v="3"/>
    <n v="0"/>
    <n v="15000"/>
    <n v="15000"/>
    <s v="(주)혁진팩"/>
    <m/>
    <s v="인사노무자문료 1 X 150,000"/>
  </r>
  <r>
    <s v="2025-06-03"/>
    <x v="146"/>
    <s v="50002"/>
    <s v="대변"/>
    <s v="401"/>
    <s v="용역매출"/>
    <x v="4"/>
    <n v="0"/>
    <n v="150000"/>
    <n v="150000"/>
    <s v="(주)혁진팩"/>
    <m/>
    <s v="인사노무자문료 1 X 150,000"/>
  </r>
  <r>
    <s v="2025-06-03"/>
    <x v="146"/>
    <s v="50002"/>
    <s v="차변"/>
    <s v="101"/>
    <s v="현금"/>
    <x v="1"/>
    <n v="165000"/>
    <n v="0"/>
    <n v="-165000"/>
    <s v="(주)혁진팩"/>
    <m/>
    <s v="인사노무자문료 1 X 150,000"/>
  </r>
  <r>
    <s v="2025-06-03"/>
    <x v="146"/>
    <s v="50003"/>
    <s v="대변"/>
    <s v="255"/>
    <s v="부가세예수금"/>
    <x v="3"/>
    <n v="0"/>
    <n v="15000"/>
    <n v="15000"/>
    <s v="(주)미래아이엔씨"/>
    <m/>
    <s v="인사노무자문료 1 X 150,000"/>
  </r>
  <r>
    <s v="2025-06-03"/>
    <x v="146"/>
    <s v="50003"/>
    <s v="대변"/>
    <s v="401"/>
    <s v="용역매출"/>
    <x v="4"/>
    <n v="0"/>
    <n v="150000"/>
    <n v="150000"/>
    <s v="(주)미래아이엔씨"/>
    <m/>
    <s v="인사노무자문료 1 X 150,000"/>
  </r>
  <r>
    <s v="2025-06-03"/>
    <x v="146"/>
    <s v="50003"/>
    <s v="차변"/>
    <s v="101"/>
    <s v="현금"/>
    <x v="1"/>
    <n v="165000"/>
    <n v="0"/>
    <n v="-165000"/>
    <s v="(주)미래아이엔씨"/>
    <m/>
    <s v="인사노무자문료 1 X 150,000"/>
  </r>
  <r>
    <s v="2025-06-04"/>
    <x v="147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6-04"/>
    <x v="147"/>
    <s v="00001"/>
    <s v="대변"/>
    <s v="101"/>
    <s v="현금"/>
    <x v="1"/>
    <n v="0"/>
    <n v="16000"/>
    <n v="16000"/>
    <s v="하나카드(4088)"/>
    <m/>
    <m/>
  </r>
  <r>
    <s v="2025-06-04"/>
    <x v="147"/>
    <s v="00002"/>
    <s v="차변"/>
    <s v="812"/>
    <s v="여비교통비(판)"/>
    <x v="9"/>
    <n v="2000"/>
    <n v="0"/>
    <n v="-2000"/>
    <s v="메가엠지씨커피 화순광덕점"/>
    <m/>
    <m/>
  </r>
  <r>
    <s v="2025-06-04"/>
    <x v="147"/>
    <s v="00002"/>
    <s v="대변"/>
    <s v="101"/>
    <s v="현금"/>
    <x v="1"/>
    <n v="0"/>
    <n v="2000"/>
    <n v="2000"/>
    <s v="하나카드(4088)"/>
    <m/>
    <m/>
  </r>
  <r>
    <s v="2025-06-04"/>
    <x v="147"/>
    <s v="00003"/>
    <s v="차변"/>
    <s v="812"/>
    <s v="여비교통비(판)"/>
    <x v="9"/>
    <n v="10580"/>
    <n v="0"/>
    <n v="-10580"/>
    <s v="파리바게트(광덕점)"/>
    <m/>
    <m/>
  </r>
  <r>
    <s v="2025-06-04"/>
    <x v="147"/>
    <s v="00003"/>
    <s v="대변"/>
    <s v="101"/>
    <s v="현금"/>
    <x v="1"/>
    <n v="0"/>
    <n v="10580"/>
    <n v="10580"/>
    <s v="현대카드(4817)"/>
    <m/>
    <m/>
  </r>
  <r>
    <s v="2025-06-04"/>
    <x v="147"/>
    <s v="50001"/>
    <s v="차변"/>
    <s v="135"/>
    <s v="부가세대급금"/>
    <x v="5"/>
    <n v="1359"/>
    <n v="0"/>
    <n v="-1359"/>
    <s v="㈜LG유플러스"/>
    <m/>
    <s v="2025년 06월 서비스 이용료 매출"/>
  </r>
  <r>
    <s v="2025-06-04"/>
    <x v="147"/>
    <s v="50001"/>
    <s v="차변"/>
    <s v="814"/>
    <s v="통신비(판)"/>
    <x v="10"/>
    <n v="13597"/>
    <n v="0"/>
    <n v="-13597"/>
    <s v="㈜LG유플러스"/>
    <m/>
    <s v="2025년 06월 서비스 이용료 매출"/>
  </r>
  <r>
    <s v="2025-06-04"/>
    <x v="147"/>
    <s v="50001"/>
    <s v="대변"/>
    <s v="101"/>
    <s v="현금"/>
    <x v="1"/>
    <n v="0"/>
    <n v="14956"/>
    <n v="14956"/>
    <s v="㈜LG유플러스"/>
    <m/>
    <s v="2025년 06월 서비스 이용료 매출"/>
  </r>
  <r>
    <s v="2025-06-04"/>
    <x v="147"/>
    <s v="50002"/>
    <s v="대변"/>
    <s v="255"/>
    <s v="부가세예수금"/>
    <x v="3"/>
    <n v="0"/>
    <n v="10000"/>
    <n v="10000"/>
    <s v="연세바른병원"/>
    <m/>
    <s v="인사노무자문료 1 X 100,000"/>
  </r>
  <r>
    <s v="2025-06-04"/>
    <x v="147"/>
    <s v="50002"/>
    <s v="대변"/>
    <s v="401"/>
    <s v="용역매출"/>
    <x v="4"/>
    <n v="0"/>
    <n v="100000"/>
    <n v="100000"/>
    <s v="연세바른병원"/>
    <m/>
    <s v="인사노무자문료 1 X 100,000"/>
  </r>
  <r>
    <s v="2025-06-04"/>
    <x v="147"/>
    <s v="50002"/>
    <s v="차변"/>
    <s v="101"/>
    <s v="현금"/>
    <x v="1"/>
    <n v="110000"/>
    <n v="0"/>
    <n v="-110000"/>
    <s v="연세바른병원"/>
    <m/>
    <s v="인사노무자문료 1 X 100,000"/>
  </r>
  <r>
    <s v="2025-06-04"/>
    <x v="147"/>
    <s v="50003"/>
    <s v="대변"/>
    <s v="255"/>
    <s v="부가세예수금"/>
    <x v="3"/>
    <n v="0"/>
    <n v="40000"/>
    <n v="40000"/>
    <s v="(주)모아주택산업"/>
    <m/>
    <s v="인사노무자문료 1 X 400,000"/>
  </r>
  <r>
    <s v="2025-06-04"/>
    <x v="147"/>
    <s v="50003"/>
    <s v="대변"/>
    <s v="401"/>
    <s v="용역매출"/>
    <x v="4"/>
    <n v="0"/>
    <n v="400000"/>
    <n v="400000"/>
    <s v="(주)모아주택산업"/>
    <m/>
    <s v="인사노무자문료 1 X 400,000"/>
  </r>
  <r>
    <s v="2025-06-04"/>
    <x v="147"/>
    <s v="50003"/>
    <s v="차변"/>
    <s v="101"/>
    <s v="현금"/>
    <x v="1"/>
    <n v="440000"/>
    <n v="0"/>
    <n v="-440000"/>
    <s v="(주)모아주택산업"/>
    <m/>
    <s v="인사노무자문료 1 X 400,000"/>
  </r>
  <r>
    <s v="2025-06-04"/>
    <x v="147"/>
    <s v="50004"/>
    <s v="대변"/>
    <s v="255"/>
    <s v="부가세예수금"/>
    <x v="3"/>
    <n v="0"/>
    <n v="15000"/>
    <n v="15000"/>
    <s v="(주)유진테크노"/>
    <m/>
    <s v="인사노무자문료 1 X 150,000"/>
  </r>
  <r>
    <s v="2025-06-04"/>
    <x v="147"/>
    <s v="50004"/>
    <s v="대변"/>
    <s v="401"/>
    <s v="용역매출"/>
    <x v="4"/>
    <n v="0"/>
    <n v="150000"/>
    <n v="150000"/>
    <s v="(주)유진테크노"/>
    <m/>
    <s v="인사노무자문료 1 X 150,000"/>
  </r>
  <r>
    <s v="2025-06-04"/>
    <x v="147"/>
    <s v="50004"/>
    <s v="차변"/>
    <s v="101"/>
    <s v="현금"/>
    <x v="1"/>
    <n v="165000"/>
    <n v="0"/>
    <n v="-165000"/>
    <s v="(주)유진테크노"/>
    <m/>
    <s v="인사노무자문료 1 X 150,000"/>
  </r>
  <r>
    <s v="2025-06-04"/>
    <x v="147"/>
    <s v="50005"/>
    <s v="대변"/>
    <s v="101"/>
    <s v="현금"/>
    <x v="1"/>
    <n v="0"/>
    <n v="32500"/>
    <n v="32500"/>
    <s v="현대카드(4817)"/>
    <m/>
    <m/>
  </r>
  <r>
    <s v="2025-06-04"/>
    <x v="147"/>
    <s v="50005"/>
    <s v="차변"/>
    <s v="830"/>
    <s v="소모품비(판)"/>
    <x v="6"/>
    <n v="29543"/>
    <n v="0"/>
    <n v="-29543"/>
    <s v="다이소아성산업"/>
    <s v="  "/>
    <m/>
  </r>
  <r>
    <s v="2025-06-04"/>
    <x v="147"/>
    <s v="50005"/>
    <s v="차변"/>
    <s v="135"/>
    <s v="부가세대급금"/>
    <x v="5"/>
    <n v="2957"/>
    <n v="0"/>
    <n v="-2957"/>
    <s v="다이소아성산업"/>
    <s v="  "/>
    <m/>
  </r>
  <r>
    <s v="2025-06-05"/>
    <x v="148"/>
    <s v="00001"/>
    <s v="대변"/>
    <s v="101"/>
    <s v="현금"/>
    <x v="1"/>
    <n v="0"/>
    <n v="1500"/>
    <n v="1500"/>
    <s v="하나카드(4088)"/>
    <m/>
    <m/>
  </r>
  <r>
    <s v="2025-06-05"/>
    <x v="148"/>
    <s v="00001"/>
    <s v="차변"/>
    <s v="811"/>
    <s v="복리후생비(판)"/>
    <x v="8"/>
    <n v="1500"/>
    <n v="0"/>
    <n v="-1500"/>
    <s v="아이스홀릭 첨단점"/>
    <m/>
    <m/>
  </r>
  <r>
    <s v="2025-06-05"/>
    <x v="148"/>
    <s v="00002"/>
    <s v="차변"/>
    <s v="812"/>
    <s v="여비교통비(판)"/>
    <x v="9"/>
    <n v="3600"/>
    <n v="0"/>
    <n v="-3600"/>
    <s v="한국정보통신 - 윌슨파킹"/>
    <m/>
    <m/>
  </r>
  <r>
    <s v="2025-06-05"/>
    <x v="148"/>
    <s v="00002"/>
    <s v="대변"/>
    <s v="101"/>
    <s v="현금"/>
    <x v="1"/>
    <n v="0"/>
    <n v="3600"/>
    <n v="3600"/>
    <s v="하나카드(4088)"/>
    <m/>
    <m/>
  </r>
  <r>
    <s v="2025-06-05"/>
    <x v="148"/>
    <s v="00003"/>
    <s v="차변"/>
    <s v="812"/>
    <s v="여비교통비(판)"/>
    <x v="9"/>
    <n v="27900"/>
    <n v="0"/>
    <n v="-27900"/>
    <s v="콩심 영종점"/>
    <m/>
    <m/>
  </r>
  <r>
    <s v="2025-06-05"/>
    <x v="148"/>
    <s v="00003"/>
    <s v="대변"/>
    <s v="101"/>
    <s v="현금"/>
    <x v="1"/>
    <n v="0"/>
    <n v="27900"/>
    <n v="27900"/>
    <s v="하나카드(4088)"/>
    <m/>
    <m/>
  </r>
  <r>
    <s v="2025-06-05"/>
    <x v="148"/>
    <s v="00004"/>
    <s v="차변"/>
    <s v="812"/>
    <s v="여비교통비(판)"/>
    <x v="9"/>
    <n v="1000"/>
    <n v="0"/>
    <n v="-1000"/>
    <s v="주식회사 투포인베스트먼트"/>
    <m/>
    <m/>
  </r>
  <r>
    <s v="2025-06-05"/>
    <x v="148"/>
    <s v="00004"/>
    <s v="대변"/>
    <s v="101"/>
    <s v="현금"/>
    <x v="1"/>
    <n v="0"/>
    <n v="1000"/>
    <n v="1000"/>
    <s v="하나카드(4088)"/>
    <m/>
    <m/>
  </r>
  <r>
    <s v="2025-06-05"/>
    <x v="148"/>
    <s v="00005"/>
    <s v="차변"/>
    <s v="822"/>
    <s v="차량유지비(판)"/>
    <x v="11"/>
    <n v="150000"/>
    <n v="0"/>
    <n v="-150000"/>
    <s v="（주）한백자동차정비"/>
    <m/>
    <m/>
  </r>
  <r>
    <s v="2025-06-05"/>
    <x v="148"/>
    <s v="00005"/>
    <s v="대변"/>
    <s v="101"/>
    <s v="현금"/>
    <x v="1"/>
    <n v="0"/>
    <n v="150000"/>
    <n v="150000"/>
    <s v="농협카드(6215)"/>
    <m/>
    <m/>
  </r>
  <r>
    <s v="2025-06-06"/>
    <x v="149"/>
    <s v="00001"/>
    <s v="차변"/>
    <s v="812"/>
    <s v="여비교통비(판)"/>
    <x v="9"/>
    <n v="38400"/>
    <n v="0"/>
    <n v="-38400"/>
    <s v="(주)아워홈 T1점"/>
    <m/>
    <m/>
  </r>
  <r>
    <s v="2025-06-06"/>
    <x v="149"/>
    <s v="00001"/>
    <s v="대변"/>
    <s v="101"/>
    <s v="현금"/>
    <x v="1"/>
    <n v="0"/>
    <n v="38400"/>
    <n v="38400"/>
    <s v="하나카드(4088)"/>
    <m/>
    <m/>
  </r>
  <r>
    <s v="2025-06-06"/>
    <x v="149"/>
    <s v="00002"/>
    <s v="대변"/>
    <s v="101"/>
    <s v="현금"/>
    <x v="1"/>
    <n v="0"/>
    <n v="16000"/>
    <n v="16000"/>
    <s v="하나카드(4088)"/>
    <m/>
    <m/>
  </r>
  <r>
    <s v="2025-06-06"/>
    <x v="149"/>
    <s v="00002"/>
    <s v="차변"/>
    <s v="812"/>
    <s v="여비교통비(판)"/>
    <x v="9"/>
    <n v="16000"/>
    <n v="0"/>
    <n v="-16000"/>
    <s v="에이케이플라자(주) 인천공항점"/>
    <m/>
    <m/>
  </r>
  <r>
    <s v="2025-06-07"/>
    <x v="150"/>
    <s v="50001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6-07"/>
    <x v="150"/>
    <s v="50001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6-07"/>
    <x v="150"/>
    <s v="50001"/>
    <s v="대변"/>
    <s v="101"/>
    <s v="현금"/>
    <x v="1"/>
    <n v="0"/>
    <n v="21120"/>
    <n v="21120"/>
    <s v="주식회사 케이티"/>
    <m/>
    <s v="구내인터넷 Standard(100M) (503300019511) 1 X 19,200"/>
  </r>
  <r>
    <s v="2025-06-07"/>
    <x v="150"/>
    <s v="50002"/>
    <s v="차변"/>
    <s v="822"/>
    <s v="차량유지비(판)"/>
    <x v="11"/>
    <n v="5500"/>
    <n v="0"/>
    <n v="-5500"/>
    <s v="현대자동차㈜ 본사"/>
    <m/>
    <s v="제네시스 커넥티드서비스"/>
  </r>
  <r>
    <s v="2025-06-07"/>
    <x v="150"/>
    <s v="50002"/>
    <s v="대변"/>
    <s v="101"/>
    <s v="현금"/>
    <x v="1"/>
    <n v="0"/>
    <n v="5500"/>
    <n v="5500"/>
    <s v="현대자동차㈜ 본사"/>
    <m/>
    <s v="제네시스 커넥티드서비스"/>
  </r>
  <r>
    <s v="2025-06-09"/>
    <x v="151"/>
    <s v="00001"/>
    <s v="차변"/>
    <s v="830"/>
    <s v="소모품비(판)"/>
    <x v="6"/>
    <n v="4233"/>
    <n v="0"/>
    <n v="-4233"/>
    <s v="네이버페이"/>
    <m/>
    <m/>
  </r>
  <r>
    <s v="2025-06-09"/>
    <x v="151"/>
    <s v="00001"/>
    <s v="대변"/>
    <s v="101"/>
    <s v="현금"/>
    <x v="1"/>
    <n v="0"/>
    <n v="4233"/>
    <n v="4233"/>
    <s v="현대카드(4817)"/>
    <m/>
    <m/>
  </r>
  <r>
    <s v="2025-06-10"/>
    <x v="152"/>
    <s v="00001"/>
    <s v="차변"/>
    <s v="254"/>
    <s v="예수금"/>
    <x v="12"/>
    <n v="149400"/>
    <n v="0"/>
    <n v="-149400"/>
    <s v="국민연금공단"/>
    <s v="  "/>
    <s v="2505연금"/>
  </r>
  <r>
    <s v="2025-06-10"/>
    <x v="152"/>
    <s v="00001"/>
    <s v="대변"/>
    <s v="101"/>
    <s v="현금"/>
    <x v="1"/>
    <n v="0"/>
    <n v="298800"/>
    <n v="298800"/>
    <s v="국민연금공단"/>
    <s v="  "/>
    <s v="2505연금"/>
  </r>
  <r>
    <s v="2025-06-10"/>
    <x v="152"/>
    <s v="00001"/>
    <s v="차변"/>
    <s v="817"/>
    <s v="세금과공과금(판)"/>
    <x v="14"/>
    <n v="149400"/>
    <n v="0"/>
    <n v="-149400"/>
    <s v="국민연금공단"/>
    <s v="  "/>
    <s v="2505연금"/>
  </r>
  <r>
    <s v="2025-06-10"/>
    <x v="152"/>
    <s v="00002"/>
    <s v="차변"/>
    <s v="254"/>
    <s v="예수금"/>
    <x v="12"/>
    <n v="6300"/>
    <n v="0"/>
    <n v="-6300"/>
    <s v="근로복지공단"/>
    <s v="  "/>
    <s v="2505고용"/>
  </r>
  <r>
    <s v="2025-06-10"/>
    <x v="152"/>
    <s v="00002"/>
    <s v="대변"/>
    <s v="101"/>
    <s v="현금"/>
    <x v="1"/>
    <n v="0"/>
    <n v="14350"/>
    <n v="14350"/>
    <s v="근로복지공단"/>
    <s v="  "/>
    <s v="2505고용"/>
  </r>
  <r>
    <s v="2025-06-10"/>
    <x v="152"/>
    <s v="00002"/>
    <s v="차변"/>
    <s v="821"/>
    <s v="보험료(판)"/>
    <x v="13"/>
    <n v="8050"/>
    <n v="0"/>
    <n v="-8050"/>
    <s v="근로복지공단"/>
    <s v="  "/>
    <s v="2505고용"/>
  </r>
  <r>
    <s v="2025-06-10"/>
    <x v="152"/>
    <s v="00003"/>
    <s v="차변"/>
    <s v="830"/>
    <s v="소모품비(판)"/>
    <x v="6"/>
    <n v="9900"/>
    <n v="0"/>
    <n v="-9900"/>
    <s v="네이버페이"/>
    <m/>
    <m/>
  </r>
  <r>
    <s v="2025-06-10"/>
    <x v="152"/>
    <s v="00003"/>
    <s v="대변"/>
    <s v="101"/>
    <s v="현금"/>
    <x v="1"/>
    <n v="0"/>
    <n v="9900"/>
    <n v="9900"/>
    <s v="현대카드(4817)"/>
    <m/>
    <m/>
  </r>
  <r>
    <s v="2025-06-10"/>
    <x v="152"/>
    <s v="00004"/>
    <s v="차변"/>
    <s v="812"/>
    <s v="여비교통비(판)"/>
    <x v="9"/>
    <n v="7400"/>
    <n v="0"/>
    <n v="-7400"/>
    <s v="맘스터치"/>
    <m/>
    <m/>
  </r>
  <r>
    <s v="2025-06-10"/>
    <x v="152"/>
    <s v="00004"/>
    <s v="대변"/>
    <s v="101"/>
    <s v="현금"/>
    <x v="1"/>
    <n v="0"/>
    <n v="7400"/>
    <n v="7400"/>
    <s v="하나카드(4088)"/>
    <m/>
    <m/>
  </r>
  <r>
    <s v="2025-06-10"/>
    <x v="152"/>
    <s v="00005"/>
    <s v="차변"/>
    <s v="814"/>
    <s v="통신비(판)"/>
    <x v="10"/>
    <n v="5500"/>
    <n v="0"/>
    <n v="-5500"/>
    <s v="주식회사 케이티"/>
    <m/>
    <m/>
  </r>
  <r>
    <s v="2025-06-10"/>
    <x v="152"/>
    <s v="00005"/>
    <s v="대변"/>
    <s v="101"/>
    <s v="현금"/>
    <x v="1"/>
    <n v="0"/>
    <n v="5500"/>
    <n v="5500"/>
    <s v="하나카드(4088)"/>
    <m/>
    <m/>
  </r>
  <r>
    <s v="2025-06-10"/>
    <x v="152"/>
    <s v="50001"/>
    <s v="대변"/>
    <s v="255"/>
    <s v="부가세예수금"/>
    <x v="3"/>
    <n v="0"/>
    <n v="7000"/>
    <n v="7000"/>
    <s v="(유)임마누엘"/>
    <m/>
    <s v="인사노무자문료 1 X 70,000"/>
  </r>
  <r>
    <s v="2025-06-10"/>
    <x v="152"/>
    <s v="50001"/>
    <s v="대변"/>
    <s v="401"/>
    <s v="용역매출"/>
    <x v="4"/>
    <n v="0"/>
    <n v="70000"/>
    <n v="70000"/>
    <s v="(유)임마누엘"/>
    <m/>
    <s v="인사노무자문료 1 X 70,000"/>
  </r>
  <r>
    <s v="2025-06-10"/>
    <x v="152"/>
    <s v="50001"/>
    <s v="차변"/>
    <s v="101"/>
    <s v="현금"/>
    <x v="1"/>
    <n v="77000"/>
    <n v="0"/>
    <n v="-77000"/>
    <s v="(유)임마누엘"/>
    <m/>
    <s v="인사노무자문료 1 X 70,000"/>
  </r>
  <r>
    <s v="2025-06-10"/>
    <x v="152"/>
    <s v="50002"/>
    <s v="대변"/>
    <s v="255"/>
    <s v="부가세예수금"/>
    <x v="3"/>
    <n v="0"/>
    <n v="-7000"/>
    <n v="-7000"/>
    <s v="(유)에이스"/>
    <m/>
    <s v="인사노무자문료 -1 X 70,000"/>
  </r>
  <r>
    <s v="2025-06-10"/>
    <x v="152"/>
    <s v="50002"/>
    <s v="대변"/>
    <s v="401"/>
    <s v="용역매출"/>
    <x v="4"/>
    <n v="0"/>
    <n v="-70000"/>
    <n v="-70000"/>
    <s v="(유)에이스"/>
    <m/>
    <s v="인사노무자문료 -1 X 70,000"/>
  </r>
  <r>
    <s v="2025-06-10"/>
    <x v="152"/>
    <s v="50002"/>
    <s v="차변"/>
    <s v="101"/>
    <s v="현금"/>
    <x v="1"/>
    <n v="-77000"/>
    <n v="0"/>
    <n v="77000"/>
    <s v="(유)에이스"/>
    <m/>
    <s v="인사노무자문료 -1 X 70,000"/>
  </r>
  <r>
    <s v="2025-06-10"/>
    <x v="152"/>
    <s v="50003"/>
    <s v="대변"/>
    <s v="255"/>
    <s v="부가세예수금"/>
    <x v="3"/>
    <n v="0"/>
    <n v="7000"/>
    <n v="7000"/>
    <s v="(유)에이스"/>
    <m/>
    <s v="인사노무자문료 1 X 70,000"/>
  </r>
  <r>
    <s v="2025-06-10"/>
    <x v="152"/>
    <s v="50003"/>
    <s v="대변"/>
    <s v="401"/>
    <s v="용역매출"/>
    <x v="4"/>
    <n v="0"/>
    <n v="70000"/>
    <n v="70000"/>
    <s v="(유)에이스"/>
    <m/>
    <s v="인사노무자문료 1 X 70,000"/>
  </r>
  <r>
    <s v="2025-06-10"/>
    <x v="152"/>
    <s v="50003"/>
    <s v="차변"/>
    <s v="101"/>
    <s v="현금"/>
    <x v="1"/>
    <n v="77000"/>
    <n v="0"/>
    <n v="-77000"/>
    <s v="(유)에이스"/>
    <m/>
    <s v="인사노무자문료 1 X 70,000"/>
  </r>
  <r>
    <s v="2025-06-10"/>
    <x v="152"/>
    <s v="50004"/>
    <s v="대변"/>
    <s v="255"/>
    <s v="부가세예수금"/>
    <x v="3"/>
    <n v="0"/>
    <n v="10000"/>
    <n v="10000"/>
    <s v="현명산업주식회사"/>
    <m/>
    <s v="인사노무자문료 1 X 100,000"/>
  </r>
  <r>
    <s v="2025-06-10"/>
    <x v="152"/>
    <s v="50004"/>
    <s v="대변"/>
    <s v="401"/>
    <s v="용역매출"/>
    <x v="4"/>
    <n v="0"/>
    <n v="100000"/>
    <n v="100000"/>
    <s v="현명산업주식회사"/>
    <m/>
    <s v="인사노무자문료 1 X 100,000"/>
  </r>
  <r>
    <s v="2025-06-10"/>
    <x v="152"/>
    <s v="50004"/>
    <s v="차변"/>
    <s v="101"/>
    <s v="현금"/>
    <x v="1"/>
    <n v="110000"/>
    <n v="0"/>
    <n v="-110000"/>
    <s v="현명산업주식회사"/>
    <m/>
    <s v="인사노무자문료 1 X 100,000"/>
  </r>
  <r>
    <s v="2025-06-11"/>
    <x v="153"/>
    <s v="00001"/>
    <s v="차변"/>
    <s v="812"/>
    <s v="여비교통비(판)"/>
    <x v="9"/>
    <n v="5000"/>
    <n v="0"/>
    <n v="-5000"/>
    <s v="(주)이동의즐거움"/>
    <m/>
    <m/>
  </r>
  <r>
    <s v="2025-06-11"/>
    <x v="153"/>
    <s v="00001"/>
    <s v="대변"/>
    <s v="101"/>
    <s v="현금"/>
    <x v="1"/>
    <n v="0"/>
    <n v="5000"/>
    <n v="5000"/>
    <s v="하나카드(4088)"/>
    <m/>
    <m/>
  </r>
  <r>
    <s v="2025-06-11"/>
    <x v="153"/>
    <s v="00002"/>
    <s v="차변"/>
    <s v="812"/>
    <s v="여비교통비(판)"/>
    <x v="9"/>
    <n v="1000"/>
    <n v="0"/>
    <n v="-1000"/>
    <s v="(주)이동의즐거움"/>
    <m/>
    <m/>
  </r>
  <r>
    <s v="2025-06-11"/>
    <x v="153"/>
    <s v="00002"/>
    <s v="대변"/>
    <s v="101"/>
    <s v="현금"/>
    <x v="1"/>
    <n v="0"/>
    <n v="1000"/>
    <n v="1000"/>
    <s v="하나카드(4088)"/>
    <m/>
    <m/>
  </r>
  <r>
    <s v="2025-06-11"/>
    <x v="153"/>
    <s v="00003"/>
    <s v="차변"/>
    <s v="812"/>
    <s v="여비교통비(판)"/>
    <x v="9"/>
    <n v="5100"/>
    <n v="0"/>
    <n v="-5100"/>
    <s v="청자다방(첨단공원점)"/>
    <m/>
    <m/>
  </r>
  <r>
    <s v="2025-06-11"/>
    <x v="153"/>
    <s v="00003"/>
    <s v="대변"/>
    <s v="101"/>
    <s v="현금"/>
    <x v="1"/>
    <n v="0"/>
    <n v="5100"/>
    <n v="5100"/>
    <s v="하나카드(4088)"/>
    <m/>
    <m/>
  </r>
  <r>
    <s v="2025-06-11"/>
    <x v="153"/>
    <s v="00004"/>
    <s v="차변"/>
    <s v="813"/>
    <s v="접대비(기업업무추진비)(판)"/>
    <x v="0"/>
    <n v="63700"/>
    <n v="0"/>
    <n v="-63700"/>
    <s v="바른샤브"/>
    <s v="02"/>
    <s v="거래처 접대비(기업업무추진비)/신용카드(개인)"/>
  </r>
  <r>
    <s v="2025-06-11"/>
    <x v="153"/>
    <s v="00004"/>
    <s v="대변"/>
    <s v="101"/>
    <s v="현금"/>
    <x v="1"/>
    <n v="0"/>
    <n v="63700"/>
    <n v="63700"/>
    <s v="하나카드(4088)"/>
    <m/>
    <m/>
  </r>
  <r>
    <s v="2025-06-11"/>
    <x v="153"/>
    <s v="50001"/>
    <s v="대변"/>
    <s v="255"/>
    <s v="부가세예수금"/>
    <x v="3"/>
    <n v="0"/>
    <n v="10000"/>
    <n v="10000"/>
    <s v="샤브사랑"/>
    <m/>
    <s v="인사노무자문료 1 X 100,000"/>
  </r>
  <r>
    <s v="2025-06-11"/>
    <x v="153"/>
    <s v="50001"/>
    <s v="대변"/>
    <s v="401"/>
    <s v="용역매출"/>
    <x v="4"/>
    <n v="0"/>
    <n v="100000"/>
    <n v="100000"/>
    <s v="샤브사랑"/>
    <m/>
    <s v="인사노무자문료 1 X 100,000"/>
  </r>
  <r>
    <s v="2025-06-11"/>
    <x v="153"/>
    <s v="50001"/>
    <s v="차변"/>
    <s v="101"/>
    <s v="현금"/>
    <x v="1"/>
    <n v="110000"/>
    <n v="0"/>
    <n v="-110000"/>
    <s v="샤브사랑"/>
    <m/>
    <s v="인사노무자문료 1 X 100,000"/>
  </r>
  <r>
    <s v="2025-06-12"/>
    <x v="154"/>
    <s v="00001"/>
    <s v="차변"/>
    <s v="811"/>
    <s v="복리후생비(판)"/>
    <x v="8"/>
    <n v="13000"/>
    <n v="0"/>
    <n v="-13000"/>
    <s v="오라봉국수"/>
    <m/>
    <m/>
  </r>
  <r>
    <s v="2025-06-12"/>
    <x v="154"/>
    <s v="00001"/>
    <s v="대변"/>
    <s v="101"/>
    <s v="현금"/>
    <x v="1"/>
    <n v="0"/>
    <n v="13000"/>
    <n v="13000"/>
    <s v="하나카드(4088)"/>
    <m/>
    <m/>
  </r>
  <r>
    <s v="2025-06-12"/>
    <x v="154"/>
    <s v="00002"/>
    <s v="차변"/>
    <s v="830"/>
    <s v="소모품비(판)"/>
    <x v="6"/>
    <n v="9200"/>
    <n v="0"/>
    <n v="-9200"/>
    <s v="햇살마트"/>
    <m/>
    <m/>
  </r>
  <r>
    <s v="2025-06-12"/>
    <x v="154"/>
    <s v="00002"/>
    <s v="대변"/>
    <s v="101"/>
    <s v="현금"/>
    <x v="1"/>
    <n v="0"/>
    <n v="9200"/>
    <n v="9200"/>
    <s v="하나카드(4088)"/>
    <m/>
    <m/>
  </r>
  <r>
    <s v="2025-06-12"/>
    <x v="154"/>
    <s v="00003"/>
    <s v="대변"/>
    <s v="101"/>
    <s v="현금"/>
    <x v="1"/>
    <n v="0"/>
    <n v="4280"/>
    <n v="4280"/>
    <s v="하나카드(4088)"/>
    <m/>
    <m/>
  </r>
  <r>
    <s v="2025-06-12"/>
    <x v="154"/>
    <s v="00003"/>
    <s v="차변"/>
    <s v="824"/>
    <s v="운반비(판)"/>
    <x v="15"/>
    <n v="4280"/>
    <n v="0"/>
    <n v="-4280"/>
    <s v="우정사업본부광주"/>
    <m/>
    <m/>
  </r>
  <r>
    <s v="2025-06-12"/>
    <x v="154"/>
    <s v="00004"/>
    <s v="차변"/>
    <s v="831"/>
    <s v="지급수수료(판)"/>
    <x v="7"/>
    <n v="1990"/>
    <n v="0"/>
    <n v="-1990"/>
    <s v="나이스페이먼츠 주식회사 (NICE Payments Co"/>
    <m/>
    <m/>
  </r>
  <r>
    <s v="2025-06-12"/>
    <x v="154"/>
    <s v="00004"/>
    <s v="대변"/>
    <s v="101"/>
    <s v="현금"/>
    <x v="1"/>
    <n v="0"/>
    <n v="1990"/>
    <n v="1990"/>
    <s v="하나카드(4088)"/>
    <m/>
    <m/>
  </r>
  <r>
    <s v="2025-06-12"/>
    <x v="154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6-12"/>
    <x v="154"/>
    <s v="50001"/>
    <s v="대변"/>
    <s v="401"/>
    <s v="용역매출"/>
    <x v="4"/>
    <n v="0"/>
    <n v="150000"/>
    <n v="150000"/>
    <s v="정다운메디컬센터"/>
    <m/>
    <s v="인사노무자문료 1 X 150,000"/>
  </r>
  <r>
    <s v="2025-06-12"/>
    <x v="154"/>
    <s v="50001"/>
    <s v="차변"/>
    <s v="101"/>
    <s v="현금"/>
    <x v="1"/>
    <n v="165000"/>
    <n v="0"/>
    <n v="-165000"/>
    <s v="정다운메디컬센터"/>
    <m/>
    <s v="인사노무자문료 1 X 150,000"/>
  </r>
  <r>
    <s v="2025-06-13"/>
    <x v="155"/>
    <s v="00001"/>
    <s v="차변"/>
    <s v="811"/>
    <s v="복리후생비(판)"/>
    <x v="8"/>
    <n v="9000"/>
    <n v="0"/>
    <n v="-9000"/>
    <s v="커피에이블"/>
    <m/>
    <m/>
  </r>
  <r>
    <s v="2025-06-13"/>
    <x v="155"/>
    <s v="00001"/>
    <s v="대변"/>
    <s v="101"/>
    <s v="현금"/>
    <x v="1"/>
    <n v="0"/>
    <n v="9000"/>
    <n v="9000"/>
    <s v="하나카드(4088)"/>
    <m/>
    <m/>
  </r>
  <r>
    <s v="2025-06-13"/>
    <x v="155"/>
    <s v="00002"/>
    <s v="차변"/>
    <s v="812"/>
    <s v="여비교통비(판)"/>
    <x v="9"/>
    <n v="4000"/>
    <n v="0"/>
    <n v="-4000"/>
    <s v="(주)대청산업개발 장흥 정남진휴게소"/>
    <m/>
    <m/>
  </r>
  <r>
    <s v="2025-06-13"/>
    <x v="155"/>
    <s v="00002"/>
    <s v="대변"/>
    <s v="101"/>
    <s v="현금"/>
    <x v="1"/>
    <n v="0"/>
    <n v="4000"/>
    <n v="4000"/>
    <s v="하나카드(4088)"/>
    <m/>
    <m/>
  </r>
  <r>
    <s v="2025-06-14"/>
    <x v="156"/>
    <s v="00001"/>
    <s v="차변"/>
    <s v="830"/>
    <s v="소모품비(판)"/>
    <x v="6"/>
    <n v="940500"/>
    <n v="0"/>
    <n v="-940500"/>
    <s v="(주)이니시스 - 풀무원"/>
    <m/>
    <m/>
  </r>
  <r>
    <s v="2025-06-14"/>
    <x v="156"/>
    <s v="00001"/>
    <s v="대변"/>
    <s v="101"/>
    <s v="현금"/>
    <x v="1"/>
    <n v="0"/>
    <n v="940500"/>
    <n v="940500"/>
    <s v="국민카드(2005)"/>
    <m/>
    <m/>
  </r>
  <r>
    <s v="2025-06-14"/>
    <x v="156"/>
    <s v="00002"/>
    <s v="차변"/>
    <s v="830"/>
    <s v="소모품비(판)"/>
    <x v="6"/>
    <n v="18550"/>
    <n v="0"/>
    <n v="-18550"/>
    <s v="（주）찬해영암마트"/>
    <m/>
    <m/>
  </r>
  <r>
    <s v="2025-06-14"/>
    <x v="156"/>
    <s v="00002"/>
    <s v="대변"/>
    <s v="101"/>
    <s v="현금"/>
    <x v="1"/>
    <n v="0"/>
    <n v="18550"/>
    <n v="18550"/>
    <s v="하나카드(4088)"/>
    <m/>
    <m/>
  </r>
  <r>
    <s v="2025-06-15"/>
    <x v="157"/>
    <s v="00001"/>
    <s v="차변"/>
    <s v="811"/>
    <s v="복리후생비(판)"/>
    <x v="8"/>
    <n v="18700"/>
    <n v="0"/>
    <n v="-18700"/>
    <s v="파리바게트 첨단점"/>
    <m/>
    <m/>
  </r>
  <r>
    <s v="2025-06-15"/>
    <x v="157"/>
    <s v="00001"/>
    <s v="대변"/>
    <s v="101"/>
    <s v="현금"/>
    <x v="1"/>
    <n v="0"/>
    <n v="18700"/>
    <n v="18700"/>
    <s v="현대카드(4817)"/>
    <m/>
    <m/>
  </r>
  <r>
    <s v="2025-06-15"/>
    <x v="157"/>
    <s v="00002"/>
    <s v="차변"/>
    <s v="830"/>
    <s v="소모품비(판)"/>
    <x v="6"/>
    <n v="13380"/>
    <n v="0"/>
    <n v="-13380"/>
    <s v="에이플러스마트"/>
    <m/>
    <m/>
  </r>
  <r>
    <s v="2025-06-15"/>
    <x v="157"/>
    <s v="00002"/>
    <s v="대변"/>
    <s v="101"/>
    <s v="현금"/>
    <x v="1"/>
    <n v="0"/>
    <n v="13380"/>
    <n v="13380"/>
    <s v="하나카드(4088)"/>
    <m/>
    <m/>
  </r>
  <r>
    <s v="2025-06-15"/>
    <x v="157"/>
    <s v="00003"/>
    <s v="차변"/>
    <s v="812"/>
    <s v="여비교통비(판)"/>
    <x v="9"/>
    <n v="3600"/>
    <n v="0"/>
    <n v="-3600"/>
    <s v="한국정보통신 - 윌슨파킹"/>
    <m/>
    <m/>
  </r>
  <r>
    <s v="2025-06-15"/>
    <x v="157"/>
    <s v="00003"/>
    <s v="대변"/>
    <s v="101"/>
    <s v="현금"/>
    <x v="1"/>
    <n v="0"/>
    <n v="3600"/>
    <n v="3600"/>
    <s v="하나카드(4088)"/>
    <m/>
    <m/>
  </r>
  <r>
    <s v="2025-06-15"/>
    <x v="157"/>
    <s v="00004"/>
    <s v="차변"/>
    <s v="822"/>
    <s v="차량유지비(판)"/>
    <x v="11"/>
    <n v="50000"/>
    <n v="0"/>
    <n v="-50000"/>
    <s v="（유）금성물류 광주지점"/>
    <m/>
    <m/>
  </r>
  <r>
    <s v="2025-06-15"/>
    <x v="157"/>
    <s v="00004"/>
    <s v="대변"/>
    <s v="101"/>
    <s v="현금"/>
    <x v="1"/>
    <n v="0"/>
    <n v="50000"/>
    <n v="50000"/>
    <s v="현대카드(4817)"/>
    <m/>
    <m/>
  </r>
  <r>
    <s v="2025-06-15"/>
    <x v="157"/>
    <s v="00005"/>
    <s v="차변"/>
    <s v="811"/>
    <s v="복리후생비(판)"/>
    <x v="8"/>
    <n v="61963"/>
    <n v="0"/>
    <n v="-61963"/>
    <s v="아구찜 참 잘하는집 광주 계림점"/>
    <m/>
    <m/>
  </r>
  <r>
    <s v="2025-06-15"/>
    <x v="157"/>
    <s v="00005"/>
    <s v="대변"/>
    <s v="101"/>
    <s v="현금"/>
    <x v="1"/>
    <n v="0"/>
    <n v="61963"/>
    <n v="61963"/>
    <s v="아구찜 참 잘하는집 광주 계림점"/>
    <m/>
    <m/>
  </r>
  <r>
    <s v="2025-06-15"/>
    <x v="157"/>
    <s v="00006"/>
    <s v="대변"/>
    <s v="101"/>
    <s v="현금"/>
    <x v="1"/>
    <n v="0"/>
    <n v="29800"/>
    <n v="29800"/>
    <s v="하이유통"/>
    <m/>
    <m/>
  </r>
  <r>
    <s v="2025-06-15"/>
    <x v="157"/>
    <s v="00006"/>
    <s v="차변"/>
    <s v="830"/>
    <s v="소모품비(판)"/>
    <x v="6"/>
    <n v="29800"/>
    <n v="0"/>
    <n v="-29800"/>
    <s v="하이유통"/>
    <m/>
    <m/>
  </r>
  <r>
    <s v="2025-06-16"/>
    <x v="158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6-16"/>
    <x v="158"/>
    <s v="00001"/>
    <s v="대변"/>
    <s v="101"/>
    <s v="현금"/>
    <x v="1"/>
    <n v="0"/>
    <n v="16000"/>
    <n v="16000"/>
    <s v="하나카드(4088)"/>
    <m/>
    <m/>
  </r>
  <r>
    <s v="2025-06-16"/>
    <x v="158"/>
    <s v="00002"/>
    <s v="대변"/>
    <s v="101"/>
    <s v="현금"/>
    <x v="1"/>
    <n v="0"/>
    <n v="13300"/>
    <n v="13300"/>
    <s v="하나카드(4088)"/>
    <m/>
    <m/>
  </r>
  <r>
    <s v="2025-06-16"/>
    <x v="158"/>
    <s v="00002"/>
    <s v="차변"/>
    <s v="812"/>
    <s v="여비교통비(판)"/>
    <x v="9"/>
    <n v="13300"/>
    <n v="0"/>
    <n v="-13300"/>
    <s v="제이케이(JK）"/>
    <m/>
    <m/>
  </r>
  <r>
    <s v="2025-06-17"/>
    <x v="159"/>
    <s v="00001"/>
    <s v="차변"/>
    <s v="811"/>
    <s v="복리후생비(판)"/>
    <x v="8"/>
    <n v="5100"/>
    <n v="0"/>
    <n v="-5100"/>
    <s v="공차첨단엘씨타워점"/>
    <m/>
    <m/>
  </r>
  <r>
    <s v="2025-06-17"/>
    <x v="159"/>
    <s v="00001"/>
    <s v="대변"/>
    <s v="101"/>
    <s v="현금"/>
    <x v="1"/>
    <n v="0"/>
    <n v="5100"/>
    <n v="5100"/>
    <s v="현대카드(4817)"/>
    <m/>
    <m/>
  </r>
  <r>
    <s v="2025-06-17"/>
    <x v="159"/>
    <s v="00002"/>
    <s v="대변"/>
    <s v="101"/>
    <s v="현금"/>
    <x v="1"/>
    <n v="0"/>
    <n v="2000"/>
    <n v="2000"/>
    <s v="현대카드(4817)"/>
    <m/>
    <m/>
  </r>
  <r>
    <s v="2025-06-17"/>
    <x v="159"/>
    <s v="00002"/>
    <s v="차변"/>
    <s v="812"/>
    <s v="여비교통비(판)"/>
    <x v="9"/>
    <n v="2000"/>
    <n v="0"/>
    <n v="-2000"/>
    <s v="주식회사 에스아이티"/>
    <m/>
    <m/>
  </r>
  <r>
    <s v="2025-06-17"/>
    <x v="159"/>
    <s v="50001"/>
    <s v="대변"/>
    <s v="255"/>
    <s v="부가세예수금"/>
    <x v="3"/>
    <n v="0"/>
    <n v="13637"/>
    <n v="13637"/>
    <s v="주식회사 청경"/>
    <m/>
    <s v="인사노무자문료 1 X 136,363"/>
  </r>
  <r>
    <s v="2025-06-17"/>
    <x v="159"/>
    <s v="50001"/>
    <s v="대변"/>
    <s v="401"/>
    <s v="용역매출"/>
    <x v="4"/>
    <n v="0"/>
    <n v="136363"/>
    <n v="136363"/>
    <s v="주식회사 청경"/>
    <m/>
    <s v="인사노무자문료 1 X 136,363"/>
  </r>
  <r>
    <s v="2025-06-17"/>
    <x v="159"/>
    <s v="50001"/>
    <s v="차변"/>
    <s v="101"/>
    <s v="현금"/>
    <x v="1"/>
    <n v="150000"/>
    <n v="0"/>
    <n v="-150000"/>
    <s v="주식회사 청경"/>
    <m/>
    <s v="인사노무자문료 1 X 136,363"/>
  </r>
  <r>
    <s v="2025-06-18"/>
    <x v="160"/>
    <s v="00001"/>
    <s v="차변"/>
    <s v="811"/>
    <s v="복리후생비(판)"/>
    <x v="8"/>
    <n v="3000"/>
    <n v="0"/>
    <n v="-3000"/>
    <s v="김밥랜드"/>
    <m/>
    <m/>
  </r>
  <r>
    <s v="2025-06-18"/>
    <x v="160"/>
    <s v="00001"/>
    <s v="대변"/>
    <s v="101"/>
    <s v="현금"/>
    <x v="1"/>
    <n v="0"/>
    <n v="3000"/>
    <n v="3000"/>
    <s v="하나카드(4088)"/>
    <m/>
    <m/>
  </r>
  <r>
    <s v="2025-06-18"/>
    <x v="160"/>
    <s v="00002"/>
    <s v="차변"/>
    <s v="811"/>
    <s v="복리후생비(판)"/>
    <x v="8"/>
    <n v="22000"/>
    <n v="0"/>
    <n v="-22000"/>
    <s v="본가모밀 25시"/>
    <m/>
    <m/>
  </r>
  <r>
    <s v="2025-06-18"/>
    <x v="160"/>
    <s v="00002"/>
    <s v="대변"/>
    <s v="101"/>
    <s v="현금"/>
    <x v="1"/>
    <n v="0"/>
    <n v="22000"/>
    <n v="22000"/>
    <s v="하나카드(4088)"/>
    <m/>
    <m/>
  </r>
  <r>
    <s v="2025-06-18"/>
    <x v="160"/>
    <s v="00003"/>
    <s v="차변"/>
    <s v="830"/>
    <s v="소모품비(판)"/>
    <x v="6"/>
    <n v="20800"/>
    <n v="0"/>
    <n v="-20800"/>
    <s v="햇살마트"/>
    <m/>
    <m/>
  </r>
  <r>
    <s v="2025-06-18"/>
    <x v="160"/>
    <s v="00003"/>
    <s v="대변"/>
    <s v="101"/>
    <s v="현금"/>
    <x v="1"/>
    <n v="0"/>
    <n v="20800"/>
    <n v="20800"/>
    <s v="하나카드(4088)"/>
    <m/>
    <m/>
  </r>
  <r>
    <s v="2025-06-18"/>
    <x v="160"/>
    <s v="00004"/>
    <s v="차변"/>
    <s v="812"/>
    <s v="여비교통비(판)"/>
    <x v="9"/>
    <n v="1400"/>
    <n v="0"/>
    <n v="-1400"/>
    <s v="지에스25광주병원센터점"/>
    <m/>
    <m/>
  </r>
  <r>
    <s v="2025-06-18"/>
    <x v="160"/>
    <s v="00004"/>
    <s v="대변"/>
    <s v="101"/>
    <s v="현금"/>
    <x v="1"/>
    <n v="0"/>
    <n v="1400"/>
    <n v="1400"/>
    <s v="하나카드(4088)"/>
    <m/>
    <m/>
  </r>
  <r>
    <s v="2025-06-18"/>
    <x v="160"/>
    <s v="00005"/>
    <s v="차변"/>
    <s v="812"/>
    <s v="여비교통비(판)"/>
    <x v="9"/>
    <n v="2000"/>
    <n v="0"/>
    <n v="-2000"/>
    <s v="카페게이트 광주첨단점"/>
    <m/>
    <m/>
  </r>
  <r>
    <s v="2025-06-18"/>
    <x v="160"/>
    <s v="00005"/>
    <s v="대변"/>
    <s v="101"/>
    <s v="현금"/>
    <x v="1"/>
    <n v="0"/>
    <n v="2000"/>
    <n v="2000"/>
    <s v="하나카드(4088)"/>
    <m/>
    <m/>
  </r>
  <r>
    <s v="2025-06-19"/>
    <x v="161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6-19"/>
    <x v="161"/>
    <s v="00001"/>
    <s v="대변"/>
    <s v="101"/>
    <s v="현금"/>
    <x v="1"/>
    <n v="0"/>
    <n v="16000"/>
    <n v="16000"/>
    <s v="하나카드(4088)"/>
    <m/>
    <m/>
  </r>
  <r>
    <s v="2025-06-19"/>
    <x v="161"/>
    <s v="00002"/>
    <s v="차변"/>
    <s v="830"/>
    <s v="소모품비(판)"/>
    <x v="6"/>
    <n v="8400"/>
    <n v="0"/>
    <n v="-8400"/>
    <s v="햇살마트"/>
    <m/>
    <m/>
  </r>
  <r>
    <s v="2025-06-19"/>
    <x v="161"/>
    <s v="00002"/>
    <s v="대변"/>
    <s v="101"/>
    <s v="현금"/>
    <x v="1"/>
    <n v="0"/>
    <n v="8400"/>
    <n v="8400"/>
    <s v="하나카드(4088)"/>
    <m/>
    <m/>
  </r>
  <r>
    <s v="2025-06-20"/>
    <x v="162"/>
    <s v="00001"/>
    <s v="차변"/>
    <s v="811"/>
    <s v="복리후생비(판)"/>
    <x v="8"/>
    <n v="20000"/>
    <n v="0"/>
    <n v="-20000"/>
    <s v="1811고기짬뽕"/>
    <m/>
    <m/>
  </r>
  <r>
    <s v="2025-06-20"/>
    <x v="162"/>
    <s v="00001"/>
    <s v="대변"/>
    <s v="101"/>
    <s v="현금"/>
    <x v="1"/>
    <n v="0"/>
    <n v="20000"/>
    <n v="20000"/>
    <s v="하나카드(4088)"/>
    <m/>
    <m/>
  </r>
  <r>
    <s v="2025-06-20"/>
    <x v="162"/>
    <s v="00002"/>
    <s v="차변"/>
    <s v="811"/>
    <s v="복리후생비(판)"/>
    <x v="8"/>
    <n v="4000"/>
    <n v="0"/>
    <n v="-4000"/>
    <s v="1811고기짬뽕"/>
    <m/>
    <m/>
  </r>
  <r>
    <s v="2025-06-20"/>
    <x v="162"/>
    <s v="00002"/>
    <s v="대변"/>
    <s v="101"/>
    <s v="현금"/>
    <x v="1"/>
    <n v="0"/>
    <n v="4000"/>
    <n v="4000"/>
    <s v="하나카드(4088)"/>
    <m/>
    <m/>
  </r>
  <r>
    <s v="2025-06-20"/>
    <x v="162"/>
    <s v="00003"/>
    <s v="차변"/>
    <s v="830"/>
    <s v="소모품비(판)"/>
    <x v="6"/>
    <n v="9000"/>
    <n v="0"/>
    <n v="-9000"/>
    <s v="홈마트"/>
    <m/>
    <m/>
  </r>
  <r>
    <s v="2025-06-20"/>
    <x v="162"/>
    <s v="00003"/>
    <s v="대변"/>
    <s v="101"/>
    <s v="현금"/>
    <x v="1"/>
    <n v="0"/>
    <n v="9000"/>
    <n v="9000"/>
    <s v="하나카드(4088)"/>
    <m/>
    <m/>
  </r>
  <r>
    <s v="2025-06-20"/>
    <x v="162"/>
    <s v="00004"/>
    <s v="대변"/>
    <s v="101"/>
    <s v="현금"/>
    <x v="1"/>
    <n v="0"/>
    <n v="24130"/>
    <n v="24130"/>
    <s v="국민카드(2005)"/>
    <m/>
    <m/>
  </r>
  <r>
    <s v="2025-06-20"/>
    <x v="162"/>
    <s v="00004"/>
    <s v="차변"/>
    <s v="831"/>
    <s v="지급수수료(판)"/>
    <x v="7"/>
    <n v="24130"/>
    <n v="0"/>
    <n v="-24130"/>
    <s v="코웨이(주）"/>
    <m/>
    <m/>
  </r>
  <r>
    <s v="2025-06-20"/>
    <x v="162"/>
    <s v="00005"/>
    <s v="대변"/>
    <s v="101"/>
    <s v="현금"/>
    <x v="1"/>
    <n v="0"/>
    <n v="42650"/>
    <n v="42650"/>
    <s v="국민카드(2005)"/>
    <m/>
    <m/>
  </r>
  <r>
    <s v="2025-06-20"/>
    <x v="162"/>
    <s v="00005"/>
    <s v="차변"/>
    <s v="831"/>
    <s v="지급수수료(판)"/>
    <x v="7"/>
    <n v="42650"/>
    <n v="0"/>
    <n v="-42650"/>
    <s v="코웨이(주）"/>
    <m/>
    <m/>
  </r>
  <r>
    <s v="2025-06-20"/>
    <x v="162"/>
    <s v="00006"/>
    <s v="차변"/>
    <s v="822"/>
    <s v="차량유지비(판)"/>
    <x v="11"/>
    <n v="50000"/>
    <n v="0"/>
    <n v="-50000"/>
    <s v="한백석유첨단주유소"/>
    <m/>
    <m/>
  </r>
  <r>
    <s v="2025-06-20"/>
    <x v="162"/>
    <s v="00006"/>
    <s v="대변"/>
    <s v="101"/>
    <s v="현금"/>
    <x v="1"/>
    <n v="0"/>
    <n v="50000"/>
    <n v="50000"/>
    <s v="국민카드(2005)"/>
    <m/>
    <m/>
  </r>
  <r>
    <s v="2025-06-20"/>
    <x v="162"/>
    <s v="00007"/>
    <s v="차변"/>
    <s v="811"/>
    <s v="복리후생비(판)"/>
    <x v="8"/>
    <n v="23042"/>
    <n v="0"/>
    <n v="-23042"/>
    <s v="첨단점굽네치킨"/>
    <m/>
    <m/>
  </r>
  <r>
    <s v="2025-06-20"/>
    <x v="162"/>
    <s v="00007"/>
    <s v="대변"/>
    <s v="101"/>
    <s v="현금"/>
    <x v="1"/>
    <n v="0"/>
    <n v="23042"/>
    <n v="23042"/>
    <s v="첨단점굽네치킨"/>
    <m/>
    <m/>
  </r>
  <r>
    <s v="2025-06-20"/>
    <x v="162"/>
    <s v="50001"/>
    <s v="차변"/>
    <s v="837"/>
    <s v="건물관리비(판)"/>
    <x v="16"/>
    <n v="157360"/>
    <n v="0"/>
    <n v="-157360"/>
    <s v="와이어스파크 지식산업센터 관리위원회"/>
    <m/>
    <s v="2동2205호"/>
  </r>
  <r>
    <s v="2025-06-20"/>
    <x v="162"/>
    <s v="50001"/>
    <s v="대변"/>
    <s v="101"/>
    <s v="현금"/>
    <x v="1"/>
    <n v="0"/>
    <n v="157360"/>
    <n v="157360"/>
    <s v="와이어스파크 지식산업센터 관리위원회"/>
    <m/>
    <s v="2동2205호"/>
  </r>
  <r>
    <s v="2025-06-21"/>
    <x v="163"/>
    <s v="00001"/>
    <s v="차변"/>
    <s v="811"/>
    <s v="복리후생비(판)"/>
    <x v="8"/>
    <n v="4500"/>
    <n v="0"/>
    <n v="-4500"/>
    <s v="벌크커피 첨단점"/>
    <m/>
    <m/>
  </r>
  <r>
    <s v="2025-06-21"/>
    <x v="163"/>
    <s v="00001"/>
    <s v="대변"/>
    <s v="101"/>
    <s v="현금"/>
    <x v="1"/>
    <n v="0"/>
    <n v="4500"/>
    <n v="4500"/>
    <s v="하나카드(4088)"/>
    <m/>
    <m/>
  </r>
  <r>
    <s v="2025-06-21"/>
    <x v="163"/>
    <s v="00002"/>
    <s v="차변"/>
    <s v="812"/>
    <s v="여비교통비(판)"/>
    <x v="9"/>
    <n v="3600"/>
    <n v="0"/>
    <n v="-3600"/>
    <s v="한국정보통신 - 윌슨파킹"/>
    <m/>
    <m/>
  </r>
  <r>
    <s v="2025-06-21"/>
    <x v="163"/>
    <s v="00002"/>
    <s v="대변"/>
    <s v="101"/>
    <s v="현금"/>
    <x v="1"/>
    <n v="0"/>
    <n v="3600"/>
    <n v="3600"/>
    <s v="하나카드(4088)"/>
    <m/>
    <m/>
  </r>
  <r>
    <s v="2025-06-21"/>
    <x v="163"/>
    <s v="50001"/>
    <s v="차변"/>
    <s v="135"/>
    <s v="부가세대급금"/>
    <x v="5"/>
    <n v="11518"/>
    <n v="0"/>
    <n v="-11518"/>
    <s v="롯데쇼핑(주)롯데아울렛광주수완점 오가"/>
    <m/>
    <m/>
  </r>
  <r>
    <s v="2025-06-21"/>
    <x v="163"/>
    <s v="50001"/>
    <s v="차변"/>
    <s v="830"/>
    <s v="소모품비(판)"/>
    <x v="6"/>
    <n v="115182"/>
    <n v="0"/>
    <n v="-115182"/>
    <s v="롯데쇼핑(주)롯데아울렛광주수완점 오가"/>
    <m/>
    <m/>
  </r>
  <r>
    <s v="2025-06-21"/>
    <x v="163"/>
    <s v="50001"/>
    <s v="대변"/>
    <s v="101"/>
    <s v="현금"/>
    <x v="1"/>
    <n v="0"/>
    <n v="126700"/>
    <n v="126700"/>
    <s v="현대카드(4817)"/>
    <m/>
    <m/>
  </r>
  <r>
    <s v="2025-06-22"/>
    <x v="164"/>
    <s v="00001"/>
    <s v="차변"/>
    <s v="826"/>
    <s v="도서인쇄비(판)"/>
    <x v="2"/>
    <n v="29300"/>
    <n v="0"/>
    <n v="-29300"/>
    <s v="유한회사 아름다운세종문고"/>
    <m/>
    <m/>
  </r>
  <r>
    <s v="2025-06-22"/>
    <x v="164"/>
    <s v="00001"/>
    <s v="대변"/>
    <s v="101"/>
    <s v="현금"/>
    <x v="1"/>
    <n v="0"/>
    <n v="29300"/>
    <n v="29300"/>
    <s v="현대카드(4817)"/>
    <m/>
    <m/>
  </r>
  <r>
    <s v="2025-06-22"/>
    <x v="164"/>
    <s v="00002"/>
    <s v="차변"/>
    <s v="811"/>
    <s v="복리후생비(판)"/>
    <x v="8"/>
    <n v="21000"/>
    <n v="0"/>
    <n v="-21000"/>
    <s v="궁전제과"/>
    <m/>
    <m/>
  </r>
  <r>
    <s v="2025-06-22"/>
    <x v="164"/>
    <s v="00002"/>
    <s v="대변"/>
    <s v="101"/>
    <s v="현금"/>
    <x v="1"/>
    <n v="0"/>
    <n v="21000"/>
    <n v="21000"/>
    <s v="하나카드(4088)"/>
    <m/>
    <m/>
  </r>
  <r>
    <s v="2025-06-22"/>
    <x v="164"/>
    <s v="00003"/>
    <s v="차변"/>
    <s v="811"/>
    <s v="복리후생비(판)"/>
    <x v="8"/>
    <n v="12100"/>
    <n v="0"/>
    <n v="-12100"/>
    <s v="세계과자 할인점 광주점"/>
    <m/>
    <m/>
  </r>
  <r>
    <s v="2025-06-22"/>
    <x v="164"/>
    <s v="00003"/>
    <s v="대변"/>
    <s v="101"/>
    <s v="현금"/>
    <x v="1"/>
    <n v="0"/>
    <n v="12100"/>
    <n v="12100"/>
    <s v="하나카드(4088)"/>
    <m/>
    <m/>
  </r>
  <r>
    <s v="2025-06-22"/>
    <x v="164"/>
    <s v="00004"/>
    <s v="차변"/>
    <s v="830"/>
    <s v="소모품비(판)"/>
    <x v="6"/>
    <n v="5480"/>
    <n v="0"/>
    <n v="-5480"/>
    <s v="（주）찬해영암마트"/>
    <m/>
    <m/>
  </r>
  <r>
    <s v="2025-06-22"/>
    <x v="164"/>
    <s v="00004"/>
    <s v="대변"/>
    <s v="101"/>
    <s v="현금"/>
    <x v="1"/>
    <n v="0"/>
    <n v="5480"/>
    <n v="5480"/>
    <s v="하나카드(4088)"/>
    <m/>
    <m/>
  </r>
  <r>
    <s v="2025-06-22"/>
    <x v="164"/>
    <s v="00005"/>
    <s v="차변"/>
    <s v="812"/>
    <s v="여비교통비(판)"/>
    <x v="9"/>
    <n v="1800"/>
    <n v="0"/>
    <n v="-1800"/>
    <s v="한국정보통신 - 윌슨파킹"/>
    <m/>
    <m/>
  </r>
  <r>
    <s v="2025-06-22"/>
    <x v="164"/>
    <s v="00005"/>
    <s v="대변"/>
    <s v="101"/>
    <s v="현금"/>
    <x v="1"/>
    <n v="0"/>
    <n v="1800"/>
    <n v="1800"/>
    <s v="하나카드(4088)"/>
    <m/>
    <m/>
  </r>
  <r>
    <s v="2025-06-22"/>
    <x v="164"/>
    <s v="00006"/>
    <s v="차변"/>
    <s v="831"/>
    <s v="지급수수료(판)"/>
    <x v="7"/>
    <n v="9000"/>
    <n v="0"/>
    <n v="-9000"/>
    <s v="나이스페이먼츠 주식회사 (NICE Payments Co"/>
    <m/>
    <m/>
  </r>
  <r>
    <s v="2025-06-22"/>
    <x v="164"/>
    <s v="00006"/>
    <s v="대변"/>
    <s v="101"/>
    <s v="현금"/>
    <x v="1"/>
    <n v="0"/>
    <n v="9000"/>
    <n v="9000"/>
    <s v="하나카드(4088)"/>
    <m/>
    <m/>
  </r>
  <r>
    <s v="2025-06-23"/>
    <x v="165"/>
    <s v="00001"/>
    <s v="차변"/>
    <s v="830"/>
    <s v="소모품비(판)"/>
    <x v="6"/>
    <n v="15420"/>
    <n v="0"/>
    <n v="-15420"/>
    <s v="KCP - ( 주 ) 위메프"/>
    <m/>
    <m/>
  </r>
  <r>
    <s v="2025-06-23"/>
    <x v="165"/>
    <s v="00001"/>
    <s v="대변"/>
    <s v="101"/>
    <s v="현금"/>
    <x v="1"/>
    <n v="0"/>
    <n v="15420"/>
    <n v="15420"/>
    <s v="현대카드(4817)"/>
    <m/>
    <m/>
  </r>
  <r>
    <s v="2025-06-23"/>
    <x v="165"/>
    <s v="00002"/>
    <s v="차변"/>
    <s v="830"/>
    <s v="소모품비(판)"/>
    <x v="6"/>
    <n v="18120"/>
    <n v="0"/>
    <n v="-18120"/>
    <s v="KCP - ( 주 ) 위메프"/>
    <m/>
    <m/>
  </r>
  <r>
    <s v="2025-06-23"/>
    <x v="165"/>
    <s v="00002"/>
    <s v="대변"/>
    <s v="101"/>
    <s v="현금"/>
    <x v="1"/>
    <n v="0"/>
    <n v="18120"/>
    <n v="18120"/>
    <s v="현대카드(4817)"/>
    <m/>
    <m/>
  </r>
  <r>
    <s v="2025-06-23"/>
    <x v="165"/>
    <s v="00003"/>
    <s v="차변"/>
    <s v="830"/>
    <s v="소모품비(판)"/>
    <x v="6"/>
    <n v="25340"/>
    <n v="0"/>
    <n v="-25340"/>
    <s v="KCP - ( 주 ) 위메프"/>
    <m/>
    <m/>
  </r>
  <r>
    <s v="2025-06-23"/>
    <x v="165"/>
    <s v="00003"/>
    <s v="대변"/>
    <s v="101"/>
    <s v="현금"/>
    <x v="1"/>
    <n v="0"/>
    <n v="25340"/>
    <n v="25340"/>
    <s v="현대카드(4817)"/>
    <m/>
    <m/>
  </r>
  <r>
    <s v="2025-06-23"/>
    <x v="165"/>
    <s v="00004"/>
    <s v="차변"/>
    <s v="830"/>
    <s v="소모품비(판)"/>
    <x v="6"/>
    <n v="20120"/>
    <n v="0"/>
    <n v="-20120"/>
    <s v="골목시장SM마트"/>
    <m/>
    <m/>
  </r>
  <r>
    <s v="2025-06-23"/>
    <x v="165"/>
    <s v="00004"/>
    <s v="대변"/>
    <s v="101"/>
    <s v="현금"/>
    <x v="1"/>
    <n v="0"/>
    <n v="20120"/>
    <n v="20120"/>
    <s v="현대카드(4817)"/>
    <m/>
    <m/>
  </r>
  <r>
    <s v="2025-06-24"/>
    <x v="166"/>
    <s v="00001"/>
    <s v="차변"/>
    <s v="811"/>
    <s v="복리후생비(판)"/>
    <x v="8"/>
    <n v="16000"/>
    <n v="0"/>
    <n v="-16000"/>
    <s v="오라봉국수"/>
    <m/>
    <m/>
  </r>
  <r>
    <s v="2025-06-24"/>
    <x v="166"/>
    <s v="00001"/>
    <s v="대변"/>
    <s v="101"/>
    <s v="현금"/>
    <x v="1"/>
    <n v="0"/>
    <n v="16000"/>
    <n v="16000"/>
    <s v="국민카드(2005)"/>
    <m/>
    <m/>
  </r>
  <r>
    <s v="2025-06-24"/>
    <x v="166"/>
    <s v="00002"/>
    <s v="차변"/>
    <s v="830"/>
    <s v="소모품비(판)"/>
    <x v="6"/>
    <n v="4300"/>
    <n v="0"/>
    <n v="-4300"/>
    <s v="햇살마트"/>
    <m/>
    <m/>
  </r>
  <r>
    <s v="2025-06-24"/>
    <x v="166"/>
    <s v="00002"/>
    <s v="대변"/>
    <s v="101"/>
    <s v="현금"/>
    <x v="1"/>
    <n v="0"/>
    <n v="4300"/>
    <n v="4300"/>
    <s v="하나카드(4088)"/>
    <m/>
    <m/>
  </r>
  <r>
    <s v="2025-06-24"/>
    <x v="166"/>
    <s v="00003"/>
    <s v="대변"/>
    <s v="101"/>
    <s v="현금"/>
    <x v="1"/>
    <n v="0"/>
    <n v="2000"/>
    <n v="2000"/>
    <s v="하나카드(4088)"/>
    <m/>
    <m/>
  </r>
  <r>
    <s v="2025-06-24"/>
    <x v="166"/>
    <s v="00003"/>
    <s v="차변"/>
    <s v="812"/>
    <s v="여비교통비(판)"/>
    <x v="9"/>
    <n v="2000"/>
    <n v="0"/>
    <n v="-2000"/>
    <s v="주식회사 에스아이티"/>
    <m/>
    <m/>
  </r>
  <r>
    <s v="2025-06-25"/>
    <x v="167"/>
    <s v="00001"/>
    <s v="차변"/>
    <s v="822"/>
    <s v="차량유지비(판)"/>
    <x v="11"/>
    <n v="70000"/>
    <n v="0"/>
    <n v="-70000"/>
    <s v="（유）금성물류 광주지점"/>
    <m/>
    <m/>
  </r>
  <r>
    <s v="2025-06-25"/>
    <x v="167"/>
    <s v="00001"/>
    <s v="대변"/>
    <s v="101"/>
    <s v="현금"/>
    <x v="1"/>
    <n v="0"/>
    <n v="70000"/>
    <n v="70000"/>
    <s v="현대카드(4817)"/>
    <m/>
    <m/>
  </r>
  <r>
    <s v="2025-06-25"/>
    <x v="167"/>
    <s v="00002"/>
    <s v="차변"/>
    <s v="811"/>
    <s v="복리후생비(판)"/>
    <x v="8"/>
    <n v="16000"/>
    <n v="0"/>
    <n v="-16000"/>
    <s v="주식회사 울림푸드 한식뷔페 첨단 정부청사점"/>
    <m/>
    <m/>
  </r>
  <r>
    <s v="2025-06-25"/>
    <x v="167"/>
    <s v="00002"/>
    <s v="대변"/>
    <s v="101"/>
    <s v="현금"/>
    <x v="1"/>
    <n v="0"/>
    <n v="16000"/>
    <n v="16000"/>
    <s v="하나카드(4088)"/>
    <m/>
    <m/>
  </r>
  <r>
    <s v="2025-06-25"/>
    <x v="167"/>
    <s v="00003"/>
    <s v="차변"/>
    <s v="830"/>
    <s v="소모품비(판)"/>
    <x v="6"/>
    <n v="6000"/>
    <n v="0"/>
    <n v="-6000"/>
    <s v="햇살마트"/>
    <m/>
    <m/>
  </r>
  <r>
    <s v="2025-06-25"/>
    <x v="167"/>
    <s v="00003"/>
    <s v="대변"/>
    <s v="101"/>
    <s v="현금"/>
    <x v="1"/>
    <n v="0"/>
    <n v="6000"/>
    <n v="6000"/>
    <s v="하나카드(4088)"/>
    <m/>
    <m/>
  </r>
  <r>
    <s v="2025-06-25"/>
    <x v="167"/>
    <s v="00004"/>
    <s v="대변"/>
    <s v="101"/>
    <s v="현금"/>
    <x v="1"/>
    <n v="0"/>
    <n v="19300"/>
    <n v="19300"/>
    <s v="주식회사 아이디오커머스"/>
    <m/>
    <m/>
  </r>
  <r>
    <s v="2025-06-25"/>
    <x v="167"/>
    <s v="00004"/>
    <s v="차변"/>
    <s v="830"/>
    <s v="소모품비(판)"/>
    <x v="6"/>
    <n v="19300"/>
    <n v="0"/>
    <n v="-19300"/>
    <s v="주식회사 아이디오커머스"/>
    <m/>
    <m/>
  </r>
  <r>
    <s v="2025-06-25"/>
    <x v="167"/>
    <s v="00005"/>
    <s v="대변"/>
    <s v="101"/>
    <s v="현금"/>
    <x v="1"/>
    <n v="0"/>
    <n v="31000"/>
    <n v="31000"/>
    <s v="주식회사 아이디오커머스"/>
    <m/>
    <m/>
  </r>
  <r>
    <s v="2025-06-25"/>
    <x v="167"/>
    <s v="00005"/>
    <s v="차변"/>
    <s v="830"/>
    <s v="소모품비(판)"/>
    <x v="6"/>
    <n v="31000"/>
    <n v="0"/>
    <n v="-31000"/>
    <s v="주식회사 아이디오커머스"/>
    <m/>
    <m/>
  </r>
  <r>
    <s v="2025-06-25"/>
    <x v="167"/>
    <s v="00006"/>
    <s v="차변"/>
    <s v="830"/>
    <s v="소모품비(판)"/>
    <x v="6"/>
    <n v="12111"/>
    <n v="0"/>
    <n v="-12111"/>
    <s v="브리지베리"/>
    <m/>
    <m/>
  </r>
  <r>
    <s v="2025-06-25"/>
    <x v="167"/>
    <s v="00006"/>
    <s v="대변"/>
    <s v="101"/>
    <s v="현금"/>
    <x v="1"/>
    <n v="0"/>
    <n v="12111"/>
    <n v="12111"/>
    <s v="브리지베리"/>
    <m/>
    <m/>
  </r>
  <r>
    <s v="2025-06-25"/>
    <x v="167"/>
    <s v="00007"/>
    <s v="차변"/>
    <s v="830"/>
    <s v="소모품비(판)"/>
    <x v="6"/>
    <n v="2737"/>
    <n v="0"/>
    <n v="-2737"/>
    <s v="브리지베리"/>
    <m/>
    <m/>
  </r>
  <r>
    <s v="2025-06-25"/>
    <x v="167"/>
    <s v="00007"/>
    <s v="대변"/>
    <s v="101"/>
    <s v="현금"/>
    <x v="1"/>
    <n v="0"/>
    <n v="2737"/>
    <n v="2737"/>
    <s v="브리지베리"/>
    <m/>
    <m/>
  </r>
  <r>
    <s v="2025-06-26"/>
    <x v="168"/>
    <s v="00001"/>
    <s v="차변"/>
    <s v="811"/>
    <s v="복리후생비(판)"/>
    <x v="8"/>
    <n v="16000"/>
    <n v="0"/>
    <n v="-16000"/>
    <s v="주식회사 울림푸드 한식뷔페 첨단 정부청사점"/>
    <m/>
    <m/>
  </r>
  <r>
    <s v="2025-06-26"/>
    <x v="168"/>
    <s v="00001"/>
    <s v="대변"/>
    <s v="101"/>
    <s v="현금"/>
    <x v="1"/>
    <n v="0"/>
    <n v="16000"/>
    <n v="16000"/>
    <s v="하나카드(4088)"/>
    <m/>
    <m/>
  </r>
  <r>
    <s v="2025-06-26"/>
    <x v="168"/>
    <s v="00002"/>
    <s v="차변"/>
    <s v="812"/>
    <s v="여비교통비(판)"/>
    <x v="9"/>
    <n v="8300"/>
    <n v="0"/>
    <n v="-8300"/>
    <s v="파리바게트조대병원점"/>
    <m/>
    <m/>
  </r>
  <r>
    <s v="2025-06-26"/>
    <x v="168"/>
    <s v="00002"/>
    <s v="대변"/>
    <s v="101"/>
    <s v="현금"/>
    <x v="1"/>
    <n v="0"/>
    <n v="8300"/>
    <n v="8300"/>
    <s v="현대카드(4817)"/>
    <m/>
    <m/>
  </r>
  <r>
    <s v="2025-06-26"/>
    <x v="168"/>
    <s v="50001"/>
    <s v="대변"/>
    <s v="255"/>
    <s v="부가세예수금"/>
    <x v="3"/>
    <n v="0"/>
    <n v="10000"/>
    <n v="10000"/>
    <s v="커피랩"/>
    <m/>
    <s v="인사노무자문료 1 X 100,000"/>
  </r>
  <r>
    <s v="2025-06-26"/>
    <x v="168"/>
    <s v="50001"/>
    <s v="대변"/>
    <s v="401"/>
    <s v="용역매출"/>
    <x v="4"/>
    <n v="0"/>
    <n v="100000"/>
    <n v="100000"/>
    <s v="커피랩"/>
    <m/>
    <s v="인사노무자문료 1 X 100,000"/>
  </r>
  <r>
    <s v="2025-06-26"/>
    <x v="168"/>
    <s v="50001"/>
    <s v="차변"/>
    <s v="101"/>
    <s v="현금"/>
    <x v="1"/>
    <n v="110000"/>
    <n v="0"/>
    <n v="-110000"/>
    <s v="커피랩"/>
    <m/>
    <s v="인사노무자문료 1 X 100,000"/>
  </r>
  <r>
    <s v="2025-06-26"/>
    <x v="168"/>
    <s v="50002"/>
    <s v="대변"/>
    <s v="255"/>
    <s v="부가세예수금"/>
    <x v="3"/>
    <n v="0"/>
    <n v="11819"/>
    <n v="11819"/>
    <s v="바오팜 주식회사"/>
    <m/>
    <s v="인사노무자문료 1 X 118,181"/>
  </r>
  <r>
    <s v="2025-06-26"/>
    <x v="168"/>
    <s v="50002"/>
    <s v="대변"/>
    <s v="401"/>
    <s v="용역매출"/>
    <x v="4"/>
    <n v="0"/>
    <n v="118181"/>
    <n v="118181"/>
    <s v="바오팜 주식회사"/>
    <m/>
    <s v="인사노무자문료 1 X 118,181"/>
  </r>
  <r>
    <s v="2025-06-26"/>
    <x v="168"/>
    <s v="50002"/>
    <s v="차변"/>
    <s v="101"/>
    <s v="현금"/>
    <x v="1"/>
    <n v="130000"/>
    <n v="0"/>
    <n v="-130000"/>
    <s v="바오팜 주식회사"/>
    <m/>
    <s v="인사노무자문료 1 X 118,181"/>
  </r>
  <r>
    <s v="2025-06-26"/>
    <x v="168"/>
    <s v="50003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6-26"/>
    <x v="168"/>
    <s v="50003"/>
    <s v="대변"/>
    <s v="401"/>
    <s v="용역매출"/>
    <x v="4"/>
    <n v="0"/>
    <n v="150000"/>
    <n v="150000"/>
    <s v="농업회사법인(주)토리팜에프디"/>
    <m/>
    <s v="인사노무자문료 1 X 150,000"/>
  </r>
  <r>
    <s v="2025-06-26"/>
    <x v="168"/>
    <s v="50003"/>
    <s v="차변"/>
    <s v="101"/>
    <s v="현금"/>
    <x v="1"/>
    <n v="165000"/>
    <n v="0"/>
    <n v="-165000"/>
    <s v="농업회사법인(주)토리팜에프디"/>
    <m/>
    <s v="인사노무자문료 1 X 150,000"/>
  </r>
  <r>
    <s v="2025-06-26"/>
    <x v="168"/>
    <s v="50004"/>
    <s v="대변"/>
    <s v="255"/>
    <s v="부가세예수금"/>
    <x v="3"/>
    <n v="0"/>
    <n v="10000"/>
    <n v="10000"/>
    <s v="주식회사 동양금속"/>
    <m/>
    <s v="인사노무자문료 1 X 100,000"/>
  </r>
  <r>
    <s v="2025-06-26"/>
    <x v="168"/>
    <s v="50004"/>
    <s v="대변"/>
    <s v="401"/>
    <s v="용역매출"/>
    <x v="4"/>
    <n v="0"/>
    <n v="100000"/>
    <n v="100000"/>
    <s v="주식회사 동양금속"/>
    <m/>
    <s v="인사노무자문료 1 X 100,000"/>
  </r>
  <r>
    <s v="2025-06-26"/>
    <x v="168"/>
    <s v="50004"/>
    <s v="차변"/>
    <s v="101"/>
    <s v="현금"/>
    <x v="1"/>
    <n v="110000"/>
    <n v="0"/>
    <n v="-110000"/>
    <s v="주식회사 동양금속"/>
    <m/>
    <s v="인사노무자문료 1 X 100,000"/>
  </r>
  <r>
    <s v="2025-06-26"/>
    <x v="168"/>
    <s v="50005"/>
    <s v="대변"/>
    <s v="255"/>
    <s v="부가세예수금"/>
    <x v="3"/>
    <n v="0"/>
    <n v="10000"/>
    <n v="10000"/>
    <s v="(주)중동텍스타일"/>
    <m/>
    <s v="인사노무자문료 1 X 100,000"/>
  </r>
  <r>
    <s v="2025-06-26"/>
    <x v="168"/>
    <s v="50005"/>
    <s v="대변"/>
    <s v="401"/>
    <s v="용역매출"/>
    <x v="4"/>
    <n v="0"/>
    <n v="100000"/>
    <n v="100000"/>
    <s v="(주)중동텍스타일"/>
    <m/>
    <s v="인사노무자문료 1 X 100,000"/>
  </r>
  <r>
    <s v="2025-06-26"/>
    <x v="168"/>
    <s v="50005"/>
    <s v="차변"/>
    <s v="101"/>
    <s v="현금"/>
    <x v="1"/>
    <n v="110000"/>
    <n v="0"/>
    <n v="-110000"/>
    <s v="(주)중동텍스타일"/>
    <m/>
    <s v="인사노무자문료 1 X 100,000"/>
  </r>
  <r>
    <s v="2025-06-26"/>
    <x v="168"/>
    <s v="50006"/>
    <s v="대변"/>
    <s v="255"/>
    <s v="부가세예수금"/>
    <x v="3"/>
    <n v="0"/>
    <n v="15000"/>
    <n v="15000"/>
    <s v="최원호병원"/>
    <m/>
    <s v="인사노무자문료 1 X 150,000"/>
  </r>
  <r>
    <s v="2025-06-26"/>
    <x v="168"/>
    <s v="50006"/>
    <s v="대변"/>
    <s v="401"/>
    <s v="용역매출"/>
    <x v="4"/>
    <n v="0"/>
    <n v="150000"/>
    <n v="150000"/>
    <s v="최원호병원"/>
    <m/>
    <s v="인사노무자문료 1 X 150,000"/>
  </r>
  <r>
    <s v="2025-06-26"/>
    <x v="168"/>
    <s v="50006"/>
    <s v="차변"/>
    <s v="101"/>
    <s v="현금"/>
    <x v="1"/>
    <n v="165000"/>
    <n v="0"/>
    <n v="-165000"/>
    <s v="최원호병원"/>
    <m/>
    <s v="인사노무자문료 1 X 150,000"/>
  </r>
  <r>
    <s v="2025-06-27"/>
    <x v="169"/>
    <s v="00001"/>
    <s v="차변"/>
    <s v="811"/>
    <s v="복리후생비(판)"/>
    <x v="8"/>
    <n v="12500"/>
    <n v="0"/>
    <n v="-12500"/>
    <s v="커피에이블"/>
    <m/>
    <m/>
  </r>
  <r>
    <s v="2025-06-27"/>
    <x v="169"/>
    <s v="00001"/>
    <s v="대변"/>
    <s v="101"/>
    <s v="현금"/>
    <x v="1"/>
    <n v="0"/>
    <n v="12500"/>
    <n v="12500"/>
    <s v="국민카드(2005)"/>
    <m/>
    <m/>
  </r>
  <r>
    <s v="2025-06-27"/>
    <x v="169"/>
    <s v="00002"/>
    <s v="차변"/>
    <s v="812"/>
    <s v="여비교통비(판)"/>
    <x v="9"/>
    <n v="5500"/>
    <n v="0"/>
    <n v="-5500"/>
    <s v="원지휴게소"/>
    <m/>
    <m/>
  </r>
  <r>
    <s v="2025-06-27"/>
    <x v="169"/>
    <s v="00002"/>
    <s v="대변"/>
    <s v="101"/>
    <s v="현금"/>
    <x v="1"/>
    <n v="0"/>
    <n v="5500"/>
    <n v="5500"/>
    <s v="하나카드(4088)"/>
    <m/>
    <m/>
  </r>
  <r>
    <s v="2025-06-27"/>
    <x v="169"/>
    <s v="00003"/>
    <s v="차변"/>
    <s v="812"/>
    <s v="여비교통비(판)"/>
    <x v="9"/>
    <n v="6800"/>
    <n v="0"/>
    <n v="-6800"/>
    <s v="지에스(GS)25 금남중흥점"/>
    <m/>
    <m/>
  </r>
  <r>
    <s v="2025-06-27"/>
    <x v="169"/>
    <s v="00003"/>
    <s v="대변"/>
    <s v="101"/>
    <s v="현금"/>
    <x v="1"/>
    <n v="0"/>
    <n v="6800"/>
    <n v="6800"/>
    <s v="국민카드(2005)"/>
    <m/>
    <m/>
  </r>
  <r>
    <s v="2025-06-27"/>
    <x v="169"/>
    <s v="00004"/>
    <s v="차변"/>
    <s v="813"/>
    <s v="접대비(기업업무추진비)(판)"/>
    <x v="0"/>
    <n v="49000"/>
    <n v="0"/>
    <n v="-49000"/>
    <s v="형님육회"/>
    <s v="02"/>
    <s v="거래처 접대비(기업업무추진비)/신용카드(개인)"/>
  </r>
  <r>
    <s v="2025-06-27"/>
    <x v="169"/>
    <s v="00004"/>
    <s v="대변"/>
    <s v="101"/>
    <s v="현금"/>
    <x v="1"/>
    <n v="0"/>
    <n v="49000"/>
    <n v="49000"/>
    <s v="하나카드(4088)"/>
    <m/>
    <m/>
  </r>
  <r>
    <s v="2025-06-28"/>
    <x v="170"/>
    <s v="00001"/>
    <s v="차변"/>
    <s v="812"/>
    <s v="여비교통비(판)"/>
    <x v="9"/>
    <n v="1200"/>
    <n v="0"/>
    <n v="-1200"/>
    <s v="탑 1"/>
    <m/>
    <m/>
  </r>
  <r>
    <s v="2025-06-28"/>
    <x v="170"/>
    <s v="00001"/>
    <s v="대변"/>
    <s v="101"/>
    <s v="현금"/>
    <x v="1"/>
    <n v="0"/>
    <n v="1200"/>
    <n v="1200"/>
    <s v="하나카드(4088)"/>
    <m/>
    <m/>
  </r>
  <r>
    <s v="2025-06-28"/>
    <x v="170"/>
    <s v="00002"/>
    <s v="차변"/>
    <s v="812"/>
    <s v="여비교통비(판)"/>
    <x v="9"/>
    <n v="1000"/>
    <n v="0"/>
    <n v="-1000"/>
    <s v="탑 1"/>
    <m/>
    <m/>
  </r>
  <r>
    <s v="2025-06-28"/>
    <x v="170"/>
    <s v="00002"/>
    <s v="대변"/>
    <s v="101"/>
    <s v="현금"/>
    <x v="1"/>
    <n v="0"/>
    <n v="1000"/>
    <n v="1000"/>
    <s v="하나카드(4088)"/>
    <m/>
    <m/>
  </r>
  <r>
    <s v="2025-06-28"/>
    <x v="170"/>
    <s v="00003"/>
    <s v="차변"/>
    <s v="812"/>
    <s v="여비교통비(판)"/>
    <x v="9"/>
    <n v="1000"/>
    <n v="0"/>
    <n v="-1000"/>
    <s v="탑 1"/>
    <m/>
    <m/>
  </r>
  <r>
    <s v="2025-06-28"/>
    <x v="170"/>
    <s v="00003"/>
    <s v="대변"/>
    <s v="101"/>
    <s v="현금"/>
    <x v="1"/>
    <n v="0"/>
    <n v="1000"/>
    <n v="1000"/>
    <s v="하나카드(4088)"/>
    <m/>
    <m/>
  </r>
  <r>
    <s v="2025-06-29"/>
    <x v="171"/>
    <s v="00001"/>
    <s v="차변"/>
    <s v="830"/>
    <s v="소모품비(판)"/>
    <x v="6"/>
    <n v="6300"/>
    <n v="0"/>
    <n v="-6300"/>
    <s v="（주）찬해영암마트"/>
    <m/>
    <m/>
  </r>
  <r>
    <s v="2025-06-29"/>
    <x v="171"/>
    <s v="00001"/>
    <s v="대변"/>
    <s v="101"/>
    <s v="현금"/>
    <x v="1"/>
    <n v="0"/>
    <n v="6300"/>
    <n v="6300"/>
    <s v="하나카드(4088)"/>
    <m/>
    <m/>
  </r>
  <r>
    <s v="2025-06-29"/>
    <x v="171"/>
    <s v="00002"/>
    <s v="차변"/>
    <s v="830"/>
    <s v="소모품비(판)"/>
    <x v="6"/>
    <n v="6500"/>
    <n v="0"/>
    <n v="-6500"/>
    <s v="（주）찬해영암마트"/>
    <m/>
    <m/>
  </r>
  <r>
    <s v="2025-06-29"/>
    <x v="171"/>
    <s v="00002"/>
    <s v="대변"/>
    <s v="101"/>
    <s v="현금"/>
    <x v="1"/>
    <n v="0"/>
    <n v="6500"/>
    <n v="6500"/>
    <s v="하나카드(4088)"/>
    <m/>
    <m/>
  </r>
  <r>
    <s v="2025-06-29"/>
    <x v="171"/>
    <s v="00003"/>
    <s v="차변"/>
    <s v="812"/>
    <s v="여비교통비(판)"/>
    <x v="9"/>
    <n v="3600"/>
    <n v="0"/>
    <n v="-3600"/>
    <s v="한국정보통신 - 윌슨파킹"/>
    <m/>
    <m/>
  </r>
  <r>
    <s v="2025-06-29"/>
    <x v="171"/>
    <s v="00003"/>
    <s v="대변"/>
    <s v="101"/>
    <s v="현금"/>
    <x v="1"/>
    <n v="0"/>
    <n v="3600"/>
    <n v="3600"/>
    <s v="하나카드(4088)"/>
    <m/>
    <m/>
  </r>
  <r>
    <s v="2025-06-29"/>
    <x v="171"/>
    <s v="00004"/>
    <s v="차변"/>
    <s v="813"/>
    <s v="접대비(기업업무추진비)(판)"/>
    <x v="0"/>
    <n v="89000"/>
    <n v="0"/>
    <n v="-89000"/>
    <s v="약초흑염소"/>
    <s v="02"/>
    <s v="거래처 접대비(기업업무추진비)/신용카드(개인)"/>
  </r>
  <r>
    <s v="2025-06-29"/>
    <x v="171"/>
    <s v="00004"/>
    <s v="대변"/>
    <s v="101"/>
    <s v="현금"/>
    <x v="1"/>
    <n v="0"/>
    <n v="89000"/>
    <n v="89000"/>
    <s v="하나카드(4088)"/>
    <m/>
    <m/>
  </r>
  <r>
    <s v="2025-06-30"/>
    <x v="172"/>
    <s v="00001"/>
    <s v="차변"/>
    <s v="255"/>
    <s v="부가세예수금"/>
    <x v="3"/>
    <n v="9108186"/>
    <n v="0"/>
    <n v="-9108186"/>
    <m/>
    <s v="01"/>
    <s v="부가세대급금과 상계"/>
  </r>
  <r>
    <s v="2025-06-30"/>
    <x v="172"/>
    <s v="00001"/>
    <s v="대변"/>
    <s v="135"/>
    <s v="부가세대급금"/>
    <x v="5"/>
    <n v="0"/>
    <n v="637187"/>
    <n v="637187"/>
    <m/>
    <s v="07"/>
    <s v="부가세 예수금과 상계"/>
  </r>
  <r>
    <s v="2025-06-30"/>
    <x v="172"/>
    <s v="00001"/>
    <s v="대변"/>
    <s v="261"/>
    <s v="미지급세금"/>
    <x v="17"/>
    <n v="0"/>
    <n v="4092930"/>
    <n v="4092930"/>
    <s v="서광주세무서"/>
    <s v="  "/>
    <s v="25년 1기확정 부가세"/>
  </r>
  <r>
    <s v="2025-06-30"/>
    <x v="172"/>
    <s v="00001"/>
    <s v="대변"/>
    <s v="136"/>
    <s v="선납세금"/>
    <x v="20"/>
    <n v="0"/>
    <n v="3743000"/>
    <n v="3743000"/>
    <s v="서광주세무서"/>
    <s v="  "/>
    <s v="25년 1기예정고지"/>
  </r>
  <r>
    <s v="2025-06-30"/>
    <x v="172"/>
    <s v="00001"/>
    <s v="대변"/>
    <s v="930"/>
    <s v="잡이익"/>
    <x v="21"/>
    <n v="0"/>
    <n v="73600"/>
    <n v="73600"/>
    <s v="서광주세무서"/>
    <s v="  "/>
    <s v="전자세금계산서발행세액공제"/>
  </r>
  <r>
    <s v="2025-06-30"/>
    <x v="172"/>
    <s v="00001"/>
    <s v="대변"/>
    <s v="930"/>
    <s v="잡이익"/>
    <x v="21"/>
    <n v="0"/>
    <n v="561457"/>
    <n v="561457"/>
    <s v="서광주세무서"/>
    <s v="  "/>
    <s v="신용카드발행세액공제"/>
  </r>
  <r>
    <s v="2025-06-30"/>
    <x v="172"/>
    <s v="00001"/>
    <s v="대변"/>
    <s v="930"/>
    <s v="잡이익"/>
    <x v="21"/>
    <n v="0"/>
    <n v="12"/>
    <n v="12"/>
    <s v="서광주세무서"/>
    <s v="  "/>
    <s v="단수차액"/>
  </r>
  <r>
    <s v="2025-06-30"/>
    <x v="172"/>
    <s v="00002"/>
    <s v="차변"/>
    <s v="802"/>
    <s v="직원급여(판)"/>
    <x v="18"/>
    <n v="1700000"/>
    <n v="0"/>
    <n v="-1700000"/>
    <m/>
    <s v="  "/>
    <s v="급여등지급"/>
  </r>
  <r>
    <s v="2025-06-30"/>
    <x v="172"/>
    <s v="00002"/>
    <s v="대변"/>
    <s v="101"/>
    <s v="현금"/>
    <x v="1"/>
    <n v="0"/>
    <n v="1476240"/>
    <n v="1476240"/>
    <m/>
    <s v="  "/>
    <s v="급여등지급"/>
  </r>
  <r>
    <s v="2025-06-30"/>
    <x v="172"/>
    <s v="00002"/>
    <s v="대변"/>
    <s v="254"/>
    <s v="예수금"/>
    <x v="12"/>
    <n v="0"/>
    <n v="149400"/>
    <n v="149400"/>
    <s v="국민연금공단"/>
    <s v="  "/>
    <s v="급여지급시 국민연금예수"/>
  </r>
  <r>
    <s v="2025-06-30"/>
    <x v="172"/>
    <s v="00002"/>
    <s v="대변"/>
    <s v="254"/>
    <s v="예수금"/>
    <x v="12"/>
    <n v="0"/>
    <n v="60260"/>
    <n v="60260"/>
    <s v="건강보험공단"/>
    <s v="  "/>
    <s v="급여지급시 건강보험예수"/>
  </r>
  <r>
    <s v="2025-06-30"/>
    <x v="172"/>
    <s v="00002"/>
    <s v="대변"/>
    <s v="254"/>
    <s v="예수금"/>
    <x v="12"/>
    <n v="0"/>
    <n v="6300"/>
    <n v="6300"/>
    <s v="근로복지공단"/>
    <s v="  "/>
    <s v="급여지급시 고용보험예수"/>
  </r>
  <r>
    <s v="2025-06-30"/>
    <x v="172"/>
    <s v="00002"/>
    <s v="대변"/>
    <s v="254"/>
    <s v="예수금"/>
    <x v="12"/>
    <n v="0"/>
    <n v="7800"/>
    <n v="7800"/>
    <s v="건강보험공단"/>
    <s v="  "/>
    <s v="급여지급시 장기요양보험예수"/>
  </r>
  <r>
    <s v="2025-06-30"/>
    <x v="172"/>
    <s v="00003"/>
    <s v="차변"/>
    <s v="811"/>
    <s v="복리후생비(판)"/>
    <x v="8"/>
    <n v="16000"/>
    <n v="0"/>
    <n v="-16000"/>
    <s v="주식회사 울림푸드 한식뷔페 첨단 정부청사점"/>
    <m/>
    <m/>
  </r>
  <r>
    <s v="2025-06-30"/>
    <x v="172"/>
    <s v="00003"/>
    <s v="대변"/>
    <s v="101"/>
    <s v="현금"/>
    <x v="1"/>
    <n v="0"/>
    <n v="16000"/>
    <n v="16000"/>
    <s v="하나카드(4088)"/>
    <m/>
    <m/>
  </r>
  <r>
    <s v="2025-06-30"/>
    <x v="172"/>
    <s v="00004"/>
    <s v="대변"/>
    <s v="101"/>
    <s v="현금"/>
    <x v="1"/>
    <n v="0"/>
    <n v="2000"/>
    <n v="2000"/>
    <s v="국민카드(2005)"/>
    <m/>
    <m/>
  </r>
  <r>
    <s v="2025-06-30"/>
    <x v="172"/>
    <s v="00004"/>
    <s v="차변"/>
    <s v="812"/>
    <s v="여비교통비(판)"/>
    <x v="9"/>
    <n v="2000"/>
    <n v="0"/>
    <n v="-2000"/>
    <s v="주식회사 에스아이티"/>
    <m/>
    <m/>
  </r>
  <r>
    <s v="2025-06-30"/>
    <x v="172"/>
    <s v="50001"/>
    <s v="차변"/>
    <s v="135"/>
    <s v="부가세대급금"/>
    <x v="5"/>
    <n v="10000"/>
    <n v="0"/>
    <n v="-10000"/>
    <s v="서찬영세무회계사무소"/>
    <m/>
    <s v="기장료"/>
  </r>
  <r>
    <s v="2025-06-30"/>
    <x v="172"/>
    <s v="50001"/>
    <s v="차변"/>
    <s v="831"/>
    <s v="지급수수료(판)"/>
    <x v="7"/>
    <n v="100000"/>
    <n v="0"/>
    <n v="-100000"/>
    <s v="서찬영세무회계사무소"/>
    <m/>
    <s v="기장료"/>
  </r>
  <r>
    <s v="2025-06-30"/>
    <x v="172"/>
    <s v="50001"/>
    <s v="대변"/>
    <s v="101"/>
    <s v="현금"/>
    <x v="1"/>
    <n v="0"/>
    <n v="110000"/>
    <n v="110000"/>
    <s v="서찬영세무회계사무소"/>
    <m/>
    <s v="기장료"/>
  </r>
  <r>
    <s v="2025-06-30"/>
    <x v="172"/>
    <s v="50002"/>
    <s v="차변"/>
    <s v="135"/>
    <s v="부가세대급금"/>
    <x v="5"/>
    <n v="664"/>
    <n v="0"/>
    <n v="-664"/>
    <s v="(주) 다우기술"/>
    <m/>
    <s v="엔팩스 서비스 사용료 1 X 6,636"/>
  </r>
  <r>
    <s v="2025-06-30"/>
    <x v="172"/>
    <s v="50002"/>
    <s v="차변"/>
    <s v="831"/>
    <s v="지급수수료(판)"/>
    <x v="7"/>
    <n v="6636"/>
    <n v="0"/>
    <n v="-6636"/>
    <s v="(주) 다우기술"/>
    <m/>
    <s v="엔팩스 서비스 사용료 1 X 6,636"/>
  </r>
  <r>
    <s v="2025-06-30"/>
    <x v="172"/>
    <s v="50002"/>
    <s v="대변"/>
    <s v="101"/>
    <s v="현금"/>
    <x v="1"/>
    <n v="0"/>
    <n v="7300"/>
    <n v="7300"/>
    <s v="(주) 다우기술"/>
    <m/>
    <s v="엔팩스 서비스 사용료 1 X 6,636"/>
  </r>
  <r>
    <s v="2025-06-30"/>
    <x v="172"/>
    <s v="50003"/>
    <s v="차변"/>
    <s v="135"/>
    <s v="부가세대급금"/>
    <x v="5"/>
    <n v="4000"/>
    <n v="0"/>
    <n v="-4000"/>
    <s v="효성에프엠에스(주)"/>
    <m/>
    <s v="06월CMS사용료-gjsals596"/>
  </r>
  <r>
    <s v="2025-06-30"/>
    <x v="172"/>
    <s v="50003"/>
    <s v="차변"/>
    <s v="831"/>
    <s v="지급수수료(판)"/>
    <x v="7"/>
    <n v="40000"/>
    <n v="0"/>
    <n v="-40000"/>
    <s v="효성에프엠에스(주)"/>
    <m/>
    <s v="06월CMS사용료-gjsals596"/>
  </r>
  <r>
    <s v="2025-06-30"/>
    <x v="172"/>
    <s v="50003"/>
    <s v="대변"/>
    <s v="101"/>
    <s v="현금"/>
    <x v="1"/>
    <n v="0"/>
    <n v="44000"/>
    <n v="44000"/>
    <s v="효성에프엠에스(주)"/>
    <m/>
    <s v="06월CMS사용료-gjsals596"/>
  </r>
  <r>
    <s v="2025-06-30"/>
    <x v="172"/>
    <s v="50004"/>
    <s v="차변"/>
    <s v="135"/>
    <s v="부가세대급금"/>
    <x v="5"/>
    <n v="1190"/>
    <n v="0"/>
    <n v="-1190"/>
    <s v="효성에프엠에스(주)"/>
    <m/>
    <s v="06월CMS수수료-gjsals596"/>
  </r>
  <r>
    <s v="2025-06-30"/>
    <x v="172"/>
    <s v="50004"/>
    <s v="차변"/>
    <s v="831"/>
    <s v="지급수수료(판)"/>
    <x v="7"/>
    <n v="11900"/>
    <n v="0"/>
    <n v="-11900"/>
    <s v="효성에프엠에스(주)"/>
    <m/>
    <s v="06월CMS수수료-gjsals596"/>
  </r>
  <r>
    <s v="2025-06-30"/>
    <x v="172"/>
    <s v="50004"/>
    <s v="대변"/>
    <s v="101"/>
    <s v="현금"/>
    <x v="1"/>
    <n v="0"/>
    <n v="13090"/>
    <n v="13090"/>
    <s v="효성에프엠에스(주)"/>
    <m/>
    <s v="06월CMS수수료-gjsals596"/>
  </r>
  <r>
    <s v="2025-06-30"/>
    <x v="172"/>
    <s v="50005"/>
    <s v="대변"/>
    <s v="255"/>
    <s v="부가세예수금"/>
    <x v="3"/>
    <n v="0"/>
    <n v="15000"/>
    <n v="15000"/>
    <s v="(주)파이스물류"/>
    <m/>
    <s v="인사노무자문료 1 X 150,000"/>
  </r>
  <r>
    <s v="2025-06-30"/>
    <x v="172"/>
    <s v="50005"/>
    <s v="대변"/>
    <s v="401"/>
    <s v="용역매출"/>
    <x v="4"/>
    <n v="0"/>
    <n v="150000"/>
    <n v="150000"/>
    <s v="(주)파이스물류"/>
    <m/>
    <s v="인사노무자문료 1 X 150,000"/>
  </r>
  <r>
    <s v="2025-06-30"/>
    <x v="172"/>
    <s v="50005"/>
    <s v="차변"/>
    <s v="101"/>
    <s v="현금"/>
    <x v="1"/>
    <n v="165000"/>
    <n v="0"/>
    <n v="-165000"/>
    <s v="(주)파이스물류"/>
    <m/>
    <s v="인사노무자문료 1 X 150,000"/>
  </r>
  <r>
    <s v="2025-06-30"/>
    <x v="172"/>
    <s v="50006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6-30"/>
    <x v="172"/>
    <s v="50006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6-30"/>
    <x v="172"/>
    <s v="50006"/>
    <s v="차변"/>
    <s v="101"/>
    <s v="현금"/>
    <x v="1"/>
    <n v="330000"/>
    <n v="0"/>
    <n v="-330000"/>
    <s v="재단법인 광주광역시 여성가족재단"/>
    <m/>
    <s v="인사노무자문료 1 X 300,000"/>
  </r>
  <r>
    <s v="2025-06-30"/>
    <x v="172"/>
    <s v="50007"/>
    <s v="대변"/>
    <s v="255"/>
    <s v="부가세예수금"/>
    <x v="3"/>
    <n v="0"/>
    <n v="12000"/>
    <n v="12000"/>
    <s v="농업회사법인(주)황칠코리아"/>
    <m/>
    <s v="인사노무자문료 1 X 120,000"/>
  </r>
  <r>
    <s v="2025-06-30"/>
    <x v="172"/>
    <s v="50007"/>
    <s v="대변"/>
    <s v="401"/>
    <s v="용역매출"/>
    <x v="4"/>
    <n v="0"/>
    <n v="120000"/>
    <n v="120000"/>
    <s v="농업회사법인(주)황칠코리아"/>
    <m/>
    <s v="인사노무자문료 1 X 120,000"/>
  </r>
  <r>
    <s v="2025-06-30"/>
    <x v="172"/>
    <s v="50007"/>
    <s v="차변"/>
    <s v="101"/>
    <s v="현금"/>
    <x v="1"/>
    <n v="132000"/>
    <n v="0"/>
    <n v="-132000"/>
    <s v="농업회사법인(주)황칠코리아"/>
    <m/>
    <s v="인사노무자문료 1 X 120,000"/>
  </r>
  <r>
    <s v="2025-06-30"/>
    <x v="172"/>
    <s v="50008"/>
    <s v="대변"/>
    <s v="255"/>
    <s v="부가세예수금"/>
    <x v="3"/>
    <n v="0"/>
    <n v="15000"/>
    <n v="15000"/>
    <s v="(주)한국피엔피서비스"/>
    <m/>
    <s v="인사노무자문료 1 X 150,000"/>
  </r>
  <r>
    <s v="2025-06-30"/>
    <x v="172"/>
    <s v="50008"/>
    <s v="대변"/>
    <s v="401"/>
    <s v="용역매출"/>
    <x v="4"/>
    <n v="0"/>
    <n v="150000"/>
    <n v="150000"/>
    <s v="(주)한국피엔피서비스"/>
    <m/>
    <s v="인사노무자문료 1 X 150,000"/>
  </r>
  <r>
    <s v="2025-06-30"/>
    <x v="172"/>
    <s v="50008"/>
    <s v="차변"/>
    <s v="101"/>
    <s v="현금"/>
    <x v="1"/>
    <n v="165000"/>
    <n v="0"/>
    <n v="-165000"/>
    <s v="(주)한국피엔피서비스"/>
    <m/>
    <s v="인사노무자문료 1 X 150,000"/>
  </r>
  <r>
    <s v="2025-06-30"/>
    <x v="172"/>
    <s v="50009"/>
    <s v="대변"/>
    <s v="255"/>
    <s v="부가세예수금"/>
    <x v="3"/>
    <n v="0"/>
    <n v="10000"/>
    <n v="10000"/>
    <s v="(주)텝스텍"/>
    <m/>
    <s v="인사노무자문료 1 X 100,000"/>
  </r>
  <r>
    <s v="2025-06-30"/>
    <x v="172"/>
    <s v="50009"/>
    <s v="대변"/>
    <s v="401"/>
    <s v="용역매출"/>
    <x v="4"/>
    <n v="0"/>
    <n v="100000"/>
    <n v="100000"/>
    <s v="(주)텝스텍"/>
    <m/>
    <s v="인사노무자문료 1 X 100,000"/>
  </r>
  <r>
    <s v="2025-06-30"/>
    <x v="172"/>
    <s v="50009"/>
    <s v="차변"/>
    <s v="101"/>
    <s v="현금"/>
    <x v="1"/>
    <n v="110000"/>
    <n v="0"/>
    <n v="-110000"/>
    <s v="(주)텝스텍"/>
    <m/>
    <s v="인사노무자문료 1 X 100,000"/>
  </r>
  <r>
    <s v="2025-06-30"/>
    <x v="172"/>
    <s v="50010"/>
    <s v="입금"/>
    <s v="255"/>
    <s v="부가세예수금"/>
    <x v="3"/>
    <n v="0"/>
    <n v="935909"/>
    <n v="935909"/>
    <s v="소비자현금영수증매출"/>
    <s v="  "/>
    <s v="현금영수증매출"/>
  </r>
  <r>
    <s v="2025-06-30"/>
    <x v="172"/>
    <s v="50010"/>
    <s v="입금"/>
    <s v="101"/>
    <s v="현금"/>
    <x v="1"/>
    <n v="935909"/>
    <n v="0"/>
    <n v="-935909"/>
    <s v="소비자현금영수증매출"/>
    <s v="  "/>
    <s v="현금영수증매출"/>
  </r>
  <r>
    <s v="2025-06-30"/>
    <x v="172"/>
    <s v="50010"/>
    <s v="입금"/>
    <s v="401"/>
    <s v="용역매출"/>
    <x v="4"/>
    <n v="0"/>
    <n v="9359091"/>
    <n v="9359091"/>
    <s v="소비자현금영수증매출"/>
    <s v="  "/>
    <s v="현금영수증매출"/>
  </r>
  <r>
    <s v="2025-06-30"/>
    <x v="172"/>
    <s v="50010"/>
    <s v="입금"/>
    <s v="101"/>
    <s v="현금"/>
    <x v="1"/>
    <n v="9359091"/>
    <n v="0"/>
    <n v="-9359091"/>
    <s v="소비자현금영수증매출"/>
    <s v="  "/>
    <s v="현금영수증매출"/>
  </r>
  <r>
    <s v="2025-07-01"/>
    <x v="173"/>
    <s v="50001"/>
    <s v="대변"/>
    <s v="255"/>
    <s v="부가세예수금"/>
    <x v="3"/>
    <n v="0"/>
    <n v="-20000"/>
    <n v="-20000"/>
    <s v="에이스축산"/>
    <m/>
    <s v="인사노무자문료 -1 X 200,000"/>
  </r>
  <r>
    <s v="2025-07-01"/>
    <x v="173"/>
    <s v="50001"/>
    <s v="대변"/>
    <s v="401"/>
    <s v="용역매출"/>
    <x v="4"/>
    <n v="0"/>
    <n v="-200000"/>
    <n v="-200000"/>
    <s v="에이스축산"/>
    <m/>
    <s v="인사노무자문료 -1 X 200,000"/>
  </r>
  <r>
    <s v="2025-07-01"/>
    <x v="173"/>
    <s v="50001"/>
    <s v="차변"/>
    <s v="101"/>
    <s v="현금"/>
    <x v="1"/>
    <n v="-220000"/>
    <n v="0"/>
    <n v="220000"/>
    <s v="에이스축산"/>
    <m/>
    <s v="인사노무자문료 -1 X 200,000"/>
  </r>
  <r>
    <s v="2025-07-01"/>
    <x v="173"/>
    <s v="50002"/>
    <s v="대변"/>
    <s v="255"/>
    <s v="부가세예수금"/>
    <x v="3"/>
    <n v="0"/>
    <n v="13637"/>
    <n v="13637"/>
    <s v="고흥실버타운요양원"/>
    <m/>
    <s v="인사노무자문료(5월) 1 X 136,363"/>
  </r>
  <r>
    <s v="2025-07-01"/>
    <x v="173"/>
    <s v="50002"/>
    <s v="대변"/>
    <s v="401"/>
    <s v="용역매출"/>
    <x v="4"/>
    <n v="0"/>
    <n v="136363"/>
    <n v="136363"/>
    <s v="고흥실버타운요양원"/>
    <m/>
    <s v="인사노무자문료(5월) 1 X 136,363"/>
  </r>
  <r>
    <s v="2025-07-01"/>
    <x v="173"/>
    <s v="50002"/>
    <s v="차변"/>
    <s v="101"/>
    <s v="현금"/>
    <x v="1"/>
    <n v="150000"/>
    <n v="0"/>
    <n v="-150000"/>
    <s v="고흥실버타운요양원"/>
    <m/>
    <s v="인사노무자문료(5월) 1 X 136,363"/>
  </r>
  <r>
    <s v="2025-07-01"/>
    <x v="173"/>
    <s v="50003"/>
    <s v="대변"/>
    <s v="255"/>
    <s v="부가세예수금"/>
    <x v="3"/>
    <n v="0"/>
    <n v="15000"/>
    <n v="15000"/>
    <s v="주식회사 푸른하늘청자"/>
    <m/>
    <s v="인사노무자문료 1 X 150,000"/>
  </r>
  <r>
    <s v="2025-07-01"/>
    <x v="173"/>
    <s v="50003"/>
    <s v="대변"/>
    <s v="401"/>
    <s v="용역매출"/>
    <x v="4"/>
    <n v="0"/>
    <n v="150000"/>
    <n v="150000"/>
    <s v="주식회사 푸른하늘청자"/>
    <m/>
    <s v="인사노무자문료 1 X 150,000"/>
  </r>
  <r>
    <s v="2025-07-01"/>
    <x v="173"/>
    <s v="50003"/>
    <s v="차변"/>
    <s v="101"/>
    <s v="현금"/>
    <x v="1"/>
    <n v="165000"/>
    <n v="0"/>
    <n v="-165000"/>
    <s v="주식회사 푸른하늘청자"/>
    <m/>
    <s v="인사노무자문료 1 X 150,000"/>
  </r>
  <r>
    <s v="2025-07-01"/>
    <x v="173"/>
    <s v="50004"/>
    <s v="대변"/>
    <s v="255"/>
    <s v="부가세예수금"/>
    <x v="3"/>
    <n v="0"/>
    <n v="10000"/>
    <n v="10000"/>
    <s v="샤브사랑"/>
    <m/>
    <s v="인사노무자문료 1 X 100,000"/>
  </r>
  <r>
    <s v="2025-07-01"/>
    <x v="173"/>
    <s v="50004"/>
    <s v="대변"/>
    <s v="401"/>
    <s v="용역매출"/>
    <x v="4"/>
    <n v="0"/>
    <n v="100000"/>
    <n v="100000"/>
    <s v="샤브사랑"/>
    <m/>
    <s v="인사노무자문료 1 X 100,000"/>
  </r>
  <r>
    <s v="2025-07-01"/>
    <x v="173"/>
    <s v="50004"/>
    <s v="차변"/>
    <s v="101"/>
    <s v="현금"/>
    <x v="1"/>
    <n v="110000"/>
    <n v="0"/>
    <n v="-110000"/>
    <s v="샤브사랑"/>
    <m/>
    <s v="인사노무자문료 1 X 100,000"/>
  </r>
  <r>
    <s v="2025-07-01"/>
    <x v="173"/>
    <s v="50005"/>
    <s v="대변"/>
    <s v="255"/>
    <s v="부가세예수금"/>
    <x v="3"/>
    <n v="0"/>
    <n v="20000"/>
    <n v="20000"/>
    <s v="첨단튼튼병원"/>
    <m/>
    <s v="인사노무자문료(6월분) 1 X 200,000"/>
  </r>
  <r>
    <s v="2025-07-01"/>
    <x v="173"/>
    <s v="50005"/>
    <s v="대변"/>
    <s v="401"/>
    <s v="용역매출"/>
    <x v="4"/>
    <n v="0"/>
    <n v="200000"/>
    <n v="200000"/>
    <s v="첨단튼튼병원"/>
    <m/>
    <s v="인사노무자문료(6월분) 1 X 200,000"/>
  </r>
  <r>
    <s v="2025-07-01"/>
    <x v="173"/>
    <s v="50005"/>
    <s v="차변"/>
    <s v="101"/>
    <s v="현금"/>
    <x v="1"/>
    <n v="220000"/>
    <n v="0"/>
    <n v="-220000"/>
    <s v="첨단튼튼병원"/>
    <m/>
    <s v="인사노무자문료(6월분) 1 X 200,000"/>
  </r>
  <r>
    <s v="2025-07-01"/>
    <x v="173"/>
    <s v="50006"/>
    <s v="대변"/>
    <s v="255"/>
    <s v="부가세예수금"/>
    <x v="3"/>
    <n v="0"/>
    <n v="9091"/>
    <n v="9091"/>
    <s v="해드림재활주간보호센터"/>
    <m/>
    <s v="인사노무자문료(6월분) 1 X 90,909"/>
  </r>
  <r>
    <s v="2025-07-01"/>
    <x v="173"/>
    <s v="50006"/>
    <s v="대변"/>
    <s v="401"/>
    <s v="용역매출"/>
    <x v="4"/>
    <n v="0"/>
    <n v="90909"/>
    <n v="90909"/>
    <s v="해드림재활주간보호센터"/>
    <m/>
    <s v="인사노무자문료(6월분) 1 X 90,909"/>
  </r>
  <r>
    <s v="2025-07-01"/>
    <x v="173"/>
    <s v="50006"/>
    <s v="차변"/>
    <s v="101"/>
    <s v="현금"/>
    <x v="1"/>
    <n v="100000"/>
    <n v="0"/>
    <n v="-100000"/>
    <s v="해드림재활주간보호센터"/>
    <m/>
    <s v="인사노무자문료(6월분) 1 X 90,909"/>
  </r>
  <r>
    <s v="2025-07-01"/>
    <x v="173"/>
    <s v="50007"/>
    <s v="대변"/>
    <s v="255"/>
    <s v="부가세예수금"/>
    <x v="3"/>
    <n v="0"/>
    <n v="15000"/>
    <n v="15000"/>
    <s v="연세탑신경외과"/>
    <m/>
    <s v="인사노무자문료 1 X 150,000"/>
  </r>
  <r>
    <s v="2025-07-01"/>
    <x v="173"/>
    <s v="50007"/>
    <s v="대변"/>
    <s v="401"/>
    <s v="용역매출"/>
    <x v="4"/>
    <n v="0"/>
    <n v="150000"/>
    <n v="150000"/>
    <s v="연세탑신경외과"/>
    <m/>
    <s v="인사노무자문료 1 X 150,000"/>
  </r>
  <r>
    <s v="2025-07-01"/>
    <x v="173"/>
    <s v="50007"/>
    <s v="차변"/>
    <s v="101"/>
    <s v="현금"/>
    <x v="1"/>
    <n v="165000"/>
    <n v="0"/>
    <n v="-165000"/>
    <s v="연세탑신경외과"/>
    <m/>
    <s v="인사노무자문료 1 X 150,000"/>
  </r>
  <r>
    <s v="2025-07-01"/>
    <x v="173"/>
    <s v="50008"/>
    <s v="대변"/>
    <s v="255"/>
    <s v="부가세예수금"/>
    <x v="3"/>
    <n v="0"/>
    <n v="12000"/>
    <n v="12000"/>
    <s v="용성이앤지"/>
    <m/>
    <s v="인사노무자문료 1 X 120,000"/>
  </r>
  <r>
    <s v="2025-07-01"/>
    <x v="173"/>
    <s v="50008"/>
    <s v="대변"/>
    <s v="401"/>
    <s v="용역매출"/>
    <x v="4"/>
    <n v="0"/>
    <n v="120000"/>
    <n v="120000"/>
    <s v="용성이앤지"/>
    <m/>
    <s v="인사노무자문료 1 X 120,000"/>
  </r>
  <r>
    <s v="2025-07-01"/>
    <x v="173"/>
    <s v="50008"/>
    <s v="차변"/>
    <s v="101"/>
    <s v="현금"/>
    <x v="1"/>
    <n v="132000"/>
    <n v="0"/>
    <n v="-132000"/>
    <s v="용성이앤지"/>
    <m/>
    <s v="인사노무자문료 1 X 120,000"/>
  </r>
  <r>
    <s v="2025-07-01"/>
    <x v="173"/>
    <s v="50009"/>
    <s v="대변"/>
    <s v="255"/>
    <s v="부가세예수금"/>
    <x v="3"/>
    <n v="0"/>
    <n v="15000"/>
    <n v="15000"/>
    <s v="주식회사 수연"/>
    <m/>
    <s v="인사노무자문료 1 X 150,000"/>
  </r>
  <r>
    <s v="2025-07-01"/>
    <x v="173"/>
    <s v="50009"/>
    <s v="대변"/>
    <s v="401"/>
    <s v="용역매출"/>
    <x v="4"/>
    <n v="0"/>
    <n v="150000"/>
    <n v="150000"/>
    <s v="주식회사 수연"/>
    <m/>
    <s v="인사노무자문료 1 X 150,000"/>
  </r>
  <r>
    <s v="2025-07-01"/>
    <x v="173"/>
    <s v="50009"/>
    <s v="차변"/>
    <s v="101"/>
    <s v="현금"/>
    <x v="1"/>
    <n v="165000"/>
    <n v="0"/>
    <n v="-165000"/>
    <s v="주식회사 수연"/>
    <m/>
    <s v="인사노무자문료 1 X 150,000"/>
  </r>
  <r>
    <s v="2025-07-01"/>
    <x v="173"/>
    <s v="50010"/>
    <s v="대변"/>
    <s v="255"/>
    <s v="부가세예수금"/>
    <x v="3"/>
    <n v="0"/>
    <n v="13000"/>
    <n v="13000"/>
    <s v="(주)뉴아람식자재마트 운암점"/>
    <m/>
    <s v="인사노무자문료 1 X 130,000"/>
  </r>
  <r>
    <s v="2025-07-01"/>
    <x v="173"/>
    <s v="50010"/>
    <s v="대변"/>
    <s v="401"/>
    <s v="용역매출"/>
    <x v="4"/>
    <n v="0"/>
    <n v="130000"/>
    <n v="130000"/>
    <s v="(주)뉴아람식자재마트 운암점"/>
    <m/>
    <s v="인사노무자문료 1 X 130,000"/>
  </r>
  <r>
    <s v="2025-07-01"/>
    <x v="173"/>
    <s v="50010"/>
    <s v="차변"/>
    <s v="101"/>
    <s v="현금"/>
    <x v="1"/>
    <n v="143000"/>
    <n v="0"/>
    <n v="-143000"/>
    <s v="(주)뉴아람식자재마트 운암점"/>
    <m/>
    <s v="인사노무자문료 1 X 130,000"/>
  </r>
  <r>
    <s v="2025-07-01"/>
    <x v="173"/>
    <s v="50011"/>
    <s v="대변"/>
    <s v="255"/>
    <s v="부가세예수금"/>
    <x v="3"/>
    <n v="0"/>
    <n v="10000"/>
    <n v="10000"/>
    <s v="와이앤애드"/>
    <m/>
    <s v="인사노무자문료 1 X 100,000"/>
  </r>
  <r>
    <s v="2025-07-01"/>
    <x v="173"/>
    <s v="50011"/>
    <s v="대변"/>
    <s v="401"/>
    <s v="용역매출"/>
    <x v="4"/>
    <n v="0"/>
    <n v="100000"/>
    <n v="100000"/>
    <s v="와이앤애드"/>
    <m/>
    <s v="인사노무자문료 1 X 100,000"/>
  </r>
  <r>
    <s v="2025-07-01"/>
    <x v="173"/>
    <s v="50011"/>
    <s v="차변"/>
    <s v="101"/>
    <s v="현금"/>
    <x v="1"/>
    <n v="110000"/>
    <n v="0"/>
    <n v="-110000"/>
    <s v="와이앤애드"/>
    <m/>
    <s v="인사노무자문료 1 X 100,000"/>
  </r>
  <r>
    <s v="2025-07-01"/>
    <x v="173"/>
    <s v="50012"/>
    <s v="대변"/>
    <s v="255"/>
    <s v="부가세예수금"/>
    <x v="3"/>
    <n v="0"/>
    <n v="20000"/>
    <n v="20000"/>
    <s v="에이스축산"/>
    <m/>
    <s v="인사노무자문료 1 X 200,000"/>
  </r>
  <r>
    <s v="2025-07-01"/>
    <x v="173"/>
    <s v="50012"/>
    <s v="대변"/>
    <s v="401"/>
    <s v="용역매출"/>
    <x v="4"/>
    <n v="0"/>
    <n v="200000"/>
    <n v="200000"/>
    <s v="에이스축산"/>
    <m/>
    <s v="인사노무자문료 1 X 200,000"/>
  </r>
  <r>
    <s v="2025-07-01"/>
    <x v="173"/>
    <s v="50012"/>
    <s v="차변"/>
    <s v="101"/>
    <s v="현금"/>
    <x v="1"/>
    <n v="220000"/>
    <n v="0"/>
    <n v="-220000"/>
    <s v="에이스축산"/>
    <m/>
    <s v="인사노무자문료 1 X 200,000"/>
  </r>
  <r>
    <s v="2025-07-01"/>
    <x v="173"/>
    <s v="50013"/>
    <s v="대변"/>
    <s v="255"/>
    <s v="부가세예수금"/>
    <x v="3"/>
    <n v="0"/>
    <n v="-10000"/>
    <n v="-10000"/>
    <s v="에이스축산"/>
    <m/>
    <s v="인사노무자문료 -1 X 100,000"/>
  </r>
  <r>
    <s v="2025-07-01"/>
    <x v="173"/>
    <s v="50013"/>
    <s v="대변"/>
    <s v="401"/>
    <s v="용역매출"/>
    <x v="4"/>
    <n v="0"/>
    <n v="-100000"/>
    <n v="-100000"/>
    <s v="에이스축산"/>
    <m/>
    <s v="인사노무자문료 -1 X 100,000"/>
  </r>
  <r>
    <s v="2025-07-01"/>
    <x v="173"/>
    <s v="50013"/>
    <s v="차변"/>
    <s v="101"/>
    <s v="현금"/>
    <x v="1"/>
    <n v="-110000"/>
    <n v="0"/>
    <n v="110000"/>
    <s v="에이스축산"/>
    <m/>
    <s v="인사노무자문료 -1 X 100,000"/>
  </r>
  <r>
    <s v="2025-07-01"/>
    <x v="173"/>
    <s v="50014"/>
    <s v="대변"/>
    <s v="255"/>
    <s v="부가세예수금"/>
    <x v="3"/>
    <n v="0"/>
    <n v="10000"/>
    <n v="10000"/>
    <s v="에이스축산"/>
    <m/>
    <s v="인사노무자문료 1 X 100,000"/>
  </r>
  <r>
    <s v="2025-07-01"/>
    <x v="173"/>
    <s v="50014"/>
    <s v="대변"/>
    <s v="401"/>
    <s v="용역매출"/>
    <x v="4"/>
    <n v="0"/>
    <n v="100000"/>
    <n v="100000"/>
    <s v="에이스축산"/>
    <m/>
    <s v="인사노무자문료 1 X 100,000"/>
  </r>
  <r>
    <s v="2025-07-01"/>
    <x v="173"/>
    <s v="50014"/>
    <s v="차변"/>
    <s v="101"/>
    <s v="현금"/>
    <x v="1"/>
    <n v="110000"/>
    <n v="0"/>
    <n v="-110000"/>
    <s v="에이스축산"/>
    <m/>
    <s v="인사노무자문료 1 X 100,000"/>
  </r>
  <r>
    <s v="2025-07-01"/>
    <x v="173"/>
    <s v="50015"/>
    <s v="대변"/>
    <s v="255"/>
    <s v="부가세예수금"/>
    <x v="3"/>
    <n v="0"/>
    <n v="13000"/>
    <n v="13000"/>
    <s v="(주)뉴아람식자재마트 오치점"/>
    <m/>
    <s v="인사노무자문료 1 X 130,000"/>
  </r>
  <r>
    <s v="2025-07-01"/>
    <x v="173"/>
    <s v="50015"/>
    <s v="대변"/>
    <s v="401"/>
    <s v="용역매출"/>
    <x v="4"/>
    <n v="0"/>
    <n v="130000"/>
    <n v="130000"/>
    <s v="(주)뉴아람식자재마트 오치점"/>
    <m/>
    <s v="인사노무자문료 1 X 130,000"/>
  </r>
  <r>
    <s v="2025-07-01"/>
    <x v="173"/>
    <s v="50015"/>
    <s v="차변"/>
    <s v="101"/>
    <s v="현금"/>
    <x v="1"/>
    <n v="143000"/>
    <n v="0"/>
    <n v="-143000"/>
    <s v="(주)뉴아람식자재마트 오치점"/>
    <m/>
    <s v="인사노무자문료 1 X 130,000"/>
  </r>
  <r>
    <s v="2025-07-01"/>
    <x v="173"/>
    <s v="50016"/>
    <s v="대변"/>
    <s v="255"/>
    <s v="부가세예수금"/>
    <x v="3"/>
    <n v="0"/>
    <n v="15000"/>
    <n v="15000"/>
    <s v="청담리브의원"/>
    <m/>
    <s v="인사노무자문료 1 X 150,000"/>
  </r>
  <r>
    <s v="2025-07-01"/>
    <x v="173"/>
    <s v="50016"/>
    <s v="대변"/>
    <s v="401"/>
    <s v="용역매출"/>
    <x v="4"/>
    <n v="0"/>
    <n v="150000"/>
    <n v="150000"/>
    <s v="청담리브의원"/>
    <m/>
    <s v="인사노무자문료 1 X 150,000"/>
  </r>
  <r>
    <s v="2025-07-01"/>
    <x v="173"/>
    <s v="50016"/>
    <s v="차변"/>
    <s v="101"/>
    <s v="현금"/>
    <x v="1"/>
    <n v="165000"/>
    <n v="0"/>
    <n v="-165000"/>
    <s v="청담리브의원"/>
    <m/>
    <s v="인사노무자문료 1 X 150,000"/>
  </r>
  <r>
    <s v="2025-07-01"/>
    <x v="173"/>
    <s v="50017"/>
    <s v="대변"/>
    <s v="255"/>
    <s v="부가세예수금"/>
    <x v="3"/>
    <n v="0"/>
    <n v="15000"/>
    <n v="15000"/>
    <s v="롤링파스타(수완점)"/>
    <m/>
    <s v="인사노무자문료 1 X 150,000"/>
  </r>
  <r>
    <s v="2025-07-01"/>
    <x v="173"/>
    <s v="50017"/>
    <s v="대변"/>
    <s v="401"/>
    <s v="용역매출"/>
    <x v="4"/>
    <n v="0"/>
    <n v="150000"/>
    <n v="150000"/>
    <s v="롤링파스타(수완점)"/>
    <m/>
    <s v="인사노무자문료 1 X 150,000"/>
  </r>
  <r>
    <s v="2025-07-01"/>
    <x v="173"/>
    <s v="50017"/>
    <s v="차변"/>
    <s v="101"/>
    <s v="현금"/>
    <x v="1"/>
    <n v="165000"/>
    <n v="0"/>
    <n v="-165000"/>
    <s v="롤링파스타(수완점)"/>
    <m/>
    <s v="인사노무자문료 1 X 150,000"/>
  </r>
  <r>
    <s v="2025-07-01"/>
    <x v="173"/>
    <s v="50018"/>
    <s v="대변"/>
    <s v="255"/>
    <s v="부가세예수금"/>
    <x v="3"/>
    <n v="0"/>
    <n v="5000"/>
    <n v="5000"/>
    <s v="바른샤브"/>
    <m/>
    <s v="인사노무자문료 1 X 50,000"/>
  </r>
  <r>
    <s v="2025-07-01"/>
    <x v="173"/>
    <s v="50018"/>
    <s v="대변"/>
    <s v="401"/>
    <s v="용역매출"/>
    <x v="4"/>
    <n v="0"/>
    <n v="50000"/>
    <n v="50000"/>
    <s v="바른샤브"/>
    <m/>
    <s v="인사노무자문료 1 X 50,000"/>
  </r>
  <r>
    <s v="2025-07-01"/>
    <x v="173"/>
    <s v="50018"/>
    <s v="차변"/>
    <s v="101"/>
    <s v="현금"/>
    <x v="1"/>
    <n v="55000"/>
    <n v="0"/>
    <n v="-55000"/>
    <s v="바른샤브"/>
    <m/>
    <s v="인사노무자문료 1 X 50,000"/>
  </r>
  <r>
    <s v="2025-07-01"/>
    <x v="173"/>
    <s v="50019"/>
    <s v="대변"/>
    <s v="255"/>
    <s v="부가세예수금"/>
    <x v="3"/>
    <n v="0"/>
    <n v="10000"/>
    <n v="10000"/>
    <s v="(유)담양담빛샤브"/>
    <m/>
    <s v="인사노무자문료 1 X 100,000"/>
  </r>
  <r>
    <s v="2025-07-01"/>
    <x v="173"/>
    <s v="50019"/>
    <s v="대변"/>
    <s v="401"/>
    <s v="용역매출"/>
    <x v="4"/>
    <n v="0"/>
    <n v="100000"/>
    <n v="100000"/>
    <s v="(유)담양담빛샤브"/>
    <m/>
    <s v="인사노무자문료 1 X 100,000"/>
  </r>
  <r>
    <s v="2025-07-01"/>
    <x v="173"/>
    <s v="50019"/>
    <s v="차변"/>
    <s v="101"/>
    <s v="현금"/>
    <x v="1"/>
    <n v="110000"/>
    <n v="0"/>
    <n v="-110000"/>
    <s v="(유)담양담빛샤브"/>
    <m/>
    <s v="인사노무자문료 1 X 100,000"/>
  </r>
  <r>
    <s v="2025-07-01"/>
    <x v="173"/>
    <s v="50020"/>
    <s v="대변"/>
    <s v="255"/>
    <s v="부가세예수금"/>
    <x v="3"/>
    <n v="0"/>
    <n v="5000"/>
    <n v="5000"/>
    <s v="서호통상"/>
    <m/>
    <s v="인사노무자문료 1 X 50,000"/>
  </r>
  <r>
    <s v="2025-07-01"/>
    <x v="173"/>
    <s v="50020"/>
    <s v="대변"/>
    <s v="401"/>
    <s v="용역매출"/>
    <x v="4"/>
    <n v="0"/>
    <n v="50000"/>
    <n v="50000"/>
    <s v="서호통상"/>
    <m/>
    <s v="인사노무자문료 1 X 50,000"/>
  </r>
  <r>
    <s v="2025-07-01"/>
    <x v="173"/>
    <s v="50020"/>
    <s v="차변"/>
    <s v="101"/>
    <s v="현금"/>
    <x v="1"/>
    <n v="55000"/>
    <n v="0"/>
    <n v="-55000"/>
    <s v="서호통상"/>
    <m/>
    <s v="인사노무자문료 1 X 50,000"/>
  </r>
  <r>
    <s v="2025-07-01"/>
    <x v="173"/>
    <s v="50021"/>
    <s v="대변"/>
    <s v="255"/>
    <s v="부가세예수금"/>
    <x v="3"/>
    <n v="0"/>
    <n v="20000"/>
    <n v="20000"/>
    <s v="(주)연합기업"/>
    <m/>
    <s v="인사노무자문료 1 X 200,000"/>
  </r>
  <r>
    <s v="2025-07-01"/>
    <x v="173"/>
    <s v="50021"/>
    <s v="대변"/>
    <s v="401"/>
    <s v="용역매출"/>
    <x v="4"/>
    <n v="0"/>
    <n v="200000"/>
    <n v="200000"/>
    <s v="(주)연합기업"/>
    <m/>
    <s v="인사노무자문료 1 X 200,000"/>
  </r>
  <r>
    <s v="2025-07-01"/>
    <x v="173"/>
    <s v="50021"/>
    <s v="차변"/>
    <s v="101"/>
    <s v="현금"/>
    <x v="1"/>
    <n v="220000"/>
    <n v="0"/>
    <n v="-220000"/>
    <s v="(주)연합기업"/>
    <m/>
    <s v="인사노무자문료 1 X 200,000"/>
  </r>
  <r>
    <s v="2025-07-01"/>
    <x v="173"/>
    <s v="50022"/>
    <s v="대변"/>
    <s v="255"/>
    <s v="부가세예수금"/>
    <x v="3"/>
    <n v="0"/>
    <n v="15000"/>
    <n v="15000"/>
    <s v="라스(LAS)어린이치과의원"/>
    <m/>
    <s v="인사노무자문료(6월분) 1 X 150,000"/>
  </r>
  <r>
    <s v="2025-07-01"/>
    <x v="173"/>
    <s v="50022"/>
    <s v="대변"/>
    <s v="401"/>
    <s v="용역매출"/>
    <x v="4"/>
    <n v="0"/>
    <n v="150000"/>
    <n v="150000"/>
    <s v="라스(LAS)어린이치과의원"/>
    <m/>
    <s v="인사노무자문료(6월분) 1 X 150,000"/>
  </r>
  <r>
    <s v="2025-07-01"/>
    <x v="173"/>
    <s v="50022"/>
    <s v="차변"/>
    <s v="101"/>
    <s v="현금"/>
    <x v="1"/>
    <n v="165000"/>
    <n v="0"/>
    <n v="-165000"/>
    <s v="라스(LAS)어린이치과의원"/>
    <m/>
    <s v="인사노무자문료(6월분) 1 X 150,000"/>
  </r>
  <r>
    <s v="2025-07-01"/>
    <x v="173"/>
    <s v="50023"/>
    <s v="대변"/>
    <s v="255"/>
    <s v="부가세예수금"/>
    <x v="3"/>
    <n v="0"/>
    <n v="12000"/>
    <n v="12000"/>
    <s v="마루샤브"/>
    <m/>
    <s v="인사노무자문료(6월분) 1 X 120,000"/>
  </r>
  <r>
    <s v="2025-07-01"/>
    <x v="173"/>
    <s v="50023"/>
    <s v="대변"/>
    <s v="401"/>
    <s v="용역매출"/>
    <x v="4"/>
    <n v="0"/>
    <n v="120000"/>
    <n v="120000"/>
    <s v="마루샤브"/>
    <m/>
    <s v="인사노무자문료(6월분) 1 X 120,000"/>
  </r>
  <r>
    <s v="2025-07-01"/>
    <x v="173"/>
    <s v="50023"/>
    <s v="차변"/>
    <s v="101"/>
    <s v="현금"/>
    <x v="1"/>
    <n v="132000"/>
    <n v="0"/>
    <n v="-132000"/>
    <s v="마루샤브"/>
    <m/>
    <s v="인사노무자문료(6월분) 1 X 120,000"/>
  </r>
  <r>
    <s v="2025-07-01"/>
    <x v="173"/>
    <s v="50024"/>
    <s v="대변"/>
    <s v="255"/>
    <s v="부가세예수금"/>
    <x v="3"/>
    <n v="0"/>
    <n v="9091"/>
    <n v="9091"/>
    <s v="깐깐한 족발(화정점)"/>
    <m/>
    <s v="인사노무자문료(6월분) 1 X 90,909"/>
  </r>
  <r>
    <s v="2025-07-01"/>
    <x v="173"/>
    <s v="50024"/>
    <s v="대변"/>
    <s v="401"/>
    <s v="용역매출"/>
    <x v="4"/>
    <n v="0"/>
    <n v="90909"/>
    <n v="90909"/>
    <s v="깐깐한 족발(화정점)"/>
    <m/>
    <s v="인사노무자문료(6월분) 1 X 90,909"/>
  </r>
  <r>
    <s v="2025-07-01"/>
    <x v="173"/>
    <s v="50024"/>
    <s v="차변"/>
    <s v="101"/>
    <s v="현금"/>
    <x v="1"/>
    <n v="100000"/>
    <n v="0"/>
    <n v="-100000"/>
    <s v="깐깐한 족발(화정점)"/>
    <m/>
    <s v="인사노무자문료(6월분) 1 X 90,909"/>
  </r>
  <r>
    <s v="2025-07-01"/>
    <x v="173"/>
    <s v="50025"/>
    <s v="대변"/>
    <s v="255"/>
    <s v="부가세예수금"/>
    <x v="3"/>
    <n v="0"/>
    <n v="10000"/>
    <n v="10000"/>
    <s v="24시 동물병원 공감"/>
    <m/>
    <s v="인사노무자문료(누락분) 1 X 100,000"/>
  </r>
  <r>
    <s v="2025-07-01"/>
    <x v="173"/>
    <s v="50025"/>
    <s v="대변"/>
    <s v="401"/>
    <s v="용역매출"/>
    <x v="4"/>
    <n v="0"/>
    <n v="100000"/>
    <n v="100000"/>
    <s v="24시 동물병원 공감"/>
    <m/>
    <s v="인사노무자문료(누락분) 1 X 100,000"/>
  </r>
  <r>
    <s v="2025-07-01"/>
    <x v="173"/>
    <s v="50025"/>
    <s v="차변"/>
    <s v="101"/>
    <s v="현금"/>
    <x v="1"/>
    <n v="110000"/>
    <n v="0"/>
    <n v="-110000"/>
    <s v="24시 동물병원 공감"/>
    <m/>
    <s v="인사노무자문료(누락분) 1 X 100,000"/>
  </r>
  <r>
    <s v="2025-07-01"/>
    <x v="173"/>
    <s v="50026"/>
    <s v="대변"/>
    <s v="255"/>
    <s v="부가세예수금"/>
    <x v="3"/>
    <n v="0"/>
    <n v="20000"/>
    <n v="20000"/>
    <s v="24시 동물병원 공감"/>
    <m/>
    <s v="인사노무자문료(6월분) 1 X 200,000"/>
  </r>
  <r>
    <s v="2025-07-01"/>
    <x v="173"/>
    <s v="50026"/>
    <s v="대변"/>
    <s v="401"/>
    <s v="용역매출"/>
    <x v="4"/>
    <n v="0"/>
    <n v="200000"/>
    <n v="200000"/>
    <s v="24시 동물병원 공감"/>
    <m/>
    <s v="인사노무자문료(6월분) 1 X 200,000"/>
  </r>
  <r>
    <s v="2025-07-01"/>
    <x v="173"/>
    <s v="50026"/>
    <s v="차변"/>
    <s v="101"/>
    <s v="현금"/>
    <x v="1"/>
    <n v="220000"/>
    <n v="0"/>
    <n v="-220000"/>
    <s v="24시 동물병원 공감"/>
    <m/>
    <s v="인사노무자문료(6월분) 1 X 200,000"/>
  </r>
  <r>
    <s v="2025-07-01"/>
    <x v="173"/>
    <s v="50027"/>
    <s v="대변"/>
    <s v="255"/>
    <s v="부가세예수금"/>
    <x v="3"/>
    <n v="0"/>
    <n v="7000"/>
    <n v="7000"/>
    <s v="하서방해물칼국수"/>
    <m/>
    <s v="인사노무자문료(6월분) 1 X 70,000"/>
  </r>
  <r>
    <s v="2025-07-01"/>
    <x v="173"/>
    <s v="50027"/>
    <s v="대변"/>
    <s v="401"/>
    <s v="용역매출"/>
    <x v="4"/>
    <n v="0"/>
    <n v="70000"/>
    <n v="70000"/>
    <s v="하서방해물칼국수"/>
    <m/>
    <s v="인사노무자문료(6월분) 1 X 70,000"/>
  </r>
  <r>
    <s v="2025-07-01"/>
    <x v="173"/>
    <s v="50027"/>
    <s v="차변"/>
    <s v="101"/>
    <s v="현금"/>
    <x v="1"/>
    <n v="77000"/>
    <n v="0"/>
    <n v="-77000"/>
    <s v="하서방해물칼국수"/>
    <m/>
    <s v="인사노무자문료(6월분) 1 X 70,000"/>
  </r>
  <r>
    <s v="2025-07-01"/>
    <x v="173"/>
    <s v="50028"/>
    <s v="대변"/>
    <s v="255"/>
    <s v="부가세예수금"/>
    <x v="3"/>
    <n v="0"/>
    <n v="10000"/>
    <n v="10000"/>
    <s v="연세바른병원"/>
    <m/>
    <s v="인사노무자문료(6월분) 1 X 100,000"/>
  </r>
  <r>
    <s v="2025-07-01"/>
    <x v="173"/>
    <s v="50028"/>
    <s v="대변"/>
    <s v="401"/>
    <s v="용역매출"/>
    <x v="4"/>
    <n v="0"/>
    <n v="100000"/>
    <n v="100000"/>
    <s v="연세바른병원"/>
    <m/>
    <s v="인사노무자문료(6월분) 1 X 100,000"/>
  </r>
  <r>
    <s v="2025-07-01"/>
    <x v="173"/>
    <s v="50028"/>
    <s v="차변"/>
    <s v="101"/>
    <s v="현금"/>
    <x v="1"/>
    <n v="110000"/>
    <n v="0"/>
    <n v="-110000"/>
    <s v="연세바른병원"/>
    <m/>
    <s v="인사노무자문료(6월분) 1 X 100,000"/>
  </r>
  <r>
    <s v="2025-07-01"/>
    <x v="173"/>
    <s v="50029"/>
    <s v="대변"/>
    <s v="255"/>
    <s v="부가세예수금"/>
    <x v="3"/>
    <n v="0"/>
    <n v="15000"/>
    <n v="15000"/>
    <s v="월간맥주수완점"/>
    <m/>
    <s v="인사노무자문료(6월분) 1 X 150,000"/>
  </r>
  <r>
    <s v="2025-07-01"/>
    <x v="173"/>
    <s v="50029"/>
    <s v="대변"/>
    <s v="401"/>
    <s v="용역매출"/>
    <x v="4"/>
    <n v="0"/>
    <n v="150000"/>
    <n v="150000"/>
    <s v="월간맥주수완점"/>
    <m/>
    <s v="인사노무자문료(6월분) 1 X 150,000"/>
  </r>
  <r>
    <s v="2025-07-01"/>
    <x v="173"/>
    <s v="50029"/>
    <s v="차변"/>
    <s v="101"/>
    <s v="현금"/>
    <x v="1"/>
    <n v="165000"/>
    <n v="0"/>
    <n v="-165000"/>
    <s v="월간맥주수완점"/>
    <m/>
    <s v="인사노무자문료(6월분) 1 X 150,000"/>
  </r>
  <r>
    <s v="2025-07-01"/>
    <x v="173"/>
    <s v="50030"/>
    <s v="대변"/>
    <s v="255"/>
    <s v="부가세예수금"/>
    <x v="3"/>
    <n v="0"/>
    <n v="20000"/>
    <n v="20000"/>
    <s v="(주)유토피아코리아"/>
    <m/>
    <s v="인사노무자문료(6월분) 1 X 200,000"/>
  </r>
  <r>
    <s v="2025-07-01"/>
    <x v="173"/>
    <s v="50030"/>
    <s v="대변"/>
    <s v="401"/>
    <s v="용역매출"/>
    <x v="4"/>
    <n v="0"/>
    <n v="200000"/>
    <n v="200000"/>
    <s v="(주)유토피아코리아"/>
    <m/>
    <s v="인사노무자문료(6월분) 1 X 200,000"/>
  </r>
  <r>
    <s v="2025-07-01"/>
    <x v="173"/>
    <s v="50030"/>
    <s v="차변"/>
    <s v="101"/>
    <s v="현금"/>
    <x v="1"/>
    <n v="220000"/>
    <n v="0"/>
    <n v="-220000"/>
    <s v="(주)유토피아코리아"/>
    <m/>
    <s v="인사노무자문료(6월분) 1 X 200,000"/>
  </r>
  <r>
    <s v="2025-07-01"/>
    <x v="173"/>
    <s v="50031"/>
    <s v="대변"/>
    <s v="255"/>
    <s v="부가세예수금"/>
    <x v="3"/>
    <n v="0"/>
    <n v="10000"/>
    <n v="10000"/>
    <s v="주식화사 광원이엔지"/>
    <m/>
    <s v="인사노무자문료(6월분) 1 X 100,000"/>
  </r>
  <r>
    <s v="2025-07-01"/>
    <x v="173"/>
    <s v="50031"/>
    <s v="대변"/>
    <s v="401"/>
    <s v="용역매출"/>
    <x v="4"/>
    <n v="0"/>
    <n v="100000"/>
    <n v="100000"/>
    <s v="주식화사 광원이엔지"/>
    <m/>
    <s v="인사노무자문료(6월분) 1 X 100,000"/>
  </r>
  <r>
    <s v="2025-07-01"/>
    <x v="173"/>
    <s v="50031"/>
    <s v="차변"/>
    <s v="101"/>
    <s v="현금"/>
    <x v="1"/>
    <n v="110000"/>
    <n v="0"/>
    <n v="-110000"/>
    <s v="주식화사 광원이엔지"/>
    <m/>
    <s v="인사노무자문료(6월분) 1 X 100,000"/>
  </r>
  <r>
    <s v="2025-07-01"/>
    <x v="173"/>
    <s v="50032"/>
    <s v="대변"/>
    <s v="255"/>
    <s v="부가세예수금"/>
    <x v="3"/>
    <n v="0"/>
    <n v="10000"/>
    <n v="10000"/>
    <s v="(주)커피볶는집"/>
    <m/>
    <s v="인사노무자문료(6월분) 1 X 100,000"/>
  </r>
  <r>
    <s v="2025-07-01"/>
    <x v="173"/>
    <s v="50032"/>
    <s v="대변"/>
    <s v="401"/>
    <s v="용역매출"/>
    <x v="4"/>
    <n v="0"/>
    <n v="100000"/>
    <n v="100000"/>
    <s v="(주)커피볶는집"/>
    <m/>
    <s v="인사노무자문료(6월분) 1 X 100,000"/>
  </r>
  <r>
    <s v="2025-07-01"/>
    <x v="173"/>
    <s v="50032"/>
    <s v="차변"/>
    <s v="101"/>
    <s v="현금"/>
    <x v="1"/>
    <n v="110000"/>
    <n v="0"/>
    <n v="-110000"/>
    <s v="(주)커피볶는집"/>
    <m/>
    <s v="인사노무자문료(6월분) 1 X 100,000"/>
  </r>
  <r>
    <s v="2025-07-01"/>
    <x v="173"/>
    <s v="50033"/>
    <s v="대변"/>
    <s v="255"/>
    <s v="부가세예수금"/>
    <x v="3"/>
    <n v="0"/>
    <n v="6000"/>
    <n v="6000"/>
    <s v="이마트24광주농성점"/>
    <m/>
    <s v="인사노무자문료(6월분) 1 X 60,000"/>
  </r>
  <r>
    <s v="2025-07-01"/>
    <x v="173"/>
    <s v="50033"/>
    <s v="대변"/>
    <s v="401"/>
    <s v="용역매출"/>
    <x v="4"/>
    <n v="0"/>
    <n v="60000"/>
    <n v="60000"/>
    <s v="이마트24광주농성점"/>
    <m/>
    <s v="인사노무자문료(6월분) 1 X 60,000"/>
  </r>
  <r>
    <s v="2025-07-01"/>
    <x v="173"/>
    <s v="50033"/>
    <s v="차변"/>
    <s v="101"/>
    <s v="현금"/>
    <x v="1"/>
    <n v="66000"/>
    <n v="0"/>
    <n v="-66000"/>
    <s v="이마트24광주농성점"/>
    <m/>
    <s v="인사노무자문료(6월분) 1 X 60,000"/>
  </r>
  <r>
    <s v="2025-07-01"/>
    <x v="173"/>
    <s v="50034"/>
    <s v="대변"/>
    <s v="255"/>
    <s v="부가세예수금"/>
    <x v="3"/>
    <n v="0"/>
    <n v="10000"/>
    <n v="10000"/>
    <s v="리.베이커리"/>
    <m/>
    <s v="인사노무자문료(6월분) 1 X 100,000"/>
  </r>
  <r>
    <s v="2025-07-01"/>
    <x v="173"/>
    <s v="50034"/>
    <s v="대변"/>
    <s v="401"/>
    <s v="용역매출"/>
    <x v="4"/>
    <n v="0"/>
    <n v="100000"/>
    <n v="100000"/>
    <s v="리.베이커리"/>
    <m/>
    <s v="인사노무자문료(6월분) 1 X 100,000"/>
  </r>
  <r>
    <s v="2025-07-01"/>
    <x v="173"/>
    <s v="50034"/>
    <s v="차변"/>
    <s v="101"/>
    <s v="현금"/>
    <x v="1"/>
    <n v="110000"/>
    <n v="0"/>
    <n v="-110000"/>
    <s v="리.베이커리"/>
    <m/>
    <s v="인사노무자문료(6월분) 1 X 100,000"/>
  </r>
  <r>
    <s v="2025-07-01"/>
    <x v="173"/>
    <s v="50035"/>
    <s v="대변"/>
    <s v="255"/>
    <s v="부가세예수금"/>
    <x v="3"/>
    <n v="0"/>
    <n v="20000"/>
    <n v="20000"/>
    <s v="미곡종합포장(주)"/>
    <m/>
    <s v="인사노무자문료(6월분) 1 X 200,000"/>
  </r>
  <r>
    <s v="2025-07-01"/>
    <x v="173"/>
    <s v="50035"/>
    <s v="대변"/>
    <s v="401"/>
    <s v="용역매출"/>
    <x v="4"/>
    <n v="0"/>
    <n v="200000"/>
    <n v="200000"/>
    <s v="미곡종합포장(주)"/>
    <m/>
    <s v="인사노무자문료(6월분) 1 X 200,000"/>
  </r>
  <r>
    <s v="2025-07-01"/>
    <x v="173"/>
    <s v="50035"/>
    <s v="차변"/>
    <s v="101"/>
    <s v="현금"/>
    <x v="1"/>
    <n v="220000"/>
    <n v="0"/>
    <n v="-220000"/>
    <s v="미곡종합포장(주)"/>
    <m/>
    <s v="인사노무자문료(6월분) 1 X 200,000"/>
  </r>
  <r>
    <s v="2025-07-01"/>
    <x v="173"/>
    <s v="50036"/>
    <s v="대변"/>
    <s v="255"/>
    <s v="부가세예수금"/>
    <x v="3"/>
    <n v="0"/>
    <n v="10000"/>
    <n v="10000"/>
    <s v="주식회사 한솔무역"/>
    <m/>
    <s v="인사노무자문료(6월분) 1 X 100,000"/>
  </r>
  <r>
    <s v="2025-07-01"/>
    <x v="173"/>
    <s v="50036"/>
    <s v="대변"/>
    <s v="401"/>
    <s v="용역매출"/>
    <x v="4"/>
    <n v="0"/>
    <n v="100000"/>
    <n v="100000"/>
    <s v="주식회사 한솔무역"/>
    <m/>
    <s v="인사노무자문료(6월분) 1 X 100,000"/>
  </r>
  <r>
    <s v="2025-07-01"/>
    <x v="173"/>
    <s v="50036"/>
    <s v="차변"/>
    <s v="101"/>
    <s v="현금"/>
    <x v="1"/>
    <n v="110000"/>
    <n v="0"/>
    <n v="-110000"/>
    <s v="주식회사 한솔무역"/>
    <m/>
    <s v="인사노무자문료(6월분) 1 X 100,000"/>
  </r>
  <r>
    <s v="2025-07-01"/>
    <x v="173"/>
    <s v="50037"/>
    <s v="대변"/>
    <s v="255"/>
    <s v="부가세예수금"/>
    <x v="3"/>
    <n v="0"/>
    <n v="15000"/>
    <n v="15000"/>
    <s v="방방곡곡플라워"/>
    <m/>
    <s v="인사노무자문료(6월분) 1 X 150,000"/>
  </r>
  <r>
    <s v="2025-07-01"/>
    <x v="173"/>
    <s v="50037"/>
    <s v="대변"/>
    <s v="401"/>
    <s v="용역매출"/>
    <x v="4"/>
    <n v="0"/>
    <n v="150000"/>
    <n v="150000"/>
    <s v="방방곡곡플라워"/>
    <m/>
    <s v="인사노무자문료(6월분) 1 X 150,000"/>
  </r>
  <r>
    <s v="2025-07-01"/>
    <x v="173"/>
    <s v="50037"/>
    <s v="차변"/>
    <s v="101"/>
    <s v="현금"/>
    <x v="1"/>
    <n v="165000"/>
    <n v="0"/>
    <n v="-165000"/>
    <s v="방방곡곡플라워"/>
    <m/>
    <s v="인사노무자문료(6월분) 1 X 150,000"/>
  </r>
  <r>
    <s v="2025-07-01"/>
    <x v="173"/>
    <s v="50038"/>
    <s v="대변"/>
    <s v="255"/>
    <s v="부가세예수금"/>
    <x v="3"/>
    <n v="0"/>
    <n v="10000"/>
    <n v="10000"/>
    <s v="(주)에이스미트"/>
    <m/>
    <s v="인사노무자문료(6월분) 1 X 100,000"/>
  </r>
  <r>
    <s v="2025-07-01"/>
    <x v="173"/>
    <s v="50038"/>
    <s v="대변"/>
    <s v="401"/>
    <s v="용역매출"/>
    <x v="4"/>
    <n v="0"/>
    <n v="100000"/>
    <n v="100000"/>
    <s v="(주)에이스미트"/>
    <m/>
    <s v="인사노무자문료(6월분) 1 X 100,000"/>
  </r>
  <r>
    <s v="2025-07-01"/>
    <x v="173"/>
    <s v="50038"/>
    <s v="차변"/>
    <s v="101"/>
    <s v="현금"/>
    <x v="1"/>
    <n v="110000"/>
    <n v="0"/>
    <n v="-110000"/>
    <s v="(주)에이스미트"/>
    <m/>
    <s v="인사노무자문료(6월분) 1 X 100,000"/>
  </r>
  <r>
    <s v="2025-07-01"/>
    <x v="173"/>
    <s v="50039"/>
    <s v="대변"/>
    <s v="255"/>
    <s v="부가세예수금"/>
    <x v="3"/>
    <n v="0"/>
    <n v="7000"/>
    <n v="7000"/>
    <s v="동지애드"/>
    <m/>
    <s v="인사노무자문료(6월분) 1 X 70,000"/>
  </r>
  <r>
    <s v="2025-07-01"/>
    <x v="173"/>
    <s v="50039"/>
    <s v="대변"/>
    <s v="401"/>
    <s v="용역매출"/>
    <x v="4"/>
    <n v="0"/>
    <n v="70000"/>
    <n v="70000"/>
    <s v="동지애드"/>
    <m/>
    <s v="인사노무자문료(6월분) 1 X 70,000"/>
  </r>
  <r>
    <s v="2025-07-01"/>
    <x v="173"/>
    <s v="50039"/>
    <s v="차변"/>
    <s v="101"/>
    <s v="현금"/>
    <x v="1"/>
    <n v="77000"/>
    <n v="0"/>
    <n v="-77000"/>
    <s v="동지애드"/>
    <m/>
    <s v="인사노무자문료(6월분) 1 X 70,000"/>
  </r>
  <r>
    <s v="2025-07-01"/>
    <x v="173"/>
    <s v="50040"/>
    <s v="대변"/>
    <s v="255"/>
    <s v="부가세예수금"/>
    <x v="3"/>
    <n v="0"/>
    <n v="10000"/>
    <n v="10000"/>
    <s v="주식회사 세연이앤에스"/>
    <m/>
    <s v="인사노무자문료(6월분) 1 X 100,000"/>
  </r>
  <r>
    <s v="2025-07-01"/>
    <x v="173"/>
    <s v="50040"/>
    <s v="대변"/>
    <s v="401"/>
    <s v="용역매출"/>
    <x v="4"/>
    <n v="0"/>
    <n v="100000"/>
    <n v="100000"/>
    <s v="주식회사 세연이앤에스"/>
    <m/>
    <s v="인사노무자문료(6월분) 1 X 100,000"/>
  </r>
  <r>
    <s v="2025-07-01"/>
    <x v="173"/>
    <s v="50040"/>
    <s v="차변"/>
    <s v="101"/>
    <s v="현금"/>
    <x v="1"/>
    <n v="110000"/>
    <n v="0"/>
    <n v="-110000"/>
    <s v="주식회사 세연이앤에스"/>
    <m/>
    <s v="인사노무자문료(6월분) 1 X 100,000"/>
  </r>
  <r>
    <s v="2025-07-01"/>
    <x v="173"/>
    <s v="50041"/>
    <s v="대변"/>
    <s v="255"/>
    <s v="부가세예수금"/>
    <x v="3"/>
    <n v="0"/>
    <n v="10000"/>
    <n v="10000"/>
    <s v="주식회사 바우만테크"/>
    <m/>
    <s v="인사노무자문료(6월분) 1 X 100,000"/>
  </r>
  <r>
    <s v="2025-07-01"/>
    <x v="173"/>
    <s v="50041"/>
    <s v="대변"/>
    <s v="401"/>
    <s v="용역매출"/>
    <x v="4"/>
    <n v="0"/>
    <n v="100000"/>
    <n v="100000"/>
    <s v="주식회사 바우만테크"/>
    <m/>
    <s v="인사노무자문료(6월분) 1 X 100,000"/>
  </r>
  <r>
    <s v="2025-07-01"/>
    <x v="173"/>
    <s v="50041"/>
    <s v="차변"/>
    <s v="101"/>
    <s v="현금"/>
    <x v="1"/>
    <n v="110000"/>
    <n v="0"/>
    <n v="-110000"/>
    <s v="주식회사 바우만테크"/>
    <m/>
    <s v="인사노무자문료(6월분) 1 X 100,000"/>
  </r>
  <r>
    <s v="2025-07-01"/>
    <x v="173"/>
    <s v="50042"/>
    <s v="대변"/>
    <s v="255"/>
    <s v="부가세예수금"/>
    <x v="3"/>
    <n v="0"/>
    <n v="12000"/>
    <n v="12000"/>
    <s v="(유)광주가구산업"/>
    <m/>
    <s v="인사노무자문료(6월분) 1 X 120,000"/>
  </r>
  <r>
    <s v="2025-07-01"/>
    <x v="173"/>
    <s v="50042"/>
    <s v="대변"/>
    <s v="401"/>
    <s v="용역매출"/>
    <x v="4"/>
    <n v="0"/>
    <n v="120000"/>
    <n v="120000"/>
    <s v="(유)광주가구산업"/>
    <m/>
    <s v="인사노무자문료(6월분) 1 X 120,000"/>
  </r>
  <r>
    <s v="2025-07-01"/>
    <x v="173"/>
    <s v="50042"/>
    <s v="차변"/>
    <s v="101"/>
    <s v="현금"/>
    <x v="1"/>
    <n v="132000"/>
    <n v="0"/>
    <n v="-132000"/>
    <s v="(유)광주가구산업"/>
    <m/>
    <s v="인사노무자문료(6월분) 1 X 120,000"/>
  </r>
  <r>
    <s v="2025-07-01"/>
    <x v="173"/>
    <s v="50043"/>
    <s v="대변"/>
    <s v="255"/>
    <s v="부가세예수금"/>
    <x v="3"/>
    <n v="0"/>
    <n v="15000"/>
    <n v="15000"/>
    <s v="광주미래의원"/>
    <m/>
    <s v="인사노무자문료(6월분) 1 X 150,000"/>
  </r>
  <r>
    <s v="2025-07-01"/>
    <x v="173"/>
    <s v="50043"/>
    <s v="대변"/>
    <s v="401"/>
    <s v="용역매출"/>
    <x v="4"/>
    <n v="0"/>
    <n v="150000"/>
    <n v="150000"/>
    <s v="광주미래의원"/>
    <m/>
    <s v="인사노무자문료(6월분) 1 X 150,000"/>
  </r>
  <r>
    <s v="2025-07-01"/>
    <x v="173"/>
    <s v="50043"/>
    <s v="차변"/>
    <s v="101"/>
    <s v="현금"/>
    <x v="1"/>
    <n v="165000"/>
    <n v="0"/>
    <n v="-165000"/>
    <s v="광주미래의원"/>
    <m/>
    <s v="인사노무자문료(6월분) 1 X 150,000"/>
  </r>
  <r>
    <s v="2025-07-01"/>
    <x v="173"/>
    <s v="50044"/>
    <s v="대변"/>
    <s v="255"/>
    <s v="부가세예수금"/>
    <x v="3"/>
    <n v="0"/>
    <n v="10000"/>
    <n v="10000"/>
    <s v="정원기업"/>
    <m/>
    <s v="인사노무자문료(6월분) 1 X 100,000"/>
  </r>
  <r>
    <s v="2025-07-01"/>
    <x v="173"/>
    <s v="50044"/>
    <s v="대변"/>
    <s v="401"/>
    <s v="용역매출"/>
    <x v="4"/>
    <n v="0"/>
    <n v="100000"/>
    <n v="100000"/>
    <s v="정원기업"/>
    <m/>
    <s v="인사노무자문료(6월분) 1 X 100,000"/>
  </r>
  <r>
    <s v="2025-07-01"/>
    <x v="173"/>
    <s v="50044"/>
    <s v="차변"/>
    <s v="101"/>
    <s v="현금"/>
    <x v="1"/>
    <n v="110000"/>
    <n v="0"/>
    <n v="-110000"/>
    <s v="정원기업"/>
    <m/>
    <s v="인사노무자문료(6월분) 1 X 100,000"/>
  </r>
  <r>
    <s v="2025-07-01"/>
    <x v="173"/>
    <s v="50045"/>
    <s v="대변"/>
    <s v="255"/>
    <s v="부가세예수금"/>
    <x v="3"/>
    <n v="0"/>
    <n v="20000"/>
    <n v="20000"/>
    <s v="(유)에이스"/>
    <m/>
    <s v="인사노무자문료(6월분) 1 X 200,000"/>
  </r>
  <r>
    <s v="2025-07-01"/>
    <x v="173"/>
    <s v="50045"/>
    <s v="대변"/>
    <s v="401"/>
    <s v="용역매출"/>
    <x v="4"/>
    <n v="0"/>
    <n v="200000"/>
    <n v="200000"/>
    <s v="(유)에이스"/>
    <m/>
    <s v="인사노무자문료(6월분) 1 X 200,000"/>
  </r>
  <r>
    <s v="2025-07-01"/>
    <x v="173"/>
    <s v="50045"/>
    <s v="차변"/>
    <s v="101"/>
    <s v="현금"/>
    <x v="1"/>
    <n v="220000"/>
    <n v="0"/>
    <n v="-220000"/>
    <s v="(유)에이스"/>
    <m/>
    <s v="인사노무자문료(6월분) 1 X 200,000"/>
  </r>
  <r>
    <s v="2025-07-01"/>
    <x v="173"/>
    <s v="50046"/>
    <s v="대변"/>
    <s v="255"/>
    <s v="부가세예수금"/>
    <x v="3"/>
    <n v="0"/>
    <n v="10000"/>
    <n v="10000"/>
    <s v="유한회사 남선메디컬"/>
    <m/>
    <s v="인사노무자문료(6월분) 1 X 100,000"/>
  </r>
  <r>
    <s v="2025-07-01"/>
    <x v="173"/>
    <s v="50046"/>
    <s v="대변"/>
    <s v="401"/>
    <s v="용역매출"/>
    <x v="4"/>
    <n v="0"/>
    <n v="100000"/>
    <n v="100000"/>
    <s v="유한회사 남선메디컬"/>
    <m/>
    <s v="인사노무자문료(6월분) 1 X 100,000"/>
  </r>
  <r>
    <s v="2025-07-01"/>
    <x v="173"/>
    <s v="50046"/>
    <s v="차변"/>
    <s v="101"/>
    <s v="현금"/>
    <x v="1"/>
    <n v="110000"/>
    <n v="0"/>
    <n v="-110000"/>
    <s v="유한회사 남선메디컬"/>
    <m/>
    <s v="인사노무자문료(6월분) 1 X 100,000"/>
  </r>
  <r>
    <s v="2025-07-01"/>
    <x v="173"/>
    <s v="50047"/>
    <s v="대변"/>
    <s v="255"/>
    <s v="부가세예수금"/>
    <x v="3"/>
    <n v="0"/>
    <n v="10000"/>
    <n v="10000"/>
    <s v="주식회사 주영테크"/>
    <m/>
    <s v="인사노무자문료(6월분) 1 X 100,000"/>
  </r>
  <r>
    <s v="2025-07-01"/>
    <x v="173"/>
    <s v="50047"/>
    <s v="대변"/>
    <s v="401"/>
    <s v="용역매출"/>
    <x v="4"/>
    <n v="0"/>
    <n v="100000"/>
    <n v="100000"/>
    <s v="주식회사 주영테크"/>
    <m/>
    <s v="인사노무자문료(6월분) 1 X 100,000"/>
  </r>
  <r>
    <s v="2025-07-01"/>
    <x v="173"/>
    <s v="50047"/>
    <s v="차변"/>
    <s v="101"/>
    <s v="현금"/>
    <x v="1"/>
    <n v="110000"/>
    <n v="0"/>
    <n v="-110000"/>
    <s v="주식회사 주영테크"/>
    <m/>
    <s v="인사노무자문료(6월분) 1 X 100,000"/>
  </r>
  <r>
    <s v="2025-07-02"/>
    <x v="174"/>
    <s v="50001"/>
    <s v="대변"/>
    <s v="255"/>
    <s v="부가세예수금"/>
    <x v="3"/>
    <n v="0"/>
    <n v="13637"/>
    <n v="13637"/>
    <s v="고흥실버타운요양원"/>
    <m/>
    <s v="인사노무자문료 1 X 136,363"/>
  </r>
  <r>
    <s v="2025-07-02"/>
    <x v="174"/>
    <s v="50001"/>
    <s v="대변"/>
    <s v="401"/>
    <s v="용역매출"/>
    <x v="4"/>
    <n v="0"/>
    <n v="136363"/>
    <n v="136363"/>
    <s v="고흥실버타운요양원"/>
    <m/>
    <s v="인사노무자문료 1 X 136,363"/>
  </r>
  <r>
    <s v="2025-07-02"/>
    <x v="174"/>
    <s v="50001"/>
    <s v="차변"/>
    <s v="101"/>
    <s v="현금"/>
    <x v="1"/>
    <n v="150000"/>
    <n v="0"/>
    <n v="-150000"/>
    <s v="고흥실버타운요양원"/>
    <m/>
    <s v="인사노무자문료 1 X 136,363"/>
  </r>
  <r>
    <s v="2025-07-02"/>
    <x v="174"/>
    <s v="50002"/>
    <s v="대변"/>
    <s v="255"/>
    <s v="부가세예수금"/>
    <x v="3"/>
    <n v="0"/>
    <n v="10000"/>
    <n v="10000"/>
    <s v="주식회사 호원"/>
    <m/>
    <s v="인사노무자문료 1 X 100,000"/>
  </r>
  <r>
    <s v="2025-07-02"/>
    <x v="174"/>
    <s v="50002"/>
    <s v="대변"/>
    <s v="401"/>
    <s v="용역매출"/>
    <x v="4"/>
    <n v="0"/>
    <n v="100000"/>
    <n v="100000"/>
    <s v="주식회사 호원"/>
    <m/>
    <s v="인사노무자문료 1 X 100,000"/>
  </r>
  <r>
    <s v="2025-07-02"/>
    <x v="174"/>
    <s v="50002"/>
    <s v="차변"/>
    <s v="101"/>
    <s v="현금"/>
    <x v="1"/>
    <n v="110000"/>
    <n v="0"/>
    <n v="-110000"/>
    <s v="주식회사 호원"/>
    <m/>
    <s v="인사노무자문료 1 X 100,000"/>
  </r>
  <r>
    <s v="2025-07-02"/>
    <x v="174"/>
    <s v="50003"/>
    <s v="대변"/>
    <s v="255"/>
    <s v="부가세예수금"/>
    <x v="3"/>
    <n v="0"/>
    <n v="10000"/>
    <n v="10000"/>
    <s v="(주)에이버츄얼"/>
    <m/>
    <s v="인사노무자문료 1 X 100,000"/>
  </r>
  <r>
    <s v="2025-07-02"/>
    <x v="174"/>
    <s v="50003"/>
    <s v="대변"/>
    <s v="401"/>
    <s v="용역매출"/>
    <x v="4"/>
    <n v="0"/>
    <n v="100000"/>
    <n v="100000"/>
    <s v="(주)에이버츄얼"/>
    <m/>
    <s v="인사노무자문료 1 X 100,000"/>
  </r>
  <r>
    <s v="2025-07-02"/>
    <x v="174"/>
    <s v="50003"/>
    <s v="차변"/>
    <s v="101"/>
    <s v="현금"/>
    <x v="1"/>
    <n v="110000"/>
    <n v="0"/>
    <n v="-110000"/>
    <s v="(주)에이버츄얼"/>
    <m/>
    <s v="인사노무자문료 1 X 100,000"/>
  </r>
  <r>
    <s v="2025-07-02"/>
    <x v="174"/>
    <s v="50004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7-02"/>
    <x v="174"/>
    <s v="50004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7-02"/>
    <x v="174"/>
    <s v="50004"/>
    <s v="차변"/>
    <s v="101"/>
    <s v="현금"/>
    <x v="1"/>
    <n v="132000"/>
    <n v="0"/>
    <n v="-132000"/>
    <s v="재단법인 장성먹거리통합지원센터"/>
    <m/>
    <s v="인사노무자문료 1 X 120,000"/>
  </r>
  <r>
    <s v="2025-07-02"/>
    <x v="174"/>
    <s v="50005"/>
    <s v="대변"/>
    <s v="255"/>
    <s v="부가세예수금"/>
    <x v="3"/>
    <n v="0"/>
    <n v="15000"/>
    <n v="15000"/>
    <s v="(주)혁진팩"/>
    <m/>
    <s v="인사노무자문료 1 X 150,000"/>
  </r>
  <r>
    <s v="2025-07-02"/>
    <x v="174"/>
    <s v="50005"/>
    <s v="대변"/>
    <s v="401"/>
    <s v="용역매출"/>
    <x v="4"/>
    <n v="0"/>
    <n v="150000"/>
    <n v="150000"/>
    <s v="(주)혁진팩"/>
    <m/>
    <s v="인사노무자문료 1 X 150,000"/>
  </r>
  <r>
    <s v="2025-07-02"/>
    <x v="174"/>
    <s v="50005"/>
    <s v="차변"/>
    <s v="101"/>
    <s v="현금"/>
    <x v="1"/>
    <n v="165000"/>
    <n v="0"/>
    <n v="-165000"/>
    <s v="(주)혁진팩"/>
    <m/>
    <s v="인사노무자문료 1 X 150,000"/>
  </r>
  <r>
    <s v="2025-07-02"/>
    <x v="174"/>
    <s v="50006"/>
    <s v="대변"/>
    <s v="255"/>
    <s v="부가세예수금"/>
    <x v="3"/>
    <n v="0"/>
    <n v="15000"/>
    <n v="15000"/>
    <s v="(주)미래아이엔씨"/>
    <m/>
    <s v="인사노무자문료 1 X 150,000"/>
  </r>
  <r>
    <s v="2025-07-02"/>
    <x v="174"/>
    <s v="50006"/>
    <s v="대변"/>
    <s v="401"/>
    <s v="용역매출"/>
    <x v="4"/>
    <n v="0"/>
    <n v="150000"/>
    <n v="150000"/>
    <s v="(주)미래아이엔씨"/>
    <m/>
    <s v="인사노무자문료 1 X 150,000"/>
  </r>
  <r>
    <s v="2025-07-02"/>
    <x v="174"/>
    <s v="50006"/>
    <s v="차변"/>
    <s v="101"/>
    <s v="현금"/>
    <x v="1"/>
    <n v="165000"/>
    <n v="0"/>
    <n v="-165000"/>
    <s v="(주)미래아이엔씨"/>
    <m/>
    <s v="인사노무자문료 1 X 150,000"/>
  </r>
  <r>
    <s v="2025-07-03"/>
    <x v="175"/>
    <s v="50001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7-03"/>
    <x v="175"/>
    <s v="50001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7-03"/>
    <x v="175"/>
    <s v="50001"/>
    <s v="차변"/>
    <s v="101"/>
    <s v="현금"/>
    <x v="1"/>
    <n v="330000"/>
    <n v="0"/>
    <n v="-330000"/>
    <s v="재단법인 광주광역시 여성가족재단"/>
    <m/>
    <s v="인사노무자문료 1 X 300,000"/>
  </r>
  <r>
    <s v="2025-07-04"/>
    <x v="176"/>
    <s v="50001"/>
    <s v="차변"/>
    <s v="135"/>
    <s v="부가세대급금"/>
    <x v="5"/>
    <n v="1524"/>
    <n v="0"/>
    <n v="-1524"/>
    <s v="㈜LG유플러스"/>
    <m/>
    <s v="2025년 07월 서비스 이용료 매출"/>
  </r>
  <r>
    <s v="2025-07-04"/>
    <x v="176"/>
    <s v="50001"/>
    <s v="차변"/>
    <s v="814"/>
    <s v="통신비(판)"/>
    <x v="10"/>
    <n v="15244"/>
    <n v="0"/>
    <n v="-15244"/>
    <s v="㈜LG유플러스"/>
    <m/>
    <s v="2025년 07월 서비스 이용료 매출"/>
  </r>
  <r>
    <s v="2025-07-04"/>
    <x v="176"/>
    <s v="50001"/>
    <s v="대변"/>
    <s v="101"/>
    <s v="현금"/>
    <x v="1"/>
    <n v="0"/>
    <n v="16768"/>
    <n v="16768"/>
    <s v="㈜LG유플러스"/>
    <m/>
    <s v="2025년 07월 서비스 이용료 매출"/>
  </r>
  <r>
    <s v="2025-07-05"/>
    <x v="177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7-05"/>
    <x v="177"/>
    <s v="50001"/>
    <s v="대변"/>
    <s v="401"/>
    <s v="용역매출"/>
    <x v="4"/>
    <n v="0"/>
    <n v="400000"/>
    <n v="400000"/>
    <s v="(주)모아주택산업"/>
    <m/>
    <s v="인사노무자문료 1 X 400,000"/>
  </r>
  <r>
    <s v="2025-07-05"/>
    <x v="177"/>
    <s v="50001"/>
    <s v="차변"/>
    <s v="101"/>
    <s v="현금"/>
    <x v="1"/>
    <n v="440000"/>
    <n v="0"/>
    <n v="-440000"/>
    <s v="(주)모아주택산업"/>
    <m/>
    <s v="인사노무자문료 1 X 400,000"/>
  </r>
  <r>
    <s v="2025-07-05"/>
    <x v="177"/>
    <s v="50002"/>
    <s v="대변"/>
    <s v="255"/>
    <s v="부가세예수금"/>
    <x v="3"/>
    <n v="0"/>
    <n v="15000"/>
    <n v="15000"/>
    <s v="(주)유진테크노"/>
    <m/>
    <s v="인사노무자문료 1 X 150,000"/>
  </r>
  <r>
    <s v="2025-07-05"/>
    <x v="177"/>
    <s v="50002"/>
    <s v="대변"/>
    <s v="401"/>
    <s v="용역매출"/>
    <x v="4"/>
    <n v="0"/>
    <n v="150000"/>
    <n v="150000"/>
    <s v="(주)유진테크노"/>
    <m/>
    <s v="인사노무자문료 1 X 150,000"/>
  </r>
  <r>
    <s v="2025-07-05"/>
    <x v="177"/>
    <s v="50002"/>
    <s v="차변"/>
    <s v="101"/>
    <s v="현금"/>
    <x v="1"/>
    <n v="165000"/>
    <n v="0"/>
    <n v="-165000"/>
    <s v="(주)유진테크노"/>
    <m/>
    <s v="인사노무자문료 1 X 150,000"/>
  </r>
  <r>
    <s v="2025-07-07"/>
    <x v="178"/>
    <s v="50001"/>
    <s v="대변"/>
    <s v="255"/>
    <s v="부가세예수금"/>
    <x v="3"/>
    <n v="0"/>
    <n v="100000"/>
    <n v="100000"/>
    <s v="(주)한성정공"/>
    <m/>
    <s v="인사노무자문료 1 X 1,000,000"/>
  </r>
  <r>
    <s v="2025-07-07"/>
    <x v="178"/>
    <s v="50001"/>
    <s v="대변"/>
    <s v="401"/>
    <s v="용역매출"/>
    <x v="4"/>
    <n v="0"/>
    <n v="1000000"/>
    <n v="1000000"/>
    <s v="(주)한성정공"/>
    <m/>
    <s v="인사노무자문료 1 X 1,000,000"/>
  </r>
  <r>
    <s v="2025-07-07"/>
    <x v="178"/>
    <s v="50001"/>
    <s v="차변"/>
    <s v="101"/>
    <s v="현금"/>
    <x v="1"/>
    <n v="1100000"/>
    <n v="0"/>
    <n v="-1100000"/>
    <s v="(주)한성정공"/>
    <m/>
    <s v="인사노무자문료 1 X 1,000,000"/>
  </r>
  <r>
    <s v="2025-07-07"/>
    <x v="178"/>
    <s v="50002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7-07"/>
    <x v="178"/>
    <s v="50002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7-07"/>
    <x v="178"/>
    <s v="50002"/>
    <s v="대변"/>
    <s v="101"/>
    <s v="현금"/>
    <x v="1"/>
    <n v="0"/>
    <n v="21120"/>
    <n v="21120"/>
    <s v="주식회사 케이티"/>
    <m/>
    <s v="구내인터넷 Standard(100M) (503300019511) 1 X 19,200"/>
  </r>
  <r>
    <s v="2025-07-07"/>
    <x v="178"/>
    <s v="50003"/>
    <s v="대변"/>
    <s v="101"/>
    <s v="현금"/>
    <x v="1"/>
    <n v="0"/>
    <n v="5500"/>
    <n v="5500"/>
    <s v="현대자동차㈜ 본사"/>
    <m/>
    <s v="제네시스 커넥티드서비스"/>
  </r>
  <r>
    <s v="2025-07-07"/>
    <x v="178"/>
    <s v="50003"/>
    <s v="차변"/>
    <s v="822"/>
    <s v="차량유지비(판)"/>
    <x v="11"/>
    <n v="5500"/>
    <n v="0"/>
    <n v="-5500"/>
    <s v="현대자동차㈜ 본사"/>
    <m/>
    <s v="제네시스 커넥티드서비스"/>
  </r>
  <r>
    <s v="2025-07-10"/>
    <x v="179"/>
    <s v="00001"/>
    <s v="차변"/>
    <s v="254"/>
    <s v="예수금"/>
    <x v="12"/>
    <n v="204180"/>
    <n v="0"/>
    <n v="-204180"/>
    <s v="건강보험공단"/>
    <s v="  "/>
    <s v="2506건강"/>
  </r>
  <r>
    <s v="2025-07-10"/>
    <x v="179"/>
    <s v="00001"/>
    <s v="대변"/>
    <s v="101"/>
    <s v="현금"/>
    <x v="1"/>
    <n v="0"/>
    <n v="712440"/>
    <n v="712440"/>
    <s v="건강보험공단"/>
    <s v="  "/>
    <s v="2506건강"/>
  </r>
  <r>
    <s v="2025-07-10"/>
    <x v="179"/>
    <s v="00001"/>
    <s v="차변"/>
    <s v="821"/>
    <s v="보험료(판)"/>
    <x v="13"/>
    <n v="508260"/>
    <n v="0"/>
    <n v="-508260"/>
    <s v="건강보험공단"/>
    <s v="  "/>
    <s v="2506건강"/>
  </r>
  <r>
    <s v="2025-07-10"/>
    <x v="179"/>
    <s v="00002"/>
    <s v="차변"/>
    <s v="254"/>
    <s v="예수금"/>
    <x v="12"/>
    <n v="149400"/>
    <n v="0"/>
    <n v="-149400"/>
    <s v="국민연금공단"/>
    <s v="  "/>
    <s v="2506연금"/>
  </r>
  <r>
    <s v="2025-07-10"/>
    <x v="179"/>
    <s v="00002"/>
    <s v="대변"/>
    <s v="101"/>
    <s v="현금"/>
    <x v="1"/>
    <n v="0"/>
    <n v="298800"/>
    <n v="298800"/>
    <s v="국민연금공단"/>
    <s v="  "/>
    <s v="2506연금"/>
  </r>
  <r>
    <s v="2025-07-10"/>
    <x v="179"/>
    <s v="00002"/>
    <s v="차변"/>
    <s v="817"/>
    <s v="세금과공과금(판)"/>
    <x v="14"/>
    <n v="149400"/>
    <n v="0"/>
    <n v="-149400"/>
    <s v="국민연금공단"/>
    <s v="  "/>
    <s v="2506연금"/>
  </r>
  <r>
    <s v="2025-07-10"/>
    <x v="179"/>
    <s v="00003"/>
    <s v="차변"/>
    <s v="254"/>
    <s v="예수금"/>
    <x v="12"/>
    <n v="6300"/>
    <n v="0"/>
    <n v="-6300"/>
    <s v="근로복지공단"/>
    <s v="  "/>
    <s v="2506고용"/>
  </r>
  <r>
    <s v="2025-07-10"/>
    <x v="179"/>
    <s v="00003"/>
    <s v="대변"/>
    <s v="101"/>
    <s v="현금"/>
    <x v="1"/>
    <n v="0"/>
    <n v="14350"/>
    <n v="14350"/>
    <s v="근로복지공단"/>
    <s v="  "/>
    <s v="2506고용"/>
  </r>
  <r>
    <s v="2025-07-10"/>
    <x v="179"/>
    <s v="00003"/>
    <s v="차변"/>
    <s v="821"/>
    <s v="보험료(판)"/>
    <x v="13"/>
    <n v="8050"/>
    <n v="0"/>
    <n v="-8050"/>
    <s v="근로복지공단"/>
    <s v="  "/>
    <s v="2506고용"/>
  </r>
  <r>
    <s v="2025-07-10"/>
    <x v="179"/>
    <s v="50001"/>
    <s v="대변"/>
    <s v="255"/>
    <s v="부가세예수금"/>
    <x v="3"/>
    <n v="0"/>
    <n v="10000"/>
    <n v="10000"/>
    <s v="현명산업주식회사"/>
    <m/>
    <s v="인사노무자문료 1 X 100,000"/>
  </r>
  <r>
    <s v="2025-07-10"/>
    <x v="179"/>
    <s v="50001"/>
    <s v="대변"/>
    <s v="401"/>
    <s v="용역매출"/>
    <x v="4"/>
    <n v="0"/>
    <n v="100000"/>
    <n v="100000"/>
    <s v="현명산업주식회사"/>
    <m/>
    <s v="인사노무자문료 1 X 100,000"/>
  </r>
  <r>
    <s v="2025-07-10"/>
    <x v="179"/>
    <s v="50001"/>
    <s v="차변"/>
    <s v="101"/>
    <s v="현금"/>
    <x v="1"/>
    <n v="110000"/>
    <n v="0"/>
    <n v="-110000"/>
    <s v="현명산업주식회사"/>
    <m/>
    <s v="인사노무자문료 1 X 100,000"/>
  </r>
  <r>
    <s v="2025-07-11"/>
    <x v="180"/>
    <s v="50001"/>
    <s v="대변"/>
    <s v="255"/>
    <s v="부가세예수금"/>
    <x v="3"/>
    <n v="0"/>
    <n v="10000"/>
    <n v="10000"/>
    <s v="샤브사랑"/>
    <m/>
    <s v="인사노무자문료 1 X 100,000"/>
  </r>
  <r>
    <s v="2025-07-11"/>
    <x v="180"/>
    <s v="50001"/>
    <s v="대변"/>
    <s v="401"/>
    <s v="용역매출"/>
    <x v="4"/>
    <n v="0"/>
    <n v="100000"/>
    <n v="100000"/>
    <s v="샤브사랑"/>
    <m/>
    <s v="인사노무자문료 1 X 100,000"/>
  </r>
  <r>
    <s v="2025-07-11"/>
    <x v="180"/>
    <s v="50001"/>
    <s v="차변"/>
    <s v="101"/>
    <s v="현금"/>
    <x v="1"/>
    <n v="110000"/>
    <n v="0"/>
    <n v="-110000"/>
    <s v="샤브사랑"/>
    <m/>
    <s v="인사노무자문료 1 X 100,000"/>
  </r>
  <r>
    <s v="2025-07-12"/>
    <x v="181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7-12"/>
    <x v="181"/>
    <s v="50001"/>
    <s v="대변"/>
    <s v="401"/>
    <s v="용역매출"/>
    <x v="4"/>
    <n v="0"/>
    <n v="150000"/>
    <n v="150000"/>
    <s v="정다운메디컬센터"/>
    <m/>
    <s v="인사노무자문료 1 X 150,000"/>
  </r>
  <r>
    <s v="2025-07-12"/>
    <x v="181"/>
    <s v="50001"/>
    <s v="차변"/>
    <s v="101"/>
    <s v="현금"/>
    <x v="1"/>
    <n v="165000"/>
    <n v="0"/>
    <n v="-165000"/>
    <s v="정다운메디컬센터"/>
    <m/>
    <s v="인사노무자문료 1 X 150,000"/>
  </r>
  <r>
    <s v="2025-07-15"/>
    <x v="182"/>
    <s v="50001"/>
    <s v="대변"/>
    <s v="255"/>
    <s v="부가세예수금"/>
    <x v="3"/>
    <n v="0"/>
    <n v="13636"/>
    <n v="13636"/>
    <s v="주식회사 청경"/>
    <m/>
    <s v="인사노무자문료 1 X 136,364"/>
  </r>
  <r>
    <s v="2025-07-15"/>
    <x v="182"/>
    <s v="50001"/>
    <s v="대변"/>
    <s v="401"/>
    <s v="용역매출"/>
    <x v="4"/>
    <n v="0"/>
    <n v="136364"/>
    <n v="136364"/>
    <s v="주식회사 청경"/>
    <m/>
    <s v="인사노무자문료 1 X 136,364"/>
  </r>
  <r>
    <s v="2025-07-15"/>
    <x v="182"/>
    <s v="50001"/>
    <s v="차변"/>
    <s v="101"/>
    <s v="현금"/>
    <x v="1"/>
    <n v="150000"/>
    <n v="0"/>
    <n v="-150000"/>
    <s v="주식회사 청경"/>
    <m/>
    <s v="인사노무자문료 1 X 136,364"/>
  </r>
  <r>
    <s v="2025-07-16"/>
    <x v="183"/>
    <s v="50001"/>
    <s v="대변"/>
    <s v="255"/>
    <s v="부가세예수금"/>
    <x v="3"/>
    <n v="0"/>
    <n v="15000"/>
    <n v="15000"/>
    <s v="(유)광주가구산업"/>
    <m/>
    <s v="인사노무자문료 1 X 150,000"/>
  </r>
  <r>
    <s v="2025-07-16"/>
    <x v="183"/>
    <s v="50001"/>
    <s v="대변"/>
    <s v="401"/>
    <s v="용역매출"/>
    <x v="4"/>
    <n v="0"/>
    <n v="150000"/>
    <n v="150000"/>
    <s v="(유)광주가구산업"/>
    <m/>
    <s v="인사노무자문료 1 X 150,000"/>
  </r>
  <r>
    <s v="2025-07-16"/>
    <x v="183"/>
    <s v="50001"/>
    <s v="차변"/>
    <s v="101"/>
    <s v="현금"/>
    <x v="1"/>
    <n v="165000"/>
    <n v="0"/>
    <n v="-165000"/>
    <s v="(유)광주가구산업"/>
    <m/>
    <s v="인사노무자문료 1 X 150,000"/>
  </r>
  <r>
    <s v="2025-07-16"/>
    <x v="183"/>
    <s v="50002"/>
    <s v="대변"/>
    <s v="255"/>
    <s v="부가세예수금"/>
    <x v="3"/>
    <n v="0"/>
    <n v="10000"/>
    <n v="10000"/>
    <s v="(주)에이스미트"/>
    <m/>
    <s v="인사노무자문료 1 X 100,000"/>
  </r>
  <r>
    <s v="2025-07-16"/>
    <x v="183"/>
    <s v="50002"/>
    <s v="대변"/>
    <s v="401"/>
    <s v="용역매출"/>
    <x v="4"/>
    <n v="0"/>
    <n v="100000"/>
    <n v="100000"/>
    <s v="(주)에이스미트"/>
    <m/>
    <s v="인사노무자문료 1 X 100,000"/>
  </r>
  <r>
    <s v="2025-07-16"/>
    <x v="183"/>
    <s v="50002"/>
    <s v="차변"/>
    <s v="101"/>
    <s v="현금"/>
    <x v="1"/>
    <n v="110000"/>
    <n v="0"/>
    <n v="-110000"/>
    <s v="(주)에이스미트"/>
    <m/>
    <s v="인사노무자문료 1 X 100,000"/>
  </r>
  <r>
    <s v="2025-07-16"/>
    <x v="183"/>
    <s v="50003"/>
    <s v="대변"/>
    <s v="255"/>
    <s v="부가세예수금"/>
    <x v="3"/>
    <n v="0"/>
    <n v="20000"/>
    <n v="20000"/>
    <s v="미곡종합포장(주)"/>
    <m/>
    <s v="인사노무자문료 1 X 200,000"/>
  </r>
  <r>
    <s v="2025-07-16"/>
    <x v="183"/>
    <s v="50003"/>
    <s v="대변"/>
    <s v="401"/>
    <s v="용역매출"/>
    <x v="4"/>
    <n v="0"/>
    <n v="200000"/>
    <n v="200000"/>
    <s v="미곡종합포장(주)"/>
    <m/>
    <s v="인사노무자문료 1 X 200,000"/>
  </r>
  <r>
    <s v="2025-07-16"/>
    <x v="183"/>
    <s v="50003"/>
    <s v="차변"/>
    <s v="101"/>
    <s v="현금"/>
    <x v="1"/>
    <n v="220000"/>
    <n v="0"/>
    <n v="-220000"/>
    <s v="미곡종합포장(주)"/>
    <m/>
    <s v="인사노무자문료 1 X 200,000"/>
  </r>
  <r>
    <s v="2025-07-16"/>
    <x v="183"/>
    <s v="50004"/>
    <s v="대변"/>
    <s v="255"/>
    <s v="부가세예수금"/>
    <x v="3"/>
    <n v="0"/>
    <n v="15000"/>
    <n v="15000"/>
    <s v="방방곡곡플라워"/>
    <m/>
    <s v="인사노무자문료 1 X 150,000"/>
  </r>
  <r>
    <s v="2025-07-16"/>
    <x v="183"/>
    <s v="50004"/>
    <s v="대변"/>
    <s v="401"/>
    <s v="용역매출"/>
    <x v="4"/>
    <n v="0"/>
    <n v="150000"/>
    <n v="150000"/>
    <s v="방방곡곡플라워"/>
    <m/>
    <s v="인사노무자문료 1 X 150,000"/>
  </r>
  <r>
    <s v="2025-07-16"/>
    <x v="183"/>
    <s v="50004"/>
    <s v="차변"/>
    <s v="101"/>
    <s v="현금"/>
    <x v="1"/>
    <n v="165000"/>
    <n v="0"/>
    <n v="-165000"/>
    <s v="방방곡곡플라워"/>
    <m/>
    <s v="인사노무자문료 1 X 150,000"/>
  </r>
  <r>
    <s v="2025-07-16"/>
    <x v="183"/>
    <s v="50005"/>
    <s v="대변"/>
    <s v="255"/>
    <s v="부가세예수금"/>
    <x v="3"/>
    <n v="0"/>
    <n v="10000"/>
    <n v="10000"/>
    <s v="주식회사 바우만테크"/>
    <m/>
    <s v="인사노무자문료 1 X 100,000"/>
  </r>
  <r>
    <s v="2025-07-16"/>
    <x v="183"/>
    <s v="50005"/>
    <s v="대변"/>
    <s v="401"/>
    <s v="용역매출"/>
    <x v="4"/>
    <n v="0"/>
    <n v="100000"/>
    <n v="100000"/>
    <s v="주식회사 바우만테크"/>
    <m/>
    <s v="인사노무자문료 1 X 100,000"/>
  </r>
  <r>
    <s v="2025-07-16"/>
    <x v="183"/>
    <s v="50005"/>
    <s v="차변"/>
    <s v="101"/>
    <s v="현금"/>
    <x v="1"/>
    <n v="110000"/>
    <n v="0"/>
    <n v="-110000"/>
    <s v="주식회사 바우만테크"/>
    <m/>
    <s v="인사노무자문료 1 X 100,000"/>
  </r>
  <r>
    <s v="2025-07-16"/>
    <x v="183"/>
    <s v="50006"/>
    <s v="대변"/>
    <s v="255"/>
    <s v="부가세예수금"/>
    <x v="3"/>
    <n v="0"/>
    <n v="7000"/>
    <n v="7000"/>
    <s v="동지애드"/>
    <m/>
    <s v="인사노무자문료 1 X 70,000"/>
  </r>
  <r>
    <s v="2025-07-16"/>
    <x v="183"/>
    <s v="50006"/>
    <s v="대변"/>
    <s v="401"/>
    <s v="용역매출"/>
    <x v="4"/>
    <n v="0"/>
    <n v="70000"/>
    <n v="70000"/>
    <s v="동지애드"/>
    <m/>
    <s v="인사노무자문료 1 X 70,000"/>
  </r>
  <r>
    <s v="2025-07-16"/>
    <x v="183"/>
    <s v="50006"/>
    <s v="차변"/>
    <s v="101"/>
    <s v="현금"/>
    <x v="1"/>
    <n v="77000"/>
    <n v="0"/>
    <n v="-77000"/>
    <s v="동지애드"/>
    <m/>
    <s v="인사노무자문료 1 X 70,000"/>
  </r>
  <r>
    <s v="2025-07-16"/>
    <x v="183"/>
    <s v="50007"/>
    <s v="대변"/>
    <s v="255"/>
    <s v="부가세예수금"/>
    <x v="3"/>
    <n v="0"/>
    <n v="10000"/>
    <n v="10000"/>
    <s v="주식회사 세연이앤에스"/>
    <m/>
    <s v="인사노무자문료 1 X 100,000"/>
  </r>
  <r>
    <s v="2025-07-16"/>
    <x v="183"/>
    <s v="50007"/>
    <s v="대변"/>
    <s v="401"/>
    <s v="용역매출"/>
    <x v="4"/>
    <n v="0"/>
    <n v="100000"/>
    <n v="100000"/>
    <s v="주식회사 세연이앤에스"/>
    <m/>
    <s v="인사노무자문료 1 X 100,000"/>
  </r>
  <r>
    <s v="2025-07-16"/>
    <x v="183"/>
    <s v="50007"/>
    <s v="차변"/>
    <s v="101"/>
    <s v="현금"/>
    <x v="1"/>
    <n v="110000"/>
    <n v="0"/>
    <n v="-110000"/>
    <s v="주식회사 세연이앤에스"/>
    <m/>
    <s v="인사노무자문료 1 X 100,000"/>
  </r>
  <r>
    <s v="2025-07-16"/>
    <x v="183"/>
    <s v="50008"/>
    <s v="대변"/>
    <s v="255"/>
    <s v="부가세예수금"/>
    <x v="3"/>
    <n v="0"/>
    <n v="10000"/>
    <n v="10000"/>
    <s v="주식회사 한솔무역"/>
    <m/>
    <s v="인사노무자문료 1 X 100,000"/>
  </r>
  <r>
    <s v="2025-07-16"/>
    <x v="183"/>
    <s v="50008"/>
    <s v="대변"/>
    <s v="401"/>
    <s v="용역매출"/>
    <x v="4"/>
    <n v="0"/>
    <n v="100000"/>
    <n v="100000"/>
    <s v="주식회사 한솔무역"/>
    <m/>
    <s v="인사노무자문료 1 X 100,000"/>
  </r>
  <r>
    <s v="2025-07-16"/>
    <x v="183"/>
    <s v="50008"/>
    <s v="차변"/>
    <s v="101"/>
    <s v="현금"/>
    <x v="1"/>
    <n v="110000"/>
    <n v="0"/>
    <n v="-110000"/>
    <s v="주식회사 한솔무역"/>
    <m/>
    <s v="인사노무자문료 1 X 100,000"/>
  </r>
  <r>
    <s v="2025-07-16"/>
    <x v="183"/>
    <s v="50009"/>
    <s v="대변"/>
    <s v="255"/>
    <s v="부가세예수금"/>
    <x v="3"/>
    <n v="0"/>
    <n v="10000"/>
    <n v="10000"/>
    <s v="유한회사 남선메디컬"/>
    <m/>
    <s v="인사노무자문료 1 X 100,000"/>
  </r>
  <r>
    <s v="2025-07-16"/>
    <x v="183"/>
    <s v="50009"/>
    <s v="대변"/>
    <s v="401"/>
    <s v="용역매출"/>
    <x v="4"/>
    <n v="0"/>
    <n v="100000"/>
    <n v="100000"/>
    <s v="유한회사 남선메디컬"/>
    <m/>
    <s v="인사노무자문료 1 X 100,000"/>
  </r>
  <r>
    <s v="2025-07-16"/>
    <x v="183"/>
    <s v="50009"/>
    <s v="차변"/>
    <s v="101"/>
    <s v="현금"/>
    <x v="1"/>
    <n v="110000"/>
    <n v="0"/>
    <n v="-110000"/>
    <s v="유한회사 남선메디컬"/>
    <m/>
    <s v="인사노무자문료 1 X 100,000"/>
  </r>
  <r>
    <s v="2025-07-16"/>
    <x v="183"/>
    <s v="50010"/>
    <s v="대변"/>
    <s v="255"/>
    <s v="부가세예수금"/>
    <x v="3"/>
    <n v="0"/>
    <n v="15000"/>
    <n v="15000"/>
    <s v="광주미래의원"/>
    <m/>
    <s v="인사노무자문료 1 X 150,000"/>
  </r>
  <r>
    <s v="2025-07-16"/>
    <x v="183"/>
    <s v="50010"/>
    <s v="대변"/>
    <s v="401"/>
    <s v="용역매출"/>
    <x v="4"/>
    <n v="0"/>
    <n v="150000"/>
    <n v="150000"/>
    <s v="광주미래의원"/>
    <m/>
    <s v="인사노무자문료 1 X 150,000"/>
  </r>
  <r>
    <s v="2025-07-16"/>
    <x v="183"/>
    <s v="50010"/>
    <s v="차변"/>
    <s v="101"/>
    <s v="현금"/>
    <x v="1"/>
    <n v="165000"/>
    <n v="0"/>
    <n v="-165000"/>
    <s v="광주미래의원"/>
    <m/>
    <s v="인사노무자문료 1 X 150,000"/>
  </r>
  <r>
    <s v="2025-07-16"/>
    <x v="183"/>
    <s v="50011"/>
    <s v="대변"/>
    <s v="255"/>
    <s v="부가세예수금"/>
    <x v="3"/>
    <n v="0"/>
    <n v="10000"/>
    <n v="10000"/>
    <s v="정원기업"/>
    <m/>
    <s v="인사노무자문료 1 X 100,000"/>
  </r>
  <r>
    <s v="2025-07-16"/>
    <x v="183"/>
    <s v="50011"/>
    <s v="대변"/>
    <s v="401"/>
    <s v="용역매출"/>
    <x v="4"/>
    <n v="0"/>
    <n v="100000"/>
    <n v="100000"/>
    <s v="정원기업"/>
    <m/>
    <s v="인사노무자문료 1 X 100,000"/>
  </r>
  <r>
    <s v="2025-07-16"/>
    <x v="183"/>
    <s v="50011"/>
    <s v="차변"/>
    <s v="101"/>
    <s v="현금"/>
    <x v="1"/>
    <n v="110000"/>
    <n v="0"/>
    <n v="-110000"/>
    <s v="정원기업"/>
    <m/>
    <s v="인사노무자문료 1 X 100,000"/>
  </r>
  <r>
    <s v="2025-07-16"/>
    <x v="183"/>
    <s v="50012"/>
    <s v="대변"/>
    <s v="255"/>
    <s v="부가세예수금"/>
    <x v="3"/>
    <n v="0"/>
    <n v="10000"/>
    <n v="10000"/>
    <s v="주식회사 주영테크"/>
    <m/>
    <s v="인사노무자문료 1 X 100,000"/>
  </r>
  <r>
    <s v="2025-07-16"/>
    <x v="183"/>
    <s v="50012"/>
    <s v="대변"/>
    <s v="401"/>
    <s v="용역매출"/>
    <x v="4"/>
    <n v="0"/>
    <n v="100000"/>
    <n v="100000"/>
    <s v="주식회사 주영테크"/>
    <m/>
    <s v="인사노무자문료 1 X 100,000"/>
  </r>
  <r>
    <s v="2025-07-16"/>
    <x v="183"/>
    <s v="50012"/>
    <s v="차변"/>
    <s v="101"/>
    <s v="현금"/>
    <x v="1"/>
    <n v="110000"/>
    <n v="0"/>
    <n v="-110000"/>
    <s v="주식회사 주영테크"/>
    <m/>
    <s v="인사노무자문료 1 X 100,000"/>
  </r>
  <r>
    <s v="2025-07-21"/>
    <x v="184"/>
    <s v="50001"/>
    <s v="차변"/>
    <s v="837"/>
    <s v="건물관리비(판)"/>
    <x v="16"/>
    <n v="176140"/>
    <n v="0"/>
    <n v="-176140"/>
    <s v="와이어스파크 지식산업센터 관리위원회"/>
    <m/>
    <s v="2동2205호"/>
  </r>
  <r>
    <s v="2025-07-21"/>
    <x v="184"/>
    <s v="50001"/>
    <s v="대변"/>
    <s v="101"/>
    <s v="현금"/>
    <x v="1"/>
    <n v="0"/>
    <n v="176140"/>
    <n v="176140"/>
    <s v="와이어스파크 지식산업센터 관리위원회"/>
    <m/>
    <s v="2동2205호"/>
  </r>
  <r>
    <s v="2025-07-22"/>
    <x v="185"/>
    <s v="00001"/>
    <s v="출금"/>
    <s v="261"/>
    <s v="미지급세금"/>
    <x v="17"/>
    <n v="4092930"/>
    <n v="0"/>
    <n v="-4092930"/>
    <s v="서광주세무서"/>
    <s v="03"/>
    <s v="미지급부가세등 납부"/>
  </r>
  <r>
    <s v="2025-07-22"/>
    <x v="185"/>
    <s v="00001"/>
    <s v="출금"/>
    <s v="101"/>
    <s v="현금"/>
    <x v="1"/>
    <n v="0"/>
    <n v="4092930"/>
    <n v="4092930"/>
    <s v="서광주세무서"/>
    <s v="03"/>
    <s v="미지급부가세등 납부"/>
  </r>
  <r>
    <s v="2025-07-25"/>
    <x v="186"/>
    <s v="50001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7-25"/>
    <x v="186"/>
    <s v="50001"/>
    <s v="대변"/>
    <s v="401"/>
    <s v="용역매출"/>
    <x v="4"/>
    <n v="0"/>
    <n v="150000"/>
    <n v="150000"/>
    <s v="농업회사법인(주)토리팜에프디"/>
    <m/>
    <s v="인사노무자문료 1 X 150,000"/>
  </r>
  <r>
    <s v="2025-07-25"/>
    <x v="186"/>
    <s v="50001"/>
    <s v="차변"/>
    <s v="101"/>
    <s v="현금"/>
    <x v="1"/>
    <n v="165000"/>
    <n v="0"/>
    <n v="-165000"/>
    <s v="농업회사법인(주)토리팜에프디"/>
    <m/>
    <s v="인사노무자문료 1 X 150,000"/>
  </r>
  <r>
    <s v="2025-07-25"/>
    <x v="186"/>
    <s v="50002"/>
    <s v="대변"/>
    <s v="255"/>
    <s v="부가세예수금"/>
    <x v="3"/>
    <n v="0"/>
    <n v="15000"/>
    <n v="15000"/>
    <s v="(주)바이오트코리아"/>
    <m/>
    <s v="인사노무자문료 1 X 150,000"/>
  </r>
  <r>
    <s v="2025-07-25"/>
    <x v="186"/>
    <s v="50002"/>
    <s v="대변"/>
    <s v="401"/>
    <s v="용역매출"/>
    <x v="4"/>
    <n v="0"/>
    <n v="150000"/>
    <n v="150000"/>
    <s v="(주)바이오트코리아"/>
    <m/>
    <s v="인사노무자문료 1 X 150,000"/>
  </r>
  <r>
    <s v="2025-07-25"/>
    <x v="186"/>
    <s v="50002"/>
    <s v="차변"/>
    <s v="101"/>
    <s v="현금"/>
    <x v="1"/>
    <n v="165000"/>
    <n v="0"/>
    <n v="-165000"/>
    <s v="(주)바이오트코리아"/>
    <m/>
    <s v="인사노무자문료 1 X 150,000"/>
  </r>
  <r>
    <s v="2025-07-28"/>
    <x v="187"/>
    <s v="50001"/>
    <s v="대변"/>
    <s v="255"/>
    <s v="부가세예수금"/>
    <x v="3"/>
    <n v="0"/>
    <n v="15000"/>
    <n v="15000"/>
    <s v="(주)파이스물류"/>
    <m/>
    <s v="인사노무자문료 1 X 150,000"/>
  </r>
  <r>
    <s v="2025-07-28"/>
    <x v="187"/>
    <s v="50001"/>
    <s v="대변"/>
    <s v="401"/>
    <s v="용역매출"/>
    <x v="4"/>
    <n v="0"/>
    <n v="150000"/>
    <n v="150000"/>
    <s v="(주)파이스물류"/>
    <m/>
    <s v="인사노무자문료 1 X 150,000"/>
  </r>
  <r>
    <s v="2025-07-28"/>
    <x v="187"/>
    <s v="50001"/>
    <s v="차변"/>
    <s v="101"/>
    <s v="현금"/>
    <x v="1"/>
    <n v="165000"/>
    <n v="0"/>
    <n v="-165000"/>
    <s v="(주)파이스물류"/>
    <m/>
    <s v="인사노무자문료 1 X 150,000"/>
  </r>
  <r>
    <s v="2025-07-28"/>
    <x v="187"/>
    <s v="50002"/>
    <s v="대변"/>
    <s v="255"/>
    <s v="부가세예수금"/>
    <x v="3"/>
    <n v="0"/>
    <n v="12000"/>
    <n v="12000"/>
    <s v="농업회사법인(주)황칠코리아"/>
    <m/>
    <s v="인사노무자문료 1 X 120,000"/>
  </r>
  <r>
    <s v="2025-07-28"/>
    <x v="187"/>
    <s v="50002"/>
    <s v="대변"/>
    <s v="401"/>
    <s v="용역매출"/>
    <x v="4"/>
    <n v="0"/>
    <n v="120000"/>
    <n v="120000"/>
    <s v="농업회사법인(주)황칠코리아"/>
    <m/>
    <s v="인사노무자문료 1 X 120,000"/>
  </r>
  <r>
    <s v="2025-07-28"/>
    <x v="187"/>
    <s v="50002"/>
    <s v="차변"/>
    <s v="101"/>
    <s v="현금"/>
    <x v="1"/>
    <n v="132000"/>
    <n v="0"/>
    <n v="-132000"/>
    <s v="농업회사법인(주)황칠코리아"/>
    <m/>
    <s v="인사노무자문료 1 X 120,000"/>
  </r>
  <r>
    <s v="2025-07-28"/>
    <x v="187"/>
    <s v="50003"/>
    <s v="대변"/>
    <s v="255"/>
    <s v="부가세예수금"/>
    <x v="3"/>
    <n v="0"/>
    <n v="7000"/>
    <n v="7000"/>
    <s v="(유)임마누엘"/>
    <m/>
    <s v="인사노무자문료 1 X 70,000"/>
  </r>
  <r>
    <s v="2025-07-28"/>
    <x v="187"/>
    <s v="50003"/>
    <s v="대변"/>
    <s v="401"/>
    <s v="용역매출"/>
    <x v="4"/>
    <n v="0"/>
    <n v="70000"/>
    <n v="70000"/>
    <s v="(유)임마누엘"/>
    <m/>
    <s v="인사노무자문료 1 X 70,000"/>
  </r>
  <r>
    <s v="2025-07-28"/>
    <x v="187"/>
    <s v="50003"/>
    <s v="차변"/>
    <s v="101"/>
    <s v="현금"/>
    <x v="1"/>
    <n v="77000"/>
    <n v="0"/>
    <n v="-77000"/>
    <s v="(유)임마누엘"/>
    <m/>
    <s v="인사노무자문료 1 X 70,000"/>
  </r>
  <r>
    <s v="2025-07-28"/>
    <x v="187"/>
    <s v="50004"/>
    <s v="대변"/>
    <s v="255"/>
    <s v="부가세예수금"/>
    <x v="3"/>
    <n v="0"/>
    <n v="15000"/>
    <n v="15000"/>
    <s v="(주)한국피엔피서비스"/>
    <m/>
    <s v="인사노무자문료 1 X 150,000"/>
  </r>
  <r>
    <s v="2025-07-28"/>
    <x v="187"/>
    <s v="50004"/>
    <s v="대변"/>
    <s v="401"/>
    <s v="용역매출"/>
    <x v="4"/>
    <n v="0"/>
    <n v="150000"/>
    <n v="150000"/>
    <s v="(주)한국피엔피서비스"/>
    <m/>
    <s v="인사노무자문료 1 X 150,000"/>
  </r>
  <r>
    <s v="2025-07-28"/>
    <x v="187"/>
    <s v="50004"/>
    <s v="차변"/>
    <s v="101"/>
    <s v="현금"/>
    <x v="1"/>
    <n v="165000"/>
    <n v="0"/>
    <n v="-165000"/>
    <s v="(주)한국피엔피서비스"/>
    <m/>
    <s v="인사노무자문료 1 X 150,000"/>
  </r>
  <r>
    <s v="2025-07-28"/>
    <x v="187"/>
    <s v="50005"/>
    <s v="대변"/>
    <s v="255"/>
    <s v="부가세예수금"/>
    <x v="3"/>
    <n v="0"/>
    <n v="10000"/>
    <n v="10000"/>
    <s v="(주)텝스텍"/>
    <m/>
    <s v="인사노무자문료 1 X 100,000"/>
  </r>
  <r>
    <s v="2025-07-28"/>
    <x v="187"/>
    <s v="50005"/>
    <s v="대변"/>
    <s v="401"/>
    <s v="용역매출"/>
    <x v="4"/>
    <n v="0"/>
    <n v="100000"/>
    <n v="100000"/>
    <s v="(주)텝스텍"/>
    <m/>
    <s v="인사노무자문료 1 X 100,000"/>
  </r>
  <r>
    <s v="2025-07-28"/>
    <x v="187"/>
    <s v="50005"/>
    <s v="차변"/>
    <s v="101"/>
    <s v="현금"/>
    <x v="1"/>
    <n v="110000"/>
    <n v="0"/>
    <n v="-110000"/>
    <s v="(주)텝스텍"/>
    <m/>
    <s v="인사노무자문료 1 X 100,000"/>
  </r>
  <r>
    <s v="2025-07-28"/>
    <x v="187"/>
    <s v="50006"/>
    <s v="대변"/>
    <s v="255"/>
    <s v="부가세예수금"/>
    <x v="3"/>
    <n v="0"/>
    <n v="10000"/>
    <n v="10000"/>
    <s v="커피랩"/>
    <m/>
    <s v="인사노무자문료 1 X 100,000"/>
  </r>
  <r>
    <s v="2025-07-28"/>
    <x v="187"/>
    <s v="50006"/>
    <s v="대변"/>
    <s v="401"/>
    <s v="용역매출"/>
    <x v="4"/>
    <n v="0"/>
    <n v="100000"/>
    <n v="100000"/>
    <s v="커피랩"/>
    <m/>
    <s v="인사노무자문료 1 X 100,000"/>
  </r>
  <r>
    <s v="2025-07-28"/>
    <x v="187"/>
    <s v="50006"/>
    <s v="차변"/>
    <s v="101"/>
    <s v="현금"/>
    <x v="1"/>
    <n v="110000"/>
    <n v="0"/>
    <n v="-110000"/>
    <s v="커피랩"/>
    <m/>
    <s v="인사노무자문료 1 X 100,000"/>
  </r>
  <r>
    <s v="2025-07-28"/>
    <x v="187"/>
    <s v="50007"/>
    <s v="대변"/>
    <s v="255"/>
    <s v="부가세예수금"/>
    <x v="3"/>
    <n v="0"/>
    <n v="11819"/>
    <n v="11819"/>
    <s v="바오팜 주식회사"/>
    <m/>
    <s v="인사노무자문료 1 X 118,181"/>
  </r>
  <r>
    <s v="2025-07-28"/>
    <x v="187"/>
    <s v="50007"/>
    <s v="대변"/>
    <s v="401"/>
    <s v="용역매출"/>
    <x v="4"/>
    <n v="0"/>
    <n v="118181"/>
    <n v="118181"/>
    <s v="바오팜 주식회사"/>
    <m/>
    <s v="인사노무자문료 1 X 118,181"/>
  </r>
  <r>
    <s v="2025-07-28"/>
    <x v="187"/>
    <s v="50007"/>
    <s v="차변"/>
    <s v="101"/>
    <s v="현금"/>
    <x v="1"/>
    <n v="130000"/>
    <n v="0"/>
    <n v="-130000"/>
    <s v="바오팜 주식회사"/>
    <m/>
    <s v="인사노무자문료 1 X 118,181"/>
  </r>
  <r>
    <s v="2025-07-28"/>
    <x v="187"/>
    <s v="50008"/>
    <s v="대변"/>
    <s v="255"/>
    <s v="부가세예수금"/>
    <x v="3"/>
    <n v="0"/>
    <n v="10000"/>
    <n v="10000"/>
    <s v="주식회사 동양금속"/>
    <m/>
    <s v="인사노무자문료 1 X 100,000"/>
  </r>
  <r>
    <s v="2025-07-28"/>
    <x v="187"/>
    <s v="50008"/>
    <s v="대변"/>
    <s v="401"/>
    <s v="용역매출"/>
    <x v="4"/>
    <n v="0"/>
    <n v="100000"/>
    <n v="100000"/>
    <s v="주식회사 동양금속"/>
    <m/>
    <s v="인사노무자문료 1 X 100,000"/>
  </r>
  <r>
    <s v="2025-07-28"/>
    <x v="187"/>
    <s v="50008"/>
    <s v="차변"/>
    <s v="101"/>
    <s v="현금"/>
    <x v="1"/>
    <n v="110000"/>
    <n v="0"/>
    <n v="-110000"/>
    <s v="주식회사 동양금속"/>
    <m/>
    <s v="인사노무자문료 1 X 100,000"/>
  </r>
  <r>
    <s v="2025-07-28"/>
    <x v="187"/>
    <s v="50009"/>
    <s v="대변"/>
    <s v="255"/>
    <s v="부가세예수금"/>
    <x v="3"/>
    <n v="0"/>
    <n v="10000"/>
    <n v="10000"/>
    <s v="(주)중동텍스타일"/>
    <m/>
    <s v="인사노무자문료 1 X 100,000"/>
  </r>
  <r>
    <s v="2025-07-28"/>
    <x v="187"/>
    <s v="50009"/>
    <s v="대변"/>
    <s v="401"/>
    <s v="용역매출"/>
    <x v="4"/>
    <n v="0"/>
    <n v="100000"/>
    <n v="100000"/>
    <s v="(주)중동텍스타일"/>
    <m/>
    <s v="인사노무자문료 1 X 100,000"/>
  </r>
  <r>
    <s v="2025-07-28"/>
    <x v="187"/>
    <s v="50009"/>
    <s v="차변"/>
    <s v="101"/>
    <s v="현금"/>
    <x v="1"/>
    <n v="110000"/>
    <n v="0"/>
    <n v="-110000"/>
    <s v="(주)중동텍스타일"/>
    <m/>
    <s v="인사노무자문료 1 X 100,000"/>
  </r>
  <r>
    <s v="2025-07-28"/>
    <x v="187"/>
    <s v="50010"/>
    <s v="대변"/>
    <s v="255"/>
    <s v="부가세예수금"/>
    <x v="3"/>
    <n v="0"/>
    <n v="15000"/>
    <n v="15000"/>
    <s v="최원호병원"/>
    <m/>
    <s v="인사노무자문료 1 X 150,000"/>
  </r>
  <r>
    <s v="2025-07-28"/>
    <x v="187"/>
    <s v="50010"/>
    <s v="대변"/>
    <s v="401"/>
    <s v="용역매출"/>
    <x v="4"/>
    <n v="0"/>
    <n v="150000"/>
    <n v="150000"/>
    <s v="최원호병원"/>
    <m/>
    <s v="인사노무자문료 1 X 150,000"/>
  </r>
  <r>
    <s v="2025-07-28"/>
    <x v="187"/>
    <s v="50010"/>
    <s v="차변"/>
    <s v="101"/>
    <s v="현금"/>
    <x v="1"/>
    <n v="165000"/>
    <n v="0"/>
    <n v="-165000"/>
    <s v="최원호병원"/>
    <m/>
    <s v="인사노무자문료 1 X 150,000"/>
  </r>
  <r>
    <s v="2025-07-31"/>
    <x v="188"/>
    <s v="50001"/>
    <s v="차변"/>
    <s v="135"/>
    <s v="부가세대급금"/>
    <x v="5"/>
    <n v="10000"/>
    <n v="0"/>
    <n v="-10000"/>
    <s v="서찬영세무회계사무소"/>
    <m/>
    <s v="기장료"/>
  </r>
  <r>
    <s v="2025-07-31"/>
    <x v="188"/>
    <s v="50001"/>
    <s v="차변"/>
    <s v="831"/>
    <s v="지급수수료(판)"/>
    <x v="7"/>
    <n v="100000"/>
    <n v="0"/>
    <n v="-100000"/>
    <s v="서찬영세무회계사무소"/>
    <m/>
    <s v="기장료"/>
  </r>
  <r>
    <s v="2025-07-31"/>
    <x v="188"/>
    <s v="50001"/>
    <s v="대변"/>
    <s v="101"/>
    <s v="현금"/>
    <x v="1"/>
    <n v="0"/>
    <n v="110000"/>
    <n v="110000"/>
    <s v="서찬영세무회계사무소"/>
    <m/>
    <s v="기장료"/>
  </r>
  <r>
    <s v="2025-07-31"/>
    <x v="188"/>
    <s v="50002"/>
    <s v="차변"/>
    <s v="135"/>
    <s v="부가세대급금"/>
    <x v="5"/>
    <n v="582"/>
    <n v="0"/>
    <n v="-582"/>
    <s v="(주) 다우기술"/>
    <m/>
    <s v="엔팩스 서비스 사용료 1 X 5,818"/>
  </r>
  <r>
    <s v="2025-07-31"/>
    <x v="188"/>
    <s v="50002"/>
    <s v="차변"/>
    <s v="831"/>
    <s v="지급수수료(판)"/>
    <x v="7"/>
    <n v="5818"/>
    <n v="0"/>
    <n v="-5818"/>
    <s v="(주) 다우기술"/>
    <m/>
    <s v="엔팩스 서비스 사용료 1 X 5,818"/>
  </r>
  <r>
    <s v="2025-07-31"/>
    <x v="188"/>
    <s v="50002"/>
    <s v="대변"/>
    <s v="101"/>
    <s v="현금"/>
    <x v="1"/>
    <n v="0"/>
    <n v="6400"/>
    <n v="6400"/>
    <s v="(주) 다우기술"/>
    <m/>
    <s v="엔팩스 서비스 사용료 1 X 5,818"/>
  </r>
  <r>
    <s v="2025-07-31"/>
    <x v="188"/>
    <s v="50003"/>
    <s v="차변"/>
    <s v="135"/>
    <s v="부가세대급금"/>
    <x v="5"/>
    <n v="4000"/>
    <n v="0"/>
    <n v="-4000"/>
    <s v="효성에프엠에스(주)"/>
    <m/>
    <s v="07월CMS사용료-gjsals596"/>
  </r>
  <r>
    <s v="2025-07-31"/>
    <x v="188"/>
    <s v="50003"/>
    <s v="차변"/>
    <s v="831"/>
    <s v="지급수수료(판)"/>
    <x v="7"/>
    <n v="40000"/>
    <n v="0"/>
    <n v="-40000"/>
    <s v="효성에프엠에스(주)"/>
    <m/>
    <s v="07월CMS사용료-gjsals596"/>
  </r>
  <r>
    <s v="2025-07-31"/>
    <x v="188"/>
    <s v="50003"/>
    <s v="대변"/>
    <s v="101"/>
    <s v="현금"/>
    <x v="1"/>
    <n v="0"/>
    <n v="44000"/>
    <n v="44000"/>
    <s v="효성에프엠에스(주)"/>
    <m/>
    <s v="07월CMS사용료-gjsals596"/>
  </r>
  <r>
    <s v="2025-07-31"/>
    <x v="188"/>
    <s v="50004"/>
    <s v="차변"/>
    <s v="135"/>
    <s v="부가세대급금"/>
    <x v="5"/>
    <n v="1375"/>
    <n v="0"/>
    <n v="-1375"/>
    <s v="효성에프엠에스(주)"/>
    <m/>
    <s v="07월CMS수수료-gjsals596"/>
  </r>
  <r>
    <s v="2025-07-31"/>
    <x v="188"/>
    <s v="50004"/>
    <s v="차변"/>
    <s v="831"/>
    <s v="지급수수료(판)"/>
    <x v="7"/>
    <n v="13750"/>
    <n v="0"/>
    <n v="-13750"/>
    <s v="효성에프엠에스(주)"/>
    <m/>
    <s v="07월CMS수수료-gjsals596"/>
  </r>
  <r>
    <s v="2025-07-31"/>
    <x v="188"/>
    <s v="50004"/>
    <s v="대변"/>
    <s v="101"/>
    <s v="현금"/>
    <x v="1"/>
    <n v="0"/>
    <n v="15125"/>
    <n v="15125"/>
    <s v="효성에프엠에스(주)"/>
    <m/>
    <s v="07월CMS수수료-gjsals596"/>
  </r>
  <r>
    <s v="2025-08-01"/>
    <x v="189"/>
    <s v="50001"/>
    <s v="대변"/>
    <s v="255"/>
    <s v="부가세예수금"/>
    <x v="3"/>
    <n v="0"/>
    <n v="20000"/>
    <n v="20000"/>
    <s v="첨단튼튼병원"/>
    <m/>
    <s v="인사노무자문료 1 X 200,000"/>
  </r>
  <r>
    <s v="2025-08-01"/>
    <x v="189"/>
    <s v="50001"/>
    <s v="대변"/>
    <s v="401"/>
    <s v="용역매출"/>
    <x v="4"/>
    <n v="0"/>
    <n v="200000"/>
    <n v="200000"/>
    <s v="첨단튼튼병원"/>
    <m/>
    <s v="인사노무자문료 1 X 200,000"/>
  </r>
  <r>
    <s v="2025-08-01"/>
    <x v="189"/>
    <s v="50001"/>
    <s v="차변"/>
    <s v="101"/>
    <s v="현금"/>
    <x v="1"/>
    <n v="220000"/>
    <n v="0"/>
    <n v="-220000"/>
    <s v="첨단튼튼병원"/>
    <m/>
    <s v="인사노무자문료 1 X 200,000"/>
  </r>
  <r>
    <s v="2025-08-01"/>
    <x v="189"/>
    <s v="50002"/>
    <s v="대변"/>
    <s v="255"/>
    <s v="부가세예수금"/>
    <x v="3"/>
    <n v="0"/>
    <n v="15000"/>
    <n v="15000"/>
    <s v="주식회사 푸른하늘청자"/>
    <m/>
    <s v="인사노무자문료 1 X 150,000"/>
  </r>
  <r>
    <s v="2025-08-01"/>
    <x v="189"/>
    <s v="50002"/>
    <s v="대변"/>
    <s v="401"/>
    <s v="용역매출"/>
    <x v="4"/>
    <n v="0"/>
    <n v="150000"/>
    <n v="150000"/>
    <s v="주식회사 푸른하늘청자"/>
    <m/>
    <s v="인사노무자문료 1 X 150,000"/>
  </r>
  <r>
    <s v="2025-08-01"/>
    <x v="189"/>
    <s v="50002"/>
    <s v="차변"/>
    <s v="101"/>
    <s v="현금"/>
    <x v="1"/>
    <n v="165000"/>
    <n v="0"/>
    <n v="-165000"/>
    <s v="주식회사 푸른하늘청자"/>
    <m/>
    <s v="인사노무자문료 1 X 150,000"/>
  </r>
  <r>
    <s v="2025-08-01"/>
    <x v="189"/>
    <s v="50003"/>
    <s v="대변"/>
    <s v="255"/>
    <s v="부가세예수금"/>
    <x v="3"/>
    <n v="0"/>
    <n v="9091"/>
    <n v="9091"/>
    <s v="해드림재활주간보호센터"/>
    <m/>
    <s v="인사노무자문료 1 X 90,909"/>
  </r>
  <r>
    <s v="2025-08-01"/>
    <x v="189"/>
    <s v="50003"/>
    <s v="대변"/>
    <s v="401"/>
    <s v="용역매출"/>
    <x v="4"/>
    <n v="0"/>
    <n v="90909"/>
    <n v="90909"/>
    <s v="해드림재활주간보호센터"/>
    <m/>
    <s v="인사노무자문료 1 X 90,909"/>
  </r>
  <r>
    <s v="2025-08-01"/>
    <x v="189"/>
    <s v="50003"/>
    <s v="차변"/>
    <s v="101"/>
    <s v="현금"/>
    <x v="1"/>
    <n v="100000"/>
    <n v="0"/>
    <n v="-100000"/>
    <s v="해드림재활주간보호센터"/>
    <m/>
    <s v="인사노무자문료 1 X 90,909"/>
  </r>
  <r>
    <s v="2025-08-01"/>
    <x v="189"/>
    <s v="50004"/>
    <s v="대변"/>
    <s v="255"/>
    <s v="부가세예수금"/>
    <x v="3"/>
    <n v="0"/>
    <n v="10000"/>
    <n v="10000"/>
    <s v="(주)에이버츄얼"/>
    <m/>
    <s v="인사노무자문료 1 X 100,000"/>
  </r>
  <r>
    <s v="2025-08-01"/>
    <x v="189"/>
    <s v="50004"/>
    <s v="대변"/>
    <s v="401"/>
    <s v="용역매출"/>
    <x v="4"/>
    <n v="0"/>
    <n v="100000"/>
    <n v="100000"/>
    <s v="(주)에이버츄얼"/>
    <m/>
    <s v="인사노무자문료 1 X 100,000"/>
  </r>
  <r>
    <s v="2025-08-01"/>
    <x v="189"/>
    <s v="50004"/>
    <s v="차변"/>
    <s v="101"/>
    <s v="현금"/>
    <x v="1"/>
    <n v="110000"/>
    <n v="0"/>
    <n v="-110000"/>
    <s v="(주)에이버츄얼"/>
    <m/>
    <s v="인사노무자문료 1 X 100,000"/>
  </r>
  <r>
    <s v="2025-08-01"/>
    <x v="189"/>
    <s v="50005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8-01"/>
    <x v="189"/>
    <s v="50005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8-01"/>
    <x v="189"/>
    <s v="50005"/>
    <s v="차변"/>
    <s v="101"/>
    <s v="현금"/>
    <x v="1"/>
    <n v="132000"/>
    <n v="0"/>
    <n v="-132000"/>
    <s v="재단법인 장성먹거리통합지원센터"/>
    <m/>
    <s v="인사노무자문료 1 X 120,000"/>
  </r>
  <r>
    <s v="2025-08-01"/>
    <x v="189"/>
    <s v="50006"/>
    <s v="대변"/>
    <s v="255"/>
    <s v="부가세예수금"/>
    <x v="3"/>
    <n v="0"/>
    <n v="15000"/>
    <n v="15000"/>
    <s v="(주)혁진팩"/>
    <m/>
    <s v="인사노무자문료 1 X 150,000"/>
  </r>
  <r>
    <s v="2025-08-01"/>
    <x v="189"/>
    <s v="50006"/>
    <s v="대변"/>
    <s v="401"/>
    <s v="용역매출"/>
    <x v="4"/>
    <n v="0"/>
    <n v="150000"/>
    <n v="150000"/>
    <s v="(주)혁진팩"/>
    <m/>
    <s v="인사노무자문료 1 X 150,000"/>
  </r>
  <r>
    <s v="2025-08-01"/>
    <x v="189"/>
    <s v="50006"/>
    <s v="차변"/>
    <s v="101"/>
    <s v="현금"/>
    <x v="1"/>
    <n v="165000"/>
    <n v="0"/>
    <n v="-165000"/>
    <s v="(주)혁진팩"/>
    <m/>
    <s v="인사노무자문료 1 X 150,000"/>
  </r>
  <r>
    <s v="2025-08-01"/>
    <x v="189"/>
    <s v="50007"/>
    <s v="대변"/>
    <s v="255"/>
    <s v="부가세예수금"/>
    <x v="3"/>
    <n v="0"/>
    <n v="15000"/>
    <n v="15000"/>
    <s v="(주)미래아이엔씨"/>
    <m/>
    <s v="인사노무자문료 1 X 150,000"/>
  </r>
  <r>
    <s v="2025-08-01"/>
    <x v="189"/>
    <s v="50007"/>
    <s v="대변"/>
    <s v="401"/>
    <s v="용역매출"/>
    <x v="4"/>
    <n v="0"/>
    <n v="150000"/>
    <n v="150000"/>
    <s v="(주)미래아이엔씨"/>
    <m/>
    <s v="인사노무자문료 1 X 150,000"/>
  </r>
  <r>
    <s v="2025-08-01"/>
    <x v="189"/>
    <s v="50007"/>
    <s v="차변"/>
    <s v="101"/>
    <s v="현금"/>
    <x v="1"/>
    <n v="165000"/>
    <n v="0"/>
    <n v="-165000"/>
    <s v="(주)미래아이엔씨"/>
    <m/>
    <s v="인사노무자문료 1 X 150,000"/>
  </r>
  <r>
    <s v="2025-08-04"/>
    <x v="190"/>
    <s v="50001"/>
    <s v="차변"/>
    <s v="135"/>
    <s v="부가세대급금"/>
    <x v="5"/>
    <n v="1311"/>
    <n v="0"/>
    <n v="-1311"/>
    <s v="㈜LG유플러스"/>
    <m/>
    <s v="2025년 08월 서비스 이용료 매출"/>
  </r>
  <r>
    <s v="2025-08-04"/>
    <x v="190"/>
    <s v="50001"/>
    <s v="차변"/>
    <s v="814"/>
    <s v="통신비(판)"/>
    <x v="10"/>
    <n v="13115"/>
    <n v="0"/>
    <n v="-13115"/>
    <s v="㈜LG유플러스"/>
    <m/>
    <s v="2025년 08월 서비스 이용료 매출"/>
  </r>
  <r>
    <s v="2025-08-04"/>
    <x v="190"/>
    <s v="50001"/>
    <s v="대변"/>
    <s v="101"/>
    <s v="현금"/>
    <x v="1"/>
    <n v="0"/>
    <n v="14426"/>
    <n v="14426"/>
    <s v="㈜LG유플러스"/>
    <m/>
    <s v="2025년 08월 서비스 이용료 매출"/>
  </r>
  <r>
    <s v="2025-08-05"/>
    <x v="191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8-05"/>
    <x v="191"/>
    <s v="50001"/>
    <s v="대변"/>
    <s v="401"/>
    <s v="용역매출"/>
    <x v="4"/>
    <n v="0"/>
    <n v="400000"/>
    <n v="400000"/>
    <s v="(주)모아주택산업"/>
    <m/>
    <s v="인사노무자문료 1 X 400,000"/>
  </r>
  <r>
    <s v="2025-08-05"/>
    <x v="191"/>
    <s v="50001"/>
    <s v="차변"/>
    <s v="101"/>
    <s v="현금"/>
    <x v="1"/>
    <n v="440000"/>
    <n v="0"/>
    <n v="-440000"/>
    <s v="(주)모아주택산업"/>
    <m/>
    <s v="인사노무자문료 1 X 400,000"/>
  </r>
  <r>
    <s v="2025-08-05"/>
    <x v="191"/>
    <s v="50002"/>
    <s v="대변"/>
    <s v="255"/>
    <s v="부가세예수금"/>
    <x v="3"/>
    <n v="0"/>
    <n v="15000"/>
    <n v="15000"/>
    <s v="(주)유진테크노"/>
    <m/>
    <s v="인사노무자문료 1 X 150,000"/>
  </r>
  <r>
    <s v="2025-08-05"/>
    <x v="191"/>
    <s v="50002"/>
    <s v="대변"/>
    <s v="401"/>
    <s v="용역매출"/>
    <x v="4"/>
    <n v="0"/>
    <n v="150000"/>
    <n v="150000"/>
    <s v="(주)유진테크노"/>
    <m/>
    <s v="인사노무자문료 1 X 150,000"/>
  </r>
  <r>
    <s v="2025-08-05"/>
    <x v="191"/>
    <s v="50002"/>
    <s v="차변"/>
    <s v="101"/>
    <s v="현금"/>
    <x v="1"/>
    <n v="165000"/>
    <n v="0"/>
    <n v="-165000"/>
    <s v="(주)유진테크노"/>
    <m/>
    <s v="인사노무자문료 1 X 150,000"/>
  </r>
  <r>
    <s v="2025-08-07"/>
    <x v="192"/>
    <s v="50001"/>
    <s v="대변"/>
    <s v="101"/>
    <s v="현금"/>
    <x v="1"/>
    <n v="0"/>
    <n v="5500"/>
    <n v="5500"/>
    <s v="현대자동차㈜ 본사"/>
    <m/>
    <s v="제네시스 커넥티드서비스"/>
  </r>
  <r>
    <s v="2025-08-07"/>
    <x v="192"/>
    <s v="50001"/>
    <s v="차변"/>
    <s v="822"/>
    <s v="차량유지비(판)"/>
    <x v="11"/>
    <n v="5500"/>
    <n v="0"/>
    <n v="-5500"/>
    <s v="현대자동차㈜ 본사"/>
    <m/>
    <s v="제네시스 커넥티드서비스"/>
  </r>
  <r>
    <s v="2025-08-07"/>
    <x v="192"/>
    <s v="50002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8-07"/>
    <x v="192"/>
    <s v="50002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8-07"/>
    <x v="192"/>
    <s v="50002"/>
    <s v="대변"/>
    <s v="101"/>
    <s v="현금"/>
    <x v="1"/>
    <n v="0"/>
    <n v="21120"/>
    <n v="21120"/>
    <s v="주식회사 케이티"/>
    <m/>
    <s v="구내인터넷 Standard(100M) (503300019511) 1 X 19,200"/>
  </r>
  <r>
    <s v="2025-08-11"/>
    <x v="193"/>
    <s v="00001"/>
    <s v="차변"/>
    <s v="254"/>
    <s v="예수금"/>
    <x v="12"/>
    <n v="578720"/>
    <n v="0"/>
    <n v="-578720"/>
    <s v="건강보험공단"/>
    <s v="  "/>
    <s v="2507건강"/>
  </r>
  <r>
    <s v="2025-08-11"/>
    <x v="193"/>
    <s v="00001"/>
    <s v="대변"/>
    <s v="101"/>
    <s v="현금"/>
    <x v="1"/>
    <n v="0"/>
    <n v="578720"/>
    <n v="578720"/>
    <s v="건강보험공단"/>
    <s v="  "/>
    <s v="2507건강"/>
  </r>
  <r>
    <s v="2025-08-11"/>
    <x v="193"/>
    <s v="00002"/>
    <s v="차변"/>
    <s v="254"/>
    <s v="예수금"/>
    <x v="12"/>
    <n v="14350"/>
    <n v="0"/>
    <n v="-14350"/>
    <s v="근로복지공단"/>
    <s v="  "/>
    <s v="2507고용"/>
  </r>
  <r>
    <s v="2025-08-11"/>
    <x v="193"/>
    <s v="00002"/>
    <s v="대변"/>
    <s v="101"/>
    <s v="현금"/>
    <x v="1"/>
    <n v="0"/>
    <n v="14350"/>
    <n v="14350"/>
    <s v="근로복지공단"/>
    <s v="  "/>
    <s v="2507고용"/>
  </r>
  <r>
    <s v="2025-08-11"/>
    <x v="193"/>
    <s v="50001"/>
    <s v="대변"/>
    <s v="255"/>
    <s v="부가세예수금"/>
    <x v="3"/>
    <n v="0"/>
    <n v="10000"/>
    <n v="10000"/>
    <s v="현명산업주식회사"/>
    <m/>
    <s v="인사노무자문료 1 X 100,000"/>
  </r>
  <r>
    <s v="2025-08-11"/>
    <x v="193"/>
    <s v="50001"/>
    <s v="대변"/>
    <s v="401"/>
    <s v="용역매출"/>
    <x v="4"/>
    <n v="0"/>
    <n v="100000"/>
    <n v="100000"/>
    <s v="현명산업주식회사"/>
    <m/>
    <s v="인사노무자문료 1 X 100,000"/>
  </r>
  <r>
    <s v="2025-08-11"/>
    <x v="193"/>
    <s v="50001"/>
    <s v="차변"/>
    <s v="101"/>
    <s v="현금"/>
    <x v="1"/>
    <n v="110000"/>
    <n v="0"/>
    <n v="-110000"/>
    <s v="현명산업주식회사"/>
    <m/>
    <s v="인사노무자문료 1 X 100,000"/>
  </r>
  <r>
    <s v="2025-08-11"/>
    <x v="193"/>
    <s v="50002"/>
    <s v="대변"/>
    <s v="255"/>
    <s v="부가세예수금"/>
    <x v="3"/>
    <n v="0"/>
    <n v="15000"/>
    <n v="15000"/>
    <s v="정다운메디컬센터"/>
    <m/>
    <s v="인사노무자문료 1 X 150,000"/>
  </r>
  <r>
    <s v="2025-08-11"/>
    <x v="193"/>
    <s v="50002"/>
    <s v="대변"/>
    <s v="401"/>
    <s v="용역매출"/>
    <x v="4"/>
    <n v="0"/>
    <n v="150000"/>
    <n v="150000"/>
    <s v="정다운메디컬센터"/>
    <m/>
    <s v="인사노무자문료 1 X 150,000"/>
  </r>
  <r>
    <s v="2025-08-11"/>
    <x v="193"/>
    <s v="50002"/>
    <s v="차변"/>
    <s v="101"/>
    <s v="현금"/>
    <x v="1"/>
    <n v="165000"/>
    <n v="0"/>
    <n v="-165000"/>
    <s v="정다운메디컬센터"/>
    <m/>
    <s v="인사노무자문료 1 X 150,000"/>
  </r>
  <r>
    <s v="2025-08-15"/>
    <x v="194"/>
    <s v="50001"/>
    <s v="대변"/>
    <s v="255"/>
    <s v="부가세예수금"/>
    <x v="3"/>
    <n v="0"/>
    <n v="13637"/>
    <n v="13637"/>
    <s v="주식회사 청경"/>
    <m/>
    <s v="인사노무자문료 1 X 136,363"/>
  </r>
  <r>
    <s v="2025-08-15"/>
    <x v="194"/>
    <s v="50001"/>
    <s v="대변"/>
    <s v="401"/>
    <s v="용역매출"/>
    <x v="4"/>
    <n v="0"/>
    <n v="136363"/>
    <n v="136363"/>
    <s v="주식회사 청경"/>
    <m/>
    <s v="인사노무자문료 1 X 136,363"/>
  </r>
  <r>
    <s v="2025-08-15"/>
    <x v="194"/>
    <s v="50001"/>
    <s v="차변"/>
    <s v="101"/>
    <s v="현금"/>
    <x v="1"/>
    <n v="150000"/>
    <n v="0"/>
    <n v="-150000"/>
    <s v="주식회사 청경"/>
    <m/>
    <s v="인사노무자문료 1 X 136,363"/>
  </r>
  <r>
    <s v="2025-08-18"/>
    <x v="195"/>
    <s v="00001"/>
    <s v="출금"/>
    <s v="817"/>
    <s v="세금과공과금(판)"/>
    <x v="14"/>
    <n v="93750"/>
    <n v="0"/>
    <n v="-93750"/>
    <s v="광산구청"/>
    <s v="  "/>
    <s v="주민세 사업소분"/>
  </r>
  <r>
    <s v="2025-08-18"/>
    <x v="195"/>
    <s v="00001"/>
    <s v="출금"/>
    <s v="101"/>
    <s v="현금"/>
    <x v="1"/>
    <n v="0"/>
    <n v="93750"/>
    <n v="93750"/>
    <s v="광산구청"/>
    <s v="  "/>
    <s v="주민세 사업소분"/>
  </r>
  <r>
    <s v="2025-08-18"/>
    <x v="195"/>
    <s v="50001"/>
    <s v="대변"/>
    <s v="255"/>
    <s v="부가세예수금"/>
    <x v="3"/>
    <n v="0"/>
    <n v="10000"/>
    <n v="10000"/>
    <s v="샤브사랑"/>
    <m/>
    <s v="인사노무자문료 1 X 100,000"/>
  </r>
  <r>
    <s v="2025-08-18"/>
    <x v="195"/>
    <s v="50001"/>
    <s v="대변"/>
    <s v="401"/>
    <s v="용역매출"/>
    <x v="4"/>
    <n v="0"/>
    <n v="100000"/>
    <n v="100000"/>
    <s v="샤브사랑"/>
    <m/>
    <s v="인사노무자문료 1 X 100,000"/>
  </r>
  <r>
    <s v="2025-08-18"/>
    <x v="195"/>
    <s v="50001"/>
    <s v="차변"/>
    <s v="101"/>
    <s v="현금"/>
    <x v="1"/>
    <n v="110000"/>
    <n v="0"/>
    <n v="-110000"/>
    <s v="샤브사랑"/>
    <m/>
    <s v="인사노무자문료 1 X 100,000"/>
  </r>
  <r>
    <s v="2025-08-20"/>
    <x v="196"/>
    <s v="50001"/>
    <s v="대변"/>
    <s v="255"/>
    <s v="부가세예수금"/>
    <x v="3"/>
    <n v="0"/>
    <n v="20000"/>
    <n v="20000"/>
    <s v="24시 동물병원 공감"/>
    <m/>
    <s v="인사노무자문료(7월) 1 X 200,000"/>
  </r>
  <r>
    <s v="2025-08-20"/>
    <x v="196"/>
    <s v="50001"/>
    <s v="대변"/>
    <s v="401"/>
    <s v="용역매출"/>
    <x v="4"/>
    <n v="0"/>
    <n v="200000"/>
    <n v="200000"/>
    <s v="24시 동물병원 공감"/>
    <m/>
    <s v="인사노무자문료(7월) 1 X 200,000"/>
  </r>
  <r>
    <s v="2025-08-20"/>
    <x v="196"/>
    <s v="50001"/>
    <s v="차변"/>
    <s v="101"/>
    <s v="현금"/>
    <x v="1"/>
    <n v="220000"/>
    <n v="0"/>
    <n v="-220000"/>
    <s v="24시 동물병원 공감"/>
    <m/>
    <s v="인사노무자문료(7월) 1 X 200,000"/>
  </r>
  <r>
    <s v="2025-08-20"/>
    <x v="196"/>
    <s v="50002"/>
    <s v="대변"/>
    <s v="255"/>
    <s v="부가세예수금"/>
    <x v="3"/>
    <n v="0"/>
    <n v="7000"/>
    <n v="7000"/>
    <s v="하서방해물칼국수"/>
    <m/>
    <s v="인사노무자문료(7월) 1 X 70,000"/>
  </r>
  <r>
    <s v="2025-08-20"/>
    <x v="196"/>
    <s v="50002"/>
    <s v="대변"/>
    <s v="401"/>
    <s v="용역매출"/>
    <x v="4"/>
    <n v="0"/>
    <n v="70000"/>
    <n v="70000"/>
    <s v="하서방해물칼국수"/>
    <m/>
    <s v="인사노무자문료(7월) 1 X 70,000"/>
  </r>
  <r>
    <s v="2025-08-20"/>
    <x v="196"/>
    <s v="50002"/>
    <s v="차변"/>
    <s v="101"/>
    <s v="현금"/>
    <x v="1"/>
    <n v="77000"/>
    <n v="0"/>
    <n v="-77000"/>
    <s v="하서방해물칼국수"/>
    <m/>
    <s v="인사노무자문료(7월) 1 X 70,000"/>
  </r>
  <r>
    <s v="2025-08-20"/>
    <x v="196"/>
    <s v="50003"/>
    <s v="대변"/>
    <s v="255"/>
    <s v="부가세예수금"/>
    <x v="3"/>
    <n v="0"/>
    <n v="6000"/>
    <n v="6000"/>
    <s v="이마트24광주농성점"/>
    <m/>
    <s v="인사노무자문료 1 X 60,000"/>
  </r>
  <r>
    <s v="2025-08-20"/>
    <x v="196"/>
    <s v="50003"/>
    <s v="대변"/>
    <s v="401"/>
    <s v="용역매출"/>
    <x v="4"/>
    <n v="0"/>
    <n v="60000"/>
    <n v="60000"/>
    <s v="이마트24광주농성점"/>
    <m/>
    <s v="인사노무자문료 1 X 60,000"/>
  </r>
  <r>
    <s v="2025-08-20"/>
    <x v="196"/>
    <s v="50003"/>
    <s v="차변"/>
    <s v="101"/>
    <s v="현금"/>
    <x v="1"/>
    <n v="66000"/>
    <n v="0"/>
    <n v="-66000"/>
    <s v="이마트24광주농성점"/>
    <m/>
    <s v="인사노무자문료 1 X 60,000"/>
  </r>
  <r>
    <s v="2025-08-20"/>
    <x v="196"/>
    <s v="50004"/>
    <s v="대변"/>
    <s v="255"/>
    <s v="부가세예수금"/>
    <x v="3"/>
    <n v="0"/>
    <n v="10000"/>
    <n v="10000"/>
    <s v="리.베이커리"/>
    <m/>
    <s v="인사노무자문료 1 X 100,000"/>
  </r>
  <r>
    <s v="2025-08-20"/>
    <x v="196"/>
    <s v="50004"/>
    <s v="대변"/>
    <s v="401"/>
    <s v="용역매출"/>
    <x v="4"/>
    <n v="0"/>
    <n v="100000"/>
    <n v="100000"/>
    <s v="리.베이커리"/>
    <m/>
    <s v="인사노무자문료 1 X 100,000"/>
  </r>
  <r>
    <s v="2025-08-20"/>
    <x v="196"/>
    <s v="50004"/>
    <s v="차변"/>
    <s v="101"/>
    <s v="현금"/>
    <x v="1"/>
    <n v="110000"/>
    <n v="0"/>
    <n v="-110000"/>
    <s v="리.베이커리"/>
    <m/>
    <s v="인사노무자문료 1 X 100,000"/>
  </r>
  <r>
    <s v="2025-08-20"/>
    <x v="196"/>
    <s v="50005"/>
    <s v="대변"/>
    <s v="255"/>
    <s v="부가세예수금"/>
    <x v="3"/>
    <n v="0"/>
    <n v="10000"/>
    <n v="10000"/>
    <s v="(주)커피볶는집"/>
    <m/>
    <s v="인사노무자문료 1 X 100,000"/>
  </r>
  <r>
    <s v="2025-08-20"/>
    <x v="196"/>
    <s v="50005"/>
    <s v="대변"/>
    <s v="401"/>
    <s v="용역매출"/>
    <x v="4"/>
    <n v="0"/>
    <n v="100000"/>
    <n v="100000"/>
    <s v="(주)커피볶는집"/>
    <m/>
    <s v="인사노무자문료 1 X 100,000"/>
  </r>
  <r>
    <s v="2025-08-20"/>
    <x v="196"/>
    <s v="50005"/>
    <s v="차변"/>
    <s v="101"/>
    <s v="현금"/>
    <x v="1"/>
    <n v="110000"/>
    <n v="0"/>
    <n v="-110000"/>
    <s v="(주)커피볶는집"/>
    <m/>
    <s v="인사노무자문료 1 X 100,000"/>
  </r>
  <r>
    <s v="2025-08-20"/>
    <x v="196"/>
    <s v="50006"/>
    <s v="대변"/>
    <s v="255"/>
    <s v="부가세예수금"/>
    <x v="3"/>
    <n v="0"/>
    <n v="10000"/>
    <n v="10000"/>
    <s v="주식회사 세연이앤에스"/>
    <m/>
    <s v="인사노무자문료 1 X 100,000"/>
  </r>
  <r>
    <s v="2025-08-20"/>
    <x v="196"/>
    <s v="50006"/>
    <s v="대변"/>
    <s v="401"/>
    <s v="용역매출"/>
    <x v="4"/>
    <n v="0"/>
    <n v="100000"/>
    <n v="100000"/>
    <s v="주식회사 세연이앤에스"/>
    <m/>
    <s v="인사노무자문료 1 X 100,000"/>
  </r>
  <r>
    <s v="2025-08-20"/>
    <x v="196"/>
    <s v="50006"/>
    <s v="차변"/>
    <s v="101"/>
    <s v="현금"/>
    <x v="1"/>
    <n v="110000"/>
    <n v="0"/>
    <n v="-110000"/>
    <s v="주식회사 세연이앤에스"/>
    <m/>
    <s v="인사노무자문료 1 X 100,000"/>
  </r>
  <r>
    <s v="2025-08-20"/>
    <x v="196"/>
    <s v="50007"/>
    <s v="대변"/>
    <s v="255"/>
    <s v="부가세예수금"/>
    <x v="3"/>
    <n v="0"/>
    <n v="10000"/>
    <n v="10000"/>
    <s v="(주)에이스미트"/>
    <m/>
    <s v="인사노무자문료 1 X 100,000"/>
  </r>
  <r>
    <s v="2025-08-20"/>
    <x v="196"/>
    <s v="50007"/>
    <s v="대변"/>
    <s v="401"/>
    <s v="용역매출"/>
    <x v="4"/>
    <n v="0"/>
    <n v="100000"/>
    <n v="100000"/>
    <s v="(주)에이스미트"/>
    <m/>
    <s v="인사노무자문료 1 X 100,000"/>
  </r>
  <r>
    <s v="2025-08-20"/>
    <x v="196"/>
    <s v="50007"/>
    <s v="차변"/>
    <s v="101"/>
    <s v="현금"/>
    <x v="1"/>
    <n v="110000"/>
    <n v="0"/>
    <n v="-110000"/>
    <s v="(주)에이스미트"/>
    <m/>
    <s v="인사노무자문료 1 X 100,000"/>
  </r>
  <r>
    <s v="2025-08-20"/>
    <x v="196"/>
    <s v="50008"/>
    <s v="대변"/>
    <s v="255"/>
    <s v="부가세예수금"/>
    <x v="3"/>
    <n v="0"/>
    <n v="20000"/>
    <n v="20000"/>
    <s v="방방곡곡플라워"/>
    <m/>
    <s v="인사노무자문료 1 X 200,000"/>
  </r>
  <r>
    <s v="2025-08-20"/>
    <x v="196"/>
    <s v="50008"/>
    <s v="대변"/>
    <s v="401"/>
    <s v="용역매출"/>
    <x v="4"/>
    <n v="0"/>
    <n v="200000"/>
    <n v="200000"/>
    <s v="방방곡곡플라워"/>
    <m/>
    <s v="인사노무자문료 1 X 200,000"/>
  </r>
  <r>
    <s v="2025-08-20"/>
    <x v="196"/>
    <s v="50008"/>
    <s v="차변"/>
    <s v="101"/>
    <s v="현금"/>
    <x v="1"/>
    <n v="220000"/>
    <n v="0"/>
    <n v="-220000"/>
    <s v="방방곡곡플라워"/>
    <m/>
    <s v="인사노무자문료 1 X 200,000"/>
  </r>
  <r>
    <s v="2025-08-20"/>
    <x v="196"/>
    <s v="50009"/>
    <s v="대변"/>
    <s v="255"/>
    <s v="부가세예수금"/>
    <x v="3"/>
    <n v="0"/>
    <n v="12000"/>
    <n v="12000"/>
    <s v="(유)광주가구산업"/>
    <m/>
    <s v="인사노무자문료 1 X 120,000"/>
  </r>
  <r>
    <s v="2025-08-20"/>
    <x v="196"/>
    <s v="50009"/>
    <s v="대변"/>
    <s v="401"/>
    <s v="용역매출"/>
    <x v="4"/>
    <n v="0"/>
    <n v="120000"/>
    <n v="120000"/>
    <s v="(유)광주가구산업"/>
    <m/>
    <s v="인사노무자문료 1 X 120,000"/>
  </r>
  <r>
    <s v="2025-08-20"/>
    <x v="196"/>
    <s v="50009"/>
    <s v="차변"/>
    <s v="101"/>
    <s v="현금"/>
    <x v="1"/>
    <n v="132000"/>
    <n v="0"/>
    <n v="-132000"/>
    <s v="(유)광주가구산업"/>
    <m/>
    <s v="인사노무자문료 1 X 120,000"/>
  </r>
  <r>
    <s v="2025-08-20"/>
    <x v="196"/>
    <s v="50010"/>
    <s v="대변"/>
    <s v="255"/>
    <s v="부가세예수금"/>
    <x v="3"/>
    <n v="0"/>
    <n v="10000"/>
    <n v="10000"/>
    <s v="주식회사 한솔무역"/>
    <m/>
    <s v="인사노무자문료 1 X 100,000"/>
  </r>
  <r>
    <s v="2025-08-20"/>
    <x v="196"/>
    <s v="50010"/>
    <s v="대변"/>
    <s v="401"/>
    <s v="용역매출"/>
    <x v="4"/>
    <n v="0"/>
    <n v="100000"/>
    <n v="100000"/>
    <s v="주식회사 한솔무역"/>
    <m/>
    <s v="인사노무자문료 1 X 100,000"/>
  </r>
  <r>
    <s v="2025-08-20"/>
    <x v="196"/>
    <s v="50010"/>
    <s v="차변"/>
    <s v="101"/>
    <s v="현금"/>
    <x v="1"/>
    <n v="110000"/>
    <n v="0"/>
    <n v="-110000"/>
    <s v="주식회사 한솔무역"/>
    <m/>
    <s v="인사노무자문료 1 X 100,000"/>
  </r>
  <r>
    <s v="2025-08-20"/>
    <x v="196"/>
    <s v="50011"/>
    <s v="대변"/>
    <s v="255"/>
    <s v="부가세예수금"/>
    <x v="3"/>
    <n v="0"/>
    <n v="10000"/>
    <n v="10000"/>
    <s v="주식회사 바우만테크"/>
    <m/>
    <s v="인사노무자문료 1 X 100,000"/>
  </r>
  <r>
    <s v="2025-08-20"/>
    <x v="196"/>
    <s v="50011"/>
    <s v="대변"/>
    <s v="401"/>
    <s v="용역매출"/>
    <x v="4"/>
    <n v="0"/>
    <n v="100000"/>
    <n v="100000"/>
    <s v="주식회사 바우만테크"/>
    <m/>
    <s v="인사노무자문료 1 X 100,000"/>
  </r>
  <r>
    <s v="2025-08-20"/>
    <x v="196"/>
    <s v="50011"/>
    <s v="차변"/>
    <s v="101"/>
    <s v="현금"/>
    <x v="1"/>
    <n v="110000"/>
    <n v="0"/>
    <n v="-110000"/>
    <s v="주식회사 바우만테크"/>
    <m/>
    <s v="인사노무자문료 1 X 100,000"/>
  </r>
  <r>
    <s v="2025-08-20"/>
    <x v="196"/>
    <s v="50012"/>
    <s v="대변"/>
    <s v="255"/>
    <s v="부가세예수금"/>
    <x v="3"/>
    <n v="0"/>
    <n v="20000"/>
    <n v="20000"/>
    <s v="미곡종합포장(주)"/>
    <m/>
    <s v="인사노무자문료 1 X 200,000"/>
  </r>
  <r>
    <s v="2025-08-20"/>
    <x v="196"/>
    <s v="50012"/>
    <s v="대변"/>
    <s v="401"/>
    <s v="용역매출"/>
    <x v="4"/>
    <n v="0"/>
    <n v="200000"/>
    <n v="200000"/>
    <s v="미곡종합포장(주)"/>
    <m/>
    <s v="인사노무자문료 1 X 200,000"/>
  </r>
  <r>
    <s v="2025-08-20"/>
    <x v="196"/>
    <s v="50012"/>
    <s v="차변"/>
    <s v="101"/>
    <s v="현금"/>
    <x v="1"/>
    <n v="220000"/>
    <n v="0"/>
    <n v="-220000"/>
    <s v="미곡종합포장(주)"/>
    <m/>
    <s v="인사노무자문료 1 X 200,000"/>
  </r>
  <r>
    <s v="2025-08-20"/>
    <x v="196"/>
    <s v="50013"/>
    <s v="대변"/>
    <s v="255"/>
    <s v="부가세예수금"/>
    <x v="3"/>
    <n v="0"/>
    <n v="7000"/>
    <n v="7000"/>
    <s v="동지애드"/>
    <m/>
    <s v="인사노무자문료 1 X 70,000"/>
  </r>
  <r>
    <s v="2025-08-20"/>
    <x v="196"/>
    <s v="50013"/>
    <s v="대변"/>
    <s v="401"/>
    <s v="용역매출"/>
    <x v="4"/>
    <n v="0"/>
    <n v="70000"/>
    <n v="70000"/>
    <s v="동지애드"/>
    <m/>
    <s v="인사노무자문료 1 X 70,000"/>
  </r>
  <r>
    <s v="2025-08-20"/>
    <x v="196"/>
    <s v="50013"/>
    <s v="차변"/>
    <s v="101"/>
    <s v="현금"/>
    <x v="1"/>
    <n v="77000"/>
    <n v="0"/>
    <n v="-77000"/>
    <s v="동지애드"/>
    <m/>
    <s v="인사노무자문료 1 X 70,000"/>
  </r>
  <r>
    <s v="2025-08-20"/>
    <x v="196"/>
    <s v="50014"/>
    <s v="대변"/>
    <s v="255"/>
    <s v="부가세예수금"/>
    <x v="3"/>
    <n v="0"/>
    <n v="15000"/>
    <n v="15000"/>
    <s v="광주미래의원"/>
    <m/>
    <s v="인사노무자문료 1 X 150,000"/>
  </r>
  <r>
    <s v="2025-08-20"/>
    <x v="196"/>
    <s v="50014"/>
    <s v="대변"/>
    <s v="401"/>
    <s v="용역매출"/>
    <x v="4"/>
    <n v="0"/>
    <n v="150000"/>
    <n v="150000"/>
    <s v="광주미래의원"/>
    <m/>
    <s v="인사노무자문료 1 X 150,000"/>
  </r>
  <r>
    <s v="2025-08-20"/>
    <x v="196"/>
    <s v="50014"/>
    <s v="차변"/>
    <s v="101"/>
    <s v="현금"/>
    <x v="1"/>
    <n v="165000"/>
    <n v="0"/>
    <n v="-165000"/>
    <s v="광주미래의원"/>
    <m/>
    <s v="인사노무자문료 1 X 150,000"/>
  </r>
  <r>
    <s v="2025-08-20"/>
    <x v="196"/>
    <s v="50015"/>
    <s v="대변"/>
    <s v="255"/>
    <s v="부가세예수금"/>
    <x v="3"/>
    <n v="0"/>
    <n v="10000"/>
    <n v="10000"/>
    <s v="유한회사 남선메디컬"/>
    <m/>
    <s v="인사노무자문료 1 X 100,000"/>
  </r>
  <r>
    <s v="2025-08-20"/>
    <x v="196"/>
    <s v="50015"/>
    <s v="대변"/>
    <s v="401"/>
    <s v="용역매출"/>
    <x v="4"/>
    <n v="0"/>
    <n v="100000"/>
    <n v="100000"/>
    <s v="유한회사 남선메디컬"/>
    <m/>
    <s v="인사노무자문료 1 X 100,000"/>
  </r>
  <r>
    <s v="2025-08-20"/>
    <x v="196"/>
    <s v="50015"/>
    <s v="차변"/>
    <s v="101"/>
    <s v="현금"/>
    <x v="1"/>
    <n v="110000"/>
    <n v="0"/>
    <n v="-110000"/>
    <s v="유한회사 남선메디컬"/>
    <m/>
    <s v="인사노무자문료 1 X 100,000"/>
  </r>
  <r>
    <s v="2025-08-20"/>
    <x v="196"/>
    <s v="50016"/>
    <s v="대변"/>
    <s v="255"/>
    <s v="부가세예수금"/>
    <x v="3"/>
    <n v="0"/>
    <n v="10000"/>
    <n v="10000"/>
    <s v="정원기업"/>
    <m/>
    <s v="인사노무자문료 1 X 100,000"/>
  </r>
  <r>
    <s v="2025-08-20"/>
    <x v="196"/>
    <s v="50016"/>
    <s v="대변"/>
    <s v="401"/>
    <s v="용역매출"/>
    <x v="4"/>
    <n v="0"/>
    <n v="100000"/>
    <n v="100000"/>
    <s v="정원기업"/>
    <m/>
    <s v="인사노무자문료 1 X 100,000"/>
  </r>
  <r>
    <s v="2025-08-20"/>
    <x v="196"/>
    <s v="50016"/>
    <s v="차변"/>
    <s v="101"/>
    <s v="현금"/>
    <x v="1"/>
    <n v="110000"/>
    <n v="0"/>
    <n v="-110000"/>
    <s v="정원기업"/>
    <m/>
    <s v="인사노무자문료 1 X 100,000"/>
  </r>
  <r>
    <s v="2025-08-20"/>
    <x v="196"/>
    <s v="50017"/>
    <s v="대변"/>
    <s v="255"/>
    <s v="부가세예수금"/>
    <x v="3"/>
    <n v="0"/>
    <n v="20000"/>
    <n v="20000"/>
    <s v="(유)에이스"/>
    <m/>
    <s v="인사노무자문료(7월) 1 X 200,000"/>
  </r>
  <r>
    <s v="2025-08-20"/>
    <x v="196"/>
    <s v="50017"/>
    <s v="대변"/>
    <s v="401"/>
    <s v="용역매출"/>
    <x v="4"/>
    <n v="0"/>
    <n v="200000"/>
    <n v="200000"/>
    <s v="(유)에이스"/>
    <m/>
    <s v="인사노무자문료(7월) 1 X 200,000"/>
  </r>
  <r>
    <s v="2025-08-20"/>
    <x v="196"/>
    <s v="50017"/>
    <s v="차변"/>
    <s v="101"/>
    <s v="현금"/>
    <x v="1"/>
    <n v="220000"/>
    <n v="0"/>
    <n v="-220000"/>
    <s v="(유)에이스"/>
    <m/>
    <s v="인사노무자문료(7월) 1 X 200,000"/>
  </r>
  <r>
    <s v="2025-08-20"/>
    <x v="196"/>
    <s v="50018"/>
    <s v="대변"/>
    <s v="255"/>
    <s v="부가세예수금"/>
    <x v="3"/>
    <n v="0"/>
    <n v="-20000"/>
    <n v="-20000"/>
    <s v="(유)에이스"/>
    <m/>
    <s v="인사노무자문료(7월) -1 X 200,000"/>
  </r>
  <r>
    <s v="2025-08-20"/>
    <x v="196"/>
    <s v="50018"/>
    <s v="대변"/>
    <s v="401"/>
    <s v="용역매출"/>
    <x v="4"/>
    <n v="0"/>
    <n v="-200000"/>
    <n v="-200000"/>
    <s v="(유)에이스"/>
    <m/>
    <s v="인사노무자문료(7월) -1 X 200,000"/>
  </r>
  <r>
    <s v="2025-08-20"/>
    <x v="196"/>
    <s v="50018"/>
    <s v="차변"/>
    <s v="101"/>
    <s v="현금"/>
    <x v="1"/>
    <n v="-220000"/>
    <n v="0"/>
    <n v="220000"/>
    <s v="(유)에이스"/>
    <m/>
    <s v="인사노무자문료(7월) -1 X 200,000"/>
  </r>
  <r>
    <s v="2025-08-20"/>
    <x v="196"/>
    <s v="50019"/>
    <s v="대변"/>
    <s v="255"/>
    <s v="부가세예수금"/>
    <x v="3"/>
    <n v="0"/>
    <n v="20000"/>
    <n v="20000"/>
    <s v="(유)에이스"/>
    <m/>
    <s v="인사노무자문료(7월) 1 X 200,000"/>
  </r>
  <r>
    <s v="2025-08-20"/>
    <x v="196"/>
    <s v="50019"/>
    <s v="대변"/>
    <s v="401"/>
    <s v="용역매출"/>
    <x v="4"/>
    <n v="0"/>
    <n v="200000"/>
    <n v="200000"/>
    <s v="(유)에이스"/>
    <m/>
    <s v="인사노무자문료(7월) 1 X 200,000"/>
  </r>
  <r>
    <s v="2025-08-20"/>
    <x v="196"/>
    <s v="50019"/>
    <s v="차변"/>
    <s v="101"/>
    <s v="현금"/>
    <x v="1"/>
    <n v="220000"/>
    <n v="0"/>
    <n v="-220000"/>
    <s v="(유)에이스"/>
    <m/>
    <s v="인사노무자문료(7월) 1 X 200,000"/>
  </r>
  <r>
    <s v="2025-08-20"/>
    <x v="196"/>
    <s v="50020"/>
    <s v="대변"/>
    <s v="255"/>
    <s v="부가세예수금"/>
    <x v="3"/>
    <n v="0"/>
    <n v="10000"/>
    <n v="10000"/>
    <s v="주식회사 주영테크"/>
    <m/>
    <s v="인사노무자문료 1 X 100,000"/>
  </r>
  <r>
    <s v="2025-08-20"/>
    <x v="196"/>
    <s v="50020"/>
    <s v="대변"/>
    <s v="401"/>
    <s v="용역매출"/>
    <x v="4"/>
    <n v="0"/>
    <n v="100000"/>
    <n v="100000"/>
    <s v="주식회사 주영테크"/>
    <m/>
    <s v="인사노무자문료 1 X 100,000"/>
  </r>
  <r>
    <s v="2025-08-20"/>
    <x v="196"/>
    <s v="50020"/>
    <s v="차변"/>
    <s v="101"/>
    <s v="현금"/>
    <x v="1"/>
    <n v="110000"/>
    <n v="0"/>
    <n v="-110000"/>
    <s v="주식회사 주영테크"/>
    <m/>
    <s v="인사노무자문료 1 X 100,000"/>
  </r>
  <r>
    <s v="2025-08-20"/>
    <x v="196"/>
    <s v="50021"/>
    <s v="대변"/>
    <s v="255"/>
    <s v="부가세예수금"/>
    <x v="3"/>
    <n v="0"/>
    <n v="10000"/>
    <n v="10000"/>
    <s v="와이앤애드"/>
    <m/>
    <s v="인사노무자문료 1 X 100,000"/>
  </r>
  <r>
    <s v="2025-08-20"/>
    <x v="196"/>
    <s v="50021"/>
    <s v="대변"/>
    <s v="401"/>
    <s v="용역매출"/>
    <x v="4"/>
    <n v="0"/>
    <n v="100000"/>
    <n v="100000"/>
    <s v="와이앤애드"/>
    <m/>
    <s v="인사노무자문료 1 X 100,000"/>
  </r>
  <r>
    <s v="2025-08-20"/>
    <x v="196"/>
    <s v="50021"/>
    <s v="차변"/>
    <s v="101"/>
    <s v="현금"/>
    <x v="1"/>
    <n v="110000"/>
    <n v="0"/>
    <n v="-110000"/>
    <s v="와이앤애드"/>
    <m/>
    <s v="인사노무자문료 1 X 100,000"/>
  </r>
  <r>
    <s v="2025-08-20"/>
    <x v="196"/>
    <s v="50022"/>
    <s v="대변"/>
    <s v="255"/>
    <s v="부가세예수금"/>
    <x v="3"/>
    <n v="0"/>
    <n v="15000"/>
    <n v="15000"/>
    <s v="연세탑신경외과"/>
    <m/>
    <s v="인사노무자문료 1 X 150,000"/>
  </r>
  <r>
    <s v="2025-08-20"/>
    <x v="196"/>
    <s v="50022"/>
    <s v="대변"/>
    <s v="401"/>
    <s v="용역매출"/>
    <x v="4"/>
    <n v="0"/>
    <n v="150000"/>
    <n v="150000"/>
    <s v="연세탑신경외과"/>
    <m/>
    <s v="인사노무자문료 1 X 150,000"/>
  </r>
  <r>
    <s v="2025-08-20"/>
    <x v="196"/>
    <s v="50022"/>
    <s v="차변"/>
    <s v="101"/>
    <s v="현금"/>
    <x v="1"/>
    <n v="165000"/>
    <n v="0"/>
    <n v="-165000"/>
    <s v="연세탑신경외과"/>
    <m/>
    <s v="인사노무자문료 1 X 150,000"/>
  </r>
  <r>
    <s v="2025-08-20"/>
    <x v="196"/>
    <s v="50023"/>
    <s v="대변"/>
    <s v="255"/>
    <s v="부가세예수금"/>
    <x v="3"/>
    <n v="0"/>
    <n v="15000"/>
    <n v="15000"/>
    <s v="청담리브의원"/>
    <m/>
    <s v="인사노무자문료 1 X 150,000"/>
  </r>
  <r>
    <s v="2025-08-20"/>
    <x v="196"/>
    <s v="50023"/>
    <s v="대변"/>
    <s v="401"/>
    <s v="용역매출"/>
    <x v="4"/>
    <n v="0"/>
    <n v="150000"/>
    <n v="150000"/>
    <s v="청담리브의원"/>
    <m/>
    <s v="인사노무자문료 1 X 150,000"/>
  </r>
  <r>
    <s v="2025-08-20"/>
    <x v="196"/>
    <s v="50023"/>
    <s v="차변"/>
    <s v="101"/>
    <s v="현금"/>
    <x v="1"/>
    <n v="165000"/>
    <n v="0"/>
    <n v="-165000"/>
    <s v="청담리브의원"/>
    <m/>
    <s v="인사노무자문료 1 X 150,000"/>
  </r>
  <r>
    <s v="2025-08-20"/>
    <x v="196"/>
    <s v="50024"/>
    <s v="대변"/>
    <s v="255"/>
    <s v="부가세예수금"/>
    <x v="3"/>
    <n v="0"/>
    <n v="12000"/>
    <n v="12000"/>
    <s v="용성이앤지"/>
    <m/>
    <s v="인사노무자문료(7월) 1 X 120,000"/>
  </r>
  <r>
    <s v="2025-08-20"/>
    <x v="196"/>
    <s v="50024"/>
    <s v="대변"/>
    <s v="401"/>
    <s v="용역매출"/>
    <x v="4"/>
    <n v="0"/>
    <n v="120000"/>
    <n v="120000"/>
    <s v="용성이앤지"/>
    <m/>
    <s v="인사노무자문료(7월) 1 X 120,000"/>
  </r>
  <r>
    <s v="2025-08-20"/>
    <x v="196"/>
    <s v="50024"/>
    <s v="차변"/>
    <s v="101"/>
    <s v="현금"/>
    <x v="1"/>
    <n v="132000"/>
    <n v="0"/>
    <n v="-132000"/>
    <s v="용성이앤지"/>
    <m/>
    <s v="인사노무자문료(7월) 1 X 120,000"/>
  </r>
  <r>
    <s v="2025-08-20"/>
    <x v="196"/>
    <s v="50025"/>
    <s v="대변"/>
    <s v="255"/>
    <s v="부가세예수금"/>
    <x v="3"/>
    <n v="0"/>
    <n v="13000"/>
    <n v="13000"/>
    <s v="(주)뉴아람식자재마트 운암점"/>
    <m/>
    <s v="인사노무자문료(7월) 1 X 130,000"/>
  </r>
  <r>
    <s v="2025-08-20"/>
    <x v="196"/>
    <s v="50025"/>
    <s v="대변"/>
    <s v="401"/>
    <s v="용역매출"/>
    <x v="4"/>
    <n v="0"/>
    <n v="130000"/>
    <n v="130000"/>
    <s v="(주)뉴아람식자재마트 운암점"/>
    <m/>
    <s v="인사노무자문료(7월) 1 X 130,000"/>
  </r>
  <r>
    <s v="2025-08-20"/>
    <x v="196"/>
    <s v="50025"/>
    <s v="차변"/>
    <s v="101"/>
    <s v="현금"/>
    <x v="1"/>
    <n v="143000"/>
    <n v="0"/>
    <n v="-143000"/>
    <s v="(주)뉴아람식자재마트 운암점"/>
    <m/>
    <s v="인사노무자문료(7월) 1 X 130,000"/>
  </r>
  <r>
    <s v="2025-08-20"/>
    <x v="196"/>
    <s v="50026"/>
    <s v="대변"/>
    <s v="255"/>
    <s v="부가세예수금"/>
    <x v="3"/>
    <n v="0"/>
    <n v="13000"/>
    <n v="13000"/>
    <s v="(주)뉴아람식자재마트 오치점"/>
    <m/>
    <s v="인사노무자문료(7월) 1 X 130,000"/>
  </r>
  <r>
    <s v="2025-08-20"/>
    <x v="196"/>
    <s v="50026"/>
    <s v="대변"/>
    <s v="401"/>
    <s v="용역매출"/>
    <x v="4"/>
    <n v="0"/>
    <n v="130000"/>
    <n v="130000"/>
    <s v="(주)뉴아람식자재마트 오치점"/>
    <m/>
    <s v="인사노무자문료(7월) 1 X 130,000"/>
  </r>
  <r>
    <s v="2025-08-20"/>
    <x v="196"/>
    <s v="50026"/>
    <s v="차변"/>
    <s v="101"/>
    <s v="현금"/>
    <x v="1"/>
    <n v="143000"/>
    <n v="0"/>
    <n v="-143000"/>
    <s v="(주)뉴아람식자재마트 오치점"/>
    <m/>
    <s v="인사노무자문료(7월) 1 X 130,000"/>
  </r>
  <r>
    <s v="2025-08-20"/>
    <x v="196"/>
    <s v="50027"/>
    <s v="대변"/>
    <s v="255"/>
    <s v="부가세예수금"/>
    <x v="3"/>
    <n v="0"/>
    <n v="15000"/>
    <n v="15000"/>
    <s v="주식회사 수연"/>
    <m/>
    <s v="인사노무자문료(7월) 1 X 150,000"/>
  </r>
  <r>
    <s v="2025-08-20"/>
    <x v="196"/>
    <s v="50027"/>
    <s v="대변"/>
    <s v="401"/>
    <s v="용역매출"/>
    <x v="4"/>
    <n v="0"/>
    <n v="150000"/>
    <n v="150000"/>
    <s v="주식회사 수연"/>
    <m/>
    <s v="인사노무자문료(7월) 1 X 150,000"/>
  </r>
  <r>
    <s v="2025-08-20"/>
    <x v="196"/>
    <s v="50027"/>
    <s v="차변"/>
    <s v="101"/>
    <s v="현금"/>
    <x v="1"/>
    <n v="165000"/>
    <n v="0"/>
    <n v="-165000"/>
    <s v="주식회사 수연"/>
    <m/>
    <s v="인사노무자문료(7월) 1 X 150,000"/>
  </r>
  <r>
    <s v="2025-08-20"/>
    <x v="196"/>
    <s v="50028"/>
    <s v="대변"/>
    <s v="255"/>
    <s v="부가세예수금"/>
    <x v="3"/>
    <n v="0"/>
    <n v="15000"/>
    <n v="15000"/>
    <s v="롤링파스타(수완점)"/>
    <m/>
    <s v="인사노무자문료(7월) 1 X 150,000"/>
  </r>
  <r>
    <s v="2025-08-20"/>
    <x v="196"/>
    <s v="50028"/>
    <s v="대변"/>
    <s v="401"/>
    <s v="용역매출"/>
    <x v="4"/>
    <n v="0"/>
    <n v="150000"/>
    <n v="150000"/>
    <s v="롤링파스타(수완점)"/>
    <m/>
    <s v="인사노무자문료(7월) 1 X 150,000"/>
  </r>
  <r>
    <s v="2025-08-20"/>
    <x v="196"/>
    <s v="50028"/>
    <s v="차변"/>
    <s v="101"/>
    <s v="현금"/>
    <x v="1"/>
    <n v="165000"/>
    <n v="0"/>
    <n v="-165000"/>
    <s v="롤링파스타(수완점)"/>
    <m/>
    <s v="인사노무자문료(7월) 1 X 150,000"/>
  </r>
  <r>
    <s v="2025-08-20"/>
    <x v="196"/>
    <s v="50029"/>
    <s v="대변"/>
    <s v="255"/>
    <s v="부가세예수금"/>
    <x v="3"/>
    <n v="0"/>
    <n v="10000"/>
    <n v="10000"/>
    <s v="주식회사 호원"/>
    <m/>
    <s v="인사노무자문료(7월) 1 X 100,000"/>
  </r>
  <r>
    <s v="2025-08-20"/>
    <x v="196"/>
    <s v="50029"/>
    <s v="대변"/>
    <s v="401"/>
    <s v="용역매출"/>
    <x v="4"/>
    <n v="0"/>
    <n v="100000"/>
    <n v="100000"/>
    <s v="주식회사 호원"/>
    <m/>
    <s v="인사노무자문료(7월) 1 X 100,000"/>
  </r>
  <r>
    <s v="2025-08-20"/>
    <x v="196"/>
    <s v="50029"/>
    <s v="차변"/>
    <s v="101"/>
    <s v="현금"/>
    <x v="1"/>
    <n v="110000"/>
    <n v="0"/>
    <n v="-110000"/>
    <s v="주식회사 호원"/>
    <m/>
    <s v="인사노무자문료(7월) 1 X 100,000"/>
  </r>
  <r>
    <s v="2025-08-20"/>
    <x v="196"/>
    <s v="50030"/>
    <s v="대변"/>
    <s v="255"/>
    <s v="부가세예수금"/>
    <x v="3"/>
    <n v="0"/>
    <n v="20000"/>
    <n v="20000"/>
    <s v="(주)연합기업"/>
    <m/>
    <s v="인사노무자문료(7월) 1 X 200,000"/>
  </r>
  <r>
    <s v="2025-08-20"/>
    <x v="196"/>
    <s v="50030"/>
    <s v="대변"/>
    <s v="401"/>
    <s v="용역매출"/>
    <x v="4"/>
    <n v="0"/>
    <n v="200000"/>
    <n v="200000"/>
    <s v="(주)연합기업"/>
    <m/>
    <s v="인사노무자문료(7월) 1 X 200,000"/>
  </r>
  <r>
    <s v="2025-08-20"/>
    <x v="196"/>
    <s v="50030"/>
    <s v="차변"/>
    <s v="101"/>
    <s v="현금"/>
    <x v="1"/>
    <n v="220000"/>
    <n v="0"/>
    <n v="-220000"/>
    <s v="(주)연합기업"/>
    <m/>
    <s v="인사노무자문료(7월) 1 X 200,000"/>
  </r>
  <r>
    <s v="2025-08-20"/>
    <x v="196"/>
    <s v="50031"/>
    <s v="대변"/>
    <s v="255"/>
    <s v="부가세예수금"/>
    <x v="3"/>
    <n v="0"/>
    <n v="15000"/>
    <n v="15000"/>
    <s v="라스(LAS)어린이치과의원"/>
    <m/>
    <s v="인사노무자문료(7월) 1 X 150,000"/>
  </r>
  <r>
    <s v="2025-08-20"/>
    <x v="196"/>
    <s v="50031"/>
    <s v="대변"/>
    <s v="401"/>
    <s v="용역매출"/>
    <x v="4"/>
    <n v="0"/>
    <n v="150000"/>
    <n v="150000"/>
    <s v="라스(LAS)어린이치과의원"/>
    <m/>
    <s v="인사노무자문료(7월) 1 X 150,000"/>
  </r>
  <r>
    <s v="2025-08-20"/>
    <x v="196"/>
    <s v="50031"/>
    <s v="차변"/>
    <s v="101"/>
    <s v="현금"/>
    <x v="1"/>
    <n v="165000"/>
    <n v="0"/>
    <n v="-165000"/>
    <s v="라스(LAS)어린이치과의원"/>
    <m/>
    <s v="인사노무자문료(7월) 1 X 150,000"/>
  </r>
  <r>
    <s v="2025-08-20"/>
    <x v="196"/>
    <s v="50032"/>
    <s v="대변"/>
    <s v="255"/>
    <s v="부가세예수금"/>
    <x v="3"/>
    <n v="0"/>
    <n v="12000"/>
    <n v="12000"/>
    <s v="마루샤브"/>
    <m/>
    <s v="인사노무자문료(7월) 1 X 120,000"/>
  </r>
  <r>
    <s v="2025-08-20"/>
    <x v="196"/>
    <s v="50032"/>
    <s v="대변"/>
    <s v="401"/>
    <s v="용역매출"/>
    <x v="4"/>
    <n v="0"/>
    <n v="120000"/>
    <n v="120000"/>
    <s v="마루샤브"/>
    <m/>
    <s v="인사노무자문료(7월) 1 X 120,000"/>
  </r>
  <r>
    <s v="2025-08-20"/>
    <x v="196"/>
    <s v="50032"/>
    <s v="차변"/>
    <s v="101"/>
    <s v="현금"/>
    <x v="1"/>
    <n v="132000"/>
    <n v="0"/>
    <n v="-132000"/>
    <s v="마루샤브"/>
    <m/>
    <s v="인사노무자문료(7월) 1 X 120,000"/>
  </r>
  <r>
    <s v="2025-08-20"/>
    <x v="196"/>
    <s v="50033"/>
    <s v="대변"/>
    <s v="255"/>
    <s v="부가세예수금"/>
    <x v="3"/>
    <n v="0"/>
    <n v="5000"/>
    <n v="5000"/>
    <s v="서호통상"/>
    <m/>
    <s v="인사노무자문료 1 X 50,000"/>
  </r>
  <r>
    <s v="2025-08-20"/>
    <x v="196"/>
    <s v="50033"/>
    <s v="대변"/>
    <s v="401"/>
    <s v="용역매출"/>
    <x v="4"/>
    <n v="0"/>
    <n v="50000"/>
    <n v="50000"/>
    <s v="서호통상"/>
    <m/>
    <s v="인사노무자문료 1 X 50,000"/>
  </r>
  <r>
    <s v="2025-08-20"/>
    <x v="196"/>
    <s v="50033"/>
    <s v="차변"/>
    <s v="101"/>
    <s v="현금"/>
    <x v="1"/>
    <n v="55000"/>
    <n v="0"/>
    <n v="-55000"/>
    <s v="서호통상"/>
    <m/>
    <s v="인사노무자문료 1 X 50,000"/>
  </r>
  <r>
    <s v="2025-08-20"/>
    <x v="196"/>
    <s v="50034"/>
    <s v="대변"/>
    <s v="255"/>
    <s v="부가세예수금"/>
    <x v="3"/>
    <n v="0"/>
    <n v="9091"/>
    <n v="9091"/>
    <s v="깐깐한 족발(화정점)"/>
    <m/>
    <s v="인사노무자문료(7월) 1 X 90,909"/>
  </r>
  <r>
    <s v="2025-08-20"/>
    <x v="196"/>
    <s v="50034"/>
    <s v="대변"/>
    <s v="401"/>
    <s v="용역매출"/>
    <x v="4"/>
    <n v="0"/>
    <n v="90909"/>
    <n v="90909"/>
    <s v="깐깐한 족발(화정점)"/>
    <m/>
    <s v="인사노무자문료(7월) 1 X 90,909"/>
  </r>
  <r>
    <s v="2025-08-20"/>
    <x v="196"/>
    <s v="50034"/>
    <s v="차변"/>
    <s v="101"/>
    <s v="현금"/>
    <x v="1"/>
    <n v="100000"/>
    <n v="0"/>
    <n v="-100000"/>
    <s v="깐깐한 족발(화정점)"/>
    <m/>
    <s v="인사노무자문료(7월) 1 X 90,909"/>
  </r>
  <r>
    <s v="2025-08-20"/>
    <x v="196"/>
    <s v="50035"/>
    <s v="대변"/>
    <s v="255"/>
    <s v="부가세예수금"/>
    <x v="3"/>
    <n v="0"/>
    <n v="10000"/>
    <n v="10000"/>
    <s v="(유)담양담빛샤브"/>
    <m/>
    <s v="인사노무자문료(7월) 1 X 100,000"/>
  </r>
  <r>
    <s v="2025-08-20"/>
    <x v="196"/>
    <s v="50035"/>
    <s v="대변"/>
    <s v="401"/>
    <s v="용역매출"/>
    <x v="4"/>
    <n v="0"/>
    <n v="100000"/>
    <n v="100000"/>
    <s v="(유)담양담빛샤브"/>
    <m/>
    <s v="인사노무자문료(7월) 1 X 100,000"/>
  </r>
  <r>
    <s v="2025-08-20"/>
    <x v="196"/>
    <s v="50035"/>
    <s v="차변"/>
    <s v="101"/>
    <s v="현금"/>
    <x v="1"/>
    <n v="110000"/>
    <n v="0"/>
    <n v="-110000"/>
    <s v="(유)담양담빛샤브"/>
    <m/>
    <s v="인사노무자문료(7월) 1 X 100,000"/>
  </r>
  <r>
    <s v="2025-08-20"/>
    <x v="196"/>
    <s v="50036"/>
    <s v="대변"/>
    <s v="255"/>
    <s v="부가세예수금"/>
    <x v="3"/>
    <n v="0"/>
    <n v="5000"/>
    <n v="5000"/>
    <s v="바른샤브"/>
    <m/>
    <s v="인사노무자문료 1 X 50,000"/>
  </r>
  <r>
    <s v="2025-08-20"/>
    <x v="196"/>
    <s v="50036"/>
    <s v="대변"/>
    <s v="401"/>
    <s v="용역매출"/>
    <x v="4"/>
    <n v="0"/>
    <n v="50000"/>
    <n v="50000"/>
    <s v="바른샤브"/>
    <m/>
    <s v="인사노무자문료 1 X 50,000"/>
  </r>
  <r>
    <s v="2025-08-20"/>
    <x v="196"/>
    <s v="50036"/>
    <s v="차변"/>
    <s v="101"/>
    <s v="현금"/>
    <x v="1"/>
    <n v="55000"/>
    <n v="0"/>
    <n v="-55000"/>
    <s v="바른샤브"/>
    <m/>
    <s v="인사노무자문료 1 X 50,000"/>
  </r>
  <r>
    <s v="2025-08-20"/>
    <x v="196"/>
    <s v="50037"/>
    <s v="대변"/>
    <s v="255"/>
    <s v="부가세예수금"/>
    <x v="3"/>
    <n v="0"/>
    <n v="10000"/>
    <n v="10000"/>
    <s v="연세바른병원"/>
    <m/>
    <s v="인사노무자문료(7월) 1 X 100,000"/>
  </r>
  <r>
    <s v="2025-08-20"/>
    <x v="196"/>
    <s v="50037"/>
    <s v="대변"/>
    <s v="401"/>
    <s v="용역매출"/>
    <x v="4"/>
    <n v="0"/>
    <n v="100000"/>
    <n v="100000"/>
    <s v="연세바른병원"/>
    <m/>
    <s v="인사노무자문료(7월) 1 X 100,000"/>
  </r>
  <r>
    <s v="2025-08-20"/>
    <x v="196"/>
    <s v="50037"/>
    <s v="차변"/>
    <s v="101"/>
    <s v="현금"/>
    <x v="1"/>
    <n v="110000"/>
    <n v="0"/>
    <n v="-110000"/>
    <s v="연세바른병원"/>
    <m/>
    <s v="인사노무자문료(7월) 1 X 100,000"/>
  </r>
  <r>
    <s v="2025-08-20"/>
    <x v="196"/>
    <s v="50038"/>
    <s v="대변"/>
    <s v="255"/>
    <s v="부가세예수금"/>
    <x v="3"/>
    <n v="0"/>
    <n v="20000"/>
    <n v="20000"/>
    <s v="(주)유토피아코리아"/>
    <m/>
    <s v="인사노무자문료(7월) 1 X 200,000"/>
  </r>
  <r>
    <s v="2025-08-20"/>
    <x v="196"/>
    <s v="50038"/>
    <s v="대변"/>
    <s v="401"/>
    <s v="용역매출"/>
    <x v="4"/>
    <n v="0"/>
    <n v="200000"/>
    <n v="200000"/>
    <s v="(주)유토피아코리아"/>
    <m/>
    <s v="인사노무자문료(7월) 1 X 200,000"/>
  </r>
  <r>
    <s v="2025-08-20"/>
    <x v="196"/>
    <s v="50038"/>
    <s v="차변"/>
    <s v="101"/>
    <s v="현금"/>
    <x v="1"/>
    <n v="220000"/>
    <n v="0"/>
    <n v="-220000"/>
    <s v="(주)유토피아코리아"/>
    <m/>
    <s v="인사노무자문료(7월) 1 X 200,000"/>
  </r>
  <r>
    <s v="2025-08-20"/>
    <x v="196"/>
    <s v="50039"/>
    <s v="대변"/>
    <s v="255"/>
    <s v="부가세예수금"/>
    <x v="3"/>
    <n v="0"/>
    <n v="15000"/>
    <n v="15000"/>
    <s v="월간맥주수완점"/>
    <m/>
    <s v="인사노무자문료(7월) 1 X 150,000"/>
  </r>
  <r>
    <s v="2025-08-20"/>
    <x v="196"/>
    <s v="50039"/>
    <s v="대변"/>
    <s v="401"/>
    <s v="용역매출"/>
    <x v="4"/>
    <n v="0"/>
    <n v="150000"/>
    <n v="150000"/>
    <s v="월간맥주수완점"/>
    <m/>
    <s v="인사노무자문료(7월) 1 X 150,000"/>
  </r>
  <r>
    <s v="2025-08-20"/>
    <x v="196"/>
    <s v="50039"/>
    <s v="차변"/>
    <s v="101"/>
    <s v="현금"/>
    <x v="1"/>
    <n v="165000"/>
    <n v="0"/>
    <n v="-165000"/>
    <s v="월간맥주수완점"/>
    <m/>
    <s v="인사노무자문료(7월) 1 X 150,000"/>
  </r>
  <r>
    <s v="2025-08-20"/>
    <x v="196"/>
    <s v="50040"/>
    <s v="대변"/>
    <s v="255"/>
    <s v="부가세예수금"/>
    <x v="3"/>
    <n v="0"/>
    <n v="10000"/>
    <n v="10000"/>
    <s v="주식화사 광원이엔지"/>
    <m/>
    <s v="인사노무자문료(7월) 1 X 100,000"/>
  </r>
  <r>
    <s v="2025-08-20"/>
    <x v="196"/>
    <s v="50040"/>
    <s v="대변"/>
    <s v="401"/>
    <s v="용역매출"/>
    <x v="4"/>
    <n v="0"/>
    <n v="100000"/>
    <n v="100000"/>
    <s v="주식화사 광원이엔지"/>
    <m/>
    <s v="인사노무자문료(7월) 1 X 100,000"/>
  </r>
  <r>
    <s v="2025-08-20"/>
    <x v="196"/>
    <s v="50040"/>
    <s v="차변"/>
    <s v="101"/>
    <s v="현금"/>
    <x v="1"/>
    <n v="110000"/>
    <n v="0"/>
    <n v="-110000"/>
    <s v="주식화사 광원이엔지"/>
    <m/>
    <s v="인사노무자문료(7월) 1 X 100,000"/>
  </r>
  <r>
    <s v="2025-08-20"/>
    <x v="196"/>
    <s v="50041"/>
    <s v="대변"/>
    <s v="255"/>
    <s v="부가세예수금"/>
    <x v="3"/>
    <n v="0"/>
    <n v="10000"/>
    <n v="10000"/>
    <s v="리.베이커리"/>
    <m/>
    <s v="인사노무자문료(7월) 1 X 100,000"/>
  </r>
  <r>
    <s v="2025-08-20"/>
    <x v="196"/>
    <s v="50041"/>
    <s v="대변"/>
    <s v="401"/>
    <s v="용역매출"/>
    <x v="4"/>
    <n v="0"/>
    <n v="100000"/>
    <n v="100000"/>
    <s v="리.베이커리"/>
    <m/>
    <s v="인사노무자문료(7월) 1 X 100,000"/>
  </r>
  <r>
    <s v="2025-08-20"/>
    <x v="196"/>
    <s v="50041"/>
    <s v="차변"/>
    <s v="101"/>
    <s v="현금"/>
    <x v="1"/>
    <n v="110000"/>
    <n v="0"/>
    <n v="-110000"/>
    <s v="리.베이커리"/>
    <m/>
    <s v="인사노무자문료(7월) 1 X 100,000"/>
  </r>
  <r>
    <s v="2025-08-20"/>
    <x v="196"/>
    <s v="50042"/>
    <s v="대변"/>
    <s v="255"/>
    <s v="부가세예수금"/>
    <x v="3"/>
    <n v="0"/>
    <n v="6000"/>
    <n v="6000"/>
    <s v="이마트24광주농성점"/>
    <m/>
    <s v="인사노무자문료(7월) 1 X 60,000"/>
  </r>
  <r>
    <s v="2025-08-20"/>
    <x v="196"/>
    <s v="50042"/>
    <s v="대변"/>
    <s v="401"/>
    <s v="용역매출"/>
    <x v="4"/>
    <n v="0"/>
    <n v="60000"/>
    <n v="60000"/>
    <s v="이마트24광주농성점"/>
    <m/>
    <s v="인사노무자문료(7월) 1 X 60,000"/>
  </r>
  <r>
    <s v="2025-08-20"/>
    <x v="196"/>
    <s v="50042"/>
    <s v="차변"/>
    <s v="101"/>
    <s v="현금"/>
    <x v="1"/>
    <n v="66000"/>
    <n v="0"/>
    <n v="-66000"/>
    <s v="이마트24광주농성점"/>
    <m/>
    <s v="인사노무자문료(7월) 1 X 60,000"/>
  </r>
  <r>
    <s v="2025-08-20"/>
    <x v="196"/>
    <s v="50043"/>
    <s v="대변"/>
    <s v="255"/>
    <s v="부가세예수금"/>
    <x v="3"/>
    <n v="0"/>
    <n v="10000"/>
    <n v="10000"/>
    <s v="(주)커피볶는집"/>
    <m/>
    <s v="인사노무자문료(7월) 1 X 100,000"/>
  </r>
  <r>
    <s v="2025-08-20"/>
    <x v="196"/>
    <s v="50043"/>
    <s v="대변"/>
    <s v="401"/>
    <s v="용역매출"/>
    <x v="4"/>
    <n v="0"/>
    <n v="100000"/>
    <n v="100000"/>
    <s v="(주)커피볶는집"/>
    <m/>
    <s v="인사노무자문료(7월) 1 X 100,000"/>
  </r>
  <r>
    <s v="2025-08-20"/>
    <x v="196"/>
    <s v="50043"/>
    <s v="차변"/>
    <s v="101"/>
    <s v="현금"/>
    <x v="1"/>
    <n v="110000"/>
    <n v="0"/>
    <n v="-110000"/>
    <s v="(주)커피볶는집"/>
    <m/>
    <s v="인사노무자문료(7월) 1 X 100,000"/>
  </r>
  <r>
    <s v="2025-08-20"/>
    <x v="196"/>
    <s v="50044"/>
    <s v="대변"/>
    <s v="255"/>
    <s v="부가세예수금"/>
    <x v="3"/>
    <n v="0"/>
    <n v="181819"/>
    <n v="181819"/>
    <s v="(주)디에스비엔날레점"/>
    <m/>
    <s v="노동사건 자문보수 1 X 1,818,181"/>
  </r>
  <r>
    <s v="2025-08-20"/>
    <x v="196"/>
    <s v="50044"/>
    <s v="대변"/>
    <s v="401"/>
    <s v="용역매출"/>
    <x v="4"/>
    <n v="0"/>
    <n v="1818181"/>
    <n v="1818181"/>
    <s v="(주)디에스비엔날레점"/>
    <m/>
    <s v="노동사건 자문보수 1 X 1,818,181"/>
  </r>
  <r>
    <s v="2025-08-20"/>
    <x v="196"/>
    <s v="50044"/>
    <s v="차변"/>
    <s v="101"/>
    <s v="현금"/>
    <x v="1"/>
    <n v="2000000"/>
    <n v="0"/>
    <n v="-2000000"/>
    <s v="(주)디에스비엔날레점"/>
    <m/>
    <s v="노동사건 자문보수 1 X 1,818,181"/>
  </r>
  <r>
    <s v="2025-08-20"/>
    <x v="196"/>
    <s v="50045"/>
    <s v="차변"/>
    <s v="837"/>
    <s v="건물관리비(판)"/>
    <x v="16"/>
    <n v="203900"/>
    <n v="0"/>
    <n v="-203900"/>
    <s v="와이어스파크 지식산업센터 관리위원회"/>
    <m/>
    <s v="2동2205호"/>
  </r>
  <r>
    <s v="2025-08-20"/>
    <x v="196"/>
    <s v="50045"/>
    <s v="대변"/>
    <s v="101"/>
    <s v="현금"/>
    <x v="1"/>
    <n v="0"/>
    <n v="203900"/>
    <n v="203900"/>
    <s v="와이어스파크 지식산업센터 관리위원회"/>
    <m/>
    <s v="2동2205호"/>
  </r>
  <r>
    <s v="2025-08-25"/>
    <x v="197"/>
    <s v="50001"/>
    <s v="대변"/>
    <s v="255"/>
    <s v="부가세예수금"/>
    <x v="3"/>
    <n v="0"/>
    <n v="20000"/>
    <n v="20000"/>
    <s v="(유)에이스"/>
    <m/>
    <s v="인사노무자문료 1 X 200,000"/>
  </r>
  <r>
    <s v="2025-08-25"/>
    <x v="197"/>
    <s v="50001"/>
    <s v="대변"/>
    <s v="401"/>
    <s v="용역매출"/>
    <x v="4"/>
    <n v="0"/>
    <n v="200000"/>
    <n v="200000"/>
    <s v="(유)에이스"/>
    <m/>
    <s v="인사노무자문료 1 X 200,000"/>
  </r>
  <r>
    <s v="2025-08-25"/>
    <x v="197"/>
    <s v="50001"/>
    <s v="차변"/>
    <s v="101"/>
    <s v="현금"/>
    <x v="1"/>
    <n v="220000"/>
    <n v="0"/>
    <n v="-220000"/>
    <s v="(유)에이스"/>
    <m/>
    <s v="인사노무자문료 1 X 200,000"/>
  </r>
  <r>
    <s v="2025-08-25"/>
    <x v="197"/>
    <s v="50002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8-25"/>
    <x v="197"/>
    <s v="50002"/>
    <s v="대변"/>
    <s v="401"/>
    <s v="용역매출"/>
    <x v="4"/>
    <n v="0"/>
    <n v="150000"/>
    <n v="150000"/>
    <s v="농업회사법인(주)토리팜에프디"/>
    <m/>
    <s v="인사노무자문료 1 X 150,000"/>
  </r>
  <r>
    <s v="2025-08-25"/>
    <x v="197"/>
    <s v="50002"/>
    <s v="차변"/>
    <s v="101"/>
    <s v="현금"/>
    <x v="1"/>
    <n v="165000"/>
    <n v="0"/>
    <n v="-165000"/>
    <s v="농업회사법인(주)토리팜에프디"/>
    <m/>
    <s v="인사노무자문료 1 X 150,000"/>
  </r>
  <r>
    <s v="2025-08-25"/>
    <x v="197"/>
    <s v="50003"/>
    <s v="대변"/>
    <s v="255"/>
    <s v="부가세예수금"/>
    <x v="3"/>
    <n v="0"/>
    <n v="15000"/>
    <n v="15000"/>
    <s v="(주)바이오트코리아"/>
    <m/>
    <s v="인사노무자문료 1 X 150,000"/>
  </r>
  <r>
    <s v="2025-08-25"/>
    <x v="197"/>
    <s v="50003"/>
    <s v="대변"/>
    <s v="401"/>
    <s v="용역매출"/>
    <x v="4"/>
    <n v="0"/>
    <n v="150000"/>
    <n v="150000"/>
    <s v="(주)바이오트코리아"/>
    <m/>
    <s v="인사노무자문료 1 X 150,000"/>
  </r>
  <r>
    <s v="2025-08-25"/>
    <x v="197"/>
    <s v="50003"/>
    <s v="차변"/>
    <s v="101"/>
    <s v="현금"/>
    <x v="1"/>
    <n v="165000"/>
    <n v="0"/>
    <n v="-165000"/>
    <s v="(주)바이오트코리아"/>
    <m/>
    <s v="인사노무자문료 1 X 150,000"/>
  </r>
  <r>
    <s v="2025-08-26"/>
    <x v="198"/>
    <s v="50001"/>
    <s v="대변"/>
    <s v="255"/>
    <s v="부가세예수금"/>
    <x v="3"/>
    <n v="0"/>
    <n v="12000"/>
    <n v="12000"/>
    <s v="마루샤브"/>
    <m/>
    <s v="인사노무자문료 1 X 120,000"/>
  </r>
  <r>
    <s v="2025-08-26"/>
    <x v="198"/>
    <s v="50001"/>
    <s v="대변"/>
    <s v="401"/>
    <s v="용역매출"/>
    <x v="4"/>
    <n v="0"/>
    <n v="120000"/>
    <n v="120000"/>
    <s v="마루샤브"/>
    <m/>
    <s v="인사노무자문료 1 X 120,000"/>
  </r>
  <r>
    <s v="2025-08-26"/>
    <x v="198"/>
    <s v="50001"/>
    <s v="차변"/>
    <s v="101"/>
    <s v="현금"/>
    <x v="1"/>
    <n v="132000"/>
    <n v="0"/>
    <n v="-132000"/>
    <s v="마루샤브"/>
    <m/>
    <s v="인사노무자문료 1 X 120,000"/>
  </r>
  <r>
    <s v="2025-08-26"/>
    <x v="198"/>
    <s v="50002"/>
    <s v="대변"/>
    <s v="255"/>
    <s v="부가세예수금"/>
    <x v="3"/>
    <n v="0"/>
    <n v="13637"/>
    <n v="13637"/>
    <s v="고흥실버타운요양원"/>
    <m/>
    <s v="인사노무자문료 1 X 136,363"/>
  </r>
  <r>
    <s v="2025-08-26"/>
    <x v="198"/>
    <s v="50002"/>
    <s v="대변"/>
    <s v="401"/>
    <s v="용역매출"/>
    <x v="4"/>
    <n v="0"/>
    <n v="136363"/>
    <n v="136363"/>
    <s v="고흥실버타운요양원"/>
    <m/>
    <s v="인사노무자문료 1 X 136,363"/>
  </r>
  <r>
    <s v="2025-08-26"/>
    <x v="198"/>
    <s v="50002"/>
    <s v="차변"/>
    <s v="101"/>
    <s v="현금"/>
    <x v="1"/>
    <n v="150000"/>
    <n v="0"/>
    <n v="-150000"/>
    <s v="고흥실버타운요양원"/>
    <m/>
    <s v="인사노무자문료 1 X 136,363"/>
  </r>
  <r>
    <s v="2025-08-27"/>
    <x v="199"/>
    <s v="50001"/>
    <s v="대변"/>
    <s v="255"/>
    <s v="부가세예수금"/>
    <x v="3"/>
    <n v="0"/>
    <n v="13637"/>
    <n v="13637"/>
    <s v="고흥실버타운요양원"/>
    <m/>
    <s v="인사노무자문료 1 X 136,363"/>
  </r>
  <r>
    <s v="2025-08-27"/>
    <x v="199"/>
    <s v="50001"/>
    <s v="대변"/>
    <s v="401"/>
    <s v="용역매출"/>
    <x v="4"/>
    <n v="0"/>
    <n v="136363"/>
    <n v="136363"/>
    <s v="고흥실버타운요양원"/>
    <m/>
    <s v="인사노무자문료 1 X 136,363"/>
  </r>
  <r>
    <s v="2025-08-27"/>
    <x v="199"/>
    <s v="50001"/>
    <s v="차변"/>
    <s v="101"/>
    <s v="현금"/>
    <x v="1"/>
    <n v="150000"/>
    <n v="0"/>
    <n v="-150000"/>
    <s v="고흥실버타운요양원"/>
    <m/>
    <s v="인사노무자문료 1 X 136,363"/>
  </r>
  <r>
    <s v="2025-08-28"/>
    <x v="200"/>
    <s v="50001"/>
    <s v="대변"/>
    <s v="255"/>
    <s v="부가세예수금"/>
    <x v="3"/>
    <n v="0"/>
    <n v="10000"/>
    <n v="10000"/>
    <s v="커피랩"/>
    <m/>
    <s v="인사노무자문료 1 X 100,000"/>
  </r>
  <r>
    <s v="2025-08-28"/>
    <x v="200"/>
    <s v="50001"/>
    <s v="대변"/>
    <s v="401"/>
    <s v="용역매출"/>
    <x v="4"/>
    <n v="0"/>
    <n v="100000"/>
    <n v="100000"/>
    <s v="커피랩"/>
    <m/>
    <s v="인사노무자문료 1 X 100,000"/>
  </r>
  <r>
    <s v="2025-08-28"/>
    <x v="200"/>
    <s v="50001"/>
    <s v="차변"/>
    <s v="101"/>
    <s v="현금"/>
    <x v="1"/>
    <n v="110000"/>
    <n v="0"/>
    <n v="-110000"/>
    <s v="커피랩"/>
    <m/>
    <s v="인사노무자문료 1 X 100,000"/>
  </r>
  <r>
    <s v="2025-08-28"/>
    <x v="200"/>
    <s v="50002"/>
    <s v="대변"/>
    <s v="255"/>
    <s v="부가세예수금"/>
    <x v="3"/>
    <n v="0"/>
    <n v="11819"/>
    <n v="11819"/>
    <s v="바오팜 주식회사"/>
    <m/>
    <s v="인사노무자문료 1 X 118,181"/>
  </r>
  <r>
    <s v="2025-08-28"/>
    <x v="200"/>
    <s v="50002"/>
    <s v="대변"/>
    <s v="401"/>
    <s v="용역매출"/>
    <x v="4"/>
    <n v="0"/>
    <n v="118181"/>
    <n v="118181"/>
    <s v="바오팜 주식회사"/>
    <m/>
    <s v="인사노무자문료 1 X 118,181"/>
  </r>
  <r>
    <s v="2025-08-28"/>
    <x v="200"/>
    <s v="50002"/>
    <s v="차변"/>
    <s v="101"/>
    <s v="현금"/>
    <x v="1"/>
    <n v="130000"/>
    <n v="0"/>
    <n v="-130000"/>
    <s v="바오팜 주식회사"/>
    <m/>
    <s v="인사노무자문료 1 X 118,181"/>
  </r>
  <r>
    <s v="2025-08-28"/>
    <x v="200"/>
    <s v="50003"/>
    <s v="대변"/>
    <s v="255"/>
    <s v="부가세예수금"/>
    <x v="3"/>
    <n v="0"/>
    <n v="10000"/>
    <n v="10000"/>
    <s v="주식회사 동양금속"/>
    <m/>
    <s v="인사노무자문료 1 X 100,000"/>
  </r>
  <r>
    <s v="2025-08-28"/>
    <x v="200"/>
    <s v="50003"/>
    <s v="대변"/>
    <s v="401"/>
    <s v="용역매출"/>
    <x v="4"/>
    <n v="0"/>
    <n v="100000"/>
    <n v="100000"/>
    <s v="주식회사 동양금속"/>
    <m/>
    <s v="인사노무자문료 1 X 100,000"/>
  </r>
  <r>
    <s v="2025-08-28"/>
    <x v="200"/>
    <s v="50003"/>
    <s v="차변"/>
    <s v="101"/>
    <s v="현금"/>
    <x v="1"/>
    <n v="110000"/>
    <n v="0"/>
    <n v="-110000"/>
    <s v="주식회사 동양금속"/>
    <m/>
    <s v="인사노무자문료 1 X 100,000"/>
  </r>
  <r>
    <s v="2025-08-28"/>
    <x v="200"/>
    <s v="50004"/>
    <s v="대변"/>
    <s v="255"/>
    <s v="부가세예수금"/>
    <x v="3"/>
    <n v="0"/>
    <n v="15000"/>
    <n v="15000"/>
    <s v="최원호병원"/>
    <m/>
    <s v="인사노무자문료 1 X 150,000"/>
  </r>
  <r>
    <s v="2025-08-28"/>
    <x v="200"/>
    <s v="50004"/>
    <s v="대변"/>
    <s v="401"/>
    <s v="용역매출"/>
    <x v="4"/>
    <n v="0"/>
    <n v="150000"/>
    <n v="150000"/>
    <s v="최원호병원"/>
    <m/>
    <s v="인사노무자문료 1 X 150,000"/>
  </r>
  <r>
    <s v="2025-08-28"/>
    <x v="200"/>
    <s v="50004"/>
    <s v="차변"/>
    <s v="101"/>
    <s v="현금"/>
    <x v="1"/>
    <n v="165000"/>
    <n v="0"/>
    <n v="-165000"/>
    <s v="최원호병원"/>
    <m/>
    <s v="인사노무자문료 1 X 150,000"/>
  </r>
  <r>
    <s v="2025-08-28"/>
    <x v="200"/>
    <s v="50005"/>
    <s v="대변"/>
    <s v="255"/>
    <s v="부가세예수금"/>
    <x v="3"/>
    <n v="0"/>
    <n v="10000"/>
    <n v="10000"/>
    <s v="(주)중동텍스타일"/>
    <m/>
    <s v="인사노무자문료 1 X 100,000"/>
  </r>
  <r>
    <s v="2025-08-28"/>
    <x v="200"/>
    <s v="50005"/>
    <s v="대변"/>
    <s v="401"/>
    <s v="용역매출"/>
    <x v="4"/>
    <n v="0"/>
    <n v="100000"/>
    <n v="100000"/>
    <s v="(주)중동텍스타일"/>
    <m/>
    <s v="인사노무자문료 1 X 100,000"/>
  </r>
  <r>
    <s v="2025-08-28"/>
    <x v="200"/>
    <s v="50005"/>
    <s v="차변"/>
    <s v="101"/>
    <s v="현금"/>
    <x v="1"/>
    <n v="110000"/>
    <n v="0"/>
    <n v="-110000"/>
    <s v="(주)중동텍스타일"/>
    <m/>
    <s v="인사노무자문료 1 X 100,000"/>
  </r>
  <r>
    <s v="2025-08-29"/>
    <x v="201"/>
    <s v="50001"/>
    <s v="차변"/>
    <s v="135"/>
    <s v="부가세대급금"/>
    <x v="5"/>
    <n v="4000"/>
    <n v="0"/>
    <n v="-4000"/>
    <s v="효성에프엠에스(주)"/>
    <m/>
    <s v="08월CMS사용료-gjsals596"/>
  </r>
  <r>
    <s v="2025-08-29"/>
    <x v="201"/>
    <s v="50001"/>
    <s v="차변"/>
    <s v="831"/>
    <s v="지급수수료(판)"/>
    <x v="7"/>
    <n v="40000"/>
    <n v="0"/>
    <n v="-40000"/>
    <s v="효성에프엠에스(주)"/>
    <m/>
    <s v="08월CMS사용료-gjsals596"/>
  </r>
  <r>
    <s v="2025-08-29"/>
    <x v="201"/>
    <s v="50001"/>
    <s v="대변"/>
    <s v="101"/>
    <s v="현금"/>
    <x v="1"/>
    <n v="0"/>
    <n v="44000"/>
    <n v="44000"/>
    <s v="효성에프엠에스(주)"/>
    <m/>
    <s v="08월CMS사용료-gjsals596"/>
  </r>
  <r>
    <s v="2025-08-29"/>
    <x v="201"/>
    <s v="50002"/>
    <s v="차변"/>
    <s v="135"/>
    <s v="부가세대급금"/>
    <x v="5"/>
    <n v="1075"/>
    <n v="0"/>
    <n v="-1075"/>
    <s v="효성에프엠에스(주)"/>
    <m/>
    <s v="08월CMS수수료-gjsals596"/>
  </r>
  <r>
    <s v="2025-08-29"/>
    <x v="201"/>
    <s v="50002"/>
    <s v="차변"/>
    <s v="831"/>
    <s v="지급수수료(판)"/>
    <x v="7"/>
    <n v="10750"/>
    <n v="0"/>
    <n v="-10750"/>
    <s v="효성에프엠에스(주)"/>
    <m/>
    <s v="08월CMS수수료-gjsals596"/>
  </r>
  <r>
    <s v="2025-08-29"/>
    <x v="201"/>
    <s v="50002"/>
    <s v="대변"/>
    <s v="101"/>
    <s v="현금"/>
    <x v="1"/>
    <n v="0"/>
    <n v="11825"/>
    <n v="11825"/>
    <s v="효성에프엠에스(주)"/>
    <m/>
    <s v="08월CMS수수료-gjsals596"/>
  </r>
  <r>
    <s v="2025-08-31"/>
    <x v="202"/>
    <s v="50001"/>
    <s v="대변"/>
    <s v="255"/>
    <s v="부가세예수금"/>
    <x v="3"/>
    <n v="0"/>
    <n v="10000"/>
    <n v="10000"/>
    <s v="주식회사 호원"/>
    <m/>
    <s v="인사노무자문료 1 X 100,000"/>
  </r>
  <r>
    <s v="2025-08-31"/>
    <x v="202"/>
    <s v="50001"/>
    <s v="대변"/>
    <s v="401"/>
    <s v="용역매출"/>
    <x v="4"/>
    <n v="0"/>
    <n v="100000"/>
    <n v="100000"/>
    <s v="주식회사 호원"/>
    <m/>
    <s v="인사노무자문료 1 X 100,000"/>
  </r>
  <r>
    <s v="2025-08-31"/>
    <x v="202"/>
    <s v="50001"/>
    <s v="차변"/>
    <s v="101"/>
    <s v="현금"/>
    <x v="1"/>
    <n v="110000"/>
    <n v="0"/>
    <n v="-110000"/>
    <s v="주식회사 호원"/>
    <m/>
    <s v="인사노무자문료 1 X 100,000"/>
  </r>
  <r>
    <s v="2025-08-31"/>
    <x v="202"/>
    <s v="50002"/>
    <s v="대변"/>
    <s v="255"/>
    <s v="부가세예수금"/>
    <x v="3"/>
    <n v="0"/>
    <n v="15000"/>
    <n v="15000"/>
    <s v="롤링파스타(수완점)"/>
    <m/>
    <s v="인사노무자문료 1 X 150,000"/>
  </r>
  <r>
    <s v="2025-08-31"/>
    <x v="202"/>
    <s v="50002"/>
    <s v="대변"/>
    <s v="401"/>
    <s v="용역매출"/>
    <x v="4"/>
    <n v="0"/>
    <n v="150000"/>
    <n v="150000"/>
    <s v="롤링파스타(수완점)"/>
    <m/>
    <s v="인사노무자문료 1 X 150,000"/>
  </r>
  <r>
    <s v="2025-08-31"/>
    <x v="202"/>
    <s v="50002"/>
    <s v="차변"/>
    <s v="101"/>
    <s v="현금"/>
    <x v="1"/>
    <n v="165000"/>
    <n v="0"/>
    <n v="-165000"/>
    <s v="롤링파스타(수완점)"/>
    <m/>
    <s v="인사노무자문료 1 X 150,000"/>
  </r>
  <r>
    <s v="2025-08-31"/>
    <x v="202"/>
    <s v="50003"/>
    <s v="대변"/>
    <s v="255"/>
    <s v="부가세예수금"/>
    <x v="3"/>
    <n v="0"/>
    <n v="20000"/>
    <n v="20000"/>
    <s v="24시 동물병원 공감"/>
    <m/>
    <s v="인사노무자문료 1 X 200,000"/>
  </r>
  <r>
    <s v="2025-08-31"/>
    <x v="202"/>
    <s v="50003"/>
    <s v="대변"/>
    <s v="401"/>
    <s v="용역매출"/>
    <x v="4"/>
    <n v="0"/>
    <n v="200000"/>
    <n v="200000"/>
    <s v="24시 동물병원 공감"/>
    <m/>
    <s v="인사노무자문료 1 X 200,000"/>
  </r>
  <r>
    <s v="2025-08-31"/>
    <x v="202"/>
    <s v="50003"/>
    <s v="차변"/>
    <s v="101"/>
    <s v="현금"/>
    <x v="1"/>
    <n v="220000"/>
    <n v="0"/>
    <n v="-220000"/>
    <s v="24시 동물병원 공감"/>
    <m/>
    <s v="인사노무자문료 1 X 200,000"/>
  </r>
  <r>
    <s v="2025-08-31"/>
    <x v="202"/>
    <s v="50004"/>
    <s v="대변"/>
    <s v="255"/>
    <s v="부가세예수금"/>
    <x v="3"/>
    <n v="0"/>
    <n v="20000"/>
    <n v="20000"/>
    <s v="(주)연합기업"/>
    <m/>
    <s v="인사노무자문료 1 X 200,000"/>
  </r>
  <r>
    <s v="2025-08-31"/>
    <x v="202"/>
    <s v="50004"/>
    <s v="대변"/>
    <s v="401"/>
    <s v="용역매출"/>
    <x v="4"/>
    <n v="0"/>
    <n v="200000"/>
    <n v="200000"/>
    <s v="(주)연합기업"/>
    <m/>
    <s v="인사노무자문료 1 X 200,000"/>
  </r>
  <r>
    <s v="2025-08-31"/>
    <x v="202"/>
    <s v="50004"/>
    <s v="차변"/>
    <s v="101"/>
    <s v="현금"/>
    <x v="1"/>
    <n v="220000"/>
    <n v="0"/>
    <n v="-220000"/>
    <s v="(주)연합기업"/>
    <m/>
    <s v="인사노무자문료 1 X 200,000"/>
  </r>
  <r>
    <s v="2025-08-31"/>
    <x v="202"/>
    <s v="50005"/>
    <s v="대변"/>
    <s v="255"/>
    <s v="부가세예수금"/>
    <x v="3"/>
    <n v="0"/>
    <n v="5000"/>
    <n v="5000"/>
    <s v="바른샤브"/>
    <m/>
    <s v="인사노무자문료 1 X 50,000"/>
  </r>
  <r>
    <s v="2025-08-31"/>
    <x v="202"/>
    <s v="50005"/>
    <s v="대변"/>
    <s v="401"/>
    <s v="용역매출"/>
    <x v="4"/>
    <n v="0"/>
    <n v="50000"/>
    <n v="50000"/>
    <s v="바른샤브"/>
    <m/>
    <s v="인사노무자문료 1 X 50,000"/>
  </r>
  <r>
    <s v="2025-08-31"/>
    <x v="202"/>
    <s v="50005"/>
    <s v="차변"/>
    <s v="101"/>
    <s v="현금"/>
    <x v="1"/>
    <n v="55000"/>
    <n v="0"/>
    <n v="-55000"/>
    <s v="바른샤브"/>
    <m/>
    <s v="인사노무자문료 1 X 50,000"/>
  </r>
  <r>
    <s v="2025-08-31"/>
    <x v="202"/>
    <s v="50006"/>
    <s v="대변"/>
    <s v="255"/>
    <s v="부가세예수금"/>
    <x v="3"/>
    <n v="0"/>
    <n v="10000"/>
    <n v="10000"/>
    <s v="(유)담양담빛샤브"/>
    <m/>
    <s v="인사노무자문료 1 X 100,000"/>
  </r>
  <r>
    <s v="2025-08-31"/>
    <x v="202"/>
    <s v="50006"/>
    <s v="대변"/>
    <s v="401"/>
    <s v="용역매출"/>
    <x v="4"/>
    <n v="0"/>
    <n v="100000"/>
    <n v="100000"/>
    <s v="(유)담양담빛샤브"/>
    <m/>
    <s v="인사노무자문료 1 X 100,000"/>
  </r>
  <r>
    <s v="2025-08-31"/>
    <x v="202"/>
    <s v="50006"/>
    <s v="차변"/>
    <s v="101"/>
    <s v="현금"/>
    <x v="1"/>
    <n v="110000"/>
    <n v="0"/>
    <n v="-110000"/>
    <s v="(유)담양담빛샤브"/>
    <m/>
    <s v="인사노무자문료 1 X 100,000"/>
  </r>
  <r>
    <s v="2025-08-31"/>
    <x v="202"/>
    <s v="50007"/>
    <s v="대변"/>
    <s v="255"/>
    <s v="부가세예수금"/>
    <x v="3"/>
    <n v="0"/>
    <n v="9091"/>
    <n v="9091"/>
    <s v="깐깐한 족발(화정점)"/>
    <m/>
    <s v="인사노무자문료 1 X 90,909"/>
  </r>
  <r>
    <s v="2025-08-31"/>
    <x v="202"/>
    <s v="50007"/>
    <s v="대변"/>
    <s v="401"/>
    <s v="용역매출"/>
    <x v="4"/>
    <n v="0"/>
    <n v="90909"/>
    <n v="90909"/>
    <s v="깐깐한 족발(화정점)"/>
    <m/>
    <s v="인사노무자문료 1 X 90,909"/>
  </r>
  <r>
    <s v="2025-08-31"/>
    <x v="202"/>
    <s v="50007"/>
    <s v="차변"/>
    <s v="101"/>
    <s v="현금"/>
    <x v="1"/>
    <n v="100000"/>
    <n v="0"/>
    <n v="-100000"/>
    <s v="깐깐한 족발(화정점)"/>
    <m/>
    <s v="인사노무자문료 1 X 90,909"/>
  </r>
  <r>
    <s v="2025-08-31"/>
    <x v="202"/>
    <s v="50008"/>
    <s v="대변"/>
    <s v="255"/>
    <s v="부가세예수금"/>
    <x v="3"/>
    <n v="0"/>
    <n v="5000"/>
    <n v="5000"/>
    <s v="서호통상"/>
    <m/>
    <s v="인사노무자문료 1 X 50,000"/>
  </r>
  <r>
    <s v="2025-08-31"/>
    <x v="202"/>
    <s v="50008"/>
    <s v="대변"/>
    <s v="401"/>
    <s v="용역매출"/>
    <x v="4"/>
    <n v="0"/>
    <n v="50000"/>
    <n v="50000"/>
    <s v="서호통상"/>
    <m/>
    <s v="인사노무자문료 1 X 50,000"/>
  </r>
  <r>
    <s v="2025-08-31"/>
    <x v="202"/>
    <s v="50008"/>
    <s v="차변"/>
    <s v="101"/>
    <s v="현금"/>
    <x v="1"/>
    <n v="55000"/>
    <n v="0"/>
    <n v="-55000"/>
    <s v="서호통상"/>
    <m/>
    <s v="인사노무자문료 1 X 50,000"/>
  </r>
  <r>
    <s v="2025-08-31"/>
    <x v="202"/>
    <s v="50009"/>
    <s v="대변"/>
    <s v="255"/>
    <s v="부가세예수금"/>
    <x v="3"/>
    <n v="0"/>
    <n v="15000"/>
    <n v="15000"/>
    <s v="라스(LAS)어린이치과의원"/>
    <m/>
    <s v="인사노무자문료 1 X 150,000"/>
  </r>
  <r>
    <s v="2025-08-31"/>
    <x v="202"/>
    <s v="50009"/>
    <s v="대변"/>
    <s v="401"/>
    <s v="용역매출"/>
    <x v="4"/>
    <n v="0"/>
    <n v="150000"/>
    <n v="150000"/>
    <s v="라스(LAS)어린이치과의원"/>
    <m/>
    <s v="인사노무자문료 1 X 150,000"/>
  </r>
  <r>
    <s v="2025-08-31"/>
    <x v="202"/>
    <s v="50009"/>
    <s v="차변"/>
    <s v="101"/>
    <s v="현금"/>
    <x v="1"/>
    <n v="165000"/>
    <n v="0"/>
    <n v="-165000"/>
    <s v="라스(LAS)어린이치과의원"/>
    <m/>
    <s v="인사노무자문료 1 X 150,000"/>
  </r>
  <r>
    <s v="2025-08-31"/>
    <x v="202"/>
    <s v="50010"/>
    <s v="대변"/>
    <s v="255"/>
    <s v="부가세예수금"/>
    <x v="3"/>
    <n v="0"/>
    <n v="7000"/>
    <n v="7000"/>
    <s v="하서방해물칼국수"/>
    <m/>
    <s v="인사노무자문료 1 X 70,000"/>
  </r>
  <r>
    <s v="2025-08-31"/>
    <x v="202"/>
    <s v="50010"/>
    <s v="대변"/>
    <s v="401"/>
    <s v="용역매출"/>
    <x v="4"/>
    <n v="0"/>
    <n v="70000"/>
    <n v="70000"/>
    <s v="하서방해물칼국수"/>
    <m/>
    <s v="인사노무자문료 1 X 70,000"/>
  </r>
  <r>
    <s v="2025-08-31"/>
    <x v="202"/>
    <s v="50010"/>
    <s v="차변"/>
    <s v="101"/>
    <s v="현금"/>
    <x v="1"/>
    <n v="77000"/>
    <n v="0"/>
    <n v="-77000"/>
    <s v="하서방해물칼국수"/>
    <m/>
    <s v="인사노무자문료 1 X 70,000"/>
  </r>
  <r>
    <s v="2025-08-31"/>
    <x v="202"/>
    <s v="50011"/>
    <s v="대변"/>
    <s v="255"/>
    <s v="부가세예수금"/>
    <x v="3"/>
    <n v="0"/>
    <n v="10000"/>
    <n v="10000"/>
    <s v="주식화사 광원이엔지"/>
    <m/>
    <s v="인사노무자문료 1 X 100,000"/>
  </r>
  <r>
    <s v="2025-08-31"/>
    <x v="202"/>
    <s v="50011"/>
    <s v="대변"/>
    <s v="401"/>
    <s v="용역매출"/>
    <x v="4"/>
    <n v="0"/>
    <n v="100000"/>
    <n v="100000"/>
    <s v="주식화사 광원이엔지"/>
    <m/>
    <s v="인사노무자문료 1 X 100,000"/>
  </r>
  <r>
    <s v="2025-08-31"/>
    <x v="202"/>
    <s v="50011"/>
    <s v="차변"/>
    <s v="101"/>
    <s v="현금"/>
    <x v="1"/>
    <n v="110000"/>
    <n v="0"/>
    <n v="-110000"/>
    <s v="주식화사 광원이엔지"/>
    <m/>
    <s v="인사노무자문료 1 X 100,000"/>
  </r>
  <r>
    <s v="2025-08-31"/>
    <x v="202"/>
    <s v="50012"/>
    <s v="대변"/>
    <s v="255"/>
    <s v="부가세예수금"/>
    <x v="3"/>
    <n v="0"/>
    <n v="15000"/>
    <n v="15000"/>
    <s v="월간맥주수완점"/>
    <m/>
    <s v="인사노무자문료 1 X 150,000"/>
  </r>
  <r>
    <s v="2025-08-31"/>
    <x v="202"/>
    <s v="50012"/>
    <s v="대변"/>
    <s v="401"/>
    <s v="용역매출"/>
    <x v="4"/>
    <n v="0"/>
    <n v="150000"/>
    <n v="150000"/>
    <s v="월간맥주수완점"/>
    <m/>
    <s v="인사노무자문료 1 X 150,000"/>
  </r>
  <r>
    <s v="2025-08-31"/>
    <x v="202"/>
    <s v="50012"/>
    <s v="차변"/>
    <s v="101"/>
    <s v="현금"/>
    <x v="1"/>
    <n v="165000"/>
    <n v="0"/>
    <n v="-165000"/>
    <s v="월간맥주수완점"/>
    <m/>
    <s v="인사노무자문료 1 X 150,000"/>
  </r>
  <r>
    <s v="2025-08-31"/>
    <x v="202"/>
    <s v="50013"/>
    <s v="대변"/>
    <s v="255"/>
    <s v="부가세예수금"/>
    <x v="3"/>
    <n v="0"/>
    <n v="20000"/>
    <n v="20000"/>
    <s v="(주)유토피아코리아"/>
    <m/>
    <s v="인사노무자문료 1 X 200,000"/>
  </r>
  <r>
    <s v="2025-08-31"/>
    <x v="202"/>
    <s v="50013"/>
    <s v="대변"/>
    <s v="401"/>
    <s v="용역매출"/>
    <x v="4"/>
    <n v="0"/>
    <n v="200000"/>
    <n v="200000"/>
    <s v="(주)유토피아코리아"/>
    <m/>
    <s v="인사노무자문료 1 X 200,000"/>
  </r>
  <r>
    <s v="2025-08-31"/>
    <x v="202"/>
    <s v="50013"/>
    <s v="차변"/>
    <s v="101"/>
    <s v="현금"/>
    <x v="1"/>
    <n v="220000"/>
    <n v="0"/>
    <n v="-220000"/>
    <s v="(주)유토피아코리아"/>
    <m/>
    <s v="인사노무자문료 1 X 200,000"/>
  </r>
  <r>
    <s v="2025-08-31"/>
    <x v="202"/>
    <s v="50014"/>
    <s v="대변"/>
    <s v="255"/>
    <s v="부가세예수금"/>
    <x v="3"/>
    <n v="0"/>
    <n v="10000"/>
    <n v="10000"/>
    <s v="연세바른병원"/>
    <m/>
    <s v="인사노무자문료 1 X 100,000"/>
  </r>
  <r>
    <s v="2025-08-31"/>
    <x v="202"/>
    <s v="50014"/>
    <s v="대변"/>
    <s v="401"/>
    <s v="용역매출"/>
    <x v="4"/>
    <n v="0"/>
    <n v="100000"/>
    <n v="100000"/>
    <s v="연세바른병원"/>
    <m/>
    <s v="인사노무자문료 1 X 100,000"/>
  </r>
  <r>
    <s v="2025-08-31"/>
    <x v="202"/>
    <s v="50014"/>
    <s v="차변"/>
    <s v="101"/>
    <s v="현금"/>
    <x v="1"/>
    <n v="110000"/>
    <n v="0"/>
    <n v="-110000"/>
    <s v="연세바른병원"/>
    <m/>
    <s v="인사노무자문료 1 X 100,000"/>
  </r>
  <r>
    <s v="2025-08-31"/>
    <x v="202"/>
    <s v="50015"/>
    <s v="대변"/>
    <s v="255"/>
    <s v="부가세예수금"/>
    <x v="3"/>
    <n v="0"/>
    <n v="15000"/>
    <n v="15000"/>
    <s v="(주)파이스물류"/>
    <m/>
    <s v="인사노무자문료 1 X 150,000"/>
  </r>
  <r>
    <s v="2025-08-31"/>
    <x v="202"/>
    <s v="50015"/>
    <s v="대변"/>
    <s v="401"/>
    <s v="용역매출"/>
    <x v="4"/>
    <n v="0"/>
    <n v="150000"/>
    <n v="150000"/>
    <s v="(주)파이스물류"/>
    <m/>
    <s v="인사노무자문료 1 X 150,000"/>
  </r>
  <r>
    <s v="2025-08-31"/>
    <x v="202"/>
    <s v="50015"/>
    <s v="차변"/>
    <s v="101"/>
    <s v="현금"/>
    <x v="1"/>
    <n v="165000"/>
    <n v="0"/>
    <n v="-165000"/>
    <s v="(주)파이스물류"/>
    <m/>
    <s v="인사노무자문료 1 X 150,000"/>
  </r>
  <r>
    <s v="2025-08-31"/>
    <x v="202"/>
    <s v="50016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8-31"/>
    <x v="202"/>
    <s v="50016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8-31"/>
    <x v="202"/>
    <s v="50016"/>
    <s v="차변"/>
    <s v="101"/>
    <s v="현금"/>
    <x v="1"/>
    <n v="330000"/>
    <n v="0"/>
    <n v="-330000"/>
    <s v="재단법인 광주광역시 여성가족재단"/>
    <m/>
    <s v="인사노무자문료 1 X 300,000"/>
  </r>
  <r>
    <s v="2025-08-31"/>
    <x v="202"/>
    <s v="50017"/>
    <s v="대변"/>
    <s v="255"/>
    <s v="부가세예수금"/>
    <x v="3"/>
    <n v="0"/>
    <n v="12000"/>
    <n v="12000"/>
    <s v="농업회사법인(주)황칠코리아"/>
    <m/>
    <s v="인사노무자문료 1 X 120,000"/>
  </r>
  <r>
    <s v="2025-08-31"/>
    <x v="202"/>
    <s v="50017"/>
    <s v="대변"/>
    <s v="401"/>
    <s v="용역매출"/>
    <x v="4"/>
    <n v="0"/>
    <n v="120000"/>
    <n v="120000"/>
    <s v="농업회사법인(주)황칠코리아"/>
    <m/>
    <s v="인사노무자문료 1 X 120,000"/>
  </r>
  <r>
    <s v="2025-08-31"/>
    <x v="202"/>
    <s v="50017"/>
    <s v="차변"/>
    <s v="101"/>
    <s v="현금"/>
    <x v="1"/>
    <n v="132000"/>
    <n v="0"/>
    <n v="-132000"/>
    <s v="농업회사법인(주)황칠코리아"/>
    <m/>
    <s v="인사노무자문료 1 X 120,000"/>
  </r>
  <r>
    <s v="2025-08-31"/>
    <x v="202"/>
    <s v="50018"/>
    <s v="대변"/>
    <s v="255"/>
    <s v="부가세예수금"/>
    <x v="3"/>
    <n v="0"/>
    <n v="7000"/>
    <n v="7000"/>
    <s v="(유)임마누엘"/>
    <m/>
    <s v="인사노무자문료 1 X 70,000"/>
  </r>
  <r>
    <s v="2025-08-31"/>
    <x v="202"/>
    <s v="50018"/>
    <s v="대변"/>
    <s v="401"/>
    <s v="용역매출"/>
    <x v="4"/>
    <n v="0"/>
    <n v="70000"/>
    <n v="70000"/>
    <s v="(유)임마누엘"/>
    <m/>
    <s v="인사노무자문료 1 X 70,000"/>
  </r>
  <r>
    <s v="2025-08-31"/>
    <x v="202"/>
    <s v="50018"/>
    <s v="차변"/>
    <s v="101"/>
    <s v="현금"/>
    <x v="1"/>
    <n v="77000"/>
    <n v="0"/>
    <n v="-77000"/>
    <s v="(유)임마누엘"/>
    <m/>
    <s v="인사노무자문료 1 X 70,000"/>
  </r>
  <r>
    <s v="2025-08-31"/>
    <x v="202"/>
    <s v="50019"/>
    <s v="대변"/>
    <s v="255"/>
    <s v="부가세예수금"/>
    <x v="3"/>
    <n v="0"/>
    <n v="15000"/>
    <n v="15000"/>
    <s v="(주)한국피엔피서비스"/>
    <m/>
    <s v="인사노무자문료 1 X 150,000"/>
  </r>
  <r>
    <s v="2025-08-31"/>
    <x v="202"/>
    <s v="50019"/>
    <s v="대변"/>
    <s v="401"/>
    <s v="용역매출"/>
    <x v="4"/>
    <n v="0"/>
    <n v="150000"/>
    <n v="150000"/>
    <s v="(주)한국피엔피서비스"/>
    <m/>
    <s v="인사노무자문료 1 X 150,000"/>
  </r>
  <r>
    <s v="2025-08-31"/>
    <x v="202"/>
    <s v="50019"/>
    <s v="차변"/>
    <s v="101"/>
    <s v="현금"/>
    <x v="1"/>
    <n v="165000"/>
    <n v="0"/>
    <n v="-165000"/>
    <s v="(주)한국피엔피서비스"/>
    <m/>
    <s v="인사노무자문료 1 X 150,000"/>
  </r>
  <r>
    <s v="2025-08-31"/>
    <x v="202"/>
    <s v="50020"/>
    <s v="대변"/>
    <s v="255"/>
    <s v="부가세예수금"/>
    <x v="3"/>
    <n v="0"/>
    <n v="10000"/>
    <n v="10000"/>
    <s v="(주)텝스텍"/>
    <m/>
    <s v="인사노무자문료 1 X 100,000"/>
  </r>
  <r>
    <s v="2025-08-31"/>
    <x v="202"/>
    <s v="50020"/>
    <s v="대변"/>
    <s v="401"/>
    <s v="용역매출"/>
    <x v="4"/>
    <n v="0"/>
    <n v="100000"/>
    <n v="100000"/>
    <s v="(주)텝스텍"/>
    <m/>
    <s v="인사노무자문료 1 X 100,000"/>
  </r>
  <r>
    <s v="2025-08-31"/>
    <x v="202"/>
    <s v="50020"/>
    <s v="차변"/>
    <s v="101"/>
    <s v="현금"/>
    <x v="1"/>
    <n v="110000"/>
    <n v="0"/>
    <n v="-110000"/>
    <s v="(주)텝스텍"/>
    <m/>
    <s v="인사노무자문료 1 X 100,000"/>
  </r>
  <r>
    <s v="2025-08-31"/>
    <x v="202"/>
    <s v="50021"/>
    <s v="차변"/>
    <s v="135"/>
    <s v="부가세대급금"/>
    <x v="5"/>
    <n v="10000"/>
    <n v="0"/>
    <n v="-10000"/>
    <s v="서찬영세무회계사무소"/>
    <m/>
    <s v="기장료"/>
  </r>
  <r>
    <s v="2025-08-31"/>
    <x v="202"/>
    <s v="50021"/>
    <s v="차변"/>
    <s v="831"/>
    <s v="지급수수료(판)"/>
    <x v="7"/>
    <n v="100000"/>
    <n v="0"/>
    <n v="-100000"/>
    <s v="서찬영세무회계사무소"/>
    <m/>
    <s v="기장료"/>
  </r>
  <r>
    <s v="2025-08-31"/>
    <x v="202"/>
    <s v="50021"/>
    <s v="대변"/>
    <s v="101"/>
    <s v="현금"/>
    <x v="1"/>
    <n v="0"/>
    <n v="110000"/>
    <n v="110000"/>
    <s v="서찬영세무회계사무소"/>
    <m/>
    <s v="기장료"/>
  </r>
  <r>
    <s v="2025-08-31"/>
    <x v="202"/>
    <s v="50022"/>
    <s v="차변"/>
    <s v="135"/>
    <s v="부가세대급금"/>
    <x v="5"/>
    <n v="618"/>
    <n v="0"/>
    <n v="-618"/>
    <s v="(주) 다우기술"/>
    <m/>
    <s v="엔팩스 서비스 사용료 1 X 6,182"/>
  </r>
  <r>
    <s v="2025-08-31"/>
    <x v="202"/>
    <s v="50022"/>
    <s v="차변"/>
    <s v="831"/>
    <s v="지급수수료(판)"/>
    <x v="7"/>
    <n v="6182"/>
    <n v="0"/>
    <n v="-6182"/>
    <s v="(주) 다우기술"/>
    <m/>
    <s v="엔팩스 서비스 사용료 1 X 6,182"/>
  </r>
  <r>
    <s v="2025-08-31"/>
    <x v="202"/>
    <s v="50022"/>
    <s v="대변"/>
    <s v="101"/>
    <s v="현금"/>
    <x v="1"/>
    <n v="0"/>
    <n v="6800"/>
    <n v="6800"/>
    <s v="(주) 다우기술"/>
    <m/>
    <s v="엔팩스 서비스 사용료 1 X 6,182"/>
  </r>
  <r>
    <s v="2025-09-01"/>
    <x v="203"/>
    <s v="50001"/>
    <s v="대변"/>
    <s v="255"/>
    <s v="부가세예수금"/>
    <x v="3"/>
    <n v="0"/>
    <n v="10000"/>
    <n v="10000"/>
    <s v="(주)에이버츄얼"/>
    <m/>
    <s v="인사노무자문료 1 X 100,000"/>
  </r>
  <r>
    <s v="2025-09-01"/>
    <x v="203"/>
    <s v="50001"/>
    <s v="대변"/>
    <s v="401"/>
    <s v="용역매출"/>
    <x v="4"/>
    <n v="0"/>
    <n v="100000"/>
    <n v="100000"/>
    <s v="(주)에이버츄얼"/>
    <m/>
    <s v="인사노무자문료 1 X 100,000"/>
  </r>
  <r>
    <s v="2025-09-01"/>
    <x v="203"/>
    <s v="50001"/>
    <s v="차변"/>
    <s v="101"/>
    <s v="현금"/>
    <x v="1"/>
    <n v="110000"/>
    <n v="0"/>
    <n v="-110000"/>
    <s v="(주)에이버츄얼"/>
    <m/>
    <s v="인사노무자문료 1 X 100,000"/>
  </r>
  <r>
    <s v="2025-09-01"/>
    <x v="203"/>
    <s v="50002"/>
    <s v="대변"/>
    <s v="255"/>
    <s v="부가세예수금"/>
    <x v="3"/>
    <n v="0"/>
    <n v="12000"/>
    <n v="12000"/>
    <s v="재단법인 장성먹거리통합지원센터"/>
    <m/>
    <s v="인사노무자문료 1 X 120,000"/>
  </r>
  <r>
    <s v="2025-09-01"/>
    <x v="203"/>
    <s v="50002"/>
    <s v="대변"/>
    <s v="401"/>
    <s v="용역매출"/>
    <x v="4"/>
    <n v="0"/>
    <n v="120000"/>
    <n v="120000"/>
    <s v="재단법인 장성먹거리통합지원센터"/>
    <m/>
    <s v="인사노무자문료 1 X 120,000"/>
  </r>
  <r>
    <s v="2025-09-01"/>
    <x v="203"/>
    <s v="50002"/>
    <s v="차변"/>
    <s v="101"/>
    <s v="현금"/>
    <x v="1"/>
    <n v="132000"/>
    <n v="0"/>
    <n v="-132000"/>
    <s v="재단법인 장성먹거리통합지원센터"/>
    <m/>
    <s v="인사노무자문료 1 X 120,000"/>
  </r>
  <r>
    <s v="2025-09-01"/>
    <x v="203"/>
    <s v="50003"/>
    <s v="대변"/>
    <s v="255"/>
    <s v="부가세예수금"/>
    <x v="3"/>
    <n v="0"/>
    <n v="15000"/>
    <n v="15000"/>
    <s v="(주)혁진팩"/>
    <m/>
    <s v="인사노무자문료 1 X 150,000"/>
  </r>
  <r>
    <s v="2025-09-01"/>
    <x v="203"/>
    <s v="50003"/>
    <s v="대변"/>
    <s v="401"/>
    <s v="용역매출"/>
    <x v="4"/>
    <n v="0"/>
    <n v="150000"/>
    <n v="150000"/>
    <s v="(주)혁진팩"/>
    <m/>
    <s v="인사노무자문료 1 X 150,000"/>
  </r>
  <r>
    <s v="2025-09-01"/>
    <x v="203"/>
    <s v="50003"/>
    <s v="차변"/>
    <s v="101"/>
    <s v="현금"/>
    <x v="1"/>
    <n v="165000"/>
    <n v="0"/>
    <n v="-165000"/>
    <s v="(주)혁진팩"/>
    <m/>
    <s v="인사노무자문료 1 X 150,000"/>
  </r>
  <r>
    <s v="2025-09-01"/>
    <x v="203"/>
    <s v="50004"/>
    <s v="대변"/>
    <s v="255"/>
    <s v="부가세예수금"/>
    <x v="3"/>
    <n v="0"/>
    <n v="15000"/>
    <n v="15000"/>
    <s v="(주)미래아이엔씨"/>
    <m/>
    <s v="인사노무자문료 1 X 150,000"/>
  </r>
  <r>
    <s v="2025-09-01"/>
    <x v="203"/>
    <s v="50004"/>
    <s v="대변"/>
    <s v="401"/>
    <s v="용역매출"/>
    <x v="4"/>
    <n v="0"/>
    <n v="150000"/>
    <n v="150000"/>
    <s v="(주)미래아이엔씨"/>
    <m/>
    <s v="인사노무자문료 1 X 150,000"/>
  </r>
  <r>
    <s v="2025-09-01"/>
    <x v="203"/>
    <s v="50004"/>
    <s v="차변"/>
    <s v="101"/>
    <s v="현금"/>
    <x v="1"/>
    <n v="165000"/>
    <n v="0"/>
    <n v="-165000"/>
    <s v="(주)미래아이엔씨"/>
    <m/>
    <s v="인사노무자문료 1 X 150,000"/>
  </r>
  <r>
    <s v="2025-09-03"/>
    <x v="204"/>
    <s v="50001"/>
    <s v="대변"/>
    <s v="255"/>
    <s v="부가세예수금"/>
    <x v="3"/>
    <n v="0"/>
    <n v="12000"/>
    <n v="12000"/>
    <s v="용성이앤지"/>
    <m/>
    <s v="인사노무자문료 1 X 120,000"/>
  </r>
  <r>
    <s v="2025-09-03"/>
    <x v="204"/>
    <s v="50001"/>
    <s v="대변"/>
    <s v="401"/>
    <s v="용역매출"/>
    <x v="4"/>
    <n v="0"/>
    <n v="120000"/>
    <n v="120000"/>
    <s v="용성이앤지"/>
    <m/>
    <s v="인사노무자문료 1 X 120,000"/>
  </r>
  <r>
    <s v="2025-09-03"/>
    <x v="204"/>
    <s v="50001"/>
    <s v="차변"/>
    <s v="101"/>
    <s v="현금"/>
    <x v="1"/>
    <n v="132000"/>
    <n v="0"/>
    <n v="-132000"/>
    <s v="용성이앤지"/>
    <m/>
    <s v="인사노무자문료 1 X 120,000"/>
  </r>
  <r>
    <s v="2025-09-03"/>
    <x v="204"/>
    <s v="50002"/>
    <s v="대변"/>
    <s v="255"/>
    <s v="부가세예수금"/>
    <x v="3"/>
    <n v="0"/>
    <n v="15000"/>
    <n v="15000"/>
    <s v="주식회사 수연"/>
    <m/>
    <s v="인사노무자문료 1 X 150,000"/>
  </r>
  <r>
    <s v="2025-09-03"/>
    <x v="204"/>
    <s v="50002"/>
    <s v="대변"/>
    <s v="401"/>
    <s v="용역매출"/>
    <x v="4"/>
    <n v="0"/>
    <n v="150000"/>
    <n v="150000"/>
    <s v="주식회사 수연"/>
    <m/>
    <s v="인사노무자문료 1 X 150,000"/>
  </r>
  <r>
    <s v="2025-09-03"/>
    <x v="204"/>
    <s v="50002"/>
    <s v="차변"/>
    <s v="101"/>
    <s v="현금"/>
    <x v="1"/>
    <n v="165000"/>
    <n v="0"/>
    <n v="-165000"/>
    <s v="주식회사 수연"/>
    <m/>
    <s v="인사노무자문료 1 X 150,000"/>
  </r>
  <r>
    <s v="2025-09-03"/>
    <x v="204"/>
    <s v="50003"/>
    <s v="대변"/>
    <s v="255"/>
    <s v="부가세예수금"/>
    <x v="3"/>
    <n v="0"/>
    <n v="10000"/>
    <n v="10000"/>
    <s v="주식회사 주영테크"/>
    <m/>
    <s v="인사노무자문료 1 X 100,000"/>
  </r>
  <r>
    <s v="2025-09-03"/>
    <x v="204"/>
    <s v="50003"/>
    <s v="대변"/>
    <s v="401"/>
    <s v="용역매출"/>
    <x v="4"/>
    <n v="0"/>
    <n v="100000"/>
    <n v="100000"/>
    <s v="주식회사 주영테크"/>
    <m/>
    <s v="인사노무자문료 1 X 100,000"/>
  </r>
  <r>
    <s v="2025-09-03"/>
    <x v="204"/>
    <s v="50003"/>
    <s v="차변"/>
    <s v="101"/>
    <s v="현금"/>
    <x v="1"/>
    <n v="110000"/>
    <n v="0"/>
    <n v="-110000"/>
    <s v="주식회사 주영테크"/>
    <m/>
    <s v="인사노무자문료 1 X 100,000"/>
  </r>
  <r>
    <s v="2025-09-03"/>
    <x v="204"/>
    <s v="50004"/>
    <s v="대변"/>
    <s v="255"/>
    <s v="부가세예수금"/>
    <x v="3"/>
    <n v="0"/>
    <n v="13000"/>
    <n v="13000"/>
    <s v="(주)뉴아람식자재마트 운암점"/>
    <m/>
    <s v="인사노무자문료 1 X 130,000"/>
  </r>
  <r>
    <s v="2025-09-03"/>
    <x v="204"/>
    <s v="50004"/>
    <s v="대변"/>
    <s v="401"/>
    <s v="용역매출"/>
    <x v="4"/>
    <n v="0"/>
    <n v="130000"/>
    <n v="130000"/>
    <s v="(주)뉴아람식자재마트 운암점"/>
    <m/>
    <s v="인사노무자문료 1 X 130,000"/>
  </r>
  <r>
    <s v="2025-09-03"/>
    <x v="204"/>
    <s v="50004"/>
    <s v="차변"/>
    <s v="101"/>
    <s v="현금"/>
    <x v="1"/>
    <n v="143000"/>
    <n v="0"/>
    <n v="-143000"/>
    <s v="(주)뉴아람식자재마트 운암점"/>
    <m/>
    <s v="인사노무자문료 1 X 130,000"/>
  </r>
  <r>
    <s v="2025-09-03"/>
    <x v="204"/>
    <s v="50005"/>
    <s v="대변"/>
    <s v="255"/>
    <s v="부가세예수금"/>
    <x v="3"/>
    <n v="0"/>
    <n v="13000"/>
    <n v="13000"/>
    <s v="(주)뉴아람식자재마트 오치점"/>
    <m/>
    <s v="인사노무자문료 1 X 130,000"/>
  </r>
  <r>
    <s v="2025-09-03"/>
    <x v="204"/>
    <s v="50005"/>
    <s v="대변"/>
    <s v="401"/>
    <s v="용역매출"/>
    <x v="4"/>
    <n v="0"/>
    <n v="130000"/>
    <n v="130000"/>
    <s v="(주)뉴아람식자재마트 오치점"/>
    <m/>
    <s v="인사노무자문료 1 X 130,000"/>
  </r>
  <r>
    <s v="2025-09-03"/>
    <x v="204"/>
    <s v="50005"/>
    <s v="차변"/>
    <s v="101"/>
    <s v="현금"/>
    <x v="1"/>
    <n v="143000"/>
    <n v="0"/>
    <n v="-143000"/>
    <s v="(주)뉴아람식자재마트 오치점"/>
    <m/>
    <s v="인사노무자문료 1 X 130,000"/>
  </r>
  <r>
    <s v="2025-09-03"/>
    <x v="204"/>
    <s v="50006"/>
    <s v="대변"/>
    <s v="255"/>
    <s v="부가세예수금"/>
    <x v="3"/>
    <n v="0"/>
    <n v="15000"/>
    <n v="15000"/>
    <s v="청담리브의원"/>
    <m/>
    <s v="인사노무자문료 1 X 150,000"/>
  </r>
  <r>
    <s v="2025-09-03"/>
    <x v="204"/>
    <s v="50006"/>
    <s v="대변"/>
    <s v="401"/>
    <s v="용역매출"/>
    <x v="4"/>
    <n v="0"/>
    <n v="150000"/>
    <n v="150000"/>
    <s v="청담리브의원"/>
    <m/>
    <s v="인사노무자문료 1 X 150,000"/>
  </r>
  <r>
    <s v="2025-09-03"/>
    <x v="204"/>
    <s v="50006"/>
    <s v="차변"/>
    <s v="101"/>
    <s v="현금"/>
    <x v="1"/>
    <n v="165000"/>
    <n v="0"/>
    <n v="-165000"/>
    <s v="청담리브의원"/>
    <m/>
    <s v="인사노무자문료 1 X 150,000"/>
  </r>
  <r>
    <s v="2025-09-03"/>
    <x v="204"/>
    <s v="50007"/>
    <s v="대변"/>
    <s v="255"/>
    <s v="부가세예수금"/>
    <x v="3"/>
    <n v="0"/>
    <n v="15000"/>
    <n v="15000"/>
    <s v="연세탑신경외과"/>
    <m/>
    <s v="인사노무자문료 1 X 150,000"/>
  </r>
  <r>
    <s v="2025-09-03"/>
    <x v="204"/>
    <s v="50007"/>
    <s v="대변"/>
    <s v="401"/>
    <s v="용역매출"/>
    <x v="4"/>
    <n v="0"/>
    <n v="150000"/>
    <n v="150000"/>
    <s v="연세탑신경외과"/>
    <m/>
    <s v="인사노무자문료 1 X 150,000"/>
  </r>
  <r>
    <s v="2025-09-03"/>
    <x v="204"/>
    <s v="50007"/>
    <s v="차변"/>
    <s v="101"/>
    <s v="현금"/>
    <x v="1"/>
    <n v="165000"/>
    <n v="0"/>
    <n v="-165000"/>
    <s v="연세탑신경외과"/>
    <m/>
    <s v="인사노무자문료 1 X 150,000"/>
  </r>
  <r>
    <s v="2025-09-03"/>
    <x v="204"/>
    <s v="50008"/>
    <s v="대변"/>
    <s v="255"/>
    <s v="부가세예수금"/>
    <x v="3"/>
    <n v="0"/>
    <n v="10000"/>
    <n v="10000"/>
    <s v="와이앤애드"/>
    <m/>
    <s v="인사노무자문료 1 X 100,000"/>
  </r>
  <r>
    <s v="2025-09-03"/>
    <x v="204"/>
    <s v="50008"/>
    <s v="대변"/>
    <s v="401"/>
    <s v="용역매출"/>
    <x v="4"/>
    <n v="0"/>
    <n v="100000"/>
    <n v="100000"/>
    <s v="와이앤애드"/>
    <m/>
    <s v="인사노무자문료 1 X 100,000"/>
  </r>
  <r>
    <s v="2025-09-03"/>
    <x v="204"/>
    <s v="50008"/>
    <s v="차변"/>
    <s v="101"/>
    <s v="현금"/>
    <x v="1"/>
    <n v="110000"/>
    <n v="0"/>
    <n v="-110000"/>
    <s v="와이앤애드"/>
    <m/>
    <s v="인사노무자문료 1 X 100,000"/>
  </r>
  <r>
    <s v="2025-09-04"/>
    <x v="205"/>
    <s v="50001"/>
    <s v="차변"/>
    <s v="135"/>
    <s v="부가세대급금"/>
    <x v="5"/>
    <n v="1545"/>
    <n v="0"/>
    <n v="-1545"/>
    <s v="㈜LG유플러스"/>
    <m/>
    <s v="2025년 09월 서비스 이용료 매출"/>
  </r>
  <r>
    <s v="2025-09-04"/>
    <x v="205"/>
    <s v="50001"/>
    <s v="차변"/>
    <s v="814"/>
    <s v="통신비(판)"/>
    <x v="10"/>
    <n v="15450"/>
    <n v="0"/>
    <n v="-15450"/>
    <s v="㈜LG유플러스"/>
    <m/>
    <s v="2025년 09월 서비스 이용료 매출"/>
  </r>
  <r>
    <s v="2025-09-04"/>
    <x v="205"/>
    <s v="50001"/>
    <s v="대변"/>
    <s v="101"/>
    <s v="현금"/>
    <x v="1"/>
    <n v="0"/>
    <n v="16995"/>
    <n v="16995"/>
    <s v="㈜LG유플러스"/>
    <m/>
    <s v="2025년 09월 서비스 이용료 매출"/>
  </r>
  <r>
    <s v="2025-09-05"/>
    <x v="206"/>
    <s v="50001"/>
    <s v="대변"/>
    <s v="255"/>
    <s v="부가세예수금"/>
    <x v="3"/>
    <n v="0"/>
    <n v="40000"/>
    <n v="40000"/>
    <s v="(주)모아주택산업"/>
    <m/>
    <s v="인사노무자문료 1 X 400,000"/>
  </r>
  <r>
    <s v="2025-09-05"/>
    <x v="206"/>
    <s v="50001"/>
    <s v="대변"/>
    <s v="401"/>
    <s v="용역매출"/>
    <x v="4"/>
    <n v="0"/>
    <n v="400000"/>
    <n v="400000"/>
    <s v="(주)모아주택산업"/>
    <m/>
    <s v="인사노무자문료 1 X 400,000"/>
  </r>
  <r>
    <s v="2025-09-05"/>
    <x v="206"/>
    <s v="50001"/>
    <s v="차변"/>
    <s v="101"/>
    <s v="현금"/>
    <x v="1"/>
    <n v="440000"/>
    <n v="0"/>
    <n v="-440000"/>
    <s v="(주)모아주택산업"/>
    <m/>
    <s v="인사노무자문료 1 X 400,000"/>
  </r>
  <r>
    <s v="2025-09-05"/>
    <x v="206"/>
    <s v="50002"/>
    <s v="대변"/>
    <s v="255"/>
    <s v="부가세예수금"/>
    <x v="3"/>
    <n v="0"/>
    <n v="20000"/>
    <n v="20000"/>
    <s v="(주)송우레이저산업"/>
    <m/>
    <s v="인사노무자문료 1 X 200,000"/>
  </r>
  <r>
    <s v="2025-09-05"/>
    <x v="206"/>
    <s v="50002"/>
    <s v="대변"/>
    <s v="401"/>
    <s v="용역매출"/>
    <x v="4"/>
    <n v="0"/>
    <n v="200000"/>
    <n v="200000"/>
    <s v="(주)송우레이저산업"/>
    <m/>
    <s v="인사노무자문료 1 X 200,000"/>
  </r>
  <r>
    <s v="2025-09-05"/>
    <x v="206"/>
    <s v="50002"/>
    <s v="차변"/>
    <s v="101"/>
    <s v="현금"/>
    <x v="1"/>
    <n v="220000"/>
    <n v="0"/>
    <n v="-220000"/>
    <s v="(주)송우레이저산업"/>
    <m/>
    <s v="인사노무자문료 1 X 200,000"/>
  </r>
  <r>
    <s v="2025-09-05"/>
    <x v="206"/>
    <s v="50003"/>
    <s v="대변"/>
    <s v="255"/>
    <s v="부가세예수금"/>
    <x v="3"/>
    <n v="0"/>
    <n v="30000"/>
    <n v="30000"/>
    <s v="(주)송우레이저산업"/>
    <m/>
    <s v="인사노무자문료 1 X 300,000"/>
  </r>
  <r>
    <s v="2025-09-05"/>
    <x v="206"/>
    <s v="50003"/>
    <s v="대변"/>
    <s v="401"/>
    <s v="용역매출"/>
    <x v="4"/>
    <n v="0"/>
    <n v="300000"/>
    <n v="300000"/>
    <s v="(주)송우레이저산업"/>
    <m/>
    <s v="인사노무자문료 1 X 300,000"/>
  </r>
  <r>
    <s v="2025-09-05"/>
    <x v="206"/>
    <s v="50003"/>
    <s v="차변"/>
    <s v="101"/>
    <s v="현금"/>
    <x v="1"/>
    <n v="330000"/>
    <n v="0"/>
    <n v="-330000"/>
    <s v="(주)송우레이저산업"/>
    <m/>
    <s v="인사노무자문료 1 X 300,000"/>
  </r>
  <r>
    <s v="2025-09-05"/>
    <x v="206"/>
    <s v="50004"/>
    <s v="대변"/>
    <s v="255"/>
    <s v="부가세예수금"/>
    <x v="3"/>
    <n v="0"/>
    <n v="10000"/>
    <n v="10000"/>
    <s v="섬김재가노인복지센터"/>
    <m/>
    <s v="인사노무자문료 1 X 100,000"/>
  </r>
  <r>
    <s v="2025-09-05"/>
    <x v="206"/>
    <s v="50004"/>
    <s v="대변"/>
    <s v="401"/>
    <s v="용역매출"/>
    <x v="4"/>
    <n v="0"/>
    <n v="100000"/>
    <n v="100000"/>
    <s v="섬김재가노인복지센터"/>
    <m/>
    <s v="인사노무자문료 1 X 100,000"/>
  </r>
  <r>
    <s v="2025-09-05"/>
    <x v="206"/>
    <s v="50004"/>
    <s v="차변"/>
    <s v="101"/>
    <s v="현금"/>
    <x v="1"/>
    <n v="110000"/>
    <n v="0"/>
    <n v="-110000"/>
    <s v="섬김재가노인복지센터"/>
    <m/>
    <s v="인사노무자문료 1 X 100,000"/>
  </r>
  <r>
    <s v="2025-09-05"/>
    <x v="206"/>
    <s v="50005"/>
    <s v="대변"/>
    <s v="255"/>
    <s v="부가세예수금"/>
    <x v="3"/>
    <n v="0"/>
    <n v="10000"/>
    <n v="10000"/>
    <s v="(주)유진테크노"/>
    <m/>
    <s v="인사노무자문료 1 X 100,000"/>
  </r>
  <r>
    <s v="2025-09-05"/>
    <x v="206"/>
    <s v="50005"/>
    <s v="대변"/>
    <s v="401"/>
    <s v="용역매출"/>
    <x v="4"/>
    <n v="0"/>
    <n v="100000"/>
    <n v="100000"/>
    <s v="(주)유진테크노"/>
    <m/>
    <s v="인사노무자문료 1 X 100,000"/>
  </r>
  <r>
    <s v="2025-09-05"/>
    <x v="206"/>
    <s v="50005"/>
    <s v="차변"/>
    <s v="101"/>
    <s v="현금"/>
    <x v="1"/>
    <n v="110000"/>
    <n v="0"/>
    <n v="-110000"/>
    <s v="(주)유진테크노"/>
    <m/>
    <s v="인사노무자문료 1 X 100,000"/>
  </r>
  <r>
    <s v="2025-09-07"/>
    <x v="207"/>
    <s v="50001"/>
    <s v="차변"/>
    <s v="135"/>
    <s v="부가세대급금"/>
    <x v="5"/>
    <n v="1920"/>
    <n v="0"/>
    <n v="-1920"/>
    <s v="주식회사 케이티"/>
    <m/>
    <s v="구내인터넷 Standard(100M) (503300019511) 1 X 19,200"/>
  </r>
  <r>
    <s v="2025-09-07"/>
    <x v="207"/>
    <s v="50001"/>
    <s v="차변"/>
    <s v="814"/>
    <s v="통신비(판)"/>
    <x v="10"/>
    <n v="19200"/>
    <n v="0"/>
    <n v="-19200"/>
    <s v="주식회사 케이티"/>
    <m/>
    <s v="구내인터넷 Standard(100M) (503300019511) 1 X 19,200"/>
  </r>
  <r>
    <s v="2025-09-07"/>
    <x v="207"/>
    <s v="50001"/>
    <s v="대변"/>
    <s v="101"/>
    <s v="현금"/>
    <x v="1"/>
    <n v="0"/>
    <n v="21120"/>
    <n v="21120"/>
    <s v="주식회사 케이티"/>
    <m/>
    <s v="구내인터넷 Standard(100M) (503300019511) 1 X 19,200"/>
  </r>
  <r>
    <s v="2025-09-07"/>
    <x v="207"/>
    <s v="50002"/>
    <s v="대변"/>
    <s v="101"/>
    <s v="현금"/>
    <x v="1"/>
    <n v="0"/>
    <n v="5500"/>
    <n v="5500"/>
    <s v="현대자동차㈜ 본사"/>
    <m/>
    <s v="제네시스 커넥티드서비스"/>
  </r>
  <r>
    <s v="2025-09-07"/>
    <x v="207"/>
    <s v="50002"/>
    <s v="차변"/>
    <s v="822"/>
    <s v="차량유지비(판)"/>
    <x v="11"/>
    <n v="5500"/>
    <n v="0"/>
    <n v="-5500"/>
    <s v="현대자동차㈜ 본사"/>
    <m/>
    <s v="제네시스 커넥티드서비스"/>
  </r>
  <r>
    <s v="2025-09-08"/>
    <x v="208"/>
    <s v="50001"/>
    <s v="대변"/>
    <s v="255"/>
    <s v="부가세예수금"/>
    <x v="3"/>
    <n v="0"/>
    <n v="10000"/>
    <n v="10000"/>
    <s v="정원기업"/>
    <m/>
    <s v="인사노무자문료 1 X 100,000"/>
  </r>
  <r>
    <s v="2025-09-08"/>
    <x v="208"/>
    <s v="50001"/>
    <s v="대변"/>
    <s v="401"/>
    <s v="용역매출"/>
    <x v="4"/>
    <n v="0"/>
    <n v="100000"/>
    <n v="100000"/>
    <s v="정원기업"/>
    <m/>
    <s v="인사노무자문료 1 X 100,000"/>
  </r>
  <r>
    <s v="2025-09-08"/>
    <x v="208"/>
    <s v="50001"/>
    <s v="차변"/>
    <s v="101"/>
    <s v="현금"/>
    <x v="1"/>
    <n v="110000"/>
    <n v="0"/>
    <n v="-110000"/>
    <s v="정원기업"/>
    <m/>
    <s v="인사노무자문료 1 X 100,000"/>
  </r>
  <r>
    <s v="2025-09-08"/>
    <x v="208"/>
    <s v="50002"/>
    <s v="대변"/>
    <s v="255"/>
    <s v="부가세예수금"/>
    <x v="3"/>
    <n v="0"/>
    <n v="15000"/>
    <n v="15000"/>
    <s v="광주미래의원"/>
    <m/>
    <s v="인사노무자문료 1 X 150,000"/>
  </r>
  <r>
    <s v="2025-09-08"/>
    <x v="208"/>
    <s v="50002"/>
    <s v="대변"/>
    <s v="401"/>
    <s v="용역매출"/>
    <x v="4"/>
    <n v="0"/>
    <n v="150000"/>
    <n v="150000"/>
    <s v="광주미래의원"/>
    <m/>
    <s v="인사노무자문료 1 X 150,000"/>
  </r>
  <r>
    <s v="2025-09-08"/>
    <x v="208"/>
    <s v="50002"/>
    <s v="차변"/>
    <s v="101"/>
    <s v="현금"/>
    <x v="1"/>
    <n v="165000"/>
    <n v="0"/>
    <n v="-165000"/>
    <s v="광주미래의원"/>
    <m/>
    <s v="인사노무자문료 1 X 150,000"/>
  </r>
  <r>
    <s v="2025-09-08"/>
    <x v="208"/>
    <s v="50003"/>
    <s v="대변"/>
    <s v="255"/>
    <s v="부가세예수금"/>
    <x v="3"/>
    <n v="0"/>
    <n v="10000"/>
    <n v="10000"/>
    <s v="유한회사 남선메디컬"/>
    <m/>
    <s v="인사노무자문료 1 X 100,000"/>
  </r>
  <r>
    <s v="2025-09-08"/>
    <x v="208"/>
    <s v="50003"/>
    <s v="대변"/>
    <s v="401"/>
    <s v="용역매출"/>
    <x v="4"/>
    <n v="0"/>
    <n v="100000"/>
    <n v="100000"/>
    <s v="유한회사 남선메디컬"/>
    <m/>
    <s v="인사노무자문료 1 X 100,000"/>
  </r>
  <r>
    <s v="2025-09-08"/>
    <x v="208"/>
    <s v="50003"/>
    <s v="차변"/>
    <s v="101"/>
    <s v="현금"/>
    <x v="1"/>
    <n v="110000"/>
    <n v="0"/>
    <n v="-110000"/>
    <s v="유한회사 남선메디컬"/>
    <m/>
    <s v="인사노무자문료 1 X 100,000"/>
  </r>
  <r>
    <s v="2025-09-09"/>
    <x v="209"/>
    <s v="50001"/>
    <s v="대변"/>
    <s v="255"/>
    <s v="부가세예수금"/>
    <x v="3"/>
    <n v="0"/>
    <n v="20000"/>
    <n v="20000"/>
    <s v="(유)에이스"/>
    <m/>
    <s v="인사노무자문료 1 X 200,000"/>
  </r>
  <r>
    <s v="2025-09-09"/>
    <x v="209"/>
    <s v="50001"/>
    <s v="대변"/>
    <s v="401"/>
    <s v="용역매출"/>
    <x v="4"/>
    <n v="0"/>
    <n v="200000"/>
    <n v="200000"/>
    <s v="(유)에이스"/>
    <m/>
    <s v="인사노무자문료 1 X 200,000"/>
  </r>
  <r>
    <s v="2025-09-09"/>
    <x v="209"/>
    <s v="50001"/>
    <s v="차변"/>
    <s v="101"/>
    <s v="현금"/>
    <x v="1"/>
    <n v="220000"/>
    <n v="0"/>
    <n v="-220000"/>
    <s v="(유)에이스"/>
    <m/>
    <s v="인사노무자문료 1 X 200,000"/>
  </r>
  <r>
    <s v="2025-09-10"/>
    <x v="210"/>
    <s v="00001"/>
    <s v="차변"/>
    <s v="254"/>
    <s v="예수금"/>
    <x v="12"/>
    <n v="578720"/>
    <n v="0"/>
    <n v="-578720"/>
    <s v="건강보험공단"/>
    <s v="  "/>
    <s v="2508건강"/>
  </r>
  <r>
    <s v="2025-09-10"/>
    <x v="210"/>
    <s v="00001"/>
    <s v="대변"/>
    <s v="101"/>
    <s v="현금"/>
    <x v="1"/>
    <n v="0"/>
    <n v="578720"/>
    <n v="578720"/>
    <s v="건강보험공단"/>
    <s v="  "/>
    <s v="2508건강"/>
  </r>
  <r>
    <s v="2025-09-10"/>
    <x v="210"/>
    <s v="00002"/>
    <s v="차변"/>
    <s v="254"/>
    <s v="예수금"/>
    <x v="12"/>
    <n v="14350"/>
    <n v="0"/>
    <n v="-14350"/>
    <s v="근로복지공단"/>
    <s v="  "/>
    <s v="2508고용"/>
  </r>
  <r>
    <s v="2025-09-10"/>
    <x v="210"/>
    <s v="00002"/>
    <s v="대변"/>
    <s v="101"/>
    <s v="현금"/>
    <x v="1"/>
    <n v="0"/>
    <n v="14350"/>
    <n v="14350"/>
    <s v="근로복지공단"/>
    <s v="  "/>
    <s v="2508고용"/>
  </r>
  <r>
    <s v="2025-09-11"/>
    <x v="211"/>
    <s v="50001"/>
    <s v="대변"/>
    <s v="255"/>
    <s v="부가세예수금"/>
    <x v="3"/>
    <n v="0"/>
    <n v="7000"/>
    <n v="7000"/>
    <s v="동지애드"/>
    <m/>
    <s v="인사노무자문료 1 X 70,000"/>
  </r>
  <r>
    <s v="2025-09-11"/>
    <x v="211"/>
    <s v="50001"/>
    <s v="대변"/>
    <s v="401"/>
    <s v="용역매출"/>
    <x v="4"/>
    <n v="0"/>
    <n v="70000"/>
    <n v="70000"/>
    <s v="동지애드"/>
    <m/>
    <s v="인사노무자문료 1 X 70,000"/>
  </r>
  <r>
    <s v="2025-09-11"/>
    <x v="211"/>
    <s v="50001"/>
    <s v="차변"/>
    <s v="101"/>
    <s v="현금"/>
    <x v="1"/>
    <n v="77000"/>
    <n v="0"/>
    <n v="-77000"/>
    <s v="동지애드"/>
    <m/>
    <s v="인사노무자문료 1 X 70,000"/>
  </r>
  <r>
    <s v="2025-09-11"/>
    <x v="211"/>
    <s v="50002"/>
    <s v="대변"/>
    <s v="255"/>
    <s v="부가세예수금"/>
    <x v="3"/>
    <n v="0"/>
    <n v="10000"/>
    <n v="10000"/>
    <s v="주식회사 한솔무역"/>
    <m/>
    <s v="인사노무자문료 1 X 100,000"/>
  </r>
  <r>
    <s v="2025-09-11"/>
    <x v="211"/>
    <s v="50002"/>
    <s v="대변"/>
    <s v="401"/>
    <s v="용역매출"/>
    <x v="4"/>
    <n v="0"/>
    <n v="100000"/>
    <n v="100000"/>
    <s v="주식회사 한솔무역"/>
    <m/>
    <s v="인사노무자문료 1 X 100,000"/>
  </r>
  <r>
    <s v="2025-09-11"/>
    <x v="211"/>
    <s v="50002"/>
    <s v="차변"/>
    <s v="101"/>
    <s v="현금"/>
    <x v="1"/>
    <n v="110000"/>
    <n v="0"/>
    <n v="-110000"/>
    <s v="주식회사 한솔무역"/>
    <m/>
    <s v="인사노무자문료 1 X 100,000"/>
  </r>
  <r>
    <s v="2025-09-11"/>
    <x v="211"/>
    <s v="50003"/>
    <s v="대변"/>
    <s v="255"/>
    <s v="부가세예수금"/>
    <x v="3"/>
    <n v="0"/>
    <n v="15000"/>
    <n v="15000"/>
    <s v="방방곡곡플라워"/>
    <m/>
    <s v="인사노무자문료 1 X 150,000"/>
  </r>
  <r>
    <s v="2025-09-11"/>
    <x v="211"/>
    <s v="50003"/>
    <s v="대변"/>
    <s v="401"/>
    <s v="용역매출"/>
    <x v="4"/>
    <n v="0"/>
    <n v="150000"/>
    <n v="150000"/>
    <s v="방방곡곡플라워"/>
    <m/>
    <s v="인사노무자문료 1 X 150,000"/>
  </r>
  <r>
    <s v="2025-09-11"/>
    <x v="211"/>
    <s v="50003"/>
    <s v="차변"/>
    <s v="101"/>
    <s v="현금"/>
    <x v="1"/>
    <n v="165000"/>
    <n v="0"/>
    <n v="-165000"/>
    <s v="방방곡곡플라워"/>
    <m/>
    <s v="인사노무자문료 1 X 150,000"/>
  </r>
  <r>
    <s v="2025-09-11"/>
    <x v="211"/>
    <s v="50004"/>
    <s v="대변"/>
    <s v="255"/>
    <s v="부가세예수금"/>
    <x v="3"/>
    <n v="0"/>
    <n v="20000"/>
    <n v="20000"/>
    <s v="미곡종합포장(주)"/>
    <m/>
    <s v="인사노무자문료 1 X 200,000"/>
  </r>
  <r>
    <s v="2025-09-11"/>
    <x v="211"/>
    <s v="50004"/>
    <s v="대변"/>
    <s v="401"/>
    <s v="용역매출"/>
    <x v="4"/>
    <n v="0"/>
    <n v="200000"/>
    <n v="200000"/>
    <s v="미곡종합포장(주)"/>
    <m/>
    <s v="인사노무자문료 1 X 200,000"/>
  </r>
  <r>
    <s v="2025-09-11"/>
    <x v="211"/>
    <s v="50004"/>
    <s v="차변"/>
    <s v="101"/>
    <s v="현금"/>
    <x v="1"/>
    <n v="220000"/>
    <n v="0"/>
    <n v="-220000"/>
    <s v="미곡종합포장(주)"/>
    <m/>
    <s v="인사노무자문료 1 X 200,000"/>
  </r>
  <r>
    <s v="2025-09-11"/>
    <x v="211"/>
    <s v="50005"/>
    <s v="대변"/>
    <s v="255"/>
    <s v="부가세예수금"/>
    <x v="3"/>
    <n v="0"/>
    <n v="10000"/>
    <n v="10000"/>
    <s v="(주)에이스미트"/>
    <m/>
    <s v="인사노무자문료 1 X 100,000"/>
  </r>
  <r>
    <s v="2025-09-11"/>
    <x v="211"/>
    <s v="50005"/>
    <s v="대변"/>
    <s v="401"/>
    <s v="용역매출"/>
    <x v="4"/>
    <n v="0"/>
    <n v="100000"/>
    <n v="100000"/>
    <s v="(주)에이스미트"/>
    <m/>
    <s v="인사노무자문료 1 X 100,000"/>
  </r>
  <r>
    <s v="2025-09-11"/>
    <x v="211"/>
    <s v="50005"/>
    <s v="차변"/>
    <s v="101"/>
    <s v="현금"/>
    <x v="1"/>
    <n v="110000"/>
    <n v="0"/>
    <n v="-110000"/>
    <s v="(주)에이스미트"/>
    <m/>
    <s v="인사노무자문료 1 X 100,000"/>
  </r>
  <r>
    <s v="2025-09-11"/>
    <x v="211"/>
    <s v="50006"/>
    <s v="대변"/>
    <s v="255"/>
    <s v="부가세예수금"/>
    <x v="3"/>
    <n v="0"/>
    <n v="12000"/>
    <n v="12000"/>
    <s v="(유)광주가구산업"/>
    <m/>
    <s v="인사노무자문료 1 X 120,000"/>
  </r>
  <r>
    <s v="2025-09-11"/>
    <x v="211"/>
    <s v="50006"/>
    <s v="대변"/>
    <s v="401"/>
    <s v="용역매출"/>
    <x v="4"/>
    <n v="0"/>
    <n v="120000"/>
    <n v="120000"/>
    <s v="(유)광주가구산업"/>
    <m/>
    <s v="인사노무자문료 1 X 120,000"/>
  </r>
  <r>
    <s v="2025-09-11"/>
    <x v="211"/>
    <s v="50006"/>
    <s v="차변"/>
    <s v="101"/>
    <s v="현금"/>
    <x v="1"/>
    <n v="132000"/>
    <n v="0"/>
    <n v="-132000"/>
    <s v="(유)광주가구산업"/>
    <m/>
    <s v="인사노무자문료 1 X 120,000"/>
  </r>
  <r>
    <s v="2025-09-11"/>
    <x v="211"/>
    <s v="50007"/>
    <s v="대변"/>
    <s v="255"/>
    <s v="부가세예수금"/>
    <x v="3"/>
    <n v="0"/>
    <n v="10000"/>
    <n v="10000"/>
    <s v="주식회사 바우만테크"/>
    <m/>
    <s v="인사노무자문료 1 X 100,000"/>
  </r>
  <r>
    <s v="2025-09-11"/>
    <x v="211"/>
    <s v="50007"/>
    <s v="대변"/>
    <s v="401"/>
    <s v="용역매출"/>
    <x v="4"/>
    <n v="0"/>
    <n v="100000"/>
    <n v="100000"/>
    <s v="주식회사 바우만테크"/>
    <m/>
    <s v="인사노무자문료 1 X 100,000"/>
  </r>
  <r>
    <s v="2025-09-11"/>
    <x v="211"/>
    <s v="50007"/>
    <s v="차변"/>
    <s v="101"/>
    <s v="현금"/>
    <x v="1"/>
    <n v="110000"/>
    <n v="0"/>
    <n v="-110000"/>
    <s v="주식회사 바우만테크"/>
    <m/>
    <s v="인사노무자문료 1 X 100,000"/>
  </r>
  <r>
    <s v="2025-09-12"/>
    <x v="212"/>
    <s v="50001"/>
    <s v="대변"/>
    <s v="255"/>
    <s v="부가세예수금"/>
    <x v="3"/>
    <n v="0"/>
    <n v="15000"/>
    <n v="15000"/>
    <s v="정다운메디컬센터"/>
    <m/>
    <s v="인사노무자문료 1 X 150,000"/>
  </r>
  <r>
    <s v="2025-09-12"/>
    <x v="212"/>
    <s v="50001"/>
    <s v="대변"/>
    <s v="401"/>
    <s v="용역매출"/>
    <x v="4"/>
    <n v="0"/>
    <n v="150000"/>
    <n v="150000"/>
    <s v="정다운메디컬센터"/>
    <m/>
    <s v="인사노무자문료 1 X 150,000"/>
  </r>
  <r>
    <s v="2025-09-12"/>
    <x v="212"/>
    <s v="50001"/>
    <s v="차변"/>
    <s v="101"/>
    <s v="현금"/>
    <x v="1"/>
    <n v="165000"/>
    <n v="0"/>
    <n v="-165000"/>
    <s v="정다운메디컬센터"/>
    <m/>
    <s v="인사노무자문료 1 X 150,000"/>
  </r>
  <r>
    <s v="2025-09-15"/>
    <x v="213"/>
    <s v="50001"/>
    <s v="대변"/>
    <s v="255"/>
    <s v="부가세예수금"/>
    <x v="3"/>
    <n v="0"/>
    <n v="10000"/>
    <n v="10000"/>
    <s v="주식회사 세연이앤에스"/>
    <m/>
    <s v="인사노무자문료 1 X 100,000"/>
  </r>
  <r>
    <s v="2025-09-15"/>
    <x v="213"/>
    <s v="50001"/>
    <s v="대변"/>
    <s v="401"/>
    <s v="용역매출"/>
    <x v="4"/>
    <n v="0"/>
    <n v="100000"/>
    <n v="100000"/>
    <s v="주식회사 세연이앤에스"/>
    <m/>
    <s v="인사노무자문료 1 X 100,000"/>
  </r>
  <r>
    <s v="2025-09-15"/>
    <x v="213"/>
    <s v="50001"/>
    <s v="차변"/>
    <s v="101"/>
    <s v="현금"/>
    <x v="1"/>
    <n v="110000"/>
    <n v="0"/>
    <n v="-110000"/>
    <s v="주식회사 세연이앤에스"/>
    <m/>
    <s v="인사노무자문료 1 X 100,000"/>
  </r>
  <r>
    <s v="2025-09-16"/>
    <x v="214"/>
    <s v="50001"/>
    <s v="대변"/>
    <s v="255"/>
    <s v="부가세예수금"/>
    <x v="3"/>
    <n v="0"/>
    <n v="10000"/>
    <n v="10000"/>
    <s v="리.베이커리"/>
    <m/>
    <s v="인사노무자문료 1 X 100,000"/>
  </r>
  <r>
    <s v="2025-09-16"/>
    <x v="214"/>
    <s v="50001"/>
    <s v="대변"/>
    <s v="401"/>
    <s v="용역매출"/>
    <x v="4"/>
    <n v="0"/>
    <n v="100000"/>
    <n v="100000"/>
    <s v="리.베이커리"/>
    <m/>
    <s v="인사노무자문료 1 X 100,000"/>
  </r>
  <r>
    <s v="2025-09-16"/>
    <x v="214"/>
    <s v="50001"/>
    <s v="차변"/>
    <s v="101"/>
    <s v="현금"/>
    <x v="1"/>
    <n v="110000"/>
    <n v="0"/>
    <n v="-110000"/>
    <s v="리.베이커리"/>
    <m/>
    <s v="인사노무자문료 1 X 100,000"/>
  </r>
  <r>
    <s v="2025-09-16"/>
    <x v="214"/>
    <s v="50002"/>
    <s v="대변"/>
    <s v="255"/>
    <s v="부가세예수금"/>
    <x v="3"/>
    <n v="0"/>
    <n v="10000"/>
    <n v="10000"/>
    <s v="(주)커피볶는집"/>
    <m/>
    <s v="인사노무자문료 1 X 100,000"/>
  </r>
  <r>
    <s v="2025-09-16"/>
    <x v="214"/>
    <s v="50002"/>
    <s v="대변"/>
    <s v="401"/>
    <s v="용역매출"/>
    <x v="4"/>
    <n v="0"/>
    <n v="100000"/>
    <n v="100000"/>
    <s v="(주)커피볶는집"/>
    <m/>
    <s v="인사노무자문료 1 X 100,000"/>
  </r>
  <r>
    <s v="2025-09-16"/>
    <x v="214"/>
    <s v="50002"/>
    <s v="차변"/>
    <s v="101"/>
    <s v="현금"/>
    <x v="1"/>
    <n v="110000"/>
    <n v="0"/>
    <n v="-110000"/>
    <s v="(주)커피볶는집"/>
    <m/>
    <s v="인사노무자문료 1 X 100,000"/>
  </r>
  <r>
    <s v="2025-09-16"/>
    <x v="214"/>
    <s v="50003"/>
    <s v="대변"/>
    <s v="255"/>
    <s v="부가세예수금"/>
    <x v="3"/>
    <n v="0"/>
    <n v="6000"/>
    <n v="6000"/>
    <s v="이마트24광주농성점"/>
    <m/>
    <s v="인사노무자문료 1 X 60,000"/>
  </r>
  <r>
    <s v="2025-09-16"/>
    <x v="214"/>
    <s v="50003"/>
    <s v="대변"/>
    <s v="401"/>
    <s v="용역매출"/>
    <x v="4"/>
    <n v="0"/>
    <n v="60000"/>
    <n v="60000"/>
    <s v="이마트24광주농성점"/>
    <m/>
    <s v="인사노무자문료 1 X 60,000"/>
  </r>
  <r>
    <s v="2025-09-16"/>
    <x v="214"/>
    <s v="50003"/>
    <s v="차변"/>
    <s v="101"/>
    <s v="현금"/>
    <x v="1"/>
    <n v="66000"/>
    <n v="0"/>
    <n v="-66000"/>
    <s v="이마트24광주농성점"/>
    <m/>
    <s v="인사노무자문료 1 X 60,000"/>
  </r>
  <r>
    <s v="2025-09-16"/>
    <x v="214"/>
    <s v="50004"/>
    <s v="대변"/>
    <s v="255"/>
    <s v="부가세예수금"/>
    <x v="3"/>
    <n v="0"/>
    <n v="50000"/>
    <n v="50000"/>
    <s v="포도팜"/>
    <m/>
    <s v="노무컨설팅무보수 1 X 500,000"/>
  </r>
  <r>
    <s v="2025-09-16"/>
    <x v="214"/>
    <s v="50004"/>
    <s v="대변"/>
    <s v="401"/>
    <s v="용역매출"/>
    <x v="4"/>
    <n v="0"/>
    <n v="500000"/>
    <n v="500000"/>
    <s v="포도팜"/>
    <m/>
    <s v="노무컨설팅무보수 1 X 500,000"/>
  </r>
  <r>
    <s v="2025-09-16"/>
    <x v="214"/>
    <s v="50004"/>
    <s v="차변"/>
    <s v="101"/>
    <s v="현금"/>
    <x v="1"/>
    <n v="550000"/>
    <n v="0"/>
    <n v="-550000"/>
    <s v="포도팜"/>
    <m/>
    <s v="노무컨설팅무보수 1 X 500,000"/>
  </r>
  <r>
    <s v="2025-09-22"/>
    <x v="215"/>
    <s v="50001"/>
    <s v="차변"/>
    <s v="837"/>
    <s v="건물관리비(판)"/>
    <x v="16"/>
    <n v="191830"/>
    <n v="0"/>
    <n v="-191830"/>
    <s v="와이어스파크 지식산업센터 관리위원회"/>
    <m/>
    <s v="2동2205호"/>
  </r>
  <r>
    <s v="2025-09-22"/>
    <x v="215"/>
    <s v="50001"/>
    <s v="대변"/>
    <s v="101"/>
    <s v="현금"/>
    <x v="1"/>
    <n v="0"/>
    <n v="191830"/>
    <n v="191830"/>
    <s v="와이어스파크 지식산업센터 관리위원회"/>
    <m/>
    <s v="2동2205호"/>
  </r>
  <r>
    <s v="2025-09-23"/>
    <x v="216"/>
    <s v="50001"/>
    <s v="대변"/>
    <s v="255"/>
    <s v="부가세예수금"/>
    <x v="3"/>
    <n v="0"/>
    <n v="15000"/>
    <n v="15000"/>
    <s v="월간맥주수완점"/>
    <m/>
    <s v="인사노무자문료 1 X 150,000"/>
  </r>
  <r>
    <s v="2025-09-23"/>
    <x v="216"/>
    <s v="50001"/>
    <s v="대변"/>
    <s v="401"/>
    <s v="용역매출"/>
    <x v="4"/>
    <n v="0"/>
    <n v="150000"/>
    <n v="150000"/>
    <s v="월간맥주수완점"/>
    <m/>
    <s v="인사노무자문료 1 X 150,000"/>
  </r>
  <r>
    <s v="2025-09-23"/>
    <x v="216"/>
    <s v="50001"/>
    <s v="차변"/>
    <s v="101"/>
    <s v="현금"/>
    <x v="1"/>
    <n v="165000"/>
    <n v="0"/>
    <n v="-165000"/>
    <s v="월간맥주수완점"/>
    <m/>
    <s v="인사노무자문료 1 X 150,000"/>
  </r>
  <r>
    <s v="2025-09-23"/>
    <x v="216"/>
    <s v="50002"/>
    <s v="대변"/>
    <s v="255"/>
    <s v="부가세예수금"/>
    <x v="3"/>
    <n v="0"/>
    <n v="7000"/>
    <n v="7000"/>
    <s v="하서방해물칼국수"/>
    <m/>
    <s v="인사노무자문료 1 X 70,000"/>
  </r>
  <r>
    <s v="2025-09-23"/>
    <x v="216"/>
    <s v="50002"/>
    <s v="대변"/>
    <s v="401"/>
    <s v="용역매출"/>
    <x v="4"/>
    <n v="0"/>
    <n v="70000"/>
    <n v="70000"/>
    <s v="하서방해물칼국수"/>
    <m/>
    <s v="인사노무자문료 1 X 70,000"/>
  </r>
  <r>
    <s v="2025-09-23"/>
    <x v="216"/>
    <s v="50002"/>
    <s v="차변"/>
    <s v="101"/>
    <s v="현금"/>
    <x v="1"/>
    <n v="77000"/>
    <n v="0"/>
    <n v="-77000"/>
    <s v="하서방해물칼국수"/>
    <m/>
    <s v="인사노무자문료 1 X 70,000"/>
  </r>
  <r>
    <s v="2025-09-23"/>
    <x v="216"/>
    <s v="50003"/>
    <s v="대변"/>
    <s v="255"/>
    <s v="부가세예수금"/>
    <x v="3"/>
    <n v="0"/>
    <n v="10000"/>
    <n v="10000"/>
    <s v="주식화사 광원이엔지"/>
    <m/>
    <s v="인사노무자문료 1 X 100,000"/>
  </r>
  <r>
    <s v="2025-09-23"/>
    <x v="216"/>
    <s v="50003"/>
    <s v="대변"/>
    <s v="401"/>
    <s v="용역매출"/>
    <x v="4"/>
    <n v="0"/>
    <n v="100000"/>
    <n v="100000"/>
    <s v="주식화사 광원이엔지"/>
    <m/>
    <s v="인사노무자문료 1 X 100,000"/>
  </r>
  <r>
    <s v="2025-09-23"/>
    <x v="216"/>
    <s v="50003"/>
    <s v="차변"/>
    <s v="101"/>
    <s v="현금"/>
    <x v="1"/>
    <n v="110000"/>
    <n v="0"/>
    <n v="-110000"/>
    <s v="주식화사 광원이엔지"/>
    <m/>
    <s v="인사노무자문료 1 X 100,000"/>
  </r>
  <r>
    <s v="2025-09-23"/>
    <x v="216"/>
    <s v="50004"/>
    <s v="대변"/>
    <s v="255"/>
    <s v="부가세예수금"/>
    <x v="3"/>
    <n v="0"/>
    <n v="20000"/>
    <n v="20000"/>
    <s v="(주)유토피아코리아"/>
    <m/>
    <s v="인사노무자문료 1 X 200,000"/>
  </r>
  <r>
    <s v="2025-09-23"/>
    <x v="216"/>
    <s v="50004"/>
    <s v="대변"/>
    <s v="401"/>
    <s v="용역매출"/>
    <x v="4"/>
    <n v="0"/>
    <n v="200000"/>
    <n v="200000"/>
    <s v="(주)유토피아코리아"/>
    <m/>
    <s v="인사노무자문료 1 X 200,000"/>
  </r>
  <r>
    <s v="2025-09-23"/>
    <x v="216"/>
    <s v="50004"/>
    <s v="차변"/>
    <s v="101"/>
    <s v="현금"/>
    <x v="1"/>
    <n v="220000"/>
    <n v="0"/>
    <n v="-220000"/>
    <s v="(주)유토피아코리아"/>
    <m/>
    <s v="인사노무자문료 1 X 200,000"/>
  </r>
  <r>
    <s v="2025-09-23"/>
    <x v="216"/>
    <s v="50005"/>
    <s v="대변"/>
    <s v="255"/>
    <s v="부가세예수금"/>
    <x v="3"/>
    <n v="0"/>
    <n v="10000"/>
    <n v="10000"/>
    <s v="연세바른병원"/>
    <m/>
    <s v="인사노무자문료 1 X 100,000"/>
  </r>
  <r>
    <s v="2025-09-23"/>
    <x v="216"/>
    <s v="50005"/>
    <s v="대변"/>
    <s v="401"/>
    <s v="용역매출"/>
    <x v="4"/>
    <n v="0"/>
    <n v="100000"/>
    <n v="100000"/>
    <s v="연세바른병원"/>
    <m/>
    <s v="인사노무자문료 1 X 100,000"/>
  </r>
  <r>
    <s v="2025-09-23"/>
    <x v="216"/>
    <s v="50005"/>
    <s v="차변"/>
    <s v="101"/>
    <s v="현금"/>
    <x v="1"/>
    <n v="110000"/>
    <n v="0"/>
    <n v="-110000"/>
    <s v="연세바른병원"/>
    <m/>
    <s v="인사노무자문료 1 X 100,000"/>
  </r>
  <r>
    <s v="2025-09-24"/>
    <x v="217"/>
    <s v="50001"/>
    <s v="대변"/>
    <s v="255"/>
    <s v="부가세예수금"/>
    <x v="3"/>
    <n v="0"/>
    <n v="20000"/>
    <n v="20000"/>
    <s v="24시 동물병원 공감"/>
    <m/>
    <s v="인사노무자문료 1 X 200,000"/>
  </r>
  <r>
    <s v="2025-09-24"/>
    <x v="217"/>
    <s v="50001"/>
    <s v="대변"/>
    <s v="401"/>
    <s v="용역매출"/>
    <x v="4"/>
    <n v="0"/>
    <n v="200000"/>
    <n v="200000"/>
    <s v="24시 동물병원 공감"/>
    <m/>
    <s v="인사노무자문료 1 X 200,000"/>
  </r>
  <r>
    <s v="2025-09-24"/>
    <x v="217"/>
    <s v="50001"/>
    <s v="차변"/>
    <s v="101"/>
    <s v="현금"/>
    <x v="1"/>
    <n v="220000"/>
    <n v="0"/>
    <n v="-220000"/>
    <s v="24시 동물병원 공감"/>
    <m/>
    <s v="인사노무자문료 1 X 200,000"/>
  </r>
  <r>
    <s v="2025-09-25"/>
    <x v="218"/>
    <s v="50001"/>
    <s v="대변"/>
    <s v="255"/>
    <s v="부가세예수금"/>
    <x v="3"/>
    <n v="0"/>
    <n v="15000"/>
    <n v="15000"/>
    <s v="(주)바이오트코리아"/>
    <m/>
    <s v="인사노무자문료 1 X 150,000"/>
  </r>
  <r>
    <s v="2025-09-25"/>
    <x v="218"/>
    <s v="50001"/>
    <s v="대변"/>
    <s v="401"/>
    <s v="용역매출"/>
    <x v="4"/>
    <n v="0"/>
    <n v="150000"/>
    <n v="150000"/>
    <s v="(주)바이오트코리아"/>
    <m/>
    <s v="인사노무자문료 1 X 150,000"/>
  </r>
  <r>
    <s v="2025-09-25"/>
    <x v="218"/>
    <s v="50001"/>
    <s v="차변"/>
    <s v="101"/>
    <s v="현금"/>
    <x v="1"/>
    <n v="165000"/>
    <n v="0"/>
    <n v="-165000"/>
    <s v="(주)바이오트코리아"/>
    <m/>
    <s v="인사노무자문료 1 X 150,000"/>
  </r>
  <r>
    <s v="2025-09-26"/>
    <x v="219"/>
    <s v="50001"/>
    <s v="대변"/>
    <s v="255"/>
    <s v="부가세예수금"/>
    <x v="3"/>
    <n v="0"/>
    <n v="20000"/>
    <n v="20000"/>
    <s v="(주)연합기업"/>
    <m/>
    <s v="인사노무자문료 1 X 200,000"/>
  </r>
  <r>
    <s v="2025-09-26"/>
    <x v="219"/>
    <s v="50001"/>
    <s v="대변"/>
    <s v="401"/>
    <s v="용역매출"/>
    <x v="4"/>
    <n v="0"/>
    <n v="200000"/>
    <n v="200000"/>
    <s v="(주)연합기업"/>
    <m/>
    <s v="인사노무자문료 1 X 200,000"/>
  </r>
  <r>
    <s v="2025-09-26"/>
    <x v="219"/>
    <s v="50001"/>
    <s v="차변"/>
    <s v="101"/>
    <s v="현금"/>
    <x v="1"/>
    <n v="220000"/>
    <n v="0"/>
    <n v="-220000"/>
    <s v="(주)연합기업"/>
    <m/>
    <s v="인사노무자문료 1 X 200,000"/>
  </r>
  <r>
    <s v="2025-09-26"/>
    <x v="219"/>
    <s v="50002"/>
    <s v="대변"/>
    <s v="255"/>
    <s v="부가세예수금"/>
    <x v="3"/>
    <n v="0"/>
    <n v="5000"/>
    <n v="5000"/>
    <s v="서호통상"/>
    <m/>
    <s v="인사노무자문료 1 X 50,000"/>
  </r>
  <r>
    <s v="2025-09-26"/>
    <x v="219"/>
    <s v="50002"/>
    <s v="대변"/>
    <s v="401"/>
    <s v="용역매출"/>
    <x v="4"/>
    <n v="0"/>
    <n v="50000"/>
    <n v="50000"/>
    <s v="서호통상"/>
    <m/>
    <s v="인사노무자문료 1 X 50,000"/>
  </r>
  <r>
    <s v="2025-09-26"/>
    <x v="219"/>
    <s v="50002"/>
    <s v="차변"/>
    <s v="101"/>
    <s v="현금"/>
    <x v="1"/>
    <n v="55000"/>
    <n v="0"/>
    <n v="-55000"/>
    <s v="서호통상"/>
    <m/>
    <s v="인사노무자문료 1 X 50,000"/>
  </r>
  <r>
    <s v="2025-09-26"/>
    <x v="219"/>
    <s v="50003"/>
    <s v="대변"/>
    <s v="255"/>
    <s v="부가세예수금"/>
    <x v="3"/>
    <n v="0"/>
    <n v="15000"/>
    <n v="15000"/>
    <s v="라스(LAS)어린이치과의원"/>
    <m/>
    <s v="인사노무자문료 1 X 150,000"/>
  </r>
  <r>
    <s v="2025-09-26"/>
    <x v="219"/>
    <s v="50003"/>
    <s v="대변"/>
    <s v="401"/>
    <s v="용역매출"/>
    <x v="4"/>
    <n v="0"/>
    <n v="150000"/>
    <n v="150000"/>
    <s v="라스(LAS)어린이치과의원"/>
    <m/>
    <s v="인사노무자문료 1 X 150,000"/>
  </r>
  <r>
    <s v="2025-09-26"/>
    <x v="219"/>
    <s v="50003"/>
    <s v="차변"/>
    <s v="101"/>
    <s v="현금"/>
    <x v="1"/>
    <n v="165000"/>
    <n v="0"/>
    <n v="-165000"/>
    <s v="라스(LAS)어린이치과의원"/>
    <m/>
    <s v="인사노무자문료 1 X 150,000"/>
  </r>
  <r>
    <s v="2025-09-26"/>
    <x v="219"/>
    <s v="50004"/>
    <s v="대변"/>
    <s v="255"/>
    <s v="부가세예수금"/>
    <x v="3"/>
    <n v="0"/>
    <n v="12000"/>
    <n v="12000"/>
    <s v="마루샤브"/>
    <m/>
    <s v="인사노무자문료 1 X 120,000"/>
  </r>
  <r>
    <s v="2025-09-26"/>
    <x v="219"/>
    <s v="50004"/>
    <s v="대변"/>
    <s v="401"/>
    <s v="용역매출"/>
    <x v="4"/>
    <n v="0"/>
    <n v="120000"/>
    <n v="120000"/>
    <s v="마루샤브"/>
    <m/>
    <s v="인사노무자문료 1 X 120,000"/>
  </r>
  <r>
    <s v="2025-09-26"/>
    <x v="219"/>
    <s v="50004"/>
    <s v="차변"/>
    <s v="101"/>
    <s v="현금"/>
    <x v="1"/>
    <n v="132000"/>
    <n v="0"/>
    <n v="-132000"/>
    <s v="마루샤브"/>
    <m/>
    <s v="인사노무자문료 1 X 120,000"/>
  </r>
  <r>
    <s v="2025-09-26"/>
    <x v="219"/>
    <s v="50005"/>
    <s v="대변"/>
    <s v="255"/>
    <s v="부가세예수금"/>
    <x v="3"/>
    <n v="0"/>
    <n v="9091"/>
    <n v="9091"/>
    <s v="깐깐한 족발(화정점)"/>
    <m/>
    <s v="인사노무자문료 1 X 90,909"/>
  </r>
  <r>
    <s v="2025-09-26"/>
    <x v="219"/>
    <s v="50005"/>
    <s v="대변"/>
    <s v="401"/>
    <s v="용역매출"/>
    <x v="4"/>
    <n v="0"/>
    <n v="90909"/>
    <n v="90909"/>
    <s v="깐깐한 족발(화정점)"/>
    <m/>
    <s v="인사노무자문료 1 X 90,909"/>
  </r>
  <r>
    <s v="2025-09-26"/>
    <x v="219"/>
    <s v="50005"/>
    <s v="차변"/>
    <s v="101"/>
    <s v="현금"/>
    <x v="1"/>
    <n v="100000"/>
    <n v="0"/>
    <n v="-100000"/>
    <s v="깐깐한 족발(화정점)"/>
    <m/>
    <s v="인사노무자문료 1 X 90,909"/>
  </r>
  <r>
    <s v="2025-09-26"/>
    <x v="219"/>
    <s v="50006"/>
    <s v="대변"/>
    <s v="255"/>
    <s v="부가세예수금"/>
    <x v="3"/>
    <n v="0"/>
    <n v="10000"/>
    <n v="10000"/>
    <s v="(유)담양담빛샤브"/>
    <m/>
    <s v="인사노무자문료 1 X 100,000"/>
  </r>
  <r>
    <s v="2025-09-26"/>
    <x v="219"/>
    <s v="50006"/>
    <s v="대변"/>
    <s v="401"/>
    <s v="용역매출"/>
    <x v="4"/>
    <n v="0"/>
    <n v="100000"/>
    <n v="100000"/>
    <s v="(유)담양담빛샤브"/>
    <m/>
    <s v="인사노무자문료 1 X 100,000"/>
  </r>
  <r>
    <s v="2025-09-26"/>
    <x v="219"/>
    <s v="50006"/>
    <s v="차변"/>
    <s v="101"/>
    <s v="현금"/>
    <x v="1"/>
    <n v="110000"/>
    <n v="0"/>
    <n v="-110000"/>
    <s v="(유)담양담빛샤브"/>
    <m/>
    <s v="인사노무자문료 1 X 100,000"/>
  </r>
  <r>
    <s v="2025-09-26"/>
    <x v="219"/>
    <s v="50007"/>
    <s v="대변"/>
    <s v="255"/>
    <s v="부가세예수금"/>
    <x v="3"/>
    <n v="0"/>
    <n v="5000"/>
    <n v="5000"/>
    <s v="바른샤브"/>
    <m/>
    <s v="인사노무자문료 1 X 50,000"/>
  </r>
  <r>
    <s v="2025-09-26"/>
    <x v="219"/>
    <s v="50007"/>
    <s v="대변"/>
    <s v="401"/>
    <s v="용역매출"/>
    <x v="4"/>
    <n v="0"/>
    <n v="50000"/>
    <n v="50000"/>
    <s v="바른샤브"/>
    <m/>
    <s v="인사노무자문료 1 X 50,000"/>
  </r>
  <r>
    <s v="2025-09-26"/>
    <x v="219"/>
    <s v="50007"/>
    <s v="차변"/>
    <s v="101"/>
    <s v="현금"/>
    <x v="1"/>
    <n v="55000"/>
    <n v="0"/>
    <n v="-55000"/>
    <s v="바른샤브"/>
    <m/>
    <s v="인사노무자문료 1 X 50,000"/>
  </r>
  <r>
    <s v="2025-09-26"/>
    <x v="219"/>
    <s v="50008"/>
    <s v="대변"/>
    <s v="255"/>
    <s v="부가세예수금"/>
    <x v="3"/>
    <n v="0"/>
    <n v="10000"/>
    <n v="10000"/>
    <s v="커피랩"/>
    <m/>
    <s v="인사노무자문료 1 X 100,000"/>
  </r>
  <r>
    <s v="2025-09-26"/>
    <x v="219"/>
    <s v="50008"/>
    <s v="대변"/>
    <s v="401"/>
    <s v="용역매출"/>
    <x v="4"/>
    <n v="0"/>
    <n v="100000"/>
    <n v="100000"/>
    <s v="커피랩"/>
    <m/>
    <s v="인사노무자문료 1 X 100,000"/>
  </r>
  <r>
    <s v="2025-09-26"/>
    <x v="219"/>
    <s v="50008"/>
    <s v="차변"/>
    <s v="101"/>
    <s v="현금"/>
    <x v="1"/>
    <n v="110000"/>
    <n v="0"/>
    <n v="-110000"/>
    <s v="커피랩"/>
    <m/>
    <s v="인사노무자문료 1 X 100,000"/>
  </r>
  <r>
    <s v="2025-09-26"/>
    <x v="219"/>
    <s v="50009"/>
    <s v="대변"/>
    <s v="255"/>
    <s v="부가세예수금"/>
    <x v="3"/>
    <n v="0"/>
    <n v="11819"/>
    <n v="11819"/>
    <s v="바오팜 주식회사"/>
    <m/>
    <s v="인사노무자문료 1 X 118,181"/>
  </r>
  <r>
    <s v="2025-09-26"/>
    <x v="219"/>
    <s v="50009"/>
    <s v="대변"/>
    <s v="401"/>
    <s v="용역매출"/>
    <x v="4"/>
    <n v="0"/>
    <n v="118181"/>
    <n v="118181"/>
    <s v="바오팜 주식회사"/>
    <m/>
    <s v="인사노무자문료 1 X 118,181"/>
  </r>
  <r>
    <s v="2025-09-26"/>
    <x v="219"/>
    <s v="50009"/>
    <s v="차변"/>
    <s v="101"/>
    <s v="현금"/>
    <x v="1"/>
    <n v="130000"/>
    <n v="0"/>
    <n v="-130000"/>
    <s v="바오팜 주식회사"/>
    <m/>
    <s v="인사노무자문료 1 X 118,181"/>
  </r>
  <r>
    <s v="2025-09-26"/>
    <x v="219"/>
    <s v="50010"/>
    <s v="대변"/>
    <s v="255"/>
    <s v="부가세예수금"/>
    <x v="3"/>
    <n v="0"/>
    <n v="10000"/>
    <n v="10000"/>
    <s v="주식회사 동양금속"/>
    <m/>
    <s v="인사노무자문료 1 X 100,000"/>
  </r>
  <r>
    <s v="2025-09-26"/>
    <x v="219"/>
    <s v="50010"/>
    <s v="대변"/>
    <s v="401"/>
    <s v="용역매출"/>
    <x v="4"/>
    <n v="0"/>
    <n v="100000"/>
    <n v="100000"/>
    <s v="주식회사 동양금속"/>
    <m/>
    <s v="인사노무자문료 1 X 100,000"/>
  </r>
  <r>
    <s v="2025-09-26"/>
    <x v="219"/>
    <s v="50010"/>
    <s v="차변"/>
    <s v="101"/>
    <s v="현금"/>
    <x v="1"/>
    <n v="110000"/>
    <n v="0"/>
    <n v="-110000"/>
    <s v="주식회사 동양금속"/>
    <m/>
    <s v="인사노무자문료 1 X 100,000"/>
  </r>
  <r>
    <s v="2025-09-26"/>
    <x v="219"/>
    <s v="50011"/>
    <s v="대변"/>
    <s v="255"/>
    <s v="부가세예수금"/>
    <x v="3"/>
    <n v="0"/>
    <n v="15000"/>
    <n v="15000"/>
    <s v="최원호병원"/>
    <m/>
    <s v="인사노무자문료 1 X 150,000"/>
  </r>
  <r>
    <s v="2025-09-26"/>
    <x v="219"/>
    <s v="50011"/>
    <s v="대변"/>
    <s v="401"/>
    <s v="용역매출"/>
    <x v="4"/>
    <n v="0"/>
    <n v="150000"/>
    <n v="150000"/>
    <s v="최원호병원"/>
    <m/>
    <s v="인사노무자문료 1 X 150,000"/>
  </r>
  <r>
    <s v="2025-09-26"/>
    <x v="219"/>
    <s v="50011"/>
    <s v="차변"/>
    <s v="101"/>
    <s v="현금"/>
    <x v="1"/>
    <n v="165000"/>
    <n v="0"/>
    <n v="-165000"/>
    <s v="최원호병원"/>
    <m/>
    <s v="인사노무자문료 1 X 150,000"/>
  </r>
  <r>
    <s v="2025-09-26"/>
    <x v="219"/>
    <s v="50012"/>
    <s v="대변"/>
    <s v="255"/>
    <s v="부가세예수금"/>
    <x v="3"/>
    <n v="0"/>
    <n v="10000"/>
    <n v="10000"/>
    <s v="(주)중동텍스타일"/>
    <m/>
    <s v="인사노무자문료 1 X 100,000"/>
  </r>
  <r>
    <s v="2025-09-26"/>
    <x v="219"/>
    <s v="50012"/>
    <s v="대변"/>
    <s v="401"/>
    <s v="용역매출"/>
    <x v="4"/>
    <n v="0"/>
    <n v="100000"/>
    <n v="100000"/>
    <s v="(주)중동텍스타일"/>
    <m/>
    <s v="인사노무자문료 1 X 100,000"/>
  </r>
  <r>
    <s v="2025-09-26"/>
    <x v="219"/>
    <s v="50012"/>
    <s v="차변"/>
    <s v="101"/>
    <s v="현금"/>
    <x v="1"/>
    <n v="110000"/>
    <n v="0"/>
    <n v="-110000"/>
    <s v="(주)중동텍스타일"/>
    <m/>
    <s v="인사노무자문료 1 X 100,000"/>
  </r>
  <r>
    <s v="2025-09-26"/>
    <x v="219"/>
    <s v="50013"/>
    <s v="대변"/>
    <s v="255"/>
    <s v="부가세예수금"/>
    <x v="3"/>
    <n v="0"/>
    <n v="13636"/>
    <n v="13636"/>
    <s v="주식회사 청경"/>
    <m/>
    <s v="인사노무자문료 1 X 136,364"/>
  </r>
  <r>
    <s v="2025-09-26"/>
    <x v="219"/>
    <s v="50013"/>
    <s v="대변"/>
    <s v="401"/>
    <s v="용역매출"/>
    <x v="4"/>
    <n v="0"/>
    <n v="136364"/>
    <n v="136364"/>
    <s v="주식회사 청경"/>
    <m/>
    <s v="인사노무자문료 1 X 136,364"/>
  </r>
  <r>
    <s v="2025-09-26"/>
    <x v="219"/>
    <s v="50013"/>
    <s v="차변"/>
    <s v="101"/>
    <s v="현금"/>
    <x v="1"/>
    <n v="150000"/>
    <n v="0"/>
    <n v="-150000"/>
    <s v="주식회사 청경"/>
    <m/>
    <s v="인사노무자문료 1 X 136,364"/>
  </r>
  <r>
    <s v="2025-09-29"/>
    <x v="220"/>
    <s v="50001"/>
    <s v="대변"/>
    <s v="255"/>
    <s v="부가세예수금"/>
    <x v="3"/>
    <n v="0"/>
    <n v="15000"/>
    <n v="15000"/>
    <s v="롤링파스타(수완점)"/>
    <m/>
    <s v="인사노무자문료 1 X 150,000"/>
  </r>
  <r>
    <s v="2025-09-29"/>
    <x v="220"/>
    <s v="50001"/>
    <s v="대변"/>
    <s v="401"/>
    <s v="용역매출"/>
    <x v="4"/>
    <n v="0"/>
    <n v="150000"/>
    <n v="150000"/>
    <s v="롤링파스타(수완점)"/>
    <m/>
    <s v="인사노무자문료 1 X 150,000"/>
  </r>
  <r>
    <s v="2025-09-29"/>
    <x v="220"/>
    <s v="50001"/>
    <s v="차변"/>
    <s v="101"/>
    <s v="현금"/>
    <x v="1"/>
    <n v="165000"/>
    <n v="0"/>
    <n v="-165000"/>
    <s v="롤링파스타(수완점)"/>
    <m/>
    <s v="인사노무자문료 1 X 150,000"/>
  </r>
  <r>
    <s v="2025-09-30"/>
    <x v="221"/>
    <s v="50001"/>
    <s v="대변"/>
    <s v="255"/>
    <s v="부가세예수금"/>
    <x v="3"/>
    <n v="0"/>
    <n v="15000"/>
    <n v="15000"/>
    <s v="(주)파이스물류"/>
    <m/>
    <s v="인사노무자문료 1 X 150,000"/>
  </r>
  <r>
    <s v="2025-09-30"/>
    <x v="221"/>
    <s v="50001"/>
    <s v="대변"/>
    <s v="401"/>
    <s v="용역매출"/>
    <x v="4"/>
    <n v="0"/>
    <n v="150000"/>
    <n v="150000"/>
    <s v="(주)파이스물류"/>
    <m/>
    <s v="인사노무자문료 1 X 150,000"/>
  </r>
  <r>
    <s v="2025-09-30"/>
    <x v="221"/>
    <s v="50001"/>
    <s v="차변"/>
    <s v="101"/>
    <s v="현금"/>
    <x v="1"/>
    <n v="165000"/>
    <n v="0"/>
    <n v="-165000"/>
    <s v="(주)파이스물류"/>
    <m/>
    <s v="인사노무자문료 1 X 150,000"/>
  </r>
  <r>
    <s v="2025-09-30"/>
    <x v="221"/>
    <s v="50002"/>
    <s v="대변"/>
    <s v="255"/>
    <s v="부가세예수금"/>
    <x v="3"/>
    <n v="0"/>
    <n v="30000"/>
    <n v="30000"/>
    <s v="재단법인 광주광역시 여성가족재단"/>
    <m/>
    <s v="인사노무자문료 1 X 300,000"/>
  </r>
  <r>
    <s v="2025-09-30"/>
    <x v="221"/>
    <s v="50002"/>
    <s v="대변"/>
    <s v="401"/>
    <s v="용역매출"/>
    <x v="4"/>
    <n v="0"/>
    <n v="300000"/>
    <n v="300000"/>
    <s v="재단법인 광주광역시 여성가족재단"/>
    <m/>
    <s v="인사노무자문료 1 X 300,000"/>
  </r>
  <r>
    <s v="2025-09-30"/>
    <x v="221"/>
    <s v="50002"/>
    <s v="차변"/>
    <s v="101"/>
    <s v="현금"/>
    <x v="1"/>
    <n v="330000"/>
    <n v="0"/>
    <n v="-330000"/>
    <s v="재단법인 광주광역시 여성가족재단"/>
    <m/>
    <s v="인사노무자문료 1 X 300,000"/>
  </r>
  <r>
    <s v="2025-09-30"/>
    <x v="221"/>
    <s v="50003"/>
    <s v="대변"/>
    <s v="255"/>
    <s v="부가세예수금"/>
    <x v="3"/>
    <n v="0"/>
    <n v="11819"/>
    <n v="11819"/>
    <s v="농업회사법인(주)황칠코리아"/>
    <m/>
    <s v="인사노무자문료 1 X 118,181"/>
  </r>
  <r>
    <s v="2025-09-30"/>
    <x v="221"/>
    <s v="50003"/>
    <s v="대변"/>
    <s v="401"/>
    <s v="용역매출"/>
    <x v="4"/>
    <n v="0"/>
    <n v="118181"/>
    <n v="118181"/>
    <s v="농업회사법인(주)황칠코리아"/>
    <m/>
    <s v="인사노무자문료 1 X 118,181"/>
  </r>
  <r>
    <s v="2025-09-30"/>
    <x v="221"/>
    <s v="50003"/>
    <s v="차변"/>
    <s v="101"/>
    <s v="현금"/>
    <x v="1"/>
    <n v="130000"/>
    <n v="0"/>
    <n v="-130000"/>
    <s v="농업회사법인(주)황칠코리아"/>
    <m/>
    <s v="인사노무자문료 1 X 118,181"/>
  </r>
  <r>
    <s v="2025-09-30"/>
    <x v="221"/>
    <s v="50004"/>
    <s v="대변"/>
    <s v="255"/>
    <s v="부가세예수금"/>
    <x v="3"/>
    <n v="0"/>
    <n v="7000"/>
    <n v="7000"/>
    <s v="(유)임마누엘"/>
    <m/>
    <s v="인사노무자문료 1 X 70,000"/>
  </r>
  <r>
    <s v="2025-09-30"/>
    <x v="221"/>
    <s v="50004"/>
    <s v="대변"/>
    <s v="401"/>
    <s v="용역매출"/>
    <x v="4"/>
    <n v="0"/>
    <n v="70000"/>
    <n v="70000"/>
    <s v="(유)임마누엘"/>
    <m/>
    <s v="인사노무자문료 1 X 70,000"/>
  </r>
  <r>
    <s v="2025-09-30"/>
    <x v="221"/>
    <s v="50004"/>
    <s v="차변"/>
    <s v="101"/>
    <s v="현금"/>
    <x v="1"/>
    <n v="77000"/>
    <n v="0"/>
    <n v="-77000"/>
    <s v="(유)임마누엘"/>
    <m/>
    <s v="인사노무자문료 1 X 70,000"/>
  </r>
  <r>
    <s v="2025-09-30"/>
    <x v="221"/>
    <s v="50005"/>
    <s v="대변"/>
    <s v="255"/>
    <s v="부가세예수금"/>
    <x v="3"/>
    <n v="0"/>
    <n v="15000"/>
    <n v="15000"/>
    <s v="(주)한국피엔피서비스"/>
    <m/>
    <s v="인사노무자문료 1 X 150,000"/>
  </r>
  <r>
    <s v="2025-09-30"/>
    <x v="221"/>
    <s v="50005"/>
    <s v="대변"/>
    <s v="401"/>
    <s v="용역매출"/>
    <x v="4"/>
    <n v="0"/>
    <n v="150000"/>
    <n v="150000"/>
    <s v="(주)한국피엔피서비스"/>
    <m/>
    <s v="인사노무자문료 1 X 150,000"/>
  </r>
  <r>
    <s v="2025-09-30"/>
    <x v="221"/>
    <s v="50005"/>
    <s v="차변"/>
    <s v="101"/>
    <s v="현금"/>
    <x v="1"/>
    <n v="165000"/>
    <n v="0"/>
    <n v="-165000"/>
    <s v="(주)한국피엔피서비스"/>
    <m/>
    <s v="인사노무자문료 1 X 150,000"/>
  </r>
  <r>
    <s v="2025-09-30"/>
    <x v="221"/>
    <s v="50006"/>
    <s v="대변"/>
    <s v="255"/>
    <s v="부가세예수금"/>
    <x v="3"/>
    <n v="0"/>
    <n v="10000"/>
    <n v="10000"/>
    <s v="(주)텝스텍"/>
    <m/>
    <s v="인사노무자문료 1 X 100,000"/>
  </r>
  <r>
    <s v="2025-09-30"/>
    <x v="221"/>
    <s v="50006"/>
    <s v="대변"/>
    <s v="401"/>
    <s v="용역매출"/>
    <x v="4"/>
    <n v="0"/>
    <n v="100000"/>
    <n v="100000"/>
    <s v="(주)텝스텍"/>
    <m/>
    <s v="인사노무자문료 1 X 100,000"/>
  </r>
  <r>
    <s v="2025-09-30"/>
    <x v="221"/>
    <s v="50006"/>
    <s v="차변"/>
    <s v="101"/>
    <s v="현금"/>
    <x v="1"/>
    <n v="110000"/>
    <n v="0"/>
    <n v="-110000"/>
    <s v="(주)텝스텍"/>
    <m/>
    <s v="인사노무자문료 1 X 100,000"/>
  </r>
  <r>
    <s v="2025-09-30"/>
    <x v="221"/>
    <s v="50007"/>
    <s v="대변"/>
    <s v="255"/>
    <s v="부가세예수금"/>
    <x v="3"/>
    <n v="0"/>
    <n v="15000"/>
    <n v="15000"/>
    <s v="농업회사법인(주)토리팜에프디"/>
    <m/>
    <s v="인사노무자문료 1 X 150,000"/>
  </r>
  <r>
    <s v="2025-09-30"/>
    <x v="221"/>
    <s v="50007"/>
    <s v="대변"/>
    <s v="401"/>
    <s v="용역매출"/>
    <x v="4"/>
    <n v="0"/>
    <n v="150000"/>
    <n v="150000"/>
    <s v="농업회사법인(주)토리팜에프디"/>
    <m/>
    <s v="인사노무자문료 1 X 150,000"/>
  </r>
  <r>
    <s v="2025-09-30"/>
    <x v="221"/>
    <s v="50007"/>
    <s v="차변"/>
    <s v="101"/>
    <s v="현금"/>
    <x v="1"/>
    <n v="165000"/>
    <n v="0"/>
    <n v="-165000"/>
    <s v="농업회사법인(주)토리팜에프디"/>
    <m/>
    <s v="인사노무자문료 1 X 150,000"/>
  </r>
  <r>
    <s v="2025-09-30"/>
    <x v="221"/>
    <s v="50008"/>
    <s v="차변"/>
    <s v="135"/>
    <s v="부가세대급금"/>
    <x v="5"/>
    <n v="10000"/>
    <n v="0"/>
    <n v="-10000"/>
    <s v="서찬영세무회계사무소"/>
    <m/>
    <s v="기장료"/>
  </r>
  <r>
    <s v="2025-09-30"/>
    <x v="221"/>
    <s v="50008"/>
    <s v="차변"/>
    <s v="831"/>
    <s v="지급수수료(판)"/>
    <x v="7"/>
    <n v="100000"/>
    <n v="0"/>
    <n v="-100000"/>
    <s v="서찬영세무회계사무소"/>
    <m/>
    <s v="기장료"/>
  </r>
  <r>
    <s v="2025-09-30"/>
    <x v="221"/>
    <s v="50008"/>
    <s v="대변"/>
    <s v="101"/>
    <s v="현금"/>
    <x v="1"/>
    <n v="0"/>
    <n v="110000"/>
    <n v="110000"/>
    <s v="서찬영세무회계사무소"/>
    <m/>
    <s v="기장료"/>
  </r>
  <r>
    <s v="2025-09-30"/>
    <x v="221"/>
    <s v="50009"/>
    <s v="차변"/>
    <s v="135"/>
    <s v="부가세대급금"/>
    <x v="5"/>
    <n v="655"/>
    <n v="0"/>
    <n v="-655"/>
    <s v="(주) 다우기술"/>
    <m/>
    <s v="엔팩스 서비스 사용료 1 X 6,545"/>
  </r>
  <r>
    <s v="2025-09-30"/>
    <x v="221"/>
    <s v="50009"/>
    <s v="차변"/>
    <s v="831"/>
    <s v="지급수수료(판)"/>
    <x v="7"/>
    <n v="6545"/>
    <n v="0"/>
    <n v="-6545"/>
    <s v="(주) 다우기술"/>
    <m/>
    <s v="엔팩스 서비스 사용료 1 X 6,545"/>
  </r>
  <r>
    <s v="2025-09-30"/>
    <x v="221"/>
    <s v="50009"/>
    <s v="대변"/>
    <s v="101"/>
    <s v="현금"/>
    <x v="1"/>
    <n v="0"/>
    <n v="7200"/>
    <n v="7200"/>
    <s v="(주) 다우기술"/>
    <m/>
    <s v="엔팩스 서비스 사용료 1 X 6,545"/>
  </r>
  <r>
    <s v="2025-09-30"/>
    <x v="221"/>
    <s v="50010"/>
    <s v="차변"/>
    <s v="135"/>
    <s v="부가세대급금"/>
    <x v="5"/>
    <n v="4000"/>
    <n v="0"/>
    <n v="-4000"/>
    <s v="효성에프엠에스(주)"/>
    <m/>
    <s v="09월CMS사용료-gjsals596"/>
  </r>
  <r>
    <s v="2025-09-30"/>
    <x v="221"/>
    <s v="50010"/>
    <s v="차변"/>
    <s v="831"/>
    <s v="지급수수료(판)"/>
    <x v="7"/>
    <n v="40000"/>
    <n v="0"/>
    <n v="-40000"/>
    <s v="효성에프엠에스(주)"/>
    <m/>
    <s v="09월CMS사용료-gjsals596"/>
  </r>
  <r>
    <s v="2025-09-30"/>
    <x v="221"/>
    <s v="50010"/>
    <s v="대변"/>
    <s v="101"/>
    <s v="현금"/>
    <x v="1"/>
    <n v="0"/>
    <n v="44000"/>
    <n v="44000"/>
    <s v="효성에프엠에스(주)"/>
    <m/>
    <s v="09월CMS사용료-gjsals596"/>
  </r>
  <r>
    <s v="2025-09-30"/>
    <x v="221"/>
    <s v="50011"/>
    <s v="차변"/>
    <s v="135"/>
    <s v="부가세대급금"/>
    <x v="5"/>
    <n v="1205"/>
    <n v="0"/>
    <n v="-1205"/>
    <s v="효성에프엠에스(주)"/>
    <m/>
    <s v="09월CMS수수료-gjsals596"/>
  </r>
  <r>
    <s v="2025-09-30"/>
    <x v="221"/>
    <s v="50011"/>
    <s v="차변"/>
    <s v="831"/>
    <s v="지급수수료(판)"/>
    <x v="7"/>
    <n v="12050"/>
    <n v="0"/>
    <n v="-12050"/>
    <s v="효성에프엠에스(주)"/>
    <m/>
    <s v="09월CMS수수료-gjsals596"/>
  </r>
  <r>
    <s v="2025-09-30"/>
    <x v="221"/>
    <s v="50011"/>
    <s v="대변"/>
    <s v="101"/>
    <s v="현금"/>
    <x v="1"/>
    <n v="0"/>
    <n v="13255"/>
    <n v="13255"/>
    <s v="효성에프엠에스(주)"/>
    <m/>
    <s v="09월CMS수수료-gjsals5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4B43AA-9C51-4661-9096-702C6C8244EC}" name="피벗 테이블1" cacheId="3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K28" firstHeaderRow="1" firstDataRow="3" firstDataCol="1"/>
  <pivotFields count="15">
    <pivotField showAll="0"/>
    <pivotField axis="axisCol" numFmtId="14" showAll="0">
      <items count="2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t="default"/>
      </items>
    </pivotField>
    <pivotField showAll="0"/>
    <pivotField showAll="0"/>
    <pivotField showAll="0"/>
    <pivotField showAll="0"/>
    <pivotField axis="axisRow" showAll="0">
      <items count="23">
        <item x="1"/>
        <item x="5"/>
        <item x="20"/>
        <item x="12"/>
        <item x="3"/>
        <item x="17"/>
        <item x="4"/>
        <item x="18"/>
        <item x="8"/>
        <item x="9"/>
        <item x="0"/>
        <item x="10"/>
        <item x="14"/>
        <item x="13"/>
        <item x="11"/>
        <item x="15"/>
        <item x="2"/>
        <item x="6"/>
        <item x="7"/>
        <item x="19"/>
        <item x="16"/>
        <item x="2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2">
    <field x="14"/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합계 : amount" fld="9" baseField="0" baseItem="0" numFmtId="3"/>
  </dataFields>
  <formats count="11"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14" type="button" dataOnly="0" labelOnly="1" outline="0" axis="axisCol" fieldPosition="0"/>
    </format>
    <format dxfId="6">
      <pivotArea field="1" type="button" dataOnly="0" labelOnly="1" outline="0" axis="axisCol" fieldPosition="1"/>
    </format>
    <format dxfId="5">
      <pivotArea type="topRight" dataOnly="0" labelOnly="1" outline="0" fieldPosition="0"/>
    </format>
    <format dxfId="4">
      <pivotArea field="6" type="button" dataOnly="0" labelOnly="1" outline="0" axis="axisRow" fieldPosition="0"/>
    </format>
    <format dxfId="3">
      <pivotArea dataOnly="0" labelOnly="1" fieldPosition="0">
        <references count="1">
          <reference field="6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4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DEE270-9172-4D1F-A18E-5EEE93B1A3A9}" name="표1" displayName="표1" ref="A1:M3513" totalsRowShown="0" headerRowDxfId="26" headerRowBorderDxfId="25" tableBorderDxfId="24">
  <autoFilter ref="A1:M3513" xr:uid="{70A2FD71-FF6B-46F6-9A2A-250367EF869E}"/>
  <tableColumns count="13">
    <tableColumn id="1" xr3:uid="{9BC63D9F-790A-4BBC-A528-CC744EF881AC}" name="전표일자" dataDxfId="23"/>
    <tableColumn id="2" xr3:uid="{1CB4BBFF-470A-4A51-99F3-4CBB0A5B0491}" name="date" dataDxfId="22">
      <calculatedColumnFormula>DATEVALUE(A2)</calculatedColumnFormula>
    </tableColumn>
    <tableColumn id="3" xr3:uid="{520C0977-F29E-4BE7-BD62-41EAF5B9B83E}" name="전표번호" dataDxfId="21"/>
    <tableColumn id="4" xr3:uid="{D9C5A6AD-F3DA-485E-B230-6BC908A962D6}" name="구분" dataDxfId="20"/>
    <tableColumn id="5" xr3:uid="{80CAC52C-8E4B-4524-91A7-117AFFAD9888}" name="Code" dataDxfId="19"/>
    <tableColumn id="6" xr3:uid="{2481C5D0-8082-488A-84B3-82D5E523D4D7}" name="계정과목" dataDxfId="18"/>
    <tableColumn id="7" xr3:uid="{092A1334-8CC1-4C33-80A6-8762F6312E19}" name="account" dataDxfId="17">
      <calculatedColumnFormula>E2&amp;F2</calculatedColumnFormula>
    </tableColumn>
    <tableColumn id="8" xr3:uid="{92906FC3-0389-4EA5-A58D-356CF99421B4}" name="차변" dataDxfId="16"/>
    <tableColumn id="9" xr3:uid="{C069B441-5A6F-469C-A8C8-DA13CFAADDC0}" name="대변" dataDxfId="15"/>
    <tableColumn id="10" xr3:uid="{3723101A-8090-427A-92C2-03639AC692A7}" name="amount" dataDxfId="14">
      <calculatedColumnFormula>I2-H2</calculatedColumnFormula>
    </tableColumn>
    <tableColumn id="11" xr3:uid="{BF4CCC6C-F6F8-422E-8339-92059D8DCE3F}" name="거래처" dataDxfId="13"/>
    <tableColumn id="12" xr3:uid="{1E9E46C6-C3E2-4011-9638-E0A6BDD2A21B}" name="Code2" dataDxfId="12"/>
    <tableColumn id="13" xr3:uid="{E046EAE6-1FF3-4D3D-B47C-60C8EECC1C70}" name="적요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ax@semusa.or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2A9EE-5269-4C9D-B41B-6F75D6D6BC1B}">
  <dimension ref="A1:M3513"/>
  <sheetViews>
    <sheetView topLeftCell="A2" workbookViewId="0">
      <selection activeCell="B28" sqref="B28"/>
    </sheetView>
  </sheetViews>
  <sheetFormatPr defaultRowHeight="12.75"/>
  <cols>
    <col min="1" max="1" width="20.125" style="210" customWidth="1"/>
    <col min="2" max="2" width="20.125" style="211" customWidth="1"/>
    <col min="3" max="3" width="13.125" style="210" customWidth="1"/>
    <col min="4" max="4" width="17.5" style="210" customWidth="1"/>
    <col min="5" max="5" width="13.125" style="210" customWidth="1"/>
    <col min="6" max="10" width="24.5" style="210" customWidth="1"/>
    <col min="11" max="11" width="20.125" style="210" customWidth="1"/>
    <col min="12" max="12" width="8.75" style="210" customWidth="1"/>
    <col min="13" max="13" width="20.125" style="210" customWidth="1"/>
    <col min="14" max="16384" width="9" style="210"/>
  </cols>
  <sheetData>
    <row r="1" spans="1:13" ht="21" customHeight="1">
      <c r="A1" s="218" t="s">
        <v>6962</v>
      </c>
      <c r="B1" s="219" t="s">
        <v>6961</v>
      </c>
      <c r="C1" s="218" t="s">
        <v>4378</v>
      </c>
      <c r="D1" s="218" t="s">
        <v>4377</v>
      </c>
      <c r="E1" s="218" t="s">
        <v>6960</v>
      </c>
      <c r="F1" s="218" t="s">
        <v>4376</v>
      </c>
      <c r="G1" s="218" t="s">
        <v>6959</v>
      </c>
      <c r="H1" s="218" t="s">
        <v>4369</v>
      </c>
      <c r="I1" s="218" t="s">
        <v>4366</v>
      </c>
      <c r="J1" s="218" t="s">
        <v>6958</v>
      </c>
      <c r="K1" s="218" t="s">
        <v>4353</v>
      </c>
      <c r="L1" s="218" t="s">
        <v>6957</v>
      </c>
      <c r="M1" s="218" t="s">
        <v>4375</v>
      </c>
    </row>
    <row r="2" spans="1:13" ht="21" customHeight="1">
      <c r="A2" s="216" t="s">
        <v>6955</v>
      </c>
      <c r="B2" s="215">
        <f t="shared" ref="B2:B65" si="0">DATEVALUE(A2)</f>
        <v>45658</v>
      </c>
      <c r="C2" s="213" t="s">
        <v>4373</v>
      </c>
      <c r="D2" s="213" t="s">
        <v>4369</v>
      </c>
      <c r="E2" s="213" t="s">
        <v>6157</v>
      </c>
      <c r="F2" s="212" t="s">
        <v>6524</v>
      </c>
      <c r="G2" s="212" t="str">
        <f t="shared" ref="G2:G65" si="1">E2&amp;F2</f>
        <v>813접대비(기업업무추진비)(판)</v>
      </c>
      <c r="H2" s="214">
        <v>30900</v>
      </c>
      <c r="I2" s="214">
        <v>0</v>
      </c>
      <c r="J2" s="214">
        <f t="shared" ref="J2:J65" si="2">I2-H2</f>
        <v>-30900</v>
      </c>
      <c r="K2" s="212" t="s">
        <v>6956</v>
      </c>
      <c r="L2" s="213" t="s">
        <v>1327</v>
      </c>
      <c r="M2" s="212" t="s">
        <v>6356</v>
      </c>
    </row>
    <row r="3" spans="1:13" ht="21" customHeight="1">
      <c r="A3" s="216" t="s">
        <v>6955</v>
      </c>
      <c r="B3" s="215">
        <f t="shared" si="0"/>
        <v>45658</v>
      </c>
      <c r="C3" s="213" t="s">
        <v>4373</v>
      </c>
      <c r="D3" s="213" t="s">
        <v>4366</v>
      </c>
      <c r="E3" s="213" t="s">
        <v>333</v>
      </c>
      <c r="F3" s="212" t="s">
        <v>4365</v>
      </c>
      <c r="G3" s="212" t="str">
        <f t="shared" si="1"/>
        <v>101현금</v>
      </c>
      <c r="H3" s="214">
        <v>0</v>
      </c>
      <c r="I3" s="214">
        <v>30900</v>
      </c>
      <c r="J3" s="214">
        <f t="shared" si="2"/>
        <v>30900</v>
      </c>
      <c r="K3" s="212" t="s">
        <v>6200</v>
      </c>
      <c r="L3" s="213"/>
      <c r="M3" s="212"/>
    </row>
    <row r="4" spans="1:13" ht="21" customHeight="1">
      <c r="A4" s="216" t="s">
        <v>6955</v>
      </c>
      <c r="B4" s="215">
        <f t="shared" si="0"/>
        <v>45658</v>
      </c>
      <c r="C4" s="213" t="s">
        <v>4382</v>
      </c>
      <c r="D4" s="213" t="s">
        <v>4369</v>
      </c>
      <c r="E4" s="213" t="s">
        <v>4504</v>
      </c>
      <c r="F4" s="212" t="s">
        <v>6545</v>
      </c>
      <c r="G4" s="212" t="str">
        <f t="shared" si="1"/>
        <v>826도서인쇄비(판)</v>
      </c>
      <c r="H4" s="214">
        <v>5000</v>
      </c>
      <c r="I4" s="214">
        <v>0</v>
      </c>
      <c r="J4" s="214">
        <f t="shared" si="2"/>
        <v>-5000</v>
      </c>
      <c r="K4" s="212" t="s">
        <v>6368</v>
      </c>
      <c r="L4" s="213"/>
      <c r="M4" s="212"/>
    </row>
    <row r="5" spans="1:13" ht="21" customHeight="1">
      <c r="A5" s="216" t="s">
        <v>6955</v>
      </c>
      <c r="B5" s="215">
        <f t="shared" si="0"/>
        <v>45658</v>
      </c>
      <c r="C5" s="213" t="s">
        <v>4382</v>
      </c>
      <c r="D5" s="213" t="s">
        <v>4366</v>
      </c>
      <c r="E5" s="213" t="s">
        <v>333</v>
      </c>
      <c r="F5" s="212" t="s">
        <v>4365</v>
      </c>
      <c r="G5" s="212" t="str">
        <f t="shared" si="1"/>
        <v>101현금</v>
      </c>
      <c r="H5" s="214">
        <v>0</v>
      </c>
      <c r="I5" s="214">
        <v>5000</v>
      </c>
      <c r="J5" s="214">
        <f t="shared" si="2"/>
        <v>5000</v>
      </c>
      <c r="K5" s="212" t="s">
        <v>6368</v>
      </c>
      <c r="L5" s="213"/>
      <c r="M5" s="212"/>
    </row>
    <row r="6" spans="1:13" ht="21" customHeight="1">
      <c r="A6" s="216" t="s">
        <v>6955</v>
      </c>
      <c r="B6" s="215">
        <f t="shared" si="0"/>
        <v>45658</v>
      </c>
      <c r="C6" s="213" t="s">
        <v>4367</v>
      </c>
      <c r="D6" s="213" t="s">
        <v>4366</v>
      </c>
      <c r="E6" s="213" t="s">
        <v>6176</v>
      </c>
      <c r="F6" s="212" t="s">
        <v>6177</v>
      </c>
      <c r="G6" s="212" t="str">
        <f t="shared" si="1"/>
        <v>255부가세예수금</v>
      </c>
      <c r="H6" s="214">
        <v>0</v>
      </c>
      <c r="I6" s="214">
        <v>9091</v>
      </c>
      <c r="J6" s="214">
        <f t="shared" si="2"/>
        <v>9091</v>
      </c>
      <c r="K6" s="212" t="s">
        <v>6300</v>
      </c>
      <c r="L6" s="213"/>
      <c r="M6" s="212" t="s">
        <v>6296</v>
      </c>
    </row>
    <row r="7" spans="1:13" ht="21" customHeight="1">
      <c r="A7" s="216" t="s">
        <v>6955</v>
      </c>
      <c r="B7" s="215">
        <f t="shared" si="0"/>
        <v>45658</v>
      </c>
      <c r="C7" s="213" t="s">
        <v>4367</v>
      </c>
      <c r="D7" s="213" t="s">
        <v>4366</v>
      </c>
      <c r="E7" s="213" t="s">
        <v>334</v>
      </c>
      <c r="F7" s="212" t="s">
        <v>6158</v>
      </c>
      <c r="G7" s="212" t="str">
        <f t="shared" si="1"/>
        <v>401용역매출</v>
      </c>
      <c r="H7" s="214">
        <v>0</v>
      </c>
      <c r="I7" s="214">
        <v>90909</v>
      </c>
      <c r="J7" s="214">
        <f t="shared" si="2"/>
        <v>90909</v>
      </c>
      <c r="K7" s="212" t="s">
        <v>6300</v>
      </c>
      <c r="L7" s="213"/>
      <c r="M7" s="212" t="s">
        <v>6296</v>
      </c>
    </row>
    <row r="8" spans="1:13" ht="21" customHeight="1">
      <c r="A8" s="216" t="s">
        <v>6955</v>
      </c>
      <c r="B8" s="215">
        <f t="shared" si="0"/>
        <v>45658</v>
      </c>
      <c r="C8" s="213" t="s">
        <v>4367</v>
      </c>
      <c r="D8" s="213" t="s">
        <v>4369</v>
      </c>
      <c r="E8" s="213" t="s">
        <v>333</v>
      </c>
      <c r="F8" s="212" t="s">
        <v>4365</v>
      </c>
      <c r="G8" s="212" t="str">
        <f t="shared" si="1"/>
        <v>101현금</v>
      </c>
      <c r="H8" s="214">
        <v>100000</v>
      </c>
      <c r="I8" s="214">
        <v>0</v>
      </c>
      <c r="J8" s="214">
        <f t="shared" si="2"/>
        <v>-100000</v>
      </c>
      <c r="K8" s="212" t="s">
        <v>6300</v>
      </c>
      <c r="L8" s="213"/>
      <c r="M8" s="212" t="s">
        <v>6296</v>
      </c>
    </row>
    <row r="9" spans="1:13" ht="21" customHeight="1">
      <c r="A9" s="216" t="s">
        <v>6955</v>
      </c>
      <c r="B9" s="215">
        <f t="shared" si="0"/>
        <v>45658</v>
      </c>
      <c r="C9" s="213" t="s">
        <v>4374</v>
      </c>
      <c r="D9" s="213" t="s">
        <v>4366</v>
      </c>
      <c r="E9" s="213" t="s">
        <v>6176</v>
      </c>
      <c r="F9" s="212" t="s">
        <v>6177</v>
      </c>
      <c r="G9" s="212" t="str">
        <f t="shared" si="1"/>
        <v>255부가세예수금</v>
      </c>
      <c r="H9" s="214">
        <v>0</v>
      </c>
      <c r="I9" s="214">
        <v>12000</v>
      </c>
      <c r="J9" s="214">
        <f t="shared" si="2"/>
        <v>12000</v>
      </c>
      <c r="K9" s="212" t="s">
        <v>6308</v>
      </c>
      <c r="L9" s="213"/>
      <c r="M9" s="212" t="s">
        <v>6225</v>
      </c>
    </row>
    <row r="10" spans="1:13" ht="21" customHeight="1">
      <c r="A10" s="216" t="s">
        <v>6955</v>
      </c>
      <c r="B10" s="215">
        <f t="shared" si="0"/>
        <v>45658</v>
      </c>
      <c r="C10" s="213" t="s">
        <v>4374</v>
      </c>
      <c r="D10" s="213" t="s">
        <v>4366</v>
      </c>
      <c r="E10" s="213" t="s">
        <v>334</v>
      </c>
      <c r="F10" s="212" t="s">
        <v>6158</v>
      </c>
      <c r="G10" s="212" t="str">
        <f t="shared" si="1"/>
        <v>401용역매출</v>
      </c>
      <c r="H10" s="214">
        <v>0</v>
      </c>
      <c r="I10" s="214">
        <v>120000</v>
      </c>
      <c r="J10" s="214">
        <f t="shared" si="2"/>
        <v>120000</v>
      </c>
      <c r="K10" s="212" t="s">
        <v>6308</v>
      </c>
      <c r="L10" s="213"/>
      <c r="M10" s="212" t="s">
        <v>6225</v>
      </c>
    </row>
    <row r="11" spans="1:13" ht="21" customHeight="1">
      <c r="A11" s="216" t="s">
        <v>6955</v>
      </c>
      <c r="B11" s="215">
        <f t="shared" si="0"/>
        <v>45658</v>
      </c>
      <c r="C11" s="213" t="s">
        <v>4374</v>
      </c>
      <c r="D11" s="213" t="s">
        <v>4369</v>
      </c>
      <c r="E11" s="213" t="s">
        <v>333</v>
      </c>
      <c r="F11" s="212" t="s">
        <v>4365</v>
      </c>
      <c r="G11" s="212" t="str">
        <f t="shared" si="1"/>
        <v>101현금</v>
      </c>
      <c r="H11" s="214">
        <v>132000</v>
      </c>
      <c r="I11" s="214">
        <v>0</v>
      </c>
      <c r="J11" s="214">
        <f t="shared" si="2"/>
        <v>-132000</v>
      </c>
      <c r="K11" s="212" t="s">
        <v>6308</v>
      </c>
      <c r="L11" s="213"/>
      <c r="M11" s="212" t="s">
        <v>6225</v>
      </c>
    </row>
    <row r="12" spans="1:13" ht="21" customHeight="1">
      <c r="A12" s="216" t="s">
        <v>6955</v>
      </c>
      <c r="B12" s="215">
        <f t="shared" si="0"/>
        <v>45658</v>
      </c>
      <c r="C12" s="213" t="s">
        <v>6182</v>
      </c>
      <c r="D12" s="213" t="s">
        <v>4366</v>
      </c>
      <c r="E12" s="213" t="s">
        <v>6176</v>
      </c>
      <c r="F12" s="212" t="s">
        <v>6177</v>
      </c>
      <c r="G12" s="212" t="str">
        <f t="shared" si="1"/>
        <v>255부가세예수금</v>
      </c>
      <c r="H12" s="214">
        <v>0</v>
      </c>
      <c r="I12" s="214">
        <v>15000</v>
      </c>
      <c r="J12" s="214">
        <f t="shared" si="2"/>
        <v>15000</v>
      </c>
      <c r="K12" s="212" t="s">
        <v>6181</v>
      </c>
      <c r="L12" s="213"/>
      <c r="M12" s="212" t="s">
        <v>6179</v>
      </c>
    </row>
    <row r="13" spans="1:13" ht="21" customHeight="1">
      <c r="A13" s="216" t="s">
        <v>6955</v>
      </c>
      <c r="B13" s="215">
        <f t="shared" si="0"/>
        <v>45658</v>
      </c>
      <c r="C13" s="213" t="s">
        <v>6182</v>
      </c>
      <c r="D13" s="213" t="s">
        <v>4366</v>
      </c>
      <c r="E13" s="213" t="s">
        <v>334</v>
      </c>
      <c r="F13" s="212" t="s">
        <v>6158</v>
      </c>
      <c r="G13" s="212" t="str">
        <f t="shared" si="1"/>
        <v>401용역매출</v>
      </c>
      <c r="H13" s="214">
        <v>0</v>
      </c>
      <c r="I13" s="214">
        <v>150000</v>
      </c>
      <c r="J13" s="214">
        <f t="shared" si="2"/>
        <v>150000</v>
      </c>
      <c r="K13" s="212" t="s">
        <v>6181</v>
      </c>
      <c r="L13" s="213"/>
      <c r="M13" s="212" t="s">
        <v>6179</v>
      </c>
    </row>
    <row r="14" spans="1:13" ht="21" customHeight="1">
      <c r="A14" s="216" t="s">
        <v>6955</v>
      </c>
      <c r="B14" s="215">
        <f t="shared" si="0"/>
        <v>45658</v>
      </c>
      <c r="C14" s="213" t="s">
        <v>6182</v>
      </c>
      <c r="D14" s="213" t="s">
        <v>4369</v>
      </c>
      <c r="E14" s="213" t="s">
        <v>333</v>
      </c>
      <c r="F14" s="212" t="s">
        <v>4365</v>
      </c>
      <c r="G14" s="212" t="str">
        <f t="shared" si="1"/>
        <v>101현금</v>
      </c>
      <c r="H14" s="214">
        <v>165000</v>
      </c>
      <c r="I14" s="214">
        <v>0</v>
      </c>
      <c r="J14" s="214">
        <f t="shared" si="2"/>
        <v>-165000</v>
      </c>
      <c r="K14" s="212" t="s">
        <v>6181</v>
      </c>
      <c r="L14" s="213"/>
      <c r="M14" s="212" t="s">
        <v>6179</v>
      </c>
    </row>
    <row r="15" spans="1:13" ht="21" customHeight="1">
      <c r="A15" s="216" t="s">
        <v>6955</v>
      </c>
      <c r="B15" s="215">
        <f t="shared" si="0"/>
        <v>45658</v>
      </c>
      <c r="C15" s="213" t="s">
        <v>6184</v>
      </c>
      <c r="D15" s="213" t="s">
        <v>4366</v>
      </c>
      <c r="E15" s="213" t="s">
        <v>6176</v>
      </c>
      <c r="F15" s="212" t="s">
        <v>6177</v>
      </c>
      <c r="G15" s="212" t="str">
        <f t="shared" si="1"/>
        <v>255부가세예수금</v>
      </c>
      <c r="H15" s="214">
        <v>0</v>
      </c>
      <c r="I15" s="214">
        <v>15000</v>
      </c>
      <c r="J15" s="214">
        <f t="shared" si="2"/>
        <v>15000</v>
      </c>
      <c r="K15" s="212" t="s">
        <v>6183</v>
      </c>
      <c r="L15" s="213"/>
      <c r="M15" s="212" t="s">
        <v>6179</v>
      </c>
    </row>
    <row r="16" spans="1:13" ht="21" customHeight="1">
      <c r="A16" s="216" t="s">
        <v>6955</v>
      </c>
      <c r="B16" s="215">
        <f t="shared" si="0"/>
        <v>45658</v>
      </c>
      <c r="C16" s="213" t="s">
        <v>6184</v>
      </c>
      <c r="D16" s="213" t="s">
        <v>4366</v>
      </c>
      <c r="E16" s="213" t="s">
        <v>334</v>
      </c>
      <c r="F16" s="212" t="s">
        <v>6158</v>
      </c>
      <c r="G16" s="212" t="str">
        <f t="shared" si="1"/>
        <v>401용역매출</v>
      </c>
      <c r="H16" s="214">
        <v>0</v>
      </c>
      <c r="I16" s="214">
        <v>150000</v>
      </c>
      <c r="J16" s="214">
        <f t="shared" si="2"/>
        <v>150000</v>
      </c>
      <c r="K16" s="212" t="s">
        <v>6183</v>
      </c>
      <c r="L16" s="213"/>
      <c r="M16" s="212" t="s">
        <v>6179</v>
      </c>
    </row>
    <row r="17" spans="1:13" ht="21" customHeight="1">
      <c r="A17" s="216" t="s">
        <v>6955</v>
      </c>
      <c r="B17" s="215">
        <f t="shared" si="0"/>
        <v>45658</v>
      </c>
      <c r="C17" s="213" t="s">
        <v>6184</v>
      </c>
      <c r="D17" s="213" t="s">
        <v>4369</v>
      </c>
      <c r="E17" s="213" t="s">
        <v>333</v>
      </c>
      <c r="F17" s="212" t="s">
        <v>4365</v>
      </c>
      <c r="G17" s="212" t="str">
        <f t="shared" si="1"/>
        <v>101현금</v>
      </c>
      <c r="H17" s="214">
        <v>165000</v>
      </c>
      <c r="I17" s="214">
        <v>0</v>
      </c>
      <c r="J17" s="214">
        <f t="shared" si="2"/>
        <v>-165000</v>
      </c>
      <c r="K17" s="212" t="s">
        <v>6183</v>
      </c>
      <c r="L17" s="213"/>
      <c r="M17" s="212" t="s">
        <v>6179</v>
      </c>
    </row>
    <row r="18" spans="1:13" ht="21" customHeight="1">
      <c r="A18" s="216" t="s">
        <v>6955</v>
      </c>
      <c r="B18" s="215">
        <f t="shared" si="0"/>
        <v>45658</v>
      </c>
      <c r="C18" s="213" t="s">
        <v>6186</v>
      </c>
      <c r="D18" s="213" t="s">
        <v>4369</v>
      </c>
      <c r="E18" s="213" t="s">
        <v>4371</v>
      </c>
      <c r="F18" s="212" t="s">
        <v>4370</v>
      </c>
      <c r="G18" s="212" t="str">
        <f t="shared" si="1"/>
        <v>135부가세대급금</v>
      </c>
      <c r="H18" s="214">
        <v>761</v>
      </c>
      <c r="I18" s="214">
        <v>0</v>
      </c>
      <c r="J18" s="214">
        <f t="shared" si="2"/>
        <v>-761</v>
      </c>
      <c r="K18" s="212" t="s">
        <v>6643</v>
      </c>
      <c r="L18" s="213"/>
      <c r="M18" s="212"/>
    </row>
    <row r="19" spans="1:13" ht="21" customHeight="1">
      <c r="A19" s="216" t="s">
        <v>6955</v>
      </c>
      <c r="B19" s="215">
        <f t="shared" si="0"/>
        <v>45658</v>
      </c>
      <c r="C19" s="213" t="s">
        <v>6186</v>
      </c>
      <c r="D19" s="213" t="s">
        <v>4369</v>
      </c>
      <c r="E19" s="213" t="s">
        <v>4383</v>
      </c>
      <c r="F19" s="212" t="s">
        <v>6525</v>
      </c>
      <c r="G19" s="212" t="str">
        <f t="shared" si="1"/>
        <v>830소모품비(판)</v>
      </c>
      <c r="H19" s="214">
        <v>7639</v>
      </c>
      <c r="I19" s="214">
        <v>0</v>
      </c>
      <c r="J19" s="214">
        <f t="shared" si="2"/>
        <v>-7639</v>
      </c>
      <c r="K19" s="212" t="s">
        <v>6643</v>
      </c>
      <c r="L19" s="213"/>
      <c r="M19" s="212"/>
    </row>
    <row r="20" spans="1:13" ht="21" customHeight="1">
      <c r="A20" s="216" t="s">
        <v>6955</v>
      </c>
      <c r="B20" s="215">
        <f t="shared" si="0"/>
        <v>45658</v>
      </c>
      <c r="C20" s="213" t="s">
        <v>6186</v>
      </c>
      <c r="D20" s="213" t="s">
        <v>4366</v>
      </c>
      <c r="E20" s="213" t="s">
        <v>333</v>
      </c>
      <c r="F20" s="212" t="s">
        <v>4365</v>
      </c>
      <c r="G20" s="212" t="str">
        <f t="shared" si="1"/>
        <v>101현금</v>
      </c>
      <c r="H20" s="214">
        <v>0</v>
      </c>
      <c r="I20" s="214">
        <v>8400</v>
      </c>
      <c r="J20" s="214">
        <f t="shared" si="2"/>
        <v>8400</v>
      </c>
      <c r="K20" s="212" t="s">
        <v>6200</v>
      </c>
      <c r="L20" s="213"/>
      <c r="M20" s="212"/>
    </row>
    <row r="21" spans="1:13" ht="21" customHeight="1">
      <c r="A21" s="213" t="s">
        <v>6954</v>
      </c>
      <c r="B21" s="215">
        <f t="shared" si="0"/>
        <v>45659</v>
      </c>
      <c r="C21" s="213" t="s">
        <v>4367</v>
      </c>
      <c r="D21" s="213" t="s">
        <v>4369</v>
      </c>
      <c r="E21" s="213" t="s">
        <v>4371</v>
      </c>
      <c r="F21" s="212" t="s">
        <v>4370</v>
      </c>
      <c r="G21" s="212" t="str">
        <f t="shared" si="1"/>
        <v>135부가세대급금</v>
      </c>
      <c r="H21" s="214">
        <v>400</v>
      </c>
      <c r="I21" s="214">
        <v>0</v>
      </c>
      <c r="J21" s="214">
        <f t="shared" si="2"/>
        <v>-400</v>
      </c>
      <c r="K21" s="212" t="s">
        <v>6206</v>
      </c>
      <c r="L21" s="213"/>
      <c r="M21" s="212" t="s">
        <v>6207</v>
      </c>
    </row>
    <row r="22" spans="1:13" ht="21" customHeight="1">
      <c r="A22" s="213" t="s">
        <v>6954</v>
      </c>
      <c r="B22" s="215">
        <f t="shared" si="0"/>
        <v>45659</v>
      </c>
      <c r="C22" s="213" t="s">
        <v>4367</v>
      </c>
      <c r="D22" s="213" t="s">
        <v>4369</v>
      </c>
      <c r="E22" s="213" t="s">
        <v>4368</v>
      </c>
      <c r="F22" s="212" t="s">
        <v>6388</v>
      </c>
      <c r="G22" s="212" t="str">
        <f t="shared" si="1"/>
        <v>831지급수수료(판)</v>
      </c>
      <c r="H22" s="214">
        <v>4000</v>
      </c>
      <c r="I22" s="214">
        <v>0</v>
      </c>
      <c r="J22" s="214">
        <f t="shared" si="2"/>
        <v>-4000</v>
      </c>
      <c r="K22" s="212" t="s">
        <v>6206</v>
      </c>
      <c r="L22" s="213"/>
      <c r="M22" s="212" t="s">
        <v>6207</v>
      </c>
    </row>
    <row r="23" spans="1:13" ht="21" customHeight="1">
      <c r="A23" s="213" t="s">
        <v>6954</v>
      </c>
      <c r="B23" s="215">
        <f t="shared" si="0"/>
        <v>45659</v>
      </c>
      <c r="C23" s="213" t="s">
        <v>4367</v>
      </c>
      <c r="D23" s="213" t="s">
        <v>4366</v>
      </c>
      <c r="E23" s="213" t="s">
        <v>333</v>
      </c>
      <c r="F23" s="212" t="s">
        <v>4365</v>
      </c>
      <c r="G23" s="212" t="str">
        <f t="shared" si="1"/>
        <v>101현금</v>
      </c>
      <c r="H23" s="214">
        <v>0</v>
      </c>
      <c r="I23" s="214">
        <v>4400</v>
      </c>
      <c r="J23" s="214">
        <f t="shared" si="2"/>
        <v>4400</v>
      </c>
      <c r="K23" s="212" t="s">
        <v>6206</v>
      </c>
      <c r="L23" s="213"/>
      <c r="M23" s="212" t="s">
        <v>6207</v>
      </c>
    </row>
    <row r="24" spans="1:13" ht="21" customHeight="1">
      <c r="A24" s="213" t="s">
        <v>6954</v>
      </c>
      <c r="B24" s="215">
        <f t="shared" si="0"/>
        <v>45659</v>
      </c>
      <c r="C24" s="213" t="s">
        <v>4374</v>
      </c>
      <c r="D24" s="213" t="s">
        <v>4366</v>
      </c>
      <c r="E24" s="213" t="s">
        <v>6176</v>
      </c>
      <c r="F24" s="212" t="s">
        <v>6177</v>
      </c>
      <c r="G24" s="212" t="str">
        <f t="shared" si="1"/>
        <v>255부가세예수금</v>
      </c>
      <c r="H24" s="214">
        <v>0</v>
      </c>
      <c r="I24" s="214">
        <v>-15000</v>
      </c>
      <c r="J24" s="214">
        <f t="shared" si="2"/>
        <v>-15000</v>
      </c>
      <c r="K24" s="212" t="s">
        <v>6268</v>
      </c>
      <c r="L24" s="213"/>
      <c r="M24" s="212" t="s">
        <v>6313</v>
      </c>
    </row>
    <row r="25" spans="1:13" ht="21" customHeight="1">
      <c r="A25" s="213" t="s">
        <v>6954</v>
      </c>
      <c r="B25" s="215">
        <f t="shared" si="0"/>
        <v>45659</v>
      </c>
      <c r="C25" s="213" t="s">
        <v>4374</v>
      </c>
      <c r="D25" s="213" t="s">
        <v>4366</v>
      </c>
      <c r="E25" s="213" t="s">
        <v>334</v>
      </c>
      <c r="F25" s="212" t="s">
        <v>6158</v>
      </c>
      <c r="G25" s="212" t="str">
        <f t="shared" si="1"/>
        <v>401용역매출</v>
      </c>
      <c r="H25" s="214">
        <v>0</v>
      </c>
      <c r="I25" s="214">
        <v>-150000</v>
      </c>
      <c r="J25" s="214">
        <f t="shared" si="2"/>
        <v>-150000</v>
      </c>
      <c r="K25" s="212" t="s">
        <v>6268</v>
      </c>
      <c r="L25" s="213"/>
      <c r="M25" s="212" t="s">
        <v>6313</v>
      </c>
    </row>
    <row r="26" spans="1:13" ht="21" customHeight="1">
      <c r="A26" s="213" t="s">
        <v>6954</v>
      </c>
      <c r="B26" s="215">
        <f t="shared" si="0"/>
        <v>45659</v>
      </c>
      <c r="C26" s="213" t="s">
        <v>4374</v>
      </c>
      <c r="D26" s="213" t="s">
        <v>4369</v>
      </c>
      <c r="E26" s="213" t="s">
        <v>333</v>
      </c>
      <c r="F26" s="212" t="s">
        <v>4365</v>
      </c>
      <c r="G26" s="212" t="str">
        <f t="shared" si="1"/>
        <v>101현금</v>
      </c>
      <c r="H26" s="214">
        <v>-165000</v>
      </c>
      <c r="I26" s="214">
        <v>0</v>
      </c>
      <c r="J26" s="214">
        <f t="shared" si="2"/>
        <v>165000</v>
      </c>
      <c r="K26" s="212" t="s">
        <v>6268</v>
      </c>
      <c r="L26" s="213"/>
      <c r="M26" s="212" t="s">
        <v>6313</v>
      </c>
    </row>
    <row r="27" spans="1:13" ht="21" customHeight="1">
      <c r="A27" s="213" t="s">
        <v>6954</v>
      </c>
      <c r="B27" s="215">
        <f t="shared" si="0"/>
        <v>45659</v>
      </c>
      <c r="C27" s="213" t="s">
        <v>6182</v>
      </c>
      <c r="D27" s="213" t="s">
        <v>4366</v>
      </c>
      <c r="E27" s="213" t="s">
        <v>6176</v>
      </c>
      <c r="F27" s="212" t="s">
        <v>6177</v>
      </c>
      <c r="G27" s="212" t="str">
        <f t="shared" si="1"/>
        <v>255부가세예수금</v>
      </c>
      <c r="H27" s="214">
        <v>0</v>
      </c>
      <c r="I27" s="214">
        <v>15000</v>
      </c>
      <c r="J27" s="214">
        <f t="shared" si="2"/>
        <v>15000</v>
      </c>
      <c r="K27" s="212" t="s">
        <v>6267</v>
      </c>
      <c r="L27" s="213"/>
      <c r="M27" s="212" t="s">
        <v>6179</v>
      </c>
    </row>
    <row r="28" spans="1:13" ht="21" customHeight="1">
      <c r="A28" s="213" t="s">
        <v>6954</v>
      </c>
      <c r="B28" s="215">
        <f t="shared" si="0"/>
        <v>45659</v>
      </c>
      <c r="C28" s="213" t="s">
        <v>6182</v>
      </c>
      <c r="D28" s="213" t="s">
        <v>4366</v>
      </c>
      <c r="E28" s="213" t="s">
        <v>334</v>
      </c>
      <c r="F28" s="212" t="s">
        <v>6158</v>
      </c>
      <c r="G28" s="212" t="str">
        <f t="shared" si="1"/>
        <v>401용역매출</v>
      </c>
      <c r="H28" s="214">
        <v>0</v>
      </c>
      <c r="I28" s="214">
        <v>150000</v>
      </c>
      <c r="J28" s="214">
        <f t="shared" si="2"/>
        <v>150000</v>
      </c>
      <c r="K28" s="212" t="s">
        <v>6267</v>
      </c>
      <c r="L28" s="213"/>
      <c r="M28" s="212" t="s">
        <v>6179</v>
      </c>
    </row>
    <row r="29" spans="1:13" ht="21" customHeight="1">
      <c r="A29" s="213" t="s">
        <v>6954</v>
      </c>
      <c r="B29" s="215">
        <f t="shared" si="0"/>
        <v>45659</v>
      </c>
      <c r="C29" s="213" t="s">
        <v>6182</v>
      </c>
      <c r="D29" s="213" t="s">
        <v>4369</v>
      </c>
      <c r="E29" s="213" t="s">
        <v>333</v>
      </c>
      <c r="F29" s="212" t="s">
        <v>4365</v>
      </c>
      <c r="G29" s="212" t="str">
        <f t="shared" si="1"/>
        <v>101현금</v>
      </c>
      <c r="H29" s="214">
        <v>165000</v>
      </c>
      <c r="I29" s="214">
        <v>0</v>
      </c>
      <c r="J29" s="214">
        <f t="shared" si="2"/>
        <v>-165000</v>
      </c>
      <c r="K29" s="212" t="s">
        <v>6267</v>
      </c>
      <c r="L29" s="213"/>
      <c r="M29" s="212" t="s">
        <v>6179</v>
      </c>
    </row>
    <row r="30" spans="1:13" ht="21" customHeight="1">
      <c r="A30" s="213" t="s">
        <v>6954</v>
      </c>
      <c r="B30" s="215">
        <f t="shared" si="0"/>
        <v>45659</v>
      </c>
      <c r="C30" s="213" t="s">
        <v>6184</v>
      </c>
      <c r="D30" s="213" t="s">
        <v>4366</v>
      </c>
      <c r="E30" s="213" t="s">
        <v>6176</v>
      </c>
      <c r="F30" s="212" t="s">
        <v>6177</v>
      </c>
      <c r="G30" s="212" t="str">
        <f t="shared" si="1"/>
        <v>255부가세예수금</v>
      </c>
      <c r="H30" s="214">
        <v>0</v>
      </c>
      <c r="I30" s="214">
        <v>-15000</v>
      </c>
      <c r="J30" s="214">
        <f t="shared" si="2"/>
        <v>-15000</v>
      </c>
      <c r="K30" s="212" t="s">
        <v>6267</v>
      </c>
      <c r="L30" s="213"/>
      <c r="M30" s="212" t="s">
        <v>6313</v>
      </c>
    </row>
    <row r="31" spans="1:13" ht="21" customHeight="1">
      <c r="A31" s="213" t="s">
        <v>6954</v>
      </c>
      <c r="B31" s="215">
        <f t="shared" si="0"/>
        <v>45659</v>
      </c>
      <c r="C31" s="213" t="s">
        <v>6184</v>
      </c>
      <c r="D31" s="213" t="s">
        <v>4366</v>
      </c>
      <c r="E31" s="213" t="s">
        <v>334</v>
      </c>
      <c r="F31" s="212" t="s">
        <v>6158</v>
      </c>
      <c r="G31" s="212" t="str">
        <f t="shared" si="1"/>
        <v>401용역매출</v>
      </c>
      <c r="H31" s="214">
        <v>0</v>
      </c>
      <c r="I31" s="214">
        <v>-150000</v>
      </c>
      <c r="J31" s="214">
        <f t="shared" si="2"/>
        <v>-150000</v>
      </c>
      <c r="K31" s="212" t="s">
        <v>6267</v>
      </c>
      <c r="L31" s="213"/>
      <c r="M31" s="212" t="s">
        <v>6313</v>
      </c>
    </row>
    <row r="32" spans="1:13" ht="21" customHeight="1">
      <c r="A32" s="213" t="s">
        <v>6954</v>
      </c>
      <c r="B32" s="215">
        <f t="shared" si="0"/>
        <v>45659</v>
      </c>
      <c r="C32" s="213" t="s">
        <v>6184</v>
      </c>
      <c r="D32" s="213" t="s">
        <v>4369</v>
      </c>
      <c r="E32" s="213" t="s">
        <v>333</v>
      </c>
      <c r="F32" s="212" t="s">
        <v>4365</v>
      </c>
      <c r="G32" s="212" t="str">
        <f t="shared" si="1"/>
        <v>101현금</v>
      </c>
      <c r="H32" s="214">
        <v>-165000</v>
      </c>
      <c r="I32" s="214">
        <v>0</v>
      </c>
      <c r="J32" s="214">
        <f t="shared" si="2"/>
        <v>165000</v>
      </c>
      <c r="K32" s="212" t="s">
        <v>6267</v>
      </c>
      <c r="L32" s="213"/>
      <c r="M32" s="212" t="s">
        <v>6313</v>
      </c>
    </row>
    <row r="33" spans="1:13" ht="21" customHeight="1">
      <c r="A33" s="213" t="s">
        <v>6954</v>
      </c>
      <c r="B33" s="215">
        <f t="shared" si="0"/>
        <v>45659</v>
      </c>
      <c r="C33" s="213" t="s">
        <v>6186</v>
      </c>
      <c r="D33" s="213" t="s">
        <v>4366</v>
      </c>
      <c r="E33" s="213" t="s">
        <v>6176</v>
      </c>
      <c r="F33" s="212" t="s">
        <v>6177</v>
      </c>
      <c r="G33" s="212" t="str">
        <f t="shared" si="1"/>
        <v>255부가세예수금</v>
      </c>
      <c r="H33" s="214">
        <v>0</v>
      </c>
      <c r="I33" s="214">
        <v>15000</v>
      </c>
      <c r="J33" s="214">
        <f t="shared" si="2"/>
        <v>15000</v>
      </c>
      <c r="K33" s="212" t="s">
        <v>6268</v>
      </c>
      <c r="L33" s="213"/>
      <c r="M33" s="212" t="s">
        <v>6179</v>
      </c>
    </row>
    <row r="34" spans="1:13" ht="21" customHeight="1">
      <c r="A34" s="213" t="s">
        <v>6954</v>
      </c>
      <c r="B34" s="215">
        <f t="shared" si="0"/>
        <v>45659</v>
      </c>
      <c r="C34" s="213" t="s">
        <v>6186</v>
      </c>
      <c r="D34" s="213" t="s">
        <v>4366</v>
      </c>
      <c r="E34" s="213" t="s">
        <v>334</v>
      </c>
      <c r="F34" s="212" t="s">
        <v>6158</v>
      </c>
      <c r="G34" s="212" t="str">
        <f t="shared" si="1"/>
        <v>401용역매출</v>
      </c>
      <c r="H34" s="214">
        <v>0</v>
      </c>
      <c r="I34" s="214">
        <v>150000</v>
      </c>
      <c r="J34" s="214">
        <f t="shared" si="2"/>
        <v>150000</v>
      </c>
      <c r="K34" s="212" t="s">
        <v>6268</v>
      </c>
      <c r="L34" s="213"/>
      <c r="M34" s="212" t="s">
        <v>6179</v>
      </c>
    </row>
    <row r="35" spans="1:13" ht="21" customHeight="1">
      <c r="A35" s="213" t="s">
        <v>6954</v>
      </c>
      <c r="B35" s="215">
        <f t="shared" si="0"/>
        <v>45659</v>
      </c>
      <c r="C35" s="213" t="s">
        <v>6186</v>
      </c>
      <c r="D35" s="213" t="s">
        <v>4369</v>
      </c>
      <c r="E35" s="213" t="s">
        <v>333</v>
      </c>
      <c r="F35" s="212" t="s">
        <v>4365</v>
      </c>
      <c r="G35" s="212" t="str">
        <f t="shared" si="1"/>
        <v>101현금</v>
      </c>
      <c r="H35" s="214">
        <v>165000</v>
      </c>
      <c r="I35" s="214">
        <v>0</v>
      </c>
      <c r="J35" s="214">
        <f t="shared" si="2"/>
        <v>-165000</v>
      </c>
      <c r="K35" s="212" t="s">
        <v>6268</v>
      </c>
      <c r="L35" s="213"/>
      <c r="M35" s="212" t="s">
        <v>6179</v>
      </c>
    </row>
    <row r="36" spans="1:13" ht="21" customHeight="1">
      <c r="A36" s="213" t="s">
        <v>6954</v>
      </c>
      <c r="B36" s="215">
        <f t="shared" si="0"/>
        <v>45659</v>
      </c>
      <c r="C36" s="213" t="s">
        <v>6189</v>
      </c>
      <c r="D36" s="213" t="s">
        <v>4366</v>
      </c>
      <c r="E36" s="213" t="s">
        <v>6176</v>
      </c>
      <c r="F36" s="212" t="s">
        <v>6177</v>
      </c>
      <c r="G36" s="212" t="str">
        <f t="shared" si="1"/>
        <v>255부가세예수금</v>
      </c>
      <c r="H36" s="214">
        <v>0</v>
      </c>
      <c r="I36" s="214">
        <v>15000</v>
      </c>
      <c r="J36" s="214">
        <f t="shared" si="2"/>
        <v>15000</v>
      </c>
      <c r="K36" s="212" t="s">
        <v>6232</v>
      </c>
      <c r="L36" s="213"/>
      <c r="M36" s="212" t="s">
        <v>6179</v>
      </c>
    </row>
    <row r="37" spans="1:13" ht="21" customHeight="1">
      <c r="A37" s="213" t="s">
        <v>6954</v>
      </c>
      <c r="B37" s="215">
        <f t="shared" si="0"/>
        <v>45659</v>
      </c>
      <c r="C37" s="213" t="s">
        <v>6189</v>
      </c>
      <c r="D37" s="213" t="s">
        <v>4366</v>
      </c>
      <c r="E37" s="213" t="s">
        <v>334</v>
      </c>
      <c r="F37" s="212" t="s">
        <v>6158</v>
      </c>
      <c r="G37" s="212" t="str">
        <f t="shared" si="1"/>
        <v>401용역매출</v>
      </c>
      <c r="H37" s="214">
        <v>0</v>
      </c>
      <c r="I37" s="214">
        <v>150000</v>
      </c>
      <c r="J37" s="214">
        <f t="shared" si="2"/>
        <v>150000</v>
      </c>
      <c r="K37" s="212" t="s">
        <v>6232</v>
      </c>
      <c r="L37" s="213"/>
      <c r="M37" s="212" t="s">
        <v>6179</v>
      </c>
    </row>
    <row r="38" spans="1:13" ht="21" customHeight="1">
      <c r="A38" s="213" t="s">
        <v>6954</v>
      </c>
      <c r="B38" s="215">
        <f t="shared" si="0"/>
        <v>45659</v>
      </c>
      <c r="C38" s="213" t="s">
        <v>6189</v>
      </c>
      <c r="D38" s="213" t="s">
        <v>4369</v>
      </c>
      <c r="E38" s="213" t="s">
        <v>333</v>
      </c>
      <c r="F38" s="212" t="s">
        <v>4365</v>
      </c>
      <c r="G38" s="212" t="str">
        <f t="shared" si="1"/>
        <v>101현금</v>
      </c>
      <c r="H38" s="214">
        <v>165000</v>
      </c>
      <c r="I38" s="214">
        <v>0</v>
      </c>
      <c r="J38" s="214">
        <f t="shared" si="2"/>
        <v>-165000</v>
      </c>
      <c r="K38" s="212" t="s">
        <v>6232</v>
      </c>
      <c r="L38" s="213"/>
      <c r="M38" s="212" t="s">
        <v>6179</v>
      </c>
    </row>
    <row r="39" spans="1:13" ht="21" customHeight="1">
      <c r="A39" s="213" t="s">
        <v>6954</v>
      </c>
      <c r="B39" s="215">
        <f t="shared" si="0"/>
        <v>45659</v>
      </c>
      <c r="C39" s="213" t="s">
        <v>6191</v>
      </c>
      <c r="D39" s="213" t="s">
        <v>4366</v>
      </c>
      <c r="E39" s="213" t="s">
        <v>6176</v>
      </c>
      <c r="F39" s="212" t="s">
        <v>6177</v>
      </c>
      <c r="G39" s="212" t="str">
        <f t="shared" si="1"/>
        <v>255부가세예수금</v>
      </c>
      <c r="H39" s="214">
        <v>0</v>
      </c>
      <c r="I39" s="214">
        <v>10000</v>
      </c>
      <c r="J39" s="214">
        <f t="shared" si="2"/>
        <v>10000</v>
      </c>
      <c r="K39" s="212" t="s">
        <v>6269</v>
      </c>
      <c r="L39" s="213"/>
      <c r="M39" s="212" t="s">
        <v>6185</v>
      </c>
    </row>
    <row r="40" spans="1:13" ht="21" customHeight="1">
      <c r="A40" s="213" t="s">
        <v>6954</v>
      </c>
      <c r="B40" s="215">
        <f t="shared" si="0"/>
        <v>45659</v>
      </c>
      <c r="C40" s="213" t="s">
        <v>6191</v>
      </c>
      <c r="D40" s="213" t="s">
        <v>4366</v>
      </c>
      <c r="E40" s="213" t="s">
        <v>334</v>
      </c>
      <c r="F40" s="212" t="s">
        <v>6158</v>
      </c>
      <c r="G40" s="212" t="str">
        <f t="shared" si="1"/>
        <v>401용역매출</v>
      </c>
      <c r="H40" s="214">
        <v>0</v>
      </c>
      <c r="I40" s="214">
        <v>100000</v>
      </c>
      <c r="J40" s="214">
        <f t="shared" si="2"/>
        <v>100000</v>
      </c>
      <c r="K40" s="212" t="s">
        <v>6269</v>
      </c>
      <c r="L40" s="213"/>
      <c r="M40" s="212" t="s">
        <v>6185</v>
      </c>
    </row>
    <row r="41" spans="1:13" ht="21" customHeight="1">
      <c r="A41" s="213" t="s">
        <v>6954</v>
      </c>
      <c r="B41" s="215">
        <f t="shared" si="0"/>
        <v>45659</v>
      </c>
      <c r="C41" s="213" t="s">
        <v>6191</v>
      </c>
      <c r="D41" s="213" t="s">
        <v>4369</v>
      </c>
      <c r="E41" s="213" t="s">
        <v>333</v>
      </c>
      <c r="F41" s="212" t="s">
        <v>4365</v>
      </c>
      <c r="G41" s="212" t="str">
        <f t="shared" si="1"/>
        <v>101현금</v>
      </c>
      <c r="H41" s="214">
        <v>110000</v>
      </c>
      <c r="I41" s="214">
        <v>0</v>
      </c>
      <c r="J41" s="214">
        <f t="shared" si="2"/>
        <v>-110000</v>
      </c>
      <c r="K41" s="212" t="s">
        <v>6269</v>
      </c>
      <c r="L41" s="213"/>
      <c r="M41" s="212" t="s">
        <v>6185</v>
      </c>
    </row>
    <row r="42" spans="1:13" ht="21" customHeight="1">
      <c r="A42" s="213" t="s">
        <v>6954</v>
      </c>
      <c r="B42" s="215">
        <f t="shared" si="0"/>
        <v>45659</v>
      </c>
      <c r="C42" s="213" t="s">
        <v>6216</v>
      </c>
      <c r="D42" s="213" t="s">
        <v>4366</v>
      </c>
      <c r="E42" s="213" t="s">
        <v>6176</v>
      </c>
      <c r="F42" s="212" t="s">
        <v>6177</v>
      </c>
      <c r="G42" s="212" t="str">
        <f t="shared" si="1"/>
        <v>255부가세예수금</v>
      </c>
      <c r="H42" s="214">
        <v>0</v>
      </c>
      <c r="I42" s="214">
        <v>15000</v>
      </c>
      <c r="J42" s="214">
        <f t="shared" si="2"/>
        <v>15000</v>
      </c>
      <c r="K42" s="212" t="s">
        <v>6310</v>
      </c>
      <c r="L42" s="213"/>
      <c r="M42" s="212" t="s">
        <v>6179</v>
      </c>
    </row>
    <row r="43" spans="1:13" ht="21" customHeight="1">
      <c r="A43" s="213" t="s">
        <v>6954</v>
      </c>
      <c r="B43" s="215">
        <f t="shared" si="0"/>
        <v>45659</v>
      </c>
      <c r="C43" s="213" t="s">
        <v>6216</v>
      </c>
      <c r="D43" s="213" t="s">
        <v>4366</v>
      </c>
      <c r="E43" s="213" t="s">
        <v>334</v>
      </c>
      <c r="F43" s="212" t="s">
        <v>6158</v>
      </c>
      <c r="G43" s="212" t="str">
        <f t="shared" si="1"/>
        <v>401용역매출</v>
      </c>
      <c r="H43" s="214">
        <v>0</v>
      </c>
      <c r="I43" s="214">
        <v>150000</v>
      </c>
      <c r="J43" s="214">
        <f t="shared" si="2"/>
        <v>150000</v>
      </c>
      <c r="K43" s="212" t="s">
        <v>6310</v>
      </c>
      <c r="L43" s="213"/>
      <c r="M43" s="212" t="s">
        <v>6179</v>
      </c>
    </row>
    <row r="44" spans="1:13" ht="21" customHeight="1">
      <c r="A44" s="213" t="s">
        <v>6954</v>
      </c>
      <c r="B44" s="215">
        <f t="shared" si="0"/>
        <v>45659</v>
      </c>
      <c r="C44" s="213" t="s">
        <v>6216</v>
      </c>
      <c r="D44" s="213" t="s">
        <v>4369</v>
      </c>
      <c r="E44" s="213" t="s">
        <v>333</v>
      </c>
      <c r="F44" s="212" t="s">
        <v>4365</v>
      </c>
      <c r="G44" s="212" t="str">
        <f t="shared" si="1"/>
        <v>101현금</v>
      </c>
      <c r="H44" s="214">
        <v>165000</v>
      </c>
      <c r="I44" s="214">
        <v>0</v>
      </c>
      <c r="J44" s="214">
        <f t="shared" si="2"/>
        <v>-165000</v>
      </c>
      <c r="K44" s="212" t="s">
        <v>6310</v>
      </c>
      <c r="L44" s="213"/>
      <c r="M44" s="212" t="s">
        <v>6179</v>
      </c>
    </row>
    <row r="45" spans="1:13" ht="21" customHeight="1">
      <c r="A45" s="213" t="s">
        <v>6954</v>
      </c>
      <c r="B45" s="215">
        <f t="shared" si="0"/>
        <v>45659</v>
      </c>
      <c r="C45" s="213" t="s">
        <v>6217</v>
      </c>
      <c r="D45" s="213" t="s">
        <v>4366</v>
      </c>
      <c r="E45" s="213" t="s">
        <v>6176</v>
      </c>
      <c r="F45" s="212" t="s">
        <v>6177</v>
      </c>
      <c r="G45" s="212" t="str">
        <f t="shared" si="1"/>
        <v>255부가세예수금</v>
      </c>
      <c r="H45" s="214">
        <v>0</v>
      </c>
      <c r="I45" s="214">
        <v>12000</v>
      </c>
      <c r="J45" s="214">
        <f t="shared" si="2"/>
        <v>12000</v>
      </c>
      <c r="K45" s="212" t="s">
        <v>6270</v>
      </c>
      <c r="L45" s="213"/>
      <c r="M45" s="212" t="s">
        <v>6225</v>
      </c>
    </row>
    <row r="46" spans="1:13" ht="21" customHeight="1">
      <c r="A46" s="213" t="s">
        <v>6954</v>
      </c>
      <c r="B46" s="215">
        <f t="shared" si="0"/>
        <v>45659</v>
      </c>
      <c r="C46" s="213" t="s">
        <v>6217</v>
      </c>
      <c r="D46" s="213" t="s">
        <v>4366</v>
      </c>
      <c r="E46" s="213" t="s">
        <v>334</v>
      </c>
      <c r="F46" s="212" t="s">
        <v>6158</v>
      </c>
      <c r="G46" s="212" t="str">
        <f t="shared" si="1"/>
        <v>401용역매출</v>
      </c>
      <c r="H46" s="214">
        <v>0</v>
      </c>
      <c r="I46" s="214">
        <v>120000</v>
      </c>
      <c r="J46" s="214">
        <f t="shared" si="2"/>
        <v>120000</v>
      </c>
      <c r="K46" s="212" t="s">
        <v>6270</v>
      </c>
      <c r="L46" s="213"/>
      <c r="M46" s="212" t="s">
        <v>6225</v>
      </c>
    </row>
    <row r="47" spans="1:13" ht="21" customHeight="1">
      <c r="A47" s="213" t="s">
        <v>6954</v>
      </c>
      <c r="B47" s="215">
        <f t="shared" si="0"/>
        <v>45659</v>
      </c>
      <c r="C47" s="213" t="s">
        <v>6217</v>
      </c>
      <c r="D47" s="213" t="s">
        <v>4369</v>
      </c>
      <c r="E47" s="213" t="s">
        <v>333</v>
      </c>
      <c r="F47" s="212" t="s">
        <v>4365</v>
      </c>
      <c r="G47" s="212" t="str">
        <f t="shared" si="1"/>
        <v>101현금</v>
      </c>
      <c r="H47" s="214">
        <v>132000</v>
      </c>
      <c r="I47" s="214">
        <v>0</v>
      </c>
      <c r="J47" s="214">
        <f t="shared" si="2"/>
        <v>-132000</v>
      </c>
      <c r="K47" s="212" t="s">
        <v>6270</v>
      </c>
      <c r="L47" s="213"/>
      <c r="M47" s="212" t="s">
        <v>6225</v>
      </c>
    </row>
    <row r="48" spans="1:13" ht="21" customHeight="1">
      <c r="A48" s="213" t="s">
        <v>6954</v>
      </c>
      <c r="B48" s="215">
        <f t="shared" si="0"/>
        <v>45659</v>
      </c>
      <c r="C48" s="213" t="s">
        <v>6218</v>
      </c>
      <c r="D48" s="213" t="s">
        <v>4366</v>
      </c>
      <c r="E48" s="213" t="s">
        <v>6176</v>
      </c>
      <c r="F48" s="212" t="s">
        <v>6177</v>
      </c>
      <c r="G48" s="212" t="str">
        <f t="shared" si="1"/>
        <v>255부가세예수금</v>
      </c>
      <c r="H48" s="214">
        <v>0</v>
      </c>
      <c r="I48" s="214">
        <v>15000</v>
      </c>
      <c r="J48" s="214">
        <f t="shared" si="2"/>
        <v>15000</v>
      </c>
      <c r="K48" s="212" t="s">
        <v>6267</v>
      </c>
      <c r="L48" s="213"/>
      <c r="M48" s="212" t="s">
        <v>6179</v>
      </c>
    </row>
    <row r="49" spans="1:13" ht="21" customHeight="1">
      <c r="A49" s="213" t="s">
        <v>6954</v>
      </c>
      <c r="B49" s="215">
        <f t="shared" si="0"/>
        <v>45659</v>
      </c>
      <c r="C49" s="213" t="s">
        <v>6218</v>
      </c>
      <c r="D49" s="213" t="s">
        <v>4366</v>
      </c>
      <c r="E49" s="213" t="s">
        <v>334</v>
      </c>
      <c r="F49" s="212" t="s">
        <v>6158</v>
      </c>
      <c r="G49" s="212" t="str">
        <f t="shared" si="1"/>
        <v>401용역매출</v>
      </c>
      <c r="H49" s="214">
        <v>0</v>
      </c>
      <c r="I49" s="214">
        <v>150000</v>
      </c>
      <c r="J49" s="214">
        <f t="shared" si="2"/>
        <v>150000</v>
      </c>
      <c r="K49" s="212" t="s">
        <v>6267</v>
      </c>
      <c r="L49" s="213"/>
      <c r="M49" s="212" t="s">
        <v>6179</v>
      </c>
    </row>
    <row r="50" spans="1:13" ht="21" customHeight="1">
      <c r="A50" s="213" t="s">
        <v>6954</v>
      </c>
      <c r="B50" s="215">
        <f t="shared" si="0"/>
        <v>45659</v>
      </c>
      <c r="C50" s="213" t="s">
        <v>6218</v>
      </c>
      <c r="D50" s="213" t="s">
        <v>4369</v>
      </c>
      <c r="E50" s="213" t="s">
        <v>333</v>
      </c>
      <c r="F50" s="212" t="s">
        <v>4365</v>
      </c>
      <c r="G50" s="212" t="str">
        <f t="shared" si="1"/>
        <v>101현금</v>
      </c>
      <c r="H50" s="214">
        <v>165000</v>
      </c>
      <c r="I50" s="214">
        <v>0</v>
      </c>
      <c r="J50" s="214">
        <f t="shared" si="2"/>
        <v>-165000</v>
      </c>
      <c r="K50" s="212" t="s">
        <v>6267</v>
      </c>
      <c r="L50" s="213"/>
      <c r="M50" s="212" t="s">
        <v>6179</v>
      </c>
    </row>
    <row r="51" spans="1:13" ht="21" customHeight="1">
      <c r="A51" s="213" t="s">
        <v>6954</v>
      </c>
      <c r="B51" s="215">
        <f t="shared" si="0"/>
        <v>45659</v>
      </c>
      <c r="C51" s="213" t="s">
        <v>6238</v>
      </c>
      <c r="D51" s="213" t="s">
        <v>4366</v>
      </c>
      <c r="E51" s="213" t="s">
        <v>333</v>
      </c>
      <c r="F51" s="212" t="s">
        <v>4365</v>
      </c>
      <c r="G51" s="212" t="str">
        <f t="shared" si="1"/>
        <v>101현금</v>
      </c>
      <c r="H51" s="214">
        <v>0</v>
      </c>
      <c r="I51" s="214">
        <v>140000</v>
      </c>
      <c r="J51" s="214">
        <f t="shared" si="2"/>
        <v>140000</v>
      </c>
      <c r="K51" s="212" t="s">
        <v>6371</v>
      </c>
      <c r="L51" s="213"/>
      <c r="M51" s="212"/>
    </row>
    <row r="52" spans="1:13" ht="21" customHeight="1">
      <c r="A52" s="213" t="s">
        <v>6954</v>
      </c>
      <c r="B52" s="215">
        <f t="shared" si="0"/>
        <v>45659</v>
      </c>
      <c r="C52" s="213" t="s">
        <v>6238</v>
      </c>
      <c r="D52" s="213" t="s">
        <v>4369</v>
      </c>
      <c r="E52" s="213" t="s">
        <v>4383</v>
      </c>
      <c r="F52" s="212" t="s">
        <v>6525</v>
      </c>
      <c r="G52" s="212" t="str">
        <f t="shared" si="1"/>
        <v>830소모품비(판)</v>
      </c>
      <c r="H52" s="214">
        <v>127273</v>
      </c>
      <c r="I52" s="214">
        <v>0</v>
      </c>
      <c r="J52" s="214">
        <f t="shared" si="2"/>
        <v>-127273</v>
      </c>
      <c r="K52" s="212" t="s">
        <v>4384</v>
      </c>
      <c r="L52" s="213" t="s">
        <v>6411</v>
      </c>
      <c r="M52" s="212"/>
    </row>
    <row r="53" spans="1:13" ht="21" customHeight="1">
      <c r="A53" s="213" t="s">
        <v>6954</v>
      </c>
      <c r="B53" s="215">
        <f t="shared" si="0"/>
        <v>45659</v>
      </c>
      <c r="C53" s="213" t="s">
        <v>6238</v>
      </c>
      <c r="D53" s="213" t="s">
        <v>4369</v>
      </c>
      <c r="E53" s="213" t="s">
        <v>4371</v>
      </c>
      <c r="F53" s="212" t="s">
        <v>4370</v>
      </c>
      <c r="G53" s="212" t="str">
        <f t="shared" si="1"/>
        <v>135부가세대급금</v>
      </c>
      <c r="H53" s="214">
        <v>12727</v>
      </c>
      <c r="I53" s="214">
        <v>0</v>
      </c>
      <c r="J53" s="214">
        <f t="shared" si="2"/>
        <v>-12727</v>
      </c>
      <c r="K53" s="212" t="s">
        <v>4384</v>
      </c>
      <c r="L53" s="213" t="s">
        <v>6411</v>
      </c>
      <c r="M53" s="212"/>
    </row>
    <row r="54" spans="1:13" ht="21" customHeight="1">
      <c r="A54" s="213" t="s">
        <v>6951</v>
      </c>
      <c r="B54" s="215">
        <f t="shared" si="0"/>
        <v>45660</v>
      </c>
      <c r="C54" s="213" t="s">
        <v>4373</v>
      </c>
      <c r="D54" s="213" t="s">
        <v>4366</v>
      </c>
      <c r="E54" s="213" t="s">
        <v>333</v>
      </c>
      <c r="F54" s="212" t="s">
        <v>4365</v>
      </c>
      <c r="G54" s="212" t="str">
        <f t="shared" si="1"/>
        <v>101현금</v>
      </c>
      <c r="H54" s="214">
        <v>0</v>
      </c>
      <c r="I54" s="214">
        <v>6623</v>
      </c>
      <c r="J54" s="214">
        <f t="shared" si="2"/>
        <v>6623</v>
      </c>
      <c r="K54" s="212" t="s">
        <v>6953</v>
      </c>
      <c r="L54" s="213"/>
      <c r="M54" s="212"/>
    </row>
    <row r="55" spans="1:13" ht="21" customHeight="1">
      <c r="A55" s="213" t="s">
        <v>6951</v>
      </c>
      <c r="B55" s="215">
        <f t="shared" si="0"/>
        <v>45660</v>
      </c>
      <c r="C55" s="213" t="s">
        <v>4373</v>
      </c>
      <c r="D55" s="213" t="s">
        <v>4369</v>
      </c>
      <c r="E55" s="213" t="s">
        <v>4383</v>
      </c>
      <c r="F55" s="212" t="s">
        <v>6525</v>
      </c>
      <c r="G55" s="212" t="str">
        <f t="shared" si="1"/>
        <v>830소모품비(판)</v>
      </c>
      <c r="H55" s="214">
        <v>6623</v>
      </c>
      <c r="I55" s="214">
        <v>0</v>
      </c>
      <c r="J55" s="214">
        <f t="shared" si="2"/>
        <v>-6623</v>
      </c>
      <c r="K55" s="212" t="s">
        <v>6953</v>
      </c>
      <c r="L55" s="213"/>
      <c r="M55" s="212"/>
    </row>
    <row r="56" spans="1:13" ht="21" customHeight="1">
      <c r="A56" s="213" t="s">
        <v>6951</v>
      </c>
      <c r="B56" s="215">
        <f t="shared" si="0"/>
        <v>45660</v>
      </c>
      <c r="C56" s="213" t="s">
        <v>4382</v>
      </c>
      <c r="D56" s="213" t="s">
        <v>4366</v>
      </c>
      <c r="E56" s="213" t="s">
        <v>333</v>
      </c>
      <c r="F56" s="212" t="s">
        <v>4365</v>
      </c>
      <c r="G56" s="212" t="str">
        <f t="shared" si="1"/>
        <v>101현금</v>
      </c>
      <c r="H56" s="214">
        <v>0</v>
      </c>
      <c r="I56" s="214">
        <v>2006</v>
      </c>
      <c r="J56" s="214">
        <f t="shared" si="2"/>
        <v>2006</v>
      </c>
      <c r="K56" s="212" t="s">
        <v>6953</v>
      </c>
      <c r="L56" s="213"/>
      <c r="M56" s="212"/>
    </row>
    <row r="57" spans="1:13" ht="21" customHeight="1">
      <c r="A57" s="213" t="s">
        <v>6951</v>
      </c>
      <c r="B57" s="215">
        <f t="shared" si="0"/>
        <v>45660</v>
      </c>
      <c r="C57" s="213" t="s">
        <v>4382</v>
      </c>
      <c r="D57" s="213" t="s">
        <v>4369</v>
      </c>
      <c r="E57" s="213" t="s">
        <v>4383</v>
      </c>
      <c r="F57" s="212" t="s">
        <v>6525</v>
      </c>
      <c r="G57" s="212" t="str">
        <f t="shared" si="1"/>
        <v>830소모품비(판)</v>
      </c>
      <c r="H57" s="214">
        <v>2006</v>
      </c>
      <c r="I57" s="214">
        <v>0</v>
      </c>
      <c r="J57" s="214">
        <f t="shared" si="2"/>
        <v>-2006</v>
      </c>
      <c r="K57" s="212" t="s">
        <v>6953</v>
      </c>
      <c r="L57" s="213"/>
      <c r="M57" s="212"/>
    </row>
    <row r="58" spans="1:13" ht="21" customHeight="1">
      <c r="A58" s="213" t="s">
        <v>6951</v>
      </c>
      <c r="B58" s="215">
        <f t="shared" si="0"/>
        <v>45660</v>
      </c>
      <c r="C58" s="213" t="s">
        <v>4381</v>
      </c>
      <c r="D58" s="213" t="s">
        <v>4369</v>
      </c>
      <c r="E58" s="213" t="s">
        <v>4383</v>
      </c>
      <c r="F58" s="212" t="s">
        <v>6525</v>
      </c>
      <c r="G58" s="212" t="str">
        <f t="shared" si="1"/>
        <v>830소모품비(판)</v>
      </c>
      <c r="H58" s="214">
        <v>11594</v>
      </c>
      <c r="I58" s="214">
        <v>0</v>
      </c>
      <c r="J58" s="214">
        <f t="shared" si="2"/>
        <v>-11594</v>
      </c>
      <c r="K58" s="212" t="s">
        <v>6952</v>
      </c>
      <c r="L58" s="213"/>
      <c r="M58" s="212"/>
    </row>
    <row r="59" spans="1:13" ht="21" customHeight="1">
      <c r="A59" s="213" t="s">
        <v>6951</v>
      </c>
      <c r="B59" s="215">
        <f t="shared" si="0"/>
        <v>45660</v>
      </c>
      <c r="C59" s="213" t="s">
        <v>4381</v>
      </c>
      <c r="D59" s="213" t="s">
        <v>4366</v>
      </c>
      <c r="E59" s="213" t="s">
        <v>333</v>
      </c>
      <c r="F59" s="212" t="s">
        <v>4365</v>
      </c>
      <c r="G59" s="212" t="str">
        <f t="shared" si="1"/>
        <v>101현금</v>
      </c>
      <c r="H59" s="214">
        <v>0</v>
      </c>
      <c r="I59" s="214">
        <v>11594</v>
      </c>
      <c r="J59" s="214">
        <f t="shared" si="2"/>
        <v>11594</v>
      </c>
      <c r="K59" s="212" t="s">
        <v>6952</v>
      </c>
      <c r="L59" s="213"/>
      <c r="M59" s="212"/>
    </row>
    <row r="60" spans="1:13" ht="21" customHeight="1">
      <c r="A60" s="213" t="s">
        <v>6951</v>
      </c>
      <c r="B60" s="215">
        <f t="shared" si="0"/>
        <v>45660</v>
      </c>
      <c r="C60" s="213" t="s">
        <v>4379</v>
      </c>
      <c r="D60" s="213" t="s">
        <v>4369</v>
      </c>
      <c r="E60" s="213" t="s">
        <v>4383</v>
      </c>
      <c r="F60" s="212" t="s">
        <v>6525</v>
      </c>
      <c r="G60" s="212" t="str">
        <f t="shared" si="1"/>
        <v>830소모품비(판)</v>
      </c>
      <c r="H60" s="214">
        <v>3386</v>
      </c>
      <c r="I60" s="214">
        <v>0</v>
      </c>
      <c r="J60" s="214">
        <f t="shared" si="2"/>
        <v>-3386</v>
      </c>
      <c r="K60" s="212" t="s">
        <v>6952</v>
      </c>
      <c r="L60" s="213"/>
      <c r="M60" s="212"/>
    </row>
    <row r="61" spans="1:13" ht="21" customHeight="1">
      <c r="A61" s="213" t="s">
        <v>6951</v>
      </c>
      <c r="B61" s="215">
        <f t="shared" si="0"/>
        <v>45660</v>
      </c>
      <c r="C61" s="213" t="s">
        <v>4379</v>
      </c>
      <c r="D61" s="213" t="s">
        <v>4366</v>
      </c>
      <c r="E61" s="213" t="s">
        <v>333</v>
      </c>
      <c r="F61" s="212" t="s">
        <v>4365</v>
      </c>
      <c r="G61" s="212" t="str">
        <f t="shared" si="1"/>
        <v>101현금</v>
      </c>
      <c r="H61" s="214">
        <v>0</v>
      </c>
      <c r="I61" s="214">
        <v>3386</v>
      </c>
      <c r="J61" s="214">
        <f t="shared" si="2"/>
        <v>3386</v>
      </c>
      <c r="K61" s="212" t="s">
        <v>6952</v>
      </c>
      <c r="L61" s="213"/>
      <c r="M61" s="212"/>
    </row>
    <row r="62" spans="1:13" ht="21" customHeight="1">
      <c r="A62" s="213" t="s">
        <v>6951</v>
      </c>
      <c r="B62" s="215">
        <f t="shared" si="0"/>
        <v>45660</v>
      </c>
      <c r="C62" s="213" t="s">
        <v>4367</v>
      </c>
      <c r="D62" s="213" t="s">
        <v>4366</v>
      </c>
      <c r="E62" s="213" t="s">
        <v>6176</v>
      </c>
      <c r="F62" s="212" t="s">
        <v>6177</v>
      </c>
      <c r="G62" s="212" t="str">
        <f t="shared" si="1"/>
        <v>255부가세예수금</v>
      </c>
      <c r="H62" s="214">
        <v>0</v>
      </c>
      <c r="I62" s="214">
        <v>10000</v>
      </c>
      <c r="J62" s="214">
        <f t="shared" si="2"/>
        <v>10000</v>
      </c>
      <c r="K62" s="212" t="s">
        <v>6268</v>
      </c>
      <c r="L62" s="213"/>
      <c r="M62" s="212" t="s">
        <v>6185</v>
      </c>
    </row>
    <row r="63" spans="1:13" ht="21" customHeight="1">
      <c r="A63" s="213" t="s">
        <v>6951</v>
      </c>
      <c r="B63" s="215">
        <f t="shared" si="0"/>
        <v>45660</v>
      </c>
      <c r="C63" s="213" t="s">
        <v>4367</v>
      </c>
      <c r="D63" s="213" t="s">
        <v>4366</v>
      </c>
      <c r="E63" s="213" t="s">
        <v>334</v>
      </c>
      <c r="F63" s="212" t="s">
        <v>6158</v>
      </c>
      <c r="G63" s="212" t="str">
        <f t="shared" si="1"/>
        <v>401용역매출</v>
      </c>
      <c r="H63" s="214">
        <v>0</v>
      </c>
      <c r="I63" s="214">
        <v>100000</v>
      </c>
      <c r="J63" s="214">
        <f t="shared" si="2"/>
        <v>100000</v>
      </c>
      <c r="K63" s="212" t="s">
        <v>6268</v>
      </c>
      <c r="L63" s="213"/>
      <c r="M63" s="212" t="s">
        <v>6185</v>
      </c>
    </row>
    <row r="64" spans="1:13" ht="21" customHeight="1">
      <c r="A64" s="213" t="s">
        <v>6951</v>
      </c>
      <c r="B64" s="215">
        <f t="shared" si="0"/>
        <v>45660</v>
      </c>
      <c r="C64" s="213" t="s">
        <v>4367</v>
      </c>
      <c r="D64" s="213" t="s">
        <v>4369</v>
      </c>
      <c r="E64" s="213" t="s">
        <v>333</v>
      </c>
      <c r="F64" s="212" t="s">
        <v>4365</v>
      </c>
      <c r="G64" s="212" t="str">
        <f t="shared" si="1"/>
        <v>101현금</v>
      </c>
      <c r="H64" s="214">
        <v>110000</v>
      </c>
      <c r="I64" s="214">
        <v>0</v>
      </c>
      <c r="J64" s="214">
        <f t="shared" si="2"/>
        <v>-110000</v>
      </c>
      <c r="K64" s="212" t="s">
        <v>6268</v>
      </c>
      <c r="L64" s="213"/>
      <c r="M64" s="212" t="s">
        <v>6185</v>
      </c>
    </row>
    <row r="65" spans="1:13" ht="21" customHeight="1">
      <c r="A65" s="217" t="s">
        <v>6941</v>
      </c>
      <c r="B65" s="215">
        <f t="shared" si="0"/>
        <v>45661</v>
      </c>
      <c r="C65" s="213" t="s">
        <v>4373</v>
      </c>
      <c r="D65" s="213" t="s">
        <v>4369</v>
      </c>
      <c r="E65" s="213" t="s">
        <v>4499</v>
      </c>
      <c r="F65" s="212" t="s">
        <v>6517</v>
      </c>
      <c r="G65" s="212" t="str">
        <f t="shared" si="1"/>
        <v>811복리후생비(판)</v>
      </c>
      <c r="H65" s="214">
        <v>13000</v>
      </c>
      <c r="I65" s="214">
        <v>0</v>
      </c>
      <c r="J65" s="214">
        <f t="shared" si="2"/>
        <v>-13000</v>
      </c>
      <c r="K65" s="212" t="s">
        <v>6950</v>
      </c>
      <c r="L65" s="213" t="s">
        <v>1327</v>
      </c>
      <c r="M65" s="212" t="s">
        <v>6356</v>
      </c>
    </row>
    <row r="66" spans="1:13" ht="21" customHeight="1">
      <c r="A66" s="217" t="s">
        <v>6941</v>
      </c>
      <c r="B66" s="215">
        <f t="shared" ref="B66:B129" si="3">DATEVALUE(A66)</f>
        <v>45661</v>
      </c>
      <c r="C66" s="213" t="s">
        <v>4373</v>
      </c>
      <c r="D66" s="213" t="s">
        <v>4366</v>
      </c>
      <c r="E66" s="213" t="s">
        <v>333</v>
      </c>
      <c r="F66" s="212" t="s">
        <v>4365</v>
      </c>
      <c r="G66" s="212" t="str">
        <f t="shared" ref="G66:G129" si="4">E66&amp;F66</f>
        <v>101현금</v>
      </c>
      <c r="H66" s="214">
        <v>0</v>
      </c>
      <c r="I66" s="214">
        <v>13000</v>
      </c>
      <c r="J66" s="214">
        <f t="shared" ref="J66:J129" si="5">I66-H66</f>
        <v>13000</v>
      </c>
      <c r="K66" s="212" t="s">
        <v>6369</v>
      </c>
      <c r="L66" s="213"/>
      <c r="M66" s="212"/>
    </row>
    <row r="67" spans="1:13" ht="21" customHeight="1">
      <c r="A67" s="217" t="s">
        <v>6941</v>
      </c>
      <c r="B67" s="215">
        <f t="shared" si="3"/>
        <v>45661</v>
      </c>
      <c r="C67" s="213" t="s">
        <v>4382</v>
      </c>
      <c r="D67" s="213" t="s">
        <v>4369</v>
      </c>
      <c r="E67" s="213" t="s">
        <v>4499</v>
      </c>
      <c r="F67" s="212" t="s">
        <v>6517</v>
      </c>
      <c r="G67" s="212" t="str">
        <f t="shared" si="4"/>
        <v>811복리후생비(판)</v>
      </c>
      <c r="H67" s="214">
        <v>3000</v>
      </c>
      <c r="I67" s="214">
        <v>0</v>
      </c>
      <c r="J67" s="214">
        <f t="shared" si="5"/>
        <v>-3000</v>
      </c>
      <c r="K67" s="212" t="s">
        <v>6288</v>
      </c>
      <c r="L67" s="213"/>
      <c r="M67" s="212"/>
    </row>
    <row r="68" spans="1:13" ht="21" customHeight="1">
      <c r="A68" s="217" t="s">
        <v>6941</v>
      </c>
      <c r="B68" s="215">
        <f t="shared" si="3"/>
        <v>45661</v>
      </c>
      <c r="C68" s="213" t="s">
        <v>4382</v>
      </c>
      <c r="D68" s="213" t="s">
        <v>4366</v>
      </c>
      <c r="E68" s="213" t="s">
        <v>333</v>
      </c>
      <c r="F68" s="212" t="s">
        <v>4365</v>
      </c>
      <c r="G68" s="212" t="str">
        <f t="shared" si="4"/>
        <v>101현금</v>
      </c>
      <c r="H68" s="214">
        <v>0</v>
      </c>
      <c r="I68" s="214">
        <v>3000</v>
      </c>
      <c r="J68" s="214">
        <f t="shared" si="5"/>
        <v>3000</v>
      </c>
      <c r="K68" s="212" t="s">
        <v>6200</v>
      </c>
      <c r="L68" s="213"/>
      <c r="M68" s="212"/>
    </row>
    <row r="69" spans="1:13" ht="21" customHeight="1">
      <c r="A69" s="217" t="s">
        <v>6941</v>
      </c>
      <c r="B69" s="215">
        <f t="shared" si="3"/>
        <v>45661</v>
      </c>
      <c r="C69" s="213" t="s">
        <v>4381</v>
      </c>
      <c r="D69" s="213" t="s">
        <v>4369</v>
      </c>
      <c r="E69" s="213" t="s">
        <v>4380</v>
      </c>
      <c r="F69" s="212" t="s">
        <v>6515</v>
      </c>
      <c r="G69" s="212" t="str">
        <f t="shared" si="4"/>
        <v>812여비교통비(판)</v>
      </c>
      <c r="H69" s="214">
        <v>6000</v>
      </c>
      <c r="I69" s="214">
        <v>0</v>
      </c>
      <c r="J69" s="214">
        <f t="shared" si="5"/>
        <v>-6000</v>
      </c>
      <c r="K69" s="212" t="s">
        <v>6949</v>
      </c>
      <c r="L69" s="213"/>
      <c r="M69" s="212"/>
    </row>
    <row r="70" spans="1:13" ht="21" customHeight="1">
      <c r="A70" s="217" t="s">
        <v>6941</v>
      </c>
      <c r="B70" s="215">
        <f t="shared" si="3"/>
        <v>45661</v>
      </c>
      <c r="C70" s="213" t="s">
        <v>4381</v>
      </c>
      <c r="D70" s="213" t="s">
        <v>4366</v>
      </c>
      <c r="E70" s="213" t="s">
        <v>333</v>
      </c>
      <c r="F70" s="212" t="s">
        <v>4365</v>
      </c>
      <c r="G70" s="212" t="str">
        <f t="shared" si="4"/>
        <v>101현금</v>
      </c>
      <c r="H70" s="214">
        <v>0</v>
      </c>
      <c r="I70" s="214">
        <v>6000</v>
      </c>
      <c r="J70" s="214">
        <f t="shared" si="5"/>
        <v>6000</v>
      </c>
      <c r="K70" s="212" t="s">
        <v>6369</v>
      </c>
      <c r="L70" s="213"/>
      <c r="M70" s="212"/>
    </row>
    <row r="71" spans="1:13" ht="21" customHeight="1">
      <c r="A71" s="217" t="s">
        <v>6941</v>
      </c>
      <c r="B71" s="215">
        <f t="shared" si="3"/>
        <v>45661</v>
      </c>
      <c r="C71" s="213" t="s">
        <v>4379</v>
      </c>
      <c r="D71" s="213" t="s">
        <v>4369</v>
      </c>
      <c r="E71" s="213" t="s">
        <v>4380</v>
      </c>
      <c r="F71" s="212" t="s">
        <v>6515</v>
      </c>
      <c r="G71" s="212" t="str">
        <f t="shared" si="4"/>
        <v>812여비교통비(판)</v>
      </c>
      <c r="H71" s="214">
        <v>9000</v>
      </c>
      <c r="I71" s="214">
        <v>0</v>
      </c>
      <c r="J71" s="214">
        <f t="shared" si="5"/>
        <v>-9000</v>
      </c>
      <c r="K71" s="212" t="s">
        <v>6948</v>
      </c>
      <c r="L71" s="213"/>
      <c r="M71" s="212"/>
    </row>
    <row r="72" spans="1:13" ht="21" customHeight="1">
      <c r="A72" s="217" t="s">
        <v>6941</v>
      </c>
      <c r="B72" s="215">
        <f t="shared" si="3"/>
        <v>45661</v>
      </c>
      <c r="C72" s="213" t="s">
        <v>4379</v>
      </c>
      <c r="D72" s="213" t="s">
        <v>4366</v>
      </c>
      <c r="E72" s="213" t="s">
        <v>333</v>
      </c>
      <c r="F72" s="212" t="s">
        <v>4365</v>
      </c>
      <c r="G72" s="212" t="str">
        <f t="shared" si="4"/>
        <v>101현금</v>
      </c>
      <c r="H72" s="214">
        <v>0</v>
      </c>
      <c r="I72" s="214">
        <v>9000</v>
      </c>
      <c r="J72" s="214">
        <f t="shared" si="5"/>
        <v>9000</v>
      </c>
      <c r="K72" s="212" t="s">
        <v>6369</v>
      </c>
      <c r="L72" s="213"/>
      <c r="M72" s="212"/>
    </row>
    <row r="73" spans="1:13" ht="21" customHeight="1">
      <c r="A73" s="217" t="s">
        <v>6941</v>
      </c>
      <c r="B73" s="215">
        <f t="shared" si="3"/>
        <v>45661</v>
      </c>
      <c r="C73" s="213" t="s">
        <v>4385</v>
      </c>
      <c r="D73" s="213" t="s">
        <v>4369</v>
      </c>
      <c r="E73" s="213" t="s">
        <v>4380</v>
      </c>
      <c r="F73" s="212" t="s">
        <v>6515</v>
      </c>
      <c r="G73" s="212" t="str">
        <f t="shared" si="4"/>
        <v>812여비교통비(판)</v>
      </c>
      <c r="H73" s="214">
        <v>5000</v>
      </c>
      <c r="I73" s="214">
        <v>0</v>
      </c>
      <c r="J73" s="214">
        <f t="shared" si="5"/>
        <v>-5000</v>
      </c>
      <c r="K73" s="212" t="s">
        <v>6947</v>
      </c>
      <c r="L73" s="213"/>
      <c r="M73" s="212"/>
    </row>
    <row r="74" spans="1:13" ht="21" customHeight="1">
      <c r="A74" s="217" t="s">
        <v>6941</v>
      </c>
      <c r="B74" s="215">
        <f t="shared" si="3"/>
        <v>45661</v>
      </c>
      <c r="C74" s="213" t="s">
        <v>4385</v>
      </c>
      <c r="D74" s="213" t="s">
        <v>4366</v>
      </c>
      <c r="E74" s="213" t="s">
        <v>333</v>
      </c>
      <c r="F74" s="212" t="s">
        <v>4365</v>
      </c>
      <c r="G74" s="212" t="str">
        <f t="shared" si="4"/>
        <v>101현금</v>
      </c>
      <c r="H74" s="214">
        <v>0</v>
      </c>
      <c r="I74" s="214">
        <v>5000</v>
      </c>
      <c r="J74" s="214">
        <f t="shared" si="5"/>
        <v>5000</v>
      </c>
      <c r="K74" s="212" t="s">
        <v>6369</v>
      </c>
      <c r="L74" s="213"/>
      <c r="M74" s="212"/>
    </row>
    <row r="75" spans="1:13" ht="21" customHeight="1">
      <c r="A75" s="217" t="s">
        <v>6941</v>
      </c>
      <c r="B75" s="215">
        <f t="shared" si="3"/>
        <v>45661</v>
      </c>
      <c r="C75" s="213" t="s">
        <v>4501</v>
      </c>
      <c r="D75" s="213" t="s">
        <v>4369</v>
      </c>
      <c r="E75" s="213" t="s">
        <v>4380</v>
      </c>
      <c r="F75" s="212" t="s">
        <v>6515</v>
      </c>
      <c r="G75" s="212" t="str">
        <f t="shared" si="4"/>
        <v>812여비교통비(판)</v>
      </c>
      <c r="H75" s="214">
        <v>7000</v>
      </c>
      <c r="I75" s="214">
        <v>0</v>
      </c>
      <c r="J75" s="214">
        <f t="shared" si="5"/>
        <v>-7000</v>
      </c>
      <c r="K75" s="212" t="s">
        <v>6946</v>
      </c>
      <c r="L75" s="213"/>
      <c r="M75" s="212"/>
    </row>
    <row r="76" spans="1:13" ht="21" customHeight="1">
      <c r="A76" s="217" t="s">
        <v>6941</v>
      </c>
      <c r="B76" s="215">
        <f t="shared" si="3"/>
        <v>45661</v>
      </c>
      <c r="C76" s="213" t="s">
        <v>4501</v>
      </c>
      <c r="D76" s="213" t="s">
        <v>4366</v>
      </c>
      <c r="E76" s="213" t="s">
        <v>333</v>
      </c>
      <c r="F76" s="212" t="s">
        <v>4365</v>
      </c>
      <c r="G76" s="212" t="str">
        <f t="shared" si="4"/>
        <v>101현금</v>
      </c>
      <c r="H76" s="214">
        <v>0</v>
      </c>
      <c r="I76" s="214">
        <v>7000</v>
      </c>
      <c r="J76" s="214">
        <f t="shared" si="5"/>
        <v>7000</v>
      </c>
      <c r="K76" s="212" t="s">
        <v>6369</v>
      </c>
      <c r="L76" s="213"/>
      <c r="M76" s="212"/>
    </row>
    <row r="77" spans="1:13" ht="21" customHeight="1">
      <c r="A77" s="217" t="s">
        <v>6941</v>
      </c>
      <c r="B77" s="215">
        <f t="shared" si="3"/>
        <v>45661</v>
      </c>
      <c r="C77" s="213" t="s">
        <v>4502</v>
      </c>
      <c r="D77" s="213" t="s">
        <v>4366</v>
      </c>
      <c r="E77" s="213" t="s">
        <v>333</v>
      </c>
      <c r="F77" s="212" t="s">
        <v>4365</v>
      </c>
      <c r="G77" s="212" t="str">
        <f t="shared" si="4"/>
        <v>101현금</v>
      </c>
      <c r="H77" s="214">
        <v>0</v>
      </c>
      <c r="I77" s="214">
        <v>1200</v>
      </c>
      <c r="J77" s="214">
        <f t="shared" si="5"/>
        <v>1200</v>
      </c>
      <c r="K77" s="212" t="s">
        <v>6369</v>
      </c>
      <c r="L77" s="213"/>
      <c r="M77" s="212"/>
    </row>
    <row r="78" spans="1:13" ht="21" customHeight="1">
      <c r="A78" s="217" t="s">
        <v>6941</v>
      </c>
      <c r="B78" s="215">
        <f t="shared" si="3"/>
        <v>45661</v>
      </c>
      <c r="C78" s="213" t="s">
        <v>4502</v>
      </c>
      <c r="D78" s="213" t="s">
        <v>4369</v>
      </c>
      <c r="E78" s="213" t="s">
        <v>4380</v>
      </c>
      <c r="F78" s="212" t="s">
        <v>6515</v>
      </c>
      <c r="G78" s="212" t="str">
        <f t="shared" si="4"/>
        <v>812여비교통비(판)</v>
      </c>
      <c r="H78" s="214">
        <v>1200</v>
      </c>
      <c r="I78" s="214">
        <v>0</v>
      </c>
      <c r="J78" s="214">
        <f t="shared" si="5"/>
        <v>-1200</v>
      </c>
      <c r="K78" s="212" t="s">
        <v>6945</v>
      </c>
      <c r="L78" s="213"/>
      <c r="M78" s="212"/>
    </row>
    <row r="79" spans="1:13" ht="21" customHeight="1">
      <c r="A79" s="217" t="s">
        <v>6941</v>
      </c>
      <c r="B79" s="215">
        <f t="shared" si="3"/>
        <v>45661</v>
      </c>
      <c r="C79" s="213" t="s">
        <v>4503</v>
      </c>
      <c r="D79" s="213" t="s">
        <v>4369</v>
      </c>
      <c r="E79" s="213" t="s">
        <v>4380</v>
      </c>
      <c r="F79" s="212" t="s">
        <v>6515</v>
      </c>
      <c r="G79" s="212" t="str">
        <f t="shared" si="4"/>
        <v>812여비교통비(판)</v>
      </c>
      <c r="H79" s="214">
        <v>3300</v>
      </c>
      <c r="I79" s="214">
        <v>0</v>
      </c>
      <c r="J79" s="214">
        <f t="shared" si="5"/>
        <v>-3300</v>
      </c>
      <c r="K79" s="212" t="s">
        <v>6944</v>
      </c>
      <c r="L79" s="213"/>
      <c r="M79" s="212"/>
    </row>
    <row r="80" spans="1:13" ht="21" customHeight="1">
      <c r="A80" s="217" t="s">
        <v>6941</v>
      </c>
      <c r="B80" s="215">
        <f t="shared" si="3"/>
        <v>45661</v>
      </c>
      <c r="C80" s="213" t="s">
        <v>4503</v>
      </c>
      <c r="D80" s="213" t="s">
        <v>4366</v>
      </c>
      <c r="E80" s="213" t="s">
        <v>333</v>
      </c>
      <c r="F80" s="212" t="s">
        <v>4365</v>
      </c>
      <c r="G80" s="212" t="str">
        <f t="shared" si="4"/>
        <v>101현금</v>
      </c>
      <c r="H80" s="214">
        <v>0</v>
      </c>
      <c r="I80" s="214">
        <v>3300</v>
      </c>
      <c r="J80" s="214">
        <f t="shared" si="5"/>
        <v>3300</v>
      </c>
      <c r="K80" s="212" t="s">
        <v>6371</v>
      </c>
      <c r="L80" s="213"/>
      <c r="M80" s="212"/>
    </row>
    <row r="81" spans="1:13" ht="21" customHeight="1">
      <c r="A81" s="217" t="s">
        <v>6941</v>
      </c>
      <c r="B81" s="215">
        <f t="shared" si="3"/>
        <v>45661</v>
      </c>
      <c r="C81" s="213" t="s">
        <v>4511</v>
      </c>
      <c r="D81" s="213" t="s">
        <v>4366</v>
      </c>
      <c r="E81" s="213" t="s">
        <v>333</v>
      </c>
      <c r="F81" s="212" t="s">
        <v>4365</v>
      </c>
      <c r="G81" s="212" t="str">
        <f t="shared" si="4"/>
        <v>101현금</v>
      </c>
      <c r="H81" s="214">
        <v>0</v>
      </c>
      <c r="I81" s="214">
        <v>198000</v>
      </c>
      <c r="J81" s="214">
        <f t="shared" si="5"/>
        <v>198000</v>
      </c>
      <c r="K81" s="212" t="s">
        <v>6371</v>
      </c>
      <c r="L81" s="213"/>
      <c r="M81" s="212"/>
    </row>
    <row r="82" spans="1:13" ht="21" customHeight="1">
      <c r="A82" s="217" t="s">
        <v>6941</v>
      </c>
      <c r="B82" s="215">
        <f t="shared" si="3"/>
        <v>45661</v>
      </c>
      <c r="C82" s="213" t="s">
        <v>4511</v>
      </c>
      <c r="D82" s="213" t="s">
        <v>4369</v>
      </c>
      <c r="E82" s="213" t="s">
        <v>4380</v>
      </c>
      <c r="F82" s="212" t="s">
        <v>6515</v>
      </c>
      <c r="G82" s="212" t="str">
        <f t="shared" si="4"/>
        <v>812여비교통비(판)</v>
      </c>
      <c r="H82" s="214">
        <v>198000</v>
      </c>
      <c r="I82" s="214">
        <v>0</v>
      </c>
      <c r="J82" s="214">
        <f t="shared" si="5"/>
        <v>-198000</v>
      </c>
      <c r="K82" s="212" t="s">
        <v>6943</v>
      </c>
      <c r="L82" s="213"/>
      <c r="M82" s="212"/>
    </row>
    <row r="83" spans="1:13" ht="21" customHeight="1">
      <c r="A83" s="217" t="s">
        <v>6941</v>
      </c>
      <c r="B83" s="215">
        <f t="shared" si="3"/>
        <v>45661</v>
      </c>
      <c r="C83" s="213" t="s">
        <v>4512</v>
      </c>
      <c r="D83" s="213" t="s">
        <v>4369</v>
      </c>
      <c r="E83" s="213" t="s">
        <v>4380</v>
      </c>
      <c r="F83" s="212" t="s">
        <v>6515</v>
      </c>
      <c r="G83" s="212" t="str">
        <f t="shared" si="4"/>
        <v>812여비교통비(판)</v>
      </c>
      <c r="H83" s="214">
        <v>10500</v>
      </c>
      <c r="I83" s="214">
        <v>0</v>
      </c>
      <c r="J83" s="214">
        <f t="shared" si="5"/>
        <v>-10500</v>
      </c>
      <c r="K83" s="212" t="s">
        <v>6942</v>
      </c>
      <c r="L83" s="213"/>
      <c r="M83" s="212"/>
    </row>
    <row r="84" spans="1:13" ht="21" customHeight="1">
      <c r="A84" s="217" t="s">
        <v>6941</v>
      </c>
      <c r="B84" s="215">
        <f t="shared" si="3"/>
        <v>45661</v>
      </c>
      <c r="C84" s="213" t="s">
        <v>4512</v>
      </c>
      <c r="D84" s="213" t="s">
        <v>4366</v>
      </c>
      <c r="E84" s="213" t="s">
        <v>333</v>
      </c>
      <c r="F84" s="212" t="s">
        <v>4365</v>
      </c>
      <c r="G84" s="212" t="str">
        <f t="shared" si="4"/>
        <v>101현금</v>
      </c>
      <c r="H84" s="214">
        <v>0</v>
      </c>
      <c r="I84" s="214">
        <v>10500</v>
      </c>
      <c r="J84" s="214">
        <f t="shared" si="5"/>
        <v>10500</v>
      </c>
      <c r="K84" s="212" t="s">
        <v>6369</v>
      </c>
      <c r="L84" s="213"/>
      <c r="M84" s="212"/>
    </row>
    <row r="85" spans="1:13" ht="21" customHeight="1">
      <c r="A85" s="217" t="s">
        <v>6941</v>
      </c>
      <c r="B85" s="215">
        <f t="shared" si="3"/>
        <v>45661</v>
      </c>
      <c r="C85" s="213" t="s">
        <v>4367</v>
      </c>
      <c r="D85" s="213" t="s">
        <v>4369</v>
      </c>
      <c r="E85" s="213" t="s">
        <v>4371</v>
      </c>
      <c r="F85" s="212" t="s">
        <v>4370</v>
      </c>
      <c r="G85" s="212" t="str">
        <f t="shared" si="4"/>
        <v>135부가세대급금</v>
      </c>
      <c r="H85" s="214">
        <v>1368</v>
      </c>
      <c r="I85" s="214">
        <v>0</v>
      </c>
      <c r="J85" s="214">
        <f t="shared" si="5"/>
        <v>-1368</v>
      </c>
      <c r="K85" s="212" t="s">
        <v>6193</v>
      </c>
      <c r="L85" s="213"/>
      <c r="M85" s="212" t="s">
        <v>6940</v>
      </c>
    </row>
    <row r="86" spans="1:13" ht="21" customHeight="1">
      <c r="A86" s="217" t="s">
        <v>6941</v>
      </c>
      <c r="B86" s="215">
        <f t="shared" si="3"/>
        <v>45661</v>
      </c>
      <c r="C86" s="213" t="s">
        <v>4367</v>
      </c>
      <c r="D86" s="213" t="s">
        <v>4369</v>
      </c>
      <c r="E86" s="213" t="s">
        <v>4386</v>
      </c>
      <c r="F86" s="212" t="s">
        <v>6420</v>
      </c>
      <c r="G86" s="212" t="str">
        <f t="shared" si="4"/>
        <v>814통신비(판)</v>
      </c>
      <c r="H86" s="214">
        <v>13681</v>
      </c>
      <c r="I86" s="214">
        <v>0</v>
      </c>
      <c r="J86" s="214">
        <f t="shared" si="5"/>
        <v>-13681</v>
      </c>
      <c r="K86" s="212" t="s">
        <v>6193</v>
      </c>
      <c r="L86" s="213"/>
      <c r="M86" s="212" t="s">
        <v>6940</v>
      </c>
    </row>
    <row r="87" spans="1:13" ht="21" customHeight="1">
      <c r="A87" s="217" t="s">
        <v>6941</v>
      </c>
      <c r="B87" s="215">
        <f t="shared" si="3"/>
        <v>45661</v>
      </c>
      <c r="C87" s="213" t="s">
        <v>4367</v>
      </c>
      <c r="D87" s="213" t="s">
        <v>4366</v>
      </c>
      <c r="E87" s="213" t="s">
        <v>333</v>
      </c>
      <c r="F87" s="212" t="s">
        <v>4365</v>
      </c>
      <c r="G87" s="212" t="str">
        <f t="shared" si="4"/>
        <v>101현금</v>
      </c>
      <c r="H87" s="214">
        <v>0</v>
      </c>
      <c r="I87" s="214">
        <v>15049</v>
      </c>
      <c r="J87" s="214">
        <f t="shared" si="5"/>
        <v>15049</v>
      </c>
      <c r="K87" s="212" t="s">
        <v>6193</v>
      </c>
      <c r="L87" s="213"/>
      <c r="M87" s="212" t="s">
        <v>6940</v>
      </c>
    </row>
    <row r="88" spans="1:13" ht="21" customHeight="1">
      <c r="A88" s="216" t="s">
        <v>6935</v>
      </c>
      <c r="B88" s="215">
        <f t="shared" si="3"/>
        <v>45662</v>
      </c>
      <c r="C88" s="213" t="s">
        <v>4373</v>
      </c>
      <c r="D88" s="213" t="s">
        <v>4369</v>
      </c>
      <c r="E88" s="213" t="s">
        <v>6157</v>
      </c>
      <c r="F88" s="212" t="s">
        <v>6524</v>
      </c>
      <c r="G88" s="212" t="str">
        <f t="shared" si="4"/>
        <v>813접대비(기업업무추진비)(판)</v>
      </c>
      <c r="H88" s="214">
        <v>45000</v>
      </c>
      <c r="I88" s="214">
        <v>0</v>
      </c>
      <c r="J88" s="214">
        <f t="shared" si="5"/>
        <v>-45000</v>
      </c>
      <c r="K88" s="212" t="s">
        <v>6939</v>
      </c>
      <c r="L88" s="213" t="s">
        <v>1327</v>
      </c>
      <c r="M88" s="212" t="s">
        <v>6356</v>
      </c>
    </row>
    <row r="89" spans="1:13" ht="21" customHeight="1">
      <c r="A89" s="216" t="s">
        <v>6935</v>
      </c>
      <c r="B89" s="215">
        <f t="shared" si="3"/>
        <v>45662</v>
      </c>
      <c r="C89" s="213" t="s">
        <v>4373</v>
      </c>
      <c r="D89" s="213" t="s">
        <v>4366</v>
      </c>
      <c r="E89" s="213" t="s">
        <v>333</v>
      </c>
      <c r="F89" s="212" t="s">
        <v>4365</v>
      </c>
      <c r="G89" s="212" t="str">
        <f t="shared" si="4"/>
        <v>101현금</v>
      </c>
      <c r="H89" s="214">
        <v>0</v>
      </c>
      <c r="I89" s="214">
        <v>45000</v>
      </c>
      <c r="J89" s="214">
        <f t="shared" si="5"/>
        <v>45000</v>
      </c>
      <c r="K89" s="212" t="s">
        <v>6371</v>
      </c>
      <c r="L89" s="213"/>
      <c r="M89" s="212"/>
    </row>
    <row r="90" spans="1:13" ht="21" customHeight="1">
      <c r="A90" s="216" t="s">
        <v>6935</v>
      </c>
      <c r="B90" s="215">
        <f t="shared" si="3"/>
        <v>45662</v>
      </c>
      <c r="C90" s="213" t="s">
        <v>4382</v>
      </c>
      <c r="D90" s="213" t="s">
        <v>4369</v>
      </c>
      <c r="E90" s="213" t="s">
        <v>4380</v>
      </c>
      <c r="F90" s="212" t="s">
        <v>6515</v>
      </c>
      <c r="G90" s="212" t="str">
        <f t="shared" si="4"/>
        <v>812여비교통비(판)</v>
      </c>
      <c r="H90" s="214">
        <v>10000</v>
      </c>
      <c r="I90" s="214">
        <v>0</v>
      </c>
      <c r="J90" s="214">
        <f t="shared" si="5"/>
        <v>-10000</v>
      </c>
      <c r="K90" s="212" t="s">
        <v>6938</v>
      </c>
      <c r="L90" s="213"/>
      <c r="M90" s="212"/>
    </row>
    <row r="91" spans="1:13" ht="21" customHeight="1">
      <c r="A91" s="216" t="s">
        <v>6935</v>
      </c>
      <c r="B91" s="215">
        <f t="shared" si="3"/>
        <v>45662</v>
      </c>
      <c r="C91" s="213" t="s">
        <v>4382</v>
      </c>
      <c r="D91" s="213" t="s">
        <v>4366</v>
      </c>
      <c r="E91" s="213" t="s">
        <v>333</v>
      </c>
      <c r="F91" s="212" t="s">
        <v>4365</v>
      </c>
      <c r="G91" s="212" t="str">
        <f t="shared" si="4"/>
        <v>101현금</v>
      </c>
      <c r="H91" s="214">
        <v>0</v>
      </c>
      <c r="I91" s="214">
        <v>10000</v>
      </c>
      <c r="J91" s="214">
        <f t="shared" si="5"/>
        <v>10000</v>
      </c>
      <c r="K91" s="212" t="s">
        <v>6371</v>
      </c>
      <c r="L91" s="213"/>
      <c r="M91" s="212"/>
    </row>
    <row r="92" spans="1:13" ht="21" customHeight="1">
      <c r="A92" s="216" t="s">
        <v>6935</v>
      </c>
      <c r="B92" s="215">
        <f t="shared" si="3"/>
        <v>45662</v>
      </c>
      <c r="C92" s="213" t="s">
        <v>4381</v>
      </c>
      <c r="D92" s="213" t="s">
        <v>4369</v>
      </c>
      <c r="E92" s="213" t="s">
        <v>4380</v>
      </c>
      <c r="F92" s="212" t="s">
        <v>6515</v>
      </c>
      <c r="G92" s="212" t="str">
        <f t="shared" si="4"/>
        <v>812여비교통비(판)</v>
      </c>
      <c r="H92" s="214">
        <v>4300</v>
      </c>
      <c r="I92" s="214">
        <v>0</v>
      </c>
      <c r="J92" s="214">
        <f t="shared" si="5"/>
        <v>-4300</v>
      </c>
      <c r="K92" s="212" t="s">
        <v>6937</v>
      </c>
      <c r="L92" s="213"/>
      <c r="M92" s="212"/>
    </row>
    <row r="93" spans="1:13" ht="21" customHeight="1">
      <c r="A93" s="216" t="s">
        <v>6935</v>
      </c>
      <c r="B93" s="215">
        <f t="shared" si="3"/>
        <v>45662</v>
      </c>
      <c r="C93" s="213" t="s">
        <v>4381</v>
      </c>
      <c r="D93" s="213" t="s">
        <v>4366</v>
      </c>
      <c r="E93" s="213" t="s">
        <v>333</v>
      </c>
      <c r="F93" s="212" t="s">
        <v>4365</v>
      </c>
      <c r="G93" s="212" t="str">
        <f t="shared" si="4"/>
        <v>101현금</v>
      </c>
      <c r="H93" s="214">
        <v>0</v>
      </c>
      <c r="I93" s="214">
        <v>4300</v>
      </c>
      <c r="J93" s="214">
        <f t="shared" si="5"/>
        <v>4300</v>
      </c>
      <c r="K93" s="212" t="s">
        <v>6371</v>
      </c>
      <c r="L93" s="213"/>
      <c r="M93" s="212"/>
    </row>
    <row r="94" spans="1:13" ht="21" customHeight="1">
      <c r="A94" s="216" t="s">
        <v>6935</v>
      </c>
      <c r="B94" s="215">
        <f t="shared" si="3"/>
        <v>45662</v>
      </c>
      <c r="C94" s="213" t="s">
        <v>4379</v>
      </c>
      <c r="D94" s="213" t="s">
        <v>4369</v>
      </c>
      <c r="E94" s="213" t="s">
        <v>4380</v>
      </c>
      <c r="F94" s="212" t="s">
        <v>6515</v>
      </c>
      <c r="G94" s="212" t="str">
        <f t="shared" si="4"/>
        <v>812여비교통비(판)</v>
      </c>
      <c r="H94" s="214">
        <v>20000</v>
      </c>
      <c r="I94" s="214">
        <v>0</v>
      </c>
      <c r="J94" s="214">
        <f t="shared" si="5"/>
        <v>-20000</v>
      </c>
      <c r="K94" s="212" t="s">
        <v>6936</v>
      </c>
      <c r="L94" s="213"/>
      <c r="M94" s="212"/>
    </row>
    <row r="95" spans="1:13" ht="21" customHeight="1">
      <c r="A95" s="216" t="s">
        <v>6935</v>
      </c>
      <c r="B95" s="215">
        <f t="shared" si="3"/>
        <v>45662</v>
      </c>
      <c r="C95" s="213" t="s">
        <v>4379</v>
      </c>
      <c r="D95" s="213" t="s">
        <v>4366</v>
      </c>
      <c r="E95" s="213" t="s">
        <v>333</v>
      </c>
      <c r="F95" s="212" t="s">
        <v>4365</v>
      </c>
      <c r="G95" s="212" t="str">
        <f t="shared" si="4"/>
        <v>101현금</v>
      </c>
      <c r="H95" s="214">
        <v>0</v>
      </c>
      <c r="I95" s="214">
        <v>20000</v>
      </c>
      <c r="J95" s="214">
        <f t="shared" si="5"/>
        <v>20000</v>
      </c>
      <c r="K95" s="212" t="s">
        <v>6369</v>
      </c>
      <c r="L95" s="213"/>
      <c r="M95" s="212"/>
    </row>
    <row r="96" spans="1:13" ht="21" customHeight="1">
      <c r="A96" s="216" t="s">
        <v>6935</v>
      </c>
      <c r="B96" s="215">
        <f t="shared" si="3"/>
        <v>45662</v>
      </c>
      <c r="C96" s="213" t="s">
        <v>4367</v>
      </c>
      <c r="D96" s="213" t="s">
        <v>4366</v>
      </c>
      <c r="E96" s="213" t="s">
        <v>6176</v>
      </c>
      <c r="F96" s="212" t="s">
        <v>6177</v>
      </c>
      <c r="G96" s="212" t="str">
        <f t="shared" si="4"/>
        <v>255부가세예수금</v>
      </c>
      <c r="H96" s="214">
        <v>0</v>
      </c>
      <c r="I96" s="214">
        <v>40000</v>
      </c>
      <c r="J96" s="214">
        <f t="shared" si="5"/>
        <v>40000</v>
      </c>
      <c r="K96" s="212" t="s">
        <v>6187</v>
      </c>
      <c r="L96" s="213"/>
      <c r="M96" s="212" t="s">
        <v>6188</v>
      </c>
    </row>
    <row r="97" spans="1:13" ht="21" customHeight="1">
      <c r="A97" s="216" t="s">
        <v>6935</v>
      </c>
      <c r="B97" s="215">
        <f t="shared" si="3"/>
        <v>45662</v>
      </c>
      <c r="C97" s="213" t="s">
        <v>4367</v>
      </c>
      <c r="D97" s="213" t="s">
        <v>4366</v>
      </c>
      <c r="E97" s="213" t="s">
        <v>334</v>
      </c>
      <c r="F97" s="212" t="s">
        <v>6158</v>
      </c>
      <c r="G97" s="212" t="str">
        <f t="shared" si="4"/>
        <v>401용역매출</v>
      </c>
      <c r="H97" s="214">
        <v>0</v>
      </c>
      <c r="I97" s="214">
        <v>400000</v>
      </c>
      <c r="J97" s="214">
        <f t="shared" si="5"/>
        <v>400000</v>
      </c>
      <c r="K97" s="212" t="s">
        <v>6187</v>
      </c>
      <c r="L97" s="213"/>
      <c r="M97" s="212" t="s">
        <v>6188</v>
      </c>
    </row>
    <row r="98" spans="1:13" ht="21" customHeight="1">
      <c r="A98" s="216" t="s">
        <v>6935</v>
      </c>
      <c r="B98" s="215">
        <f t="shared" si="3"/>
        <v>45662</v>
      </c>
      <c r="C98" s="213" t="s">
        <v>4367</v>
      </c>
      <c r="D98" s="213" t="s">
        <v>4369</v>
      </c>
      <c r="E98" s="213" t="s">
        <v>333</v>
      </c>
      <c r="F98" s="212" t="s">
        <v>4365</v>
      </c>
      <c r="G98" s="212" t="str">
        <f t="shared" si="4"/>
        <v>101현금</v>
      </c>
      <c r="H98" s="214">
        <v>440000</v>
      </c>
      <c r="I98" s="214">
        <v>0</v>
      </c>
      <c r="J98" s="214">
        <f t="shared" si="5"/>
        <v>-440000</v>
      </c>
      <c r="K98" s="212" t="s">
        <v>6187</v>
      </c>
      <c r="L98" s="213"/>
      <c r="M98" s="212" t="s">
        <v>6188</v>
      </c>
    </row>
    <row r="99" spans="1:13" ht="21" customHeight="1">
      <c r="A99" s="216" t="s">
        <v>6935</v>
      </c>
      <c r="B99" s="215">
        <f t="shared" si="3"/>
        <v>45662</v>
      </c>
      <c r="C99" s="213" t="s">
        <v>4374</v>
      </c>
      <c r="D99" s="213" t="s">
        <v>4366</v>
      </c>
      <c r="E99" s="213" t="s">
        <v>333</v>
      </c>
      <c r="F99" s="212" t="s">
        <v>4365</v>
      </c>
      <c r="G99" s="212" t="str">
        <f t="shared" si="4"/>
        <v>101현금</v>
      </c>
      <c r="H99" s="214">
        <v>0</v>
      </c>
      <c r="I99" s="214">
        <v>28900</v>
      </c>
      <c r="J99" s="214">
        <f t="shared" si="5"/>
        <v>28900</v>
      </c>
      <c r="K99" s="212" t="s">
        <v>6371</v>
      </c>
      <c r="L99" s="213"/>
      <c r="M99" s="212"/>
    </row>
    <row r="100" spans="1:13" ht="21" customHeight="1">
      <c r="A100" s="216" t="s">
        <v>6935</v>
      </c>
      <c r="B100" s="215">
        <f t="shared" si="3"/>
        <v>45662</v>
      </c>
      <c r="C100" s="213" t="s">
        <v>4374</v>
      </c>
      <c r="D100" s="213" t="s">
        <v>4369</v>
      </c>
      <c r="E100" s="213" t="s">
        <v>4383</v>
      </c>
      <c r="F100" s="212" t="s">
        <v>6525</v>
      </c>
      <c r="G100" s="212" t="str">
        <f t="shared" si="4"/>
        <v>830소모품비(판)</v>
      </c>
      <c r="H100" s="214">
        <v>26272</v>
      </c>
      <c r="I100" s="214">
        <v>0</v>
      </c>
      <c r="J100" s="214">
        <f t="shared" si="5"/>
        <v>-26272</v>
      </c>
      <c r="K100" s="212" t="s">
        <v>6215</v>
      </c>
      <c r="L100" s="213" t="s">
        <v>6411</v>
      </c>
      <c r="M100" s="212"/>
    </row>
    <row r="101" spans="1:13" ht="21" customHeight="1">
      <c r="A101" s="216" t="s">
        <v>6935</v>
      </c>
      <c r="B101" s="215">
        <f t="shared" si="3"/>
        <v>45662</v>
      </c>
      <c r="C101" s="213" t="s">
        <v>4374</v>
      </c>
      <c r="D101" s="213" t="s">
        <v>4369</v>
      </c>
      <c r="E101" s="213" t="s">
        <v>4371</v>
      </c>
      <c r="F101" s="212" t="s">
        <v>4370</v>
      </c>
      <c r="G101" s="212" t="str">
        <f t="shared" si="4"/>
        <v>135부가세대급금</v>
      </c>
      <c r="H101" s="214">
        <v>2628</v>
      </c>
      <c r="I101" s="214">
        <v>0</v>
      </c>
      <c r="J101" s="214">
        <f t="shared" si="5"/>
        <v>-2628</v>
      </c>
      <c r="K101" s="212" t="s">
        <v>6215</v>
      </c>
      <c r="L101" s="213" t="s">
        <v>6411</v>
      </c>
      <c r="M101" s="212"/>
    </row>
    <row r="102" spans="1:13" ht="21" customHeight="1">
      <c r="A102" s="213" t="s">
        <v>6934</v>
      </c>
      <c r="B102" s="215">
        <f t="shared" si="3"/>
        <v>45663</v>
      </c>
      <c r="C102" s="213" t="s">
        <v>4373</v>
      </c>
      <c r="D102" s="213" t="s">
        <v>4366</v>
      </c>
      <c r="E102" s="213" t="s">
        <v>333</v>
      </c>
      <c r="F102" s="212" t="s">
        <v>4365</v>
      </c>
      <c r="G102" s="212" t="str">
        <f t="shared" si="4"/>
        <v>101현금</v>
      </c>
      <c r="H102" s="214">
        <v>0</v>
      </c>
      <c r="I102" s="214">
        <v>10660</v>
      </c>
      <c r="J102" s="214">
        <f t="shared" si="5"/>
        <v>10660</v>
      </c>
      <c r="K102" s="212" t="s">
        <v>6370</v>
      </c>
      <c r="L102" s="213"/>
      <c r="M102" s="212"/>
    </row>
    <row r="103" spans="1:13" ht="21" customHeight="1">
      <c r="A103" s="213" t="s">
        <v>6934</v>
      </c>
      <c r="B103" s="215">
        <f t="shared" si="3"/>
        <v>45663</v>
      </c>
      <c r="C103" s="213" t="s">
        <v>4373</v>
      </c>
      <c r="D103" s="213" t="s">
        <v>4369</v>
      </c>
      <c r="E103" s="213" t="s">
        <v>4499</v>
      </c>
      <c r="F103" s="212" t="s">
        <v>6517</v>
      </c>
      <c r="G103" s="212" t="str">
        <f t="shared" si="4"/>
        <v>811복리후생비(판)</v>
      </c>
      <c r="H103" s="214">
        <v>10660</v>
      </c>
      <c r="I103" s="214">
        <v>0</v>
      </c>
      <c r="J103" s="214">
        <f t="shared" si="5"/>
        <v>-10660</v>
      </c>
      <c r="K103" s="212" t="s">
        <v>6658</v>
      </c>
      <c r="L103" s="213"/>
      <c r="M103" s="212"/>
    </row>
    <row r="104" spans="1:13" ht="21" customHeight="1">
      <c r="A104" s="213" t="s">
        <v>6934</v>
      </c>
      <c r="B104" s="215">
        <f t="shared" si="3"/>
        <v>45663</v>
      </c>
      <c r="C104" s="213" t="s">
        <v>4382</v>
      </c>
      <c r="D104" s="213" t="s">
        <v>4369</v>
      </c>
      <c r="E104" s="213" t="s">
        <v>4383</v>
      </c>
      <c r="F104" s="212" t="s">
        <v>6525</v>
      </c>
      <c r="G104" s="212" t="str">
        <f t="shared" si="4"/>
        <v>830소모품비(판)</v>
      </c>
      <c r="H104" s="214">
        <v>15000</v>
      </c>
      <c r="I104" s="214">
        <v>0</v>
      </c>
      <c r="J104" s="214">
        <f t="shared" si="5"/>
        <v>-15000</v>
      </c>
      <c r="K104" s="212" t="s">
        <v>6215</v>
      </c>
      <c r="L104" s="213"/>
      <c r="M104" s="212"/>
    </row>
    <row r="105" spans="1:13" ht="21" customHeight="1">
      <c r="A105" s="213" t="s">
        <v>6934</v>
      </c>
      <c r="B105" s="215">
        <f t="shared" si="3"/>
        <v>45663</v>
      </c>
      <c r="C105" s="213" t="s">
        <v>4382</v>
      </c>
      <c r="D105" s="213" t="s">
        <v>4366</v>
      </c>
      <c r="E105" s="213" t="s">
        <v>333</v>
      </c>
      <c r="F105" s="212" t="s">
        <v>4365</v>
      </c>
      <c r="G105" s="212" t="str">
        <f t="shared" si="4"/>
        <v>101현금</v>
      </c>
      <c r="H105" s="214">
        <v>0</v>
      </c>
      <c r="I105" s="214">
        <v>15000</v>
      </c>
      <c r="J105" s="214">
        <f t="shared" si="5"/>
        <v>15000</v>
      </c>
      <c r="K105" s="212" t="s">
        <v>6371</v>
      </c>
      <c r="L105" s="213"/>
      <c r="M105" s="212"/>
    </row>
    <row r="106" spans="1:13" ht="21" customHeight="1">
      <c r="A106" s="213" t="s">
        <v>6933</v>
      </c>
      <c r="B106" s="215">
        <f t="shared" si="3"/>
        <v>45664</v>
      </c>
      <c r="C106" s="213" t="s">
        <v>4373</v>
      </c>
      <c r="D106" s="213" t="s">
        <v>4369</v>
      </c>
      <c r="E106" s="213" t="s">
        <v>4500</v>
      </c>
      <c r="F106" s="212" t="s">
        <v>6418</v>
      </c>
      <c r="G106" s="212" t="str">
        <f t="shared" si="4"/>
        <v>822차량유지비(판)</v>
      </c>
      <c r="H106" s="214">
        <v>50000</v>
      </c>
      <c r="I106" s="214">
        <v>0</v>
      </c>
      <c r="J106" s="214">
        <f t="shared" si="5"/>
        <v>-50000</v>
      </c>
      <c r="K106" s="212" t="s">
        <v>6272</v>
      </c>
      <c r="L106" s="213"/>
      <c r="M106" s="212"/>
    </row>
    <row r="107" spans="1:13" ht="21" customHeight="1">
      <c r="A107" s="213" t="s">
        <v>6933</v>
      </c>
      <c r="B107" s="215">
        <f t="shared" si="3"/>
        <v>45664</v>
      </c>
      <c r="C107" s="213" t="s">
        <v>4373</v>
      </c>
      <c r="D107" s="213" t="s">
        <v>4366</v>
      </c>
      <c r="E107" s="213" t="s">
        <v>333</v>
      </c>
      <c r="F107" s="212" t="s">
        <v>4365</v>
      </c>
      <c r="G107" s="212" t="str">
        <f t="shared" si="4"/>
        <v>101현금</v>
      </c>
      <c r="H107" s="214">
        <v>0</v>
      </c>
      <c r="I107" s="214">
        <v>50000</v>
      </c>
      <c r="J107" s="214">
        <f t="shared" si="5"/>
        <v>50000</v>
      </c>
      <c r="K107" s="212" t="s">
        <v>6371</v>
      </c>
      <c r="L107" s="213"/>
      <c r="M107" s="212"/>
    </row>
    <row r="108" spans="1:13" ht="21" customHeight="1">
      <c r="A108" s="213" t="s">
        <v>6933</v>
      </c>
      <c r="B108" s="215">
        <f t="shared" si="3"/>
        <v>45664</v>
      </c>
      <c r="C108" s="213" t="s">
        <v>4367</v>
      </c>
      <c r="D108" s="213" t="s">
        <v>4369</v>
      </c>
      <c r="E108" s="213" t="s">
        <v>4371</v>
      </c>
      <c r="F108" s="212" t="s">
        <v>4370</v>
      </c>
      <c r="G108" s="212" t="str">
        <f t="shared" si="4"/>
        <v>135부가세대급금</v>
      </c>
      <c r="H108" s="214">
        <v>1920</v>
      </c>
      <c r="I108" s="214">
        <v>0</v>
      </c>
      <c r="J108" s="214">
        <f t="shared" si="5"/>
        <v>-1920</v>
      </c>
      <c r="K108" s="212" t="s">
        <v>4524</v>
      </c>
      <c r="L108" s="213"/>
      <c r="M108" s="212" t="s">
        <v>6199</v>
      </c>
    </row>
    <row r="109" spans="1:13" ht="21" customHeight="1">
      <c r="A109" s="213" t="s">
        <v>6933</v>
      </c>
      <c r="B109" s="215">
        <f t="shared" si="3"/>
        <v>45664</v>
      </c>
      <c r="C109" s="213" t="s">
        <v>4367</v>
      </c>
      <c r="D109" s="213" t="s">
        <v>4369</v>
      </c>
      <c r="E109" s="213" t="s">
        <v>4386</v>
      </c>
      <c r="F109" s="212" t="s">
        <v>6420</v>
      </c>
      <c r="G109" s="212" t="str">
        <f t="shared" si="4"/>
        <v>814통신비(판)</v>
      </c>
      <c r="H109" s="214">
        <v>19200</v>
      </c>
      <c r="I109" s="214">
        <v>0</v>
      </c>
      <c r="J109" s="214">
        <f t="shared" si="5"/>
        <v>-19200</v>
      </c>
      <c r="K109" s="212" t="s">
        <v>4524</v>
      </c>
      <c r="L109" s="213"/>
      <c r="M109" s="212" t="s">
        <v>6199</v>
      </c>
    </row>
    <row r="110" spans="1:13" ht="21" customHeight="1">
      <c r="A110" s="213" t="s">
        <v>6933</v>
      </c>
      <c r="B110" s="215">
        <f t="shared" si="3"/>
        <v>45664</v>
      </c>
      <c r="C110" s="213" t="s">
        <v>4367</v>
      </c>
      <c r="D110" s="213" t="s">
        <v>4366</v>
      </c>
      <c r="E110" s="213" t="s">
        <v>333</v>
      </c>
      <c r="F110" s="212" t="s">
        <v>4365</v>
      </c>
      <c r="G110" s="212" t="str">
        <f t="shared" si="4"/>
        <v>101현금</v>
      </c>
      <c r="H110" s="214">
        <v>0</v>
      </c>
      <c r="I110" s="214">
        <v>21120</v>
      </c>
      <c r="J110" s="214">
        <f t="shared" si="5"/>
        <v>21120</v>
      </c>
      <c r="K110" s="212" t="s">
        <v>4524</v>
      </c>
      <c r="L110" s="213"/>
      <c r="M110" s="212" t="s">
        <v>6199</v>
      </c>
    </row>
    <row r="111" spans="1:13" ht="21" customHeight="1">
      <c r="A111" s="213" t="s">
        <v>6933</v>
      </c>
      <c r="B111" s="215">
        <f t="shared" si="3"/>
        <v>45664</v>
      </c>
      <c r="C111" s="213" t="s">
        <v>4374</v>
      </c>
      <c r="D111" s="213" t="s">
        <v>4369</v>
      </c>
      <c r="E111" s="213" t="s">
        <v>4500</v>
      </c>
      <c r="F111" s="212" t="s">
        <v>6418</v>
      </c>
      <c r="G111" s="212" t="str">
        <f t="shared" si="4"/>
        <v>822차량유지비(판)</v>
      </c>
      <c r="H111" s="214">
        <v>5500</v>
      </c>
      <c r="I111" s="214">
        <v>0</v>
      </c>
      <c r="J111" s="214">
        <f t="shared" si="5"/>
        <v>-5500</v>
      </c>
      <c r="K111" s="212" t="s">
        <v>6284</v>
      </c>
      <c r="L111" s="213"/>
      <c r="M111" s="212" t="s">
        <v>6285</v>
      </c>
    </row>
    <row r="112" spans="1:13" ht="21" customHeight="1">
      <c r="A112" s="213" t="s">
        <v>6933</v>
      </c>
      <c r="B112" s="215">
        <f t="shared" si="3"/>
        <v>45664</v>
      </c>
      <c r="C112" s="213" t="s">
        <v>4374</v>
      </c>
      <c r="D112" s="213" t="s">
        <v>4366</v>
      </c>
      <c r="E112" s="213" t="s">
        <v>333</v>
      </c>
      <c r="F112" s="212" t="s">
        <v>4365</v>
      </c>
      <c r="G112" s="212" t="str">
        <f t="shared" si="4"/>
        <v>101현금</v>
      </c>
      <c r="H112" s="214">
        <v>0</v>
      </c>
      <c r="I112" s="214">
        <v>5500</v>
      </c>
      <c r="J112" s="214">
        <f t="shared" si="5"/>
        <v>5500</v>
      </c>
      <c r="K112" s="212" t="s">
        <v>6284</v>
      </c>
      <c r="L112" s="213"/>
      <c r="M112" s="212" t="s">
        <v>6285</v>
      </c>
    </row>
    <row r="113" spans="1:13" ht="21" customHeight="1">
      <c r="A113" s="213" t="s">
        <v>6933</v>
      </c>
      <c r="B113" s="215">
        <f t="shared" si="3"/>
        <v>45664</v>
      </c>
      <c r="C113" s="213" t="s">
        <v>6182</v>
      </c>
      <c r="D113" s="213" t="s">
        <v>4366</v>
      </c>
      <c r="E113" s="213" t="s">
        <v>6176</v>
      </c>
      <c r="F113" s="212" t="s">
        <v>6177</v>
      </c>
      <c r="G113" s="212" t="str">
        <f t="shared" si="4"/>
        <v>255부가세예수금</v>
      </c>
      <c r="H113" s="214">
        <v>0</v>
      </c>
      <c r="I113" s="214">
        <v>10000</v>
      </c>
      <c r="J113" s="214">
        <f t="shared" si="5"/>
        <v>10000</v>
      </c>
      <c r="K113" s="212" t="s">
        <v>6266</v>
      </c>
      <c r="L113" s="213"/>
      <c r="M113" s="212" t="s">
        <v>6185</v>
      </c>
    </row>
    <row r="114" spans="1:13" ht="21" customHeight="1">
      <c r="A114" s="213" t="s">
        <v>6933</v>
      </c>
      <c r="B114" s="215">
        <f t="shared" si="3"/>
        <v>45664</v>
      </c>
      <c r="C114" s="213" t="s">
        <v>6182</v>
      </c>
      <c r="D114" s="213" t="s">
        <v>4366</v>
      </c>
      <c r="E114" s="213" t="s">
        <v>334</v>
      </c>
      <c r="F114" s="212" t="s">
        <v>6158</v>
      </c>
      <c r="G114" s="212" t="str">
        <f t="shared" si="4"/>
        <v>401용역매출</v>
      </c>
      <c r="H114" s="214">
        <v>0</v>
      </c>
      <c r="I114" s="214">
        <v>100000</v>
      </c>
      <c r="J114" s="214">
        <f t="shared" si="5"/>
        <v>100000</v>
      </c>
      <c r="K114" s="212" t="s">
        <v>6266</v>
      </c>
      <c r="L114" s="213"/>
      <c r="M114" s="212" t="s">
        <v>6185</v>
      </c>
    </row>
    <row r="115" spans="1:13" ht="21" customHeight="1">
      <c r="A115" s="213" t="s">
        <v>6933</v>
      </c>
      <c r="B115" s="215">
        <f t="shared" si="3"/>
        <v>45664</v>
      </c>
      <c r="C115" s="213" t="s">
        <v>6182</v>
      </c>
      <c r="D115" s="213" t="s">
        <v>4369</v>
      </c>
      <c r="E115" s="213" t="s">
        <v>333</v>
      </c>
      <c r="F115" s="212" t="s">
        <v>4365</v>
      </c>
      <c r="G115" s="212" t="str">
        <f t="shared" si="4"/>
        <v>101현금</v>
      </c>
      <c r="H115" s="214">
        <v>110000</v>
      </c>
      <c r="I115" s="214">
        <v>0</v>
      </c>
      <c r="J115" s="214">
        <f t="shared" si="5"/>
        <v>-110000</v>
      </c>
      <c r="K115" s="212" t="s">
        <v>6266</v>
      </c>
      <c r="L115" s="213"/>
      <c r="M115" s="212" t="s">
        <v>6185</v>
      </c>
    </row>
    <row r="116" spans="1:13" ht="21" customHeight="1">
      <c r="A116" s="213" t="s">
        <v>6933</v>
      </c>
      <c r="B116" s="215">
        <f t="shared" si="3"/>
        <v>45664</v>
      </c>
      <c r="C116" s="213" t="s">
        <v>6184</v>
      </c>
      <c r="D116" s="213" t="s">
        <v>4366</v>
      </c>
      <c r="E116" s="213" t="s">
        <v>6176</v>
      </c>
      <c r="F116" s="212" t="s">
        <v>6177</v>
      </c>
      <c r="G116" s="212" t="str">
        <f t="shared" si="4"/>
        <v>255부가세예수금</v>
      </c>
      <c r="H116" s="214">
        <v>0</v>
      </c>
      <c r="I116" s="214">
        <v>15000</v>
      </c>
      <c r="J116" s="214">
        <f t="shared" si="5"/>
        <v>15000</v>
      </c>
      <c r="K116" s="212" t="s">
        <v>6265</v>
      </c>
      <c r="L116" s="213"/>
      <c r="M116" s="212" t="s">
        <v>6179</v>
      </c>
    </row>
    <row r="117" spans="1:13" ht="21" customHeight="1">
      <c r="A117" s="213" t="s">
        <v>6933</v>
      </c>
      <c r="B117" s="215">
        <f t="shared" si="3"/>
        <v>45664</v>
      </c>
      <c r="C117" s="213" t="s">
        <v>6184</v>
      </c>
      <c r="D117" s="213" t="s">
        <v>4366</v>
      </c>
      <c r="E117" s="213" t="s">
        <v>334</v>
      </c>
      <c r="F117" s="212" t="s">
        <v>6158</v>
      </c>
      <c r="G117" s="212" t="str">
        <f t="shared" si="4"/>
        <v>401용역매출</v>
      </c>
      <c r="H117" s="214">
        <v>0</v>
      </c>
      <c r="I117" s="214">
        <v>150000</v>
      </c>
      <c r="J117" s="214">
        <f t="shared" si="5"/>
        <v>150000</v>
      </c>
      <c r="K117" s="212" t="s">
        <v>6265</v>
      </c>
      <c r="L117" s="213"/>
      <c r="M117" s="212" t="s">
        <v>6179</v>
      </c>
    </row>
    <row r="118" spans="1:13" ht="21" customHeight="1">
      <c r="A118" s="213" t="s">
        <v>6933</v>
      </c>
      <c r="B118" s="215">
        <f t="shared" si="3"/>
        <v>45664</v>
      </c>
      <c r="C118" s="213" t="s">
        <v>6184</v>
      </c>
      <c r="D118" s="213" t="s">
        <v>4369</v>
      </c>
      <c r="E118" s="213" t="s">
        <v>333</v>
      </c>
      <c r="F118" s="212" t="s">
        <v>4365</v>
      </c>
      <c r="G118" s="212" t="str">
        <f t="shared" si="4"/>
        <v>101현금</v>
      </c>
      <c r="H118" s="214">
        <v>165000</v>
      </c>
      <c r="I118" s="214">
        <v>0</v>
      </c>
      <c r="J118" s="214">
        <f t="shared" si="5"/>
        <v>-165000</v>
      </c>
      <c r="K118" s="212" t="s">
        <v>6265</v>
      </c>
      <c r="L118" s="213"/>
      <c r="M118" s="212" t="s">
        <v>6179</v>
      </c>
    </row>
    <row r="119" spans="1:13" ht="21" customHeight="1">
      <c r="A119" s="213" t="s">
        <v>6931</v>
      </c>
      <c r="B119" s="215">
        <f t="shared" si="3"/>
        <v>45665</v>
      </c>
      <c r="C119" s="213" t="s">
        <v>4373</v>
      </c>
      <c r="D119" s="213" t="s">
        <v>4369</v>
      </c>
      <c r="E119" s="213" t="s">
        <v>4380</v>
      </c>
      <c r="F119" s="212" t="s">
        <v>6515</v>
      </c>
      <c r="G119" s="212" t="str">
        <f t="shared" si="4"/>
        <v>812여비교통비(판)</v>
      </c>
      <c r="H119" s="214">
        <v>1500</v>
      </c>
      <c r="I119" s="214">
        <v>0</v>
      </c>
      <c r="J119" s="214">
        <f t="shared" si="5"/>
        <v>-1500</v>
      </c>
      <c r="K119" s="212" t="s">
        <v>6932</v>
      </c>
      <c r="L119" s="213"/>
      <c r="M119" s="212"/>
    </row>
    <row r="120" spans="1:13" ht="21" customHeight="1">
      <c r="A120" s="213" t="s">
        <v>6931</v>
      </c>
      <c r="B120" s="215">
        <f t="shared" si="3"/>
        <v>45665</v>
      </c>
      <c r="C120" s="213" t="s">
        <v>4373</v>
      </c>
      <c r="D120" s="213" t="s">
        <v>4366</v>
      </c>
      <c r="E120" s="213" t="s">
        <v>333</v>
      </c>
      <c r="F120" s="212" t="s">
        <v>4365</v>
      </c>
      <c r="G120" s="212" t="str">
        <f t="shared" si="4"/>
        <v>101현금</v>
      </c>
      <c r="H120" s="214">
        <v>0</v>
      </c>
      <c r="I120" s="214">
        <v>1500</v>
      </c>
      <c r="J120" s="214">
        <f t="shared" si="5"/>
        <v>1500</v>
      </c>
      <c r="K120" s="212" t="s">
        <v>6371</v>
      </c>
      <c r="L120" s="213"/>
      <c r="M120" s="212"/>
    </row>
    <row r="121" spans="1:13" ht="21" customHeight="1">
      <c r="A121" s="213" t="s">
        <v>6925</v>
      </c>
      <c r="B121" s="215">
        <f t="shared" si="3"/>
        <v>45667</v>
      </c>
      <c r="C121" s="213" t="s">
        <v>4373</v>
      </c>
      <c r="D121" s="213" t="s">
        <v>4369</v>
      </c>
      <c r="E121" s="213" t="s">
        <v>4505</v>
      </c>
      <c r="F121" s="212" t="s">
        <v>4506</v>
      </c>
      <c r="G121" s="212" t="str">
        <f t="shared" si="4"/>
        <v>254예수금</v>
      </c>
      <c r="H121" s="214">
        <v>68060</v>
      </c>
      <c r="I121" s="214">
        <v>0</v>
      </c>
      <c r="J121" s="214">
        <f t="shared" si="5"/>
        <v>-68060</v>
      </c>
      <c r="K121" s="212" t="s">
        <v>4522</v>
      </c>
      <c r="L121" s="213" t="s">
        <v>6411</v>
      </c>
      <c r="M121" s="212" t="s">
        <v>6930</v>
      </c>
    </row>
    <row r="122" spans="1:13" ht="21" customHeight="1">
      <c r="A122" s="213" t="s">
        <v>6925</v>
      </c>
      <c r="B122" s="215">
        <f t="shared" si="3"/>
        <v>45667</v>
      </c>
      <c r="C122" s="213" t="s">
        <v>4373</v>
      </c>
      <c r="D122" s="213" t="s">
        <v>4366</v>
      </c>
      <c r="E122" s="213" t="s">
        <v>333</v>
      </c>
      <c r="F122" s="212" t="s">
        <v>4365</v>
      </c>
      <c r="G122" s="212" t="str">
        <f t="shared" si="4"/>
        <v>101현금</v>
      </c>
      <c r="H122" s="214">
        <v>0</v>
      </c>
      <c r="I122" s="214">
        <v>883640</v>
      </c>
      <c r="J122" s="214">
        <f t="shared" si="5"/>
        <v>883640</v>
      </c>
      <c r="K122" s="212" t="s">
        <v>4522</v>
      </c>
      <c r="L122" s="213" t="s">
        <v>6411</v>
      </c>
      <c r="M122" s="212" t="s">
        <v>6930</v>
      </c>
    </row>
    <row r="123" spans="1:13" ht="21" customHeight="1">
      <c r="A123" s="213" t="s">
        <v>6925</v>
      </c>
      <c r="B123" s="215">
        <f t="shared" si="3"/>
        <v>45667</v>
      </c>
      <c r="C123" s="213" t="s">
        <v>4373</v>
      </c>
      <c r="D123" s="213" t="s">
        <v>4369</v>
      </c>
      <c r="E123" s="213" t="s">
        <v>4509</v>
      </c>
      <c r="F123" s="212" t="s">
        <v>6491</v>
      </c>
      <c r="G123" s="212" t="str">
        <f t="shared" si="4"/>
        <v>821보험료(판)</v>
      </c>
      <c r="H123" s="214">
        <v>815580</v>
      </c>
      <c r="I123" s="214">
        <v>0</v>
      </c>
      <c r="J123" s="214">
        <f t="shared" si="5"/>
        <v>-815580</v>
      </c>
      <c r="K123" s="212" t="s">
        <v>4522</v>
      </c>
      <c r="L123" s="213" t="s">
        <v>6411</v>
      </c>
      <c r="M123" s="212" t="s">
        <v>6930</v>
      </c>
    </row>
    <row r="124" spans="1:13" ht="21" customHeight="1">
      <c r="A124" s="213" t="s">
        <v>6925</v>
      </c>
      <c r="B124" s="215">
        <f t="shared" si="3"/>
        <v>45667</v>
      </c>
      <c r="C124" s="213" t="s">
        <v>4382</v>
      </c>
      <c r="D124" s="213" t="s">
        <v>4369</v>
      </c>
      <c r="E124" s="213" t="s">
        <v>4505</v>
      </c>
      <c r="F124" s="212" t="s">
        <v>4506</v>
      </c>
      <c r="G124" s="212" t="str">
        <f t="shared" si="4"/>
        <v>254예수금</v>
      </c>
      <c r="H124" s="214">
        <v>149400</v>
      </c>
      <c r="I124" s="214">
        <v>0</v>
      </c>
      <c r="J124" s="214">
        <f t="shared" si="5"/>
        <v>-149400</v>
      </c>
      <c r="K124" s="212" t="s">
        <v>4523</v>
      </c>
      <c r="L124" s="213" t="s">
        <v>6411</v>
      </c>
      <c r="M124" s="212" t="s">
        <v>6929</v>
      </c>
    </row>
    <row r="125" spans="1:13" ht="21" customHeight="1">
      <c r="A125" s="213" t="s">
        <v>6925</v>
      </c>
      <c r="B125" s="215">
        <f t="shared" si="3"/>
        <v>45667</v>
      </c>
      <c r="C125" s="213" t="s">
        <v>4382</v>
      </c>
      <c r="D125" s="213" t="s">
        <v>4366</v>
      </c>
      <c r="E125" s="213" t="s">
        <v>333</v>
      </c>
      <c r="F125" s="212" t="s">
        <v>4365</v>
      </c>
      <c r="G125" s="212" t="str">
        <f t="shared" si="4"/>
        <v>101현금</v>
      </c>
      <c r="H125" s="214">
        <v>0</v>
      </c>
      <c r="I125" s="214">
        <v>298800</v>
      </c>
      <c r="J125" s="214">
        <f t="shared" si="5"/>
        <v>298800</v>
      </c>
      <c r="K125" s="212" t="s">
        <v>4523</v>
      </c>
      <c r="L125" s="213" t="s">
        <v>6411</v>
      </c>
      <c r="M125" s="212" t="s">
        <v>6929</v>
      </c>
    </row>
    <row r="126" spans="1:13" ht="21" customHeight="1">
      <c r="A126" s="213" t="s">
        <v>6925</v>
      </c>
      <c r="B126" s="215">
        <f t="shared" si="3"/>
        <v>45667</v>
      </c>
      <c r="C126" s="213" t="s">
        <v>4382</v>
      </c>
      <c r="D126" s="213" t="s">
        <v>4369</v>
      </c>
      <c r="E126" s="213" t="s">
        <v>4507</v>
      </c>
      <c r="F126" s="212" t="s">
        <v>6468</v>
      </c>
      <c r="G126" s="212" t="str">
        <f t="shared" si="4"/>
        <v>817세금과공과금(판)</v>
      </c>
      <c r="H126" s="214">
        <v>149400</v>
      </c>
      <c r="I126" s="214">
        <v>0</v>
      </c>
      <c r="J126" s="214">
        <f t="shared" si="5"/>
        <v>-149400</v>
      </c>
      <c r="K126" s="212" t="s">
        <v>4523</v>
      </c>
      <c r="L126" s="213" t="s">
        <v>6411</v>
      </c>
      <c r="M126" s="212" t="s">
        <v>6929</v>
      </c>
    </row>
    <row r="127" spans="1:13" ht="21" customHeight="1">
      <c r="A127" s="213" t="s">
        <v>6925</v>
      </c>
      <c r="B127" s="215">
        <f t="shared" si="3"/>
        <v>45667</v>
      </c>
      <c r="C127" s="213" t="s">
        <v>4381</v>
      </c>
      <c r="D127" s="213" t="s">
        <v>4369</v>
      </c>
      <c r="E127" s="213" t="s">
        <v>4505</v>
      </c>
      <c r="F127" s="212" t="s">
        <v>4506</v>
      </c>
      <c r="G127" s="212" t="str">
        <f t="shared" si="4"/>
        <v>254예수금</v>
      </c>
      <c r="H127" s="214">
        <v>6300</v>
      </c>
      <c r="I127" s="214">
        <v>0</v>
      </c>
      <c r="J127" s="214">
        <f t="shared" si="5"/>
        <v>-6300</v>
      </c>
      <c r="K127" s="212" t="s">
        <v>4508</v>
      </c>
      <c r="L127" s="213" t="s">
        <v>6411</v>
      </c>
      <c r="M127" s="212" t="s">
        <v>6928</v>
      </c>
    </row>
    <row r="128" spans="1:13" ht="21" customHeight="1">
      <c r="A128" s="213" t="s">
        <v>6925</v>
      </c>
      <c r="B128" s="215">
        <f t="shared" si="3"/>
        <v>45667</v>
      </c>
      <c r="C128" s="213" t="s">
        <v>4381</v>
      </c>
      <c r="D128" s="213" t="s">
        <v>4366</v>
      </c>
      <c r="E128" s="213" t="s">
        <v>333</v>
      </c>
      <c r="F128" s="212" t="s">
        <v>4365</v>
      </c>
      <c r="G128" s="212" t="str">
        <f t="shared" si="4"/>
        <v>101현금</v>
      </c>
      <c r="H128" s="214">
        <v>0</v>
      </c>
      <c r="I128" s="214">
        <v>14350</v>
      </c>
      <c r="J128" s="214">
        <f t="shared" si="5"/>
        <v>14350</v>
      </c>
      <c r="K128" s="212" t="s">
        <v>4508</v>
      </c>
      <c r="L128" s="213" t="s">
        <v>6411</v>
      </c>
      <c r="M128" s="212" t="s">
        <v>6928</v>
      </c>
    </row>
    <row r="129" spans="1:13" ht="21" customHeight="1">
      <c r="A129" s="213" t="s">
        <v>6925</v>
      </c>
      <c r="B129" s="215">
        <f t="shared" si="3"/>
        <v>45667</v>
      </c>
      <c r="C129" s="213" t="s">
        <v>4381</v>
      </c>
      <c r="D129" s="213" t="s">
        <v>4369</v>
      </c>
      <c r="E129" s="213" t="s">
        <v>4509</v>
      </c>
      <c r="F129" s="212" t="s">
        <v>6491</v>
      </c>
      <c r="G129" s="212" t="str">
        <f t="shared" si="4"/>
        <v>821보험료(판)</v>
      </c>
      <c r="H129" s="214">
        <v>8050</v>
      </c>
      <c r="I129" s="214">
        <v>0</v>
      </c>
      <c r="J129" s="214">
        <f t="shared" si="5"/>
        <v>-8050</v>
      </c>
      <c r="K129" s="212" t="s">
        <v>4508</v>
      </c>
      <c r="L129" s="213" t="s">
        <v>6411</v>
      </c>
      <c r="M129" s="212" t="s">
        <v>6928</v>
      </c>
    </row>
    <row r="130" spans="1:13" ht="21" customHeight="1">
      <c r="A130" s="213" t="s">
        <v>6925</v>
      </c>
      <c r="B130" s="215">
        <f t="shared" ref="B130:B193" si="6">DATEVALUE(A130)</f>
        <v>45667</v>
      </c>
      <c r="C130" s="213" t="s">
        <v>4379</v>
      </c>
      <c r="D130" s="213" t="s">
        <v>4369</v>
      </c>
      <c r="E130" s="213" t="s">
        <v>4383</v>
      </c>
      <c r="F130" s="212" t="s">
        <v>6525</v>
      </c>
      <c r="G130" s="212" t="str">
        <f t="shared" ref="G130:G193" si="7">E130&amp;F130</f>
        <v>830소모품비(판)</v>
      </c>
      <c r="H130" s="214">
        <v>6059</v>
      </c>
      <c r="I130" s="214">
        <v>0</v>
      </c>
      <c r="J130" s="214">
        <f t="shared" ref="J130:J193" si="8">I130-H130</f>
        <v>-6059</v>
      </c>
      <c r="K130" s="212" t="s">
        <v>6576</v>
      </c>
      <c r="L130" s="213"/>
      <c r="M130" s="212"/>
    </row>
    <row r="131" spans="1:13" ht="21" customHeight="1">
      <c r="A131" s="213" t="s">
        <v>6925</v>
      </c>
      <c r="B131" s="215">
        <f t="shared" si="6"/>
        <v>45667</v>
      </c>
      <c r="C131" s="213" t="s">
        <v>4379</v>
      </c>
      <c r="D131" s="213" t="s">
        <v>4366</v>
      </c>
      <c r="E131" s="213" t="s">
        <v>333</v>
      </c>
      <c r="F131" s="212" t="s">
        <v>4365</v>
      </c>
      <c r="G131" s="212" t="str">
        <f t="shared" si="7"/>
        <v>101현금</v>
      </c>
      <c r="H131" s="214">
        <v>0</v>
      </c>
      <c r="I131" s="214">
        <v>6059</v>
      </c>
      <c r="J131" s="214">
        <f t="shared" si="8"/>
        <v>6059</v>
      </c>
      <c r="K131" s="212" t="s">
        <v>6371</v>
      </c>
      <c r="L131" s="213"/>
      <c r="M131" s="212"/>
    </row>
    <row r="132" spans="1:13" ht="21" customHeight="1">
      <c r="A132" s="213" t="s">
        <v>6925</v>
      </c>
      <c r="B132" s="215">
        <f t="shared" si="6"/>
        <v>45667</v>
      </c>
      <c r="C132" s="213" t="s">
        <v>4385</v>
      </c>
      <c r="D132" s="213" t="s">
        <v>4369</v>
      </c>
      <c r="E132" s="213" t="s">
        <v>4386</v>
      </c>
      <c r="F132" s="212" t="s">
        <v>6420</v>
      </c>
      <c r="G132" s="212" t="str">
        <f t="shared" si="7"/>
        <v>814통신비(판)</v>
      </c>
      <c r="H132" s="214">
        <v>5500</v>
      </c>
      <c r="I132" s="214">
        <v>0</v>
      </c>
      <c r="J132" s="214">
        <f t="shared" si="8"/>
        <v>-5500</v>
      </c>
      <c r="K132" s="212" t="s">
        <v>4524</v>
      </c>
      <c r="L132" s="213"/>
      <c r="M132" s="212"/>
    </row>
    <row r="133" spans="1:13" ht="21" customHeight="1">
      <c r="A133" s="213" t="s">
        <v>6925</v>
      </c>
      <c r="B133" s="215">
        <f t="shared" si="6"/>
        <v>45667</v>
      </c>
      <c r="C133" s="213" t="s">
        <v>4385</v>
      </c>
      <c r="D133" s="213" t="s">
        <v>4366</v>
      </c>
      <c r="E133" s="213" t="s">
        <v>333</v>
      </c>
      <c r="F133" s="212" t="s">
        <v>4365</v>
      </c>
      <c r="G133" s="212" t="str">
        <f t="shared" si="7"/>
        <v>101현금</v>
      </c>
      <c r="H133" s="214">
        <v>0</v>
      </c>
      <c r="I133" s="214">
        <v>5500</v>
      </c>
      <c r="J133" s="214">
        <f t="shared" si="8"/>
        <v>5500</v>
      </c>
      <c r="K133" s="212" t="s">
        <v>6369</v>
      </c>
      <c r="L133" s="213"/>
      <c r="M133" s="212"/>
    </row>
    <row r="134" spans="1:13" ht="21" customHeight="1">
      <c r="A134" s="213" t="s">
        <v>6925</v>
      </c>
      <c r="B134" s="215">
        <f t="shared" si="6"/>
        <v>45667</v>
      </c>
      <c r="C134" s="213" t="s">
        <v>4501</v>
      </c>
      <c r="D134" s="213" t="s">
        <v>4369</v>
      </c>
      <c r="E134" s="213" t="s">
        <v>4499</v>
      </c>
      <c r="F134" s="212" t="s">
        <v>6517</v>
      </c>
      <c r="G134" s="212" t="str">
        <f t="shared" si="7"/>
        <v>811복리후생비(판)</v>
      </c>
      <c r="H134" s="214">
        <v>22701</v>
      </c>
      <c r="I134" s="214">
        <v>0</v>
      </c>
      <c r="J134" s="214">
        <f t="shared" si="8"/>
        <v>-22701</v>
      </c>
      <c r="K134" s="212" t="s">
        <v>6865</v>
      </c>
      <c r="L134" s="213"/>
      <c r="M134" s="212"/>
    </row>
    <row r="135" spans="1:13" ht="21" customHeight="1">
      <c r="A135" s="213" t="s">
        <v>6925</v>
      </c>
      <c r="B135" s="215">
        <f t="shared" si="6"/>
        <v>45667</v>
      </c>
      <c r="C135" s="213" t="s">
        <v>4501</v>
      </c>
      <c r="D135" s="213" t="s">
        <v>4366</v>
      </c>
      <c r="E135" s="213" t="s">
        <v>333</v>
      </c>
      <c r="F135" s="212" t="s">
        <v>4365</v>
      </c>
      <c r="G135" s="212" t="str">
        <f t="shared" si="7"/>
        <v>101현금</v>
      </c>
      <c r="H135" s="214">
        <v>0</v>
      </c>
      <c r="I135" s="214">
        <v>22701</v>
      </c>
      <c r="J135" s="214">
        <f t="shared" si="8"/>
        <v>22701</v>
      </c>
      <c r="K135" s="212" t="s">
        <v>6865</v>
      </c>
      <c r="L135" s="213"/>
      <c r="M135" s="212"/>
    </row>
    <row r="136" spans="1:13" ht="21" customHeight="1">
      <c r="A136" s="213" t="s">
        <v>6925</v>
      </c>
      <c r="B136" s="215">
        <f t="shared" si="6"/>
        <v>45667</v>
      </c>
      <c r="C136" s="213" t="s">
        <v>4502</v>
      </c>
      <c r="D136" s="213" t="s">
        <v>4366</v>
      </c>
      <c r="E136" s="213" t="s">
        <v>333</v>
      </c>
      <c r="F136" s="212" t="s">
        <v>4365</v>
      </c>
      <c r="G136" s="212" t="str">
        <f t="shared" si="7"/>
        <v>101현금</v>
      </c>
      <c r="H136" s="214">
        <v>0</v>
      </c>
      <c r="I136" s="214">
        <v>17956</v>
      </c>
      <c r="J136" s="214">
        <f t="shared" si="8"/>
        <v>17956</v>
      </c>
      <c r="K136" s="212" t="s">
        <v>6927</v>
      </c>
      <c r="L136" s="213"/>
      <c r="M136" s="212"/>
    </row>
    <row r="137" spans="1:13" ht="21" customHeight="1">
      <c r="A137" s="213" t="s">
        <v>6925</v>
      </c>
      <c r="B137" s="215">
        <f t="shared" si="6"/>
        <v>45667</v>
      </c>
      <c r="C137" s="213" t="s">
        <v>4502</v>
      </c>
      <c r="D137" s="213" t="s">
        <v>4369</v>
      </c>
      <c r="E137" s="213" t="s">
        <v>4383</v>
      </c>
      <c r="F137" s="212" t="s">
        <v>6525</v>
      </c>
      <c r="G137" s="212" t="str">
        <f t="shared" si="7"/>
        <v>830소모품비(판)</v>
      </c>
      <c r="H137" s="214">
        <v>17956</v>
      </c>
      <c r="I137" s="214">
        <v>0</v>
      </c>
      <c r="J137" s="214">
        <f t="shared" si="8"/>
        <v>-17956</v>
      </c>
      <c r="K137" s="212" t="s">
        <v>6927</v>
      </c>
      <c r="L137" s="213"/>
      <c r="M137" s="212"/>
    </row>
    <row r="138" spans="1:13" ht="21" customHeight="1">
      <c r="A138" s="213" t="s">
        <v>6925</v>
      </c>
      <c r="B138" s="215">
        <f t="shared" si="6"/>
        <v>45667</v>
      </c>
      <c r="C138" s="213" t="s">
        <v>4503</v>
      </c>
      <c r="D138" s="213" t="s">
        <v>4366</v>
      </c>
      <c r="E138" s="213" t="s">
        <v>333</v>
      </c>
      <c r="F138" s="212" t="s">
        <v>4365</v>
      </c>
      <c r="G138" s="212" t="str">
        <f t="shared" si="7"/>
        <v>101현금</v>
      </c>
      <c r="H138" s="214">
        <v>0</v>
      </c>
      <c r="I138" s="214">
        <v>2211</v>
      </c>
      <c r="J138" s="214">
        <f t="shared" si="8"/>
        <v>2211</v>
      </c>
      <c r="K138" s="212" t="s">
        <v>6927</v>
      </c>
      <c r="L138" s="213"/>
      <c r="M138" s="212"/>
    </row>
    <row r="139" spans="1:13" ht="21" customHeight="1">
      <c r="A139" s="213" t="s">
        <v>6925</v>
      </c>
      <c r="B139" s="215">
        <f t="shared" si="6"/>
        <v>45667</v>
      </c>
      <c r="C139" s="213" t="s">
        <v>4503</v>
      </c>
      <c r="D139" s="213" t="s">
        <v>4369</v>
      </c>
      <c r="E139" s="213" t="s">
        <v>4383</v>
      </c>
      <c r="F139" s="212" t="s">
        <v>6525</v>
      </c>
      <c r="G139" s="212" t="str">
        <f t="shared" si="7"/>
        <v>830소모품비(판)</v>
      </c>
      <c r="H139" s="214">
        <v>2211</v>
      </c>
      <c r="I139" s="214">
        <v>0</v>
      </c>
      <c r="J139" s="214">
        <f t="shared" si="8"/>
        <v>-2211</v>
      </c>
      <c r="K139" s="212" t="s">
        <v>6927</v>
      </c>
      <c r="L139" s="213"/>
      <c r="M139" s="212"/>
    </row>
    <row r="140" spans="1:13" ht="21" customHeight="1">
      <c r="A140" s="213" t="s">
        <v>6925</v>
      </c>
      <c r="B140" s="215">
        <f t="shared" si="6"/>
        <v>45667</v>
      </c>
      <c r="C140" s="213" t="s">
        <v>4511</v>
      </c>
      <c r="D140" s="213" t="s">
        <v>4369</v>
      </c>
      <c r="E140" s="213" t="s">
        <v>4368</v>
      </c>
      <c r="F140" s="212" t="s">
        <v>6388</v>
      </c>
      <c r="G140" s="212" t="str">
        <f t="shared" si="7"/>
        <v>831지급수수료(판)</v>
      </c>
      <c r="H140" s="214">
        <v>3841</v>
      </c>
      <c r="I140" s="214">
        <v>0</v>
      </c>
      <c r="J140" s="214">
        <f t="shared" si="8"/>
        <v>-3841</v>
      </c>
      <c r="K140" s="212" t="s">
        <v>6926</v>
      </c>
      <c r="L140" s="213"/>
      <c r="M140" s="212"/>
    </row>
    <row r="141" spans="1:13" ht="21" customHeight="1">
      <c r="A141" s="213" t="s">
        <v>6925</v>
      </c>
      <c r="B141" s="215">
        <f t="shared" si="6"/>
        <v>45667</v>
      </c>
      <c r="C141" s="213" t="s">
        <v>4511</v>
      </c>
      <c r="D141" s="213" t="s">
        <v>4366</v>
      </c>
      <c r="E141" s="213" t="s">
        <v>333</v>
      </c>
      <c r="F141" s="212" t="s">
        <v>4365</v>
      </c>
      <c r="G141" s="212" t="str">
        <f t="shared" si="7"/>
        <v>101현금</v>
      </c>
      <c r="H141" s="214">
        <v>0</v>
      </c>
      <c r="I141" s="214">
        <v>3841</v>
      </c>
      <c r="J141" s="214">
        <f t="shared" si="8"/>
        <v>3841</v>
      </c>
      <c r="K141" s="212" t="s">
        <v>6926</v>
      </c>
      <c r="L141" s="213"/>
      <c r="M141" s="212"/>
    </row>
    <row r="142" spans="1:13" ht="21" customHeight="1">
      <c r="A142" s="213" t="s">
        <v>6925</v>
      </c>
      <c r="B142" s="215">
        <f t="shared" si="6"/>
        <v>45667</v>
      </c>
      <c r="C142" s="213" t="s">
        <v>4367</v>
      </c>
      <c r="D142" s="213" t="s">
        <v>4366</v>
      </c>
      <c r="E142" s="213" t="s">
        <v>6176</v>
      </c>
      <c r="F142" s="212" t="s">
        <v>6177</v>
      </c>
      <c r="G142" s="212" t="str">
        <f t="shared" si="7"/>
        <v>255부가세예수금</v>
      </c>
      <c r="H142" s="214">
        <v>0</v>
      </c>
      <c r="I142" s="214">
        <v>10000</v>
      </c>
      <c r="J142" s="214">
        <f t="shared" si="8"/>
        <v>10000</v>
      </c>
      <c r="K142" s="212" t="s">
        <v>6234</v>
      </c>
      <c r="L142" s="213"/>
      <c r="M142" s="212" t="s">
        <v>6185</v>
      </c>
    </row>
    <row r="143" spans="1:13" ht="21" customHeight="1">
      <c r="A143" s="213" t="s">
        <v>6925</v>
      </c>
      <c r="B143" s="215">
        <f t="shared" si="6"/>
        <v>45667</v>
      </c>
      <c r="C143" s="213" t="s">
        <v>4367</v>
      </c>
      <c r="D143" s="213" t="s">
        <v>4366</v>
      </c>
      <c r="E143" s="213" t="s">
        <v>334</v>
      </c>
      <c r="F143" s="212" t="s">
        <v>6158</v>
      </c>
      <c r="G143" s="212" t="str">
        <f t="shared" si="7"/>
        <v>401용역매출</v>
      </c>
      <c r="H143" s="214">
        <v>0</v>
      </c>
      <c r="I143" s="214">
        <v>100000</v>
      </c>
      <c r="J143" s="214">
        <f t="shared" si="8"/>
        <v>100000</v>
      </c>
      <c r="K143" s="212" t="s">
        <v>6234</v>
      </c>
      <c r="L143" s="213"/>
      <c r="M143" s="212" t="s">
        <v>6185</v>
      </c>
    </row>
    <row r="144" spans="1:13" ht="21" customHeight="1">
      <c r="A144" s="213" t="s">
        <v>6925</v>
      </c>
      <c r="B144" s="215">
        <f t="shared" si="6"/>
        <v>45667</v>
      </c>
      <c r="C144" s="213" t="s">
        <v>4367</v>
      </c>
      <c r="D144" s="213" t="s">
        <v>4369</v>
      </c>
      <c r="E144" s="213" t="s">
        <v>333</v>
      </c>
      <c r="F144" s="212" t="s">
        <v>4365</v>
      </c>
      <c r="G144" s="212" t="str">
        <f t="shared" si="7"/>
        <v>101현금</v>
      </c>
      <c r="H144" s="214">
        <v>110000</v>
      </c>
      <c r="I144" s="214">
        <v>0</v>
      </c>
      <c r="J144" s="214">
        <f t="shared" si="8"/>
        <v>-110000</v>
      </c>
      <c r="K144" s="212" t="s">
        <v>6234</v>
      </c>
      <c r="L144" s="213"/>
      <c r="M144" s="212" t="s">
        <v>6185</v>
      </c>
    </row>
    <row r="145" spans="1:13" ht="21" customHeight="1">
      <c r="A145" s="213" t="s">
        <v>6925</v>
      </c>
      <c r="B145" s="215">
        <f t="shared" si="6"/>
        <v>45667</v>
      </c>
      <c r="C145" s="213" t="s">
        <v>4374</v>
      </c>
      <c r="D145" s="213" t="s">
        <v>4366</v>
      </c>
      <c r="E145" s="213" t="s">
        <v>6176</v>
      </c>
      <c r="F145" s="212" t="s">
        <v>6177</v>
      </c>
      <c r="G145" s="212" t="str">
        <f t="shared" si="7"/>
        <v>255부가세예수금</v>
      </c>
      <c r="H145" s="214">
        <v>0</v>
      </c>
      <c r="I145" s="214">
        <v>10000</v>
      </c>
      <c r="J145" s="214">
        <f t="shared" si="8"/>
        <v>10000</v>
      </c>
      <c r="K145" s="212" t="s">
        <v>6235</v>
      </c>
      <c r="L145" s="213"/>
      <c r="M145" s="212" t="s">
        <v>6185</v>
      </c>
    </row>
    <row r="146" spans="1:13" ht="21" customHeight="1">
      <c r="A146" s="213" t="s">
        <v>6925</v>
      </c>
      <c r="B146" s="215">
        <f t="shared" si="6"/>
        <v>45667</v>
      </c>
      <c r="C146" s="213" t="s">
        <v>4374</v>
      </c>
      <c r="D146" s="213" t="s">
        <v>4366</v>
      </c>
      <c r="E146" s="213" t="s">
        <v>334</v>
      </c>
      <c r="F146" s="212" t="s">
        <v>6158</v>
      </c>
      <c r="G146" s="212" t="str">
        <f t="shared" si="7"/>
        <v>401용역매출</v>
      </c>
      <c r="H146" s="214">
        <v>0</v>
      </c>
      <c r="I146" s="214">
        <v>100000</v>
      </c>
      <c r="J146" s="214">
        <f t="shared" si="8"/>
        <v>100000</v>
      </c>
      <c r="K146" s="212" t="s">
        <v>6235</v>
      </c>
      <c r="L146" s="213"/>
      <c r="M146" s="212" t="s">
        <v>6185</v>
      </c>
    </row>
    <row r="147" spans="1:13" ht="21" customHeight="1">
      <c r="A147" s="213" t="s">
        <v>6925</v>
      </c>
      <c r="B147" s="215">
        <f t="shared" si="6"/>
        <v>45667</v>
      </c>
      <c r="C147" s="213" t="s">
        <v>4374</v>
      </c>
      <c r="D147" s="213" t="s">
        <v>4369</v>
      </c>
      <c r="E147" s="213" t="s">
        <v>333</v>
      </c>
      <c r="F147" s="212" t="s">
        <v>4365</v>
      </c>
      <c r="G147" s="212" t="str">
        <f t="shared" si="7"/>
        <v>101현금</v>
      </c>
      <c r="H147" s="214">
        <v>110000</v>
      </c>
      <c r="I147" s="214">
        <v>0</v>
      </c>
      <c r="J147" s="214">
        <f t="shared" si="8"/>
        <v>-110000</v>
      </c>
      <c r="K147" s="212" t="s">
        <v>6235</v>
      </c>
      <c r="L147" s="213"/>
      <c r="M147" s="212" t="s">
        <v>6185</v>
      </c>
    </row>
    <row r="148" spans="1:13" ht="21" customHeight="1">
      <c r="A148" s="216" t="s">
        <v>6924</v>
      </c>
      <c r="B148" s="215">
        <f t="shared" si="6"/>
        <v>45669</v>
      </c>
      <c r="C148" s="213" t="s">
        <v>4373</v>
      </c>
      <c r="D148" s="213" t="s">
        <v>4369</v>
      </c>
      <c r="E148" s="213" t="s">
        <v>4368</v>
      </c>
      <c r="F148" s="212" t="s">
        <v>6388</v>
      </c>
      <c r="G148" s="212" t="str">
        <f t="shared" si="7"/>
        <v>831지급수수료(판)</v>
      </c>
      <c r="H148" s="214">
        <v>1990</v>
      </c>
      <c r="I148" s="214">
        <v>0</v>
      </c>
      <c r="J148" s="214">
        <f t="shared" si="8"/>
        <v>-1990</v>
      </c>
      <c r="K148" s="212" t="s">
        <v>4384</v>
      </c>
      <c r="L148" s="213"/>
      <c r="M148" s="212"/>
    </row>
    <row r="149" spans="1:13" ht="21" customHeight="1">
      <c r="A149" s="216" t="s">
        <v>6924</v>
      </c>
      <c r="B149" s="215">
        <f t="shared" si="6"/>
        <v>45669</v>
      </c>
      <c r="C149" s="213" t="s">
        <v>4373</v>
      </c>
      <c r="D149" s="213" t="s">
        <v>4366</v>
      </c>
      <c r="E149" s="213" t="s">
        <v>333</v>
      </c>
      <c r="F149" s="212" t="s">
        <v>4365</v>
      </c>
      <c r="G149" s="212" t="str">
        <f t="shared" si="7"/>
        <v>101현금</v>
      </c>
      <c r="H149" s="214">
        <v>0</v>
      </c>
      <c r="I149" s="214">
        <v>1990</v>
      </c>
      <c r="J149" s="214">
        <f t="shared" si="8"/>
        <v>1990</v>
      </c>
      <c r="K149" s="212" t="s">
        <v>6369</v>
      </c>
      <c r="L149" s="213"/>
      <c r="M149" s="212"/>
    </row>
    <row r="150" spans="1:13" ht="21" customHeight="1">
      <c r="A150" s="216" t="s">
        <v>6924</v>
      </c>
      <c r="B150" s="215">
        <f t="shared" si="6"/>
        <v>45669</v>
      </c>
      <c r="C150" s="213" t="s">
        <v>4367</v>
      </c>
      <c r="D150" s="213" t="s">
        <v>4366</v>
      </c>
      <c r="E150" s="213" t="s">
        <v>6176</v>
      </c>
      <c r="F150" s="212" t="s">
        <v>6177</v>
      </c>
      <c r="G150" s="212" t="str">
        <f t="shared" si="7"/>
        <v>255부가세예수금</v>
      </c>
      <c r="H150" s="214">
        <v>0</v>
      </c>
      <c r="I150" s="214">
        <v>15000</v>
      </c>
      <c r="J150" s="214">
        <f t="shared" si="8"/>
        <v>15000</v>
      </c>
      <c r="K150" s="212" t="s">
        <v>6201</v>
      </c>
      <c r="L150" s="213"/>
      <c r="M150" s="212" t="s">
        <v>6179</v>
      </c>
    </row>
    <row r="151" spans="1:13" ht="21" customHeight="1">
      <c r="A151" s="216" t="s">
        <v>6924</v>
      </c>
      <c r="B151" s="215">
        <f t="shared" si="6"/>
        <v>45669</v>
      </c>
      <c r="C151" s="213" t="s">
        <v>4367</v>
      </c>
      <c r="D151" s="213" t="s">
        <v>4366</v>
      </c>
      <c r="E151" s="213" t="s">
        <v>334</v>
      </c>
      <c r="F151" s="212" t="s">
        <v>6158</v>
      </c>
      <c r="G151" s="212" t="str">
        <f t="shared" si="7"/>
        <v>401용역매출</v>
      </c>
      <c r="H151" s="214">
        <v>0</v>
      </c>
      <c r="I151" s="214">
        <v>150000</v>
      </c>
      <c r="J151" s="214">
        <f t="shared" si="8"/>
        <v>150000</v>
      </c>
      <c r="K151" s="212" t="s">
        <v>6201</v>
      </c>
      <c r="L151" s="213"/>
      <c r="M151" s="212" t="s">
        <v>6179</v>
      </c>
    </row>
    <row r="152" spans="1:13" ht="21" customHeight="1">
      <c r="A152" s="216" t="s">
        <v>6924</v>
      </c>
      <c r="B152" s="215">
        <f t="shared" si="6"/>
        <v>45669</v>
      </c>
      <c r="C152" s="213" t="s">
        <v>4367</v>
      </c>
      <c r="D152" s="213" t="s">
        <v>4369</v>
      </c>
      <c r="E152" s="213" t="s">
        <v>333</v>
      </c>
      <c r="F152" s="212" t="s">
        <v>4365</v>
      </c>
      <c r="G152" s="212" t="str">
        <f t="shared" si="7"/>
        <v>101현금</v>
      </c>
      <c r="H152" s="214">
        <v>165000</v>
      </c>
      <c r="I152" s="214">
        <v>0</v>
      </c>
      <c r="J152" s="214">
        <f t="shared" si="8"/>
        <v>-165000</v>
      </c>
      <c r="K152" s="212" t="s">
        <v>6201</v>
      </c>
      <c r="L152" s="213"/>
      <c r="M152" s="212" t="s">
        <v>6179</v>
      </c>
    </row>
    <row r="153" spans="1:13" ht="21" customHeight="1">
      <c r="A153" s="213" t="s">
        <v>6922</v>
      </c>
      <c r="B153" s="215">
        <f t="shared" si="6"/>
        <v>45670</v>
      </c>
      <c r="C153" s="213" t="s">
        <v>4373</v>
      </c>
      <c r="D153" s="217" t="s">
        <v>4510</v>
      </c>
      <c r="E153" s="213" t="s">
        <v>4507</v>
      </c>
      <c r="F153" s="212" t="s">
        <v>6468</v>
      </c>
      <c r="G153" s="212" t="str">
        <f t="shared" si="7"/>
        <v>817세금과공과금(판)</v>
      </c>
      <c r="H153" s="214">
        <v>26500</v>
      </c>
      <c r="I153" s="214">
        <v>0</v>
      </c>
      <c r="J153" s="214">
        <f t="shared" si="8"/>
        <v>-26500</v>
      </c>
      <c r="K153" s="212" t="s">
        <v>6363</v>
      </c>
      <c r="L153" s="213" t="s">
        <v>6411</v>
      </c>
      <c r="M153" s="212" t="s">
        <v>6923</v>
      </c>
    </row>
    <row r="154" spans="1:13" ht="21" customHeight="1">
      <c r="A154" s="213" t="s">
        <v>6922</v>
      </c>
      <c r="B154" s="215">
        <f t="shared" si="6"/>
        <v>45670</v>
      </c>
      <c r="C154" s="213" t="s">
        <v>4373</v>
      </c>
      <c r="D154" s="217" t="s">
        <v>4510</v>
      </c>
      <c r="E154" s="213" t="s">
        <v>333</v>
      </c>
      <c r="F154" s="212" t="s">
        <v>4365</v>
      </c>
      <c r="G154" s="212" t="str">
        <f t="shared" si="7"/>
        <v>101현금</v>
      </c>
      <c r="H154" s="214">
        <v>0</v>
      </c>
      <c r="I154" s="214">
        <v>26500</v>
      </c>
      <c r="J154" s="214">
        <f t="shared" si="8"/>
        <v>26500</v>
      </c>
      <c r="K154" s="212" t="s">
        <v>6363</v>
      </c>
      <c r="L154" s="213" t="s">
        <v>6411</v>
      </c>
      <c r="M154" s="212" t="s">
        <v>6923</v>
      </c>
    </row>
    <row r="155" spans="1:13" ht="21" customHeight="1">
      <c r="A155" s="213" t="s">
        <v>6922</v>
      </c>
      <c r="B155" s="215">
        <f t="shared" si="6"/>
        <v>45670</v>
      </c>
      <c r="C155" s="213" t="s">
        <v>4367</v>
      </c>
      <c r="D155" s="213" t="s">
        <v>4366</v>
      </c>
      <c r="E155" s="213" t="s">
        <v>6176</v>
      </c>
      <c r="F155" s="212" t="s">
        <v>6177</v>
      </c>
      <c r="G155" s="212" t="str">
        <f t="shared" si="7"/>
        <v>255부가세예수금</v>
      </c>
      <c r="H155" s="214">
        <v>0</v>
      </c>
      <c r="I155" s="214">
        <v>12000</v>
      </c>
      <c r="J155" s="214">
        <f t="shared" si="8"/>
        <v>12000</v>
      </c>
      <c r="K155" s="212" t="s">
        <v>6309</v>
      </c>
      <c r="L155" s="213"/>
      <c r="M155" s="212" t="s">
        <v>6225</v>
      </c>
    </row>
    <row r="156" spans="1:13" ht="21" customHeight="1">
      <c r="A156" s="213" t="s">
        <v>6922</v>
      </c>
      <c r="B156" s="215">
        <f t="shared" si="6"/>
        <v>45670</v>
      </c>
      <c r="C156" s="213" t="s">
        <v>4367</v>
      </c>
      <c r="D156" s="213" t="s">
        <v>4366</v>
      </c>
      <c r="E156" s="213" t="s">
        <v>334</v>
      </c>
      <c r="F156" s="212" t="s">
        <v>6158</v>
      </c>
      <c r="G156" s="212" t="str">
        <f t="shared" si="7"/>
        <v>401용역매출</v>
      </c>
      <c r="H156" s="214">
        <v>0</v>
      </c>
      <c r="I156" s="214">
        <v>120000</v>
      </c>
      <c r="J156" s="214">
        <f t="shared" si="8"/>
        <v>120000</v>
      </c>
      <c r="K156" s="212" t="s">
        <v>6309</v>
      </c>
      <c r="L156" s="213"/>
      <c r="M156" s="212" t="s">
        <v>6225</v>
      </c>
    </row>
    <row r="157" spans="1:13" ht="21" customHeight="1">
      <c r="A157" s="213" t="s">
        <v>6922</v>
      </c>
      <c r="B157" s="215">
        <f t="shared" si="6"/>
        <v>45670</v>
      </c>
      <c r="C157" s="213" t="s">
        <v>4367</v>
      </c>
      <c r="D157" s="213" t="s">
        <v>4369</v>
      </c>
      <c r="E157" s="213" t="s">
        <v>333</v>
      </c>
      <c r="F157" s="212" t="s">
        <v>4365</v>
      </c>
      <c r="G157" s="212" t="str">
        <f t="shared" si="7"/>
        <v>101현금</v>
      </c>
      <c r="H157" s="214">
        <v>132000</v>
      </c>
      <c r="I157" s="214">
        <v>0</v>
      </c>
      <c r="J157" s="214">
        <f t="shared" si="8"/>
        <v>-132000</v>
      </c>
      <c r="K157" s="212" t="s">
        <v>6309</v>
      </c>
      <c r="L157" s="213"/>
      <c r="M157" s="212" t="s">
        <v>6225</v>
      </c>
    </row>
    <row r="158" spans="1:13" ht="21" customHeight="1">
      <c r="A158" s="213" t="s">
        <v>6922</v>
      </c>
      <c r="B158" s="215">
        <f t="shared" si="6"/>
        <v>45670</v>
      </c>
      <c r="C158" s="213" t="s">
        <v>4374</v>
      </c>
      <c r="D158" s="213" t="s">
        <v>4366</v>
      </c>
      <c r="E158" s="213" t="s">
        <v>6176</v>
      </c>
      <c r="F158" s="212" t="s">
        <v>6177</v>
      </c>
      <c r="G158" s="212" t="str">
        <f t="shared" si="7"/>
        <v>255부가세예수금</v>
      </c>
      <c r="H158" s="214">
        <v>0</v>
      </c>
      <c r="I158" s="214">
        <v>10000</v>
      </c>
      <c r="J158" s="214">
        <f t="shared" si="8"/>
        <v>10000</v>
      </c>
      <c r="K158" s="212" t="s">
        <v>6261</v>
      </c>
      <c r="L158" s="213"/>
      <c r="M158" s="212" t="s">
        <v>6185</v>
      </c>
    </row>
    <row r="159" spans="1:13" ht="21" customHeight="1">
      <c r="A159" s="213" t="s">
        <v>6922</v>
      </c>
      <c r="B159" s="215">
        <f t="shared" si="6"/>
        <v>45670</v>
      </c>
      <c r="C159" s="213" t="s">
        <v>4374</v>
      </c>
      <c r="D159" s="213" t="s">
        <v>4366</v>
      </c>
      <c r="E159" s="213" t="s">
        <v>334</v>
      </c>
      <c r="F159" s="212" t="s">
        <v>6158</v>
      </c>
      <c r="G159" s="212" t="str">
        <f t="shared" si="7"/>
        <v>401용역매출</v>
      </c>
      <c r="H159" s="214">
        <v>0</v>
      </c>
      <c r="I159" s="214">
        <v>100000</v>
      </c>
      <c r="J159" s="214">
        <f t="shared" si="8"/>
        <v>100000</v>
      </c>
      <c r="K159" s="212" t="s">
        <v>6261</v>
      </c>
      <c r="L159" s="213"/>
      <c r="M159" s="212" t="s">
        <v>6185</v>
      </c>
    </row>
    <row r="160" spans="1:13" ht="21" customHeight="1">
      <c r="A160" s="213" t="s">
        <v>6922</v>
      </c>
      <c r="B160" s="215">
        <f t="shared" si="6"/>
        <v>45670</v>
      </c>
      <c r="C160" s="213" t="s">
        <v>4374</v>
      </c>
      <c r="D160" s="213" t="s">
        <v>4369</v>
      </c>
      <c r="E160" s="213" t="s">
        <v>333</v>
      </c>
      <c r="F160" s="212" t="s">
        <v>4365</v>
      </c>
      <c r="G160" s="212" t="str">
        <f t="shared" si="7"/>
        <v>101현금</v>
      </c>
      <c r="H160" s="214">
        <v>110000</v>
      </c>
      <c r="I160" s="214">
        <v>0</v>
      </c>
      <c r="J160" s="214">
        <f t="shared" si="8"/>
        <v>-110000</v>
      </c>
      <c r="K160" s="212" t="s">
        <v>6261</v>
      </c>
      <c r="L160" s="213"/>
      <c r="M160" s="212" t="s">
        <v>6185</v>
      </c>
    </row>
    <row r="161" spans="1:13" ht="21" customHeight="1">
      <c r="A161" s="213" t="s">
        <v>6922</v>
      </c>
      <c r="B161" s="215">
        <f t="shared" si="6"/>
        <v>45670</v>
      </c>
      <c r="C161" s="213" t="s">
        <v>6182</v>
      </c>
      <c r="D161" s="213" t="s">
        <v>4366</v>
      </c>
      <c r="E161" s="213" t="s">
        <v>6176</v>
      </c>
      <c r="F161" s="212" t="s">
        <v>6177</v>
      </c>
      <c r="G161" s="212" t="str">
        <f t="shared" si="7"/>
        <v>255부가세예수금</v>
      </c>
      <c r="H161" s="214">
        <v>0</v>
      </c>
      <c r="I161" s="214">
        <v>20000</v>
      </c>
      <c r="J161" s="214">
        <f t="shared" si="8"/>
        <v>20000</v>
      </c>
      <c r="K161" s="212" t="s">
        <v>6263</v>
      </c>
      <c r="L161" s="213"/>
      <c r="M161" s="212" t="s">
        <v>6231</v>
      </c>
    </row>
    <row r="162" spans="1:13" ht="21" customHeight="1">
      <c r="A162" s="213" t="s">
        <v>6922</v>
      </c>
      <c r="B162" s="215">
        <f t="shared" si="6"/>
        <v>45670</v>
      </c>
      <c r="C162" s="213" t="s">
        <v>6182</v>
      </c>
      <c r="D162" s="213" t="s">
        <v>4366</v>
      </c>
      <c r="E162" s="213" t="s">
        <v>334</v>
      </c>
      <c r="F162" s="212" t="s">
        <v>6158</v>
      </c>
      <c r="G162" s="212" t="str">
        <f t="shared" si="7"/>
        <v>401용역매출</v>
      </c>
      <c r="H162" s="214">
        <v>0</v>
      </c>
      <c r="I162" s="214">
        <v>200000</v>
      </c>
      <c r="J162" s="214">
        <f t="shared" si="8"/>
        <v>200000</v>
      </c>
      <c r="K162" s="212" t="s">
        <v>6263</v>
      </c>
      <c r="L162" s="213"/>
      <c r="M162" s="212" t="s">
        <v>6231</v>
      </c>
    </row>
    <row r="163" spans="1:13" ht="21" customHeight="1">
      <c r="A163" s="213" t="s">
        <v>6922</v>
      </c>
      <c r="B163" s="215">
        <f t="shared" si="6"/>
        <v>45670</v>
      </c>
      <c r="C163" s="213" t="s">
        <v>6182</v>
      </c>
      <c r="D163" s="213" t="s">
        <v>4369</v>
      </c>
      <c r="E163" s="213" t="s">
        <v>333</v>
      </c>
      <c r="F163" s="212" t="s">
        <v>4365</v>
      </c>
      <c r="G163" s="212" t="str">
        <f t="shared" si="7"/>
        <v>101현금</v>
      </c>
      <c r="H163" s="214">
        <v>220000</v>
      </c>
      <c r="I163" s="214">
        <v>0</v>
      </c>
      <c r="J163" s="214">
        <f t="shared" si="8"/>
        <v>-220000</v>
      </c>
      <c r="K163" s="212" t="s">
        <v>6263</v>
      </c>
      <c r="L163" s="213"/>
      <c r="M163" s="212" t="s">
        <v>6231</v>
      </c>
    </row>
    <row r="164" spans="1:13" ht="21" customHeight="1">
      <c r="A164" s="213" t="s">
        <v>6922</v>
      </c>
      <c r="B164" s="215">
        <f t="shared" si="6"/>
        <v>45670</v>
      </c>
      <c r="C164" s="213" t="s">
        <v>6184</v>
      </c>
      <c r="D164" s="213" t="s">
        <v>4366</v>
      </c>
      <c r="E164" s="213" t="s">
        <v>6176</v>
      </c>
      <c r="F164" s="212" t="s">
        <v>6177</v>
      </c>
      <c r="G164" s="212" t="str">
        <f t="shared" si="7"/>
        <v>255부가세예수금</v>
      </c>
      <c r="H164" s="214">
        <v>0</v>
      </c>
      <c r="I164" s="214">
        <v>15000</v>
      </c>
      <c r="J164" s="214">
        <f t="shared" si="8"/>
        <v>15000</v>
      </c>
      <c r="K164" s="212" t="s">
        <v>6260</v>
      </c>
      <c r="L164" s="213"/>
      <c r="M164" s="212" t="s">
        <v>6179</v>
      </c>
    </row>
    <row r="165" spans="1:13" ht="21" customHeight="1">
      <c r="A165" s="213" t="s">
        <v>6922</v>
      </c>
      <c r="B165" s="215">
        <f t="shared" si="6"/>
        <v>45670</v>
      </c>
      <c r="C165" s="213" t="s">
        <v>6184</v>
      </c>
      <c r="D165" s="213" t="s">
        <v>4366</v>
      </c>
      <c r="E165" s="213" t="s">
        <v>334</v>
      </c>
      <c r="F165" s="212" t="s">
        <v>6158</v>
      </c>
      <c r="G165" s="212" t="str">
        <f t="shared" si="7"/>
        <v>401용역매출</v>
      </c>
      <c r="H165" s="214">
        <v>0</v>
      </c>
      <c r="I165" s="214">
        <v>150000</v>
      </c>
      <c r="J165" s="214">
        <f t="shared" si="8"/>
        <v>150000</v>
      </c>
      <c r="K165" s="212" t="s">
        <v>6260</v>
      </c>
      <c r="L165" s="213"/>
      <c r="M165" s="212" t="s">
        <v>6179</v>
      </c>
    </row>
    <row r="166" spans="1:13" ht="21" customHeight="1">
      <c r="A166" s="213" t="s">
        <v>6922</v>
      </c>
      <c r="B166" s="215">
        <f t="shared" si="6"/>
        <v>45670</v>
      </c>
      <c r="C166" s="213" t="s">
        <v>6184</v>
      </c>
      <c r="D166" s="213" t="s">
        <v>4369</v>
      </c>
      <c r="E166" s="213" t="s">
        <v>333</v>
      </c>
      <c r="F166" s="212" t="s">
        <v>4365</v>
      </c>
      <c r="G166" s="212" t="str">
        <f t="shared" si="7"/>
        <v>101현금</v>
      </c>
      <c r="H166" s="214">
        <v>165000</v>
      </c>
      <c r="I166" s="214">
        <v>0</v>
      </c>
      <c r="J166" s="214">
        <f t="shared" si="8"/>
        <v>-165000</v>
      </c>
      <c r="K166" s="212" t="s">
        <v>6260</v>
      </c>
      <c r="L166" s="213"/>
      <c r="M166" s="212" t="s">
        <v>6179</v>
      </c>
    </row>
    <row r="167" spans="1:13" ht="21" customHeight="1">
      <c r="A167" s="213" t="s">
        <v>6922</v>
      </c>
      <c r="B167" s="215">
        <f t="shared" si="6"/>
        <v>45670</v>
      </c>
      <c r="C167" s="213" t="s">
        <v>6186</v>
      </c>
      <c r="D167" s="213" t="s">
        <v>4366</v>
      </c>
      <c r="E167" s="213" t="s">
        <v>6176</v>
      </c>
      <c r="F167" s="212" t="s">
        <v>6177</v>
      </c>
      <c r="G167" s="212" t="str">
        <f t="shared" si="7"/>
        <v>255부가세예수금</v>
      </c>
      <c r="H167" s="214">
        <v>0</v>
      </c>
      <c r="I167" s="214">
        <v>10000</v>
      </c>
      <c r="J167" s="214">
        <f t="shared" si="8"/>
        <v>10000</v>
      </c>
      <c r="K167" s="212" t="s">
        <v>6264</v>
      </c>
      <c r="L167" s="213"/>
      <c r="M167" s="212" t="s">
        <v>6185</v>
      </c>
    </row>
    <row r="168" spans="1:13" ht="21" customHeight="1">
      <c r="A168" s="213" t="s">
        <v>6922</v>
      </c>
      <c r="B168" s="215">
        <f t="shared" si="6"/>
        <v>45670</v>
      </c>
      <c r="C168" s="213" t="s">
        <v>6186</v>
      </c>
      <c r="D168" s="213" t="s">
        <v>4366</v>
      </c>
      <c r="E168" s="213" t="s">
        <v>334</v>
      </c>
      <c r="F168" s="212" t="s">
        <v>6158</v>
      </c>
      <c r="G168" s="212" t="str">
        <f t="shared" si="7"/>
        <v>401용역매출</v>
      </c>
      <c r="H168" s="214">
        <v>0</v>
      </c>
      <c r="I168" s="214">
        <v>100000</v>
      </c>
      <c r="J168" s="214">
        <f t="shared" si="8"/>
        <v>100000</v>
      </c>
      <c r="K168" s="212" t="s">
        <v>6264</v>
      </c>
      <c r="L168" s="213"/>
      <c r="M168" s="212" t="s">
        <v>6185</v>
      </c>
    </row>
    <row r="169" spans="1:13" ht="21" customHeight="1">
      <c r="A169" s="213" t="s">
        <v>6922</v>
      </c>
      <c r="B169" s="215">
        <f t="shared" si="6"/>
        <v>45670</v>
      </c>
      <c r="C169" s="213" t="s">
        <v>6186</v>
      </c>
      <c r="D169" s="213" t="s">
        <v>4369</v>
      </c>
      <c r="E169" s="213" t="s">
        <v>333</v>
      </c>
      <c r="F169" s="212" t="s">
        <v>4365</v>
      </c>
      <c r="G169" s="212" t="str">
        <f t="shared" si="7"/>
        <v>101현금</v>
      </c>
      <c r="H169" s="214">
        <v>110000</v>
      </c>
      <c r="I169" s="214">
        <v>0</v>
      </c>
      <c r="J169" s="214">
        <f t="shared" si="8"/>
        <v>-110000</v>
      </c>
      <c r="K169" s="212" t="s">
        <v>6264</v>
      </c>
      <c r="L169" s="213"/>
      <c r="M169" s="212" t="s">
        <v>6185</v>
      </c>
    </row>
    <row r="170" spans="1:13" ht="21" customHeight="1">
      <c r="A170" s="213" t="s">
        <v>6922</v>
      </c>
      <c r="B170" s="215">
        <f t="shared" si="6"/>
        <v>45670</v>
      </c>
      <c r="C170" s="213" t="s">
        <v>6189</v>
      </c>
      <c r="D170" s="213" t="s">
        <v>4366</v>
      </c>
      <c r="E170" s="213" t="s">
        <v>6176</v>
      </c>
      <c r="F170" s="212" t="s">
        <v>6177</v>
      </c>
      <c r="G170" s="212" t="str">
        <f t="shared" si="7"/>
        <v>255부가세예수금</v>
      </c>
      <c r="H170" s="214">
        <v>0</v>
      </c>
      <c r="I170" s="214">
        <v>10000</v>
      </c>
      <c r="J170" s="214">
        <f t="shared" si="8"/>
        <v>10000</v>
      </c>
      <c r="K170" s="212" t="s">
        <v>6262</v>
      </c>
      <c r="L170" s="213"/>
      <c r="M170" s="212" t="s">
        <v>6185</v>
      </c>
    </row>
    <row r="171" spans="1:13" ht="21" customHeight="1">
      <c r="A171" s="213" t="s">
        <v>6922</v>
      </c>
      <c r="B171" s="215">
        <f t="shared" si="6"/>
        <v>45670</v>
      </c>
      <c r="C171" s="213" t="s">
        <v>6189</v>
      </c>
      <c r="D171" s="213" t="s">
        <v>4366</v>
      </c>
      <c r="E171" s="213" t="s">
        <v>334</v>
      </c>
      <c r="F171" s="212" t="s">
        <v>6158</v>
      </c>
      <c r="G171" s="212" t="str">
        <f t="shared" si="7"/>
        <v>401용역매출</v>
      </c>
      <c r="H171" s="214">
        <v>0</v>
      </c>
      <c r="I171" s="214">
        <v>100000</v>
      </c>
      <c r="J171" s="214">
        <f t="shared" si="8"/>
        <v>100000</v>
      </c>
      <c r="K171" s="212" t="s">
        <v>6262</v>
      </c>
      <c r="L171" s="213"/>
      <c r="M171" s="212" t="s">
        <v>6185</v>
      </c>
    </row>
    <row r="172" spans="1:13" ht="21" customHeight="1">
      <c r="A172" s="213" t="s">
        <v>6922</v>
      </c>
      <c r="B172" s="215">
        <f t="shared" si="6"/>
        <v>45670</v>
      </c>
      <c r="C172" s="213" t="s">
        <v>6189</v>
      </c>
      <c r="D172" s="213" t="s">
        <v>4369</v>
      </c>
      <c r="E172" s="213" t="s">
        <v>333</v>
      </c>
      <c r="F172" s="212" t="s">
        <v>4365</v>
      </c>
      <c r="G172" s="212" t="str">
        <f t="shared" si="7"/>
        <v>101현금</v>
      </c>
      <c r="H172" s="214">
        <v>110000</v>
      </c>
      <c r="I172" s="214">
        <v>0</v>
      </c>
      <c r="J172" s="214">
        <f t="shared" si="8"/>
        <v>-110000</v>
      </c>
      <c r="K172" s="212" t="s">
        <v>6262</v>
      </c>
      <c r="L172" s="213"/>
      <c r="M172" s="212" t="s">
        <v>6185</v>
      </c>
    </row>
    <row r="173" spans="1:13" ht="21" customHeight="1">
      <c r="A173" s="213" t="s">
        <v>6922</v>
      </c>
      <c r="B173" s="215">
        <f t="shared" si="6"/>
        <v>45670</v>
      </c>
      <c r="C173" s="213" t="s">
        <v>6191</v>
      </c>
      <c r="D173" s="213" t="s">
        <v>4366</v>
      </c>
      <c r="E173" s="213" t="s">
        <v>6176</v>
      </c>
      <c r="F173" s="212" t="s">
        <v>6177</v>
      </c>
      <c r="G173" s="212" t="str">
        <f t="shared" si="7"/>
        <v>255부가세예수금</v>
      </c>
      <c r="H173" s="214">
        <v>0</v>
      </c>
      <c r="I173" s="214">
        <v>7000</v>
      </c>
      <c r="J173" s="214">
        <f t="shared" si="8"/>
        <v>7000</v>
      </c>
      <c r="K173" s="212" t="s">
        <v>6259</v>
      </c>
      <c r="L173" s="213"/>
      <c r="M173" s="212" t="s">
        <v>6287</v>
      </c>
    </row>
    <row r="174" spans="1:13" ht="21" customHeight="1">
      <c r="A174" s="213" t="s">
        <v>6922</v>
      </c>
      <c r="B174" s="215">
        <f t="shared" si="6"/>
        <v>45670</v>
      </c>
      <c r="C174" s="213" t="s">
        <v>6191</v>
      </c>
      <c r="D174" s="213" t="s">
        <v>4366</v>
      </c>
      <c r="E174" s="213" t="s">
        <v>334</v>
      </c>
      <c r="F174" s="212" t="s">
        <v>6158</v>
      </c>
      <c r="G174" s="212" t="str">
        <f t="shared" si="7"/>
        <v>401용역매출</v>
      </c>
      <c r="H174" s="214">
        <v>0</v>
      </c>
      <c r="I174" s="214">
        <v>70000</v>
      </c>
      <c r="J174" s="214">
        <f t="shared" si="8"/>
        <v>70000</v>
      </c>
      <c r="K174" s="212" t="s">
        <v>6259</v>
      </c>
      <c r="L174" s="213"/>
      <c r="M174" s="212" t="s">
        <v>6287</v>
      </c>
    </row>
    <row r="175" spans="1:13" ht="21" customHeight="1">
      <c r="A175" s="213" t="s">
        <v>6922</v>
      </c>
      <c r="B175" s="215">
        <f t="shared" si="6"/>
        <v>45670</v>
      </c>
      <c r="C175" s="213" t="s">
        <v>6191</v>
      </c>
      <c r="D175" s="213" t="s">
        <v>4369</v>
      </c>
      <c r="E175" s="213" t="s">
        <v>333</v>
      </c>
      <c r="F175" s="212" t="s">
        <v>4365</v>
      </c>
      <c r="G175" s="212" t="str">
        <f t="shared" si="7"/>
        <v>101현금</v>
      </c>
      <c r="H175" s="214">
        <v>77000</v>
      </c>
      <c r="I175" s="214">
        <v>0</v>
      </c>
      <c r="J175" s="214">
        <f t="shared" si="8"/>
        <v>-77000</v>
      </c>
      <c r="K175" s="212" t="s">
        <v>6259</v>
      </c>
      <c r="L175" s="213"/>
      <c r="M175" s="212" t="s">
        <v>6287</v>
      </c>
    </row>
    <row r="176" spans="1:13" ht="21" customHeight="1">
      <c r="A176" s="213" t="s">
        <v>6921</v>
      </c>
      <c r="B176" s="215">
        <f t="shared" si="6"/>
        <v>45671</v>
      </c>
      <c r="C176" s="213" t="s">
        <v>4373</v>
      </c>
      <c r="D176" s="213" t="s">
        <v>4369</v>
      </c>
      <c r="E176" s="213" t="s">
        <v>4380</v>
      </c>
      <c r="F176" s="212" t="s">
        <v>6515</v>
      </c>
      <c r="G176" s="212" t="str">
        <f t="shared" si="7"/>
        <v>812여비교통비(판)</v>
      </c>
      <c r="H176" s="214">
        <v>1800</v>
      </c>
      <c r="I176" s="214">
        <v>0</v>
      </c>
      <c r="J176" s="214">
        <f t="shared" si="8"/>
        <v>-1800</v>
      </c>
      <c r="K176" s="212" t="s">
        <v>6305</v>
      </c>
      <c r="L176" s="213"/>
      <c r="M176" s="212"/>
    </row>
    <row r="177" spans="1:13" ht="21" customHeight="1">
      <c r="A177" s="213" t="s">
        <v>6921</v>
      </c>
      <c r="B177" s="215">
        <f t="shared" si="6"/>
        <v>45671</v>
      </c>
      <c r="C177" s="213" t="s">
        <v>4373</v>
      </c>
      <c r="D177" s="213" t="s">
        <v>4366</v>
      </c>
      <c r="E177" s="213" t="s">
        <v>333</v>
      </c>
      <c r="F177" s="212" t="s">
        <v>4365</v>
      </c>
      <c r="G177" s="212" t="str">
        <f t="shared" si="7"/>
        <v>101현금</v>
      </c>
      <c r="H177" s="214">
        <v>0</v>
      </c>
      <c r="I177" s="214">
        <v>1800</v>
      </c>
      <c r="J177" s="214">
        <f t="shared" si="8"/>
        <v>1800</v>
      </c>
      <c r="K177" s="212" t="s">
        <v>6369</v>
      </c>
      <c r="L177" s="213"/>
      <c r="M177" s="212"/>
    </row>
    <row r="178" spans="1:13" ht="21" customHeight="1">
      <c r="A178" s="213" t="s">
        <v>6921</v>
      </c>
      <c r="B178" s="215">
        <f t="shared" si="6"/>
        <v>45671</v>
      </c>
      <c r="C178" s="213" t="s">
        <v>4382</v>
      </c>
      <c r="D178" s="213" t="s">
        <v>4369</v>
      </c>
      <c r="E178" s="213" t="s">
        <v>4380</v>
      </c>
      <c r="F178" s="212" t="s">
        <v>6515</v>
      </c>
      <c r="G178" s="212" t="str">
        <f t="shared" si="7"/>
        <v>812여비교통비(판)</v>
      </c>
      <c r="H178" s="214">
        <v>3800</v>
      </c>
      <c r="I178" s="214">
        <v>0</v>
      </c>
      <c r="J178" s="214">
        <f t="shared" si="8"/>
        <v>-3800</v>
      </c>
      <c r="K178" s="212" t="s">
        <v>6748</v>
      </c>
      <c r="L178" s="213"/>
      <c r="M178" s="212"/>
    </row>
    <row r="179" spans="1:13" ht="21" customHeight="1">
      <c r="A179" s="213" t="s">
        <v>6921</v>
      </c>
      <c r="B179" s="215">
        <f t="shared" si="6"/>
        <v>45671</v>
      </c>
      <c r="C179" s="213" t="s">
        <v>4382</v>
      </c>
      <c r="D179" s="213" t="s">
        <v>4366</v>
      </c>
      <c r="E179" s="213" t="s">
        <v>333</v>
      </c>
      <c r="F179" s="212" t="s">
        <v>4365</v>
      </c>
      <c r="G179" s="212" t="str">
        <f t="shared" si="7"/>
        <v>101현금</v>
      </c>
      <c r="H179" s="214">
        <v>0</v>
      </c>
      <c r="I179" s="214">
        <v>3800</v>
      </c>
      <c r="J179" s="214">
        <f t="shared" si="8"/>
        <v>3800</v>
      </c>
      <c r="K179" s="212" t="s">
        <v>6370</v>
      </c>
      <c r="L179" s="213"/>
      <c r="M179" s="212"/>
    </row>
    <row r="180" spans="1:13" ht="21" customHeight="1">
      <c r="A180" s="213" t="s">
        <v>6921</v>
      </c>
      <c r="B180" s="215">
        <f t="shared" si="6"/>
        <v>45671</v>
      </c>
      <c r="C180" s="213" t="s">
        <v>4381</v>
      </c>
      <c r="D180" s="213" t="s">
        <v>4366</v>
      </c>
      <c r="E180" s="213" t="s">
        <v>333</v>
      </c>
      <c r="F180" s="212" t="s">
        <v>4365</v>
      </c>
      <c r="G180" s="212" t="str">
        <f t="shared" si="7"/>
        <v>101현금</v>
      </c>
      <c r="H180" s="214">
        <v>0</v>
      </c>
      <c r="I180" s="214">
        <v>3980</v>
      </c>
      <c r="J180" s="214">
        <f t="shared" si="8"/>
        <v>3980</v>
      </c>
      <c r="K180" s="212" t="s">
        <v>6369</v>
      </c>
      <c r="L180" s="213"/>
      <c r="M180" s="212"/>
    </row>
    <row r="181" spans="1:13" ht="21" customHeight="1">
      <c r="A181" s="213" t="s">
        <v>6921</v>
      </c>
      <c r="B181" s="215">
        <f t="shared" si="6"/>
        <v>45671</v>
      </c>
      <c r="C181" s="213" t="s">
        <v>4381</v>
      </c>
      <c r="D181" s="213" t="s">
        <v>4369</v>
      </c>
      <c r="E181" s="213" t="s">
        <v>6290</v>
      </c>
      <c r="F181" s="212" t="s">
        <v>6570</v>
      </c>
      <c r="G181" s="212" t="str">
        <f t="shared" si="7"/>
        <v>824운반비(판)</v>
      </c>
      <c r="H181" s="214">
        <v>3980</v>
      </c>
      <c r="I181" s="214">
        <v>0</v>
      </c>
      <c r="J181" s="214">
        <f t="shared" si="8"/>
        <v>-3980</v>
      </c>
      <c r="K181" s="212" t="s">
        <v>6291</v>
      </c>
      <c r="L181" s="213"/>
      <c r="M181" s="212"/>
    </row>
    <row r="182" spans="1:13" ht="21" customHeight="1">
      <c r="A182" s="213" t="s">
        <v>6920</v>
      </c>
      <c r="B182" s="215">
        <f t="shared" si="6"/>
        <v>45672</v>
      </c>
      <c r="C182" s="213" t="s">
        <v>4373</v>
      </c>
      <c r="D182" s="213" t="s">
        <v>4366</v>
      </c>
      <c r="E182" s="213" t="s">
        <v>333</v>
      </c>
      <c r="F182" s="212" t="s">
        <v>4365</v>
      </c>
      <c r="G182" s="212" t="str">
        <f t="shared" si="7"/>
        <v>101현금</v>
      </c>
      <c r="H182" s="214">
        <v>0</v>
      </c>
      <c r="I182" s="214">
        <v>9840</v>
      </c>
      <c r="J182" s="214">
        <f t="shared" si="8"/>
        <v>9840</v>
      </c>
      <c r="K182" s="212" t="s">
        <v>6370</v>
      </c>
      <c r="L182" s="213"/>
      <c r="M182" s="212"/>
    </row>
    <row r="183" spans="1:13" ht="21" customHeight="1">
      <c r="A183" s="213" t="s">
        <v>6920</v>
      </c>
      <c r="B183" s="215">
        <f t="shared" si="6"/>
        <v>45672</v>
      </c>
      <c r="C183" s="213" t="s">
        <v>4373</v>
      </c>
      <c r="D183" s="213" t="s">
        <v>4369</v>
      </c>
      <c r="E183" s="213" t="s">
        <v>6290</v>
      </c>
      <c r="F183" s="212" t="s">
        <v>6570</v>
      </c>
      <c r="G183" s="212" t="str">
        <f t="shared" si="7"/>
        <v>824운반비(판)</v>
      </c>
      <c r="H183" s="214">
        <v>9840</v>
      </c>
      <c r="I183" s="214">
        <v>0</v>
      </c>
      <c r="J183" s="214">
        <f t="shared" si="8"/>
        <v>-9840</v>
      </c>
      <c r="K183" s="212" t="s">
        <v>6291</v>
      </c>
      <c r="L183" s="213"/>
      <c r="M183" s="212"/>
    </row>
    <row r="184" spans="1:13" ht="21" customHeight="1">
      <c r="A184" s="213" t="s">
        <v>6920</v>
      </c>
      <c r="B184" s="215">
        <f t="shared" si="6"/>
        <v>45672</v>
      </c>
      <c r="C184" s="213" t="s">
        <v>4367</v>
      </c>
      <c r="D184" s="213" t="s">
        <v>4366</v>
      </c>
      <c r="E184" s="213" t="s">
        <v>6176</v>
      </c>
      <c r="F184" s="212" t="s">
        <v>6177</v>
      </c>
      <c r="G184" s="212" t="str">
        <f t="shared" si="7"/>
        <v>255부가세예수금</v>
      </c>
      <c r="H184" s="214">
        <v>0</v>
      </c>
      <c r="I184" s="214">
        <v>10000</v>
      </c>
      <c r="J184" s="214">
        <f t="shared" si="8"/>
        <v>10000</v>
      </c>
      <c r="K184" s="212" t="s">
        <v>6304</v>
      </c>
      <c r="L184" s="213"/>
      <c r="M184" s="212" t="s">
        <v>6185</v>
      </c>
    </row>
    <row r="185" spans="1:13" ht="21" customHeight="1">
      <c r="A185" s="213" t="s">
        <v>6920</v>
      </c>
      <c r="B185" s="215">
        <f t="shared" si="6"/>
        <v>45672</v>
      </c>
      <c r="C185" s="213" t="s">
        <v>4367</v>
      </c>
      <c r="D185" s="213" t="s">
        <v>4366</v>
      </c>
      <c r="E185" s="213" t="s">
        <v>334</v>
      </c>
      <c r="F185" s="212" t="s">
        <v>6158</v>
      </c>
      <c r="G185" s="212" t="str">
        <f t="shared" si="7"/>
        <v>401용역매출</v>
      </c>
      <c r="H185" s="214">
        <v>0</v>
      </c>
      <c r="I185" s="214">
        <v>100000</v>
      </c>
      <c r="J185" s="214">
        <f t="shared" si="8"/>
        <v>100000</v>
      </c>
      <c r="K185" s="212" t="s">
        <v>6304</v>
      </c>
      <c r="L185" s="213"/>
      <c r="M185" s="212" t="s">
        <v>6185</v>
      </c>
    </row>
    <row r="186" spans="1:13" ht="21" customHeight="1">
      <c r="A186" s="213" t="s">
        <v>6920</v>
      </c>
      <c r="B186" s="215">
        <f t="shared" si="6"/>
        <v>45672</v>
      </c>
      <c r="C186" s="213" t="s">
        <v>4367</v>
      </c>
      <c r="D186" s="213" t="s">
        <v>4369</v>
      </c>
      <c r="E186" s="213" t="s">
        <v>333</v>
      </c>
      <c r="F186" s="212" t="s">
        <v>4365</v>
      </c>
      <c r="G186" s="212" t="str">
        <f t="shared" si="7"/>
        <v>101현금</v>
      </c>
      <c r="H186" s="214">
        <v>110000</v>
      </c>
      <c r="I186" s="214">
        <v>0</v>
      </c>
      <c r="J186" s="214">
        <f t="shared" si="8"/>
        <v>-110000</v>
      </c>
      <c r="K186" s="212" t="s">
        <v>6304</v>
      </c>
      <c r="L186" s="213"/>
      <c r="M186" s="212" t="s">
        <v>6185</v>
      </c>
    </row>
    <row r="187" spans="1:13" ht="21" customHeight="1">
      <c r="A187" s="213" t="s">
        <v>6920</v>
      </c>
      <c r="B187" s="215">
        <f t="shared" si="6"/>
        <v>45672</v>
      </c>
      <c r="C187" s="213" t="s">
        <v>4374</v>
      </c>
      <c r="D187" s="213" t="s">
        <v>4366</v>
      </c>
      <c r="E187" s="213" t="s">
        <v>6176</v>
      </c>
      <c r="F187" s="212" t="s">
        <v>6177</v>
      </c>
      <c r="G187" s="212" t="str">
        <f t="shared" si="7"/>
        <v>255부가세예수금</v>
      </c>
      <c r="H187" s="214">
        <v>0</v>
      </c>
      <c r="I187" s="214">
        <v>13636</v>
      </c>
      <c r="J187" s="214">
        <f t="shared" si="8"/>
        <v>13636</v>
      </c>
      <c r="K187" s="212" t="s">
        <v>6204</v>
      </c>
      <c r="L187" s="213"/>
      <c r="M187" s="212" t="s">
        <v>6205</v>
      </c>
    </row>
    <row r="188" spans="1:13" ht="21" customHeight="1">
      <c r="A188" s="213" t="s">
        <v>6920</v>
      </c>
      <c r="B188" s="215">
        <f t="shared" si="6"/>
        <v>45672</v>
      </c>
      <c r="C188" s="213" t="s">
        <v>4374</v>
      </c>
      <c r="D188" s="213" t="s">
        <v>4366</v>
      </c>
      <c r="E188" s="213" t="s">
        <v>334</v>
      </c>
      <c r="F188" s="212" t="s">
        <v>6158</v>
      </c>
      <c r="G188" s="212" t="str">
        <f t="shared" si="7"/>
        <v>401용역매출</v>
      </c>
      <c r="H188" s="214">
        <v>0</v>
      </c>
      <c r="I188" s="214">
        <v>136364</v>
      </c>
      <c r="J188" s="214">
        <f t="shared" si="8"/>
        <v>136364</v>
      </c>
      <c r="K188" s="212" t="s">
        <v>6204</v>
      </c>
      <c r="L188" s="213"/>
      <c r="M188" s="212" t="s">
        <v>6205</v>
      </c>
    </row>
    <row r="189" spans="1:13" ht="21" customHeight="1">
      <c r="A189" s="213" t="s">
        <v>6920</v>
      </c>
      <c r="B189" s="215">
        <f t="shared" si="6"/>
        <v>45672</v>
      </c>
      <c r="C189" s="213" t="s">
        <v>4374</v>
      </c>
      <c r="D189" s="213" t="s">
        <v>4369</v>
      </c>
      <c r="E189" s="213" t="s">
        <v>333</v>
      </c>
      <c r="F189" s="212" t="s">
        <v>4365</v>
      </c>
      <c r="G189" s="212" t="str">
        <f t="shared" si="7"/>
        <v>101현금</v>
      </c>
      <c r="H189" s="214">
        <v>150000</v>
      </c>
      <c r="I189" s="214">
        <v>0</v>
      </c>
      <c r="J189" s="214">
        <f t="shared" si="8"/>
        <v>-150000</v>
      </c>
      <c r="K189" s="212" t="s">
        <v>6204</v>
      </c>
      <c r="L189" s="213"/>
      <c r="M189" s="212" t="s">
        <v>6205</v>
      </c>
    </row>
    <row r="190" spans="1:13" ht="21" customHeight="1">
      <c r="A190" s="213" t="s">
        <v>6918</v>
      </c>
      <c r="B190" s="215">
        <f t="shared" si="6"/>
        <v>45673</v>
      </c>
      <c r="C190" s="213" t="s">
        <v>4373</v>
      </c>
      <c r="D190" s="213" t="s">
        <v>4369</v>
      </c>
      <c r="E190" s="213" t="s">
        <v>4499</v>
      </c>
      <c r="F190" s="212" t="s">
        <v>6517</v>
      </c>
      <c r="G190" s="212" t="str">
        <f t="shared" si="7"/>
        <v>811복리후생비(판)</v>
      </c>
      <c r="H190" s="214">
        <v>3000</v>
      </c>
      <c r="I190" s="214">
        <v>0</v>
      </c>
      <c r="J190" s="214">
        <f t="shared" si="8"/>
        <v>-3000</v>
      </c>
      <c r="K190" s="212" t="s">
        <v>6288</v>
      </c>
      <c r="L190" s="213"/>
      <c r="M190" s="212"/>
    </row>
    <row r="191" spans="1:13" ht="21" customHeight="1">
      <c r="A191" s="213" t="s">
        <v>6918</v>
      </c>
      <c r="B191" s="215">
        <f t="shared" si="6"/>
        <v>45673</v>
      </c>
      <c r="C191" s="213" t="s">
        <v>4373</v>
      </c>
      <c r="D191" s="213" t="s">
        <v>4366</v>
      </c>
      <c r="E191" s="213" t="s">
        <v>333</v>
      </c>
      <c r="F191" s="212" t="s">
        <v>4365</v>
      </c>
      <c r="G191" s="212" t="str">
        <f t="shared" si="7"/>
        <v>101현금</v>
      </c>
      <c r="H191" s="214">
        <v>0</v>
      </c>
      <c r="I191" s="214">
        <v>3000</v>
      </c>
      <c r="J191" s="214">
        <f t="shared" si="8"/>
        <v>3000</v>
      </c>
      <c r="K191" s="212" t="s">
        <v>6369</v>
      </c>
      <c r="L191" s="213"/>
      <c r="M191" s="212"/>
    </row>
    <row r="192" spans="1:13" ht="21" customHeight="1">
      <c r="A192" s="213" t="s">
        <v>6918</v>
      </c>
      <c r="B192" s="215">
        <f t="shared" si="6"/>
        <v>45673</v>
      </c>
      <c r="C192" s="213" t="s">
        <v>4382</v>
      </c>
      <c r="D192" s="213" t="s">
        <v>4366</v>
      </c>
      <c r="E192" s="213" t="s">
        <v>333</v>
      </c>
      <c r="F192" s="212" t="s">
        <v>4365</v>
      </c>
      <c r="G192" s="212" t="str">
        <f t="shared" si="7"/>
        <v>101현금</v>
      </c>
      <c r="H192" s="214">
        <v>0</v>
      </c>
      <c r="I192" s="214">
        <v>2000</v>
      </c>
      <c r="J192" s="214">
        <f t="shared" si="8"/>
        <v>2000</v>
      </c>
      <c r="K192" s="212" t="s">
        <v>6369</v>
      </c>
      <c r="L192" s="213"/>
      <c r="M192" s="212"/>
    </row>
    <row r="193" spans="1:13" ht="21" customHeight="1">
      <c r="A193" s="213" t="s">
        <v>6918</v>
      </c>
      <c r="B193" s="215">
        <f t="shared" si="6"/>
        <v>45673</v>
      </c>
      <c r="C193" s="213" t="s">
        <v>4382</v>
      </c>
      <c r="D193" s="213" t="s">
        <v>4369</v>
      </c>
      <c r="E193" s="213" t="s">
        <v>4383</v>
      </c>
      <c r="F193" s="212" t="s">
        <v>6525</v>
      </c>
      <c r="G193" s="212" t="str">
        <f t="shared" si="7"/>
        <v>830소모품비(판)</v>
      </c>
      <c r="H193" s="214">
        <v>2000</v>
      </c>
      <c r="I193" s="214">
        <v>0</v>
      </c>
      <c r="J193" s="214">
        <f t="shared" si="8"/>
        <v>-2000</v>
      </c>
      <c r="K193" s="212" t="s">
        <v>6669</v>
      </c>
      <c r="L193" s="213"/>
      <c r="M193" s="212"/>
    </row>
    <row r="194" spans="1:13" ht="21" customHeight="1">
      <c r="A194" s="213" t="s">
        <v>6918</v>
      </c>
      <c r="B194" s="215">
        <f t="shared" ref="B194:B257" si="9">DATEVALUE(A194)</f>
        <v>45673</v>
      </c>
      <c r="C194" s="213" t="s">
        <v>4381</v>
      </c>
      <c r="D194" s="213" t="s">
        <v>4366</v>
      </c>
      <c r="E194" s="213" t="s">
        <v>333</v>
      </c>
      <c r="F194" s="212" t="s">
        <v>4365</v>
      </c>
      <c r="G194" s="212" t="str">
        <f t="shared" ref="G194:G257" si="10">E194&amp;F194</f>
        <v>101현금</v>
      </c>
      <c r="H194" s="214">
        <v>0</v>
      </c>
      <c r="I194" s="214">
        <v>1000</v>
      </c>
      <c r="J194" s="214">
        <f t="shared" ref="J194:J257" si="11">I194-H194</f>
        <v>1000</v>
      </c>
      <c r="K194" s="212" t="s">
        <v>6369</v>
      </c>
      <c r="L194" s="213"/>
      <c r="M194" s="212"/>
    </row>
    <row r="195" spans="1:13" ht="21" customHeight="1">
      <c r="A195" s="213" t="s">
        <v>6918</v>
      </c>
      <c r="B195" s="215">
        <f t="shared" si="9"/>
        <v>45673</v>
      </c>
      <c r="C195" s="213" t="s">
        <v>4381</v>
      </c>
      <c r="D195" s="213" t="s">
        <v>4369</v>
      </c>
      <c r="E195" s="213" t="s">
        <v>4380</v>
      </c>
      <c r="F195" s="212" t="s">
        <v>6515</v>
      </c>
      <c r="G195" s="212" t="str">
        <f t="shared" si="10"/>
        <v>812여비교통비(판)</v>
      </c>
      <c r="H195" s="214">
        <v>1000</v>
      </c>
      <c r="I195" s="214">
        <v>0</v>
      </c>
      <c r="J195" s="214">
        <f t="shared" si="11"/>
        <v>-1000</v>
      </c>
      <c r="K195" s="212" t="s">
        <v>6701</v>
      </c>
      <c r="L195" s="213"/>
      <c r="M195" s="212"/>
    </row>
    <row r="196" spans="1:13" ht="21" customHeight="1">
      <c r="A196" s="213" t="s">
        <v>6918</v>
      </c>
      <c r="B196" s="215">
        <f t="shared" si="9"/>
        <v>45673</v>
      </c>
      <c r="C196" s="213" t="s">
        <v>4379</v>
      </c>
      <c r="D196" s="213" t="s">
        <v>4369</v>
      </c>
      <c r="E196" s="213" t="s">
        <v>4500</v>
      </c>
      <c r="F196" s="212" t="s">
        <v>6418</v>
      </c>
      <c r="G196" s="212" t="str">
        <f t="shared" si="10"/>
        <v>822차량유지비(판)</v>
      </c>
      <c r="H196" s="214">
        <v>50000</v>
      </c>
      <c r="I196" s="214">
        <v>0</v>
      </c>
      <c r="J196" s="214">
        <f t="shared" si="11"/>
        <v>-50000</v>
      </c>
      <c r="K196" s="212" t="s">
        <v>6919</v>
      </c>
      <c r="L196" s="213"/>
      <c r="M196" s="212"/>
    </row>
    <row r="197" spans="1:13" ht="21" customHeight="1">
      <c r="A197" s="213" t="s">
        <v>6918</v>
      </c>
      <c r="B197" s="215">
        <f t="shared" si="9"/>
        <v>45673</v>
      </c>
      <c r="C197" s="213" t="s">
        <v>4379</v>
      </c>
      <c r="D197" s="213" t="s">
        <v>4366</v>
      </c>
      <c r="E197" s="213" t="s">
        <v>333</v>
      </c>
      <c r="F197" s="212" t="s">
        <v>4365</v>
      </c>
      <c r="G197" s="212" t="str">
        <f t="shared" si="10"/>
        <v>101현금</v>
      </c>
      <c r="H197" s="214">
        <v>0</v>
      </c>
      <c r="I197" s="214">
        <v>50000</v>
      </c>
      <c r="J197" s="214">
        <f t="shared" si="11"/>
        <v>50000</v>
      </c>
      <c r="K197" s="212" t="s">
        <v>6370</v>
      </c>
      <c r="L197" s="213"/>
      <c r="M197" s="212"/>
    </row>
    <row r="198" spans="1:13" ht="21" customHeight="1">
      <c r="A198" s="213" t="s">
        <v>6918</v>
      </c>
      <c r="B198" s="215">
        <f t="shared" si="9"/>
        <v>45673</v>
      </c>
      <c r="C198" s="213" t="s">
        <v>4385</v>
      </c>
      <c r="D198" s="213" t="s">
        <v>4369</v>
      </c>
      <c r="E198" s="213" t="s">
        <v>4499</v>
      </c>
      <c r="F198" s="212" t="s">
        <v>6517</v>
      </c>
      <c r="G198" s="212" t="str">
        <f t="shared" si="10"/>
        <v>811복리후생비(판)</v>
      </c>
      <c r="H198" s="214">
        <v>34960</v>
      </c>
      <c r="I198" s="214">
        <v>0</v>
      </c>
      <c r="J198" s="214">
        <f t="shared" si="11"/>
        <v>-34960</v>
      </c>
      <c r="K198" s="212" t="s">
        <v>6365</v>
      </c>
      <c r="L198" s="213"/>
      <c r="M198" s="212"/>
    </row>
    <row r="199" spans="1:13" ht="21" customHeight="1">
      <c r="A199" s="213" t="s">
        <v>6918</v>
      </c>
      <c r="B199" s="215">
        <f t="shared" si="9"/>
        <v>45673</v>
      </c>
      <c r="C199" s="213" t="s">
        <v>4385</v>
      </c>
      <c r="D199" s="213" t="s">
        <v>4366</v>
      </c>
      <c r="E199" s="213" t="s">
        <v>333</v>
      </c>
      <c r="F199" s="212" t="s">
        <v>4365</v>
      </c>
      <c r="G199" s="212" t="str">
        <f t="shared" si="10"/>
        <v>101현금</v>
      </c>
      <c r="H199" s="214">
        <v>0</v>
      </c>
      <c r="I199" s="214">
        <v>34960</v>
      </c>
      <c r="J199" s="214">
        <f t="shared" si="11"/>
        <v>34960</v>
      </c>
      <c r="K199" s="212" t="s">
        <v>6365</v>
      </c>
      <c r="L199" s="213"/>
      <c r="M199" s="212"/>
    </row>
    <row r="200" spans="1:13" ht="21" customHeight="1">
      <c r="A200" s="213" t="s">
        <v>6918</v>
      </c>
      <c r="B200" s="215">
        <f t="shared" si="9"/>
        <v>45673</v>
      </c>
      <c r="C200" s="213" t="s">
        <v>4367</v>
      </c>
      <c r="D200" s="213" t="s">
        <v>4366</v>
      </c>
      <c r="E200" s="213" t="s">
        <v>6176</v>
      </c>
      <c r="F200" s="212" t="s">
        <v>6177</v>
      </c>
      <c r="G200" s="212" t="str">
        <f t="shared" si="10"/>
        <v>255부가세예수금</v>
      </c>
      <c r="H200" s="214">
        <v>0</v>
      </c>
      <c r="I200" s="214">
        <v>10000</v>
      </c>
      <c r="J200" s="214">
        <f t="shared" si="11"/>
        <v>10000</v>
      </c>
      <c r="K200" s="212" t="s">
        <v>6280</v>
      </c>
      <c r="L200" s="213"/>
      <c r="M200" s="212" t="s">
        <v>6185</v>
      </c>
    </row>
    <row r="201" spans="1:13" ht="21" customHeight="1">
      <c r="A201" s="213" t="s">
        <v>6918</v>
      </c>
      <c r="B201" s="215">
        <f t="shared" si="9"/>
        <v>45673</v>
      </c>
      <c r="C201" s="213" t="s">
        <v>4367</v>
      </c>
      <c r="D201" s="213" t="s">
        <v>4366</v>
      </c>
      <c r="E201" s="213" t="s">
        <v>334</v>
      </c>
      <c r="F201" s="212" t="s">
        <v>6158</v>
      </c>
      <c r="G201" s="212" t="str">
        <f t="shared" si="10"/>
        <v>401용역매출</v>
      </c>
      <c r="H201" s="214">
        <v>0</v>
      </c>
      <c r="I201" s="214">
        <v>100000</v>
      </c>
      <c r="J201" s="214">
        <f t="shared" si="11"/>
        <v>100000</v>
      </c>
      <c r="K201" s="212" t="s">
        <v>6280</v>
      </c>
      <c r="L201" s="213"/>
      <c r="M201" s="212" t="s">
        <v>6185</v>
      </c>
    </row>
    <row r="202" spans="1:13" ht="21" customHeight="1">
      <c r="A202" s="213" t="s">
        <v>6918</v>
      </c>
      <c r="B202" s="215">
        <f t="shared" si="9"/>
        <v>45673</v>
      </c>
      <c r="C202" s="213" t="s">
        <v>4367</v>
      </c>
      <c r="D202" s="213" t="s">
        <v>4369</v>
      </c>
      <c r="E202" s="213" t="s">
        <v>333</v>
      </c>
      <c r="F202" s="212" t="s">
        <v>4365</v>
      </c>
      <c r="G202" s="212" t="str">
        <f t="shared" si="10"/>
        <v>101현금</v>
      </c>
      <c r="H202" s="214">
        <v>110000</v>
      </c>
      <c r="I202" s="214">
        <v>0</v>
      </c>
      <c r="J202" s="214">
        <f t="shared" si="11"/>
        <v>-110000</v>
      </c>
      <c r="K202" s="212" t="s">
        <v>6280</v>
      </c>
      <c r="L202" s="213"/>
      <c r="M202" s="212" t="s">
        <v>6185</v>
      </c>
    </row>
    <row r="203" spans="1:13" ht="21" customHeight="1">
      <c r="A203" s="213" t="s">
        <v>6918</v>
      </c>
      <c r="B203" s="215">
        <f t="shared" si="9"/>
        <v>45673</v>
      </c>
      <c r="C203" s="213" t="s">
        <v>4374</v>
      </c>
      <c r="D203" s="213" t="s">
        <v>4366</v>
      </c>
      <c r="E203" s="213" t="s">
        <v>6176</v>
      </c>
      <c r="F203" s="212" t="s">
        <v>6177</v>
      </c>
      <c r="G203" s="212" t="str">
        <f t="shared" si="10"/>
        <v>255부가세예수금</v>
      </c>
      <c r="H203" s="214">
        <v>0</v>
      </c>
      <c r="I203" s="214">
        <v>6000</v>
      </c>
      <c r="J203" s="214">
        <f t="shared" si="11"/>
        <v>6000</v>
      </c>
      <c r="K203" s="212" t="s">
        <v>6302</v>
      </c>
      <c r="L203" s="213"/>
      <c r="M203" s="212" t="s">
        <v>6303</v>
      </c>
    </row>
    <row r="204" spans="1:13" ht="21" customHeight="1">
      <c r="A204" s="213" t="s">
        <v>6918</v>
      </c>
      <c r="B204" s="215">
        <f t="shared" si="9"/>
        <v>45673</v>
      </c>
      <c r="C204" s="213" t="s">
        <v>4374</v>
      </c>
      <c r="D204" s="213" t="s">
        <v>4366</v>
      </c>
      <c r="E204" s="213" t="s">
        <v>334</v>
      </c>
      <c r="F204" s="212" t="s">
        <v>6158</v>
      </c>
      <c r="G204" s="212" t="str">
        <f t="shared" si="10"/>
        <v>401용역매출</v>
      </c>
      <c r="H204" s="214">
        <v>0</v>
      </c>
      <c r="I204" s="214">
        <v>60000</v>
      </c>
      <c r="J204" s="214">
        <f t="shared" si="11"/>
        <v>60000</v>
      </c>
      <c r="K204" s="212" t="s">
        <v>6302</v>
      </c>
      <c r="L204" s="213"/>
      <c r="M204" s="212" t="s">
        <v>6303</v>
      </c>
    </row>
    <row r="205" spans="1:13" ht="21" customHeight="1">
      <c r="A205" s="213" t="s">
        <v>6918</v>
      </c>
      <c r="B205" s="215">
        <f t="shared" si="9"/>
        <v>45673</v>
      </c>
      <c r="C205" s="213" t="s">
        <v>4374</v>
      </c>
      <c r="D205" s="213" t="s">
        <v>4369</v>
      </c>
      <c r="E205" s="213" t="s">
        <v>333</v>
      </c>
      <c r="F205" s="212" t="s">
        <v>4365</v>
      </c>
      <c r="G205" s="212" t="str">
        <f t="shared" si="10"/>
        <v>101현금</v>
      </c>
      <c r="H205" s="214">
        <v>66000</v>
      </c>
      <c r="I205" s="214">
        <v>0</v>
      </c>
      <c r="J205" s="214">
        <f t="shared" si="11"/>
        <v>-66000</v>
      </c>
      <c r="K205" s="212" t="s">
        <v>6302</v>
      </c>
      <c r="L205" s="213"/>
      <c r="M205" s="212" t="s">
        <v>6303</v>
      </c>
    </row>
    <row r="206" spans="1:13" ht="21" customHeight="1">
      <c r="A206" s="213" t="s">
        <v>6916</v>
      </c>
      <c r="B206" s="215">
        <f t="shared" si="9"/>
        <v>45674</v>
      </c>
      <c r="C206" s="213" t="s">
        <v>4373</v>
      </c>
      <c r="D206" s="213" t="s">
        <v>4369</v>
      </c>
      <c r="E206" s="213" t="s">
        <v>4380</v>
      </c>
      <c r="F206" s="212" t="s">
        <v>6515</v>
      </c>
      <c r="G206" s="212" t="str">
        <f t="shared" si="10"/>
        <v>812여비교통비(판)</v>
      </c>
      <c r="H206" s="214">
        <v>9000</v>
      </c>
      <c r="I206" s="214">
        <v>0</v>
      </c>
      <c r="J206" s="214">
        <f t="shared" si="11"/>
        <v>-9000</v>
      </c>
      <c r="K206" s="212" t="s">
        <v>6917</v>
      </c>
      <c r="L206" s="213"/>
      <c r="M206" s="212"/>
    </row>
    <row r="207" spans="1:13" ht="21" customHeight="1">
      <c r="A207" s="213" t="s">
        <v>6916</v>
      </c>
      <c r="B207" s="215">
        <f t="shared" si="9"/>
        <v>45674</v>
      </c>
      <c r="C207" s="213" t="s">
        <v>4373</v>
      </c>
      <c r="D207" s="213" t="s">
        <v>4366</v>
      </c>
      <c r="E207" s="213" t="s">
        <v>333</v>
      </c>
      <c r="F207" s="212" t="s">
        <v>4365</v>
      </c>
      <c r="G207" s="212" t="str">
        <f t="shared" si="10"/>
        <v>101현금</v>
      </c>
      <c r="H207" s="214">
        <v>0</v>
      </c>
      <c r="I207" s="214">
        <v>9000</v>
      </c>
      <c r="J207" s="214">
        <f t="shared" si="11"/>
        <v>9000</v>
      </c>
      <c r="K207" s="212" t="s">
        <v>6369</v>
      </c>
      <c r="L207" s="213"/>
      <c r="M207" s="212"/>
    </row>
    <row r="208" spans="1:13" ht="21" customHeight="1">
      <c r="A208" s="217" t="s">
        <v>6915</v>
      </c>
      <c r="B208" s="215">
        <f t="shared" si="9"/>
        <v>45675</v>
      </c>
      <c r="C208" s="213" t="s">
        <v>4373</v>
      </c>
      <c r="D208" s="213" t="s">
        <v>4369</v>
      </c>
      <c r="E208" s="213" t="s">
        <v>4383</v>
      </c>
      <c r="F208" s="212" t="s">
        <v>6525</v>
      </c>
      <c r="G208" s="212" t="str">
        <f t="shared" si="10"/>
        <v>830소모품비(판)</v>
      </c>
      <c r="H208" s="214">
        <v>3500</v>
      </c>
      <c r="I208" s="214">
        <v>0</v>
      </c>
      <c r="J208" s="214">
        <f t="shared" si="11"/>
        <v>-3500</v>
      </c>
      <c r="K208" s="212" t="s">
        <v>6367</v>
      </c>
      <c r="L208" s="213"/>
      <c r="M208" s="212"/>
    </row>
    <row r="209" spans="1:13" ht="21" customHeight="1">
      <c r="A209" s="217" t="s">
        <v>6915</v>
      </c>
      <c r="B209" s="215">
        <f t="shared" si="9"/>
        <v>45675</v>
      </c>
      <c r="C209" s="213" t="s">
        <v>4373</v>
      </c>
      <c r="D209" s="213" t="s">
        <v>4366</v>
      </c>
      <c r="E209" s="213" t="s">
        <v>333</v>
      </c>
      <c r="F209" s="212" t="s">
        <v>4365</v>
      </c>
      <c r="G209" s="212" t="str">
        <f t="shared" si="10"/>
        <v>101현금</v>
      </c>
      <c r="H209" s="214">
        <v>0</v>
      </c>
      <c r="I209" s="214">
        <v>3500</v>
      </c>
      <c r="J209" s="214">
        <f t="shared" si="11"/>
        <v>3500</v>
      </c>
      <c r="K209" s="212" t="s">
        <v>6370</v>
      </c>
      <c r="L209" s="213"/>
      <c r="M209" s="212"/>
    </row>
    <row r="210" spans="1:13" ht="21" customHeight="1">
      <c r="A210" s="217" t="s">
        <v>6915</v>
      </c>
      <c r="B210" s="215">
        <f t="shared" si="9"/>
        <v>45675</v>
      </c>
      <c r="C210" s="213" t="s">
        <v>4382</v>
      </c>
      <c r="D210" s="213" t="s">
        <v>4369</v>
      </c>
      <c r="E210" s="213" t="s">
        <v>4383</v>
      </c>
      <c r="F210" s="212" t="s">
        <v>6525</v>
      </c>
      <c r="G210" s="212" t="str">
        <f t="shared" si="10"/>
        <v>830소모품비(판)</v>
      </c>
      <c r="H210" s="214">
        <v>7500</v>
      </c>
      <c r="I210" s="214">
        <v>0</v>
      </c>
      <c r="J210" s="214">
        <f t="shared" si="11"/>
        <v>-7500</v>
      </c>
      <c r="K210" s="212" t="s">
        <v>6198</v>
      </c>
      <c r="L210" s="213"/>
      <c r="M210" s="212"/>
    </row>
    <row r="211" spans="1:13" ht="21" customHeight="1">
      <c r="A211" s="217" t="s">
        <v>6915</v>
      </c>
      <c r="B211" s="215">
        <f t="shared" si="9"/>
        <v>45675</v>
      </c>
      <c r="C211" s="213" t="s">
        <v>4382</v>
      </c>
      <c r="D211" s="213" t="s">
        <v>4366</v>
      </c>
      <c r="E211" s="213" t="s">
        <v>333</v>
      </c>
      <c r="F211" s="212" t="s">
        <v>4365</v>
      </c>
      <c r="G211" s="212" t="str">
        <f t="shared" si="10"/>
        <v>101현금</v>
      </c>
      <c r="H211" s="214">
        <v>0</v>
      </c>
      <c r="I211" s="214">
        <v>7500</v>
      </c>
      <c r="J211" s="214">
        <f t="shared" si="11"/>
        <v>7500</v>
      </c>
      <c r="K211" s="212" t="s">
        <v>6370</v>
      </c>
      <c r="L211" s="213"/>
      <c r="M211" s="212"/>
    </row>
    <row r="212" spans="1:13" ht="21" customHeight="1">
      <c r="A212" s="213" t="s">
        <v>6909</v>
      </c>
      <c r="B212" s="215">
        <f t="shared" si="9"/>
        <v>45677</v>
      </c>
      <c r="C212" s="213" t="s">
        <v>4373</v>
      </c>
      <c r="D212" s="213" t="s">
        <v>4369</v>
      </c>
      <c r="E212" s="213" t="s">
        <v>4383</v>
      </c>
      <c r="F212" s="212" t="s">
        <v>6525</v>
      </c>
      <c r="G212" s="212" t="str">
        <f t="shared" si="10"/>
        <v>830소모품비(판)</v>
      </c>
      <c r="H212" s="214">
        <v>16900</v>
      </c>
      <c r="I212" s="214">
        <v>0</v>
      </c>
      <c r="J212" s="214">
        <f t="shared" si="11"/>
        <v>-16900</v>
      </c>
      <c r="K212" s="212" t="s">
        <v>6914</v>
      </c>
      <c r="L212" s="213"/>
      <c r="M212" s="212"/>
    </row>
    <row r="213" spans="1:13" ht="21" customHeight="1">
      <c r="A213" s="213" t="s">
        <v>6909</v>
      </c>
      <c r="B213" s="215">
        <f t="shared" si="9"/>
        <v>45677</v>
      </c>
      <c r="C213" s="213" t="s">
        <v>4373</v>
      </c>
      <c r="D213" s="213" t="s">
        <v>4366</v>
      </c>
      <c r="E213" s="213" t="s">
        <v>333</v>
      </c>
      <c r="F213" s="212" t="s">
        <v>4365</v>
      </c>
      <c r="G213" s="212" t="str">
        <f t="shared" si="10"/>
        <v>101현금</v>
      </c>
      <c r="H213" s="214">
        <v>0</v>
      </c>
      <c r="I213" s="214">
        <v>16900</v>
      </c>
      <c r="J213" s="214">
        <f t="shared" si="11"/>
        <v>16900</v>
      </c>
      <c r="K213" s="212" t="s">
        <v>6370</v>
      </c>
      <c r="L213" s="213"/>
      <c r="M213" s="212"/>
    </row>
    <row r="214" spans="1:13" ht="21" customHeight="1">
      <c r="A214" s="213" t="s">
        <v>6909</v>
      </c>
      <c r="B214" s="215">
        <f t="shared" si="9"/>
        <v>45677</v>
      </c>
      <c r="C214" s="213" t="s">
        <v>4382</v>
      </c>
      <c r="D214" s="213" t="s">
        <v>4366</v>
      </c>
      <c r="E214" s="213" t="s">
        <v>333</v>
      </c>
      <c r="F214" s="212" t="s">
        <v>4365</v>
      </c>
      <c r="G214" s="212" t="str">
        <f t="shared" si="10"/>
        <v>101현금</v>
      </c>
      <c r="H214" s="214">
        <v>0</v>
      </c>
      <c r="I214" s="214">
        <v>4000</v>
      </c>
      <c r="J214" s="214">
        <f t="shared" si="11"/>
        <v>4000</v>
      </c>
      <c r="K214" s="212" t="s">
        <v>6370</v>
      </c>
      <c r="L214" s="213"/>
      <c r="M214" s="212"/>
    </row>
    <row r="215" spans="1:13" ht="21" customHeight="1">
      <c r="A215" s="213" t="s">
        <v>6909</v>
      </c>
      <c r="B215" s="215">
        <f t="shared" si="9"/>
        <v>45677</v>
      </c>
      <c r="C215" s="213" t="s">
        <v>4382</v>
      </c>
      <c r="D215" s="213" t="s">
        <v>4369</v>
      </c>
      <c r="E215" s="213" t="s">
        <v>4383</v>
      </c>
      <c r="F215" s="212" t="s">
        <v>6525</v>
      </c>
      <c r="G215" s="212" t="str">
        <f t="shared" si="10"/>
        <v>830소모품비(판)</v>
      </c>
      <c r="H215" s="214">
        <v>4000</v>
      </c>
      <c r="I215" s="214">
        <v>0</v>
      </c>
      <c r="J215" s="214">
        <f t="shared" si="11"/>
        <v>-4000</v>
      </c>
      <c r="K215" s="212" t="s">
        <v>6669</v>
      </c>
      <c r="L215" s="213"/>
      <c r="M215" s="212"/>
    </row>
    <row r="216" spans="1:13" ht="21" customHeight="1">
      <c r="A216" s="213" t="s">
        <v>6909</v>
      </c>
      <c r="B216" s="215">
        <f t="shared" si="9"/>
        <v>45677</v>
      </c>
      <c r="C216" s="213" t="s">
        <v>4381</v>
      </c>
      <c r="D216" s="213" t="s">
        <v>4369</v>
      </c>
      <c r="E216" s="213" t="s">
        <v>4380</v>
      </c>
      <c r="F216" s="212" t="s">
        <v>6515</v>
      </c>
      <c r="G216" s="212" t="str">
        <f t="shared" si="10"/>
        <v>812여비교통비(판)</v>
      </c>
      <c r="H216" s="214">
        <v>1400</v>
      </c>
      <c r="I216" s="214">
        <v>0</v>
      </c>
      <c r="J216" s="214">
        <f t="shared" si="11"/>
        <v>-1400</v>
      </c>
      <c r="K216" s="212" t="s">
        <v>6913</v>
      </c>
      <c r="L216" s="213"/>
      <c r="M216" s="212"/>
    </row>
    <row r="217" spans="1:13" ht="21" customHeight="1">
      <c r="A217" s="213" t="s">
        <v>6909</v>
      </c>
      <c r="B217" s="215">
        <f t="shared" si="9"/>
        <v>45677</v>
      </c>
      <c r="C217" s="213" t="s">
        <v>4381</v>
      </c>
      <c r="D217" s="213" t="s">
        <v>4366</v>
      </c>
      <c r="E217" s="213" t="s">
        <v>333</v>
      </c>
      <c r="F217" s="212" t="s">
        <v>4365</v>
      </c>
      <c r="G217" s="212" t="str">
        <f t="shared" si="10"/>
        <v>101현금</v>
      </c>
      <c r="H217" s="214">
        <v>0</v>
      </c>
      <c r="I217" s="214">
        <v>1400</v>
      </c>
      <c r="J217" s="214">
        <f t="shared" si="11"/>
        <v>1400</v>
      </c>
      <c r="K217" s="212" t="s">
        <v>6369</v>
      </c>
      <c r="L217" s="213"/>
      <c r="M217" s="212"/>
    </row>
    <row r="218" spans="1:13" ht="21" customHeight="1">
      <c r="A218" s="213" t="s">
        <v>6909</v>
      </c>
      <c r="B218" s="215">
        <f t="shared" si="9"/>
        <v>45677</v>
      </c>
      <c r="C218" s="213" t="s">
        <v>4379</v>
      </c>
      <c r="D218" s="213" t="s">
        <v>4369</v>
      </c>
      <c r="E218" s="213" t="s">
        <v>4380</v>
      </c>
      <c r="F218" s="212" t="s">
        <v>6515</v>
      </c>
      <c r="G218" s="212" t="str">
        <f t="shared" si="10"/>
        <v>812여비교통비(판)</v>
      </c>
      <c r="H218" s="214">
        <v>6000</v>
      </c>
      <c r="I218" s="214">
        <v>0</v>
      </c>
      <c r="J218" s="214">
        <f t="shared" si="11"/>
        <v>-6000</v>
      </c>
      <c r="K218" s="212" t="s">
        <v>6912</v>
      </c>
      <c r="L218" s="213"/>
      <c r="M218" s="212"/>
    </row>
    <row r="219" spans="1:13" ht="21" customHeight="1">
      <c r="A219" s="213" t="s">
        <v>6909</v>
      </c>
      <c r="B219" s="215">
        <f t="shared" si="9"/>
        <v>45677</v>
      </c>
      <c r="C219" s="213" t="s">
        <v>4379</v>
      </c>
      <c r="D219" s="213" t="s">
        <v>4366</v>
      </c>
      <c r="E219" s="213" t="s">
        <v>333</v>
      </c>
      <c r="F219" s="212" t="s">
        <v>4365</v>
      </c>
      <c r="G219" s="212" t="str">
        <f t="shared" si="10"/>
        <v>101현금</v>
      </c>
      <c r="H219" s="214">
        <v>0</v>
      </c>
      <c r="I219" s="214">
        <v>6000</v>
      </c>
      <c r="J219" s="214">
        <f t="shared" si="11"/>
        <v>6000</v>
      </c>
      <c r="K219" s="212" t="s">
        <v>6369</v>
      </c>
      <c r="L219" s="213"/>
      <c r="M219" s="212"/>
    </row>
    <row r="220" spans="1:13" ht="21" customHeight="1">
      <c r="A220" s="213" t="s">
        <v>6909</v>
      </c>
      <c r="B220" s="215">
        <f t="shared" si="9"/>
        <v>45677</v>
      </c>
      <c r="C220" s="213" t="s">
        <v>4385</v>
      </c>
      <c r="D220" s="213" t="s">
        <v>4369</v>
      </c>
      <c r="E220" s="213" t="s">
        <v>4380</v>
      </c>
      <c r="F220" s="212" t="s">
        <v>6515</v>
      </c>
      <c r="G220" s="212" t="str">
        <f t="shared" si="10"/>
        <v>812여비교통비(판)</v>
      </c>
      <c r="H220" s="214">
        <v>2000</v>
      </c>
      <c r="I220" s="214">
        <v>0</v>
      </c>
      <c r="J220" s="214">
        <f t="shared" si="11"/>
        <v>-2000</v>
      </c>
      <c r="K220" s="212" t="s">
        <v>6911</v>
      </c>
      <c r="L220" s="213"/>
      <c r="M220" s="212"/>
    </row>
    <row r="221" spans="1:13" ht="21" customHeight="1">
      <c r="A221" s="213" t="s">
        <v>6909</v>
      </c>
      <c r="B221" s="215">
        <f t="shared" si="9"/>
        <v>45677</v>
      </c>
      <c r="C221" s="213" t="s">
        <v>4385</v>
      </c>
      <c r="D221" s="213" t="s">
        <v>4366</v>
      </c>
      <c r="E221" s="213" t="s">
        <v>333</v>
      </c>
      <c r="F221" s="212" t="s">
        <v>4365</v>
      </c>
      <c r="G221" s="212" t="str">
        <f t="shared" si="10"/>
        <v>101현금</v>
      </c>
      <c r="H221" s="214">
        <v>0</v>
      </c>
      <c r="I221" s="214">
        <v>2000</v>
      </c>
      <c r="J221" s="214">
        <f t="shared" si="11"/>
        <v>2000</v>
      </c>
      <c r="K221" s="212" t="s">
        <v>6370</v>
      </c>
      <c r="L221" s="213"/>
      <c r="M221" s="212"/>
    </row>
    <row r="222" spans="1:13" ht="21" customHeight="1">
      <c r="A222" s="213" t="s">
        <v>6909</v>
      </c>
      <c r="B222" s="215">
        <f t="shared" si="9"/>
        <v>45677</v>
      </c>
      <c r="C222" s="213" t="s">
        <v>4501</v>
      </c>
      <c r="D222" s="213" t="s">
        <v>4369</v>
      </c>
      <c r="E222" s="213" t="s">
        <v>4368</v>
      </c>
      <c r="F222" s="212" t="s">
        <v>6388</v>
      </c>
      <c r="G222" s="212" t="str">
        <f t="shared" si="10"/>
        <v>831지급수수료(판)</v>
      </c>
      <c r="H222" s="214">
        <v>2000</v>
      </c>
      <c r="I222" s="214">
        <v>0</v>
      </c>
      <c r="J222" s="214">
        <f t="shared" si="11"/>
        <v>-2000</v>
      </c>
      <c r="K222" s="212" t="s">
        <v>6351</v>
      </c>
      <c r="L222" s="213"/>
      <c r="M222" s="212"/>
    </row>
    <row r="223" spans="1:13" ht="21" customHeight="1">
      <c r="A223" s="213" t="s">
        <v>6909</v>
      </c>
      <c r="B223" s="215">
        <f t="shared" si="9"/>
        <v>45677</v>
      </c>
      <c r="C223" s="213" t="s">
        <v>4501</v>
      </c>
      <c r="D223" s="213" t="s">
        <v>4366</v>
      </c>
      <c r="E223" s="213" t="s">
        <v>333</v>
      </c>
      <c r="F223" s="212" t="s">
        <v>4365</v>
      </c>
      <c r="G223" s="212" t="str">
        <f t="shared" si="10"/>
        <v>101현금</v>
      </c>
      <c r="H223" s="214">
        <v>0</v>
      </c>
      <c r="I223" s="214">
        <v>2000</v>
      </c>
      <c r="J223" s="214">
        <f t="shared" si="11"/>
        <v>2000</v>
      </c>
      <c r="K223" s="212" t="s">
        <v>6369</v>
      </c>
      <c r="L223" s="213"/>
      <c r="M223" s="212"/>
    </row>
    <row r="224" spans="1:13" ht="21" customHeight="1">
      <c r="A224" s="213" t="s">
        <v>6909</v>
      </c>
      <c r="B224" s="215">
        <f t="shared" si="9"/>
        <v>45677</v>
      </c>
      <c r="C224" s="213" t="s">
        <v>4502</v>
      </c>
      <c r="D224" s="213" t="s">
        <v>4366</v>
      </c>
      <c r="E224" s="213" t="s">
        <v>333</v>
      </c>
      <c r="F224" s="212" t="s">
        <v>4365</v>
      </c>
      <c r="G224" s="212" t="str">
        <f t="shared" si="10"/>
        <v>101현금</v>
      </c>
      <c r="H224" s="214">
        <v>0</v>
      </c>
      <c r="I224" s="214">
        <v>24130</v>
      </c>
      <c r="J224" s="214">
        <f t="shared" si="11"/>
        <v>24130</v>
      </c>
      <c r="K224" s="212" t="s">
        <v>6370</v>
      </c>
      <c r="L224" s="213"/>
      <c r="M224" s="212"/>
    </row>
    <row r="225" spans="1:13" ht="21" customHeight="1">
      <c r="A225" s="213" t="s">
        <v>6909</v>
      </c>
      <c r="B225" s="215">
        <f t="shared" si="9"/>
        <v>45677</v>
      </c>
      <c r="C225" s="213" t="s">
        <v>4502</v>
      </c>
      <c r="D225" s="213" t="s">
        <v>4369</v>
      </c>
      <c r="E225" s="213" t="s">
        <v>4368</v>
      </c>
      <c r="F225" s="212" t="s">
        <v>6388</v>
      </c>
      <c r="G225" s="212" t="str">
        <f t="shared" si="10"/>
        <v>831지급수수료(판)</v>
      </c>
      <c r="H225" s="214">
        <v>24130</v>
      </c>
      <c r="I225" s="214">
        <v>0</v>
      </c>
      <c r="J225" s="214">
        <f t="shared" si="11"/>
        <v>-24130</v>
      </c>
      <c r="K225" s="212" t="s">
        <v>6549</v>
      </c>
      <c r="L225" s="213"/>
      <c r="M225" s="212"/>
    </row>
    <row r="226" spans="1:13" ht="21" customHeight="1">
      <c r="A226" s="213" t="s">
        <v>6909</v>
      </c>
      <c r="B226" s="215">
        <f t="shared" si="9"/>
        <v>45677</v>
      </c>
      <c r="C226" s="213" t="s">
        <v>4503</v>
      </c>
      <c r="D226" s="213" t="s">
        <v>4366</v>
      </c>
      <c r="E226" s="213" t="s">
        <v>333</v>
      </c>
      <c r="F226" s="212" t="s">
        <v>4365</v>
      </c>
      <c r="G226" s="212" t="str">
        <f t="shared" si="10"/>
        <v>101현금</v>
      </c>
      <c r="H226" s="214">
        <v>0</v>
      </c>
      <c r="I226" s="214">
        <v>42650</v>
      </c>
      <c r="J226" s="214">
        <f t="shared" si="11"/>
        <v>42650</v>
      </c>
      <c r="K226" s="212" t="s">
        <v>6370</v>
      </c>
      <c r="L226" s="213"/>
      <c r="M226" s="212"/>
    </row>
    <row r="227" spans="1:13" ht="21" customHeight="1">
      <c r="A227" s="213" t="s">
        <v>6909</v>
      </c>
      <c r="B227" s="215">
        <f t="shared" si="9"/>
        <v>45677</v>
      </c>
      <c r="C227" s="213" t="s">
        <v>4503</v>
      </c>
      <c r="D227" s="213" t="s">
        <v>4369</v>
      </c>
      <c r="E227" s="213" t="s">
        <v>4368</v>
      </c>
      <c r="F227" s="212" t="s">
        <v>6388</v>
      </c>
      <c r="G227" s="212" t="str">
        <f t="shared" si="10"/>
        <v>831지급수수료(판)</v>
      </c>
      <c r="H227" s="214">
        <v>42650</v>
      </c>
      <c r="I227" s="214">
        <v>0</v>
      </c>
      <c r="J227" s="214">
        <f t="shared" si="11"/>
        <v>-42650</v>
      </c>
      <c r="K227" s="212" t="s">
        <v>6549</v>
      </c>
      <c r="L227" s="213"/>
      <c r="M227" s="212"/>
    </row>
    <row r="228" spans="1:13" ht="21" customHeight="1">
      <c r="A228" s="213" t="s">
        <v>6909</v>
      </c>
      <c r="B228" s="215">
        <f t="shared" si="9"/>
        <v>45677</v>
      </c>
      <c r="C228" s="213" t="s">
        <v>4511</v>
      </c>
      <c r="D228" s="213" t="s">
        <v>4369</v>
      </c>
      <c r="E228" s="213" t="s">
        <v>4380</v>
      </c>
      <c r="F228" s="212" t="s">
        <v>6515</v>
      </c>
      <c r="G228" s="212" t="str">
        <f t="shared" si="10"/>
        <v>812여비교통비(판)</v>
      </c>
      <c r="H228" s="214">
        <v>4000</v>
      </c>
      <c r="I228" s="214">
        <v>0</v>
      </c>
      <c r="J228" s="214">
        <f t="shared" si="11"/>
        <v>-4000</v>
      </c>
      <c r="K228" s="212" t="s">
        <v>6910</v>
      </c>
      <c r="L228" s="213"/>
      <c r="M228" s="212"/>
    </row>
    <row r="229" spans="1:13" ht="21" customHeight="1">
      <c r="A229" s="213" t="s">
        <v>6909</v>
      </c>
      <c r="B229" s="215">
        <f t="shared" si="9"/>
        <v>45677</v>
      </c>
      <c r="C229" s="213" t="s">
        <v>4511</v>
      </c>
      <c r="D229" s="213" t="s">
        <v>4366</v>
      </c>
      <c r="E229" s="213" t="s">
        <v>333</v>
      </c>
      <c r="F229" s="212" t="s">
        <v>4365</v>
      </c>
      <c r="G229" s="212" t="str">
        <f t="shared" si="10"/>
        <v>101현금</v>
      </c>
      <c r="H229" s="214">
        <v>0</v>
      </c>
      <c r="I229" s="214">
        <v>4000</v>
      </c>
      <c r="J229" s="214">
        <f t="shared" si="11"/>
        <v>4000</v>
      </c>
      <c r="K229" s="212" t="s">
        <v>6370</v>
      </c>
      <c r="L229" s="213"/>
      <c r="M229" s="212"/>
    </row>
    <row r="230" spans="1:13" ht="21" customHeight="1">
      <c r="A230" s="213" t="s">
        <v>6909</v>
      </c>
      <c r="B230" s="215">
        <f t="shared" si="9"/>
        <v>45677</v>
      </c>
      <c r="C230" s="213" t="s">
        <v>4367</v>
      </c>
      <c r="D230" s="213" t="s">
        <v>4369</v>
      </c>
      <c r="E230" s="213" t="s">
        <v>6212</v>
      </c>
      <c r="F230" s="212" t="s">
        <v>6402</v>
      </c>
      <c r="G230" s="212" t="str">
        <f t="shared" si="10"/>
        <v>837건물관리비(판)</v>
      </c>
      <c r="H230" s="214">
        <v>181420</v>
      </c>
      <c r="I230" s="214">
        <v>0</v>
      </c>
      <c r="J230" s="214">
        <f t="shared" si="11"/>
        <v>-181420</v>
      </c>
      <c r="K230" s="212" t="s">
        <v>6213</v>
      </c>
      <c r="L230" s="213"/>
      <c r="M230" s="212" t="s">
        <v>6214</v>
      </c>
    </row>
    <row r="231" spans="1:13" ht="21" customHeight="1">
      <c r="A231" s="213" t="s">
        <v>6909</v>
      </c>
      <c r="B231" s="215">
        <f t="shared" si="9"/>
        <v>45677</v>
      </c>
      <c r="C231" s="213" t="s">
        <v>4367</v>
      </c>
      <c r="D231" s="213" t="s">
        <v>4366</v>
      </c>
      <c r="E231" s="213" t="s">
        <v>333</v>
      </c>
      <c r="F231" s="212" t="s">
        <v>4365</v>
      </c>
      <c r="G231" s="212" t="str">
        <f t="shared" si="10"/>
        <v>101현금</v>
      </c>
      <c r="H231" s="214">
        <v>0</v>
      </c>
      <c r="I231" s="214">
        <v>181420</v>
      </c>
      <c r="J231" s="214">
        <f t="shared" si="11"/>
        <v>181420</v>
      </c>
      <c r="K231" s="212" t="s">
        <v>6213</v>
      </c>
      <c r="L231" s="213"/>
      <c r="M231" s="212" t="s">
        <v>6214</v>
      </c>
    </row>
    <row r="232" spans="1:13" ht="21" customHeight="1">
      <c r="A232" s="213" t="s">
        <v>6906</v>
      </c>
      <c r="B232" s="215">
        <f t="shared" si="9"/>
        <v>45678</v>
      </c>
      <c r="C232" s="213" t="s">
        <v>4373</v>
      </c>
      <c r="D232" s="213" t="s">
        <v>4369</v>
      </c>
      <c r="E232" s="213" t="s">
        <v>4383</v>
      </c>
      <c r="F232" s="212" t="s">
        <v>6525</v>
      </c>
      <c r="G232" s="212" t="str">
        <f t="shared" si="10"/>
        <v>830소모품비(판)</v>
      </c>
      <c r="H232" s="214">
        <v>20700</v>
      </c>
      <c r="I232" s="214">
        <v>0</v>
      </c>
      <c r="J232" s="214">
        <f t="shared" si="11"/>
        <v>-20700</v>
      </c>
      <c r="K232" s="212" t="s">
        <v>6198</v>
      </c>
      <c r="L232" s="213"/>
      <c r="M232" s="212"/>
    </row>
    <row r="233" spans="1:13" ht="21" customHeight="1">
      <c r="A233" s="213" t="s">
        <v>6906</v>
      </c>
      <c r="B233" s="215">
        <f t="shared" si="9"/>
        <v>45678</v>
      </c>
      <c r="C233" s="213" t="s">
        <v>4373</v>
      </c>
      <c r="D233" s="213" t="s">
        <v>4366</v>
      </c>
      <c r="E233" s="213" t="s">
        <v>333</v>
      </c>
      <c r="F233" s="212" t="s">
        <v>4365</v>
      </c>
      <c r="G233" s="212" t="str">
        <f t="shared" si="10"/>
        <v>101현금</v>
      </c>
      <c r="H233" s="214">
        <v>0</v>
      </c>
      <c r="I233" s="214">
        <v>20700</v>
      </c>
      <c r="J233" s="214">
        <f t="shared" si="11"/>
        <v>20700</v>
      </c>
      <c r="K233" s="212" t="s">
        <v>6371</v>
      </c>
      <c r="L233" s="213"/>
      <c r="M233" s="212"/>
    </row>
    <row r="234" spans="1:13" ht="21" customHeight="1">
      <c r="A234" s="213" t="s">
        <v>6906</v>
      </c>
      <c r="B234" s="215">
        <f t="shared" si="9"/>
        <v>45678</v>
      </c>
      <c r="C234" s="213" t="s">
        <v>4382</v>
      </c>
      <c r="D234" s="213" t="s">
        <v>4366</v>
      </c>
      <c r="E234" s="213" t="s">
        <v>333</v>
      </c>
      <c r="F234" s="212" t="s">
        <v>4365</v>
      </c>
      <c r="G234" s="212" t="str">
        <f t="shared" si="10"/>
        <v>101현금</v>
      </c>
      <c r="H234" s="214">
        <v>0</v>
      </c>
      <c r="I234" s="214">
        <v>1000</v>
      </c>
      <c r="J234" s="214">
        <f t="shared" si="11"/>
        <v>1000</v>
      </c>
      <c r="K234" s="212" t="s">
        <v>6369</v>
      </c>
      <c r="L234" s="213"/>
      <c r="M234" s="212"/>
    </row>
    <row r="235" spans="1:13" ht="21" customHeight="1">
      <c r="A235" s="213" t="s">
        <v>6906</v>
      </c>
      <c r="B235" s="215">
        <f t="shared" si="9"/>
        <v>45678</v>
      </c>
      <c r="C235" s="213" t="s">
        <v>4382</v>
      </c>
      <c r="D235" s="213" t="s">
        <v>4369</v>
      </c>
      <c r="E235" s="213" t="s">
        <v>4380</v>
      </c>
      <c r="F235" s="212" t="s">
        <v>6515</v>
      </c>
      <c r="G235" s="212" t="str">
        <f t="shared" si="10"/>
        <v>812여비교통비(판)</v>
      </c>
      <c r="H235" s="214">
        <v>1000</v>
      </c>
      <c r="I235" s="214">
        <v>0</v>
      </c>
      <c r="J235" s="214">
        <f t="shared" si="11"/>
        <v>-1000</v>
      </c>
      <c r="K235" s="212" t="s">
        <v>6755</v>
      </c>
      <c r="L235" s="213"/>
      <c r="M235" s="212"/>
    </row>
    <row r="236" spans="1:13" ht="21" customHeight="1">
      <c r="A236" s="213" t="s">
        <v>6906</v>
      </c>
      <c r="B236" s="215">
        <f t="shared" si="9"/>
        <v>45678</v>
      </c>
      <c r="C236" s="213" t="s">
        <v>4381</v>
      </c>
      <c r="D236" s="213" t="s">
        <v>4369</v>
      </c>
      <c r="E236" s="213" t="s">
        <v>4380</v>
      </c>
      <c r="F236" s="212" t="s">
        <v>6515</v>
      </c>
      <c r="G236" s="212" t="str">
        <f t="shared" si="10"/>
        <v>812여비교통비(판)</v>
      </c>
      <c r="H236" s="214">
        <v>700</v>
      </c>
      <c r="I236" s="214">
        <v>0</v>
      </c>
      <c r="J236" s="214">
        <f t="shared" si="11"/>
        <v>-700</v>
      </c>
      <c r="K236" s="212" t="s">
        <v>6908</v>
      </c>
      <c r="L236" s="213"/>
      <c r="M236" s="212"/>
    </row>
    <row r="237" spans="1:13" ht="21" customHeight="1">
      <c r="A237" s="213" t="s">
        <v>6906</v>
      </c>
      <c r="B237" s="215">
        <f t="shared" si="9"/>
        <v>45678</v>
      </c>
      <c r="C237" s="213" t="s">
        <v>4381</v>
      </c>
      <c r="D237" s="213" t="s">
        <v>4366</v>
      </c>
      <c r="E237" s="213" t="s">
        <v>333</v>
      </c>
      <c r="F237" s="212" t="s">
        <v>4365</v>
      </c>
      <c r="G237" s="212" t="str">
        <f t="shared" si="10"/>
        <v>101현금</v>
      </c>
      <c r="H237" s="214">
        <v>0</v>
      </c>
      <c r="I237" s="214">
        <v>700</v>
      </c>
      <c r="J237" s="214">
        <f t="shared" si="11"/>
        <v>700</v>
      </c>
      <c r="K237" s="212" t="s">
        <v>6369</v>
      </c>
      <c r="L237" s="213"/>
      <c r="M237" s="212"/>
    </row>
    <row r="238" spans="1:13" ht="21" customHeight="1">
      <c r="A238" s="213" t="s">
        <v>6906</v>
      </c>
      <c r="B238" s="215">
        <f t="shared" si="9"/>
        <v>45678</v>
      </c>
      <c r="C238" s="213" t="s">
        <v>4379</v>
      </c>
      <c r="D238" s="213" t="s">
        <v>4366</v>
      </c>
      <c r="E238" s="213" t="s">
        <v>333</v>
      </c>
      <c r="F238" s="212" t="s">
        <v>4365</v>
      </c>
      <c r="G238" s="212" t="str">
        <f t="shared" si="10"/>
        <v>101현금</v>
      </c>
      <c r="H238" s="214">
        <v>0</v>
      </c>
      <c r="I238" s="214">
        <v>6000</v>
      </c>
      <c r="J238" s="214">
        <f t="shared" si="11"/>
        <v>6000</v>
      </c>
      <c r="K238" s="212" t="s">
        <v>6370</v>
      </c>
      <c r="L238" s="213"/>
      <c r="M238" s="212"/>
    </row>
    <row r="239" spans="1:13" ht="21" customHeight="1">
      <c r="A239" s="213" t="s">
        <v>6906</v>
      </c>
      <c r="B239" s="215">
        <f t="shared" si="9"/>
        <v>45678</v>
      </c>
      <c r="C239" s="213" t="s">
        <v>4379</v>
      </c>
      <c r="D239" s="213" t="s">
        <v>4369</v>
      </c>
      <c r="E239" s="213" t="s">
        <v>4380</v>
      </c>
      <c r="F239" s="212" t="s">
        <v>6515</v>
      </c>
      <c r="G239" s="212" t="str">
        <f t="shared" si="10"/>
        <v>812여비교통비(판)</v>
      </c>
      <c r="H239" s="214">
        <v>6000</v>
      </c>
      <c r="I239" s="214">
        <v>0</v>
      </c>
      <c r="J239" s="214">
        <f t="shared" si="11"/>
        <v>-6000</v>
      </c>
      <c r="K239" s="212" t="s">
        <v>6907</v>
      </c>
      <c r="L239" s="213"/>
      <c r="M239" s="212"/>
    </row>
    <row r="240" spans="1:13" ht="21" customHeight="1">
      <c r="A240" s="213" t="s">
        <v>6906</v>
      </c>
      <c r="B240" s="215">
        <f t="shared" si="9"/>
        <v>45678</v>
      </c>
      <c r="C240" s="213" t="s">
        <v>4367</v>
      </c>
      <c r="D240" s="213" t="s">
        <v>4366</v>
      </c>
      <c r="E240" s="213" t="s">
        <v>6176</v>
      </c>
      <c r="F240" s="212" t="s">
        <v>6177</v>
      </c>
      <c r="G240" s="212" t="str">
        <f t="shared" si="10"/>
        <v>255부가세예수금</v>
      </c>
      <c r="H240" s="214">
        <v>0</v>
      </c>
      <c r="I240" s="214">
        <v>15000</v>
      </c>
      <c r="J240" s="214">
        <f t="shared" si="11"/>
        <v>15000</v>
      </c>
      <c r="K240" s="212" t="s">
        <v>6400</v>
      </c>
      <c r="L240" s="213"/>
      <c r="M240" s="212" t="s">
        <v>6179</v>
      </c>
    </row>
    <row r="241" spans="1:13" ht="21" customHeight="1">
      <c r="A241" s="213" t="s">
        <v>6906</v>
      </c>
      <c r="B241" s="215">
        <f t="shared" si="9"/>
        <v>45678</v>
      </c>
      <c r="C241" s="213" t="s">
        <v>4367</v>
      </c>
      <c r="D241" s="213" t="s">
        <v>4366</v>
      </c>
      <c r="E241" s="213" t="s">
        <v>334</v>
      </c>
      <c r="F241" s="212" t="s">
        <v>6158</v>
      </c>
      <c r="G241" s="212" t="str">
        <f t="shared" si="10"/>
        <v>401용역매출</v>
      </c>
      <c r="H241" s="214">
        <v>0</v>
      </c>
      <c r="I241" s="214">
        <v>150000</v>
      </c>
      <c r="J241" s="214">
        <f t="shared" si="11"/>
        <v>150000</v>
      </c>
      <c r="K241" s="212" t="s">
        <v>6400</v>
      </c>
      <c r="L241" s="213"/>
      <c r="M241" s="212" t="s">
        <v>6179</v>
      </c>
    </row>
    <row r="242" spans="1:13" ht="21" customHeight="1">
      <c r="A242" s="213" t="s">
        <v>6906</v>
      </c>
      <c r="B242" s="215">
        <f t="shared" si="9"/>
        <v>45678</v>
      </c>
      <c r="C242" s="213" t="s">
        <v>4367</v>
      </c>
      <c r="D242" s="213" t="s">
        <v>4369</v>
      </c>
      <c r="E242" s="213" t="s">
        <v>333</v>
      </c>
      <c r="F242" s="212" t="s">
        <v>4365</v>
      </c>
      <c r="G242" s="212" t="str">
        <f t="shared" si="10"/>
        <v>101현금</v>
      </c>
      <c r="H242" s="214">
        <v>165000</v>
      </c>
      <c r="I242" s="214">
        <v>0</v>
      </c>
      <c r="J242" s="214">
        <f t="shared" si="11"/>
        <v>-165000</v>
      </c>
      <c r="K242" s="212" t="s">
        <v>6400</v>
      </c>
      <c r="L242" s="213"/>
      <c r="M242" s="212" t="s">
        <v>6179</v>
      </c>
    </row>
    <row r="243" spans="1:13" ht="21" customHeight="1">
      <c r="A243" s="213" t="s">
        <v>6906</v>
      </c>
      <c r="B243" s="215">
        <f t="shared" si="9"/>
        <v>45678</v>
      </c>
      <c r="C243" s="213" t="s">
        <v>4374</v>
      </c>
      <c r="D243" s="213" t="s">
        <v>4366</v>
      </c>
      <c r="E243" s="213" t="s">
        <v>6176</v>
      </c>
      <c r="F243" s="212" t="s">
        <v>6177</v>
      </c>
      <c r="G243" s="212" t="str">
        <f t="shared" si="10"/>
        <v>255부가세예수금</v>
      </c>
      <c r="H243" s="214">
        <v>0</v>
      </c>
      <c r="I243" s="214">
        <v>15000</v>
      </c>
      <c r="J243" s="214">
        <f t="shared" si="11"/>
        <v>15000</v>
      </c>
      <c r="K243" s="212" t="s">
        <v>6353</v>
      </c>
      <c r="L243" s="213"/>
      <c r="M243" s="212" t="s">
        <v>6179</v>
      </c>
    </row>
    <row r="244" spans="1:13" ht="21" customHeight="1">
      <c r="A244" s="213" t="s">
        <v>6906</v>
      </c>
      <c r="B244" s="215">
        <f t="shared" si="9"/>
        <v>45678</v>
      </c>
      <c r="C244" s="213" t="s">
        <v>4374</v>
      </c>
      <c r="D244" s="213" t="s">
        <v>4366</v>
      </c>
      <c r="E244" s="213" t="s">
        <v>334</v>
      </c>
      <c r="F244" s="212" t="s">
        <v>6158</v>
      </c>
      <c r="G244" s="212" t="str">
        <f t="shared" si="10"/>
        <v>401용역매출</v>
      </c>
      <c r="H244" s="214">
        <v>0</v>
      </c>
      <c r="I244" s="214">
        <v>150000</v>
      </c>
      <c r="J244" s="214">
        <f t="shared" si="11"/>
        <v>150000</v>
      </c>
      <c r="K244" s="212" t="s">
        <v>6353</v>
      </c>
      <c r="L244" s="213"/>
      <c r="M244" s="212" t="s">
        <v>6179</v>
      </c>
    </row>
    <row r="245" spans="1:13" ht="21" customHeight="1">
      <c r="A245" s="213" t="s">
        <v>6906</v>
      </c>
      <c r="B245" s="215">
        <f t="shared" si="9"/>
        <v>45678</v>
      </c>
      <c r="C245" s="213" t="s">
        <v>4374</v>
      </c>
      <c r="D245" s="213" t="s">
        <v>4369</v>
      </c>
      <c r="E245" s="213" t="s">
        <v>333</v>
      </c>
      <c r="F245" s="212" t="s">
        <v>4365</v>
      </c>
      <c r="G245" s="212" t="str">
        <f t="shared" si="10"/>
        <v>101현금</v>
      </c>
      <c r="H245" s="214">
        <v>165000</v>
      </c>
      <c r="I245" s="214">
        <v>0</v>
      </c>
      <c r="J245" s="214">
        <f t="shared" si="11"/>
        <v>-165000</v>
      </c>
      <c r="K245" s="212" t="s">
        <v>6353</v>
      </c>
      <c r="L245" s="213"/>
      <c r="M245" s="212" t="s">
        <v>6179</v>
      </c>
    </row>
    <row r="246" spans="1:13" ht="21" customHeight="1">
      <c r="A246" s="213" t="s">
        <v>6906</v>
      </c>
      <c r="B246" s="215">
        <f t="shared" si="9"/>
        <v>45678</v>
      </c>
      <c r="C246" s="213" t="s">
        <v>6182</v>
      </c>
      <c r="D246" s="213" t="s">
        <v>4366</v>
      </c>
      <c r="E246" s="213" t="s">
        <v>6176</v>
      </c>
      <c r="F246" s="212" t="s">
        <v>6177</v>
      </c>
      <c r="G246" s="212" t="str">
        <f t="shared" si="10"/>
        <v>255부가세예수금</v>
      </c>
      <c r="H246" s="214">
        <v>0</v>
      </c>
      <c r="I246" s="214">
        <v>10000</v>
      </c>
      <c r="J246" s="214">
        <f t="shared" si="11"/>
        <v>10000</v>
      </c>
      <c r="K246" s="212" t="s">
        <v>6252</v>
      </c>
      <c r="L246" s="213"/>
      <c r="M246" s="212" t="s">
        <v>6185</v>
      </c>
    </row>
    <row r="247" spans="1:13" ht="21" customHeight="1">
      <c r="A247" s="213" t="s">
        <v>6906</v>
      </c>
      <c r="B247" s="215">
        <f t="shared" si="9"/>
        <v>45678</v>
      </c>
      <c r="C247" s="213" t="s">
        <v>6182</v>
      </c>
      <c r="D247" s="213" t="s">
        <v>4366</v>
      </c>
      <c r="E247" s="213" t="s">
        <v>334</v>
      </c>
      <c r="F247" s="212" t="s">
        <v>6158</v>
      </c>
      <c r="G247" s="212" t="str">
        <f t="shared" si="10"/>
        <v>401용역매출</v>
      </c>
      <c r="H247" s="214">
        <v>0</v>
      </c>
      <c r="I247" s="214">
        <v>100000</v>
      </c>
      <c r="J247" s="214">
        <f t="shared" si="11"/>
        <v>100000</v>
      </c>
      <c r="K247" s="212" t="s">
        <v>6252</v>
      </c>
      <c r="L247" s="213"/>
      <c r="M247" s="212" t="s">
        <v>6185</v>
      </c>
    </row>
    <row r="248" spans="1:13" ht="21" customHeight="1">
      <c r="A248" s="213" t="s">
        <v>6906</v>
      </c>
      <c r="B248" s="215">
        <f t="shared" si="9"/>
        <v>45678</v>
      </c>
      <c r="C248" s="213" t="s">
        <v>6182</v>
      </c>
      <c r="D248" s="213" t="s">
        <v>4369</v>
      </c>
      <c r="E248" s="213" t="s">
        <v>333</v>
      </c>
      <c r="F248" s="212" t="s">
        <v>4365</v>
      </c>
      <c r="G248" s="212" t="str">
        <f t="shared" si="10"/>
        <v>101현금</v>
      </c>
      <c r="H248" s="214">
        <v>110000</v>
      </c>
      <c r="I248" s="214">
        <v>0</v>
      </c>
      <c r="J248" s="214">
        <f t="shared" si="11"/>
        <v>-110000</v>
      </c>
      <c r="K248" s="212" t="s">
        <v>6252</v>
      </c>
      <c r="L248" s="213"/>
      <c r="M248" s="212" t="s">
        <v>6185</v>
      </c>
    </row>
    <row r="249" spans="1:13" ht="21" customHeight="1">
      <c r="A249" s="213" t="s">
        <v>6906</v>
      </c>
      <c r="B249" s="215">
        <f t="shared" si="9"/>
        <v>45678</v>
      </c>
      <c r="C249" s="213" t="s">
        <v>6184</v>
      </c>
      <c r="D249" s="213" t="s">
        <v>4366</v>
      </c>
      <c r="E249" s="213" t="s">
        <v>6176</v>
      </c>
      <c r="F249" s="212" t="s">
        <v>6177</v>
      </c>
      <c r="G249" s="212" t="str">
        <f t="shared" si="10"/>
        <v>255부가세예수금</v>
      </c>
      <c r="H249" s="214">
        <v>0</v>
      </c>
      <c r="I249" s="214">
        <v>20000</v>
      </c>
      <c r="J249" s="214">
        <f t="shared" si="11"/>
        <v>20000</v>
      </c>
      <c r="K249" s="212" t="s">
        <v>6257</v>
      </c>
      <c r="L249" s="213"/>
      <c r="M249" s="212" t="s">
        <v>6231</v>
      </c>
    </row>
    <row r="250" spans="1:13" ht="21" customHeight="1">
      <c r="A250" s="213" t="s">
        <v>6906</v>
      </c>
      <c r="B250" s="215">
        <f t="shared" si="9"/>
        <v>45678</v>
      </c>
      <c r="C250" s="213" t="s">
        <v>6184</v>
      </c>
      <c r="D250" s="213" t="s">
        <v>4366</v>
      </c>
      <c r="E250" s="213" t="s">
        <v>334</v>
      </c>
      <c r="F250" s="212" t="s">
        <v>6158</v>
      </c>
      <c r="G250" s="212" t="str">
        <f t="shared" si="10"/>
        <v>401용역매출</v>
      </c>
      <c r="H250" s="214">
        <v>0</v>
      </c>
      <c r="I250" s="214">
        <v>200000</v>
      </c>
      <c r="J250" s="214">
        <f t="shared" si="11"/>
        <v>200000</v>
      </c>
      <c r="K250" s="212" t="s">
        <v>6257</v>
      </c>
      <c r="L250" s="213"/>
      <c r="M250" s="212" t="s">
        <v>6231</v>
      </c>
    </row>
    <row r="251" spans="1:13" ht="21" customHeight="1">
      <c r="A251" s="213" t="s">
        <v>6906</v>
      </c>
      <c r="B251" s="215">
        <f t="shared" si="9"/>
        <v>45678</v>
      </c>
      <c r="C251" s="213" t="s">
        <v>6184</v>
      </c>
      <c r="D251" s="213" t="s">
        <v>4369</v>
      </c>
      <c r="E251" s="213" t="s">
        <v>333</v>
      </c>
      <c r="F251" s="212" t="s">
        <v>4365</v>
      </c>
      <c r="G251" s="212" t="str">
        <f t="shared" si="10"/>
        <v>101현금</v>
      </c>
      <c r="H251" s="214">
        <v>220000</v>
      </c>
      <c r="I251" s="214">
        <v>0</v>
      </c>
      <c r="J251" s="214">
        <f t="shared" si="11"/>
        <v>-220000</v>
      </c>
      <c r="K251" s="212" t="s">
        <v>6257</v>
      </c>
      <c r="L251" s="213"/>
      <c r="M251" s="212" t="s">
        <v>6231</v>
      </c>
    </row>
    <row r="252" spans="1:13" ht="21" customHeight="1">
      <c r="A252" s="213" t="s">
        <v>6906</v>
      </c>
      <c r="B252" s="215">
        <f t="shared" si="9"/>
        <v>45678</v>
      </c>
      <c r="C252" s="213" t="s">
        <v>6186</v>
      </c>
      <c r="D252" s="213" t="s">
        <v>4366</v>
      </c>
      <c r="E252" s="213" t="s">
        <v>6176</v>
      </c>
      <c r="F252" s="212" t="s">
        <v>6177</v>
      </c>
      <c r="G252" s="212" t="str">
        <f t="shared" si="10"/>
        <v>255부가세예수금</v>
      </c>
      <c r="H252" s="214">
        <v>0</v>
      </c>
      <c r="I252" s="214">
        <v>10000</v>
      </c>
      <c r="J252" s="214">
        <f t="shared" si="11"/>
        <v>10000</v>
      </c>
      <c r="K252" s="212" t="s">
        <v>6255</v>
      </c>
      <c r="L252" s="213"/>
      <c r="M252" s="212" t="s">
        <v>6185</v>
      </c>
    </row>
    <row r="253" spans="1:13" ht="21" customHeight="1">
      <c r="A253" s="213" t="s">
        <v>6906</v>
      </c>
      <c r="B253" s="215">
        <f t="shared" si="9"/>
        <v>45678</v>
      </c>
      <c r="C253" s="213" t="s">
        <v>6186</v>
      </c>
      <c r="D253" s="213" t="s">
        <v>4366</v>
      </c>
      <c r="E253" s="213" t="s">
        <v>334</v>
      </c>
      <c r="F253" s="212" t="s">
        <v>6158</v>
      </c>
      <c r="G253" s="212" t="str">
        <f t="shared" si="10"/>
        <v>401용역매출</v>
      </c>
      <c r="H253" s="214">
        <v>0</v>
      </c>
      <c r="I253" s="214">
        <v>100000</v>
      </c>
      <c r="J253" s="214">
        <f t="shared" si="11"/>
        <v>100000</v>
      </c>
      <c r="K253" s="212" t="s">
        <v>6255</v>
      </c>
      <c r="L253" s="213"/>
      <c r="M253" s="212" t="s">
        <v>6185</v>
      </c>
    </row>
    <row r="254" spans="1:13" ht="21" customHeight="1">
      <c r="A254" s="213" t="s">
        <v>6906</v>
      </c>
      <c r="B254" s="215">
        <f t="shared" si="9"/>
        <v>45678</v>
      </c>
      <c r="C254" s="213" t="s">
        <v>6186</v>
      </c>
      <c r="D254" s="213" t="s">
        <v>4369</v>
      </c>
      <c r="E254" s="213" t="s">
        <v>333</v>
      </c>
      <c r="F254" s="212" t="s">
        <v>4365</v>
      </c>
      <c r="G254" s="212" t="str">
        <f t="shared" si="10"/>
        <v>101현금</v>
      </c>
      <c r="H254" s="214">
        <v>110000</v>
      </c>
      <c r="I254" s="214">
        <v>0</v>
      </c>
      <c r="J254" s="214">
        <f t="shared" si="11"/>
        <v>-110000</v>
      </c>
      <c r="K254" s="212" t="s">
        <v>6255</v>
      </c>
      <c r="L254" s="213"/>
      <c r="M254" s="212" t="s">
        <v>6185</v>
      </c>
    </row>
    <row r="255" spans="1:13" ht="21" customHeight="1">
      <c r="A255" s="213" t="s">
        <v>6906</v>
      </c>
      <c r="B255" s="215">
        <f t="shared" si="9"/>
        <v>45678</v>
      </c>
      <c r="C255" s="213" t="s">
        <v>6189</v>
      </c>
      <c r="D255" s="213" t="s">
        <v>4366</v>
      </c>
      <c r="E255" s="213" t="s">
        <v>6176</v>
      </c>
      <c r="F255" s="212" t="s">
        <v>6177</v>
      </c>
      <c r="G255" s="212" t="str">
        <f t="shared" si="10"/>
        <v>255부가세예수금</v>
      </c>
      <c r="H255" s="214">
        <v>0</v>
      </c>
      <c r="I255" s="214">
        <v>20000</v>
      </c>
      <c r="J255" s="214">
        <f t="shared" si="11"/>
        <v>20000</v>
      </c>
      <c r="K255" s="212" t="s">
        <v>6355</v>
      </c>
      <c r="L255" s="213"/>
      <c r="M255" s="212" t="s">
        <v>6231</v>
      </c>
    </row>
    <row r="256" spans="1:13" ht="21" customHeight="1">
      <c r="A256" s="213" t="s">
        <v>6906</v>
      </c>
      <c r="B256" s="215">
        <f t="shared" si="9"/>
        <v>45678</v>
      </c>
      <c r="C256" s="213" t="s">
        <v>6189</v>
      </c>
      <c r="D256" s="213" t="s">
        <v>4366</v>
      </c>
      <c r="E256" s="213" t="s">
        <v>334</v>
      </c>
      <c r="F256" s="212" t="s">
        <v>6158</v>
      </c>
      <c r="G256" s="212" t="str">
        <f t="shared" si="10"/>
        <v>401용역매출</v>
      </c>
      <c r="H256" s="214">
        <v>0</v>
      </c>
      <c r="I256" s="214">
        <v>200000</v>
      </c>
      <c r="J256" s="214">
        <f t="shared" si="11"/>
        <v>200000</v>
      </c>
      <c r="K256" s="212" t="s">
        <v>6355</v>
      </c>
      <c r="L256" s="213"/>
      <c r="M256" s="212" t="s">
        <v>6231</v>
      </c>
    </row>
    <row r="257" spans="1:13" ht="21" customHeight="1">
      <c r="A257" s="213" t="s">
        <v>6906</v>
      </c>
      <c r="B257" s="215">
        <f t="shared" si="9"/>
        <v>45678</v>
      </c>
      <c r="C257" s="213" t="s">
        <v>6189</v>
      </c>
      <c r="D257" s="213" t="s">
        <v>4369</v>
      </c>
      <c r="E257" s="213" t="s">
        <v>333</v>
      </c>
      <c r="F257" s="212" t="s">
        <v>4365</v>
      </c>
      <c r="G257" s="212" t="str">
        <f t="shared" si="10"/>
        <v>101현금</v>
      </c>
      <c r="H257" s="214">
        <v>220000</v>
      </c>
      <c r="I257" s="214">
        <v>0</v>
      </c>
      <c r="J257" s="214">
        <f t="shared" si="11"/>
        <v>-220000</v>
      </c>
      <c r="K257" s="212" t="s">
        <v>6355</v>
      </c>
      <c r="L257" s="213"/>
      <c r="M257" s="212" t="s">
        <v>6231</v>
      </c>
    </row>
    <row r="258" spans="1:13" ht="21" customHeight="1">
      <c r="A258" s="213" t="s">
        <v>6906</v>
      </c>
      <c r="B258" s="215">
        <f t="shared" ref="B258:B321" si="12">DATEVALUE(A258)</f>
        <v>45678</v>
      </c>
      <c r="C258" s="213" t="s">
        <v>6191</v>
      </c>
      <c r="D258" s="213" t="s">
        <v>4366</v>
      </c>
      <c r="E258" s="213" t="s">
        <v>6176</v>
      </c>
      <c r="F258" s="212" t="s">
        <v>6177</v>
      </c>
      <c r="G258" s="212" t="str">
        <f t="shared" ref="G258:G321" si="13">E258&amp;F258</f>
        <v>255부가세예수금</v>
      </c>
      <c r="H258" s="214">
        <v>0</v>
      </c>
      <c r="I258" s="214">
        <v>15000</v>
      </c>
      <c r="J258" s="214">
        <f t="shared" ref="J258:J321" si="14">I258-H258</f>
        <v>15000</v>
      </c>
      <c r="K258" s="212" t="s">
        <v>6211</v>
      </c>
      <c r="L258" s="213"/>
      <c r="M258" s="212" t="s">
        <v>6179</v>
      </c>
    </row>
    <row r="259" spans="1:13" ht="21" customHeight="1">
      <c r="A259" s="213" t="s">
        <v>6906</v>
      </c>
      <c r="B259" s="215">
        <f t="shared" si="12"/>
        <v>45678</v>
      </c>
      <c r="C259" s="213" t="s">
        <v>6191</v>
      </c>
      <c r="D259" s="213" t="s">
        <v>4366</v>
      </c>
      <c r="E259" s="213" t="s">
        <v>334</v>
      </c>
      <c r="F259" s="212" t="s">
        <v>6158</v>
      </c>
      <c r="G259" s="212" t="str">
        <f t="shared" si="13"/>
        <v>401용역매출</v>
      </c>
      <c r="H259" s="214">
        <v>0</v>
      </c>
      <c r="I259" s="214">
        <v>150000</v>
      </c>
      <c r="J259" s="214">
        <f t="shared" si="14"/>
        <v>150000</v>
      </c>
      <c r="K259" s="212" t="s">
        <v>6211</v>
      </c>
      <c r="L259" s="213"/>
      <c r="M259" s="212" t="s">
        <v>6179</v>
      </c>
    </row>
    <row r="260" spans="1:13" ht="21" customHeight="1">
      <c r="A260" s="213" t="s">
        <v>6906</v>
      </c>
      <c r="B260" s="215">
        <f t="shared" si="12"/>
        <v>45678</v>
      </c>
      <c r="C260" s="213" t="s">
        <v>6191</v>
      </c>
      <c r="D260" s="213" t="s">
        <v>4369</v>
      </c>
      <c r="E260" s="213" t="s">
        <v>333</v>
      </c>
      <c r="F260" s="212" t="s">
        <v>4365</v>
      </c>
      <c r="G260" s="212" t="str">
        <f t="shared" si="13"/>
        <v>101현금</v>
      </c>
      <c r="H260" s="214">
        <v>165000</v>
      </c>
      <c r="I260" s="214">
        <v>0</v>
      </c>
      <c r="J260" s="214">
        <f t="shared" si="14"/>
        <v>-165000</v>
      </c>
      <c r="K260" s="212" t="s">
        <v>6211</v>
      </c>
      <c r="L260" s="213"/>
      <c r="M260" s="212" t="s">
        <v>6179</v>
      </c>
    </row>
    <row r="261" spans="1:13" ht="21" customHeight="1">
      <c r="A261" s="213" t="s">
        <v>6906</v>
      </c>
      <c r="B261" s="215">
        <f t="shared" si="12"/>
        <v>45678</v>
      </c>
      <c r="C261" s="213" t="s">
        <v>6216</v>
      </c>
      <c r="D261" s="213" t="s">
        <v>4366</v>
      </c>
      <c r="E261" s="213" t="s">
        <v>6176</v>
      </c>
      <c r="F261" s="212" t="s">
        <v>6177</v>
      </c>
      <c r="G261" s="212" t="str">
        <f t="shared" si="13"/>
        <v>255부가세예수금</v>
      </c>
      <c r="H261" s="214">
        <v>0</v>
      </c>
      <c r="I261" s="214">
        <v>10000</v>
      </c>
      <c r="J261" s="214">
        <f t="shared" si="14"/>
        <v>10000</v>
      </c>
      <c r="K261" s="212" t="s">
        <v>6209</v>
      </c>
      <c r="L261" s="213"/>
      <c r="M261" s="212" t="s">
        <v>6185</v>
      </c>
    </row>
    <row r="262" spans="1:13" ht="21" customHeight="1">
      <c r="A262" s="213" t="s">
        <v>6906</v>
      </c>
      <c r="B262" s="215">
        <f t="shared" si="12"/>
        <v>45678</v>
      </c>
      <c r="C262" s="213" t="s">
        <v>6216</v>
      </c>
      <c r="D262" s="213" t="s">
        <v>4366</v>
      </c>
      <c r="E262" s="213" t="s">
        <v>334</v>
      </c>
      <c r="F262" s="212" t="s">
        <v>6158</v>
      </c>
      <c r="G262" s="212" t="str">
        <f t="shared" si="13"/>
        <v>401용역매출</v>
      </c>
      <c r="H262" s="214">
        <v>0</v>
      </c>
      <c r="I262" s="214">
        <v>100000</v>
      </c>
      <c r="J262" s="214">
        <f t="shared" si="14"/>
        <v>100000</v>
      </c>
      <c r="K262" s="212" t="s">
        <v>6209</v>
      </c>
      <c r="L262" s="213"/>
      <c r="M262" s="212" t="s">
        <v>6185</v>
      </c>
    </row>
    <row r="263" spans="1:13" ht="21" customHeight="1">
      <c r="A263" s="213" t="s">
        <v>6906</v>
      </c>
      <c r="B263" s="215">
        <f t="shared" si="12"/>
        <v>45678</v>
      </c>
      <c r="C263" s="213" t="s">
        <v>6216</v>
      </c>
      <c r="D263" s="213" t="s">
        <v>4369</v>
      </c>
      <c r="E263" s="213" t="s">
        <v>333</v>
      </c>
      <c r="F263" s="212" t="s">
        <v>4365</v>
      </c>
      <c r="G263" s="212" t="str">
        <f t="shared" si="13"/>
        <v>101현금</v>
      </c>
      <c r="H263" s="214">
        <v>110000</v>
      </c>
      <c r="I263" s="214">
        <v>0</v>
      </c>
      <c r="J263" s="214">
        <f t="shared" si="14"/>
        <v>-110000</v>
      </c>
      <c r="K263" s="212" t="s">
        <v>6209</v>
      </c>
      <c r="L263" s="213"/>
      <c r="M263" s="212" t="s">
        <v>6185</v>
      </c>
    </row>
    <row r="264" spans="1:13" ht="21" customHeight="1">
      <c r="A264" s="213" t="s">
        <v>6906</v>
      </c>
      <c r="B264" s="215">
        <f t="shared" si="12"/>
        <v>45678</v>
      </c>
      <c r="C264" s="213" t="s">
        <v>6217</v>
      </c>
      <c r="D264" s="213" t="s">
        <v>4366</v>
      </c>
      <c r="E264" s="213" t="s">
        <v>6176</v>
      </c>
      <c r="F264" s="212" t="s">
        <v>6177</v>
      </c>
      <c r="G264" s="212" t="str">
        <f t="shared" si="13"/>
        <v>255부가세예수금</v>
      </c>
      <c r="H264" s="214">
        <v>0</v>
      </c>
      <c r="I264" s="214">
        <v>10000</v>
      </c>
      <c r="J264" s="214">
        <f t="shared" si="14"/>
        <v>10000</v>
      </c>
      <c r="K264" s="212" t="s">
        <v>6210</v>
      </c>
      <c r="L264" s="213"/>
      <c r="M264" s="212" t="s">
        <v>6185</v>
      </c>
    </row>
    <row r="265" spans="1:13" ht="21" customHeight="1">
      <c r="A265" s="213" t="s">
        <v>6906</v>
      </c>
      <c r="B265" s="215">
        <f t="shared" si="12"/>
        <v>45678</v>
      </c>
      <c r="C265" s="213" t="s">
        <v>6217</v>
      </c>
      <c r="D265" s="213" t="s">
        <v>4366</v>
      </c>
      <c r="E265" s="213" t="s">
        <v>334</v>
      </c>
      <c r="F265" s="212" t="s">
        <v>6158</v>
      </c>
      <c r="G265" s="212" t="str">
        <f t="shared" si="13"/>
        <v>401용역매출</v>
      </c>
      <c r="H265" s="214">
        <v>0</v>
      </c>
      <c r="I265" s="214">
        <v>100000</v>
      </c>
      <c r="J265" s="214">
        <f t="shared" si="14"/>
        <v>100000</v>
      </c>
      <c r="K265" s="212" t="s">
        <v>6210</v>
      </c>
      <c r="L265" s="213"/>
      <c r="M265" s="212" t="s">
        <v>6185</v>
      </c>
    </row>
    <row r="266" spans="1:13" ht="21" customHeight="1">
      <c r="A266" s="213" t="s">
        <v>6906</v>
      </c>
      <c r="B266" s="215">
        <f t="shared" si="12"/>
        <v>45678</v>
      </c>
      <c r="C266" s="213" t="s">
        <v>6217</v>
      </c>
      <c r="D266" s="213" t="s">
        <v>4369</v>
      </c>
      <c r="E266" s="213" t="s">
        <v>333</v>
      </c>
      <c r="F266" s="212" t="s">
        <v>4365</v>
      </c>
      <c r="G266" s="212" t="str">
        <f t="shared" si="13"/>
        <v>101현금</v>
      </c>
      <c r="H266" s="214">
        <v>110000</v>
      </c>
      <c r="I266" s="214">
        <v>0</v>
      </c>
      <c r="J266" s="214">
        <f t="shared" si="14"/>
        <v>-110000</v>
      </c>
      <c r="K266" s="212" t="s">
        <v>6210</v>
      </c>
      <c r="L266" s="213"/>
      <c r="M266" s="212" t="s">
        <v>6185</v>
      </c>
    </row>
    <row r="267" spans="1:13" ht="21" customHeight="1">
      <c r="A267" s="213" t="s">
        <v>6901</v>
      </c>
      <c r="B267" s="215">
        <f t="shared" si="12"/>
        <v>45679</v>
      </c>
      <c r="C267" s="213" t="s">
        <v>4373</v>
      </c>
      <c r="D267" s="213" t="s">
        <v>4369</v>
      </c>
      <c r="E267" s="213" t="s">
        <v>4499</v>
      </c>
      <c r="F267" s="212" t="s">
        <v>6517</v>
      </c>
      <c r="G267" s="212" t="str">
        <f t="shared" si="13"/>
        <v>811복리후생비(판)</v>
      </c>
      <c r="H267" s="214">
        <v>3500</v>
      </c>
      <c r="I267" s="214">
        <v>0</v>
      </c>
      <c r="J267" s="214">
        <f t="shared" si="14"/>
        <v>-3500</v>
      </c>
      <c r="K267" s="212" t="s">
        <v>6691</v>
      </c>
      <c r="L267" s="213"/>
      <c r="M267" s="212"/>
    </row>
    <row r="268" spans="1:13" ht="21" customHeight="1">
      <c r="A268" s="213" t="s">
        <v>6901</v>
      </c>
      <c r="B268" s="215">
        <f t="shared" si="12"/>
        <v>45679</v>
      </c>
      <c r="C268" s="213" t="s">
        <v>4373</v>
      </c>
      <c r="D268" s="213" t="s">
        <v>4366</v>
      </c>
      <c r="E268" s="213" t="s">
        <v>333</v>
      </c>
      <c r="F268" s="212" t="s">
        <v>4365</v>
      </c>
      <c r="G268" s="212" t="str">
        <f t="shared" si="13"/>
        <v>101현금</v>
      </c>
      <c r="H268" s="214">
        <v>0</v>
      </c>
      <c r="I268" s="214">
        <v>3500</v>
      </c>
      <c r="J268" s="214">
        <f t="shared" si="14"/>
        <v>3500</v>
      </c>
      <c r="K268" s="212" t="s">
        <v>6371</v>
      </c>
      <c r="L268" s="213"/>
      <c r="M268" s="212"/>
    </row>
    <row r="269" spans="1:13" ht="21" customHeight="1">
      <c r="A269" s="213" t="s">
        <v>6901</v>
      </c>
      <c r="B269" s="215">
        <f t="shared" si="12"/>
        <v>45679</v>
      </c>
      <c r="C269" s="213" t="s">
        <v>4382</v>
      </c>
      <c r="D269" s="213" t="s">
        <v>4369</v>
      </c>
      <c r="E269" s="213" t="s">
        <v>4499</v>
      </c>
      <c r="F269" s="212" t="s">
        <v>6517</v>
      </c>
      <c r="G269" s="212" t="str">
        <f t="shared" si="13"/>
        <v>811복리후생비(판)</v>
      </c>
      <c r="H269" s="214">
        <v>3000</v>
      </c>
      <c r="I269" s="214">
        <v>0</v>
      </c>
      <c r="J269" s="214">
        <f t="shared" si="14"/>
        <v>-3000</v>
      </c>
      <c r="K269" s="212" t="s">
        <v>6288</v>
      </c>
      <c r="L269" s="213"/>
      <c r="M269" s="212"/>
    </row>
    <row r="270" spans="1:13" ht="21" customHeight="1">
      <c r="A270" s="213" t="s">
        <v>6901</v>
      </c>
      <c r="B270" s="215">
        <f t="shared" si="12"/>
        <v>45679</v>
      </c>
      <c r="C270" s="213" t="s">
        <v>4382</v>
      </c>
      <c r="D270" s="213" t="s">
        <v>4366</v>
      </c>
      <c r="E270" s="213" t="s">
        <v>333</v>
      </c>
      <c r="F270" s="212" t="s">
        <v>4365</v>
      </c>
      <c r="G270" s="212" t="str">
        <f t="shared" si="13"/>
        <v>101현금</v>
      </c>
      <c r="H270" s="214">
        <v>0</v>
      </c>
      <c r="I270" s="214">
        <v>3000</v>
      </c>
      <c r="J270" s="214">
        <f t="shared" si="14"/>
        <v>3000</v>
      </c>
      <c r="K270" s="212" t="s">
        <v>6369</v>
      </c>
      <c r="L270" s="213"/>
      <c r="M270" s="212"/>
    </row>
    <row r="271" spans="1:13" ht="21" customHeight="1">
      <c r="A271" s="213" t="s">
        <v>6901</v>
      </c>
      <c r="B271" s="215">
        <f t="shared" si="12"/>
        <v>45679</v>
      </c>
      <c r="C271" s="213" t="s">
        <v>4381</v>
      </c>
      <c r="D271" s="213" t="s">
        <v>4369</v>
      </c>
      <c r="E271" s="213" t="s">
        <v>4499</v>
      </c>
      <c r="F271" s="212" t="s">
        <v>6517</v>
      </c>
      <c r="G271" s="212" t="str">
        <f t="shared" si="13"/>
        <v>811복리후생비(판)</v>
      </c>
      <c r="H271" s="214">
        <v>3500</v>
      </c>
      <c r="I271" s="214">
        <v>0</v>
      </c>
      <c r="J271" s="214">
        <f t="shared" si="14"/>
        <v>-3500</v>
      </c>
      <c r="K271" s="212" t="s">
        <v>6691</v>
      </c>
      <c r="L271" s="213"/>
      <c r="M271" s="212"/>
    </row>
    <row r="272" spans="1:13" ht="21" customHeight="1">
      <c r="A272" s="213" t="s">
        <v>6901</v>
      </c>
      <c r="B272" s="215">
        <f t="shared" si="12"/>
        <v>45679</v>
      </c>
      <c r="C272" s="213" t="s">
        <v>4381</v>
      </c>
      <c r="D272" s="213" t="s">
        <v>4366</v>
      </c>
      <c r="E272" s="213" t="s">
        <v>333</v>
      </c>
      <c r="F272" s="212" t="s">
        <v>4365</v>
      </c>
      <c r="G272" s="212" t="str">
        <f t="shared" si="13"/>
        <v>101현금</v>
      </c>
      <c r="H272" s="214">
        <v>0</v>
      </c>
      <c r="I272" s="214">
        <v>3500</v>
      </c>
      <c r="J272" s="214">
        <f t="shared" si="14"/>
        <v>3500</v>
      </c>
      <c r="K272" s="212" t="s">
        <v>6369</v>
      </c>
      <c r="L272" s="213"/>
      <c r="M272" s="212"/>
    </row>
    <row r="273" spans="1:13" ht="21" customHeight="1">
      <c r="A273" s="213" t="s">
        <v>6901</v>
      </c>
      <c r="B273" s="215">
        <f t="shared" si="12"/>
        <v>45679</v>
      </c>
      <c r="C273" s="213" t="s">
        <v>4379</v>
      </c>
      <c r="D273" s="213" t="s">
        <v>4369</v>
      </c>
      <c r="E273" s="213" t="s">
        <v>4383</v>
      </c>
      <c r="F273" s="212" t="s">
        <v>6525</v>
      </c>
      <c r="G273" s="212" t="str">
        <f t="shared" si="13"/>
        <v>830소모품비(판)</v>
      </c>
      <c r="H273" s="214">
        <v>15420</v>
      </c>
      <c r="I273" s="214">
        <v>0</v>
      </c>
      <c r="J273" s="214">
        <f t="shared" si="14"/>
        <v>-15420</v>
      </c>
      <c r="K273" s="212" t="s">
        <v>6215</v>
      </c>
      <c r="L273" s="213"/>
      <c r="M273" s="212"/>
    </row>
    <row r="274" spans="1:13" ht="21" customHeight="1">
      <c r="A274" s="213" t="s">
        <v>6901</v>
      </c>
      <c r="B274" s="215">
        <f t="shared" si="12"/>
        <v>45679</v>
      </c>
      <c r="C274" s="213" t="s">
        <v>4379</v>
      </c>
      <c r="D274" s="213" t="s">
        <v>4366</v>
      </c>
      <c r="E274" s="213" t="s">
        <v>333</v>
      </c>
      <c r="F274" s="212" t="s">
        <v>4365</v>
      </c>
      <c r="G274" s="212" t="str">
        <f t="shared" si="13"/>
        <v>101현금</v>
      </c>
      <c r="H274" s="214">
        <v>0</v>
      </c>
      <c r="I274" s="214">
        <v>15420</v>
      </c>
      <c r="J274" s="214">
        <f t="shared" si="14"/>
        <v>15420</v>
      </c>
      <c r="K274" s="212" t="s">
        <v>6371</v>
      </c>
      <c r="L274" s="213"/>
      <c r="M274" s="212"/>
    </row>
    <row r="275" spans="1:13" ht="21" customHeight="1">
      <c r="A275" s="213" t="s">
        <v>6901</v>
      </c>
      <c r="B275" s="215">
        <f t="shared" si="12"/>
        <v>45679</v>
      </c>
      <c r="C275" s="213" t="s">
        <v>4385</v>
      </c>
      <c r="D275" s="213" t="s">
        <v>4369</v>
      </c>
      <c r="E275" s="213" t="s">
        <v>4383</v>
      </c>
      <c r="F275" s="212" t="s">
        <v>6525</v>
      </c>
      <c r="G275" s="212" t="str">
        <f t="shared" si="13"/>
        <v>830소모품비(판)</v>
      </c>
      <c r="H275" s="214">
        <v>18120</v>
      </c>
      <c r="I275" s="214">
        <v>0</v>
      </c>
      <c r="J275" s="214">
        <f t="shared" si="14"/>
        <v>-18120</v>
      </c>
      <c r="K275" s="212" t="s">
        <v>6215</v>
      </c>
      <c r="L275" s="213"/>
      <c r="M275" s="212"/>
    </row>
    <row r="276" spans="1:13" ht="21" customHeight="1">
      <c r="A276" s="213" t="s">
        <v>6901</v>
      </c>
      <c r="B276" s="215">
        <f t="shared" si="12"/>
        <v>45679</v>
      </c>
      <c r="C276" s="213" t="s">
        <v>4385</v>
      </c>
      <c r="D276" s="213" t="s">
        <v>4366</v>
      </c>
      <c r="E276" s="213" t="s">
        <v>333</v>
      </c>
      <c r="F276" s="212" t="s">
        <v>4365</v>
      </c>
      <c r="G276" s="212" t="str">
        <f t="shared" si="13"/>
        <v>101현금</v>
      </c>
      <c r="H276" s="214">
        <v>0</v>
      </c>
      <c r="I276" s="214">
        <v>18120</v>
      </c>
      <c r="J276" s="214">
        <f t="shared" si="14"/>
        <v>18120</v>
      </c>
      <c r="K276" s="212" t="s">
        <v>6371</v>
      </c>
      <c r="L276" s="213"/>
      <c r="M276" s="212"/>
    </row>
    <row r="277" spans="1:13" ht="21" customHeight="1">
      <c r="A277" s="213" t="s">
        <v>6901</v>
      </c>
      <c r="B277" s="215">
        <f t="shared" si="12"/>
        <v>45679</v>
      </c>
      <c r="C277" s="213" t="s">
        <v>4501</v>
      </c>
      <c r="D277" s="213" t="s">
        <v>4369</v>
      </c>
      <c r="E277" s="213" t="s">
        <v>4383</v>
      </c>
      <c r="F277" s="212" t="s">
        <v>6525</v>
      </c>
      <c r="G277" s="212" t="str">
        <f t="shared" si="13"/>
        <v>830소모품비(판)</v>
      </c>
      <c r="H277" s="214">
        <v>25340</v>
      </c>
      <c r="I277" s="214">
        <v>0</v>
      </c>
      <c r="J277" s="214">
        <f t="shared" si="14"/>
        <v>-25340</v>
      </c>
      <c r="K277" s="212" t="s">
        <v>6215</v>
      </c>
      <c r="L277" s="213"/>
      <c r="M277" s="212"/>
    </row>
    <row r="278" spans="1:13" ht="21" customHeight="1">
      <c r="A278" s="213" t="s">
        <v>6901</v>
      </c>
      <c r="B278" s="215">
        <f t="shared" si="12"/>
        <v>45679</v>
      </c>
      <c r="C278" s="213" t="s">
        <v>4501</v>
      </c>
      <c r="D278" s="213" t="s">
        <v>4366</v>
      </c>
      <c r="E278" s="213" t="s">
        <v>333</v>
      </c>
      <c r="F278" s="212" t="s">
        <v>4365</v>
      </c>
      <c r="G278" s="212" t="str">
        <f t="shared" si="13"/>
        <v>101현금</v>
      </c>
      <c r="H278" s="214">
        <v>0</v>
      </c>
      <c r="I278" s="214">
        <v>25340</v>
      </c>
      <c r="J278" s="214">
        <f t="shared" si="14"/>
        <v>25340</v>
      </c>
      <c r="K278" s="212" t="s">
        <v>6371</v>
      </c>
      <c r="L278" s="213"/>
      <c r="M278" s="212"/>
    </row>
    <row r="279" spans="1:13" ht="21" customHeight="1">
      <c r="A279" s="213" t="s">
        <v>6901</v>
      </c>
      <c r="B279" s="215">
        <f t="shared" si="12"/>
        <v>45679</v>
      </c>
      <c r="C279" s="213" t="s">
        <v>4502</v>
      </c>
      <c r="D279" s="213" t="s">
        <v>4369</v>
      </c>
      <c r="E279" s="213" t="s">
        <v>4380</v>
      </c>
      <c r="F279" s="212" t="s">
        <v>6515</v>
      </c>
      <c r="G279" s="212" t="str">
        <f t="shared" si="13"/>
        <v>812여비교통비(판)</v>
      </c>
      <c r="H279" s="214">
        <v>6000</v>
      </c>
      <c r="I279" s="214">
        <v>0</v>
      </c>
      <c r="J279" s="214">
        <f t="shared" si="14"/>
        <v>-6000</v>
      </c>
      <c r="K279" s="212" t="s">
        <v>6905</v>
      </c>
      <c r="L279" s="213"/>
      <c r="M279" s="212"/>
    </row>
    <row r="280" spans="1:13" ht="21" customHeight="1">
      <c r="A280" s="213" t="s">
        <v>6901</v>
      </c>
      <c r="B280" s="215">
        <f t="shared" si="12"/>
        <v>45679</v>
      </c>
      <c r="C280" s="213" t="s">
        <v>4502</v>
      </c>
      <c r="D280" s="213" t="s">
        <v>4366</v>
      </c>
      <c r="E280" s="213" t="s">
        <v>333</v>
      </c>
      <c r="F280" s="212" t="s">
        <v>4365</v>
      </c>
      <c r="G280" s="212" t="str">
        <f t="shared" si="13"/>
        <v>101현금</v>
      </c>
      <c r="H280" s="214">
        <v>0</v>
      </c>
      <c r="I280" s="214">
        <v>6000</v>
      </c>
      <c r="J280" s="214">
        <f t="shared" si="14"/>
        <v>6000</v>
      </c>
      <c r="K280" s="212" t="s">
        <v>6371</v>
      </c>
      <c r="L280" s="213"/>
      <c r="M280" s="212"/>
    </row>
    <row r="281" spans="1:13" ht="21" customHeight="1">
      <c r="A281" s="213" t="s">
        <v>6901</v>
      </c>
      <c r="B281" s="215">
        <f t="shared" si="12"/>
        <v>45679</v>
      </c>
      <c r="C281" s="213" t="s">
        <v>4503</v>
      </c>
      <c r="D281" s="213" t="s">
        <v>4369</v>
      </c>
      <c r="E281" s="213" t="s">
        <v>4380</v>
      </c>
      <c r="F281" s="212" t="s">
        <v>6515</v>
      </c>
      <c r="G281" s="212" t="str">
        <f t="shared" si="13"/>
        <v>812여비교통비(판)</v>
      </c>
      <c r="H281" s="214">
        <v>1700</v>
      </c>
      <c r="I281" s="214">
        <v>0</v>
      </c>
      <c r="J281" s="214">
        <f t="shared" si="14"/>
        <v>-1700</v>
      </c>
      <c r="K281" s="212" t="s">
        <v>6904</v>
      </c>
      <c r="L281" s="213"/>
      <c r="M281" s="212"/>
    </row>
    <row r="282" spans="1:13" ht="21" customHeight="1">
      <c r="A282" s="213" t="s">
        <v>6901</v>
      </c>
      <c r="B282" s="215">
        <f t="shared" si="12"/>
        <v>45679</v>
      </c>
      <c r="C282" s="213" t="s">
        <v>4503</v>
      </c>
      <c r="D282" s="213" t="s">
        <v>4366</v>
      </c>
      <c r="E282" s="213" t="s">
        <v>333</v>
      </c>
      <c r="F282" s="212" t="s">
        <v>4365</v>
      </c>
      <c r="G282" s="212" t="str">
        <f t="shared" si="13"/>
        <v>101현금</v>
      </c>
      <c r="H282" s="214">
        <v>0</v>
      </c>
      <c r="I282" s="214">
        <v>1700</v>
      </c>
      <c r="J282" s="214">
        <f t="shared" si="14"/>
        <v>1700</v>
      </c>
      <c r="K282" s="212" t="s">
        <v>6369</v>
      </c>
      <c r="L282" s="213"/>
      <c r="M282" s="212"/>
    </row>
    <row r="283" spans="1:13" ht="21" customHeight="1">
      <c r="A283" s="213" t="s">
        <v>6901</v>
      </c>
      <c r="B283" s="215">
        <f t="shared" si="12"/>
        <v>45679</v>
      </c>
      <c r="C283" s="213" t="s">
        <v>4511</v>
      </c>
      <c r="D283" s="213" t="s">
        <v>4369</v>
      </c>
      <c r="E283" s="213" t="s">
        <v>4500</v>
      </c>
      <c r="F283" s="212" t="s">
        <v>6418</v>
      </c>
      <c r="G283" s="212" t="str">
        <f t="shared" si="13"/>
        <v>822차량유지비(판)</v>
      </c>
      <c r="H283" s="214">
        <v>50000</v>
      </c>
      <c r="I283" s="214">
        <v>0</v>
      </c>
      <c r="J283" s="214">
        <f t="shared" si="14"/>
        <v>-50000</v>
      </c>
      <c r="K283" s="212" t="s">
        <v>6903</v>
      </c>
      <c r="L283" s="213"/>
      <c r="M283" s="212"/>
    </row>
    <row r="284" spans="1:13" ht="21" customHeight="1">
      <c r="A284" s="213" t="s">
        <v>6901</v>
      </c>
      <c r="B284" s="215">
        <f t="shared" si="12"/>
        <v>45679</v>
      </c>
      <c r="C284" s="213" t="s">
        <v>4511</v>
      </c>
      <c r="D284" s="213" t="s">
        <v>4366</v>
      </c>
      <c r="E284" s="213" t="s">
        <v>333</v>
      </c>
      <c r="F284" s="212" t="s">
        <v>4365</v>
      </c>
      <c r="G284" s="212" t="str">
        <f t="shared" si="13"/>
        <v>101현금</v>
      </c>
      <c r="H284" s="214">
        <v>0</v>
      </c>
      <c r="I284" s="214">
        <v>50000</v>
      </c>
      <c r="J284" s="214">
        <f t="shared" si="14"/>
        <v>50000</v>
      </c>
      <c r="K284" s="212" t="s">
        <v>6369</v>
      </c>
      <c r="L284" s="213"/>
      <c r="M284" s="212"/>
    </row>
    <row r="285" spans="1:13" ht="21" customHeight="1">
      <c r="A285" s="213" t="s">
        <v>6901</v>
      </c>
      <c r="B285" s="215">
        <f t="shared" si="12"/>
        <v>45679</v>
      </c>
      <c r="C285" s="213" t="s">
        <v>4512</v>
      </c>
      <c r="D285" s="213" t="s">
        <v>4369</v>
      </c>
      <c r="E285" s="213" t="s">
        <v>4500</v>
      </c>
      <c r="F285" s="212" t="s">
        <v>6418</v>
      </c>
      <c r="G285" s="212" t="str">
        <f t="shared" si="13"/>
        <v>822차량유지비(판)</v>
      </c>
      <c r="H285" s="214">
        <v>50000</v>
      </c>
      <c r="I285" s="214">
        <v>0</v>
      </c>
      <c r="J285" s="214">
        <f t="shared" si="14"/>
        <v>-50000</v>
      </c>
      <c r="K285" s="212" t="s">
        <v>6902</v>
      </c>
      <c r="L285" s="213"/>
      <c r="M285" s="212"/>
    </row>
    <row r="286" spans="1:13" ht="21" customHeight="1">
      <c r="A286" s="213" t="s">
        <v>6901</v>
      </c>
      <c r="B286" s="215">
        <f t="shared" si="12"/>
        <v>45679</v>
      </c>
      <c r="C286" s="213" t="s">
        <v>4512</v>
      </c>
      <c r="D286" s="213" t="s">
        <v>4366</v>
      </c>
      <c r="E286" s="213" t="s">
        <v>333</v>
      </c>
      <c r="F286" s="212" t="s">
        <v>4365</v>
      </c>
      <c r="G286" s="212" t="str">
        <f t="shared" si="13"/>
        <v>101현금</v>
      </c>
      <c r="H286" s="214">
        <v>0</v>
      </c>
      <c r="I286" s="214">
        <v>50000</v>
      </c>
      <c r="J286" s="214">
        <f t="shared" si="14"/>
        <v>50000</v>
      </c>
      <c r="K286" s="212" t="s">
        <v>6369</v>
      </c>
      <c r="L286" s="213"/>
      <c r="M286" s="212"/>
    </row>
    <row r="287" spans="1:13" ht="21" customHeight="1">
      <c r="A287" s="213" t="s">
        <v>6900</v>
      </c>
      <c r="B287" s="215">
        <f t="shared" si="12"/>
        <v>45680</v>
      </c>
      <c r="C287" s="213" t="s">
        <v>4373</v>
      </c>
      <c r="D287" s="213" t="s">
        <v>4369</v>
      </c>
      <c r="E287" s="213" t="s">
        <v>4380</v>
      </c>
      <c r="F287" s="212" t="s">
        <v>6515</v>
      </c>
      <c r="G287" s="212" t="str">
        <f t="shared" si="13"/>
        <v>812여비교통비(판)</v>
      </c>
      <c r="H287" s="214">
        <v>600</v>
      </c>
      <c r="I287" s="214">
        <v>0</v>
      </c>
      <c r="J287" s="214">
        <f t="shared" si="14"/>
        <v>-600</v>
      </c>
      <c r="K287" s="212" t="s">
        <v>6305</v>
      </c>
      <c r="L287" s="213"/>
      <c r="M287" s="212"/>
    </row>
    <row r="288" spans="1:13" ht="21" customHeight="1">
      <c r="A288" s="213" t="s">
        <v>6900</v>
      </c>
      <c r="B288" s="215">
        <f t="shared" si="12"/>
        <v>45680</v>
      </c>
      <c r="C288" s="213" t="s">
        <v>4373</v>
      </c>
      <c r="D288" s="213" t="s">
        <v>4366</v>
      </c>
      <c r="E288" s="213" t="s">
        <v>333</v>
      </c>
      <c r="F288" s="212" t="s">
        <v>4365</v>
      </c>
      <c r="G288" s="212" t="str">
        <f t="shared" si="13"/>
        <v>101현금</v>
      </c>
      <c r="H288" s="214">
        <v>0</v>
      </c>
      <c r="I288" s="214">
        <v>600</v>
      </c>
      <c r="J288" s="214">
        <f t="shared" si="14"/>
        <v>600</v>
      </c>
      <c r="K288" s="212" t="s">
        <v>6369</v>
      </c>
      <c r="L288" s="213"/>
      <c r="M288" s="212"/>
    </row>
    <row r="289" spans="1:13" ht="21" customHeight="1">
      <c r="A289" s="213" t="s">
        <v>6900</v>
      </c>
      <c r="B289" s="215">
        <f t="shared" si="12"/>
        <v>45680</v>
      </c>
      <c r="C289" s="213" t="s">
        <v>4367</v>
      </c>
      <c r="D289" s="213" t="s">
        <v>4366</v>
      </c>
      <c r="E289" s="213" t="s">
        <v>6176</v>
      </c>
      <c r="F289" s="212" t="s">
        <v>6177</v>
      </c>
      <c r="G289" s="212" t="str">
        <f t="shared" si="13"/>
        <v>255부가세예수금</v>
      </c>
      <c r="H289" s="214">
        <v>0</v>
      </c>
      <c r="I289" s="214">
        <v>7000</v>
      </c>
      <c r="J289" s="214">
        <f t="shared" si="14"/>
        <v>7000</v>
      </c>
      <c r="K289" s="212" t="s">
        <v>6247</v>
      </c>
      <c r="L289" s="213"/>
      <c r="M289" s="212" t="s">
        <v>6287</v>
      </c>
    </row>
    <row r="290" spans="1:13" ht="21" customHeight="1">
      <c r="A290" s="213" t="s">
        <v>6900</v>
      </c>
      <c r="B290" s="215">
        <f t="shared" si="12"/>
        <v>45680</v>
      </c>
      <c r="C290" s="213" t="s">
        <v>4367</v>
      </c>
      <c r="D290" s="213" t="s">
        <v>4366</v>
      </c>
      <c r="E290" s="213" t="s">
        <v>334</v>
      </c>
      <c r="F290" s="212" t="s">
        <v>6158</v>
      </c>
      <c r="G290" s="212" t="str">
        <f t="shared" si="13"/>
        <v>401용역매출</v>
      </c>
      <c r="H290" s="214">
        <v>0</v>
      </c>
      <c r="I290" s="214">
        <v>70000</v>
      </c>
      <c r="J290" s="214">
        <f t="shared" si="14"/>
        <v>70000</v>
      </c>
      <c r="K290" s="212" t="s">
        <v>6247</v>
      </c>
      <c r="L290" s="213"/>
      <c r="M290" s="212" t="s">
        <v>6287</v>
      </c>
    </row>
    <row r="291" spans="1:13" ht="21" customHeight="1">
      <c r="A291" s="213" t="s">
        <v>6900</v>
      </c>
      <c r="B291" s="215">
        <f t="shared" si="12"/>
        <v>45680</v>
      </c>
      <c r="C291" s="213" t="s">
        <v>4367</v>
      </c>
      <c r="D291" s="213" t="s">
        <v>4369</v>
      </c>
      <c r="E291" s="213" t="s">
        <v>333</v>
      </c>
      <c r="F291" s="212" t="s">
        <v>4365</v>
      </c>
      <c r="G291" s="212" t="str">
        <f t="shared" si="13"/>
        <v>101현금</v>
      </c>
      <c r="H291" s="214">
        <v>77000</v>
      </c>
      <c r="I291" s="214">
        <v>0</v>
      </c>
      <c r="J291" s="214">
        <f t="shared" si="14"/>
        <v>-77000</v>
      </c>
      <c r="K291" s="212" t="s">
        <v>6247</v>
      </c>
      <c r="L291" s="213"/>
      <c r="M291" s="212" t="s">
        <v>6287</v>
      </c>
    </row>
    <row r="292" spans="1:13" ht="21" customHeight="1">
      <c r="A292" s="213" t="s">
        <v>6899</v>
      </c>
      <c r="B292" s="215">
        <f t="shared" si="12"/>
        <v>45681</v>
      </c>
      <c r="C292" s="213" t="s">
        <v>4373</v>
      </c>
      <c r="D292" s="213" t="s">
        <v>4369</v>
      </c>
      <c r="E292" s="213" t="s">
        <v>4499</v>
      </c>
      <c r="F292" s="212" t="s">
        <v>6517</v>
      </c>
      <c r="G292" s="212" t="str">
        <f t="shared" si="13"/>
        <v>811복리후생비(판)</v>
      </c>
      <c r="H292" s="214">
        <v>7000</v>
      </c>
      <c r="I292" s="214">
        <v>0</v>
      </c>
      <c r="J292" s="214">
        <f t="shared" si="14"/>
        <v>-7000</v>
      </c>
      <c r="K292" s="212" t="s">
        <v>6516</v>
      </c>
      <c r="L292" s="213"/>
      <c r="M292" s="212"/>
    </row>
    <row r="293" spans="1:13" ht="21" customHeight="1">
      <c r="A293" s="213" t="s">
        <v>6899</v>
      </c>
      <c r="B293" s="215">
        <f t="shared" si="12"/>
        <v>45681</v>
      </c>
      <c r="C293" s="213" t="s">
        <v>4373</v>
      </c>
      <c r="D293" s="213" t="s">
        <v>4366</v>
      </c>
      <c r="E293" s="213" t="s">
        <v>333</v>
      </c>
      <c r="F293" s="212" t="s">
        <v>4365</v>
      </c>
      <c r="G293" s="212" t="str">
        <f t="shared" si="13"/>
        <v>101현금</v>
      </c>
      <c r="H293" s="214">
        <v>0</v>
      </c>
      <c r="I293" s="214">
        <v>7000</v>
      </c>
      <c r="J293" s="214">
        <f t="shared" si="14"/>
        <v>7000</v>
      </c>
      <c r="K293" s="212" t="s">
        <v>6369</v>
      </c>
      <c r="L293" s="213"/>
      <c r="M293" s="212"/>
    </row>
    <row r="294" spans="1:13" ht="21" customHeight="1">
      <c r="A294" s="213" t="s">
        <v>6899</v>
      </c>
      <c r="B294" s="215">
        <f t="shared" si="12"/>
        <v>45681</v>
      </c>
      <c r="C294" s="213" t="s">
        <v>4382</v>
      </c>
      <c r="D294" s="213" t="s">
        <v>4369</v>
      </c>
      <c r="E294" s="213" t="s">
        <v>4383</v>
      </c>
      <c r="F294" s="212" t="s">
        <v>6525</v>
      </c>
      <c r="G294" s="212" t="str">
        <f t="shared" si="13"/>
        <v>830소모품비(판)</v>
      </c>
      <c r="H294" s="214">
        <v>2000</v>
      </c>
      <c r="I294" s="214">
        <v>0</v>
      </c>
      <c r="J294" s="214">
        <f t="shared" si="14"/>
        <v>-2000</v>
      </c>
      <c r="K294" s="212" t="s">
        <v>6215</v>
      </c>
      <c r="L294" s="213"/>
      <c r="M294" s="212"/>
    </row>
    <row r="295" spans="1:13" ht="21" customHeight="1">
      <c r="A295" s="213" t="s">
        <v>6899</v>
      </c>
      <c r="B295" s="215">
        <f t="shared" si="12"/>
        <v>45681</v>
      </c>
      <c r="C295" s="213" t="s">
        <v>4382</v>
      </c>
      <c r="D295" s="213" t="s">
        <v>4366</v>
      </c>
      <c r="E295" s="213" t="s">
        <v>333</v>
      </c>
      <c r="F295" s="212" t="s">
        <v>4365</v>
      </c>
      <c r="G295" s="212" t="str">
        <f t="shared" si="13"/>
        <v>101현금</v>
      </c>
      <c r="H295" s="214">
        <v>0</v>
      </c>
      <c r="I295" s="214">
        <v>2000</v>
      </c>
      <c r="J295" s="214">
        <f t="shared" si="14"/>
        <v>2000</v>
      </c>
      <c r="K295" s="212" t="s">
        <v>6369</v>
      </c>
      <c r="L295" s="213"/>
      <c r="M295" s="212"/>
    </row>
    <row r="296" spans="1:13" ht="21" customHeight="1">
      <c r="A296" s="213" t="s">
        <v>6899</v>
      </c>
      <c r="B296" s="215">
        <f t="shared" si="12"/>
        <v>45681</v>
      </c>
      <c r="C296" s="213" t="s">
        <v>4381</v>
      </c>
      <c r="D296" s="213" t="s">
        <v>4369</v>
      </c>
      <c r="E296" s="213" t="s">
        <v>4383</v>
      </c>
      <c r="F296" s="212" t="s">
        <v>6525</v>
      </c>
      <c r="G296" s="212" t="str">
        <f t="shared" si="13"/>
        <v>830소모품비(판)</v>
      </c>
      <c r="H296" s="214">
        <v>13100</v>
      </c>
      <c r="I296" s="214">
        <v>0</v>
      </c>
      <c r="J296" s="214">
        <f t="shared" si="14"/>
        <v>-13100</v>
      </c>
      <c r="K296" s="212" t="s">
        <v>6198</v>
      </c>
      <c r="L296" s="213"/>
      <c r="M296" s="212"/>
    </row>
    <row r="297" spans="1:13" ht="21" customHeight="1">
      <c r="A297" s="213" t="s">
        <v>6899</v>
      </c>
      <c r="B297" s="215">
        <f t="shared" si="12"/>
        <v>45681</v>
      </c>
      <c r="C297" s="213" t="s">
        <v>4381</v>
      </c>
      <c r="D297" s="213" t="s">
        <v>4366</v>
      </c>
      <c r="E297" s="213" t="s">
        <v>333</v>
      </c>
      <c r="F297" s="212" t="s">
        <v>4365</v>
      </c>
      <c r="G297" s="212" t="str">
        <f t="shared" si="13"/>
        <v>101현금</v>
      </c>
      <c r="H297" s="214">
        <v>0</v>
      </c>
      <c r="I297" s="214">
        <v>13100</v>
      </c>
      <c r="J297" s="214">
        <f t="shared" si="14"/>
        <v>13100</v>
      </c>
      <c r="K297" s="212" t="s">
        <v>6370</v>
      </c>
      <c r="L297" s="213"/>
      <c r="M297" s="212"/>
    </row>
    <row r="298" spans="1:13" ht="21" customHeight="1">
      <c r="A298" s="213" t="s">
        <v>6899</v>
      </c>
      <c r="B298" s="215">
        <f t="shared" si="12"/>
        <v>45681</v>
      </c>
      <c r="C298" s="213" t="s">
        <v>4379</v>
      </c>
      <c r="D298" s="213" t="s">
        <v>4369</v>
      </c>
      <c r="E298" s="213" t="s">
        <v>4499</v>
      </c>
      <c r="F298" s="212" t="s">
        <v>6517</v>
      </c>
      <c r="G298" s="212" t="str">
        <f t="shared" si="13"/>
        <v>811복리후생비(판)</v>
      </c>
      <c r="H298" s="214">
        <v>19754</v>
      </c>
      <c r="I298" s="214">
        <v>0</v>
      </c>
      <c r="J298" s="214">
        <f t="shared" si="14"/>
        <v>-19754</v>
      </c>
      <c r="K298" s="212" t="s">
        <v>6354</v>
      </c>
      <c r="L298" s="213"/>
      <c r="M298" s="212"/>
    </row>
    <row r="299" spans="1:13" ht="21" customHeight="1">
      <c r="A299" s="213" t="s">
        <v>6899</v>
      </c>
      <c r="B299" s="215">
        <f t="shared" si="12"/>
        <v>45681</v>
      </c>
      <c r="C299" s="213" t="s">
        <v>4379</v>
      </c>
      <c r="D299" s="213" t="s">
        <v>4366</v>
      </c>
      <c r="E299" s="213" t="s">
        <v>333</v>
      </c>
      <c r="F299" s="212" t="s">
        <v>4365</v>
      </c>
      <c r="G299" s="212" t="str">
        <f t="shared" si="13"/>
        <v>101현금</v>
      </c>
      <c r="H299" s="214">
        <v>0</v>
      </c>
      <c r="I299" s="214">
        <v>19754</v>
      </c>
      <c r="J299" s="214">
        <f t="shared" si="14"/>
        <v>19754</v>
      </c>
      <c r="K299" s="212" t="s">
        <v>6354</v>
      </c>
      <c r="L299" s="213"/>
      <c r="M299" s="212"/>
    </row>
    <row r="300" spans="1:13" ht="21" customHeight="1">
      <c r="A300" s="213" t="s">
        <v>6899</v>
      </c>
      <c r="B300" s="215">
        <f t="shared" si="12"/>
        <v>45681</v>
      </c>
      <c r="C300" s="213" t="s">
        <v>4367</v>
      </c>
      <c r="D300" s="213" t="s">
        <v>4366</v>
      </c>
      <c r="E300" s="213" t="s">
        <v>6176</v>
      </c>
      <c r="F300" s="212" t="s">
        <v>6177</v>
      </c>
      <c r="G300" s="212" t="str">
        <f t="shared" si="13"/>
        <v>255부가세예수금</v>
      </c>
      <c r="H300" s="214">
        <v>0</v>
      </c>
      <c r="I300" s="214">
        <v>10000</v>
      </c>
      <c r="J300" s="214">
        <f t="shared" si="14"/>
        <v>10000</v>
      </c>
      <c r="K300" s="212" t="s">
        <v>6245</v>
      </c>
      <c r="L300" s="213"/>
      <c r="M300" s="212" t="s">
        <v>6185</v>
      </c>
    </row>
    <row r="301" spans="1:13" ht="21" customHeight="1">
      <c r="A301" s="213" t="s">
        <v>6899</v>
      </c>
      <c r="B301" s="215">
        <f t="shared" si="12"/>
        <v>45681</v>
      </c>
      <c r="C301" s="213" t="s">
        <v>4367</v>
      </c>
      <c r="D301" s="213" t="s">
        <v>4366</v>
      </c>
      <c r="E301" s="213" t="s">
        <v>334</v>
      </c>
      <c r="F301" s="212" t="s">
        <v>6158</v>
      </c>
      <c r="G301" s="212" t="str">
        <f t="shared" si="13"/>
        <v>401용역매출</v>
      </c>
      <c r="H301" s="214">
        <v>0</v>
      </c>
      <c r="I301" s="214">
        <v>100000</v>
      </c>
      <c r="J301" s="214">
        <f t="shared" si="14"/>
        <v>100000</v>
      </c>
      <c r="K301" s="212" t="s">
        <v>6245</v>
      </c>
      <c r="L301" s="213"/>
      <c r="M301" s="212" t="s">
        <v>6185</v>
      </c>
    </row>
    <row r="302" spans="1:13" ht="21" customHeight="1">
      <c r="A302" s="213" t="s">
        <v>6899</v>
      </c>
      <c r="B302" s="215">
        <f t="shared" si="12"/>
        <v>45681</v>
      </c>
      <c r="C302" s="213" t="s">
        <v>4367</v>
      </c>
      <c r="D302" s="213" t="s">
        <v>4369</v>
      </c>
      <c r="E302" s="213" t="s">
        <v>333</v>
      </c>
      <c r="F302" s="212" t="s">
        <v>4365</v>
      </c>
      <c r="G302" s="212" t="str">
        <f t="shared" si="13"/>
        <v>101현금</v>
      </c>
      <c r="H302" s="214">
        <v>110000</v>
      </c>
      <c r="I302" s="214">
        <v>0</v>
      </c>
      <c r="J302" s="214">
        <f t="shared" si="14"/>
        <v>-110000</v>
      </c>
      <c r="K302" s="212" t="s">
        <v>6245</v>
      </c>
      <c r="L302" s="213"/>
      <c r="M302" s="212" t="s">
        <v>6185</v>
      </c>
    </row>
    <row r="303" spans="1:13" ht="21" customHeight="1">
      <c r="A303" s="213" t="s">
        <v>6899</v>
      </c>
      <c r="B303" s="215">
        <f t="shared" si="12"/>
        <v>45681</v>
      </c>
      <c r="C303" s="213" t="s">
        <v>4374</v>
      </c>
      <c r="D303" s="213" t="s">
        <v>4366</v>
      </c>
      <c r="E303" s="213" t="s">
        <v>6176</v>
      </c>
      <c r="F303" s="212" t="s">
        <v>6177</v>
      </c>
      <c r="G303" s="212" t="str">
        <f t="shared" si="13"/>
        <v>255부가세예수금</v>
      </c>
      <c r="H303" s="214">
        <v>0</v>
      </c>
      <c r="I303" s="214">
        <v>10000</v>
      </c>
      <c r="J303" s="214">
        <f t="shared" si="14"/>
        <v>10000</v>
      </c>
      <c r="K303" s="212" t="s">
        <v>6221</v>
      </c>
      <c r="L303" s="213"/>
      <c r="M303" s="212" t="s">
        <v>6185</v>
      </c>
    </row>
    <row r="304" spans="1:13" ht="21" customHeight="1">
      <c r="A304" s="213" t="s">
        <v>6899</v>
      </c>
      <c r="B304" s="215">
        <f t="shared" si="12"/>
        <v>45681</v>
      </c>
      <c r="C304" s="213" t="s">
        <v>4374</v>
      </c>
      <c r="D304" s="213" t="s">
        <v>4366</v>
      </c>
      <c r="E304" s="213" t="s">
        <v>334</v>
      </c>
      <c r="F304" s="212" t="s">
        <v>6158</v>
      </c>
      <c r="G304" s="212" t="str">
        <f t="shared" si="13"/>
        <v>401용역매출</v>
      </c>
      <c r="H304" s="214">
        <v>0</v>
      </c>
      <c r="I304" s="214">
        <v>100000</v>
      </c>
      <c r="J304" s="214">
        <f t="shared" si="14"/>
        <v>100000</v>
      </c>
      <c r="K304" s="212" t="s">
        <v>6221</v>
      </c>
      <c r="L304" s="213"/>
      <c r="M304" s="212" t="s">
        <v>6185</v>
      </c>
    </row>
    <row r="305" spans="1:13" ht="21" customHeight="1">
      <c r="A305" s="213" t="s">
        <v>6899</v>
      </c>
      <c r="B305" s="215">
        <f t="shared" si="12"/>
        <v>45681</v>
      </c>
      <c r="C305" s="213" t="s">
        <v>4374</v>
      </c>
      <c r="D305" s="213" t="s">
        <v>4369</v>
      </c>
      <c r="E305" s="213" t="s">
        <v>333</v>
      </c>
      <c r="F305" s="212" t="s">
        <v>4365</v>
      </c>
      <c r="G305" s="212" t="str">
        <f t="shared" si="13"/>
        <v>101현금</v>
      </c>
      <c r="H305" s="214">
        <v>110000</v>
      </c>
      <c r="I305" s="214">
        <v>0</v>
      </c>
      <c r="J305" s="214">
        <f t="shared" si="14"/>
        <v>-110000</v>
      </c>
      <c r="K305" s="212" t="s">
        <v>6221</v>
      </c>
      <c r="L305" s="213"/>
      <c r="M305" s="212" t="s">
        <v>6185</v>
      </c>
    </row>
    <row r="306" spans="1:13" ht="21" customHeight="1">
      <c r="A306" s="213" t="s">
        <v>6899</v>
      </c>
      <c r="B306" s="215">
        <f t="shared" si="12"/>
        <v>45681</v>
      </c>
      <c r="C306" s="213" t="s">
        <v>6182</v>
      </c>
      <c r="D306" s="213" t="s">
        <v>4366</v>
      </c>
      <c r="E306" s="213" t="s">
        <v>6176</v>
      </c>
      <c r="F306" s="212" t="s">
        <v>6177</v>
      </c>
      <c r="G306" s="212" t="str">
        <f t="shared" si="13"/>
        <v>255부가세예수금</v>
      </c>
      <c r="H306" s="214">
        <v>0</v>
      </c>
      <c r="I306" s="214">
        <v>11819</v>
      </c>
      <c r="J306" s="214">
        <f t="shared" si="14"/>
        <v>11819</v>
      </c>
      <c r="K306" s="212" t="s">
        <v>6220</v>
      </c>
      <c r="L306" s="213"/>
      <c r="M306" s="212" t="s">
        <v>6362</v>
      </c>
    </row>
    <row r="307" spans="1:13" ht="21" customHeight="1">
      <c r="A307" s="213" t="s">
        <v>6899</v>
      </c>
      <c r="B307" s="215">
        <f t="shared" si="12"/>
        <v>45681</v>
      </c>
      <c r="C307" s="213" t="s">
        <v>6182</v>
      </c>
      <c r="D307" s="213" t="s">
        <v>4366</v>
      </c>
      <c r="E307" s="213" t="s">
        <v>334</v>
      </c>
      <c r="F307" s="212" t="s">
        <v>6158</v>
      </c>
      <c r="G307" s="212" t="str">
        <f t="shared" si="13"/>
        <v>401용역매출</v>
      </c>
      <c r="H307" s="214">
        <v>0</v>
      </c>
      <c r="I307" s="214">
        <v>118181</v>
      </c>
      <c r="J307" s="214">
        <f t="shared" si="14"/>
        <v>118181</v>
      </c>
      <c r="K307" s="212" t="s">
        <v>6220</v>
      </c>
      <c r="L307" s="213"/>
      <c r="M307" s="212" t="s">
        <v>6362</v>
      </c>
    </row>
    <row r="308" spans="1:13" ht="21" customHeight="1">
      <c r="A308" s="213" t="s">
        <v>6899</v>
      </c>
      <c r="B308" s="215">
        <f t="shared" si="12"/>
        <v>45681</v>
      </c>
      <c r="C308" s="213" t="s">
        <v>6182</v>
      </c>
      <c r="D308" s="213" t="s">
        <v>4369</v>
      </c>
      <c r="E308" s="213" t="s">
        <v>333</v>
      </c>
      <c r="F308" s="212" t="s">
        <v>4365</v>
      </c>
      <c r="G308" s="212" t="str">
        <f t="shared" si="13"/>
        <v>101현금</v>
      </c>
      <c r="H308" s="214">
        <v>130000</v>
      </c>
      <c r="I308" s="214">
        <v>0</v>
      </c>
      <c r="J308" s="214">
        <f t="shared" si="14"/>
        <v>-130000</v>
      </c>
      <c r="K308" s="212" t="s">
        <v>6220</v>
      </c>
      <c r="L308" s="213"/>
      <c r="M308" s="212" t="s">
        <v>6362</v>
      </c>
    </row>
    <row r="309" spans="1:13" ht="21" customHeight="1">
      <c r="A309" s="213" t="s">
        <v>6899</v>
      </c>
      <c r="B309" s="215">
        <f t="shared" si="12"/>
        <v>45681</v>
      </c>
      <c r="C309" s="213" t="s">
        <v>6184</v>
      </c>
      <c r="D309" s="213" t="s">
        <v>4366</v>
      </c>
      <c r="E309" s="213" t="s">
        <v>6176</v>
      </c>
      <c r="F309" s="212" t="s">
        <v>6177</v>
      </c>
      <c r="G309" s="212" t="str">
        <f t="shared" si="13"/>
        <v>255부가세예수금</v>
      </c>
      <c r="H309" s="214">
        <v>0</v>
      </c>
      <c r="I309" s="214">
        <v>10000</v>
      </c>
      <c r="J309" s="214">
        <f t="shared" si="14"/>
        <v>10000</v>
      </c>
      <c r="K309" s="212" t="s">
        <v>6226</v>
      </c>
      <c r="L309" s="213"/>
      <c r="M309" s="212" t="s">
        <v>6185</v>
      </c>
    </row>
    <row r="310" spans="1:13" ht="21" customHeight="1">
      <c r="A310" s="213" t="s">
        <v>6899</v>
      </c>
      <c r="B310" s="215">
        <f t="shared" si="12"/>
        <v>45681</v>
      </c>
      <c r="C310" s="213" t="s">
        <v>6184</v>
      </c>
      <c r="D310" s="213" t="s">
        <v>4366</v>
      </c>
      <c r="E310" s="213" t="s">
        <v>334</v>
      </c>
      <c r="F310" s="212" t="s">
        <v>6158</v>
      </c>
      <c r="G310" s="212" t="str">
        <f t="shared" si="13"/>
        <v>401용역매출</v>
      </c>
      <c r="H310" s="214">
        <v>0</v>
      </c>
      <c r="I310" s="214">
        <v>100000</v>
      </c>
      <c r="J310" s="214">
        <f t="shared" si="14"/>
        <v>100000</v>
      </c>
      <c r="K310" s="212" t="s">
        <v>6226</v>
      </c>
      <c r="L310" s="213"/>
      <c r="M310" s="212" t="s">
        <v>6185</v>
      </c>
    </row>
    <row r="311" spans="1:13" ht="21" customHeight="1">
      <c r="A311" s="213" t="s">
        <v>6899</v>
      </c>
      <c r="B311" s="215">
        <f t="shared" si="12"/>
        <v>45681</v>
      </c>
      <c r="C311" s="213" t="s">
        <v>6184</v>
      </c>
      <c r="D311" s="213" t="s">
        <v>4369</v>
      </c>
      <c r="E311" s="213" t="s">
        <v>333</v>
      </c>
      <c r="F311" s="212" t="s">
        <v>4365</v>
      </c>
      <c r="G311" s="212" t="str">
        <f t="shared" si="13"/>
        <v>101현금</v>
      </c>
      <c r="H311" s="214">
        <v>110000</v>
      </c>
      <c r="I311" s="214">
        <v>0</v>
      </c>
      <c r="J311" s="214">
        <f t="shared" si="14"/>
        <v>-110000</v>
      </c>
      <c r="K311" s="212" t="s">
        <v>6226</v>
      </c>
      <c r="L311" s="213"/>
      <c r="M311" s="212" t="s">
        <v>6185</v>
      </c>
    </row>
    <row r="312" spans="1:13" ht="21" customHeight="1">
      <c r="A312" s="213" t="s">
        <v>6899</v>
      </c>
      <c r="B312" s="215">
        <f t="shared" si="12"/>
        <v>45681</v>
      </c>
      <c r="C312" s="213" t="s">
        <v>6186</v>
      </c>
      <c r="D312" s="213" t="s">
        <v>4366</v>
      </c>
      <c r="E312" s="213" t="s">
        <v>6176</v>
      </c>
      <c r="F312" s="212" t="s">
        <v>6177</v>
      </c>
      <c r="G312" s="212" t="str">
        <f t="shared" si="13"/>
        <v>255부가세예수금</v>
      </c>
      <c r="H312" s="214">
        <v>0</v>
      </c>
      <c r="I312" s="214">
        <v>15000</v>
      </c>
      <c r="J312" s="214">
        <f t="shared" si="14"/>
        <v>15000</v>
      </c>
      <c r="K312" s="212" t="s">
        <v>6360</v>
      </c>
      <c r="L312" s="213"/>
      <c r="M312" s="212" t="s">
        <v>6179</v>
      </c>
    </row>
    <row r="313" spans="1:13" ht="21" customHeight="1">
      <c r="A313" s="213" t="s">
        <v>6899</v>
      </c>
      <c r="B313" s="215">
        <f t="shared" si="12"/>
        <v>45681</v>
      </c>
      <c r="C313" s="213" t="s">
        <v>6186</v>
      </c>
      <c r="D313" s="213" t="s">
        <v>4366</v>
      </c>
      <c r="E313" s="213" t="s">
        <v>334</v>
      </c>
      <c r="F313" s="212" t="s">
        <v>6158</v>
      </c>
      <c r="G313" s="212" t="str">
        <f t="shared" si="13"/>
        <v>401용역매출</v>
      </c>
      <c r="H313" s="214">
        <v>0</v>
      </c>
      <c r="I313" s="214">
        <v>150000</v>
      </c>
      <c r="J313" s="214">
        <f t="shared" si="14"/>
        <v>150000</v>
      </c>
      <c r="K313" s="212" t="s">
        <v>6360</v>
      </c>
      <c r="L313" s="213"/>
      <c r="M313" s="212" t="s">
        <v>6179</v>
      </c>
    </row>
    <row r="314" spans="1:13" ht="21" customHeight="1">
      <c r="A314" s="213" t="s">
        <v>6899</v>
      </c>
      <c r="B314" s="215">
        <f t="shared" si="12"/>
        <v>45681</v>
      </c>
      <c r="C314" s="213" t="s">
        <v>6186</v>
      </c>
      <c r="D314" s="213" t="s">
        <v>4369</v>
      </c>
      <c r="E314" s="213" t="s">
        <v>333</v>
      </c>
      <c r="F314" s="212" t="s">
        <v>4365</v>
      </c>
      <c r="G314" s="212" t="str">
        <f t="shared" si="13"/>
        <v>101현금</v>
      </c>
      <c r="H314" s="214">
        <v>165000</v>
      </c>
      <c r="I314" s="214">
        <v>0</v>
      </c>
      <c r="J314" s="214">
        <f t="shared" si="14"/>
        <v>-165000</v>
      </c>
      <c r="K314" s="212" t="s">
        <v>6360</v>
      </c>
      <c r="L314" s="213"/>
      <c r="M314" s="212" t="s">
        <v>6179</v>
      </c>
    </row>
    <row r="315" spans="1:13" ht="21" customHeight="1">
      <c r="A315" s="213" t="s">
        <v>6899</v>
      </c>
      <c r="B315" s="215">
        <f t="shared" si="12"/>
        <v>45681</v>
      </c>
      <c r="C315" s="213" t="s">
        <v>6189</v>
      </c>
      <c r="D315" s="213" t="s">
        <v>4366</v>
      </c>
      <c r="E315" s="213" t="s">
        <v>6176</v>
      </c>
      <c r="F315" s="212" t="s">
        <v>6177</v>
      </c>
      <c r="G315" s="212" t="str">
        <f t="shared" si="13"/>
        <v>255부가세예수금</v>
      </c>
      <c r="H315" s="214">
        <v>0</v>
      </c>
      <c r="I315" s="214">
        <v>15000</v>
      </c>
      <c r="J315" s="214">
        <f t="shared" si="14"/>
        <v>15000</v>
      </c>
      <c r="K315" s="212" t="s">
        <v>6372</v>
      </c>
      <c r="L315" s="213"/>
      <c r="M315" s="212" t="s">
        <v>6179</v>
      </c>
    </row>
    <row r="316" spans="1:13" ht="21" customHeight="1">
      <c r="A316" s="213" t="s">
        <v>6899</v>
      </c>
      <c r="B316" s="215">
        <f t="shared" si="12"/>
        <v>45681</v>
      </c>
      <c r="C316" s="213" t="s">
        <v>6189</v>
      </c>
      <c r="D316" s="213" t="s">
        <v>4366</v>
      </c>
      <c r="E316" s="213" t="s">
        <v>334</v>
      </c>
      <c r="F316" s="212" t="s">
        <v>6158</v>
      </c>
      <c r="G316" s="212" t="str">
        <f t="shared" si="13"/>
        <v>401용역매출</v>
      </c>
      <c r="H316" s="214">
        <v>0</v>
      </c>
      <c r="I316" s="214">
        <v>150000</v>
      </c>
      <c r="J316" s="214">
        <f t="shared" si="14"/>
        <v>150000</v>
      </c>
      <c r="K316" s="212" t="s">
        <v>6372</v>
      </c>
      <c r="L316" s="213"/>
      <c r="M316" s="212" t="s">
        <v>6179</v>
      </c>
    </row>
    <row r="317" spans="1:13" ht="21" customHeight="1">
      <c r="A317" s="213" t="s">
        <v>6899</v>
      </c>
      <c r="B317" s="215">
        <f t="shared" si="12"/>
        <v>45681</v>
      </c>
      <c r="C317" s="213" t="s">
        <v>6189</v>
      </c>
      <c r="D317" s="213" t="s">
        <v>4369</v>
      </c>
      <c r="E317" s="213" t="s">
        <v>333</v>
      </c>
      <c r="F317" s="212" t="s">
        <v>4365</v>
      </c>
      <c r="G317" s="212" t="str">
        <f t="shared" si="13"/>
        <v>101현금</v>
      </c>
      <c r="H317" s="214">
        <v>165000</v>
      </c>
      <c r="I317" s="214">
        <v>0</v>
      </c>
      <c r="J317" s="214">
        <f t="shared" si="14"/>
        <v>-165000</v>
      </c>
      <c r="K317" s="212" t="s">
        <v>6372</v>
      </c>
      <c r="L317" s="213"/>
      <c r="M317" s="212" t="s">
        <v>6179</v>
      </c>
    </row>
    <row r="318" spans="1:13" ht="21" customHeight="1">
      <c r="A318" s="213" t="s">
        <v>6899</v>
      </c>
      <c r="B318" s="215">
        <f t="shared" si="12"/>
        <v>45681</v>
      </c>
      <c r="C318" s="213" t="s">
        <v>6191</v>
      </c>
      <c r="D318" s="213" t="s">
        <v>4366</v>
      </c>
      <c r="E318" s="213" t="s">
        <v>6176</v>
      </c>
      <c r="F318" s="212" t="s">
        <v>6177</v>
      </c>
      <c r="G318" s="212" t="str">
        <f t="shared" si="13"/>
        <v>255부가세예수금</v>
      </c>
      <c r="H318" s="214">
        <v>0</v>
      </c>
      <c r="I318" s="214">
        <v>10000</v>
      </c>
      <c r="J318" s="214">
        <f t="shared" si="14"/>
        <v>10000</v>
      </c>
      <c r="K318" s="212" t="s">
        <v>6279</v>
      </c>
      <c r="L318" s="213"/>
      <c r="M318" s="212" t="s">
        <v>6185</v>
      </c>
    </row>
    <row r="319" spans="1:13" ht="21" customHeight="1">
      <c r="A319" s="213" t="s">
        <v>6899</v>
      </c>
      <c r="B319" s="215">
        <f t="shared" si="12"/>
        <v>45681</v>
      </c>
      <c r="C319" s="213" t="s">
        <v>6191</v>
      </c>
      <c r="D319" s="213" t="s">
        <v>4366</v>
      </c>
      <c r="E319" s="213" t="s">
        <v>334</v>
      </c>
      <c r="F319" s="212" t="s">
        <v>6158</v>
      </c>
      <c r="G319" s="212" t="str">
        <f t="shared" si="13"/>
        <v>401용역매출</v>
      </c>
      <c r="H319" s="214">
        <v>0</v>
      </c>
      <c r="I319" s="214">
        <v>100000</v>
      </c>
      <c r="J319" s="214">
        <f t="shared" si="14"/>
        <v>100000</v>
      </c>
      <c r="K319" s="212" t="s">
        <v>6279</v>
      </c>
      <c r="L319" s="213"/>
      <c r="M319" s="212" t="s">
        <v>6185</v>
      </c>
    </row>
    <row r="320" spans="1:13" ht="21" customHeight="1">
      <c r="A320" s="213" t="s">
        <v>6899</v>
      </c>
      <c r="B320" s="215">
        <f t="shared" si="12"/>
        <v>45681</v>
      </c>
      <c r="C320" s="213" t="s">
        <v>6191</v>
      </c>
      <c r="D320" s="213" t="s">
        <v>4369</v>
      </c>
      <c r="E320" s="213" t="s">
        <v>333</v>
      </c>
      <c r="F320" s="212" t="s">
        <v>4365</v>
      </c>
      <c r="G320" s="212" t="str">
        <f t="shared" si="13"/>
        <v>101현금</v>
      </c>
      <c r="H320" s="214">
        <v>110000</v>
      </c>
      <c r="I320" s="214">
        <v>0</v>
      </c>
      <c r="J320" s="214">
        <f t="shared" si="14"/>
        <v>-110000</v>
      </c>
      <c r="K320" s="212" t="s">
        <v>6279</v>
      </c>
      <c r="L320" s="213"/>
      <c r="M320" s="212" t="s">
        <v>6185</v>
      </c>
    </row>
    <row r="321" spans="1:13" ht="21" customHeight="1">
      <c r="A321" s="217" t="s">
        <v>6898</v>
      </c>
      <c r="B321" s="215">
        <f t="shared" si="12"/>
        <v>45682</v>
      </c>
      <c r="C321" s="213" t="s">
        <v>4373</v>
      </c>
      <c r="D321" s="213" t="s">
        <v>4369</v>
      </c>
      <c r="E321" s="213" t="s">
        <v>4383</v>
      </c>
      <c r="F321" s="212" t="s">
        <v>6525</v>
      </c>
      <c r="G321" s="212" t="str">
        <f t="shared" si="13"/>
        <v>830소모품비(판)</v>
      </c>
      <c r="H321" s="214">
        <v>9400</v>
      </c>
      <c r="I321" s="214">
        <v>0</v>
      </c>
      <c r="J321" s="214">
        <f t="shared" si="14"/>
        <v>-9400</v>
      </c>
      <c r="K321" s="212" t="s">
        <v>6198</v>
      </c>
      <c r="L321" s="213"/>
      <c r="M321" s="212"/>
    </row>
    <row r="322" spans="1:13" ht="21" customHeight="1">
      <c r="A322" s="217" t="s">
        <v>6898</v>
      </c>
      <c r="B322" s="215">
        <f t="shared" ref="B322:B385" si="15">DATEVALUE(A322)</f>
        <v>45682</v>
      </c>
      <c r="C322" s="213" t="s">
        <v>4373</v>
      </c>
      <c r="D322" s="213" t="s">
        <v>4366</v>
      </c>
      <c r="E322" s="213" t="s">
        <v>333</v>
      </c>
      <c r="F322" s="212" t="s">
        <v>4365</v>
      </c>
      <c r="G322" s="212" t="str">
        <f t="shared" ref="G322:G385" si="16">E322&amp;F322</f>
        <v>101현금</v>
      </c>
      <c r="H322" s="214">
        <v>0</v>
      </c>
      <c r="I322" s="214">
        <v>9400</v>
      </c>
      <c r="J322" s="214">
        <f t="shared" ref="J322:J385" si="17">I322-H322</f>
        <v>9400</v>
      </c>
      <c r="K322" s="212" t="s">
        <v>6370</v>
      </c>
      <c r="L322" s="213"/>
      <c r="M322" s="212"/>
    </row>
    <row r="323" spans="1:13" ht="21" customHeight="1">
      <c r="A323" s="216" t="s">
        <v>6894</v>
      </c>
      <c r="B323" s="215">
        <f t="shared" si="15"/>
        <v>45683</v>
      </c>
      <c r="C323" s="213" t="s">
        <v>4373</v>
      </c>
      <c r="D323" s="217" t="s">
        <v>4510</v>
      </c>
      <c r="E323" s="213" t="s">
        <v>1791</v>
      </c>
      <c r="F323" s="212" t="s">
        <v>6319</v>
      </c>
      <c r="G323" s="212" t="str">
        <f t="shared" si="16"/>
        <v>261미지급세금</v>
      </c>
      <c r="H323" s="214">
        <v>3926480</v>
      </c>
      <c r="I323" s="214">
        <v>0</v>
      </c>
      <c r="J323" s="214">
        <f t="shared" si="17"/>
        <v>-3926480</v>
      </c>
      <c r="K323" s="212" t="s">
        <v>6299</v>
      </c>
      <c r="L323" s="213" t="s">
        <v>1347</v>
      </c>
      <c r="M323" s="212" t="s">
        <v>6482</v>
      </c>
    </row>
    <row r="324" spans="1:13" ht="21" customHeight="1">
      <c r="A324" s="216" t="s">
        <v>6894</v>
      </c>
      <c r="B324" s="215">
        <f t="shared" si="15"/>
        <v>45683</v>
      </c>
      <c r="C324" s="213" t="s">
        <v>4373</v>
      </c>
      <c r="D324" s="217" t="s">
        <v>4510</v>
      </c>
      <c r="E324" s="213" t="s">
        <v>333</v>
      </c>
      <c r="F324" s="212" t="s">
        <v>4365</v>
      </c>
      <c r="G324" s="212" t="str">
        <f t="shared" si="16"/>
        <v>101현금</v>
      </c>
      <c r="H324" s="214">
        <v>0</v>
      </c>
      <c r="I324" s="214">
        <v>3926480</v>
      </c>
      <c r="J324" s="214">
        <f t="shared" si="17"/>
        <v>3926480</v>
      </c>
      <c r="K324" s="212" t="s">
        <v>6299</v>
      </c>
      <c r="L324" s="213" t="s">
        <v>1347</v>
      </c>
      <c r="M324" s="212" t="s">
        <v>6482</v>
      </c>
    </row>
    <row r="325" spans="1:13" ht="21" customHeight="1">
      <c r="A325" s="216" t="s">
        <v>6894</v>
      </c>
      <c r="B325" s="215">
        <f t="shared" si="15"/>
        <v>45683</v>
      </c>
      <c r="C325" s="213" t="s">
        <v>4382</v>
      </c>
      <c r="D325" s="217" t="s">
        <v>4510</v>
      </c>
      <c r="E325" s="213" t="s">
        <v>4507</v>
      </c>
      <c r="F325" s="212" t="s">
        <v>6468</v>
      </c>
      <c r="G325" s="212" t="str">
        <f t="shared" si="16"/>
        <v>817세금과공과금(판)</v>
      </c>
      <c r="H325" s="214">
        <v>414580</v>
      </c>
      <c r="I325" s="214">
        <v>0</v>
      </c>
      <c r="J325" s="214">
        <f t="shared" si="17"/>
        <v>-414580</v>
      </c>
      <c r="K325" s="212" t="s">
        <v>6363</v>
      </c>
      <c r="L325" s="213" t="s">
        <v>6411</v>
      </c>
      <c r="M325" s="212" t="s">
        <v>6897</v>
      </c>
    </row>
    <row r="326" spans="1:13" ht="21" customHeight="1">
      <c r="A326" s="216" t="s">
        <v>6894</v>
      </c>
      <c r="B326" s="215">
        <f t="shared" si="15"/>
        <v>45683</v>
      </c>
      <c r="C326" s="213" t="s">
        <v>4382</v>
      </c>
      <c r="D326" s="217" t="s">
        <v>4510</v>
      </c>
      <c r="E326" s="213" t="s">
        <v>333</v>
      </c>
      <c r="F326" s="212" t="s">
        <v>4365</v>
      </c>
      <c r="G326" s="212" t="str">
        <f t="shared" si="16"/>
        <v>101현금</v>
      </c>
      <c r="H326" s="214">
        <v>0</v>
      </c>
      <c r="I326" s="214">
        <v>414580</v>
      </c>
      <c r="J326" s="214">
        <f t="shared" si="17"/>
        <v>414580</v>
      </c>
      <c r="K326" s="212" t="s">
        <v>6363</v>
      </c>
      <c r="L326" s="213" t="s">
        <v>6411</v>
      </c>
      <c r="M326" s="212" t="s">
        <v>6897</v>
      </c>
    </row>
    <row r="327" spans="1:13" ht="21" customHeight="1">
      <c r="A327" s="216" t="s">
        <v>6894</v>
      </c>
      <c r="B327" s="215">
        <f t="shared" si="15"/>
        <v>45683</v>
      </c>
      <c r="C327" s="213" t="s">
        <v>4381</v>
      </c>
      <c r="D327" s="217" t="s">
        <v>4510</v>
      </c>
      <c r="E327" s="213" t="s">
        <v>4507</v>
      </c>
      <c r="F327" s="212" t="s">
        <v>6468</v>
      </c>
      <c r="G327" s="212" t="str">
        <f t="shared" si="16"/>
        <v>817세금과공과금(판)</v>
      </c>
      <c r="H327" s="214">
        <v>580410</v>
      </c>
      <c r="I327" s="214">
        <v>0</v>
      </c>
      <c r="J327" s="214">
        <f t="shared" si="17"/>
        <v>-580410</v>
      </c>
      <c r="K327" s="212" t="s">
        <v>6363</v>
      </c>
      <c r="L327" s="213" t="s">
        <v>6411</v>
      </c>
      <c r="M327" s="212" t="s">
        <v>6896</v>
      </c>
    </row>
    <row r="328" spans="1:13" ht="21" customHeight="1">
      <c r="A328" s="216" t="s">
        <v>6894</v>
      </c>
      <c r="B328" s="215">
        <f t="shared" si="15"/>
        <v>45683</v>
      </c>
      <c r="C328" s="213" t="s">
        <v>4381</v>
      </c>
      <c r="D328" s="217" t="s">
        <v>4510</v>
      </c>
      <c r="E328" s="213" t="s">
        <v>333</v>
      </c>
      <c r="F328" s="212" t="s">
        <v>4365</v>
      </c>
      <c r="G328" s="212" t="str">
        <f t="shared" si="16"/>
        <v>101현금</v>
      </c>
      <c r="H328" s="214">
        <v>0</v>
      </c>
      <c r="I328" s="214">
        <v>580410</v>
      </c>
      <c r="J328" s="214">
        <f t="shared" si="17"/>
        <v>580410</v>
      </c>
      <c r="K328" s="212" t="s">
        <v>6363</v>
      </c>
      <c r="L328" s="213" t="s">
        <v>6411</v>
      </c>
      <c r="M328" s="212" t="s">
        <v>6896</v>
      </c>
    </row>
    <row r="329" spans="1:13" ht="21" customHeight="1">
      <c r="A329" s="216" t="s">
        <v>6894</v>
      </c>
      <c r="B329" s="215">
        <f t="shared" si="15"/>
        <v>45683</v>
      </c>
      <c r="C329" s="213" t="s">
        <v>4379</v>
      </c>
      <c r="D329" s="213" t="s">
        <v>4369</v>
      </c>
      <c r="E329" s="213" t="s">
        <v>4499</v>
      </c>
      <c r="F329" s="212" t="s">
        <v>6517</v>
      </c>
      <c r="G329" s="212" t="str">
        <f t="shared" si="16"/>
        <v>811복리후생비(판)</v>
      </c>
      <c r="H329" s="214">
        <v>3000</v>
      </c>
      <c r="I329" s="214">
        <v>0</v>
      </c>
      <c r="J329" s="214">
        <f t="shared" si="17"/>
        <v>-3000</v>
      </c>
      <c r="K329" s="212" t="s">
        <v>6288</v>
      </c>
      <c r="L329" s="213"/>
      <c r="M329" s="212"/>
    </row>
    <row r="330" spans="1:13" ht="21" customHeight="1">
      <c r="A330" s="216" t="s">
        <v>6894</v>
      </c>
      <c r="B330" s="215">
        <f t="shared" si="15"/>
        <v>45683</v>
      </c>
      <c r="C330" s="213" t="s">
        <v>4379</v>
      </c>
      <c r="D330" s="213" t="s">
        <v>4366</v>
      </c>
      <c r="E330" s="213" t="s">
        <v>333</v>
      </c>
      <c r="F330" s="212" t="s">
        <v>4365</v>
      </c>
      <c r="G330" s="212" t="str">
        <f t="shared" si="16"/>
        <v>101현금</v>
      </c>
      <c r="H330" s="214">
        <v>0</v>
      </c>
      <c r="I330" s="214">
        <v>3000</v>
      </c>
      <c r="J330" s="214">
        <f t="shared" si="17"/>
        <v>3000</v>
      </c>
      <c r="K330" s="212" t="s">
        <v>6369</v>
      </c>
      <c r="L330" s="213"/>
      <c r="M330" s="212"/>
    </row>
    <row r="331" spans="1:13" ht="21" customHeight="1">
      <c r="A331" s="216" t="s">
        <v>6894</v>
      </c>
      <c r="B331" s="215">
        <f t="shared" si="15"/>
        <v>45683</v>
      </c>
      <c r="C331" s="213" t="s">
        <v>4385</v>
      </c>
      <c r="D331" s="213" t="s">
        <v>4369</v>
      </c>
      <c r="E331" s="213" t="s">
        <v>4383</v>
      </c>
      <c r="F331" s="212" t="s">
        <v>6525</v>
      </c>
      <c r="G331" s="212" t="str">
        <f t="shared" si="16"/>
        <v>830소모품비(판)</v>
      </c>
      <c r="H331" s="214">
        <v>5500</v>
      </c>
      <c r="I331" s="214">
        <v>0</v>
      </c>
      <c r="J331" s="214">
        <f t="shared" si="17"/>
        <v>-5500</v>
      </c>
      <c r="K331" s="212" t="s">
        <v>6198</v>
      </c>
      <c r="L331" s="213"/>
      <c r="M331" s="212"/>
    </row>
    <row r="332" spans="1:13" ht="21" customHeight="1">
      <c r="A332" s="216" t="s">
        <v>6894</v>
      </c>
      <c r="B332" s="215">
        <f t="shared" si="15"/>
        <v>45683</v>
      </c>
      <c r="C332" s="213" t="s">
        <v>4385</v>
      </c>
      <c r="D332" s="213" t="s">
        <v>4366</v>
      </c>
      <c r="E332" s="213" t="s">
        <v>333</v>
      </c>
      <c r="F332" s="212" t="s">
        <v>4365</v>
      </c>
      <c r="G332" s="212" t="str">
        <f t="shared" si="16"/>
        <v>101현금</v>
      </c>
      <c r="H332" s="214">
        <v>0</v>
      </c>
      <c r="I332" s="214">
        <v>5500</v>
      </c>
      <c r="J332" s="214">
        <f t="shared" si="17"/>
        <v>5500</v>
      </c>
      <c r="K332" s="212" t="s">
        <v>6369</v>
      </c>
      <c r="L332" s="213"/>
      <c r="M332" s="212"/>
    </row>
    <row r="333" spans="1:13" ht="21" customHeight="1">
      <c r="A333" s="216" t="s">
        <v>6894</v>
      </c>
      <c r="B333" s="215">
        <f t="shared" si="15"/>
        <v>45683</v>
      </c>
      <c r="C333" s="213" t="s">
        <v>4501</v>
      </c>
      <c r="D333" s="213" t="s">
        <v>4369</v>
      </c>
      <c r="E333" s="213" t="s">
        <v>4380</v>
      </c>
      <c r="F333" s="212" t="s">
        <v>6515</v>
      </c>
      <c r="G333" s="212" t="str">
        <f t="shared" si="16"/>
        <v>812여비교통비(판)</v>
      </c>
      <c r="H333" s="214">
        <v>5300</v>
      </c>
      <c r="I333" s="214">
        <v>0</v>
      </c>
      <c r="J333" s="214">
        <f t="shared" si="17"/>
        <v>-5300</v>
      </c>
      <c r="K333" s="212" t="s">
        <v>6895</v>
      </c>
      <c r="L333" s="213"/>
      <c r="M333" s="212"/>
    </row>
    <row r="334" spans="1:13" ht="21" customHeight="1">
      <c r="A334" s="216" t="s">
        <v>6894</v>
      </c>
      <c r="B334" s="215">
        <f t="shared" si="15"/>
        <v>45683</v>
      </c>
      <c r="C334" s="213" t="s">
        <v>4501</v>
      </c>
      <c r="D334" s="213" t="s">
        <v>4366</v>
      </c>
      <c r="E334" s="213" t="s">
        <v>333</v>
      </c>
      <c r="F334" s="212" t="s">
        <v>4365</v>
      </c>
      <c r="G334" s="212" t="str">
        <f t="shared" si="16"/>
        <v>101현금</v>
      </c>
      <c r="H334" s="214">
        <v>0</v>
      </c>
      <c r="I334" s="214">
        <v>5300</v>
      </c>
      <c r="J334" s="214">
        <f t="shared" si="17"/>
        <v>5300</v>
      </c>
      <c r="K334" s="212" t="s">
        <v>6370</v>
      </c>
      <c r="L334" s="213"/>
      <c r="M334" s="212"/>
    </row>
    <row r="335" spans="1:13" ht="21" customHeight="1">
      <c r="A335" s="216" t="s">
        <v>6892</v>
      </c>
      <c r="B335" s="215">
        <f t="shared" si="15"/>
        <v>45684</v>
      </c>
      <c r="C335" s="213" t="s">
        <v>4373</v>
      </c>
      <c r="D335" s="213" t="s">
        <v>4366</v>
      </c>
      <c r="E335" s="213" t="s">
        <v>333</v>
      </c>
      <c r="F335" s="212" t="s">
        <v>4365</v>
      </c>
      <c r="G335" s="212" t="str">
        <f t="shared" si="16"/>
        <v>101현금</v>
      </c>
      <c r="H335" s="214">
        <v>0</v>
      </c>
      <c r="I335" s="214">
        <v>4000</v>
      </c>
      <c r="J335" s="214">
        <f t="shared" si="17"/>
        <v>4000</v>
      </c>
      <c r="K335" s="212" t="s">
        <v>6370</v>
      </c>
      <c r="L335" s="213"/>
      <c r="M335" s="212"/>
    </row>
    <row r="336" spans="1:13" ht="21" customHeight="1">
      <c r="A336" s="216" t="s">
        <v>6892</v>
      </c>
      <c r="B336" s="215">
        <f t="shared" si="15"/>
        <v>45684</v>
      </c>
      <c r="C336" s="213" t="s">
        <v>4373</v>
      </c>
      <c r="D336" s="213" t="s">
        <v>4369</v>
      </c>
      <c r="E336" s="213" t="s">
        <v>4380</v>
      </c>
      <c r="F336" s="212" t="s">
        <v>6515</v>
      </c>
      <c r="G336" s="212" t="str">
        <f t="shared" si="16"/>
        <v>812여비교통비(판)</v>
      </c>
      <c r="H336" s="214">
        <v>4000</v>
      </c>
      <c r="I336" s="214">
        <v>0</v>
      </c>
      <c r="J336" s="214">
        <f t="shared" si="17"/>
        <v>-4000</v>
      </c>
      <c r="K336" s="212" t="s">
        <v>6893</v>
      </c>
      <c r="L336" s="213"/>
      <c r="M336" s="212"/>
    </row>
    <row r="337" spans="1:13" ht="21" customHeight="1">
      <c r="A337" s="216" t="s">
        <v>6892</v>
      </c>
      <c r="B337" s="215">
        <f t="shared" si="15"/>
        <v>45684</v>
      </c>
      <c r="C337" s="213" t="s">
        <v>4382</v>
      </c>
      <c r="D337" s="213" t="s">
        <v>4369</v>
      </c>
      <c r="E337" s="213" t="s">
        <v>4368</v>
      </c>
      <c r="F337" s="212" t="s">
        <v>6388</v>
      </c>
      <c r="G337" s="212" t="str">
        <f t="shared" si="16"/>
        <v>831지급수수료(판)</v>
      </c>
      <c r="H337" s="214">
        <v>5000</v>
      </c>
      <c r="I337" s="214">
        <v>0</v>
      </c>
      <c r="J337" s="214">
        <f t="shared" si="17"/>
        <v>-5000</v>
      </c>
      <c r="K337" s="212" t="s">
        <v>6351</v>
      </c>
      <c r="L337" s="213"/>
      <c r="M337" s="212"/>
    </row>
    <row r="338" spans="1:13" ht="21" customHeight="1">
      <c r="A338" s="216" t="s">
        <v>6892</v>
      </c>
      <c r="B338" s="215">
        <f t="shared" si="15"/>
        <v>45684</v>
      </c>
      <c r="C338" s="213" t="s">
        <v>4382</v>
      </c>
      <c r="D338" s="213" t="s">
        <v>4366</v>
      </c>
      <c r="E338" s="213" t="s">
        <v>333</v>
      </c>
      <c r="F338" s="212" t="s">
        <v>4365</v>
      </c>
      <c r="G338" s="212" t="str">
        <f t="shared" si="16"/>
        <v>101현금</v>
      </c>
      <c r="H338" s="214">
        <v>0</v>
      </c>
      <c r="I338" s="214">
        <v>5000</v>
      </c>
      <c r="J338" s="214">
        <f t="shared" si="17"/>
        <v>5000</v>
      </c>
      <c r="K338" s="212" t="s">
        <v>6369</v>
      </c>
      <c r="L338" s="213"/>
      <c r="M338" s="212"/>
    </row>
    <row r="339" spans="1:13" ht="21" customHeight="1">
      <c r="A339" s="216" t="s">
        <v>6892</v>
      </c>
      <c r="B339" s="215">
        <f t="shared" si="15"/>
        <v>45684</v>
      </c>
      <c r="C339" s="213" t="s">
        <v>4367</v>
      </c>
      <c r="D339" s="213" t="s">
        <v>4369</v>
      </c>
      <c r="E339" s="213" t="s">
        <v>4371</v>
      </c>
      <c r="F339" s="212" t="s">
        <v>4370</v>
      </c>
      <c r="G339" s="212" t="str">
        <f t="shared" si="16"/>
        <v>135부가세대급금</v>
      </c>
      <c r="H339" s="214">
        <v>336</v>
      </c>
      <c r="I339" s="214">
        <v>0</v>
      </c>
      <c r="J339" s="214">
        <f t="shared" si="17"/>
        <v>-336</v>
      </c>
      <c r="K339" s="212" t="s">
        <v>6643</v>
      </c>
      <c r="L339" s="213"/>
      <c r="M339" s="212"/>
    </row>
    <row r="340" spans="1:13" ht="21" customHeight="1">
      <c r="A340" s="216" t="s">
        <v>6892</v>
      </c>
      <c r="B340" s="215">
        <f t="shared" si="15"/>
        <v>45684</v>
      </c>
      <c r="C340" s="213" t="s">
        <v>4367</v>
      </c>
      <c r="D340" s="213" t="s">
        <v>4369</v>
      </c>
      <c r="E340" s="213" t="s">
        <v>4383</v>
      </c>
      <c r="F340" s="212" t="s">
        <v>6525</v>
      </c>
      <c r="G340" s="212" t="str">
        <f t="shared" si="16"/>
        <v>830소모품비(판)</v>
      </c>
      <c r="H340" s="214">
        <v>3364</v>
      </c>
      <c r="I340" s="214">
        <v>0</v>
      </c>
      <c r="J340" s="214">
        <f t="shared" si="17"/>
        <v>-3364</v>
      </c>
      <c r="K340" s="212" t="s">
        <v>6643</v>
      </c>
      <c r="L340" s="213"/>
      <c r="M340" s="212"/>
    </row>
    <row r="341" spans="1:13" ht="21" customHeight="1">
      <c r="A341" s="216" t="s">
        <v>6892</v>
      </c>
      <c r="B341" s="215">
        <f t="shared" si="15"/>
        <v>45684</v>
      </c>
      <c r="C341" s="213" t="s">
        <v>4367</v>
      </c>
      <c r="D341" s="213" t="s">
        <v>4366</v>
      </c>
      <c r="E341" s="213" t="s">
        <v>333</v>
      </c>
      <c r="F341" s="212" t="s">
        <v>4365</v>
      </c>
      <c r="G341" s="212" t="str">
        <f t="shared" si="16"/>
        <v>101현금</v>
      </c>
      <c r="H341" s="214">
        <v>0</v>
      </c>
      <c r="I341" s="214">
        <v>3700</v>
      </c>
      <c r="J341" s="214">
        <f t="shared" si="17"/>
        <v>3700</v>
      </c>
      <c r="K341" s="212" t="s">
        <v>6370</v>
      </c>
      <c r="L341" s="213"/>
      <c r="M341" s="212"/>
    </row>
    <row r="342" spans="1:13" ht="21" customHeight="1">
      <c r="A342" s="216" t="s">
        <v>6891</v>
      </c>
      <c r="B342" s="215">
        <f t="shared" si="15"/>
        <v>45685</v>
      </c>
      <c r="C342" s="213" t="s">
        <v>4373</v>
      </c>
      <c r="D342" s="213" t="s">
        <v>4369</v>
      </c>
      <c r="E342" s="213" t="s">
        <v>4383</v>
      </c>
      <c r="F342" s="212" t="s">
        <v>6525</v>
      </c>
      <c r="G342" s="212" t="str">
        <f t="shared" si="16"/>
        <v>830소모품비(판)</v>
      </c>
      <c r="H342" s="214">
        <v>4300</v>
      </c>
      <c r="I342" s="214">
        <v>0</v>
      </c>
      <c r="J342" s="214">
        <f t="shared" si="17"/>
        <v>-4300</v>
      </c>
      <c r="K342" s="212" t="s">
        <v>6563</v>
      </c>
      <c r="L342" s="213"/>
      <c r="M342" s="212"/>
    </row>
    <row r="343" spans="1:13" ht="21" customHeight="1">
      <c r="A343" s="216" t="s">
        <v>6891</v>
      </c>
      <c r="B343" s="215">
        <f t="shared" si="15"/>
        <v>45685</v>
      </c>
      <c r="C343" s="213" t="s">
        <v>4373</v>
      </c>
      <c r="D343" s="213" t="s">
        <v>4366</v>
      </c>
      <c r="E343" s="213" t="s">
        <v>333</v>
      </c>
      <c r="F343" s="212" t="s">
        <v>4365</v>
      </c>
      <c r="G343" s="212" t="str">
        <f t="shared" si="16"/>
        <v>101현금</v>
      </c>
      <c r="H343" s="214">
        <v>0</v>
      </c>
      <c r="I343" s="214">
        <v>4300</v>
      </c>
      <c r="J343" s="214">
        <f t="shared" si="17"/>
        <v>4300</v>
      </c>
      <c r="K343" s="212" t="s">
        <v>6370</v>
      </c>
      <c r="L343" s="213"/>
      <c r="M343" s="212"/>
    </row>
    <row r="344" spans="1:13" ht="21" customHeight="1">
      <c r="A344" s="216" t="s">
        <v>6891</v>
      </c>
      <c r="B344" s="215">
        <f t="shared" si="15"/>
        <v>45685</v>
      </c>
      <c r="C344" s="213" t="s">
        <v>4382</v>
      </c>
      <c r="D344" s="213" t="s">
        <v>4369</v>
      </c>
      <c r="E344" s="213" t="s">
        <v>4383</v>
      </c>
      <c r="F344" s="212" t="s">
        <v>6525</v>
      </c>
      <c r="G344" s="212" t="str">
        <f t="shared" si="16"/>
        <v>830소모품비(판)</v>
      </c>
      <c r="H344" s="214">
        <v>13540</v>
      </c>
      <c r="I344" s="214">
        <v>0</v>
      </c>
      <c r="J344" s="214">
        <f t="shared" si="17"/>
        <v>-13540</v>
      </c>
      <c r="K344" s="212" t="s">
        <v>6550</v>
      </c>
      <c r="L344" s="213"/>
      <c r="M344" s="212"/>
    </row>
    <row r="345" spans="1:13" ht="21" customHeight="1">
      <c r="A345" s="216" t="s">
        <v>6891</v>
      </c>
      <c r="B345" s="215">
        <f t="shared" si="15"/>
        <v>45685</v>
      </c>
      <c r="C345" s="213" t="s">
        <v>4382</v>
      </c>
      <c r="D345" s="213" t="s">
        <v>4366</v>
      </c>
      <c r="E345" s="213" t="s">
        <v>333</v>
      </c>
      <c r="F345" s="212" t="s">
        <v>4365</v>
      </c>
      <c r="G345" s="212" t="str">
        <f t="shared" si="16"/>
        <v>101현금</v>
      </c>
      <c r="H345" s="214">
        <v>0</v>
      </c>
      <c r="I345" s="214">
        <v>13540</v>
      </c>
      <c r="J345" s="214">
        <f t="shared" si="17"/>
        <v>13540</v>
      </c>
      <c r="K345" s="212" t="s">
        <v>6370</v>
      </c>
      <c r="L345" s="213"/>
      <c r="M345" s="212"/>
    </row>
    <row r="346" spans="1:13" ht="21" customHeight="1">
      <c r="A346" s="216" t="s">
        <v>6891</v>
      </c>
      <c r="B346" s="215">
        <f t="shared" si="15"/>
        <v>45685</v>
      </c>
      <c r="C346" s="213" t="s">
        <v>4381</v>
      </c>
      <c r="D346" s="213" t="s">
        <v>4369</v>
      </c>
      <c r="E346" s="213" t="s">
        <v>4380</v>
      </c>
      <c r="F346" s="212" t="s">
        <v>6515</v>
      </c>
      <c r="G346" s="212" t="str">
        <f t="shared" si="16"/>
        <v>812여비교통비(판)</v>
      </c>
      <c r="H346" s="214">
        <v>3000</v>
      </c>
      <c r="I346" s="214">
        <v>0</v>
      </c>
      <c r="J346" s="214">
        <f t="shared" si="17"/>
        <v>-3000</v>
      </c>
      <c r="K346" s="212" t="s">
        <v>6335</v>
      </c>
      <c r="L346" s="213"/>
      <c r="M346" s="212"/>
    </row>
    <row r="347" spans="1:13" ht="21" customHeight="1">
      <c r="A347" s="216" t="s">
        <v>6891</v>
      </c>
      <c r="B347" s="215">
        <f t="shared" si="15"/>
        <v>45685</v>
      </c>
      <c r="C347" s="213" t="s">
        <v>4381</v>
      </c>
      <c r="D347" s="213" t="s">
        <v>4366</v>
      </c>
      <c r="E347" s="213" t="s">
        <v>333</v>
      </c>
      <c r="F347" s="212" t="s">
        <v>4365</v>
      </c>
      <c r="G347" s="212" t="str">
        <f t="shared" si="16"/>
        <v>101현금</v>
      </c>
      <c r="H347" s="214">
        <v>0</v>
      </c>
      <c r="I347" s="214">
        <v>3000</v>
      </c>
      <c r="J347" s="214">
        <f t="shared" si="17"/>
        <v>3000</v>
      </c>
      <c r="K347" s="212" t="s">
        <v>6370</v>
      </c>
      <c r="L347" s="213"/>
      <c r="M347" s="212"/>
    </row>
    <row r="348" spans="1:13" ht="21" customHeight="1">
      <c r="A348" s="216" t="s">
        <v>6890</v>
      </c>
      <c r="B348" s="215">
        <f t="shared" si="15"/>
        <v>45687</v>
      </c>
      <c r="C348" s="213" t="s">
        <v>4373</v>
      </c>
      <c r="D348" s="213" t="s">
        <v>4369</v>
      </c>
      <c r="E348" s="213" t="s">
        <v>4504</v>
      </c>
      <c r="F348" s="212" t="s">
        <v>6545</v>
      </c>
      <c r="G348" s="212" t="str">
        <f t="shared" si="16"/>
        <v>826도서인쇄비(판)</v>
      </c>
      <c r="H348" s="214">
        <v>63300</v>
      </c>
      <c r="I348" s="214">
        <v>0</v>
      </c>
      <c r="J348" s="214">
        <f t="shared" si="17"/>
        <v>-63300</v>
      </c>
      <c r="K348" s="212" t="s">
        <v>6289</v>
      </c>
      <c r="L348" s="213"/>
      <c r="M348" s="212"/>
    </row>
    <row r="349" spans="1:13" ht="21" customHeight="1">
      <c r="A349" s="216" t="s">
        <v>6890</v>
      </c>
      <c r="B349" s="215">
        <f t="shared" si="15"/>
        <v>45687</v>
      </c>
      <c r="C349" s="213" t="s">
        <v>4373</v>
      </c>
      <c r="D349" s="213" t="s">
        <v>4366</v>
      </c>
      <c r="E349" s="213" t="s">
        <v>333</v>
      </c>
      <c r="F349" s="212" t="s">
        <v>4365</v>
      </c>
      <c r="G349" s="212" t="str">
        <f t="shared" si="16"/>
        <v>101현금</v>
      </c>
      <c r="H349" s="214">
        <v>0</v>
      </c>
      <c r="I349" s="214">
        <v>63300</v>
      </c>
      <c r="J349" s="214">
        <f t="shared" si="17"/>
        <v>63300</v>
      </c>
      <c r="K349" s="212" t="s">
        <v>6369</v>
      </c>
      <c r="L349" s="213"/>
      <c r="M349" s="212"/>
    </row>
    <row r="350" spans="1:13" ht="21" customHeight="1">
      <c r="A350" s="216" t="s">
        <v>6890</v>
      </c>
      <c r="B350" s="215">
        <f t="shared" si="15"/>
        <v>45687</v>
      </c>
      <c r="C350" s="213" t="s">
        <v>4382</v>
      </c>
      <c r="D350" s="213" t="s">
        <v>4369</v>
      </c>
      <c r="E350" s="213" t="s">
        <v>4383</v>
      </c>
      <c r="F350" s="212" t="s">
        <v>6525</v>
      </c>
      <c r="G350" s="212" t="str">
        <f t="shared" si="16"/>
        <v>830소모품비(판)</v>
      </c>
      <c r="H350" s="214">
        <v>5900</v>
      </c>
      <c r="I350" s="214">
        <v>0</v>
      </c>
      <c r="J350" s="214">
        <f t="shared" si="17"/>
        <v>-5900</v>
      </c>
      <c r="K350" s="212" t="s">
        <v>6563</v>
      </c>
      <c r="L350" s="213"/>
      <c r="M350" s="212"/>
    </row>
    <row r="351" spans="1:13" ht="21" customHeight="1">
      <c r="A351" s="216" t="s">
        <v>6890</v>
      </c>
      <c r="B351" s="215">
        <f t="shared" si="15"/>
        <v>45687</v>
      </c>
      <c r="C351" s="213" t="s">
        <v>4382</v>
      </c>
      <c r="D351" s="213" t="s">
        <v>4366</v>
      </c>
      <c r="E351" s="213" t="s">
        <v>333</v>
      </c>
      <c r="F351" s="212" t="s">
        <v>4365</v>
      </c>
      <c r="G351" s="212" t="str">
        <f t="shared" si="16"/>
        <v>101현금</v>
      </c>
      <c r="H351" s="214">
        <v>0</v>
      </c>
      <c r="I351" s="214">
        <v>5900</v>
      </c>
      <c r="J351" s="214">
        <f t="shared" si="17"/>
        <v>5900</v>
      </c>
      <c r="K351" s="212" t="s">
        <v>6369</v>
      </c>
      <c r="L351" s="213"/>
      <c r="M351" s="212"/>
    </row>
    <row r="352" spans="1:13" ht="21" customHeight="1">
      <c r="A352" s="213" t="s">
        <v>6888</v>
      </c>
      <c r="B352" s="215">
        <f t="shared" si="15"/>
        <v>45688</v>
      </c>
      <c r="C352" s="213" t="s">
        <v>4373</v>
      </c>
      <c r="D352" s="213" t="s">
        <v>4369</v>
      </c>
      <c r="E352" s="213" t="s">
        <v>4513</v>
      </c>
      <c r="F352" s="212" t="s">
        <v>6519</v>
      </c>
      <c r="G352" s="212" t="str">
        <f t="shared" si="16"/>
        <v>802직원급여(판)</v>
      </c>
      <c r="H352" s="214">
        <v>1700000</v>
      </c>
      <c r="I352" s="214">
        <v>0</v>
      </c>
      <c r="J352" s="214">
        <f t="shared" si="17"/>
        <v>-1700000</v>
      </c>
      <c r="K352" s="212"/>
      <c r="L352" s="213" t="s">
        <v>6411</v>
      </c>
      <c r="M352" s="212" t="s">
        <v>4514</v>
      </c>
    </row>
    <row r="353" spans="1:13" ht="21" customHeight="1">
      <c r="A353" s="213" t="s">
        <v>6888</v>
      </c>
      <c r="B353" s="215">
        <f t="shared" si="15"/>
        <v>45688</v>
      </c>
      <c r="C353" s="213" t="s">
        <v>4373</v>
      </c>
      <c r="D353" s="213" t="s">
        <v>4366</v>
      </c>
      <c r="E353" s="213" t="s">
        <v>333</v>
      </c>
      <c r="F353" s="212" t="s">
        <v>4365</v>
      </c>
      <c r="G353" s="212" t="str">
        <f t="shared" si="16"/>
        <v>101현금</v>
      </c>
      <c r="H353" s="214">
        <v>0</v>
      </c>
      <c r="I353" s="214">
        <v>1476240</v>
      </c>
      <c r="J353" s="214">
        <f t="shared" si="17"/>
        <v>1476240</v>
      </c>
      <c r="K353" s="212"/>
      <c r="L353" s="213" t="s">
        <v>6411</v>
      </c>
      <c r="M353" s="212" t="s">
        <v>4514</v>
      </c>
    </row>
    <row r="354" spans="1:13" ht="21" customHeight="1">
      <c r="A354" s="213" t="s">
        <v>6888</v>
      </c>
      <c r="B354" s="215">
        <f t="shared" si="15"/>
        <v>45688</v>
      </c>
      <c r="C354" s="213" t="s">
        <v>4373</v>
      </c>
      <c r="D354" s="213" t="s">
        <v>4366</v>
      </c>
      <c r="E354" s="213" t="s">
        <v>4505</v>
      </c>
      <c r="F354" s="212" t="s">
        <v>4506</v>
      </c>
      <c r="G354" s="212" t="str">
        <f t="shared" si="16"/>
        <v>254예수금</v>
      </c>
      <c r="H354" s="214">
        <v>0</v>
      </c>
      <c r="I354" s="214">
        <v>149400</v>
      </c>
      <c r="J354" s="214">
        <f t="shared" si="17"/>
        <v>149400</v>
      </c>
      <c r="K354" s="212" t="s">
        <v>4523</v>
      </c>
      <c r="L354" s="213" t="s">
        <v>6411</v>
      </c>
      <c r="M354" s="212" t="s">
        <v>4515</v>
      </c>
    </row>
    <row r="355" spans="1:13" ht="21" customHeight="1">
      <c r="A355" s="213" t="s">
        <v>6888</v>
      </c>
      <c r="B355" s="215">
        <f t="shared" si="15"/>
        <v>45688</v>
      </c>
      <c r="C355" s="213" t="s">
        <v>4373</v>
      </c>
      <c r="D355" s="213" t="s">
        <v>4366</v>
      </c>
      <c r="E355" s="213" t="s">
        <v>4505</v>
      </c>
      <c r="F355" s="212" t="s">
        <v>4506</v>
      </c>
      <c r="G355" s="212" t="str">
        <f t="shared" si="16"/>
        <v>254예수금</v>
      </c>
      <c r="H355" s="214">
        <v>0</v>
      </c>
      <c r="I355" s="214">
        <v>60260</v>
      </c>
      <c r="J355" s="214">
        <f t="shared" si="17"/>
        <v>60260</v>
      </c>
      <c r="K355" s="212" t="s">
        <v>4522</v>
      </c>
      <c r="L355" s="213" t="s">
        <v>6411</v>
      </c>
      <c r="M355" s="212" t="s">
        <v>6518</v>
      </c>
    </row>
    <row r="356" spans="1:13" ht="21" customHeight="1">
      <c r="A356" s="213" t="s">
        <v>6888</v>
      </c>
      <c r="B356" s="215">
        <f t="shared" si="15"/>
        <v>45688</v>
      </c>
      <c r="C356" s="213" t="s">
        <v>4373</v>
      </c>
      <c r="D356" s="213" t="s">
        <v>4366</v>
      </c>
      <c r="E356" s="213" t="s">
        <v>4505</v>
      </c>
      <c r="F356" s="212" t="s">
        <v>4506</v>
      </c>
      <c r="G356" s="212" t="str">
        <f t="shared" si="16"/>
        <v>254예수금</v>
      </c>
      <c r="H356" s="214">
        <v>0</v>
      </c>
      <c r="I356" s="214">
        <v>6300</v>
      </c>
      <c r="J356" s="214">
        <f t="shared" si="17"/>
        <v>6300</v>
      </c>
      <c r="K356" s="212" t="s">
        <v>4508</v>
      </c>
      <c r="L356" s="213" t="s">
        <v>6411</v>
      </c>
      <c r="M356" s="212" t="s">
        <v>4516</v>
      </c>
    </row>
    <row r="357" spans="1:13" ht="21" customHeight="1">
      <c r="A357" s="213" t="s">
        <v>6888</v>
      </c>
      <c r="B357" s="215">
        <f t="shared" si="15"/>
        <v>45688</v>
      </c>
      <c r="C357" s="213" t="s">
        <v>4373</v>
      </c>
      <c r="D357" s="213" t="s">
        <v>4366</v>
      </c>
      <c r="E357" s="213" t="s">
        <v>4505</v>
      </c>
      <c r="F357" s="212" t="s">
        <v>4506</v>
      </c>
      <c r="G357" s="212" t="str">
        <f t="shared" si="16"/>
        <v>254예수금</v>
      </c>
      <c r="H357" s="214">
        <v>0</v>
      </c>
      <c r="I357" s="214">
        <v>7800</v>
      </c>
      <c r="J357" s="214">
        <f t="shared" si="17"/>
        <v>7800</v>
      </c>
      <c r="K357" s="212" t="s">
        <v>4522</v>
      </c>
      <c r="L357" s="213" t="s">
        <v>6411</v>
      </c>
      <c r="M357" s="212" t="s">
        <v>4517</v>
      </c>
    </row>
    <row r="358" spans="1:13" ht="21" customHeight="1">
      <c r="A358" s="213" t="s">
        <v>6888</v>
      </c>
      <c r="B358" s="215">
        <f t="shared" si="15"/>
        <v>45688</v>
      </c>
      <c r="C358" s="213" t="s">
        <v>4382</v>
      </c>
      <c r="D358" s="213" t="s">
        <v>4366</v>
      </c>
      <c r="E358" s="213" t="s">
        <v>333</v>
      </c>
      <c r="F358" s="212" t="s">
        <v>4365</v>
      </c>
      <c r="G358" s="212" t="str">
        <f t="shared" si="16"/>
        <v>101현금</v>
      </c>
      <c r="H358" s="214">
        <v>0</v>
      </c>
      <c r="I358" s="214">
        <v>3000</v>
      </c>
      <c r="J358" s="214">
        <f t="shared" si="17"/>
        <v>3000</v>
      </c>
      <c r="K358" s="212" t="s">
        <v>6369</v>
      </c>
      <c r="L358" s="213"/>
      <c r="M358" s="212"/>
    </row>
    <row r="359" spans="1:13" ht="21" customHeight="1">
      <c r="A359" s="213" t="s">
        <v>6888</v>
      </c>
      <c r="B359" s="215">
        <f t="shared" si="15"/>
        <v>45688</v>
      </c>
      <c r="C359" s="213" t="s">
        <v>4382</v>
      </c>
      <c r="D359" s="213" t="s">
        <v>4369</v>
      </c>
      <c r="E359" s="213" t="s">
        <v>4499</v>
      </c>
      <c r="F359" s="212" t="s">
        <v>6517</v>
      </c>
      <c r="G359" s="212" t="str">
        <f t="shared" si="16"/>
        <v>811복리후생비(판)</v>
      </c>
      <c r="H359" s="214">
        <v>3000</v>
      </c>
      <c r="I359" s="214">
        <v>0</v>
      </c>
      <c r="J359" s="214">
        <f t="shared" si="17"/>
        <v>-3000</v>
      </c>
      <c r="K359" s="212" t="s">
        <v>6587</v>
      </c>
      <c r="L359" s="213"/>
      <c r="M359" s="212"/>
    </row>
    <row r="360" spans="1:13" ht="21" customHeight="1">
      <c r="A360" s="213" t="s">
        <v>6888</v>
      </c>
      <c r="B360" s="215">
        <f t="shared" si="15"/>
        <v>45688</v>
      </c>
      <c r="C360" s="213" t="s">
        <v>4367</v>
      </c>
      <c r="D360" s="213" t="s">
        <v>4369</v>
      </c>
      <c r="E360" s="213" t="s">
        <v>4371</v>
      </c>
      <c r="F360" s="212" t="s">
        <v>4370</v>
      </c>
      <c r="G360" s="212" t="str">
        <f t="shared" si="16"/>
        <v>135부가세대급금</v>
      </c>
      <c r="H360" s="214">
        <v>10000</v>
      </c>
      <c r="I360" s="214">
        <v>0</v>
      </c>
      <c r="J360" s="214">
        <f t="shared" si="17"/>
        <v>-10000</v>
      </c>
      <c r="K360" s="212" t="s">
        <v>6159</v>
      </c>
      <c r="L360" s="213"/>
      <c r="M360" s="212" t="s">
        <v>4364</v>
      </c>
    </row>
    <row r="361" spans="1:13" ht="21" customHeight="1">
      <c r="A361" s="213" t="s">
        <v>6888</v>
      </c>
      <c r="B361" s="215">
        <f t="shared" si="15"/>
        <v>45688</v>
      </c>
      <c r="C361" s="213" t="s">
        <v>4367</v>
      </c>
      <c r="D361" s="213" t="s">
        <v>4369</v>
      </c>
      <c r="E361" s="213" t="s">
        <v>4368</v>
      </c>
      <c r="F361" s="212" t="s">
        <v>6388</v>
      </c>
      <c r="G361" s="212" t="str">
        <f t="shared" si="16"/>
        <v>831지급수수료(판)</v>
      </c>
      <c r="H361" s="214">
        <v>100000</v>
      </c>
      <c r="I361" s="214">
        <v>0</v>
      </c>
      <c r="J361" s="214">
        <f t="shared" si="17"/>
        <v>-100000</v>
      </c>
      <c r="K361" s="212" t="s">
        <v>6159</v>
      </c>
      <c r="L361" s="213"/>
      <c r="M361" s="212" t="s">
        <v>4364</v>
      </c>
    </row>
    <row r="362" spans="1:13" ht="21" customHeight="1">
      <c r="A362" s="213" t="s">
        <v>6888</v>
      </c>
      <c r="B362" s="215">
        <f t="shared" si="15"/>
        <v>45688</v>
      </c>
      <c r="C362" s="213" t="s">
        <v>4367</v>
      </c>
      <c r="D362" s="213" t="s">
        <v>4366</v>
      </c>
      <c r="E362" s="213" t="s">
        <v>333</v>
      </c>
      <c r="F362" s="212" t="s">
        <v>4365</v>
      </c>
      <c r="G362" s="212" t="str">
        <f t="shared" si="16"/>
        <v>101현금</v>
      </c>
      <c r="H362" s="214">
        <v>0</v>
      </c>
      <c r="I362" s="214">
        <v>110000</v>
      </c>
      <c r="J362" s="214">
        <f t="shared" si="17"/>
        <v>110000</v>
      </c>
      <c r="K362" s="212" t="s">
        <v>6159</v>
      </c>
      <c r="L362" s="213"/>
      <c r="M362" s="212" t="s">
        <v>4364</v>
      </c>
    </row>
    <row r="363" spans="1:13" ht="21" customHeight="1">
      <c r="A363" s="213" t="s">
        <v>6888</v>
      </c>
      <c r="B363" s="215">
        <f t="shared" si="15"/>
        <v>45688</v>
      </c>
      <c r="C363" s="213" t="s">
        <v>4374</v>
      </c>
      <c r="D363" s="213" t="s">
        <v>4369</v>
      </c>
      <c r="E363" s="213" t="s">
        <v>4371</v>
      </c>
      <c r="F363" s="212" t="s">
        <v>4370</v>
      </c>
      <c r="G363" s="212" t="str">
        <f t="shared" si="16"/>
        <v>135부가세대급금</v>
      </c>
      <c r="H363" s="214">
        <v>614</v>
      </c>
      <c r="I363" s="214">
        <v>0</v>
      </c>
      <c r="J363" s="214">
        <f t="shared" si="17"/>
        <v>-614</v>
      </c>
      <c r="K363" s="212" t="s">
        <v>6274</v>
      </c>
      <c r="L363" s="213"/>
      <c r="M363" s="212" t="s">
        <v>6889</v>
      </c>
    </row>
    <row r="364" spans="1:13" ht="21" customHeight="1">
      <c r="A364" s="213" t="s">
        <v>6888</v>
      </c>
      <c r="B364" s="215">
        <f t="shared" si="15"/>
        <v>45688</v>
      </c>
      <c r="C364" s="213" t="s">
        <v>4374</v>
      </c>
      <c r="D364" s="213" t="s">
        <v>4369</v>
      </c>
      <c r="E364" s="213" t="s">
        <v>4368</v>
      </c>
      <c r="F364" s="212" t="s">
        <v>6388</v>
      </c>
      <c r="G364" s="212" t="str">
        <f t="shared" si="16"/>
        <v>831지급수수료(판)</v>
      </c>
      <c r="H364" s="214">
        <v>6136</v>
      </c>
      <c r="I364" s="214">
        <v>0</v>
      </c>
      <c r="J364" s="214">
        <f t="shared" si="17"/>
        <v>-6136</v>
      </c>
      <c r="K364" s="212" t="s">
        <v>6274</v>
      </c>
      <c r="L364" s="213"/>
      <c r="M364" s="212" t="s">
        <v>6889</v>
      </c>
    </row>
    <row r="365" spans="1:13" ht="21" customHeight="1">
      <c r="A365" s="213" t="s">
        <v>6888</v>
      </c>
      <c r="B365" s="215">
        <f t="shared" si="15"/>
        <v>45688</v>
      </c>
      <c r="C365" s="213" t="s">
        <v>4374</v>
      </c>
      <c r="D365" s="213" t="s">
        <v>4366</v>
      </c>
      <c r="E365" s="213" t="s">
        <v>333</v>
      </c>
      <c r="F365" s="212" t="s">
        <v>4365</v>
      </c>
      <c r="G365" s="212" t="str">
        <f t="shared" si="16"/>
        <v>101현금</v>
      </c>
      <c r="H365" s="214">
        <v>0</v>
      </c>
      <c r="I365" s="214">
        <v>6750</v>
      </c>
      <c r="J365" s="214">
        <f t="shared" si="17"/>
        <v>6750</v>
      </c>
      <c r="K365" s="212" t="s">
        <v>6274</v>
      </c>
      <c r="L365" s="213"/>
      <c r="M365" s="212" t="s">
        <v>6889</v>
      </c>
    </row>
    <row r="366" spans="1:13" ht="21" customHeight="1">
      <c r="A366" s="213" t="s">
        <v>6888</v>
      </c>
      <c r="B366" s="215">
        <f t="shared" si="15"/>
        <v>45688</v>
      </c>
      <c r="C366" s="213" t="s">
        <v>6182</v>
      </c>
      <c r="D366" s="213" t="s">
        <v>4369</v>
      </c>
      <c r="E366" s="213" t="s">
        <v>4371</v>
      </c>
      <c r="F366" s="212" t="s">
        <v>4370</v>
      </c>
      <c r="G366" s="212" t="str">
        <f t="shared" si="16"/>
        <v>135부가세대급금</v>
      </c>
      <c r="H366" s="214">
        <v>4000</v>
      </c>
      <c r="I366" s="214">
        <v>0</v>
      </c>
      <c r="J366" s="214">
        <f t="shared" si="17"/>
        <v>-4000</v>
      </c>
      <c r="K366" s="212" t="s">
        <v>6227</v>
      </c>
      <c r="L366" s="213"/>
      <c r="M366" s="212" t="s">
        <v>6228</v>
      </c>
    </row>
    <row r="367" spans="1:13" ht="21" customHeight="1">
      <c r="A367" s="213" t="s">
        <v>6888</v>
      </c>
      <c r="B367" s="215">
        <f t="shared" si="15"/>
        <v>45688</v>
      </c>
      <c r="C367" s="213" t="s">
        <v>6182</v>
      </c>
      <c r="D367" s="213" t="s">
        <v>4369</v>
      </c>
      <c r="E367" s="213" t="s">
        <v>4368</v>
      </c>
      <c r="F367" s="212" t="s">
        <v>6388</v>
      </c>
      <c r="G367" s="212" t="str">
        <f t="shared" si="16"/>
        <v>831지급수수료(판)</v>
      </c>
      <c r="H367" s="214">
        <v>40000</v>
      </c>
      <c r="I367" s="214">
        <v>0</v>
      </c>
      <c r="J367" s="214">
        <f t="shared" si="17"/>
        <v>-40000</v>
      </c>
      <c r="K367" s="212" t="s">
        <v>6227</v>
      </c>
      <c r="L367" s="213"/>
      <c r="M367" s="212" t="s">
        <v>6228</v>
      </c>
    </row>
    <row r="368" spans="1:13" ht="21" customHeight="1">
      <c r="A368" s="213" t="s">
        <v>6888</v>
      </c>
      <c r="B368" s="215">
        <f t="shared" si="15"/>
        <v>45688</v>
      </c>
      <c r="C368" s="213" t="s">
        <v>6182</v>
      </c>
      <c r="D368" s="213" t="s">
        <v>4366</v>
      </c>
      <c r="E368" s="213" t="s">
        <v>333</v>
      </c>
      <c r="F368" s="212" t="s">
        <v>4365</v>
      </c>
      <c r="G368" s="212" t="str">
        <f t="shared" si="16"/>
        <v>101현금</v>
      </c>
      <c r="H368" s="214">
        <v>0</v>
      </c>
      <c r="I368" s="214">
        <v>44000</v>
      </c>
      <c r="J368" s="214">
        <f t="shared" si="17"/>
        <v>44000</v>
      </c>
      <c r="K368" s="212" t="s">
        <v>6227</v>
      </c>
      <c r="L368" s="213"/>
      <c r="M368" s="212" t="s">
        <v>6228</v>
      </c>
    </row>
    <row r="369" spans="1:13" ht="21" customHeight="1">
      <c r="A369" s="213" t="s">
        <v>6888</v>
      </c>
      <c r="B369" s="215">
        <f t="shared" si="15"/>
        <v>45688</v>
      </c>
      <c r="C369" s="213" t="s">
        <v>6184</v>
      </c>
      <c r="D369" s="213" t="s">
        <v>4369</v>
      </c>
      <c r="E369" s="213" t="s">
        <v>4371</v>
      </c>
      <c r="F369" s="212" t="s">
        <v>4370</v>
      </c>
      <c r="G369" s="212" t="str">
        <f t="shared" si="16"/>
        <v>135부가세대급금</v>
      </c>
      <c r="H369" s="214">
        <v>725</v>
      </c>
      <c r="I369" s="214">
        <v>0</v>
      </c>
      <c r="J369" s="214">
        <f t="shared" si="17"/>
        <v>-725</v>
      </c>
      <c r="K369" s="212" t="s">
        <v>6227</v>
      </c>
      <c r="L369" s="213"/>
      <c r="M369" s="212" t="s">
        <v>6229</v>
      </c>
    </row>
    <row r="370" spans="1:13" ht="21" customHeight="1">
      <c r="A370" s="213" t="s">
        <v>6888</v>
      </c>
      <c r="B370" s="215">
        <f t="shared" si="15"/>
        <v>45688</v>
      </c>
      <c r="C370" s="213" t="s">
        <v>6184</v>
      </c>
      <c r="D370" s="213" t="s">
        <v>4369</v>
      </c>
      <c r="E370" s="213" t="s">
        <v>4368</v>
      </c>
      <c r="F370" s="212" t="s">
        <v>6388</v>
      </c>
      <c r="G370" s="212" t="str">
        <f t="shared" si="16"/>
        <v>831지급수수료(판)</v>
      </c>
      <c r="H370" s="214">
        <v>7250</v>
      </c>
      <c r="I370" s="214">
        <v>0</v>
      </c>
      <c r="J370" s="214">
        <f t="shared" si="17"/>
        <v>-7250</v>
      </c>
      <c r="K370" s="212" t="s">
        <v>6227</v>
      </c>
      <c r="L370" s="213"/>
      <c r="M370" s="212" t="s">
        <v>6229</v>
      </c>
    </row>
    <row r="371" spans="1:13" ht="21" customHeight="1">
      <c r="A371" s="213" t="s">
        <v>6888</v>
      </c>
      <c r="B371" s="215">
        <f t="shared" si="15"/>
        <v>45688</v>
      </c>
      <c r="C371" s="213" t="s">
        <v>6184</v>
      </c>
      <c r="D371" s="213" t="s">
        <v>4366</v>
      </c>
      <c r="E371" s="213" t="s">
        <v>333</v>
      </c>
      <c r="F371" s="212" t="s">
        <v>4365</v>
      </c>
      <c r="G371" s="212" t="str">
        <f t="shared" si="16"/>
        <v>101현금</v>
      </c>
      <c r="H371" s="214">
        <v>0</v>
      </c>
      <c r="I371" s="214">
        <v>7975</v>
      </c>
      <c r="J371" s="214">
        <f t="shared" si="17"/>
        <v>7975</v>
      </c>
      <c r="K371" s="212" t="s">
        <v>6227</v>
      </c>
      <c r="L371" s="213"/>
      <c r="M371" s="212" t="s">
        <v>6229</v>
      </c>
    </row>
    <row r="372" spans="1:13" ht="21" customHeight="1">
      <c r="A372" s="213" t="s">
        <v>6888</v>
      </c>
      <c r="B372" s="215">
        <f t="shared" si="15"/>
        <v>45688</v>
      </c>
      <c r="C372" s="213" t="s">
        <v>6186</v>
      </c>
      <c r="D372" s="213" t="s">
        <v>4366</v>
      </c>
      <c r="E372" s="213" t="s">
        <v>6176</v>
      </c>
      <c r="F372" s="212" t="s">
        <v>6177</v>
      </c>
      <c r="G372" s="212" t="str">
        <f t="shared" si="16"/>
        <v>255부가세예수금</v>
      </c>
      <c r="H372" s="214">
        <v>0</v>
      </c>
      <c r="I372" s="214">
        <v>15000</v>
      </c>
      <c r="J372" s="214">
        <f t="shared" si="17"/>
        <v>15000</v>
      </c>
      <c r="K372" s="212" t="s">
        <v>6233</v>
      </c>
      <c r="L372" s="213"/>
      <c r="M372" s="212" t="s">
        <v>6179</v>
      </c>
    </row>
    <row r="373" spans="1:13" ht="21" customHeight="1">
      <c r="A373" s="213" t="s">
        <v>6888</v>
      </c>
      <c r="B373" s="215">
        <f t="shared" si="15"/>
        <v>45688</v>
      </c>
      <c r="C373" s="213" t="s">
        <v>6186</v>
      </c>
      <c r="D373" s="213" t="s">
        <v>4366</v>
      </c>
      <c r="E373" s="213" t="s">
        <v>334</v>
      </c>
      <c r="F373" s="212" t="s">
        <v>6158</v>
      </c>
      <c r="G373" s="212" t="str">
        <f t="shared" si="16"/>
        <v>401용역매출</v>
      </c>
      <c r="H373" s="214">
        <v>0</v>
      </c>
      <c r="I373" s="214">
        <v>150000</v>
      </c>
      <c r="J373" s="214">
        <f t="shared" si="17"/>
        <v>150000</v>
      </c>
      <c r="K373" s="212" t="s">
        <v>6233</v>
      </c>
      <c r="L373" s="213"/>
      <c r="M373" s="212" t="s">
        <v>6179</v>
      </c>
    </row>
    <row r="374" spans="1:13" ht="21" customHeight="1">
      <c r="A374" s="213" t="s">
        <v>6888</v>
      </c>
      <c r="B374" s="215">
        <f t="shared" si="15"/>
        <v>45688</v>
      </c>
      <c r="C374" s="213" t="s">
        <v>6186</v>
      </c>
      <c r="D374" s="213" t="s">
        <v>4369</v>
      </c>
      <c r="E374" s="213" t="s">
        <v>333</v>
      </c>
      <c r="F374" s="212" t="s">
        <v>4365</v>
      </c>
      <c r="G374" s="212" t="str">
        <f t="shared" si="16"/>
        <v>101현금</v>
      </c>
      <c r="H374" s="214">
        <v>165000</v>
      </c>
      <c r="I374" s="214">
        <v>0</v>
      </c>
      <c r="J374" s="214">
        <f t="shared" si="17"/>
        <v>-165000</v>
      </c>
      <c r="K374" s="212" t="s">
        <v>6233</v>
      </c>
      <c r="L374" s="213"/>
      <c r="M374" s="212" t="s">
        <v>6179</v>
      </c>
    </row>
    <row r="375" spans="1:13" ht="21" customHeight="1">
      <c r="A375" s="213" t="s">
        <v>6888</v>
      </c>
      <c r="B375" s="215">
        <f t="shared" si="15"/>
        <v>45688</v>
      </c>
      <c r="C375" s="213" t="s">
        <v>6189</v>
      </c>
      <c r="D375" s="213" t="s">
        <v>4366</v>
      </c>
      <c r="E375" s="213" t="s">
        <v>6176</v>
      </c>
      <c r="F375" s="212" t="s">
        <v>6177</v>
      </c>
      <c r="G375" s="212" t="str">
        <f t="shared" si="16"/>
        <v>255부가세예수금</v>
      </c>
      <c r="H375" s="214">
        <v>0</v>
      </c>
      <c r="I375" s="214">
        <v>20000</v>
      </c>
      <c r="J375" s="214">
        <f t="shared" si="17"/>
        <v>20000</v>
      </c>
      <c r="K375" s="212" t="s">
        <v>6230</v>
      </c>
      <c r="L375" s="213"/>
      <c r="M375" s="212" t="s">
        <v>6231</v>
      </c>
    </row>
    <row r="376" spans="1:13" ht="21" customHeight="1">
      <c r="A376" s="213" t="s">
        <v>6888</v>
      </c>
      <c r="B376" s="215">
        <f t="shared" si="15"/>
        <v>45688</v>
      </c>
      <c r="C376" s="213" t="s">
        <v>6189</v>
      </c>
      <c r="D376" s="213" t="s">
        <v>4366</v>
      </c>
      <c r="E376" s="213" t="s">
        <v>334</v>
      </c>
      <c r="F376" s="212" t="s">
        <v>6158</v>
      </c>
      <c r="G376" s="212" t="str">
        <f t="shared" si="16"/>
        <v>401용역매출</v>
      </c>
      <c r="H376" s="214">
        <v>0</v>
      </c>
      <c r="I376" s="214">
        <v>200000</v>
      </c>
      <c r="J376" s="214">
        <f t="shared" si="17"/>
        <v>200000</v>
      </c>
      <c r="K376" s="212" t="s">
        <v>6230</v>
      </c>
      <c r="L376" s="213"/>
      <c r="M376" s="212" t="s">
        <v>6231</v>
      </c>
    </row>
    <row r="377" spans="1:13" ht="21" customHeight="1">
      <c r="A377" s="213" t="s">
        <v>6888</v>
      </c>
      <c r="B377" s="215">
        <f t="shared" si="15"/>
        <v>45688</v>
      </c>
      <c r="C377" s="213" t="s">
        <v>6189</v>
      </c>
      <c r="D377" s="213" t="s">
        <v>4369</v>
      </c>
      <c r="E377" s="213" t="s">
        <v>333</v>
      </c>
      <c r="F377" s="212" t="s">
        <v>4365</v>
      </c>
      <c r="G377" s="212" t="str">
        <f t="shared" si="16"/>
        <v>101현금</v>
      </c>
      <c r="H377" s="214">
        <v>220000</v>
      </c>
      <c r="I377" s="214">
        <v>0</v>
      </c>
      <c r="J377" s="214">
        <f t="shared" si="17"/>
        <v>-220000</v>
      </c>
      <c r="K377" s="212" t="s">
        <v>6230</v>
      </c>
      <c r="L377" s="213"/>
      <c r="M377" s="212" t="s">
        <v>6231</v>
      </c>
    </row>
    <row r="378" spans="1:13" ht="21" customHeight="1">
      <c r="A378" s="213" t="s">
        <v>6888</v>
      </c>
      <c r="B378" s="215">
        <f t="shared" si="15"/>
        <v>45688</v>
      </c>
      <c r="C378" s="213" t="s">
        <v>6191</v>
      </c>
      <c r="D378" s="213" t="s">
        <v>4366</v>
      </c>
      <c r="E378" s="213" t="s">
        <v>6176</v>
      </c>
      <c r="F378" s="212" t="s">
        <v>6177</v>
      </c>
      <c r="G378" s="212" t="str">
        <f t="shared" si="16"/>
        <v>255부가세예수금</v>
      </c>
      <c r="H378" s="214">
        <v>0</v>
      </c>
      <c r="I378" s="214">
        <v>-15000</v>
      </c>
      <c r="J378" s="214">
        <f t="shared" si="17"/>
        <v>-15000</v>
      </c>
      <c r="K378" s="212" t="s">
        <v>6178</v>
      </c>
      <c r="L378" s="213"/>
      <c r="M378" s="212" t="s">
        <v>6313</v>
      </c>
    </row>
    <row r="379" spans="1:13" ht="21" customHeight="1">
      <c r="A379" s="213" t="s">
        <v>6888</v>
      </c>
      <c r="B379" s="215">
        <f t="shared" si="15"/>
        <v>45688</v>
      </c>
      <c r="C379" s="213" t="s">
        <v>6191</v>
      </c>
      <c r="D379" s="213" t="s">
        <v>4366</v>
      </c>
      <c r="E379" s="213" t="s">
        <v>334</v>
      </c>
      <c r="F379" s="212" t="s">
        <v>6158</v>
      </c>
      <c r="G379" s="212" t="str">
        <f t="shared" si="16"/>
        <v>401용역매출</v>
      </c>
      <c r="H379" s="214">
        <v>0</v>
      </c>
      <c r="I379" s="214">
        <v>-150000</v>
      </c>
      <c r="J379" s="214">
        <f t="shared" si="17"/>
        <v>-150000</v>
      </c>
      <c r="K379" s="212" t="s">
        <v>6178</v>
      </c>
      <c r="L379" s="213"/>
      <c r="M379" s="212" t="s">
        <v>6313</v>
      </c>
    </row>
    <row r="380" spans="1:13" ht="21" customHeight="1">
      <c r="A380" s="213" t="s">
        <v>6888</v>
      </c>
      <c r="B380" s="215">
        <f t="shared" si="15"/>
        <v>45688</v>
      </c>
      <c r="C380" s="213" t="s">
        <v>6191</v>
      </c>
      <c r="D380" s="213" t="s">
        <v>4369</v>
      </c>
      <c r="E380" s="213" t="s">
        <v>333</v>
      </c>
      <c r="F380" s="212" t="s">
        <v>4365</v>
      </c>
      <c r="G380" s="212" t="str">
        <f t="shared" si="16"/>
        <v>101현금</v>
      </c>
      <c r="H380" s="214">
        <v>-165000</v>
      </c>
      <c r="I380" s="214">
        <v>0</v>
      </c>
      <c r="J380" s="214">
        <f t="shared" si="17"/>
        <v>165000</v>
      </c>
      <c r="K380" s="212" t="s">
        <v>6178</v>
      </c>
      <c r="L380" s="213"/>
      <c r="M380" s="212" t="s">
        <v>6313</v>
      </c>
    </row>
    <row r="381" spans="1:13" ht="21" customHeight="1">
      <c r="A381" s="213" t="s">
        <v>6888</v>
      </c>
      <c r="B381" s="215">
        <f t="shared" si="15"/>
        <v>45688</v>
      </c>
      <c r="C381" s="213" t="s">
        <v>6216</v>
      </c>
      <c r="D381" s="213" t="s">
        <v>4366</v>
      </c>
      <c r="E381" s="213" t="s">
        <v>6176</v>
      </c>
      <c r="F381" s="212" t="s">
        <v>6177</v>
      </c>
      <c r="G381" s="212" t="str">
        <f t="shared" si="16"/>
        <v>255부가세예수금</v>
      </c>
      <c r="H381" s="214">
        <v>0</v>
      </c>
      <c r="I381" s="214">
        <v>5000</v>
      </c>
      <c r="J381" s="214">
        <f t="shared" si="17"/>
        <v>5000</v>
      </c>
      <c r="K381" s="212" t="s">
        <v>6242</v>
      </c>
      <c r="L381" s="213"/>
      <c r="M381" s="212" t="s">
        <v>6282</v>
      </c>
    </row>
    <row r="382" spans="1:13" ht="21" customHeight="1">
      <c r="A382" s="213" t="s">
        <v>6888</v>
      </c>
      <c r="B382" s="215">
        <f t="shared" si="15"/>
        <v>45688</v>
      </c>
      <c r="C382" s="213" t="s">
        <v>6216</v>
      </c>
      <c r="D382" s="213" t="s">
        <v>4366</v>
      </c>
      <c r="E382" s="213" t="s">
        <v>334</v>
      </c>
      <c r="F382" s="212" t="s">
        <v>6158</v>
      </c>
      <c r="G382" s="212" t="str">
        <f t="shared" si="16"/>
        <v>401용역매출</v>
      </c>
      <c r="H382" s="214">
        <v>0</v>
      </c>
      <c r="I382" s="214">
        <v>50000</v>
      </c>
      <c r="J382" s="214">
        <f t="shared" si="17"/>
        <v>50000</v>
      </c>
      <c r="K382" s="212" t="s">
        <v>6242</v>
      </c>
      <c r="L382" s="213"/>
      <c r="M382" s="212" t="s">
        <v>6282</v>
      </c>
    </row>
    <row r="383" spans="1:13" ht="21" customHeight="1">
      <c r="A383" s="213" t="s">
        <v>6888</v>
      </c>
      <c r="B383" s="215">
        <f t="shared" si="15"/>
        <v>45688</v>
      </c>
      <c r="C383" s="213" t="s">
        <v>6216</v>
      </c>
      <c r="D383" s="213" t="s">
        <v>4369</v>
      </c>
      <c r="E383" s="213" t="s">
        <v>333</v>
      </c>
      <c r="F383" s="212" t="s">
        <v>4365</v>
      </c>
      <c r="G383" s="212" t="str">
        <f t="shared" si="16"/>
        <v>101현금</v>
      </c>
      <c r="H383" s="214">
        <v>55000</v>
      </c>
      <c r="I383" s="214">
        <v>0</v>
      </c>
      <c r="J383" s="214">
        <f t="shared" si="17"/>
        <v>-55000</v>
      </c>
      <c r="K383" s="212" t="s">
        <v>6242</v>
      </c>
      <c r="L383" s="213"/>
      <c r="M383" s="212" t="s">
        <v>6282</v>
      </c>
    </row>
    <row r="384" spans="1:13" ht="21" customHeight="1">
      <c r="A384" s="213" t="s">
        <v>6888</v>
      </c>
      <c r="B384" s="215">
        <f t="shared" si="15"/>
        <v>45688</v>
      </c>
      <c r="C384" s="213" t="s">
        <v>6217</v>
      </c>
      <c r="D384" s="213" t="s">
        <v>4366</v>
      </c>
      <c r="E384" s="213" t="s">
        <v>6176</v>
      </c>
      <c r="F384" s="212" t="s">
        <v>6177</v>
      </c>
      <c r="G384" s="212" t="str">
        <f t="shared" si="16"/>
        <v>255부가세예수금</v>
      </c>
      <c r="H384" s="214">
        <v>0</v>
      </c>
      <c r="I384" s="214">
        <v>20000</v>
      </c>
      <c r="J384" s="214">
        <f t="shared" si="17"/>
        <v>20000</v>
      </c>
      <c r="K384" s="212" t="s">
        <v>6236</v>
      </c>
      <c r="L384" s="213"/>
      <c r="M384" s="212" t="s">
        <v>6231</v>
      </c>
    </row>
    <row r="385" spans="1:13" ht="21" customHeight="1">
      <c r="A385" s="213" t="s">
        <v>6888</v>
      </c>
      <c r="B385" s="215">
        <f t="shared" si="15"/>
        <v>45688</v>
      </c>
      <c r="C385" s="213" t="s">
        <v>6217</v>
      </c>
      <c r="D385" s="213" t="s">
        <v>4366</v>
      </c>
      <c r="E385" s="213" t="s">
        <v>334</v>
      </c>
      <c r="F385" s="212" t="s">
        <v>6158</v>
      </c>
      <c r="G385" s="212" t="str">
        <f t="shared" si="16"/>
        <v>401용역매출</v>
      </c>
      <c r="H385" s="214">
        <v>0</v>
      </c>
      <c r="I385" s="214">
        <v>200000</v>
      </c>
      <c r="J385" s="214">
        <f t="shared" si="17"/>
        <v>200000</v>
      </c>
      <c r="K385" s="212" t="s">
        <v>6236</v>
      </c>
      <c r="L385" s="213"/>
      <c r="M385" s="212" t="s">
        <v>6231</v>
      </c>
    </row>
    <row r="386" spans="1:13" ht="21" customHeight="1">
      <c r="A386" s="213" t="s">
        <v>6888</v>
      </c>
      <c r="B386" s="215">
        <f t="shared" ref="B386:B449" si="18">DATEVALUE(A386)</f>
        <v>45688</v>
      </c>
      <c r="C386" s="213" t="s">
        <v>6217</v>
      </c>
      <c r="D386" s="213" t="s">
        <v>4369</v>
      </c>
      <c r="E386" s="213" t="s">
        <v>333</v>
      </c>
      <c r="F386" s="212" t="s">
        <v>4365</v>
      </c>
      <c r="G386" s="212" t="str">
        <f t="shared" ref="G386:G449" si="19">E386&amp;F386</f>
        <v>101현금</v>
      </c>
      <c r="H386" s="214">
        <v>220000</v>
      </c>
      <c r="I386" s="214">
        <v>0</v>
      </c>
      <c r="J386" s="214">
        <f t="shared" ref="J386:J449" si="20">I386-H386</f>
        <v>-220000</v>
      </c>
      <c r="K386" s="212" t="s">
        <v>6236</v>
      </c>
      <c r="L386" s="213"/>
      <c r="M386" s="212" t="s">
        <v>6231</v>
      </c>
    </row>
    <row r="387" spans="1:13" ht="21" customHeight="1">
      <c r="A387" s="213" t="s">
        <v>6888</v>
      </c>
      <c r="B387" s="215">
        <f t="shared" si="18"/>
        <v>45688</v>
      </c>
      <c r="C387" s="213" t="s">
        <v>6218</v>
      </c>
      <c r="D387" s="213" t="s">
        <v>4366</v>
      </c>
      <c r="E387" s="213" t="s">
        <v>6176</v>
      </c>
      <c r="F387" s="212" t="s">
        <v>6177</v>
      </c>
      <c r="G387" s="212" t="str">
        <f t="shared" si="19"/>
        <v>255부가세예수금</v>
      </c>
      <c r="H387" s="214">
        <v>0</v>
      </c>
      <c r="I387" s="214">
        <v>15000</v>
      </c>
      <c r="J387" s="214">
        <f t="shared" si="20"/>
        <v>15000</v>
      </c>
      <c r="K387" s="212" t="s">
        <v>6237</v>
      </c>
      <c r="L387" s="213"/>
      <c r="M387" s="212" t="s">
        <v>6179</v>
      </c>
    </row>
    <row r="388" spans="1:13" ht="21" customHeight="1">
      <c r="A388" s="213" t="s">
        <v>6888</v>
      </c>
      <c r="B388" s="215">
        <f t="shared" si="18"/>
        <v>45688</v>
      </c>
      <c r="C388" s="213" t="s">
        <v>6218</v>
      </c>
      <c r="D388" s="213" t="s">
        <v>4366</v>
      </c>
      <c r="E388" s="213" t="s">
        <v>334</v>
      </c>
      <c r="F388" s="212" t="s">
        <v>6158</v>
      </c>
      <c r="G388" s="212" t="str">
        <f t="shared" si="19"/>
        <v>401용역매출</v>
      </c>
      <c r="H388" s="214">
        <v>0</v>
      </c>
      <c r="I388" s="214">
        <v>150000</v>
      </c>
      <c r="J388" s="214">
        <f t="shared" si="20"/>
        <v>150000</v>
      </c>
      <c r="K388" s="212" t="s">
        <v>6237</v>
      </c>
      <c r="L388" s="213"/>
      <c r="M388" s="212" t="s">
        <v>6179</v>
      </c>
    </row>
    <row r="389" spans="1:13" ht="21" customHeight="1">
      <c r="A389" s="213" t="s">
        <v>6888</v>
      </c>
      <c r="B389" s="215">
        <f t="shared" si="18"/>
        <v>45688</v>
      </c>
      <c r="C389" s="213" t="s">
        <v>6218</v>
      </c>
      <c r="D389" s="213" t="s">
        <v>4369</v>
      </c>
      <c r="E389" s="213" t="s">
        <v>333</v>
      </c>
      <c r="F389" s="212" t="s">
        <v>4365</v>
      </c>
      <c r="G389" s="212" t="str">
        <f t="shared" si="19"/>
        <v>101현금</v>
      </c>
      <c r="H389" s="214">
        <v>165000</v>
      </c>
      <c r="I389" s="214">
        <v>0</v>
      </c>
      <c r="J389" s="214">
        <f t="shared" si="20"/>
        <v>-165000</v>
      </c>
      <c r="K389" s="212" t="s">
        <v>6237</v>
      </c>
      <c r="L389" s="213"/>
      <c r="M389" s="212" t="s">
        <v>6179</v>
      </c>
    </row>
    <row r="390" spans="1:13" ht="21" customHeight="1">
      <c r="A390" s="213" t="s">
        <v>6888</v>
      </c>
      <c r="B390" s="215">
        <f t="shared" si="18"/>
        <v>45688</v>
      </c>
      <c r="C390" s="213" t="s">
        <v>6238</v>
      </c>
      <c r="D390" s="213" t="s">
        <v>4366</v>
      </c>
      <c r="E390" s="213" t="s">
        <v>6176</v>
      </c>
      <c r="F390" s="212" t="s">
        <v>6177</v>
      </c>
      <c r="G390" s="212" t="str">
        <f t="shared" si="19"/>
        <v>255부가세예수금</v>
      </c>
      <c r="H390" s="214">
        <v>0</v>
      </c>
      <c r="I390" s="214">
        <v>9091</v>
      </c>
      <c r="J390" s="214">
        <f t="shared" si="20"/>
        <v>9091</v>
      </c>
      <c r="K390" s="212" t="s">
        <v>6295</v>
      </c>
      <c r="L390" s="213"/>
      <c r="M390" s="212" t="s">
        <v>6296</v>
      </c>
    </row>
    <row r="391" spans="1:13" ht="21" customHeight="1">
      <c r="A391" s="213" t="s">
        <v>6888</v>
      </c>
      <c r="B391" s="215">
        <f t="shared" si="18"/>
        <v>45688</v>
      </c>
      <c r="C391" s="213" t="s">
        <v>6238</v>
      </c>
      <c r="D391" s="213" t="s">
        <v>4366</v>
      </c>
      <c r="E391" s="213" t="s">
        <v>334</v>
      </c>
      <c r="F391" s="212" t="s">
        <v>6158</v>
      </c>
      <c r="G391" s="212" t="str">
        <f t="shared" si="19"/>
        <v>401용역매출</v>
      </c>
      <c r="H391" s="214">
        <v>0</v>
      </c>
      <c r="I391" s="214">
        <v>90909</v>
      </c>
      <c r="J391" s="214">
        <f t="shared" si="20"/>
        <v>90909</v>
      </c>
      <c r="K391" s="212" t="s">
        <v>6295</v>
      </c>
      <c r="L391" s="213"/>
      <c r="M391" s="212" t="s">
        <v>6296</v>
      </c>
    </row>
    <row r="392" spans="1:13" ht="21" customHeight="1">
      <c r="A392" s="213" t="s">
        <v>6888</v>
      </c>
      <c r="B392" s="215">
        <f t="shared" si="18"/>
        <v>45688</v>
      </c>
      <c r="C392" s="213" t="s">
        <v>6238</v>
      </c>
      <c r="D392" s="213" t="s">
        <v>4369</v>
      </c>
      <c r="E392" s="213" t="s">
        <v>333</v>
      </c>
      <c r="F392" s="212" t="s">
        <v>4365</v>
      </c>
      <c r="G392" s="212" t="str">
        <f t="shared" si="19"/>
        <v>101현금</v>
      </c>
      <c r="H392" s="214">
        <v>100000</v>
      </c>
      <c r="I392" s="214">
        <v>0</v>
      </c>
      <c r="J392" s="214">
        <f t="shared" si="20"/>
        <v>-100000</v>
      </c>
      <c r="K392" s="212" t="s">
        <v>6295</v>
      </c>
      <c r="L392" s="213"/>
      <c r="M392" s="212" t="s">
        <v>6296</v>
      </c>
    </row>
    <row r="393" spans="1:13" ht="21" customHeight="1">
      <c r="A393" s="213" t="s">
        <v>6888</v>
      </c>
      <c r="B393" s="215">
        <f t="shared" si="18"/>
        <v>45688</v>
      </c>
      <c r="C393" s="213" t="s">
        <v>6240</v>
      </c>
      <c r="D393" s="213" t="s">
        <v>4366</v>
      </c>
      <c r="E393" s="213" t="s">
        <v>6176</v>
      </c>
      <c r="F393" s="212" t="s">
        <v>6177</v>
      </c>
      <c r="G393" s="212" t="str">
        <f t="shared" si="19"/>
        <v>255부가세예수금</v>
      </c>
      <c r="H393" s="214">
        <v>0</v>
      </c>
      <c r="I393" s="214">
        <v>12000</v>
      </c>
      <c r="J393" s="214">
        <f t="shared" si="20"/>
        <v>12000</v>
      </c>
      <c r="K393" s="212" t="s">
        <v>6281</v>
      </c>
      <c r="L393" s="213"/>
      <c r="M393" s="212" t="s">
        <v>6225</v>
      </c>
    </row>
    <row r="394" spans="1:13" ht="21" customHeight="1">
      <c r="A394" s="213" t="s">
        <v>6888</v>
      </c>
      <c r="B394" s="215">
        <f t="shared" si="18"/>
        <v>45688</v>
      </c>
      <c r="C394" s="213" t="s">
        <v>6240</v>
      </c>
      <c r="D394" s="213" t="s">
        <v>4366</v>
      </c>
      <c r="E394" s="213" t="s">
        <v>334</v>
      </c>
      <c r="F394" s="212" t="s">
        <v>6158</v>
      </c>
      <c r="G394" s="212" t="str">
        <f t="shared" si="19"/>
        <v>401용역매출</v>
      </c>
      <c r="H394" s="214">
        <v>0</v>
      </c>
      <c r="I394" s="214">
        <v>120000</v>
      </c>
      <c r="J394" s="214">
        <f t="shared" si="20"/>
        <v>120000</v>
      </c>
      <c r="K394" s="212" t="s">
        <v>6281</v>
      </c>
      <c r="L394" s="213"/>
      <c r="M394" s="212" t="s">
        <v>6225</v>
      </c>
    </row>
    <row r="395" spans="1:13" ht="21" customHeight="1">
      <c r="A395" s="213" t="s">
        <v>6888</v>
      </c>
      <c r="B395" s="215">
        <f t="shared" si="18"/>
        <v>45688</v>
      </c>
      <c r="C395" s="213" t="s">
        <v>6240</v>
      </c>
      <c r="D395" s="213" t="s">
        <v>4369</v>
      </c>
      <c r="E395" s="213" t="s">
        <v>333</v>
      </c>
      <c r="F395" s="212" t="s">
        <v>4365</v>
      </c>
      <c r="G395" s="212" t="str">
        <f t="shared" si="19"/>
        <v>101현금</v>
      </c>
      <c r="H395" s="214">
        <v>132000</v>
      </c>
      <c r="I395" s="214">
        <v>0</v>
      </c>
      <c r="J395" s="214">
        <f t="shared" si="20"/>
        <v>-132000</v>
      </c>
      <c r="K395" s="212" t="s">
        <v>6281</v>
      </c>
      <c r="L395" s="213"/>
      <c r="M395" s="212" t="s">
        <v>6225</v>
      </c>
    </row>
    <row r="396" spans="1:13" ht="21" customHeight="1">
      <c r="A396" s="213" t="s">
        <v>6888</v>
      </c>
      <c r="B396" s="215">
        <f t="shared" si="18"/>
        <v>45688</v>
      </c>
      <c r="C396" s="213" t="s">
        <v>6241</v>
      </c>
      <c r="D396" s="213" t="s">
        <v>4366</v>
      </c>
      <c r="E396" s="213" t="s">
        <v>6176</v>
      </c>
      <c r="F396" s="212" t="s">
        <v>6177</v>
      </c>
      <c r="G396" s="212" t="str">
        <f t="shared" si="19"/>
        <v>255부가세예수금</v>
      </c>
      <c r="H396" s="214">
        <v>0</v>
      </c>
      <c r="I396" s="214">
        <v>15000</v>
      </c>
      <c r="J396" s="214">
        <f t="shared" si="20"/>
        <v>15000</v>
      </c>
      <c r="K396" s="212" t="s">
        <v>6239</v>
      </c>
      <c r="L396" s="213"/>
      <c r="M396" s="212" t="s">
        <v>6179</v>
      </c>
    </row>
    <row r="397" spans="1:13" ht="21" customHeight="1">
      <c r="A397" s="213" t="s">
        <v>6888</v>
      </c>
      <c r="B397" s="215">
        <f t="shared" si="18"/>
        <v>45688</v>
      </c>
      <c r="C397" s="213" t="s">
        <v>6241</v>
      </c>
      <c r="D397" s="213" t="s">
        <v>4366</v>
      </c>
      <c r="E397" s="213" t="s">
        <v>334</v>
      </c>
      <c r="F397" s="212" t="s">
        <v>6158</v>
      </c>
      <c r="G397" s="212" t="str">
        <f t="shared" si="19"/>
        <v>401용역매출</v>
      </c>
      <c r="H397" s="214">
        <v>0</v>
      </c>
      <c r="I397" s="214">
        <v>150000</v>
      </c>
      <c r="J397" s="214">
        <f t="shared" si="20"/>
        <v>150000</v>
      </c>
      <c r="K397" s="212" t="s">
        <v>6239</v>
      </c>
      <c r="L397" s="213"/>
      <c r="M397" s="212" t="s">
        <v>6179</v>
      </c>
    </row>
    <row r="398" spans="1:13" ht="21" customHeight="1">
      <c r="A398" s="213" t="s">
        <v>6888</v>
      </c>
      <c r="B398" s="215">
        <f t="shared" si="18"/>
        <v>45688</v>
      </c>
      <c r="C398" s="213" t="s">
        <v>6241</v>
      </c>
      <c r="D398" s="213" t="s">
        <v>4369</v>
      </c>
      <c r="E398" s="213" t="s">
        <v>333</v>
      </c>
      <c r="F398" s="212" t="s">
        <v>4365</v>
      </c>
      <c r="G398" s="212" t="str">
        <f t="shared" si="19"/>
        <v>101현금</v>
      </c>
      <c r="H398" s="214">
        <v>165000</v>
      </c>
      <c r="I398" s="214">
        <v>0</v>
      </c>
      <c r="J398" s="214">
        <f t="shared" si="20"/>
        <v>-165000</v>
      </c>
      <c r="K398" s="212" t="s">
        <v>6239</v>
      </c>
      <c r="L398" s="213"/>
      <c r="M398" s="212" t="s">
        <v>6179</v>
      </c>
    </row>
    <row r="399" spans="1:13" ht="21" customHeight="1">
      <c r="A399" s="213" t="s">
        <v>6888</v>
      </c>
      <c r="B399" s="215">
        <f t="shared" si="18"/>
        <v>45688</v>
      </c>
      <c r="C399" s="213" t="s">
        <v>6243</v>
      </c>
      <c r="D399" s="213" t="s">
        <v>4366</v>
      </c>
      <c r="E399" s="213" t="s">
        <v>6176</v>
      </c>
      <c r="F399" s="212" t="s">
        <v>6177</v>
      </c>
      <c r="G399" s="212" t="str">
        <f t="shared" si="19"/>
        <v>255부가세예수금</v>
      </c>
      <c r="H399" s="214">
        <v>0</v>
      </c>
      <c r="I399" s="214">
        <v>15000</v>
      </c>
      <c r="J399" s="214">
        <f t="shared" si="20"/>
        <v>15000</v>
      </c>
      <c r="K399" s="212" t="s">
        <v>6178</v>
      </c>
      <c r="L399" s="213"/>
      <c r="M399" s="212" t="s">
        <v>6179</v>
      </c>
    </row>
    <row r="400" spans="1:13" ht="21" customHeight="1">
      <c r="A400" s="213" t="s">
        <v>6888</v>
      </c>
      <c r="B400" s="215">
        <f t="shared" si="18"/>
        <v>45688</v>
      </c>
      <c r="C400" s="213" t="s">
        <v>6243</v>
      </c>
      <c r="D400" s="213" t="s">
        <v>4366</v>
      </c>
      <c r="E400" s="213" t="s">
        <v>334</v>
      </c>
      <c r="F400" s="212" t="s">
        <v>6158</v>
      </c>
      <c r="G400" s="212" t="str">
        <f t="shared" si="19"/>
        <v>401용역매출</v>
      </c>
      <c r="H400" s="214">
        <v>0</v>
      </c>
      <c r="I400" s="214">
        <v>150000</v>
      </c>
      <c r="J400" s="214">
        <f t="shared" si="20"/>
        <v>150000</v>
      </c>
      <c r="K400" s="212" t="s">
        <v>6178</v>
      </c>
      <c r="L400" s="213"/>
      <c r="M400" s="212" t="s">
        <v>6179</v>
      </c>
    </row>
    <row r="401" spans="1:13" ht="21" customHeight="1">
      <c r="A401" s="213" t="s">
        <v>6888</v>
      </c>
      <c r="B401" s="215">
        <f t="shared" si="18"/>
        <v>45688</v>
      </c>
      <c r="C401" s="213" t="s">
        <v>6243</v>
      </c>
      <c r="D401" s="213" t="s">
        <v>4369</v>
      </c>
      <c r="E401" s="213" t="s">
        <v>333</v>
      </c>
      <c r="F401" s="212" t="s">
        <v>4365</v>
      </c>
      <c r="G401" s="212" t="str">
        <f t="shared" si="19"/>
        <v>101현금</v>
      </c>
      <c r="H401" s="214">
        <v>165000</v>
      </c>
      <c r="I401" s="214">
        <v>0</v>
      </c>
      <c r="J401" s="214">
        <f t="shared" si="20"/>
        <v>-165000</v>
      </c>
      <c r="K401" s="212" t="s">
        <v>6178</v>
      </c>
      <c r="L401" s="213"/>
      <c r="M401" s="212" t="s">
        <v>6179</v>
      </c>
    </row>
    <row r="402" spans="1:13" ht="21" customHeight="1">
      <c r="A402" s="213" t="s">
        <v>6888</v>
      </c>
      <c r="B402" s="215">
        <f t="shared" si="18"/>
        <v>45688</v>
      </c>
      <c r="C402" s="213" t="s">
        <v>6244</v>
      </c>
      <c r="D402" s="213" t="s">
        <v>4366</v>
      </c>
      <c r="E402" s="213" t="s">
        <v>6176</v>
      </c>
      <c r="F402" s="212" t="s">
        <v>6177</v>
      </c>
      <c r="G402" s="212" t="str">
        <f t="shared" si="19"/>
        <v>255부가세예수금</v>
      </c>
      <c r="H402" s="214">
        <v>0</v>
      </c>
      <c r="I402" s="214">
        <v>30000</v>
      </c>
      <c r="J402" s="214">
        <f t="shared" si="20"/>
        <v>30000</v>
      </c>
      <c r="K402" s="212" t="s">
        <v>6180</v>
      </c>
      <c r="L402" s="213"/>
      <c r="M402" s="212" t="s">
        <v>6190</v>
      </c>
    </row>
    <row r="403" spans="1:13" ht="21" customHeight="1">
      <c r="A403" s="213" t="s">
        <v>6888</v>
      </c>
      <c r="B403" s="215">
        <f t="shared" si="18"/>
        <v>45688</v>
      </c>
      <c r="C403" s="213" t="s">
        <v>6244</v>
      </c>
      <c r="D403" s="213" t="s">
        <v>4366</v>
      </c>
      <c r="E403" s="213" t="s">
        <v>334</v>
      </c>
      <c r="F403" s="212" t="s">
        <v>6158</v>
      </c>
      <c r="G403" s="212" t="str">
        <f t="shared" si="19"/>
        <v>401용역매출</v>
      </c>
      <c r="H403" s="214">
        <v>0</v>
      </c>
      <c r="I403" s="214">
        <v>300000</v>
      </c>
      <c r="J403" s="214">
        <f t="shared" si="20"/>
        <v>300000</v>
      </c>
      <c r="K403" s="212" t="s">
        <v>6180</v>
      </c>
      <c r="L403" s="213"/>
      <c r="M403" s="212" t="s">
        <v>6190</v>
      </c>
    </row>
    <row r="404" spans="1:13" ht="21" customHeight="1">
      <c r="A404" s="213" t="s">
        <v>6888</v>
      </c>
      <c r="B404" s="215">
        <f t="shared" si="18"/>
        <v>45688</v>
      </c>
      <c r="C404" s="213" t="s">
        <v>6244</v>
      </c>
      <c r="D404" s="213" t="s">
        <v>4369</v>
      </c>
      <c r="E404" s="213" t="s">
        <v>333</v>
      </c>
      <c r="F404" s="212" t="s">
        <v>4365</v>
      </c>
      <c r="G404" s="212" t="str">
        <f t="shared" si="19"/>
        <v>101현금</v>
      </c>
      <c r="H404" s="214">
        <v>330000</v>
      </c>
      <c r="I404" s="214">
        <v>0</v>
      </c>
      <c r="J404" s="214">
        <f t="shared" si="20"/>
        <v>-330000</v>
      </c>
      <c r="K404" s="212" t="s">
        <v>6180</v>
      </c>
      <c r="L404" s="213"/>
      <c r="M404" s="212" t="s">
        <v>6190</v>
      </c>
    </row>
    <row r="405" spans="1:13" ht="21" customHeight="1">
      <c r="A405" s="213" t="s">
        <v>6888</v>
      </c>
      <c r="B405" s="215">
        <f t="shared" si="18"/>
        <v>45688</v>
      </c>
      <c r="C405" s="213" t="s">
        <v>6246</v>
      </c>
      <c r="D405" s="213" t="s">
        <v>4366</v>
      </c>
      <c r="E405" s="213" t="s">
        <v>6176</v>
      </c>
      <c r="F405" s="212" t="s">
        <v>6177</v>
      </c>
      <c r="G405" s="212" t="str">
        <f t="shared" si="19"/>
        <v>255부가세예수금</v>
      </c>
      <c r="H405" s="214">
        <v>0</v>
      </c>
      <c r="I405" s="214">
        <v>12000</v>
      </c>
      <c r="J405" s="214">
        <f t="shared" si="20"/>
        <v>12000</v>
      </c>
      <c r="K405" s="212" t="s">
        <v>6224</v>
      </c>
      <c r="L405" s="213"/>
      <c r="M405" s="212" t="s">
        <v>6225</v>
      </c>
    </row>
    <row r="406" spans="1:13" ht="21" customHeight="1">
      <c r="A406" s="213" t="s">
        <v>6888</v>
      </c>
      <c r="B406" s="215">
        <f t="shared" si="18"/>
        <v>45688</v>
      </c>
      <c r="C406" s="213" t="s">
        <v>6246</v>
      </c>
      <c r="D406" s="213" t="s">
        <v>4366</v>
      </c>
      <c r="E406" s="213" t="s">
        <v>334</v>
      </c>
      <c r="F406" s="212" t="s">
        <v>6158</v>
      </c>
      <c r="G406" s="212" t="str">
        <f t="shared" si="19"/>
        <v>401용역매출</v>
      </c>
      <c r="H406" s="214">
        <v>0</v>
      </c>
      <c r="I406" s="214">
        <v>120000</v>
      </c>
      <c r="J406" s="214">
        <f t="shared" si="20"/>
        <v>120000</v>
      </c>
      <c r="K406" s="212" t="s">
        <v>6224</v>
      </c>
      <c r="L406" s="213"/>
      <c r="M406" s="212" t="s">
        <v>6225</v>
      </c>
    </row>
    <row r="407" spans="1:13" ht="21" customHeight="1">
      <c r="A407" s="213" t="s">
        <v>6888</v>
      </c>
      <c r="B407" s="215">
        <f t="shared" si="18"/>
        <v>45688</v>
      </c>
      <c r="C407" s="213" t="s">
        <v>6246</v>
      </c>
      <c r="D407" s="213" t="s">
        <v>4369</v>
      </c>
      <c r="E407" s="213" t="s">
        <v>333</v>
      </c>
      <c r="F407" s="212" t="s">
        <v>4365</v>
      </c>
      <c r="G407" s="212" t="str">
        <f t="shared" si="19"/>
        <v>101현금</v>
      </c>
      <c r="H407" s="214">
        <v>132000</v>
      </c>
      <c r="I407" s="214">
        <v>0</v>
      </c>
      <c r="J407" s="214">
        <f t="shared" si="20"/>
        <v>-132000</v>
      </c>
      <c r="K407" s="212" t="s">
        <v>6224</v>
      </c>
      <c r="L407" s="213"/>
      <c r="M407" s="212" t="s">
        <v>6225</v>
      </c>
    </row>
    <row r="408" spans="1:13" ht="21" customHeight="1">
      <c r="A408" s="213" t="s">
        <v>6888</v>
      </c>
      <c r="B408" s="215">
        <f t="shared" si="18"/>
        <v>45688</v>
      </c>
      <c r="C408" s="213" t="s">
        <v>6248</v>
      </c>
      <c r="D408" s="213" t="s">
        <v>4366</v>
      </c>
      <c r="E408" s="213" t="s">
        <v>6176</v>
      </c>
      <c r="F408" s="212" t="s">
        <v>6177</v>
      </c>
      <c r="G408" s="212" t="str">
        <f t="shared" si="19"/>
        <v>255부가세예수금</v>
      </c>
      <c r="H408" s="214">
        <v>0</v>
      </c>
      <c r="I408" s="214">
        <v>7000</v>
      </c>
      <c r="J408" s="214">
        <f t="shared" si="20"/>
        <v>7000</v>
      </c>
      <c r="K408" s="212" t="s">
        <v>6336</v>
      </c>
      <c r="L408" s="213"/>
      <c r="M408" s="212" t="s">
        <v>6287</v>
      </c>
    </row>
    <row r="409" spans="1:13" ht="21" customHeight="1">
      <c r="A409" s="213" t="s">
        <v>6888</v>
      </c>
      <c r="B409" s="215">
        <f t="shared" si="18"/>
        <v>45688</v>
      </c>
      <c r="C409" s="213" t="s">
        <v>6248</v>
      </c>
      <c r="D409" s="213" t="s">
        <v>4366</v>
      </c>
      <c r="E409" s="213" t="s">
        <v>334</v>
      </c>
      <c r="F409" s="212" t="s">
        <v>6158</v>
      </c>
      <c r="G409" s="212" t="str">
        <f t="shared" si="19"/>
        <v>401용역매출</v>
      </c>
      <c r="H409" s="214">
        <v>0</v>
      </c>
      <c r="I409" s="214">
        <v>70000</v>
      </c>
      <c r="J409" s="214">
        <f t="shared" si="20"/>
        <v>70000</v>
      </c>
      <c r="K409" s="212" t="s">
        <v>6336</v>
      </c>
      <c r="L409" s="213"/>
      <c r="M409" s="212" t="s">
        <v>6287</v>
      </c>
    </row>
    <row r="410" spans="1:13" ht="21" customHeight="1">
      <c r="A410" s="213" t="s">
        <v>6888</v>
      </c>
      <c r="B410" s="215">
        <f t="shared" si="18"/>
        <v>45688</v>
      </c>
      <c r="C410" s="213" t="s">
        <v>6248</v>
      </c>
      <c r="D410" s="213" t="s">
        <v>4369</v>
      </c>
      <c r="E410" s="213" t="s">
        <v>333</v>
      </c>
      <c r="F410" s="212" t="s">
        <v>4365</v>
      </c>
      <c r="G410" s="212" t="str">
        <f t="shared" si="19"/>
        <v>101현금</v>
      </c>
      <c r="H410" s="214">
        <v>77000</v>
      </c>
      <c r="I410" s="214">
        <v>0</v>
      </c>
      <c r="J410" s="214">
        <f t="shared" si="20"/>
        <v>-77000</v>
      </c>
      <c r="K410" s="212" t="s">
        <v>6336</v>
      </c>
      <c r="L410" s="213"/>
      <c r="M410" s="212" t="s">
        <v>6287</v>
      </c>
    </row>
    <row r="411" spans="1:13" ht="21" customHeight="1">
      <c r="A411" s="213" t="s">
        <v>6888</v>
      </c>
      <c r="B411" s="215">
        <f t="shared" si="18"/>
        <v>45688</v>
      </c>
      <c r="C411" s="213" t="s">
        <v>6249</v>
      </c>
      <c r="D411" s="213" t="s">
        <v>4366</v>
      </c>
      <c r="E411" s="213" t="s">
        <v>6176</v>
      </c>
      <c r="F411" s="212" t="s">
        <v>6177</v>
      </c>
      <c r="G411" s="212" t="str">
        <f t="shared" si="19"/>
        <v>255부가세예수금</v>
      </c>
      <c r="H411" s="214">
        <v>0</v>
      </c>
      <c r="I411" s="214">
        <v>15000</v>
      </c>
      <c r="J411" s="214">
        <f t="shared" si="20"/>
        <v>15000</v>
      </c>
      <c r="K411" s="212" t="s">
        <v>6223</v>
      </c>
      <c r="L411" s="213"/>
      <c r="M411" s="212" t="s">
        <v>6179</v>
      </c>
    </row>
    <row r="412" spans="1:13" ht="21" customHeight="1">
      <c r="A412" s="213" t="s">
        <v>6888</v>
      </c>
      <c r="B412" s="215">
        <f t="shared" si="18"/>
        <v>45688</v>
      </c>
      <c r="C412" s="213" t="s">
        <v>6249</v>
      </c>
      <c r="D412" s="213" t="s">
        <v>4366</v>
      </c>
      <c r="E412" s="213" t="s">
        <v>334</v>
      </c>
      <c r="F412" s="212" t="s">
        <v>6158</v>
      </c>
      <c r="G412" s="212" t="str">
        <f t="shared" si="19"/>
        <v>401용역매출</v>
      </c>
      <c r="H412" s="214">
        <v>0</v>
      </c>
      <c r="I412" s="214">
        <v>150000</v>
      </c>
      <c r="J412" s="214">
        <f t="shared" si="20"/>
        <v>150000</v>
      </c>
      <c r="K412" s="212" t="s">
        <v>6223</v>
      </c>
      <c r="L412" s="213"/>
      <c r="M412" s="212" t="s">
        <v>6179</v>
      </c>
    </row>
    <row r="413" spans="1:13" ht="21" customHeight="1">
      <c r="A413" s="213" t="s">
        <v>6888</v>
      </c>
      <c r="B413" s="215">
        <f t="shared" si="18"/>
        <v>45688</v>
      </c>
      <c r="C413" s="213" t="s">
        <v>6249</v>
      </c>
      <c r="D413" s="213" t="s">
        <v>4369</v>
      </c>
      <c r="E413" s="213" t="s">
        <v>333</v>
      </c>
      <c r="F413" s="212" t="s">
        <v>4365</v>
      </c>
      <c r="G413" s="212" t="str">
        <f t="shared" si="19"/>
        <v>101현금</v>
      </c>
      <c r="H413" s="214">
        <v>165000</v>
      </c>
      <c r="I413" s="214">
        <v>0</v>
      </c>
      <c r="J413" s="214">
        <f t="shared" si="20"/>
        <v>-165000</v>
      </c>
      <c r="K413" s="212" t="s">
        <v>6223</v>
      </c>
      <c r="L413" s="213"/>
      <c r="M413" s="212" t="s">
        <v>6179</v>
      </c>
    </row>
    <row r="414" spans="1:13" ht="21" customHeight="1">
      <c r="A414" s="213" t="s">
        <v>6888</v>
      </c>
      <c r="B414" s="215">
        <f t="shared" si="18"/>
        <v>45688</v>
      </c>
      <c r="C414" s="213" t="s">
        <v>6250</v>
      </c>
      <c r="D414" s="216" t="s">
        <v>4372</v>
      </c>
      <c r="E414" s="213" t="s">
        <v>6176</v>
      </c>
      <c r="F414" s="212" t="s">
        <v>6177</v>
      </c>
      <c r="G414" s="212" t="str">
        <f t="shared" si="19"/>
        <v>255부가세예수금</v>
      </c>
      <c r="H414" s="214">
        <v>0</v>
      </c>
      <c r="I414" s="214">
        <v>27272</v>
      </c>
      <c r="J414" s="214">
        <f t="shared" si="20"/>
        <v>27272</v>
      </c>
      <c r="K414" s="212" t="s">
        <v>6277</v>
      </c>
      <c r="L414" s="213" t="s">
        <v>6411</v>
      </c>
      <c r="M414" s="212" t="s">
        <v>6512</v>
      </c>
    </row>
    <row r="415" spans="1:13" ht="21" customHeight="1">
      <c r="A415" s="213" t="s">
        <v>6888</v>
      </c>
      <c r="B415" s="215">
        <f t="shared" si="18"/>
        <v>45688</v>
      </c>
      <c r="C415" s="213" t="s">
        <v>6250</v>
      </c>
      <c r="D415" s="216" t="s">
        <v>4372</v>
      </c>
      <c r="E415" s="213" t="s">
        <v>333</v>
      </c>
      <c r="F415" s="212" t="s">
        <v>4365</v>
      </c>
      <c r="G415" s="212" t="str">
        <f t="shared" si="19"/>
        <v>101현금</v>
      </c>
      <c r="H415" s="214">
        <v>27272</v>
      </c>
      <c r="I415" s="214">
        <v>0</v>
      </c>
      <c r="J415" s="214">
        <f t="shared" si="20"/>
        <v>-27272</v>
      </c>
      <c r="K415" s="212" t="s">
        <v>6277</v>
      </c>
      <c r="L415" s="213" t="s">
        <v>6411</v>
      </c>
      <c r="M415" s="212" t="s">
        <v>6512</v>
      </c>
    </row>
    <row r="416" spans="1:13" ht="21" customHeight="1">
      <c r="A416" s="213" t="s">
        <v>6888</v>
      </c>
      <c r="B416" s="215">
        <f t="shared" si="18"/>
        <v>45688</v>
      </c>
      <c r="C416" s="213" t="s">
        <v>6250</v>
      </c>
      <c r="D416" s="216" t="s">
        <v>4372</v>
      </c>
      <c r="E416" s="213" t="s">
        <v>334</v>
      </c>
      <c r="F416" s="212" t="s">
        <v>6158</v>
      </c>
      <c r="G416" s="212" t="str">
        <f t="shared" si="19"/>
        <v>401용역매출</v>
      </c>
      <c r="H416" s="214">
        <v>0</v>
      </c>
      <c r="I416" s="214">
        <v>272728</v>
      </c>
      <c r="J416" s="214">
        <f t="shared" si="20"/>
        <v>272728</v>
      </c>
      <c r="K416" s="212" t="s">
        <v>6277</v>
      </c>
      <c r="L416" s="213" t="s">
        <v>6411</v>
      </c>
      <c r="M416" s="212" t="s">
        <v>6512</v>
      </c>
    </row>
    <row r="417" spans="1:13" ht="21" customHeight="1">
      <c r="A417" s="213" t="s">
        <v>6888</v>
      </c>
      <c r="B417" s="215">
        <f t="shared" si="18"/>
        <v>45688</v>
      </c>
      <c r="C417" s="213" t="s">
        <v>6250</v>
      </c>
      <c r="D417" s="216" t="s">
        <v>4372</v>
      </c>
      <c r="E417" s="213" t="s">
        <v>333</v>
      </c>
      <c r="F417" s="212" t="s">
        <v>4365</v>
      </c>
      <c r="G417" s="212" t="str">
        <f t="shared" si="19"/>
        <v>101현금</v>
      </c>
      <c r="H417" s="214">
        <v>272728</v>
      </c>
      <c r="I417" s="214">
        <v>0</v>
      </c>
      <c r="J417" s="214">
        <f t="shared" si="20"/>
        <v>-272728</v>
      </c>
      <c r="K417" s="212" t="s">
        <v>6277</v>
      </c>
      <c r="L417" s="213" t="s">
        <v>6411</v>
      </c>
      <c r="M417" s="212" t="s">
        <v>6512</v>
      </c>
    </row>
    <row r="418" spans="1:13" ht="21" customHeight="1">
      <c r="A418" s="217" t="s">
        <v>6886</v>
      </c>
      <c r="B418" s="215">
        <f t="shared" si="18"/>
        <v>45689</v>
      </c>
      <c r="C418" s="213" t="s">
        <v>4373</v>
      </c>
      <c r="D418" s="213" t="s">
        <v>4366</v>
      </c>
      <c r="E418" s="213" t="s">
        <v>333</v>
      </c>
      <c r="F418" s="212" t="s">
        <v>4365</v>
      </c>
      <c r="G418" s="212" t="str">
        <f t="shared" si="19"/>
        <v>101현금</v>
      </c>
      <c r="H418" s="214">
        <v>0</v>
      </c>
      <c r="I418" s="214">
        <v>1000</v>
      </c>
      <c r="J418" s="214">
        <f t="shared" si="20"/>
        <v>1000</v>
      </c>
      <c r="K418" s="212" t="s">
        <v>6370</v>
      </c>
      <c r="L418" s="213"/>
      <c r="M418" s="212"/>
    </row>
    <row r="419" spans="1:13" ht="21" customHeight="1">
      <c r="A419" s="217" t="s">
        <v>6886</v>
      </c>
      <c r="B419" s="215">
        <f t="shared" si="18"/>
        <v>45689</v>
      </c>
      <c r="C419" s="213" t="s">
        <v>4373</v>
      </c>
      <c r="D419" s="213" t="s">
        <v>4369</v>
      </c>
      <c r="E419" s="213" t="s">
        <v>4380</v>
      </c>
      <c r="F419" s="212" t="s">
        <v>6515</v>
      </c>
      <c r="G419" s="212" t="str">
        <f t="shared" si="19"/>
        <v>812여비교통비(판)</v>
      </c>
      <c r="H419" s="214">
        <v>1000</v>
      </c>
      <c r="I419" s="214">
        <v>0</v>
      </c>
      <c r="J419" s="214">
        <f t="shared" si="20"/>
        <v>-1000</v>
      </c>
      <c r="K419" s="212" t="s">
        <v>6292</v>
      </c>
      <c r="L419" s="213"/>
      <c r="M419" s="212"/>
    </row>
    <row r="420" spans="1:13" ht="21" customHeight="1">
      <c r="A420" s="217" t="s">
        <v>6886</v>
      </c>
      <c r="B420" s="215">
        <f t="shared" si="18"/>
        <v>45689</v>
      </c>
      <c r="C420" s="213" t="s">
        <v>4382</v>
      </c>
      <c r="D420" s="213" t="s">
        <v>4369</v>
      </c>
      <c r="E420" s="213" t="s">
        <v>4499</v>
      </c>
      <c r="F420" s="212" t="s">
        <v>6517</v>
      </c>
      <c r="G420" s="212" t="str">
        <f t="shared" si="19"/>
        <v>811복리후생비(판)</v>
      </c>
      <c r="H420" s="214">
        <v>21900</v>
      </c>
      <c r="I420" s="214">
        <v>0</v>
      </c>
      <c r="J420" s="214">
        <f t="shared" si="20"/>
        <v>-21900</v>
      </c>
      <c r="K420" s="212" t="s">
        <v>6354</v>
      </c>
      <c r="L420" s="213"/>
      <c r="M420" s="212"/>
    </row>
    <row r="421" spans="1:13" ht="21" customHeight="1">
      <c r="A421" s="217" t="s">
        <v>6886</v>
      </c>
      <c r="B421" s="215">
        <f t="shared" si="18"/>
        <v>45689</v>
      </c>
      <c r="C421" s="213" t="s">
        <v>4382</v>
      </c>
      <c r="D421" s="213" t="s">
        <v>4366</v>
      </c>
      <c r="E421" s="213" t="s">
        <v>333</v>
      </c>
      <c r="F421" s="212" t="s">
        <v>4365</v>
      </c>
      <c r="G421" s="212" t="str">
        <f t="shared" si="19"/>
        <v>101현금</v>
      </c>
      <c r="H421" s="214">
        <v>0</v>
      </c>
      <c r="I421" s="214">
        <v>21900</v>
      </c>
      <c r="J421" s="214">
        <f t="shared" si="20"/>
        <v>21900</v>
      </c>
      <c r="K421" s="212" t="s">
        <v>6354</v>
      </c>
      <c r="L421" s="213"/>
      <c r="M421" s="212"/>
    </row>
    <row r="422" spans="1:13" ht="21" customHeight="1">
      <c r="A422" s="217" t="s">
        <v>6886</v>
      </c>
      <c r="B422" s="215">
        <f t="shared" si="18"/>
        <v>45689</v>
      </c>
      <c r="C422" s="213" t="s">
        <v>4367</v>
      </c>
      <c r="D422" s="213" t="s">
        <v>4366</v>
      </c>
      <c r="E422" s="213" t="s">
        <v>6176</v>
      </c>
      <c r="F422" s="212" t="s">
        <v>6177</v>
      </c>
      <c r="G422" s="212" t="str">
        <f t="shared" si="19"/>
        <v>255부가세예수금</v>
      </c>
      <c r="H422" s="214">
        <v>0</v>
      </c>
      <c r="I422" s="214">
        <v>16091</v>
      </c>
      <c r="J422" s="214">
        <f t="shared" si="20"/>
        <v>16091</v>
      </c>
      <c r="K422" s="212" t="s">
        <v>6317</v>
      </c>
      <c r="L422" s="213"/>
      <c r="M422" s="212" t="s">
        <v>6887</v>
      </c>
    </row>
    <row r="423" spans="1:13" ht="21" customHeight="1">
      <c r="A423" s="217" t="s">
        <v>6886</v>
      </c>
      <c r="B423" s="215">
        <f t="shared" si="18"/>
        <v>45689</v>
      </c>
      <c r="C423" s="213" t="s">
        <v>4367</v>
      </c>
      <c r="D423" s="213" t="s">
        <v>4366</v>
      </c>
      <c r="E423" s="213" t="s">
        <v>334</v>
      </c>
      <c r="F423" s="212" t="s">
        <v>6158</v>
      </c>
      <c r="G423" s="212" t="str">
        <f t="shared" si="19"/>
        <v>401용역매출</v>
      </c>
      <c r="H423" s="214">
        <v>0</v>
      </c>
      <c r="I423" s="214">
        <v>160909</v>
      </c>
      <c r="J423" s="214">
        <f t="shared" si="20"/>
        <v>160909</v>
      </c>
      <c r="K423" s="212" t="s">
        <v>6317</v>
      </c>
      <c r="L423" s="213"/>
      <c r="M423" s="212" t="s">
        <v>6887</v>
      </c>
    </row>
    <row r="424" spans="1:13" ht="21" customHeight="1">
      <c r="A424" s="217" t="s">
        <v>6886</v>
      </c>
      <c r="B424" s="215">
        <f t="shared" si="18"/>
        <v>45689</v>
      </c>
      <c r="C424" s="213" t="s">
        <v>4367</v>
      </c>
      <c r="D424" s="213" t="s">
        <v>4369</v>
      </c>
      <c r="E424" s="213" t="s">
        <v>333</v>
      </c>
      <c r="F424" s="212" t="s">
        <v>4365</v>
      </c>
      <c r="G424" s="212" t="str">
        <f t="shared" si="19"/>
        <v>101현금</v>
      </c>
      <c r="H424" s="214">
        <v>177000</v>
      </c>
      <c r="I424" s="214">
        <v>0</v>
      </c>
      <c r="J424" s="214">
        <f t="shared" si="20"/>
        <v>-177000</v>
      </c>
      <c r="K424" s="212" t="s">
        <v>6317</v>
      </c>
      <c r="L424" s="213"/>
      <c r="M424" s="212" t="s">
        <v>6887</v>
      </c>
    </row>
    <row r="425" spans="1:13" ht="21" customHeight="1">
      <c r="A425" s="217" t="s">
        <v>6886</v>
      </c>
      <c r="B425" s="215">
        <f t="shared" si="18"/>
        <v>45689</v>
      </c>
      <c r="C425" s="213" t="s">
        <v>4374</v>
      </c>
      <c r="D425" s="213" t="s">
        <v>4366</v>
      </c>
      <c r="E425" s="213" t="s">
        <v>6176</v>
      </c>
      <c r="F425" s="212" t="s">
        <v>6177</v>
      </c>
      <c r="G425" s="212" t="str">
        <f t="shared" si="19"/>
        <v>255부가세예수금</v>
      </c>
      <c r="H425" s="214">
        <v>0</v>
      </c>
      <c r="I425" s="214">
        <v>12000</v>
      </c>
      <c r="J425" s="214">
        <f t="shared" si="20"/>
        <v>12000</v>
      </c>
      <c r="K425" s="212" t="s">
        <v>6308</v>
      </c>
      <c r="L425" s="213"/>
      <c r="M425" s="212" t="s">
        <v>6225</v>
      </c>
    </row>
    <row r="426" spans="1:13" ht="21" customHeight="1">
      <c r="A426" s="217" t="s">
        <v>6886</v>
      </c>
      <c r="B426" s="215">
        <f t="shared" si="18"/>
        <v>45689</v>
      </c>
      <c r="C426" s="213" t="s">
        <v>4374</v>
      </c>
      <c r="D426" s="213" t="s">
        <v>4366</v>
      </c>
      <c r="E426" s="213" t="s">
        <v>334</v>
      </c>
      <c r="F426" s="212" t="s">
        <v>6158</v>
      </c>
      <c r="G426" s="212" t="str">
        <f t="shared" si="19"/>
        <v>401용역매출</v>
      </c>
      <c r="H426" s="214">
        <v>0</v>
      </c>
      <c r="I426" s="214">
        <v>120000</v>
      </c>
      <c r="J426" s="214">
        <f t="shared" si="20"/>
        <v>120000</v>
      </c>
      <c r="K426" s="212" t="s">
        <v>6308</v>
      </c>
      <c r="L426" s="213"/>
      <c r="M426" s="212" t="s">
        <v>6225</v>
      </c>
    </row>
    <row r="427" spans="1:13" ht="21" customHeight="1">
      <c r="A427" s="217" t="s">
        <v>6886</v>
      </c>
      <c r="B427" s="215">
        <f t="shared" si="18"/>
        <v>45689</v>
      </c>
      <c r="C427" s="213" t="s">
        <v>4374</v>
      </c>
      <c r="D427" s="213" t="s">
        <v>4369</v>
      </c>
      <c r="E427" s="213" t="s">
        <v>333</v>
      </c>
      <c r="F427" s="212" t="s">
        <v>4365</v>
      </c>
      <c r="G427" s="212" t="str">
        <f t="shared" si="19"/>
        <v>101현금</v>
      </c>
      <c r="H427" s="214">
        <v>132000</v>
      </c>
      <c r="I427" s="214">
        <v>0</v>
      </c>
      <c r="J427" s="214">
        <f t="shared" si="20"/>
        <v>-132000</v>
      </c>
      <c r="K427" s="212" t="s">
        <v>6308</v>
      </c>
      <c r="L427" s="213"/>
      <c r="M427" s="212" t="s">
        <v>6225</v>
      </c>
    </row>
    <row r="428" spans="1:13" ht="21" customHeight="1">
      <c r="A428" s="217" t="s">
        <v>6886</v>
      </c>
      <c r="B428" s="215">
        <f t="shared" si="18"/>
        <v>45689</v>
      </c>
      <c r="C428" s="213" t="s">
        <v>6182</v>
      </c>
      <c r="D428" s="213" t="s">
        <v>4366</v>
      </c>
      <c r="E428" s="213" t="s">
        <v>6176</v>
      </c>
      <c r="F428" s="212" t="s">
        <v>6177</v>
      </c>
      <c r="G428" s="212" t="str">
        <f t="shared" si="19"/>
        <v>255부가세예수금</v>
      </c>
      <c r="H428" s="214">
        <v>0</v>
      </c>
      <c r="I428" s="214">
        <v>15000</v>
      </c>
      <c r="J428" s="214">
        <f t="shared" si="20"/>
        <v>15000</v>
      </c>
      <c r="K428" s="212" t="s">
        <v>6181</v>
      </c>
      <c r="L428" s="213"/>
      <c r="M428" s="212" t="s">
        <v>6179</v>
      </c>
    </row>
    <row r="429" spans="1:13" ht="21" customHeight="1">
      <c r="A429" s="217" t="s">
        <v>6886</v>
      </c>
      <c r="B429" s="215">
        <f t="shared" si="18"/>
        <v>45689</v>
      </c>
      <c r="C429" s="213" t="s">
        <v>6182</v>
      </c>
      <c r="D429" s="213" t="s">
        <v>4366</v>
      </c>
      <c r="E429" s="213" t="s">
        <v>334</v>
      </c>
      <c r="F429" s="212" t="s">
        <v>6158</v>
      </c>
      <c r="G429" s="212" t="str">
        <f t="shared" si="19"/>
        <v>401용역매출</v>
      </c>
      <c r="H429" s="214">
        <v>0</v>
      </c>
      <c r="I429" s="214">
        <v>150000</v>
      </c>
      <c r="J429" s="214">
        <f t="shared" si="20"/>
        <v>150000</v>
      </c>
      <c r="K429" s="212" t="s">
        <v>6181</v>
      </c>
      <c r="L429" s="213"/>
      <c r="M429" s="212" t="s">
        <v>6179</v>
      </c>
    </row>
    <row r="430" spans="1:13" ht="21" customHeight="1">
      <c r="A430" s="217" t="s">
        <v>6886</v>
      </c>
      <c r="B430" s="215">
        <f t="shared" si="18"/>
        <v>45689</v>
      </c>
      <c r="C430" s="213" t="s">
        <v>6182</v>
      </c>
      <c r="D430" s="213" t="s">
        <v>4369</v>
      </c>
      <c r="E430" s="213" t="s">
        <v>333</v>
      </c>
      <c r="F430" s="212" t="s">
        <v>4365</v>
      </c>
      <c r="G430" s="212" t="str">
        <f t="shared" si="19"/>
        <v>101현금</v>
      </c>
      <c r="H430" s="214">
        <v>165000</v>
      </c>
      <c r="I430" s="214">
        <v>0</v>
      </c>
      <c r="J430" s="214">
        <f t="shared" si="20"/>
        <v>-165000</v>
      </c>
      <c r="K430" s="212" t="s">
        <v>6181</v>
      </c>
      <c r="L430" s="213"/>
      <c r="M430" s="212" t="s">
        <v>6179</v>
      </c>
    </row>
    <row r="431" spans="1:13" ht="21" customHeight="1">
      <c r="A431" s="217" t="s">
        <v>6886</v>
      </c>
      <c r="B431" s="215">
        <f t="shared" si="18"/>
        <v>45689</v>
      </c>
      <c r="C431" s="213" t="s">
        <v>6184</v>
      </c>
      <c r="D431" s="213" t="s">
        <v>4366</v>
      </c>
      <c r="E431" s="213" t="s">
        <v>6176</v>
      </c>
      <c r="F431" s="212" t="s">
        <v>6177</v>
      </c>
      <c r="G431" s="212" t="str">
        <f t="shared" si="19"/>
        <v>255부가세예수금</v>
      </c>
      <c r="H431" s="214">
        <v>0</v>
      </c>
      <c r="I431" s="214">
        <v>15000</v>
      </c>
      <c r="J431" s="214">
        <f t="shared" si="20"/>
        <v>15000</v>
      </c>
      <c r="K431" s="212" t="s">
        <v>6183</v>
      </c>
      <c r="L431" s="213"/>
      <c r="M431" s="212" t="s">
        <v>6179</v>
      </c>
    </row>
    <row r="432" spans="1:13" ht="21" customHeight="1">
      <c r="A432" s="217" t="s">
        <v>6886</v>
      </c>
      <c r="B432" s="215">
        <f t="shared" si="18"/>
        <v>45689</v>
      </c>
      <c r="C432" s="213" t="s">
        <v>6184</v>
      </c>
      <c r="D432" s="213" t="s">
        <v>4366</v>
      </c>
      <c r="E432" s="213" t="s">
        <v>334</v>
      </c>
      <c r="F432" s="212" t="s">
        <v>6158</v>
      </c>
      <c r="G432" s="212" t="str">
        <f t="shared" si="19"/>
        <v>401용역매출</v>
      </c>
      <c r="H432" s="214">
        <v>0</v>
      </c>
      <c r="I432" s="214">
        <v>150000</v>
      </c>
      <c r="J432" s="214">
        <f t="shared" si="20"/>
        <v>150000</v>
      </c>
      <c r="K432" s="212" t="s">
        <v>6183</v>
      </c>
      <c r="L432" s="213"/>
      <c r="M432" s="212" t="s">
        <v>6179</v>
      </c>
    </row>
    <row r="433" spans="1:13" ht="21" customHeight="1">
      <c r="A433" s="217" t="s">
        <v>6886</v>
      </c>
      <c r="B433" s="215">
        <f t="shared" si="18"/>
        <v>45689</v>
      </c>
      <c r="C433" s="213" t="s">
        <v>6184</v>
      </c>
      <c r="D433" s="213" t="s">
        <v>4369</v>
      </c>
      <c r="E433" s="213" t="s">
        <v>333</v>
      </c>
      <c r="F433" s="212" t="s">
        <v>4365</v>
      </c>
      <c r="G433" s="212" t="str">
        <f t="shared" si="19"/>
        <v>101현금</v>
      </c>
      <c r="H433" s="214">
        <v>165000</v>
      </c>
      <c r="I433" s="214">
        <v>0</v>
      </c>
      <c r="J433" s="214">
        <f t="shared" si="20"/>
        <v>-165000</v>
      </c>
      <c r="K433" s="212" t="s">
        <v>6183</v>
      </c>
      <c r="L433" s="213"/>
      <c r="M433" s="212" t="s">
        <v>6179</v>
      </c>
    </row>
    <row r="434" spans="1:13" ht="21" customHeight="1">
      <c r="A434" s="217" t="s">
        <v>6886</v>
      </c>
      <c r="B434" s="215">
        <f t="shared" si="18"/>
        <v>45689</v>
      </c>
      <c r="C434" s="213" t="s">
        <v>6186</v>
      </c>
      <c r="D434" s="213" t="s">
        <v>4366</v>
      </c>
      <c r="E434" s="213" t="s">
        <v>6176</v>
      </c>
      <c r="F434" s="212" t="s">
        <v>6177</v>
      </c>
      <c r="G434" s="212" t="str">
        <f t="shared" si="19"/>
        <v>255부가세예수금</v>
      </c>
      <c r="H434" s="214">
        <v>0</v>
      </c>
      <c r="I434" s="214">
        <v>9091</v>
      </c>
      <c r="J434" s="214">
        <f t="shared" si="20"/>
        <v>9091</v>
      </c>
      <c r="K434" s="212" t="s">
        <v>6300</v>
      </c>
      <c r="L434" s="213"/>
      <c r="M434" s="212" t="s">
        <v>6296</v>
      </c>
    </row>
    <row r="435" spans="1:13" ht="21" customHeight="1">
      <c r="A435" s="217" t="s">
        <v>6886</v>
      </c>
      <c r="B435" s="215">
        <f t="shared" si="18"/>
        <v>45689</v>
      </c>
      <c r="C435" s="213" t="s">
        <v>6186</v>
      </c>
      <c r="D435" s="213" t="s">
        <v>4366</v>
      </c>
      <c r="E435" s="213" t="s">
        <v>334</v>
      </c>
      <c r="F435" s="212" t="s">
        <v>6158</v>
      </c>
      <c r="G435" s="212" t="str">
        <f t="shared" si="19"/>
        <v>401용역매출</v>
      </c>
      <c r="H435" s="214">
        <v>0</v>
      </c>
      <c r="I435" s="214">
        <v>90909</v>
      </c>
      <c r="J435" s="214">
        <f t="shared" si="20"/>
        <v>90909</v>
      </c>
      <c r="K435" s="212" t="s">
        <v>6300</v>
      </c>
      <c r="L435" s="213"/>
      <c r="M435" s="212" t="s">
        <v>6296</v>
      </c>
    </row>
    <row r="436" spans="1:13" ht="21" customHeight="1">
      <c r="A436" s="217" t="s">
        <v>6886</v>
      </c>
      <c r="B436" s="215">
        <f t="shared" si="18"/>
        <v>45689</v>
      </c>
      <c r="C436" s="213" t="s">
        <v>6186</v>
      </c>
      <c r="D436" s="213" t="s">
        <v>4369</v>
      </c>
      <c r="E436" s="213" t="s">
        <v>333</v>
      </c>
      <c r="F436" s="212" t="s">
        <v>4365</v>
      </c>
      <c r="G436" s="212" t="str">
        <f t="shared" si="19"/>
        <v>101현금</v>
      </c>
      <c r="H436" s="214">
        <v>100000</v>
      </c>
      <c r="I436" s="214">
        <v>0</v>
      </c>
      <c r="J436" s="214">
        <f t="shared" si="20"/>
        <v>-100000</v>
      </c>
      <c r="K436" s="212" t="s">
        <v>6300</v>
      </c>
      <c r="L436" s="213"/>
      <c r="M436" s="212" t="s">
        <v>6296</v>
      </c>
    </row>
    <row r="437" spans="1:13" ht="21" customHeight="1">
      <c r="A437" s="216" t="s">
        <v>6885</v>
      </c>
      <c r="B437" s="215">
        <f t="shared" si="18"/>
        <v>45690</v>
      </c>
      <c r="C437" s="213" t="s">
        <v>4367</v>
      </c>
      <c r="D437" s="213" t="s">
        <v>4366</v>
      </c>
      <c r="E437" s="213" t="s">
        <v>333</v>
      </c>
      <c r="F437" s="212" t="s">
        <v>4365</v>
      </c>
      <c r="G437" s="212" t="str">
        <f t="shared" si="19"/>
        <v>101현금</v>
      </c>
      <c r="H437" s="214">
        <v>0</v>
      </c>
      <c r="I437" s="214">
        <v>19500</v>
      </c>
      <c r="J437" s="214">
        <f t="shared" si="20"/>
        <v>19500</v>
      </c>
      <c r="K437" s="212" t="s">
        <v>6370</v>
      </c>
      <c r="L437" s="213"/>
      <c r="M437" s="212"/>
    </row>
    <row r="438" spans="1:13" ht="21" customHeight="1">
      <c r="A438" s="216" t="s">
        <v>6885</v>
      </c>
      <c r="B438" s="215">
        <f t="shared" si="18"/>
        <v>45690</v>
      </c>
      <c r="C438" s="213" t="s">
        <v>4367</v>
      </c>
      <c r="D438" s="213" t="s">
        <v>4369</v>
      </c>
      <c r="E438" s="213" t="s">
        <v>4383</v>
      </c>
      <c r="F438" s="212" t="s">
        <v>6525</v>
      </c>
      <c r="G438" s="212" t="str">
        <f t="shared" si="19"/>
        <v>830소모품비(판)</v>
      </c>
      <c r="H438" s="214">
        <v>17728</v>
      </c>
      <c r="I438" s="214">
        <v>0</v>
      </c>
      <c r="J438" s="214">
        <f t="shared" si="20"/>
        <v>-17728</v>
      </c>
      <c r="K438" s="212" t="s">
        <v>6202</v>
      </c>
      <c r="L438" s="213" t="s">
        <v>6411</v>
      </c>
      <c r="M438" s="212"/>
    </row>
    <row r="439" spans="1:13" ht="21" customHeight="1">
      <c r="A439" s="216" t="s">
        <v>6885</v>
      </c>
      <c r="B439" s="215">
        <f t="shared" si="18"/>
        <v>45690</v>
      </c>
      <c r="C439" s="213" t="s">
        <v>4367</v>
      </c>
      <c r="D439" s="213" t="s">
        <v>4369</v>
      </c>
      <c r="E439" s="213" t="s">
        <v>4371</v>
      </c>
      <c r="F439" s="212" t="s">
        <v>4370</v>
      </c>
      <c r="G439" s="212" t="str">
        <f t="shared" si="19"/>
        <v>135부가세대급금</v>
      </c>
      <c r="H439" s="214">
        <v>1772</v>
      </c>
      <c r="I439" s="214">
        <v>0</v>
      </c>
      <c r="J439" s="214">
        <f t="shared" si="20"/>
        <v>-1772</v>
      </c>
      <c r="K439" s="212" t="s">
        <v>6202</v>
      </c>
      <c r="L439" s="213" t="s">
        <v>6411</v>
      </c>
      <c r="M439" s="212"/>
    </row>
    <row r="440" spans="1:13" ht="21" customHeight="1">
      <c r="A440" s="213" t="s">
        <v>6884</v>
      </c>
      <c r="B440" s="215">
        <f t="shared" si="18"/>
        <v>45691</v>
      </c>
      <c r="C440" s="213" t="s">
        <v>4373</v>
      </c>
      <c r="D440" s="213" t="s">
        <v>4369</v>
      </c>
      <c r="E440" s="213" t="s">
        <v>4499</v>
      </c>
      <c r="F440" s="212" t="s">
        <v>6517</v>
      </c>
      <c r="G440" s="212" t="str">
        <f t="shared" si="19"/>
        <v>811복리후생비(판)</v>
      </c>
      <c r="H440" s="214">
        <v>3000</v>
      </c>
      <c r="I440" s="214">
        <v>0</v>
      </c>
      <c r="J440" s="214">
        <f t="shared" si="20"/>
        <v>-3000</v>
      </c>
      <c r="K440" s="212" t="s">
        <v>6288</v>
      </c>
      <c r="L440" s="213"/>
      <c r="M440" s="212"/>
    </row>
    <row r="441" spans="1:13" ht="21" customHeight="1">
      <c r="A441" s="213" t="s">
        <v>6884</v>
      </c>
      <c r="B441" s="215">
        <f t="shared" si="18"/>
        <v>45691</v>
      </c>
      <c r="C441" s="213" t="s">
        <v>4373</v>
      </c>
      <c r="D441" s="213" t="s">
        <v>4366</v>
      </c>
      <c r="E441" s="213" t="s">
        <v>333</v>
      </c>
      <c r="F441" s="212" t="s">
        <v>4365</v>
      </c>
      <c r="G441" s="212" t="str">
        <f t="shared" si="19"/>
        <v>101현금</v>
      </c>
      <c r="H441" s="214">
        <v>0</v>
      </c>
      <c r="I441" s="214">
        <v>3000</v>
      </c>
      <c r="J441" s="214">
        <f t="shared" si="20"/>
        <v>3000</v>
      </c>
      <c r="K441" s="212" t="s">
        <v>6369</v>
      </c>
      <c r="L441" s="213"/>
      <c r="M441" s="212"/>
    </row>
    <row r="442" spans="1:13" ht="21" customHeight="1">
      <c r="A442" s="213" t="s">
        <v>6884</v>
      </c>
      <c r="B442" s="215">
        <f t="shared" si="18"/>
        <v>45691</v>
      </c>
      <c r="C442" s="213" t="s">
        <v>4382</v>
      </c>
      <c r="D442" s="213" t="s">
        <v>4369</v>
      </c>
      <c r="E442" s="213" t="s">
        <v>4383</v>
      </c>
      <c r="F442" s="212" t="s">
        <v>6525</v>
      </c>
      <c r="G442" s="212" t="str">
        <f t="shared" si="19"/>
        <v>830소모품비(판)</v>
      </c>
      <c r="H442" s="214">
        <v>3300</v>
      </c>
      <c r="I442" s="214">
        <v>0</v>
      </c>
      <c r="J442" s="214">
        <f t="shared" si="20"/>
        <v>-3300</v>
      </c>
      <c r="K442" s="212" t="s">
        <v>6324</v>
      </c>
      <c r="L442" s="213"/>
      <c r="M442" s="212"/>
    </row>
    <row r="443" spans="1:13" ht="21" customHeight="1">
      <c r="A443" s="213" t="s">
        <v>6884</v>
      </c>
      <c r="B443" s="215">
        <f t="shared" si="18"/>
        <v>45691</v>
      </c>
      <c r="C443" s="213" t="s">
        <v>4382</v>
      </c>
      <c r="D443" s="213" t="s">
        <v>4366</v>
      </c>
      <c r="E443" s="213" t="s">
        <v>333</v>
      </c>
      <c r="F443" s="212" t="s">
        <v>4365</v>
      </c>
      <c r="G443" s="212" t="str">
        <f t="shared" si="19"/>
        <v>101현금</v>
      </c>
      <c r="H443" s="214">
        <v>0</v>
      </c>
      <c r="I443" s="214">
        <v>3300</v>
      </c>
      <c r="J443" s="214">
        <f t="shared" si="20"/>
        <v>3300</v>
      </c>
      <c r="K443" s="212" t="s">
        <v>6371</v>
      </c>
      <c r="L443" s="213"/>
      <c r="M443" s="212"/>
    </row>
    <row r="444" spans="1:13" ht="21" customHeight="1">
      <c r="A444" s="213" t="s">
        <v>6884</v>
      </c>
      <c r="B444" s="215">
        <f t="shared" si="18"/>
        <v>45691</v>
      </c>
      <c r="C444" s="213" t="s">
        <v>4381</v>
      </c>
      <c r="D444" s="213" t="s">
        <v>4366</v>
      </c>
      <c r="E444" s="213" t="s">
        <v>333</v>
      </c>
      <c r="F444" s="212" t="s">
        <v>4365</v>
      </c>
      <c r="G444" s="212" t="str">
        <f t="shared" si="19"/>
        <v>101현금</v>
      </c>
      <c r="H444" s="214">
        <v>0</v>
      </c>
      <c r="I444" s="214">
        <v>25930</v>
      </c>
      <c r="J444" s="214">
        <f t="shared" si="20"/>
        <v>25930</v>
      </c>
      <c r="K444" s="212" t="s">
        <v>6753</v>
      </c>
      <c r="L444" s="213"/>
      <c r="M444" s="212"/>
    </row>
    <row r="445" spans="1:13" ht="21" customHeight="1">
      <c r="A445" s="213" t="s">
        <v>6884</v>
      </c>
      <c r="B445" s="215">
        <f t="shared" si="18"/>
        <v>45691</v>
      </c>
      <c r="C445" s="213" t="s">
        <v>4381</v>
      </c>
      <c r="D445" s="213" t="s">
        <v>4369</v>
      </c>
      <c r="E445" s="213" t="s">
        <v>4383</v>
      </c>
      <c r="F445" s="212" t="s">
        <v>6525</v>
      </c>
      <c r="G445" s="212" t="str">
        <f t="shared" si="19"/>
        <v>830소모품비(판)</v>
      </c>
      <c r="H445" s="214">
        <v>25930</v>
      </c>
      <c r="I445" s="214">
        <v>0</v>
      </c>
      <c r="J445" s="214">
        <f t="shared" si="20"/>
        <v>-25930</v>
      </c>
      <c r="K445" s="212" t="s">
        <v>6753</v>
      </c>
      <c r="L445" s="213"/>
      <c r="M445" s="212"/>
    </row>
    <row r="446" spans="1:13" ht="21" customHeight="1">
      <c r="A446" s="213" t="s">
        <v>6884</v>
      </c>
      <c r="B446" s="215">
        <f t="shared" si="18"/>
        <v>45691</v>
      </c>
      <c r="C446" s="213" t="s">
        <v>4379</v>
      </c>
      <c r="D446" s="213" t="s">
        <v>4366</v>
      </c>
      <c r="E446" s="213" t="s">
        <v>333</v>
      </c>
      <c r="F446" s="212" t="s">
        <v>4365</v>
      </c>
      <c r="G446" s="212" t="str">
        <f t="shared" si="19"/>
        <v>101현금</v>
      </c>
      <c r="H446" s="214">
        <v>0</v>
      </c>
      <c r="I446" s="214">
        <v>3973</v>
      </c>
      <c r="J446" s="214">
        <f t="shared" si="20"/>
        <v>3973</v>
      </c>
      <c r="K446" s="212" t="s">
        <v>6753</v>
      </c>
      <c r="L446" s="213"/>
      <c r="M446" s="212"/>
    </row>
    <row r="447" spans="1:13" ht="21" customHeight="1">
      <c r="A447" s="213" t="s">
        <v>6884</v>
      </c>
      <c r="B447" s="215">
        <f t="shared" si="18"/>
        <v>45691</v>
      </c>
      <c r="C447" s="213" t="s">
        <v>4379</v>
      </c>
      <c r="D447" s="213" t="s">
        <v>4369</v>
      </c>
      <c r="E447" s="213" t="s">
        <v>4383</v>
      </c>
      <c r="F447" s="212" t="s">
        <v>6525</v>
      </c>
      <c r="G447" s="212" t="str">
        <f t="shared" si="19"/>
        <v>830소모품비(판)</v>
      </c>
      <c r="H447" s="214">
        <v>3973</v>
      </c>
      <c r="I447" s="214">
        <v>0</v>
      </c>
      <c r="J447" s="214">
        <f t="shared" si="20"/>
        <v>-3973</v>
      </c>
      <c r="K447" s="212" t="s">
        <v>6753</v>
      </c>
      <c r="L447" s="213"/>
      <c r="M447" s="212"/>
    </row>
    <row r="448" spans="1:13" ht="21" customHeight="1">
      <c r="A448" s="213" t="s">
        <v>6884</v>
      </c>
      <c r="B448" s="215">
        <f t="shared" si="18"/>
        <v>45691</v>
      </c>
      <c r="C448" s="213" t="s">
        <v>4367</v>
      </c>
      <c r="D448" s="213" t="s">
        <v>4366</v>
      </c>
      <c r="E448" s="213" t="s">
        <v>6176</v>
      </c>
      <c r="F448" s="212" t="s">
        <v>6177</v>
      </c>
      <c r="G448" s="212" t="str">
        <f t="shared" si="19"/>
        <v>255부가세예수금</v>
      </c>
      <c r="H448" s="214">
        <v>0</v>
      </c>
      <c r="I448" s="214">
        <v>15000</v>
      </c>
      <c r="J448" s="214">
        <f t="shared" si="20"/>
        <v>15000</v>
      </c>
      <c r="K448" s="212" t="s">
        <v>6178</v>
      </c>
      <c r="L448" s="213"/>
      <c r="M448" s="212" t="s">
        <v>6179</v>
      </c>
    </row>
    <row r="449" spans="1:13" ht="21" customHeight="1">
      <c r="A449" s="213" t="s">
        <v>6884</v>
      </c>
      <c r="B449" s="215">
        <f t="shared" si="18"/>
        <v>45691</v>
      </c>
      <c r="C449" s="213" t="s">
        <v>4367</v>
      </c>
      <c r="D449" s="213" t="s">
        <v>4366</v>
      </c>
      <c r="E449" s="213" t="s">
        <v>334</v>
      </c>
      <c r="F449" s="212" t="s">
        <v>6158</v>
      </c>
      <c r="G449" s="212" t="str">
        <f t="shared" si="19"/>
        <v>401용역매출</v>
      </c>
      <c r="H449" s="214">
        <v>0</v>
      </c>
      <c r="I449" s="214">
        <v>150000</v>
      </c>
      <c r="J449" s="214">
        <f t="shared" si="20"/>
        <v>150000</v>
      </c>
      <c r="K449" s="212" t="s">
        <v>6178</v>
      </c>
      <c r="L449" s="213"/>
      <c r="M449" s="212" t="s">
        <v>6179</v>
      </c>
    </row>
    <row r="450" spans="1:13" ht="21" customHeight="1">
      <c r="A450" s="213" t="s">
        <v>6884</v>
      </c>
      <c r="B450" s="215">
        <f t="shared" ref="B450:B513" si="21">DATEVALUE(A450)</f>
        <v>45691</v>
      </c>
      <c r="C450" s="213" t="s">
        <v>4367</v>
      </c>
      <c r="D450" s="213" t="s">
        <v>4369</v>
      </c>
      <c r="E450" s="213" t="s">
        <v>333</v>
      </c>
      <c r="F450" s="212" t="s">
        <v>4365</v>
      </c>
      <c r="G450" s="212" t="str">
        <f t="shared" ref="G450:G513" si="22">E450&amp;F450</f>
        <v>101현금</v>
      </c>
      <c r="H450" s="214">
        <v>165000</v>
      </c>
      <c r="I450" s="214">
        <v>0</v>
      </c>
      <c r="J450" s="214">
        <f t="shared" ref="J450:J513" si="23">I450-H450</f>
        <v>-165000</v>
      </c>
      <c r="K450" s="212" t="s">
        <v>6178</v>
      </c>
      <c r="L450" s="213"/>
      <c r="M450" s="212" t="s">
        <v>6179</v>
      </c>
    </row>
    <row r="451" spans="1:13" ht="21" customHeight="1">
      <c r="A451" s="213" t="s">
        <v>6884</v>
      </c>
      <c r="B451" s="215">
        <f t="shared" si="21"/>
        <v>45691</v>
      </c>
      <c r="C451" s="213" t="s">
        <v>4374</v>
      </c>
      <c r="D451" s="213" t="s">
        <v>4366</v>
      </c>
      <c r="E451" s="213" t="s">
        <v>6176</v>
      </c>
      <c r="F451" s="212" t="s">
        <v>6177</v>
      </c>
      <c r="G451" s="212" t="str">
        <f t="shared" si="22"/>
        <v>255부가세예수금</v>
      </c>
      <c r="H451" s="214">
        <v>0</v>
      </c>
      <c r="I451" s="214">
        <v>15000</v>
      </c>
      <c r="J451" s="214">
        <f t="shared" si="23"/>
        <v>15000</v>
      </c>
      <c r="K451" s="212" t="s">
        <v>6178</v>
      </c>
      <c r="L451" s="213"/>
      <c r="M451" s="212" t="s">
        <v>6179</v>
      </c>
    </row>
    <row r="452" spans="1:13" ht="21" customHeight="1">
      <c r="A452" s="213" t="s">
        <v>6884</v>
      </c>
      <c r="B452" s="215">
        <f t="shared" si="21"/>
        <v>45691</v>
      </c>
      <c r="C452" s="213" t="s">
        <v>4374</v>
      </c>
      <c r="D452" s="213" t="s">
        <v>4366</v>
      </c>
      <c r="E452" s="213" t="s">
        <v>334</v>
      </c>
      <c r="F452" s="212" t="s">
        <v>6158</v>
      </c>
      <c r="G452" s="212" t="str">
        <f t="shared" si="22"/>
        <v>401용역매출</v>
      </c>
      <c r="H452" s="214">
        <v>0</v>
      </c>
      <c r="I452" s="214">
        <v>150000</v>
      </c>
      <c r="J452" s="214">
        <f t="shared" si="23"/>
        <v>150000</v>
      </c>
      <c r="K452" s="212" t="s">
        <v>6178</v>
      </c>
      <c r="L452" s="213"/>
      <c r="M452" s="212" t="s">
        <v>6179</v>
      </c>
    </row>
    <row r="453" spans="1:13" ht="21" customHeight="1">
      <c r="A453" s="213" t="s">
        <v>6884</v>
      </c>
      <c r="B453" s="215">
        <f t="shared" si="21"/>
        <v>45691</v>
      </c>
      <c r="C453" s="213" t="s">
        <v>4374</v>
      </c>
      <c r="D453" s="213" t="s">
        <v>4369</v>
      </c>
      <c r="E453" s="213" t="s">
        <v>333</v>
      </c>
      <c r="F453" s="212" t="s">
        <v>4365</v>
      </c>
      <c r="G453" s="212" t="str">
        <f t="shared" si="22"/>
        <v>101현금</v>
      </c>
      <c r="H453" s="214">
        <v>165000</v>
      </c>
      <c r="I453" s="214">
        <v>0</v>
      </c>
      <c r="J453" s="214">
        <f t="shared" si="23"/>
        <v>-165000</v>
      </c>
      <c r="K453" s="212" t="s">
        <v>6178</v>
      </c>
      <c r="L453" s="213"/>
      <c r="M453" s="212" t="s">
        <v>6179</v>
      </c>
    </row>
    <row r="454" spans="1:13" ht="21" customHeight="1">
      <c r="A454" s="213" t="s">
        <v>6884</v>
      </c>
      <c r="B454" s="215">
        <f t="shared" si="21"/>
        <v>45691</v>
      </c>
      <c r="C454" s="213" t="s">
        <v>6182</v>
      </c>
      <c r="D454" s="213" t="s">
        <v>4366</v>
      </c>
      <c r="E454" s="213" t="s">
        <v>6176</v>
      </c>
      <c r="F454" s="212" t="s">
        <v>6177</v>
      </c>
      <c r="G454" s="212" t="str">
        <f t="shared" si="22"/>
        <v>255부가세예수금</v>
      </c>
      <c r="H454" s="214">
        <v>0</v>
      </c>
      <c r="I454" s="214">
        <v>-15000</v>
      </c>
      <c r="J454" s="214">
        <f t="shared" si="23"/>
        <v>-15000</v>
      </c>
      <c r="K454" s="212" t="s">
        <v>6178</v>
      </c>
      <c r="L454" s="213"/>
      <c r="M454" s="212" t="s">
        <v>6313</v>
      </c>
    </row>
    <row r="455" spans="1:13" ht="21" customHeight="1">
      <c r="A455" s="213" t="s">
        <v>6884</v>
      </c>
      <c r="B455" s="215">
        <f t="shared" si="21"/>
        <v>45691</v>
      </c>
      <c r="C455" s="213" t="s">
        <v>6182</v>
      </c>
      <c r="D455" s="213" t="s">
        <v>4366</v>
      </c>
      <c r="E455" s="213" t="s">
        <v>334</v>
      </c>
      <c r="F455" s="212" t="s">
        <v>6158</v>
      </c>
      <c r="G455" s="212" t="str">
        <f t="shared" si="22"/>
        <v>401용역매출</v>
      </c>
      <c r="H455" s="214">
        <v>0</v>
      </c>
      <c r="I455" s="214">
        <v>-150000</v>
      </c>
      <c r="J455" s="214">
        <f t="shared" si="23"/>
        <v>-150000</v>
      </c>
      <c r="K455" s="212" t="s">
        <v>6178</v>
      </c>
      <c r="L455" s="213"/>
      <c r="M455" s="212" t="s">
        <v>6313</v>
      </c>
    </row>
    <row r="456" spans="1:13" ht="21" customHeight="1">
      <c r="A456" s="213" t="s">
        <v>6884</v>
      </c>
      <c r="B456" s="215">
        <f t="shared" si="21"/>
        <v>45691</v>
      </c>
      <c r="C456" s="213" t="s">
        <v>6182</v>
      </c>
      <c r="D456" s="213" t="s">
        <v>4369</v>
      </c>
      <c r="E456" s="213" t="s">
        <v>333</v>
      </c>
      <c r="F456" s="212" t="s">
        <v>4365</v>
      </c>
      <c r="G456" s="212" t="str">
        <f t="shared" si="22"/>
        <v>101현금</v>
      </c>
      <c r="H456" s="214">
        <v>-165000</v>
      </c>
      <c r="I456" s="214">
        <v>0</v>
      </c>
      <c r="J456" s="214">
        <f t="shared" si="23"/>
        <v>165000</v>
      </c>
      <c r="K456" s="212" t="s">
        <v>6178</v>
      </c>
      <c r="L456" s="213"/>
      <c r="M456" s="212" t="s">
        <v>6313</v>
      </c>
    </row>
    <row r="457" spans="1:13" ht="21" customHeight="1">
      <c r="A457" s="213" t="s">
        <v>6884</v>
      </c>
      <c r="B457" s="215">
        <f t="shared" si="21"/>
        <v>45691</v>
      </c>
      <c r="C457" s="213" t="s">
        <v>6184</v>
      </c>
      <c r="D457" s="213" t="s">
        <v>4366</v>
      </c>
      <c r="E457" s="213" t="s">
        <v>6176</v>
      </c>
      <c r="F457" s="212" t="s">
        <v>6177</v>
      </c>
      <c r="G457" s="212" t="str">
        <f t="shared" si="22"/>
        <v>255부가세예수금</v>
      </c>
      <c r="H457" s="214">
        <v>0</v>
      </c>
      <c r="I457" s="214">
        <v>-15000</v>
      </c>
      <c r="J457" s="214">
        <f t="shared" si="23"/>
        <v>-15000</v>
      </c>
      <c r="K457" s="212" t="s">
        <v>6178</v>
      </c>
      <c r="L457" s="213"/>
      <c r="M457" s="212" t="s">
        <v>6313</v>
      </c>
    </row>
    <row r="458" spans="1:13" ht="21" customHeight="1">
      <c r="A458" s="213" t="s">
        <v>6884</v>
      </c>
      <c r="B458" s="215">
        <f t="shared" si="21"/>
        <v>45691</v>
      </c>
      <c r="C458" s="213" t="s">
        <v>6184</v>
      </c>
      <c r="D458" s="213" t="s">
        <v>4366</v>
      </c>
      <c r="E458" s="213" t="s">
        <v>334</v>
      </c>
      <c r="F458" s="212" t="s">
        <v>6158</v>
      </c>
      <c r="G458" s="212" t="str">
        <f t="shared" si="22"/>
        <v>401용역매출</v>
      </c>
      <c r="H458" s="214">
        <v>0</v>
      </c>
      <c r="I458" s="214">
        <v>-150000</v>
      </c>
      <c r="J458" s="214">
        <f t="shared" si="23"/>
        <v>-150000</v>
      </c>
      <c r="K458" s="212" t="s">
        <v>6178</v>
      </c>
      <c r="L458" s="213"/>
      <c r="M458" s="212" t="s">
        <v>6313</v>
      </c>
    </row>
    <row r="459" spans="1:13" ht="21" customHeight="1">
      <c r="A459" s="213" t="s">
        <v>6884</v>
      </c>
      <c r="B459" s="215">
        <f t="shared" si="21"/>
        <v>45691</v>
      </c>
      <c r="C459" s="213" t="s">
        <v>6184</v>
      </c>
      <c r="D459" s="213" t="s">
        <v>4369</v>
      </c>
      <c r="E459" s="213" t="s">
        <v>333</v>
      </c>
      <c r="F459" s="212" t="s">
        <v>4365</v>
      </c>
      <c r="G459" s="212" t="str">
        <f t="shared" si="22"/>
        <v>101현금</v>
      </c>
      <c r="H459" s="214">
        <v>-165000</v>
      </c>
      <c r="I459" s="214">
        <v>0</v>
      </c>
      <c r="J459" s="214">
        <f t="shared" si="23"/>
        <v>165000</v>
      </c>
      <c r="K459" s="212" t="s">
        <v>6178</v>
      </c>
      <c r="L459" s="213"/>
      <c r="M459" s="212" t="s">
        <v>6313</v>
      </c>
    </row>
    <row r="460" spans="1:13" ht="21" customHeight="1">
      <c r="A460" s="213" t="s">
        <v>6884</v>
      </c>
      <c r="B460" s="215">
        <f t="shared" si="21"/>
        <v>45691</v>
      </c>
      <c r="C460" s="213" t="s">
        <v>6186</v>
      </c>
      <c r="D460" s="213" t="s">
        <v>4366</v>
      </c>
      <c r="E460" s="213" t="s">
        <v>6176</v>
      </c>
      <c r="F460" s="212" t="s">
        <v>6177</v>
      </c>
      <c r="G460" s="212" t="str">
        <f t="shared" si="22"/>
        <v>255부가세예수금</v>
      </c>
      <c r="H460" s="214">
        <v>0</v>
      </c>
      <c r="I460" s="214">
        <v>10000</v>
      </c>
      <c r="J460" s="214">
        <f t="shared" si="23"/>
        <v>10000</v>
      </c>
      <c r="K460" s="212" t="s">
        <v>6268</v>
      </c>
      <c r="L460" s="213"/>
      <c r="M460" s="212" t="s">
        <v>6185</v>
      </c>
    </row>
    <row r="461" spans="1:13" ht="21" customHeight="1">
      <c r="A461" s="213" t="s">
        <v>6884</v>
      </c>
      <c r="B461" s="215">
        <f t="shared" si="21"/>
        <v>45691</v>
      </c>
      <c r="C461" s="213" t="s">
        <v>6186</v>
      </c>
      <c r="D461" s="213" t="s">
        <v>4366</v>
      </c>
      <c r="E461" s="213" t="s">
        <v>334</v>
      </c>
      <c r="F461" s="212" t="s">
        <v>6158</v>
      </c>
      <c r="G461" s="212" t="str">
        <f t="shared" si="22"/>
        <v>401용역매출</v>
      </c>
      <c r="H461" s="214">
        <v>0</v>
      </c>
      <c r="I461" s="214">
        <v>100000</v>
      </c>
      <c r="J461" s="214">
        <f t="shared" si="23"/>
        <v>100000</v>
      </c>
      <c r="K461" s="212" t="s">
        <v>6268</v>
      </c>
      <c r="L461" s="213"/>
      <c r="M461" s="212" t="s">
        <v>6185</v>
      </c>
    </row>
    <row r="462" spans="1:13" ht="21" customHeight="1">
      <c r="A462" s="213" t="s">
        <v>6884</v>
      </c>
      <c r="B462" s="215">
        <f t="shared" si="21"/>
        <v>45691</v>
      </c>
      <c r="C462" s="213" t="s">
        <v>6186</v>
      </c>
      <c r="D462" s="213" t="s">
        <v>4369</v>
      </c>
      <c r="E462" s="213" t="s">
        <v>333</v>
      </c>
      <c r="F462" s="212" t="s">
        <v>4365</v>
      </c>
      <c r="G462" s="212" t="str">
        <f t="shared" si="22"/>
        <v>101현금</v>
      </c>
      <c r="H462" s="214">
        <v>110000</v>
      </c>
      <c r="I462" s="214">
        <v>0</v>
      </c>
      <c r="J462" s="214">
        <f t="shared" si="23"/>
        <v>-110000</v>
      </c>
      <c r="K462" s="212" t="s">
        <v>6268</v>
      </c>
      <c r="L462" s="213"/>
      <c r="M462" s="212" t="s">
        <v>6185</v>
      </c>
    </row>
    <row r="463" spans="1:13" ht="21" customHeight="1">
      <c r="A463" s="213" t="s">
        <v>6884</v>
      </c>
      <c r="B463" s="215">
        <f t="shared" si="21"/>
        <v>45691</v>
      </c>
      <c r="C463" s="213" t="s">
        <v>6189</v>
      </c>
      <c r="D463" s="213" t="s">
        <v>4366</v>
      </c>
      <c r="E463" s="213" t="s">
        <v>6176</v>
      </c>
      <c r="F463" s="212" t="s">
        <v>6177</v>
      </c>
      <c r="G463" s="212" t="str">
        <f t="shared" si="22"/>
        <v>255부가세예수금</v>
      </c>
      <c r="H463" s="214">
        <v>0</v>
      </c>
      <c r="I463" s="214">
        <v>12000</v>
      </c>
      <c r="J463" s="214">
        <f t="shared" si="23"/>
        <v>12000</v>
      </c>
      <c r="K463" s="212" t="s">
        <v>6270</v>
      </c>
      <c r="L463" s="213"/>
      <c r="M463" s="212" t="s">
        <v>6225</v>
      </c>
    </row>
    <row r="464" spans="1:13" ht="21" customHeight="1">
      <c r="A464" s="213" t="s">
        <v>6884</v>
      </c>
      <c r="B464" s="215">
        <f t="shared" si="21"/>
        <v>45691</v>
      </c>
      <c r="C464" s="213" t="s">
        <v>6189</v>
      </c>
      <c r="D464" s="213" t="s">
        <v>4366</v>
      </c>
      <c r="E464" s="213" t="s">
        <v>334</v>
      </c>
      <c r="F464" s="212" t="s">
        <v>6158</v>
      </c>
      <c r="G464" s="212" t="str">
        <f t="shared" si="22"/>
        <v>401용역매출</v>
      </c>
      <c r="H464" s="214">
        <v>0</v>
      </c>
      <c r="I464" s="214">
        <v>120000</v>
      </c>
      <c r="J464" s="214">
        <f t="shared" si="23"/>
        <v>120000</v>
      </c>
      <c r="K464" s="212" t="s">
        <v>6270</v>
      </c>
      <c r="L464" s="213"/>
      <c r="M464" s="212" t="s">
        <v>6225</v>
      </c>
    </row>
    <row r="465" spans="1:13" ht="21" customHeight="1">
      <c r="A465" s="213" t="s">
        <v>6884</v>
      </c>
      <c r="B465" s="215">
        <f t="shared" si="21"/>
        <v>45691</v>
      </c>
      <c r="C465" s="213" t="s">
        <v>6189</v>
      </c>
      <c r="D465" s="213" t="s">
        <v>4369</v>
      </c>
      <c r="E465" s="213" t="s">
        <v>333</v>
      </c>
      <c r="F465" s="212" t="s">
        <v>4365</v>
      </c>
      <c r="G465" s="212" t="str">
        <f t="shared" si="22"/>
        <v>101현금</v>
      </c>
      <c r="H465" s="214">
        <v>132000</v>
      </c>
      <c r="I465" s="214">
        <v>0</v>
      </c>
      <c r="J465" s="214">
        <f t="shared" si="23"/>
        <v>-132000</v>
      </c>
      <c r="K465" s="212" t="s">
        <v>6270</v>
      </c>
      <c r="L465" s="213"/>
      <c r="M465" s="212" t="s">
        <v>6225</v>
      </c>
    </row>
    <row r="466" spans="1:13" ht="21" customHeight="1">
      <c r="A466" s="213" t="s">
        <v>6884</v>
      </c>
      <c r="B466" s="215">
        <f t="shared" si="21"/>
        <v>45691</v>
      </c>
      <c r="C466" s="213" t="s">
        <v>6191</v>
      </c>
      <c r="D466" s="213" t="s">
        <v>4366</v>
      </c>
      <c r="E466" s="213" t="s">
        <v>6176</v>
      </c>
      <c r="F466" s="212" t="s">
        <v>6177</v>
      </c>
      <c r="G466" s="212" t="str">
        <f t="shared" si="22"/>
        <v>255부가세예수금</v>
      </c>
      <c r="H466" s="214">
        <v>0</v>
      </c>
      <c r="I466" s="214">
        <v>15000</v>
      </c>
      <c r="J466" s="214">
        <f t="shared" si="23"/>
        <v>15000</v>
      </c>
      <c r="K466" s="212" t="s">
        <v>6178</v>
      </c>
      <c r="L466" s="213"/>
      <c r="M466" s="212" t="s">
        <v>6179</v>
      </c>
    </row>
    <row r="467" spans="1:13" ht="21" customHeight="1">
      <c r="A467" s="213" t="s">
        <v>6884</v>
      </c>
      <c r="B467" s="215">
        <f t="shared" si="21"/>
        <v>45691</v>
      </c>
      <c r="C467" s="213" t="s">
        <v>6191</v>
      </c>
      <c r="D467" s="213" t="s">
        <v>4366</v>
      </c>
      <c r="E467" s="213" t="s">
        <v>334</v>
      </c>
      <c r="F467" s="212" t="s">
        <v>6158</v>
      </c>
      <c r="G467" s="212" t="str">
        <f t="shared" si="22"/>
        <v>401용역매출</v>
      </c>
      <c r="H467" s="214">
        <v>0</v>
      </c>
      <c r="I467" s="214">
        <v>150000</v>
      </c>
      <c r="J467" s="214">
        <f t="shared" si="23"/>
        <v>150000</v>
      </c>
      <c r="K467" s="212" t="s">
        <v>6178</v>
      </c>
      <c r="L467" s="213"/>
      <c r="M467" s="212" t="s">
        <v>6179</v>
      </c>
    </row>
    <row r="468" spans="1:13" ht="21" customHeight="1">
      <c r="A468" s="213" t="s">
        <v>6884</v>
      </c>
      <c r="B468" s="215">
        <f t="shared" si="21"/>
        <v>45691</v>
      </c>
      <c r="C468" s="213" t="s">
        <v>6191</v>
      </c>
      <c r="D468" s="213" t="s">
        <v>4369</v>
      </c>
      <c r="E468" s="213" t="s">
        <v>333</v>
      </c>
      <c r="F468" s="212" t="s">
        <v>4365</v>
      </c>
      <c r="G468" s="212" t="str">
        <f t="shared" si="22"/>
        <v>101현금</v>
      </c>
      <c r="H468" s="214">
        <v>165000</v>
      </c>
      <c r="I468" s="214">
        <v>0</v>
      </c>
      <c r="J468" s="214">
        <f t="shared" si="23"/>
        <v>-165000</v>
      </c>
      <c r="K468" s="212" t="s">
        <v>6178</v>
      </c>
      <c r="L468" s="213"/>
      <c r="M468" s="212" t="s">
        <v>6179</v>
      </c>
    </row>
    <row r="469" spans="1:13" ht="21" customHeight="1">
      <c r="A469" s="213" t="s">
        <v>6884</v>
      </c>
      <c r="B469" s="215">
        <f t="shared" si="21"/>
        <v>45691</v>
      </c>
      <c r="C469" s="213" t="s">
        <v>6216</v>
      </c>
      <c r="D469" s="213" t="s">
        <v>4366</v>
      </c>
      <c r="E469" s="213" t="s">
        <v>6176</v>
      </c>
      <c r="F469" s="212" t="s">
        <v>6177</v>
      </c>
      <c r="G469" s="212" t="str">
        <f t="shared" si="22"/>
        <v>255부가세예수금</v>
      </c>
      <c r="H469" s="214">
        <v>0</v>
      </c>
      <c r="I469" s="214">
        <v>15000</v>
      </c>
      <c r="J469" s="214">
        <f t="shared" si="23"/>
        <v>15000</v>
      </c>
      <c r="K469" s="212" t="s">
        <v>6310</v>
      </c>
      <c r="L469" s="213"/>
      <c r="M469" s="212" t="s">
        <v>6179</v>
      </c>
    </row>
    <row r="470" spans="1:13" ht="21" customHeight="1">
      <c r="A470" s="213" t="s">
        <v>6884</v>
      </c>
      <c r="B470" s="215">
        <f t="shared" si="21"/>
        <v>45691</v>
      </c>
      <c r="C470" s="213" t="s">
        <v>6216</v>
      </c>
      <c r="D470" s="213" t="s">
        <v>4366</v>
      </c>
      <c r="E470" s="213" t="s">
        <v>334</v>
      </c>
      <c r="F470" s="212" t="s">
        <v>6158</v>
      </c>
      <c r="G470" s="212" t="str">
        <f t="shared" si="22"/>
        <v>401용역매출</v>
      </c>
      <c r="H470" s="214">
        <v>0</v>
      </c>
      <c r="I470" s="214">
        <v>150000</v>
      </c>
      <c r="J470" s="214">
        <f t="shared" si="23"/>
        <v>150000</v>
      </c>
      <c r="K470" s="212" t="s">
        <v>6310</v>
      </c>
      <c r="L470" s="213"/>
      <c r="M470" s="212" t="s">
        <v>6179</v>
      </c>
    </row>
    <row r="471" spans="1:13" ht="21" customHeight="1">
      <c r="A471" s="213" t="s">
        <v>6884</v>
      </c>
      <c r="B471" s="215">
        <f t="shared" si="21"/>
        <v>45691</v>
      </c>
      <c r="C471" s="213" t="s">
        <v>6216</v>
      </c>
      <c r="D471" s="213" t="s">
        <v>4369</v>
      </c>
      <c r="E471" s="213" t="s">
        <v>333</v>
      </c>
      <c r="F471" s="212" t="s">
        <v>4365</v>
      </c>
      <c r="G471" s="212" t="str">
        <f t="shared" si="22"/>
        <v>101현금</v>
      </c>
      <c r="H471" s="214">
        <v>165000</v>
      </c>
      <c r="I471" s="214">
        <v>0</v>
      </c>
      <c r="J471" s="214">
        <f t="shared" si="23"/>
        <v>-165000</v>
      </c>
      <c r="K471" s="212" t="s">
        <v>6310</v>
      </c>
      <c r="L471" s="213"/>
      <c r="M471" s="212" t="s">
        <v>6179</v>
      </c>
    </row>
    <row r="472" spans="1:13" ht="21" customHeight="1">
      <c r="A472" s="213" t="s">
        <v>6884</v>
      </c>
      <c r="B472" s="215">
        <f t="shared" si="21"/>
        <v>45691</v>
      </c>
      <c r="C472" s="213" t="s">
        <v>6217</v>
      </c>
      <c r="D472" s="213" t="s">
        <v>4366</v>
      </c>
      <c r="E472" s="213" t="s">
        <v>6176</v>
      </c>
      <c r="F472" s="212" t="s">
        <v>6177</v>
      </c>
      <c r="G472" s="212" t="str">
        <f t="shared" si="22"/>
        <v>255부가세예수금</v>
      </c>
      <c r="H472" s="214">
        <v>0</v>
      </c>
      <c r="I472" s="214">
        <v>10000</v>
      </c>
      <c r="J472" s="214">
        <f t="shared" si="23"/>
        <v>10000</v>
      </c>
      <c r="K472" s="212" t="s">
        <v>6269</v>
      </c>
      <c r="L472" s="213"/>
      <c r="M472" s="212" t="s">
        <v>6185</v>
      </c>
    </row>
    <row r="473" spans="1:13" ht="21" customHeight="1">
      <c r="A473" s="213" t="s">
        <v>6884</v>
      </c>
      <c r="B473" s="215">
        <f t="shared" si="21"/>
        <v>45691</v>
      </c>
      <c r="C473" s="213" t="s">
        <v>6217</v>
      </c>
      <c r="D473" s="213" t="s">
        <v>4366</v>
      </c>
      <c r="E473" s="213" t="s">
        <v>334</v>
      </c>
      <c r="F473" s="212" t="s">
        <v>6158</v>
      </c>
      <c r="G473" s="212" t="str">
        <f t="shared" si="22"/>
        <v>401용역매출</v>
      </c>
      <c r="H473" s="214">
        <v>0</v>
      </c>
      <c r="I473" s="214">
        <v>100000</v>
      </c>
      <c r="J473" s="214">
        <f t="shared" si="23"/>
        <v>100000</v>
      </c>
      <c r="K473" s="212" t="s">
        <v>6269</v>
      </c>
      <c r="L473" s="213"/>
      <c r="M473" s="212" t="s">
        <v>6185</v>
      </c>
    </row>
    <row r="474" spans="1:13" ht="21" customHeight="1">
      <c r="A474" s="213" t="s">
        <v>6884</v>
      </c>
      <c r="B474" s="215">
        <f t="shared" si="21"/>
        <v>45691</v>
      </c>
      <c r="C474" s="213" t="s">
        <v>6217</v>
      </c>
      <c r="D474" s="213" t="s">
        <v>4369</v>
      </c>
      <c r="E474" s="213" t="s">
        <v>333</v>
      </c>
      <c r="F474" s="212" t="s">
        <v>4365</v>
      </c>
      <c r="G474" s="212" t="str">
        <f t="shared" si="22"/>
        <v>101현금</v>
      </c>
      <c r="H474" s="214">
        <v>110000</v>
      </c>
      <c r="I474" s="214">
        <v>0</v>
      </c>
      <c r="J474" s="214">
        <f t="shared" si="23"/>
        <v>-110000</v>
      </c>
      <c r="K474" s="212" t="s">
        <v>6269</v>
      </c>
      <c r="L474" s="213"/>
      <c r="M474" s="212" t="s">
        <v>6185</v>
      </c>
    </row>
    <row r="475" spans="1:13" ht="21" customHeight="1">
      <c r="A475" s="213" t="s">
        <v>6884</v>
      </c>
      <c r="B475" s="215">
        <f t="shared" si="21"/>
        <v>45691</v>
      </c>
      <c r="C475" s="213" t="s">
        <v>6218</v>
      </c>
      <c r="D475" s="213" t="s">
        <v>4366</v>
      </c>
      <c r="E475" s="213" t="s">
        <v>6176</v>
      </c>
      <c r="F475" s="212" t="s">
        <v>6177</v>
      </c>
      <c r="G475" s="212" t="str">
        <f t="shared" si="22"/>
        <v>255부가세예수금</v>
      </c>
      <c r="H475" s="214">
        <v>0</v>
      </c>
      <c r="I475" s="214">
        <v>15000</v>
      </c>
      <c r="J475" s="214">
        <f t="shared" si="23"/>
        <v>15000</v>
      </c>
      <c r="K475" s="212" t="s">
        <v>6267</v>
      </c>
      <c r="L475" s="213"/>
      <c r="M475" s="212" t="s">
        <v>6179</v>
      </c>
    </row>
    <row r="476" spans="1:13" ht="21" customHeight="1">
      <c r="A476" s="213" t="s">
        <v>6884</v>
      </c>
      <c r="B476" s="215">
        <f t="shared" si="21"/>
        <v>45691</v>
      </c>
      <c r="C476" s="213" t="s">
        <v>6218</v>
      </c>
      <c r="D476" s="213" t="s">
        <v>4366</v>
      </c>
      <c r="E476" s="213" t="s">
        <v>334</v>
      </c>
      <c r="F476" s="212" t="s">
        <v>6158</v>
      </c>
      <c r="G476" s="212" t="str">
        <f t="shared" si="22"/>
        <v>401용역매출</v>
      </c>
      <c r="H476" s="214">
        <v>0</v>
      </c>
      <c r="I476" s="214">
        <v>150000</v>
      </c>
      <c r="J476" s="214">
        <f t="shared" si="23"/>
        <v>150000</v>
      </c>
      <c r="K476" s="212" t="s">
        <v>6267</v>
      </c>
      <c r="L476" s="213"/>
      <c r="M476" s="212" t="s">
        <v>6179</v>
      </c>
    </row>
    <row r="477" spans="1:13" ht="21" customHeight="1">
      <c r="A477" s="213" t="s">
        <v>6884</v>
      </c>
      <c r="B477" s="215">
        <f t="shared" si="21"/>
        <v>45691</v>
      </c>
      <c r="C477" s="213" t="s">
        <v>6218</v>
      </c>
      <c r="D477" s="213" t="s">
        <v>4369</v>
      </c>
      <c r="E477" s="213" t="s">
        <v>333</v>
      </c>
      <c r="F477" s="212" t="s">
        <v>4365</v>
      </c>
      <c r="G477" s="212" t="str">
        <f t="shared" si="22"/>
        <v>101현금</v>
      </c>
      <c r="H477" s="214">
        <v>165000</v>
      </c>
      <c r="I477" s="214">
        <v>0</v>
      </c>
      <c r="J477" s="214">
        <f t="shared" si="23"/>
        <v>-165000</v>
      </c>
      <c r="K477" s="212" t="s">
        <v>6267</v>
      </c>
      <c r="L477" s="213"/>
      <c r="M477" s="212" t="s">
        <v>6179</v>
      </c>
    </row>
    <row r="478" spans="1:13" ht="21" customHeight="1">
      <c r="A478" s="213" t="s">
        <v>6884</v>
      </c>
      <c r="B478" s="215">
        <f t="shared" si="21"/>
        <v>45691</v>
      </c>
      <c r="C478" s="213" t="s">
        <v>6238</v>
      </c>
      <c r="D478" s="213" t="s">
        <v>4366</v>
      </c>
      <c r="E478" s="213" t="s">
        <v>6176</v>
      </c>
      <c r="F478" s="212" t="s">
        <v>6177</v>
      </c>
      <c r="G478" s="212" t="str">
        <f t="shared" si="22"/>
        <v>255부가세예수금</v>
      </c>
      <c r="H478" s="214">
        <v>0</v>
      </c>
      <c r="I478" s="214">
        <v>15000</v>
      </c>
      <c r="J478" s="214">
        <f t="shared" si="23"/>
        <v>15000</v>
      </c>
      <c r="K478" s="212" t="s">
        <v>6232</v>
      </c>
      <c r="L478" s="213"/>
      <c r="M478" s="212" t="s">
        <v>6179</v>
      </c>
    </row>
    <row r="479" spans="1:13" ht="21" customHeight="1">
      <c r="A479" s="213" t="s">
        <v>6884</v>
      </c>
      <c r="B479" s="215">
        <f t="shared" si="21"/>
        <v>45691</v>
      </c>
      <c r="C479" s="213" t="s">
        <v>6238</v>
      </c>
      <c r="D479" s="213" t="s">
        <v>4366</v>
      </c>
      <c r="E479" s="213" t="s">
        <v>334</v>
      </c>
      <c r="F479" s="212" t="s">
        <v>6158</v>
      </c>
      <c r="G479" s="212" t="str">
        <f t="shared" si="22"/>
        <v>401용역매출</v>
      </c>
      <c r="H479" s="214">
        <v>0</v>
      </c>
      <c r="I479" s="214">
        <v>150000</v>
      </c>
      <c r="J479" s="214">
        <f t="shared" si="23"/>
        <v>150000</v>
      </c>
      <c r="K479" s="212" t="s">
        <v>6232</v>
      </c>
      <c r="L479" s="213"/>
      <c r="M479" s="212" t="s">
        <v>6179</v>
      </c>
    </row>
    <row r="480" spans="1:13" ht="21" customHeight="1">
      <c r="A480" s="213" t="s">
        <v>6884</v>
      </c>
      <c r="B480" s="215">
        <f t="shared" si="21"/>
        <v>45691</v>
      </c>
      <c r="C480" s="213" t="s">
        <v>6238</v>
      </c>
      <c r="D480" s="213" t="s">
        <v>4369</v>
      </c>
      <c r="E480" s="213" t="s">
        <v>333</v>
      </c>
      <c r="F480" s="212" t="s">
        <v>4365</v>
      </c>
      <c r="G480" s="212" t="str">
        <f t="shared" si="22"/>
        <v>101현금</v>
      </c>
      <c r="H480" s="214">
        <v>165000</v>
      </c>
      <c r="I480" s="214">
        <v>0</v>
      </c>
      <c r="J480" s="214">
        <f t="shared" si="23"/>
        <v>-165000</v>
      </c>
      <c r="K480" s="212" t="s">
        <v>6232</v>
      </c>
      <c r="L480" s="213"/>
      <c r="M480" s="212" t="s">
        <v>6179</v>
      </c>
    </row>
    <row r="481" spans="1:13" ht="21" customHeight="1">
      <c r="A481" s="213" t="s">
        <v>6881</v>
      </c>
      <c r="B481" s="215">
        <f t="shared" si="21"/>
        <v>45692</v>
      </c>
      <c r="C481" s="213" t="s">
        <v>4373</v>
      </c>
      <c r="D481" s="213" t="s">
        <v>4369</v>
      </c>
      <c r="E481" s="213" t="s">
        <v>4380</v>
      </c>
      <c r="F481" s="212" t="s">
        <v>6515</v>
      </c>
      <c r="G481" s="212" t="str">
        <f t="shared" si="22"/>
        <v>812여비교통비(판)</v>
      </c>
      <c r="H481" s="214">
        <v>27000</v>
      </c>
      <c r="I481" s="214">
        <v>0</v>
      </c>
      <c r="J481" s="214">
        <f t="shared" si="23"/>
        <v>-27000</v>
      </c>
      <c r="K481" s="212" t="s">
        <v>6883</v>
      </c>
      <c r="L481" s="213"/>
      <c r="M481" s="212"/>
    </row>
    <row r="482" spans="1:13" ht="21" customHeight="1">
      <c r="A482" s="213" t="s">
        <v>6881</v>
      </c>
      <c r="B482" s="215">
        <f t="shared" si="21"/>
        <v>45692</v>
      </c>
      <c r="C482" s="213" t="s">
        <v>4373</v>
      </c>
      <c r="D482" s="213" t="s">
        <v>4366</v>
      </c>
      <c r="E482" s="213" t="s">
        <v>333</v>
      </c>
      <c r="F482" s="212" t="s">
        <v>4365</v>
      </c>
      <c r="G482" s="212" t="str">
        <f t="shared" si="22"/>
        <v>101현금</v>
      </c>
      <c r="H482" s="214">
        <v>0</v>
      </c>
      <c r="I482" s="214">
        <v>27000</v>
      </c>
      <c r="J482" s="214">
        <f t="shared" si="23"/>
        <v>27000</v>
      </c>
      <c r="K482" s="212" t="s">
        <v>6371</v>
      </c>
      <c r="L482" s="213"/>
      <c r="M482" s="212"/>
    </row>
    <row r="483" spans="1:13" ht="21" customHeight="1">
      <c r="A483" s="213" t="s">
        <v>6881</v>
      </c>
      <c r="B483" s="215">
        <f t="shared" si="21"/>
        <v>45692</v>
      </c>
      <c r="C483" s="213" t="s">
        <v>4382</v>
      </c>
      <c r="D483" s="213" t="s">
        <v>4366</v>
      </c>
      <c r="E483" s="213" t="s">
        <v>333</v>
      </c>
      <c r="F483" s="212" t="s">
        <v>4365</v>
      </c>
      <c r="G483" s="212" t="str">
        <f t="shared" si="22"/>
        <v>101현금</v>
      </c>
      <c r="H483" s="214">
        <v>0</v>
      </c>
      <c r="I483" s="214">
        <v>19900</v>
      </c>
      <c r="J483" s="214">
        <f t="shared" si="23"/>
        <v>19900</v>
      </c>
      <c r="K483" s="212" t="s">
        <v>6882</v>
      </c>
      <c r="L483" s="213"/>
      <c r="M483" s="212"/>
    </row>
    <row r="484" spans="1:13" ht="21" customHeight="1">
      <c r="A484" s="213" t="s">
        <v>6881</v>
      </c>
      <c r="B484" s="215">
        <f t="shared" si="21"/>
        <v>45692</v>
      </c>
      <c r="C484" s="213" t="s">
        <v>4382</v>
      </c>
      <c r="D484" s="213" t="s">
        <v>4369</v>
      </c>
      <c r="E484" s="213" t="s">
        <v>4383</v>
      </c>
      <c r="F484" s="212" t="s">
        <v>6525</v>
      </c>
      <c r="G484" s="212" t="str">
        <f t="shared" si="22"/>
        <v>830소모품비(판)</v>
      </c>
      <c r="H484" s="214">
        <v>19900</v>
      </c>
      <c r="I484" s="214">
        <v>0</v>
      </c>
      <c r="J484" s="214">
        <f t="shared" si="23"/>
        <v>-19900</v>
      </c>
      <c r="K484" s="212" t="s">
        <v>6882</v>
      </c>
      <c r="L484" s="213"/>
      <c r="M484" s="212"/>
    </row>
    <row r="485" spans="1:13" ht="21" customHeight="1">
      <c r="A485" s="213" t="s">
        <v>6881</v>
      </c>
      <c r="B485" s="215">
        <f t="shared" si="21"/>
        <v>45692</v>
      </c>
      <c r="C485" s="213" t="s">
        <v>4367</v>
      </c>
      <c r="D485" s="213" t="s">
        <v>4369</v>
      </c>
      <c r="E485" s="213" t="s">
        <v>4371</v>
      </c>
      <c r="F485" s="212" t="s">
        <v>4370</v>
      </c>
      <c r="G485" s="212" t="str">
        <f t="shared" si="22"/>
        <v>135부가세대급금</v>
      </c>
      <c r="H485" s="214">
        <v>1159</v>
      </c>
      <c r="I485" s="214">
        <v>0</v>
      </c>
      <c r="J485" s="214">
        <f t="shared" si="23"/>
        <v>-1159</v>
      </c>
      <c r="K485" s="212" t="s">
        <v>6193</v>
      </c>
      <c r="L485" s="213"/>
      <c r="M485" s="212" t="s">
        <v>6880</v>
      </c>
    </row>
    <row r="486" spans="1:13" ht="21" customHeight="1">
      <c r="A486" s="213" t="s">
        <v>6881</v>
      </c>
      <c r="B486" s="215">
        <f t="shared" si="21"/>
        <v>45692</v>
      </c>
      <c r="C486" s="213" t="s">
        <v>4367</v>
      </c>
      <c r="D486" s="213" t="s">
        <v>4369</v>
      </c>
      <c r="E486" s="213" t="s">
        <v>4386</v>
      </c>
      <c r="F486" s="212" t="s">
        <v>6420</v>
      </c>
      <c r="G486" s="212" t="str">
        <f t="shared" si="22"/>
        <v>814통신비(판)</v>
      </c>
      <c r="H486" s="214">
        <v>11599</v>
      </c>
      <c r="I486" s="214">
        <v>0</v>
      </c>
      <c r="J486" s="214">
        <f t="shared" si="23"/>
        <v>-11599</v>
      </c>
      <c r="K486" s="212" t="s">
        <v>6193</v>
      </c>
      <c r="L486" s="213"/>
      <c r="M486" s="212" t="s">
        <v>6880</v>
      </c>
    </row>
    <row r="487" spans="1:13" ht="21" customHeight="1">
      <c r="A487" s="213" t="s">
        <v>6881</v>
      </c>
      <c r="B487" s="215">
        <f t="shared" si="21"/>
        <v>45692</v>
      </c>
      <c r="C487" s="213" t="s">
        <v>4367</v>
      </c>
      <c r="D487" s="213" t="s">
        <v>4366</v>
      </c>
      <c r="E487" s="213" t="s">
        <v>333</v>
      </c>
      <c r="F487" s="212" t="s">
        <v>4365</v>
      </c>
      <c r="G487" s="212" t="str">
        <f t="shared" si="22"/>
        <v>101현금</v>
      </c>
      <c r="H487" s="214">
        <v>0</v>
      </c>
      <c r="I487" s="214">
        <v>12758</v>
      </c>
      <c r="J487" s="214">
        <f t="shared" si="23"/>
        <v>12758</v>
      </c>
      <c r="K487" s="212" t="s">
        <v>6193</v>
      </c>
      <c r="L487" s="213"/>
      <c r="M487" s="212" t="s">
        <v>6880</v>
      </c>
    </row>
    <row r="488" spans="1:13" ht="21" customHeight="1">
      <c r="A488" s="213" t="s">
        <v>6877</v>
      </c>
      <c r="B488" s="215">
        <f t="shared" si="21"/>
        <v>45693</v>
      </c>
      <c r="C488" s="213" t="s">
        <v>4373</v>
      </c>
      <c r="D488" s="213" t="s">
        <v>4369</v>
      </c>
      <c r="E488" s="213" t="s">
        <v>4499</v>
      </c>
      <c r="F488" s="212" t="s">
        <v>6517</v>
      </c>
      <c r="G488" s="212" t="str">
        <f t="shared" si="22"/>
        <v>811복리후생비(판)</v>
      </c>
      <c r="H488" s="214">
        <v>13000</v>
      </c>
      <c r="I488" s="214">
        <v>0</v>
      </c>
      <c r="J488" s="214">
        <f t="shared" si="23"/>
        <v>-13000</v>
      </c>
      <c r="K488" s="212" t="s">
        <v>6879</v>
      </c>
      <c r="L488" s="213"/>
      <c r="M488" s="212"/>
    </row>
    <row r="489" spans="1:13" ht="21" customHeight="1">
      <c r="A489" s="213" t="s">
        <v>6877</v>
      </c>
      <c r="B489" s="215">
        <f t="shared" si="21"/>
        <v>45693</v>
      </c>
      <c r="C489" s="213" t="s">
        <v>4373</v>
      </c>
      <c r="D489" s="213" t="s">
        <v>4366</v>
      </c>
      <c r="E489" s="213" t="s">
        <v>333</v>
      </c>
      <c r="F489" s="212" t="s">
        <v>4365</v>
      </c>
      <c r="G489" s="212" t="str">
        <f t="shared" si="22"/>
        <v>101현금</v>
      </c>
      <c r="H489" s="214">
        <v>0</v>
      </c>
      <c r="I489" s="214">
        <v>13000</v>
      </c>
      <c r="J489" s="214">
        <f t="shared" si="23"/>
        <v>13000</v>
      </c>
      <c r="K489" s="212" t="s">
        <v>6371</v>
      </c>
      <c r="L489" s="213"/>
      <c r="M489" s="212"/>
    </row>
    <row r="490" spans="1:13" ht="21" customHeight="1">
      <c r="A490" s="213" t="s">
        <v>6877</v>
      </c>
      <c r="B490" s="215">
        <f t="shared" si="21"/>
        <v>45693</v>
      </c>
      <c r="C490" s="213" t="s">
        <v>4382</v>
      </c>
      <c r="D490" s="213" t="s">
        <v>4369</v>
      </c>
      <c r="E490" s="213" t="s">
        <v>4383</v>
      </c>
      <c r="F490" s="212" t="s">
        <v>6525</v>
      </c>
      <c r="G490" s="212" t="str">
        <f t="shared" si="22"/>
        <v>830소모품비(판)</v>
      </c>
      <c r="H490" s="214">
        <v>15000</v>
      </c>
      <c r="I490" s="214">
        <v>0</v>
      </c>
      <c r="J490" s="214">
        <f t="shared" si="23"/>
        <v>-15000</v>
      </c>
      <c r="K490" s="212" t="s">
        <v>6215</v>
      </c>
      <c r="L490" s="213"/>
      <c r="M490" s="212"/>
    </row>
    <row r="491" spans="1:13" ht="21" customHeight="1">
      <c r="A491" s="213" t="s">
        <v>6877</v>
      </c>
      <c r="B491" s="215">
        <f t="shared" si="21"/>
        <v>45693</v>
      </c>
      <c r="C491" s="213" t="s">
        <v>4382</v>
      </c>
      <c r="D491" s="213" t="s">
        <v>4366</v>
      </c>
      <c r="E491" s="213" t="s">
        <v>333</v>
      </c>
      <c r="F491" s="212" t="s">
        <v>4365</v>
      </c>
      <c r="G491" s="212" t="str">
        <f t="shared" si="22"/>
        <v>101현금</v>
      </c>
      <c r="H491" s="214">
        <v>0</v>
      </c>
      <c r="I491" s="214">
        <v>15000</v>
      </c>
      <c r="J491" s="214">
        <f t="shared" si="23"/>
        <v>15000</v>
      </c>
      <c r="K491" s="212" t="s">
        <v>6371</v>
      </c>
      <c r="L491" s="213"/>
      <c r="M491" s="212"/>
    </row>
    <row r="492" spans="1:13" ht="21" customHeight="1">
      <c r="A492" s="213" t="s">
        <v>6877</v>
      </c>
      <c r="B492" s="215">
        <f t="shared" si="21"/>
        <v>45693</v>
      </c>
      <c r="C492" s="213" t="s">
        <v>4381</v>
      </c>
      <c r="D492" s="213" t="s">
        <v>4369</v>
      </c>
      <c r="E492" s="213" t="s">
        <v>4380</v>
      </c>
      <c r="F492" s="212" t="s">
        <v>6515</v>
      </c>
      <c r="G492" s="212" t="str">
        <f t="shared" si="22"/>
        <v>812여비교통비(판)</v>
      </c>
      <c r="H492" s="214">
        <v>1900</v>
      </c>
      <c r="I492" s="214">
        <v>0</v>
      </c>
      <c r="J492" s="214">
        <f t="shared" si="23"/>
        <v>-1900</v>
      </c>
      <c r="K492" s="212" t="s">
        <v>6878</v>
      </c>
      <c r="L492" s="213"/>
      <c r="M492" s="212"/>
    </row>
    <row r="493" spans="1:13" ht="21" customHeight="1">
      <c r="A493" s="213" t="s">
        <v>6877</v>
      </c>
      <c r="B493" s="215">
        <f t="shared" si="21"/>
        <v>45693</v>
      </c>
      <c r="C493" s="213" t="s">
        <v>4381</v>
      </c>
      <c r="D493" s="213" t="s">
        <v>4366</v>
      </c>
      <c r="E493" s="213" t="s">
        <v>333</v>
      </c>
      <c r="F493" s="212" t="s">
        <v>4365</v>
      </c>
      <c r="G493" s="212" t="str">
        <f t="shared" si="22"/>
        <v>101현금</v>
      </c>
      <c r="H493" s="214">
        <v>0</v>
      </c>
      <c r="I493" s="214">
        <v>1900</v>
      </c>
      <c r="J493" s="214">
        <f t="shared" si="23"/>
        <v>1900</v>
      </c>
      <c r="K493" s="212" t="s">
        <v>6371</v>
      </c>
      <c r="L493" s="213"/>
      <c r="M493" s="212"/>
    </row>
    <row r="494" spans="1:13" ht="21" customHeight="1">
      <c r="A494" s="213" t="s">
        <v>6877</v>
      </c>
      <c r="B494" s="215">
        <f t="shared" si="21"/>
        <v>45693</v>
      </c>
      <c r="C494" s="213" t="s">
        <v>4367</v>
      </c>
      <c r="D494" s="213" t="s">
        <v>4366</v>
      </c>
      <c r="E494" s="213" t="s">
        <v>6176</v>
      </c>
      <c r="F494" s="212" t="s">
        <v>6177</v>
      </c>
      <c r="G494" s="212" t="str">
        <f t="shared" si="22"/>
        <v>255부가세예수금</v>
      </c>
      <c r="H494" s="214">
        <v>0</v>
      </c>
      <c r="I494" s="214">
        <v>40000</v>
      </c>
      <c r="J494" s="214">
        <f t="shared" si="23"/>
        <v>40000</v>
      </c>
      <c r="K494" s="212" t="s">
        <v>6187</v>
      </c>
      <c r="L494" s="213"/>
      <c r="M494" s="212" t="s">
        <v>6188</v>
      </c>
    </row>
    <row r="495" spans="1:13" ht="21" customHeight="1">
      <c r="A495" s="213" t="s">
        <v>6877</v>
      </c>
      <c r="B495" s="215">
        <f t="shared" si="21"/>
        <v>45693</v>
      </c>
      <c r="C495" s="213" t="s">
        <v>4367</v>
      </c>
      <c r="D495" s="213" t="s">
        <v>4366</v>
      </c>
      <c r="E495" s="213" t="s">
        <v>334</v>
      </c>
      <c r="F495" s="212" t="s">
        <v>6158</v>
      </c>
      <c r="G495" s="212" t="str">
        <f t="shared" si="22"/>
        <v>401용역매출</v>
      </c>
      <c r="H495" s="214">
        <v>0</v>
      </c>
      <c r="I495" s="214">
        <v>400000</v>
      </c>
      <c r="J495" s="214">
        <f t="shared" si="23"/>
        <v>400000</v>
      </c>
      <c r="K495" s="212" t="s">
        <v>6187</v>
      </c>
      <c r="L495" s="213"/>
      <c r="M495" s="212" t="s">
        <v>6188</v>
      </c>
    </row>
    <row r="496" spans="1:13" ht="21" customHeight="1">
      <c r="A496" s="213" t="s">
        <v>6877</v>
      </c>
      <c r="B496" s="215">
        <f t="shared" si="21"/>
        <v>45693</v>
      </c>
      <c r="C496" s="213" t="s">
        <v>4367</v>
      </c>
      <c r="D496" s="213" t="s">
        <v>4369</v>
      </c>
      <c r="E496" s="213" t="s">
        <v>333</v>
      </c>
      <c r="F496" s="212" t="s">
        <v>4365</v>
      </c>
      <c r="G496" s="212" t="str">
        <f t="shared" si="22"/>
        <v>101현금</v>
      </c>
      <c r="H496" s="214">
        <v>440000</v>
      </c>
      <c r="I496" s="214">
        <v>0</v>
      </c>
      <c r="J496" s="214">
        <f t="shared" si="23"/>
        <v>-440000</v>
      </c>
      <c r="K496" s="212" t="s">
        <v>6187</v>
      </c>
      <c r="L496" s="213"/>
      <c r="M496" s="212" t="s">
        <v>6188</v>
      </c>
    </row>
    <row r="497" spans="1:13" ht="21" customHeight="1">
      <c r="A497" s="213" t="s">
        <v>6876</v>
      </c>
      <c r="B497" s="215">
        <f t="shared" si="21"/>
        <v>45694</v>
      </c>
      <c r="C497" s="213" t="s">
        <v>4373</v>
      </c>
      <c r="D497" s="213" t="s">
        <v>4366</v>
      </c>
      <c r="E497" s="213" t="s">
        <v>333</v>
      </c>
      <c r="F497" s="212" t="s">
        <v>4365</v>
      </c>
      <c r="G497" s="212" t="str">
        <f t="shared" si="22"/>
        <v>101현금</v>
      </c>
      <c r="H497" s="214">
        <v>0</v>
      </c>
      <c r="I497" s="214">
        <v>1000</v>
      </c>
      <c r="J497" s="214">
        <f t="shared" si="23"/>
        <v>1000</v>
      </c>
      <c r="K497" s="212" t="s">
        <v>6371</v>
      </c>
      <c r="L497" s="213"/>
      <c r="M497" s="212"/>
    </row>
    <row r="498" spans="1:13" ht="21" customHeight="1">
      <c r="A498" s="213" t="s">
        <v>6876</v>
      </c>
      <c r="B498" s="215">
        <f t="shared" si="21"/>
        <v>45694</v>
      </c>
      <c r="C498" s="213" t="s">
        <v>4373</v>
      </c>
      <c r="D498" s="213" t="s">
        <v>4369</v>
      </c>
      <c r="E498" s="213" t="s">
        <v>4380</v>
      </c>
      <c r="F498" s="212" t="s">
        <v>6515</v>
      </c>
      <c r="G498" s="212" t="str">
        <f t="shared" si="22"/>
        <v>812여비교통비(판)</v>
      </c>
      <c r="H498" s="214">
        <v>1000</v>
      </c>
      <c r="I498" s="214">
        <v>0</v>
      </c>
      <c r="J498" s="214">
        <f t="shared" si="23"/>
        <v>-1000</v>
      </c>
      <c r="K498" s="212" t="s">
        <v>6701</v>
      </c>
      <c r="L498" s="213"/>
      <c r="M498" s="212"/>
    </row>
    <row r="499" spans="1:13" ht="21" customHeight="1">
      <c r="A499" s="213" t="s">
        <v>6876</v>
      </c>
      <c r="B499" s="215">
        <f t="shared" si="21"/>
        <v>45694</v>
      </c>
      <c r="C499" s="213" t="s">
        <v>4382</v>
      </c>
      <c r="D499" s="213" t="s">
        <v>4369</v>
      </c>
      <c r="E499" s="213" t="s">
        <v>4499</v>
      </c>
      <c r="F499" s="212" t="s">
        <v>6517</v>
      </c>
      <c r="G499" s="212" t="str">
        <f t="shared" si="22"/>
        <v>811복리후생비(판)</v>
      </c>
      <c r="H499" s="214">
        <v>33707</v>
      </c>
      <c r="I499" s="214">
        <v>0</v>
      </c>
      <c r="J499" s="214">
        <f t="shared" si="23"/>
        <v>-33707</v>
      </c>
      <c r="K499" s="212" t="s">
        <v>6365</v>
      </c>
      <c r="L499" s="213"/>
      <c r="M499" s="212"/>
    </row>
    <row r="500" spans="1:13" ht="21" customHeight="1">
      <c r="A500" s="213" t="s">
        <v>6876</v>
      </c>
      <c r="B500" s="215">
        <f t="shared" si="21"/>
        <v>45694</v>
      </c>
      <c r="C500" s="213" t="s">
        <v>4382</v>
      </c>
      <c r="D500" s="213" t="s">
        <v>4366</v>
      </c>
      <c r="E500" s="213" t="s">
        <v>333</v>
      </c>
      <c r="F500" s="212" t="s">
        <v>4365</v>
      </c>
      <c r="G500" s="212" t="str">
        <f t="shared" si="22"/>
        <v>101현금</v>
      </c>
      <c r="H500" s="214">
        <v>0</v>
      </c>
      <c r="I500" s="214">
        <v>33707</v>
      </c>
      <c r="J500" s="214">
        <f t="shared" si="23"/>
        <v>33707</v>
      </c>
      <c r="K500" s="212" t="s">
        <v>6365</v>
      </c>
      <c r="L500" s="213"/>
      <c r="M500" s="212"/>
    </row>
    <row r="501" spans="1:13" ht="21" customHeight="1">
      <c r="A501" s="213" t="s">
        <v>6876</v>
      </c>
      <c r="B501" s="215">
        <f t="shared" si="21"/>
        <v>45694</v>
      </c>
      <c r="C501" s="213" t="s">
        <v>4367</v>
      </c>
      <c r="D501" s="213" t="s">
        <v>4366</v>
      </c>
      <c r="E501" s="213" t="s">
        <v>6176</v>
      </c>
      <c r="F501" s="212" t="s">
        <v>6177</v>
      </c>
      <c r="G501" s="212" t="str">
        <f t="shared" si="22"/>
        <v>255부가세예수금</v>
      </c>
      <c r="H501" s="214">
        <v>0</v>
      </c>
      <c r="I501" s="214">
        <v>15000</v>
      </c>
      <c r="J501" s="214">
        <f t="shared" si="23"/>
        <v>15000</v>
      </c>
      <c r="K501" s="212" t="s">
        <v>6265</v>
      </c>
      <c r="L501" s="213"/>
      <c r="M501" s="212" t="s">
        <v>6179</v>
      </c>
    </row>
    <row r="502" spans="1:13" ht="21" customHeight="1">
      <c r="A502" s="213" t="s">
        <v>6876</v>
      </c>
      <c r="B502" s="215">
        <f t="shared" si="21"/>
        <v>45694</v>
      </c>
      <c r="C502" s="213" t="s">
        <v>4367</v>
      </c>
      <c r="D502" s="213" t="s">
        <v>4366</v>
      </c>
      <c r="E502" s="213" t="s">
        <v>334</v>
      </c>
      <c r="F502" s="212" t="s">
        <v>6158</v>
      </c>
      <c r="G502" s="212" t="str">
        <f t="shared" si="22"/>
        <v>401용역매출</v>
      </c>
      <c r="H502" s="214">
        <v>0</v>
      </c>
      <c r="I502" s="214">
        <v>150000</v>
      </c>
      <c r="J502" s="214">
        <f t="shared" si="23"/>
        <v>150000</v>
      </c>
      <c r="K502" s="212" t="s">
        <v>6265</v>
      </c>
      <c r="L502" s="213"/>
      <c r="M502" s="212" t="s">
        <v>6179</v>
      </c>
    </row>
    <row r="503" spans="1:13" ht="21" customHeight="1">
      <c r="A503" s="213" t="s">
        <v>6876</v>
      </c>
      <c r="B503" s="215">
        <f t="shared" si="21"/>
        <v>45694</v>
      </c>
      <c r="C503" s="213" t="s">
        <v>4367</v>
      </c>
      <c r="D503" s="213" t="s">
        <v>4369</v>
      </c>
      <c r="E503" s="213" t="s">
        <v>333</v>
      </c>
      <c r="F503" s="212" t="s">
        <v>4365</v>
      </c>
      <c r="G503" s="212" t="str">
        <f t="shared" si="22"/>
        <v>101현금</v>
      </c>
      <c r="H503" s="214">
        <v>165000</v>
      </c>
      <c r="I503" s="214">
        <v>0</v>
      </c>
      <c r="J503" s="214">
        <f t="shared" si="23"/>
        <v>-165000</v>
      </c>
      <c r="K503" s="212" t="s">
        <v>6265</v>
      </c>
      <c r="L503" s="213"/>
      <c r="M503" s="212" t="s">
        <v>6179</v>
      </c>
    </row>
    <row r="504" spans="1:13" ht="21" customHeight="1">
      <c r="A504" s="213" t="s">
        <v>6876</v>
      </c>
      <c r="B504" s="215">
        <f t="shared" si="21"/>
        <v>45694</v>
      </c>
      <c r="C504" s="213" t="s">
        <v>4374</v>
      </c>
      <c r="D504" s="213" t="s">
        <v>4366</v>
      </c>
      <c r="E504" s="213" t="s">
        <v>6176</v>
      </c>
      <c r="F504" s="212" t="s">
        <v>6177</v>
      </c>
      <c r="G504" s="212" t="str">
        <f t="shared" si="22"/>
        <v>255부가세예수금</v>
      </c>
      <c r="H504" s="214">
        <v>0</v>
      </c>
      <c r="I504" s="214">
        <v>10000</v>
      </c>
      <c r="J504" s="214">
        <f t="shared" si="23"/>
        <v>10000</v>
      </c>
      <c r="K504" s="212" t="s">
        <v>6266</v>
      </c>
      <c r="L504" s="213"/>
      <c r="M504" s="212" t="s">
        <v>6185</v>
      </c>
    </row>
    <row r="505" spans="1:13" ht="21" customHeight="1">
      <c r="A505" s="213" t="s">
        <v>6876</v>
      </c>
      <c r="B505" s="215">
        <f t="shared" si="21"/>
        <v>45694</v>
      </c>
      <c r="C505" s="213" t="s">
        <v>4374</v>
      </c>
      <c r="D505" s="213" t="s">
        <v>4366</v>
      </c>
      <c r="E505" s="213" t="s">
        <v>334</v>
      </c>
      <c r="F505" s="212" t="s">
        <v>6158</v>
      </c>
      <c r="G505" s="212" t="str">
        <f t="shared" si="22"/>
        <v>401용역매출</v>
      </c>
      <c r="H505" s="214">
        <v>0</v>
      </c>
      <c r="I505" s="214">
        <v>100000</v>
      </c>
      <c r="J505" s="214">
        <f t="shared" si="23"/>
        <v>100000</v>
      </c>
      <c r="K505" s="212" t="s">
        <v>6266</v>
      </c>
      <c r="L505" s="213"/>
      <c r="M505" s="212" t="s">
        <v>6185</v>
      </c>
    </row>
    <row r="506" spans="1:13" ht="21" customHeight="1">
      <c r="A506" s="213" t="s">
        <v>6876</v>
      </c>
      <c r="B506" s="215">
        <f t="shared" si="21"/>
        <v>45694</v>
      </c>
      <c r="C506" s="213" t="s">
        <v>4374</v>
      </c>
      <c r="D506" s="213" t="s">
        <v>4369</v>
      </c>
      <c r="E506" s="213" t="s">
        <v>333</v>
      </c>
      <c r="F506" s="212" t="s">
        <v>4365</v>
      </c>
      <c r="G506" s="212" t="str">
        <f t="shared" si="22"/>
        <v>101현금</v>
      </c>
      <c r="H506" s="214">
        <v>110000</v>
      </c>
      <c r="I506" s="214">
        <v>0</v>
      </c>
      <c r="J506" s="214">
        <f t="shared" si="23"/>
        <v>-110000</v>
      </c>
      <c r="K506" s="212" t="s">
        <v>6266</v>
      </c>
      <c r="L506" s="213"/>
      <c r="M506" s="212" t="s">
        <v>6185</v>
      </c>
    </row>
    <row r="507" spans="1:13" ht="21" customHeight="1">
      <c r="A507" s="213" t="s">
        <v>6876</v>
      </c>
      <c r="B507" s="215">
        <f t="shared" si="21"/>
        <v>45694</v>
      </c>
      <c r="C507" s="213" t="s">
        <v>6182</v>
      </c>
      <c r="D507" s="213" t="s">
        <v>4366</v>
      </c>
      <c r="E507" s="213" t="s">
        <v>333</v>
      </c>
      <c r="F507" s="212" t="s">
        <v>4365</v>
      </c>
      <c r="G507" s="212" t="str">
        <f t="shared" si="22"/>
        <v>101현금</v>
      </c>
      <c r="H507" s="214">
        <v>0</v>
      </c>
      <c r="I507" s="214">
        <v>172000</v>
      </c>
      <c r="J507" s="214">
        <f t="shared" si="23"/>
        <v>172000</v>
      </c>
      <c r="K507" s="212" t="s">
        <v>6371</v>
      </c>
      <c r="L507" s="213"/>
      <c r="M507" s="212"/>
    </row>
    <row r="508" spans="1:13" ht="21" customHeight="1">
      <c r="A508" s="213" t="s">
        <v>6876</v>
      </c>
      <c r="B508" s="215">
        <f t="shared" si="21"/>
        <v>45694</v>
      </c>
      <c r="C508" s="213" t="s">
        <v>6182</v>
      </c>
      <c r="D508" s="213" t="s">
        <v>4369</v>
      </c>
      <c r="E508" s="213" t="s">
        <v>4383</v>
      </c>
      <c r="F508" s="212" t="s">
        <v>6525</v>
      </c>
      <c r="G508" s="212" t="str">
        <f t="shared" si="22"/>
        <v>830소모품비(판)</v>
      </c>
      <c r="H508" s="214">
        <v>156364</v>
      </c>
      <c r="I508" s="214">
        <v>0</v>
      </c>
      <c r="J508" s="214">
        <f t="shared" si="23"/>
        <v>-156364</v>
      </c>
      <c r="K508" s="212" t="s">
        <v>4384</v>
      </c>
      <c r="L508" s="213" t="s">
        <v>6411</v>
      </c>
      <c r="M508" s="212"/>
    </row>
    <row r="509" spans="1:13" ht="21" customHeight="1">
      <c r="A509" s="213" t="s">
        <v>6876</v>
      </c>
      <c r="B509" s="215">
        <f t="shared" si="21"/>
        <v>45694</v>
      </c>
      <c r="C509" s="213" t="s">
        <v>6182</v>
      </c>
      <c r="D509" s="213" t="s">
        <v>4369</v>
      </c>
      <c r="E509" s="213" t="s">
        <v>4371</v>
      </c>
      <c r="F509" s="212" t="s">
        <v>4370</v>
      </c>
      <c r="G509" s="212" t="str">
        <f t="shared" si="22"/>
        <v>135부가세대급금</v>
      </c>
      <c r="H509" s="214">
        <v>15636</v>
      </c>
      <c r="I509" s="214">
        <v>0</v>
      </c>
      <c r="J509" s="214">
        <f t="shared" si="23"/>
        <v>-15636</v>
      </c>
      <c r="K509" s="212" t="s">
        <v>4384</v>
      </c>
      <c r="L509" s="213" t="s">
        <v>6411</v>
      </c>
      <c r="M509" s="212"/>
    </row>
    <row r="510" spans="1:13" ht="21" customHeight="1">
      <c r="A510" s="213" t="s">
        <v>6874</v>
      </c>
      <c r="B510" s="215">
        <f t="shared" si="21"/>
        <v>45695</v>
      </c>
      <c r="C510" s="213" t="s">
        <v>4373</v>
      </c>
      <c r="D510" s="213" t="s">
        <v>4369</v>
      </c>
      <c r="E510" s="213" t="s">
        <v>4499</v>
      </c>
      <c r="F510" s="212" t="s">
        <v>6517</v>
      </c>
      <c r="G510" s="212" t="str">
        <f t="shared" si="22"/>
        <v>811복리후생비(판)</v>
      </c>
      <c r="H510" s="214">
        <v>3000</v>
      </c>
      <c r="I510" s="214">
        <v>0</v>
      </c>
      <c r="J510" s="214">
        <f t="shared" si="23"/>
        <v>-3000</v>
      </c>
      <c r="K510" s="212" t="s">
        <v>6288</v>
      </c>
      <c r="L510" s="213"/>
      <c r="M510" s="212"/>
    </row>
    <row r="511" spans="1:13" ht="21" customHeight="1">
      <c r="A511" s="213" t="s">
        <v>6874</v>
      </c>
      <c r="B511" s="215">
        <f t="shared" si="21"/>
        <v>45695</v>
      </c>
      <c r="C511" s="213" t="s">
        <v>4373</v>
      </c>
      <c r="D511" s="213" t="s">
        <v>4366</v>
      </c>
      <c r="E511" s="213" t="s">
        <v>333</v>
      </c>
      <c r="F511" s="212" t="s">
        <v>4365</v>
      </c>
      <c r="G511" s="212" t="str">
        <f t="shared" si="22"/>
        <v>101현금</v>
      </c>
      <c r="H511" s="214">
        <v>0</v>
      </c>
      <c r="I511" s="214">
        <v>3000</v>
      </c>
      <c r="J511" s="214">
        <f t="shared" si="23"/>
        <v>3000</v>
      </c>
      <c r="K511" s="212" t="s">
        <v>6369</v>
      </c>
      <c r="L511" s="213"/>
      <c r="M511" s="212"/>
    </row>
    <row r="512" spans="1:13" ht="21" customHeight="1">
      <c r="A512" s="213" t="s">
        <v>6874</v>
      </c>
      <c r="B512" s="215">
        <f t="shared" si="21"/>
        <v>45695</v>
      </c>
      <c r="C512" s="213" t="s">
        <v>4382</v>
      </c>
      <c r="D512" s="213" t="s">
        <v>4369</v>
      </c>
      <c r="E512" s="213" t="s">
        <v>4383</v>
      </c>
      <c r="F512" s="212" t="s">
        <v>6525</v>
      </c>
      <c r="G512" s="212" t="str">
        <f t="shared" si="22"/>
        <v>830소모품비(판)</v>
      </c>
      <c r="H512" s="214">
        <v>4000</v>
      </c>
      <c r="I512" s="214">
        <v>0</v>
      </c>
      <c r="J512" s="214">
        <f t="shared" si="23"/>
        <v>-4000</v>
      </c>
      <c r="K512" s="212" t="s">
        <v>6875</v>
      </c>
      <c r="L512" s="213"/>
      <c r="M512" s="212"/>
    </row>
    <row r="513" spans="1:13" ht="21" customHeight="1">
      <c r="A513" s="213" t="s">
        <v>6874</v>
      </c>
      <c r="B513" s="215">
        <f t="shared" si="21"/>
        <v>45695</v>
      </c>
      <c r="C513" s="213" t="s">
        <v>4382</v>
      </c>
      <c r="D513" s="213" t="s">
        <v>4366</v>
      </c>
      <c r="E513" s="213" t="s">
        <v>333</v>
      </c>
      <c r="F513" s="212" t="s">
        <v>4365</v>
      </c>
      <c r="G513" s="212" t="str">
        <f t="shared" si="22"/>
        <v>101현금</v>
      </c>
      <c r="H513" s="214">
        <v>0</v>
      </c>
      <c r="I513" s="214">
        <v>4000</v>
      </c>
      <c r="J513" s="214">
        <f t="shared" si="23"/>
        <v>4000</v>
      </c>
      <c r="K513" s="212" t="s">
        <v>6369</v>
      </c>
      <c r="L513" s="213"/>
      <c r="M513" s="212"/>
    </row>
    <row r="514" spans="1:13" ht="21" customHeight="1">
      <c r="A514" s="213" t="s">
        <v>6874</v>
      </c>
      <c r="B514" s="215">
        <f t="shared" ref="B514:B577" si="24">DATEVALUE(A514)</f>
        <v>45695</v>
      </c>
      <c r="C514" s="213" t="s">
        <v>4381</v>
      </c>
      <c r="D514" s="213" t="s">
        <v>4369</v>
      </c>
      <c r="E514" s="213" t="s">
        <v>4383</v>
      </c>
      <c r="F514" s="212" t="s">
        <v>6525</v>
      </c>
      <c r="G514" s="212" t="str">
        <f t="shared" ref="G514:G577" si="25">E514&amp;F514</f>
        <v>830소모품비(판)</v>
      </c>
      <c r="H514" s="214">
        <v>12200</v>
      </c>
      <c r="I514" s="214">
        <v>0</v>
      </c>
      <c r="J514" s="214">
        <f t="shared" ref="J514:J577" si="26">I514-H514</f>
        <v>-12200</v>
      </c>
      <c r="K514" s="212" t="s">
        <v>6198</v>
      </c>
      <c r="L514" s="213"/>
      <c r="M514" s="212"/>
    </row>
    <row r="515" spans="1:13" ht="21" customHeight="1">
      <c r="A515" s="213" t="s">
        <v>6874</v>
      </c>
      <c r="B515" s="215">
        <f t="shared" si="24"/>
        <v>45695</v>
      </c>
      <c r="C515" s="213" t="s">
        <v>4381</v>
      </c>
      <c r="D515" s="213" t="s">
        <v>4366</v>
      </c>
      <c r="E515" s="213" t="s">
        <v>333</v>
      </c>
      <c r="F515" s="212" t="s">
        <v>4365</v>
      </c>
      <c r="G515" s="212" t="str">
        <f t="shared" si="25"/>
        <v>101현금</v>
      </c>
      <c r="H515" s="214">
        <v>0</v>
      </c>
      <c r="I515" s="214">
        <v>12200</v>
      </c>
      <c r="J515" s="214">
        <f t="shared" si="26"/>
        <v>12200</v>
      </c>
      <c r="K515" s="212" t="s">
        <v>6369</v>
      </c>
      <c r="L515" s="213"/>
      <c r="M515" s="212"/>
    </row>
    <row r="516" spans="1:13" ht="21" customHeight="1">
      <c r="A516" s="213" t="s">
        <v>6874</v>
      </c>
      <c r="B516" s="215">
        <f t="shared" si="24"/>
        <v>45695</v>
      </c>
      <c r="C516" s="213" t="s">
        <v>4379</v>
      </c>
      <c r="D516" s="213" t="s">
        <v>4366</v>
      </c>
      <c r="E516" s="213" t="s">
        <v>333</v>
      </c>
      <c r="F516" s="212" t="s">
        <v>4365</v>
      </c>
      <c r="G516" s="212" t="str">
        <f t="shared" si="25"/>
        <v>101현금</v>
      </c>
      <c r="H516" s="214">
        <v>0</v>
      </c>
      <c r="I516" s="214">
        <v>3740</v>
      </c>
      <c r="J516" s="214">
        <f t="shared" si="26"/>
        <v>3740</v>
      </c>
      <c r="K516" s="212" t="s">
        <v>6371</v>
      </c>
      <c r="L516" s="213"/>
      <c r="M516" s="212"/>
    </row>
    <row r="517" spans="1:13" ht="21" customHeight="1">
      <c r="A517" s="213" t="s">
        <v>6874</v>
      </c>
      <c r="B517" s="215">
        <f t="shared" si="24"/>
        <v>45695</v>
      </c>
      <c r="C517" s="213" t="s">
        <v>4379</v>
      </c>
      <c r="D517" s="213" t="s">
        <v>4369</v>
      </c>
      <c r="E517" s="213" t="s">
        <v>6290</v>
      </c>
      <c r="F517" s="212" t="s">
        <v>6570</v>
      </c>
      <c r="G517" s="212" t="str">
        <f t="shared" si="25"/>
        <v>824운반비(판)</v>
      </c>
      <c r="H517" s="214">
        <v>3740</v>
      </c>
      <c r="I517" s="214">
        <v>0</v>
      </c>
      <c r="J517" s="214">
        <f t="shared" si="26"/>
        <v>-3740</v>
      </c>
      <c r="K517" s="212" t="s">
        <v>6291</v>
      </c>
      <c r="L517" s="213"/>
      <c r="M517" s="212"/>
    </row>
    <row r="518" spans="1:13" ht="21" customHeight="1">
      <c r="A518" s="213" t="s">
        <v>6874</v>
      </c>
      <c r="B518" s="215">
        <f t="shared" si="24"/>
        <v>45695</v>
      </c>
      <c r="C518" s="213" t="s">
        <v>4367</v>
      </c>
      <c r="D518" s="213" t="s">
        <v>4369</v>
      </c>
      <c r="E518" s="213" t="s">
        <v>4371</v>
      </c>
      <c r="F518" s="212" t="s">
        <v>4370</v>
      </c>
      <c r="G518" s="212" t="str">
        <f t="shared" si="25"/>
        <v>135부가세대급금</v>
      </c>
      <c r="H518" s="214">
        <v>1920</v>
      </c>
      <c r="I518" s="214">
        <v>0</v>
      </c>
      <c r="J518" s="214">
        <f t="shared" si="26"/>
        <v>-1920</v>
      </c>
      <c r="K518" s="212" t="s">
        <v>4524</v>
      </c>
      <c r="L518" s="213"/>
      <c r="M518" s="212" t="s">
        <v>6199</v>
      </c>
    </row>
    <row r="519" spans="1:13" ht="21" customHeight="1">
      <c r="A519" s="213" t="s">
        <v>6874</v>
      </c>
      <c r="B519" s="215">
        <f t="shared" si="24"/>
        <v>45695</v>
      </c>
      <c r="C519" s="213" t="s">
        <v>4367</v>
      </c>
      <c r="D519" s="213" t="s">
        <v>4369</v>
      </c>
      <c r="E519" s="213" t="s">
        <v>4386</v>
      </c>
      <c r="F519" s="212" t="s">
        <v>6420</v>
      </c>
      <c r="G519" s="212" t="str">
        <f t="shared" si="25"/>
        <v>814통신비(판)</v>
      </c>
      <c r="H519" s="214">
        <v>19200</v>
      </c>
      <c r="I519" s="214">
        <v>0</v>
      </c>
      <c r="J519" s="214">
        <f t="shared" si="26"/>
        <v>-19200</v>
      </c>
      <c r="K519" s="212" t="s">
        <v>4524</v>
      </c>
      <c r="L519" s="213"/>
      <c r="M519" s="212" t="s">
        <v>6199</v>
      </c>
    </row>
    <row r="520" spans="1:13" ht="21" customHeight="1">
      <c r="A520" s="213" t="s">
        <v>6874</v>
      </c>
      <c r="B520" s="215">
        <f t="shared" si="24"/>
        <v>45695</v>
      </c>
      <c r="C520" s="213" t="s">
        <v>4367</v>
      </c>
      <c r="D520" s="213" t="s">
        <v>4366</v>
      </c>
      <c r="E520" s="213" t="s">
        <v>333</v>
      </c>
      <c r="F520" s="212" t="s">
        <v>4365</v>
      </c>
      <c r="G520" s="212" t="str">
        <f t="shared" si="25"/>
        <v>101현금</v>
      </c>
      <c r="H520" s="214">
        <v>0</v>
      </c>
      <c r="I520" s="214">
        <v>21120</v>
      </c>
      <c r="J520" s="214">
        <f t="shared" si="26"/>
        <v>21120</v>
      </c>
      <c r="K520" s="212" t="s">
        <v>4524</v>
      </c>
      <c r="L520" s="213"/>
      <c r="M520" s="212" t="s">
        <v>6199</v>
      </c>
    </row>
    <row r="521" spans="1:13" ht="21" customHeight="1">
      <c r="A521" s="213" t="s">
        <v>6874</v>
      </c>
      <c r="B521" s="215">
        <f t="shared" si="24"/>
        <v>45695</v>
      </c>
      <c r="C521" s="213" t="s">
        <v>4374</v>
      </c>
      <c r="D521" s="213" t="s">
        <v>4369</v>
      </c>
      <c r="E521" s="213" t="s">
        <v>4500</v>
      </c>
      <c r="F521" s="212" t="s">
        <v>6418</v>
      </c>
      <c r="G521" s="212" t="str">
        <f t="shared" si="25"/>
        <v>822차량유지비(판)</v>
      </c>
      <c r="H521" s="214">
        <v>5500</v>
      </c>
      <c r="I521" s="214">
        <v>0</v>
      </c>
      <c r="J521" s="214">
        <f t="shared" si="26"/>
        <v>-5500</v>
      </c>
      <c r="K521" s="212" t="s">
        <v>6284</v>
      </c>
      <c r="L521" s="213"/>
      <c r="M521" s="212" t="s">
        <v>6285</v>
      </c>
    </row>
    <row r="522" spans="1:13" ht="21" customHeight="1">
      <c r="A522" s="213" t="s">
        <v>6874</v>
      </c>
      <c r="B522" s="215">
        <f t="shared" si="24"/>
        <v>45695</v>
      </c>
      <c r="C522" s="213" t="s">
        <v>4374</v>
      </c>
      <c r="D522" s="213" t="s">
        <v>4366</v>
      </c>
      <c r="E522" s="213" t="s">
        <v>333</v>
      </c>
      <c r="F522" s="212" t="s">
        <v>4365</v>
      </c>
      <c r="G522" s="212" t="str">
        <f t="shared" si="25"/>
        <v>101현금</v>
      </c>
      <c r="H522" s="214">
        <v>0</v>
      </c>
      <c r="I522" s="214">
        <v>5500</v>
      </c>
      <c r="J522" s="214">
        <f t="shared" si="26"/>
        <v>5500</v>
      </c>
      <c r="K522" s="212" t="s">
        <v>6284</v>
      </c>
      <c r="L522" s="213"/>
      <c r="M522" s="212" t="s">
        <v>6285</v>
      </c>
    </row>
    <row r="523" spans="1:13" ht="21" customHeight="1">
      <c r="A523" s="217" t="s">
        <v>6871</v>
      </c>
      <c r="B523" s="215">
        <f t="shared" si="24"/>
        <v>45696</v>
      </c>
      <c r="C523" s="213" t="s">
        <v>4373</v>
      </c>
      <c r="D523" s="213" t="s">
        <v>4369</v>
      </c>
      <c r="E523" s="213" t="s">
        <v>4499</v>
      </c>
      <c r="F523" s="212" t="s">
        <v>6517</v>
      </c>
      <c r="G523" s="212" t="str">
        <f t="shared" si="25"/>
        <v>811복리후생비(판)</v>
      </c>
      <c r="H523" s="214">
        <v>4000</v>
      </c>
      <c r="I523" s="214">
        <v>0</v>
      </c>
      <c r="J523" s="214">
        <f t="shared" si="26"/>
        <v>-4000</v>
      </c>
      <c r="K523" s="212" t="s">
        <v>6873</v>
      </c>
      <c r="L523" s="213"/>
      <c r="M523" s="212"/>
    </row>
    <row r="524" spans="1:13" ht="21" customHeight="1">
      <c r="A524" s="217" t="s">
        <v>6871</v>
      </c>
      <c r="B524" s="215">
        <f t="shared" si="24"/>
        <v>45696</v>
      </c>
      <c r="C524" s="213" t="s">
        <v>4373</v>
      </c>
      <c r="D524" s="213" t="s">
        <v>4366</v>
      </c>
      <c r="E524" s="213" t="s">
        <v>333</v>
      </c>
      <c r="F524" s="212" t="s">
        <v>4365</v>
      </c>
      <c r="G524" s="212" t="str">
        <f t="shared" si="25"/>
        <v>101현금</v>
      </c>
      <c r="H524" s="214">
        <v>0</v>
      </c>
      <c r="I524" s="214">
        <v>4000</v>
      </c>
      <c r="J524" s="214">
        <f t="shared" si="26"/>
        <v>4000</v>
      </c>
      <c r="K524" s="212" t="s">
        <v>6371</v>
      </c>
      <c r="L524" s="213"/>
      <c r="M524" s="212"/>
    </row>
    <row r="525" spans="1:13" ht="21" customHeight="1">
      <c r="A525" s="217" t="s">
        <v>6871</v>
      </c>
      <c r="B525" s="215">
        <f t="shared" si="24"/>
        <v>45696</v>
      </c>
      <c r="C525" s="213" t="s">
        <v>4382</v>
      </c>
      <c r="D525" s="213" t="s">
        <v>4369</v>
      </c>
      <c r="E525" s="213" t="s">
        <v>4380</v>
      </c>
      <c r="F525" s="212" t="s">
        <v>6515</v>
      </c>
      <c r="G525" s="212" t="str">
        <f t="shared" si="25"/>
        <v>812여비교통비(판)</v>
      </c>
      <c r="H525" s="214">
        <v>19500</v>
      </c>
      <c r="I525" s="214">
        <v>0</v>
      </c>
      <c r="J525" s="214">
        <f t="shared" si="26"/>
        <v>-19500</v>
      </c>
      <c r="K525" s="212" t="s">
        <v>6872</v>
      </c>
      <c r="L525" s="213"/>
      <c r="M525" s="212"/>
    </row>
    <row r="526" spans="1:13" ht="21" customHeight="1">
      <c r="A526" s="217" t="s">
        <v>6871</v>
      </c>
      <c r="B526" s="215">
        <f t="shared" si="24"/>
        <v>45696</v>
      </c>
      <c r="C526" s="213" t="s">
        <v>4382</v>
      </c>
      <c r="D526" s="213" t="s">
        <v>4366</v>
      </c>
      <c r="E526" s="213" t="s">
        <v>333</v>
      </c>
      <c r="F526" s="212" t="s">
        <v>4365</v>
      </c>
      <c r="G526" s="212" t="str">
        <f t="shared" si="25"/>
        <v>101현금</v>
      </c>
      <c r="H526" s="214">
        <v>0</v>
      </c>
      <c r="I526" s="214">
        <v>19500</v>
      </c>
      <c r="J526" s="214">
        <f t="shared" si="26"/>
        <v>19500</v>
      </c>
      <c r="K526" s="212" t="s">
        <v>6371</v>
      </c>
      <c r="L526" s="213"/>
      <c r="M526" s="212"/>
    </row>
    <row r="527" spans="1:13" ht="21" customHeight="1">
      <c r="A527" s="217" t="s">
        <v>6871</v>
      </c>
      <c r="B527" s="215">
        <f t="shared" si="24"/>
        <v>45696</v>
      </c>
      <c r="C527" s="213" t="s">
        <v>4381</v>
      </c>
      <c r="D527" s="213" t="s">
        <v>4366</v>
      </c>
      <c r="E527" s="213" t="s">
        <v>333</v>
      </c>
      <c r="F527" s="212" t="s">
        <v>4365</v>
      </c>
      <c r="G527" s="212" t="str">
        <f t="shared" si="25"/>
        <v>101현금</v>
      </c>
      <c r="H527" s="214">
        <v>0</v>
      </c>
      <c r="I527" s="214">
        <v>3000</v>
      </c>
      <c r="J527" s="214">
        <f t="shared" si="26"/>
        <v>3000</v>
      </c>
      <c r="K527" s="212" t="s">
        <v>6864</v>
      </c>
      <c r="L527" s="213"/>
      <c r="M527" s="212"/>
    </row>
    <row r="528" spans="1:13" ht="21" customHeight="1">
      <c r="A528" s="217" t="s">
        <v>6871</v>
      </c>
      <c r="B528" s="215">
        <f t="shared" si="24"/>
        <v>45696</v>
      </c>
      <c r="C528" s="213" t="s">
        <v>4381</v>
      </c>
      <c r="D528" s="213" t="s">
        <v>4369</v>
      </c>
      <c r="E528" s="213" t="s">
        <v>4499</v>
      </c>
      <c r="F528" s="212" t="s">
        <v>6517</v>
      </c>
      <c r="G528" s="212" t="str">
        <f t="shared" si="25"/>
        <v>811복리후생비(판)</v>
      </c>
      <c r="H528" s="214">
        <v>3000</v>
      </c>
      <c r="I528" s="214">
        <v>0</v>
      </c>
      <c r="J528" s="214">
        <f t="shared" si="26"/>
        <v>-3000</v>
      </c>
      <c r="K528" s="212" t="s">
        <v>6864</v>
      </c>
      <c r="L528" s="213"/>
      <c r="M528" s="212"/>
    </row>
    <row r="529" spans="1:13" ht="21" customHeight="1">
      <c r="A529" s="217" t="s">
        <v>6871</v>
      </c>
      <c r="B529" s="215">
        <f t="shared" si="24"/>
        <v>45696</v>
      </c>
      <c r="C529" s="213" t="s">
        <v>4379</v>
      </c>
      <c r="D529" s="213" t="s">
        <v>4366</v>
      </c>
      <c r="E529" s="213" t="s">
        <v>333</v>
      </c>
      <c r="F529" s="212" t="s">
        <v>4365</v>
      </c>
      <c r="G529" s="212" t="str">
        <f t="shared" si="25"/>
        <v>101현금</v>
      </c>
      <c r="H529" s="214">
        <v>0</v>
      </c>
      <c r="I529" s="214">
        <v>10000</v>
      </c>
      <c r="J529" s="214">
        <f t="shared" si="26"/>
        <v>10000</v>
      </c>
      <c r="K529" s="212" t="s">
        <v>6864</v>
      </c>
      <c r="L529" s="213"/>
      <c r="M529" s="212"/>
    </row>
    <row r="530" spans="1:13" ht="21" customHeight="1">
      <c r="A530" s="217" t="s">
        <v>6871</v>
      </c>
      <c r="B530" s="215">
        <f t="shared" si="24"/>
        <v>45696</v>
      </c>
      <c r="C530" s="213" t="s">
        <v>4379</v>
      </c>
      <c r="D530" s="213" t="s">
        <v>4369</v>
      </c>
      <c r="E530" s="213" t="s">
        <v>4499</v>
      </c>
      <c r="F530" s="212" t="s">
        <v>6517</v>
      </c>
      <c r="G530" s="212" t="str">
        <f t="shared" si="25"/>
        <v>811복리후생비(판)</v>
      </c>
      <c r="H530" s="214">
        <v>10000</v>
      </c>
      <c r="I530" s="214">
        <v>0</v>
      </c>
      <c r="J530" s="214">
        <f t="shared" si="26"/>
        <v>-10000</v>
      </c>
      <c r="K530" s="212" t="s">
        <v>6864</v>
      </c>
      <c r="L530" s="213"/>
      <c r="M530" s="212"/>
    </row>
    <row r="531" spans="1:13" ht="21" customHeight="1">
      <c r="A531" s="216" t="s">
        <v>6869</v>
      </c>
      <c r="B531" s="215">
        <f t="shared" si="24"/>
        <v>45697</v>
      </c>
      <c r="C531" s="213" t="s">
        <v>4373</v>
      </c>
      <c r="D531" s="213" t="s">
        <v>4369</v>
      </c>
      <c r="E531" s="213" t="s">
        <v>4499</v>
      </c>
      <c r="F531" s="212" t="s">
        <v>6517</v>
      </c>
      <c r="G531" s="212" t="str">
        <f t="shared" si="25"/>
        <v>811복리후생비(판)</v>
      </c>
      <c r="H531" s="214">
        <v>67000</v>
      </c>
      <c r="I531" s="214">
        <v>0</v>
      </c>
      <c r="J531" s="214">
        <f t="shared" si="26"/>
        <v>-67000</v>
      </c>
      <c r="K531" s="212" t="s">
        <v>6607</v>
      </c>
      <c r="L531" s="213"/>
      <c r="M531" s="212"/>
    </row>
    <row r="532" spans="1:13" ht="21" customHeight="1">
      <c r="A532" s="216" t="s">
        <v>6869</v>
      </c>
      <c r="B532" s="215">
        <f t="shared" si="24"/>
        <v>45697</v>
      </c>
      <c r="C532" s="213" t="s">
        <v>4373</v>
      </c>
      <c r="D532" s="213" t="s">
        <v>4366</v>
      </c>
      <c r="E532" s="213" t="s">
        <v>333</v>
      </c>
      <c r="F532" s="212" t="s">
        <v>4365</v>
      </c>
      <c r="G532" s="212" t="str">
        <f t="shared" si="25"/>
        <v>101현금</v>
      </c>
      <c r="H532" s="214">
        <v>0</v>
      </c>
      <c r="I532" s="214">
        <v>67000</v>
      </c>
      <c r="J532" s="214">
        <f t="shared" si="26"/>
        <v>67000</v>
      </c>
      <c r="K532" s="212" t="s">
        <v>6371</v>
      </c>
      <c r="L532" s="213"/>
      <c r="M532" s="212"/>
    </row>
    <row r="533" spans="1:13" ht="21" customHeight="1">
      <c r="A533" s="216" t="s">
        <v>6869</v>
      </c>
      <c r="B533" s="215">
        <f t="shared" si="24"/>
        <v>45697</v>
      </c>
      <c r="C533" s="213" t="s">
        <v>4382</v>
      </c>
      <c r="D533" s="213" t="s">
        <v>4369</v>
      </c>
      <c r="E533" s="213" t="s">
        <v>4499</v>
      </c>
      <c r="F533" s="212" t="s">
        <v>6517</v>
      </c>
      <c r="G533" s="212" t="str">
        <f t="shared" si="25"/>
        <v>811복리후생비(판)</v>
      </c>
      <c r="H533" s="214">
        <v>3000</v>
      </c>
      <c r="I533" s="214">
        <v>0</v>
      </c>
      <c r="J533" s="214">
        <f t="shared" si="26"/>
        <v>-3000</v>
      </c>
      <c r="K533" s="212" t="s">
        <v>6288</v>
      </c>
      <c r="L533" s="213"/>
      <c r="M533" s="212"/>
    </row>
    <row r="534" spans="1:13" ht="21" customHeight="1">
      <c r="A534" s="216" t="s">
        <v>6869</v>
      </c>
      <c r="B534" s="215">
        <f t="shared" si="24"/>
        <v>45697</v>
      </c>
      <c r="C534" s="213" t="s">
        <v>4382</v>
      </c>
      <c r="D534" s="213" t="s">
        <v>4366</v>
      </c>
      <c r="E534" s="213" t="s">
        <v>333</v>
      </c>
      <c r="F534" s="212" t="s">
        <v>4365</v>
      </c>
      <c r="G534" s="212" t="str">
        <f t="shared" si="25"/>
        <v>101현금</v>
      </c>
      <c r="H534" s="214">
        <v>0</v>
      </c>
      <c r="I534" s="214">
        <v>3000</v>
      </c>
      <c r="J534" s="214">
        <f t="shared" si="26"/>
        <v>3000</v>
      </c>
      <c r="K534" s="212" t="s">
        <v>6371</v>
      </c>
      <c r="L534" s="213"/>
      <c r="M534" s="212"/>
    </row>
    <row r="535" spans="1:13" ht="21" customHeight="1">
      <c r="A535" s="216" t="s">
        <v>6869</v>
      </c>
      <c r="B535" s="215">
        <f t="shared" si="24"/>
        <v>45697</v>
      </c>
      <c r="C535" s="213" t="s">
        <v>4381</v>
      </c>
      <c r="D535" s="213" t="s">
        <v>4366</v>
      </c>
      <c r="E535" s="213" t="s">
        <v>333</v>
      </c>
      <c r="F535" s="212" t="s">
        <v>4365</v>
      </c>
      <c r="G535" s="212" t="str">
        <f t="shared" si="25"/>
        <v>101현금</v>
      </c>
      <c r="H535" s="214">
        <v>0</v>
      </c>
      <c r="I535" s="214">
        <v>6000</v>
      </c>
      <c r="J535" s="214">
        <f t="shared" si="26"/>
        <v>6000</v>
      </c>
      <c r="K535" s="212" t="s">
        <v>6864</v>
      </c>
      <c r="L535" s="213"/>
      <c r="M535" s="212"/>
    </row>
    <row r="536" spans="1:13" ht="21" customHeight="1">
      <c r="A536" s="216" t="s">
        <v>6869</v>
      </c>
      <c r="B536" s="215">
        <f t="shared" si="24"/>
        <v>45697</v>
      </c>
      <c r="C536" s="213" t="s">
        <v>4381</v>
      </c>
      <c r="D536" s="213" t="s">
        <v>4369</v>
      </c>
      <c r="E536" s="213" t="s">
        <v>4499</v>
      </c>
      <c r="F536" s="212" t="s">
        <v>6517</v>
      </c>
      <c r="G536" s="212" t="str">
        <f t="shared" si="25"/>
        <v>811복리후생비(판)</v>
      </c>
      <c r="H536" s="214">
        <v>6000</v>
      </c>
      <c r="I536" s="214">
        <v>0</v>
      </c>
      <c r="J536" s="214">
        <f t="shared" si="26"/>
        <v>-6000</v>
      </c>
      <c r="K536" s="212" t="s">
        <v>6864</v>
      </c>
      <c r="L536" s="213"/>
      <c r="M536" s="212"/>
    </row>
    <row r="537" spans="1:13" ht="21" customHeight="1">
      <c r="A537" s="216" t="s">
        <v>6869</v>
      </c>
      <c r="B537" s="215">
        <f t="shared" si="24"/>
        <v>45697</v>
      </c>
      <c r="C537" s="213" t="s">
        <v>4379</v>
      </c>
      <c r="D537" s="213" t="s">
        <v>4369</v>
      </c>
      <c r="E537" s="213" t="s">
        <v>4383</v>
      </c>
      <c r="F537" s="212" t="s">
        <v>6525</v>
      </c>
      <c r="G537" s="212" t="str">
        <f t="shared" si="25"/>
        <v>830소모품비(판)</v>
      </c>
      <c r="H537" s="214">
        <v>4980</v>
      </c>
      <c r="I537" s="214">
        <v>0</v>
      </c>
      <c r="J537" s="214">
        <f t="shared" si="26"/>
        <v>-4980</v>
      </c>
      <c r="K537" s="212" t="s">
        <v>6203</v>
      </c>
      <c r="L537" s="213"/>
      <c r="M537" s="212"/>
    </row>
    <row r="538" spans="1:13" ht="21" customHeight="1">
      <c r="A538" s="216" t="s">
        <v>6869</v>
      </c>
      <c r="B538" s="215">
        <f t="shared" si="24"/>
        <v>45697</v>
      </c>
      <c r="C538" s="213" t="s">
        <v>4379</v>
      </c>
      <c r="D538" s="213" t="s">
        <v>4366</v>
      </c>
      <c r="E538" s="213" t="s">
        <v>333</v>
      </c>
      <c r="F538" s="212" t="s">
        <v>4365</v>
      </c>
      <c r="G538" s="212" t="str">
        <f t="shared" si="25"/>
        <v>101현금</v>
      </c>
      <c r="H538" s="214">
        <v>0</v>
      </c>
      <c r="I538" s="214">
        <v>4980</v>
      </c>
      <c r="J538" s="214">
        <f t="shared" si="26"/>
        <v>4980</v>
      </c>
      <c r="K538" s="212" t="s">
        <v>6203</v>
      </c>
      <c r="L538" s="213"/>
      <c r="M538" s="212"/>
    </row>
    <row r="539" spans="1:13" ht="21" customHeight="1">
      <c r="A539" s="216" t="s">
        <v>6869</v>
      </c>
      <c r="B539" s="215">
        <f t="shared" si="24"/>
        <v>45697</v>
      </c>
      <c r="C539" s="213" t="s">
        <v>4385</v>
      </c>
      <c r="D539" s="213" t="s">
        <v>4369</v>
      </c>
      <c r="E539" s="213" t="s">
        <v>4499</v>
      </c>
      <c r="F539" s="212" t="s">
        <v>6517</v>
      </c>
      <c r="G539" s="212" t="str">
        <f t="shared" si="25"/>
        <v>811복리후생비(판)</v>
      </c>
      <c r="H539" s="214">
        <v>25966</v>
      </c>
      <c r="I539" s="214">
        <v>0</v>
      </c>
      <c r="J539" s="214">
        <f t="shared" si="26"/>
        <v>-25966</v>
      </c>
      <c r="K539" s="212" t="s">
        <v>6870</v>
      </c>
      <c r="L539" s="213"/>
      <c r="M539" s="212"/>
    </row>
    <row r="540" spans="1:13" ht="21" customHeight="1">
      <c r="A540" s="216" t="s">
        <v>6869</v>
      </c>
      <c r="B540" s="215">
        <f t="shared" si="24"/>
        <v>45697</v>
      </c>
      <c r="C540" s="213" t="s">
        <v>4385</v>
      </c>
      <c r="D540" s="213" t="s">
        <v>4366</v>
      </c>
      <c r="E540" s="213" t="s">
        <v>333</v>
      </c>
      <c r="F540" s="212" t="s">
        <v>4365</v>
      </c>
      <c r="G540" s="212" t="str">
        <f t="shared" si="25"/>
        <v>101현금</v>
      </c>
      <c r="H540" s="214">
        <v>0</v>
      </c>
      <c r="I540" s="214">
        <v>25966</v>
      </c>
      <c r="J540" s="214">
        <f t="shared" si="26"/>
        <v>25966</v>
      </c>
      <c r="K540" s="212" t="s">
        <v>6870</v>
      </c>
      <c r="L540" s="213"/>
      <c r="M540" s="212"/>
    </row>
    <row r="541" spans="1:13" ht="21" customHeight="1">
      <c r="A541" s="216" t="s">
        <v>6869</v>
      </c>
      <c r="B541" s="215">
        <f t="shared" si="24"/>
        <v>45697</v>
      </c>
      <c r="C541" s="213" t="s">
        <v>4367</v>
      </c>
      <c r="D541" s="213" t="s">
        <v>4366</v>
      </c>
      <c r="E541" s="213" t="s">
        <v>333</v>
      </c>
      <c r="F541" s="212" t="s">
        <v>4365</v>
      </c>
      <c r="G541" s="212" t="str">
        <f t="shared" si="25"/>
        <v>101현금</v>
      </c>
      <c r="H541" s="214">
        <v>0</v>
      </c>
      <c r="I541" s="214">
        <v>11000</v>
      </c>
      <c r="J541" s="214">
        <f t="shared" si="26"/>
        <v>11000</v>
      </c>
      <c r="K541" s="212" t="s">
        <v>6371</v>
      </c>
      <c r="L541" s="213"/>
      <c r="M541" s="212"/>
    </row>
    <row r="542" spans="1:13" ht="21" customHeight="1">
      <c r="A542" s="216" t="s">
        <v>6869</v>
      </c>
      <c r="B542" s="215">
        <f t="shared" si="24"/>
        <v>45697</v>
      </c>
      <c r="C542" s="213" t="s">
        <v>4367</v>
      </c>
      <c r="D542" s="213" t="s">
        <v>4369</v>
      </c>
      <c r="E542" s="213" t="s">
        <v>4383</v>
      </c>
      <c r="F542" s="212" t="s">
        <v>6525</v>
      </c>
      <c r="G542" s="212" t="str">
        <f t="shared" si="25"/>
        <v>830소모품비(판)</v>
      </c>
      <c r="H542" s="214">
        <v>9999</v>
      </c>
      <c r="I542" s="214">
        <v>0</v>
      </c>
      <c r="J542" s="214">
        <f t="shared" si="26"/>
        <v>-9999</v>
      </c>
      <c r="K542" s="212" t="s">
        <v>6202</v>
      </c>
      <c r="L542" s="213" t="s">
        <v>6411</v>
      </c>
      <c r="M542" s="212"/>
    </row>
    <row r="543" spans="1:13" ht="21" customHeight="1">
      <c r="A543" s="216" t="s">
        <v>6869</v>
      </c>
      <c r="B543" s="215">
        <f t="shared" si="24"/>
        <v>45697</v>
      </c>
      <c r="C543" s="213" t="s">
        <v>4367</v>
      </c>
      <c r="D543" s="213" t="s">
        <v>4369</v>
      </c>
      <c r="E543" s="213" t="s">
        <v>4371</v>
      </c>
      <c r="F543" s="212" t="s">
        <v>4370</v>
      </c>
      <c r="G543" s="212" t="str">
        <f t="shared" si="25"/>
        <v>135부가세대급금</v>
      </c>
      <c r="H543" s="214">
        <v>1001</v>
      </c>
      <c r="I543" s="214">
        <v>0</v>
      </c>
      <c r="J543" s="214">
        <f t="shared" si="26"/>
        <v>-1001</v>
      </c>
      <c r="K543" s="212" t="s">
        <v>6202</v>
      </c>
      <c r="L543" s="213" t="s">
        <v>6411</v>
      </c>
      <c r="M543" s="212"/>
    </row>
    <row r="544" spans="1:13" ht="21" customHeight="1">
      <c r="A544" s="213" t="s">
        <v>6863</v>
      </c>
      <c r="B544" s="215">
        <f t="shared" si="24"/>
        <v>45698</v>
      </c>
      <c r="C544" s="213" t="s">
        <v>4373</v>
      </c>
      <c r="D544" s="213" t="s">
        <v>4369</v>
      </c>
      <c r="E544" s="213" t="s">
        <v>4505</v>
      </c>
      <c r="F544" s="212" t="s">
        <v>4506</v>
      </c>
      <c r="G544" s="212" t="str">
        <f t="shared" si="25"/>
        <v>254예수금</v>
      </c>
      <c r="H544" s="214">
        <v>68060</v>
      </c>
      <c r="I544" s="214">
        <v>0</v>
      </c>
      <c r="J544" s="214">
        <f t="shared" si="26"/>
        <v>-68060</v>
      </c>
      <c r="K544" s="212" t="s">
        <v>4522</v>
      </c>
      <c r="L544" s="213" t="s">
        <v>6411</v>
      </c>
      <c r="M544" s="212" t="s">
        <v>6868</v>
      </c>
    </row>
    <row r="545" spans="1:13" ht="21" customHeight="1">
      <c r="A545" s="213" t="s">
        <v>6863</v>
      </c>
      <c r="B545" s="215">
        <f t="shared" si="24"/>
        <v>45698</v>
      </c>
      <c r="C545" s="213" t="s">
        <v>4373</v>
      </c>
      <c r="D545" s="213" t="s">
        <v>4366</v>
      </c>
      <c r="E545" s="213" t="s">
        <v>333</v>
      </c>
      <c r="F545" s="212" t="s">
        <v>4365</v>
      </c>
      <c r="G545" s="212" t="str">
        <f t="shared" si="25"/>
        <v>101현금</v>
      </c>
      <c r="H545" s="214">
        <v>0</v>
      </c>
      <c r="I545" s="214">
        <v>883640</v>
      </c>
      <c r="J545" s="214">
        <f t="shared" si="26"/>
        <v>883640</v>
      </c>
      <c r="K545" s="212" t="s">
        <v>4522</v>
      </c>
      <c r="L545" s="213" t="s">
        <v>6411</v>
      </c>
      <c r="M545" s="212" t="s">
        <v>6868</v>
      </c>
    </row>
    <row r="546" spans="1:13" ht="21" customHeight="1">
      <c r="A546" s="213" t="s">
        <v>6863</v>
      </c>
      <c r="B546" s="215">
        <f t="shared" si="24"/>
        <v>45698</v>
      </c>
      <c r="C546" s="213" t="s">
        <v>4373</v>
      </c>
      <c r="D546" s="213" t="s">
        <v>4369</v>
      </c>
      <c r="E546" s="213" t="s">
        <v>4509</v>
      </c>
      <c r="F546" s="212" t="s">
        <v>6491</v>
      </c>
      <c r="G546" s="212" t="str">
        <f t="shared" si="25"/>
        <v>821보험료(판)</v>
      </c>
      <c r="H546" s="214">
        <v>815580</v>
      </c>
      <c r="I546" s="214">
        <v>0</v>
      </c>
      <c r="J546" s="214">
        <f t="shared" si="26"/>
        <v>-815580</v>
      </c>
      <c r="K546" s="212" t="s">
        <v>4522</v>
      </c>
      <c r="L546" s="213" t="s">
        <v>6411</v>
      </c>
      <c r="M546" s="212" t="s">
        <v>6868</v>
      </c>
    </row>
    <row r="547" spans="1:13" ht="21" customHeight="1">
      <c r="A547" s="213" t="s">
        <v>6863</v>
      </c>
      <c r="B547" s="215">
        <f t="shared" si="24"/>
        <v>45698</v>
      </c>
      <c r="C547" s="213" t="s">
        <v>4382</v>
      </c>
      <c r="D547" s="213" t="s">
        <v>4369</v>
      </c>
      <c r="E547" s="213" t="s">
        <v>4505</v>
      </c>
      <c r="F547" s="212" t="s">
        <v>4506</v>
      </c>
      <c r="G547" s="212" t="str">
        <f t="shared" si="25"/>
        <v>254예수금</v>
      </c>
      <c r="H547" s="214">
        <v>149400</v>
      </c>
      <c r="I547" s="214">
        <v>0</v>
      </c>
      <c r="J547" s="214">
        <f t="shared" si="26"/>
        <v>-149400</v>
      </c>
      <c r="K547" s="212" t="s">
        <v>4523</v>
      </c>
      <c r="L547" s="213" t="s">
        <v>6411</v>
      </c>
      <c r="M547" s="212" t="s">
        <v>6867</v>
      </c>
    </row>
    <row r="548" spans="1:13" ht="21" customHeight="1">
      <c r="A548" s="213" t="s">
        <v>6863</v>
      </c>
      <c r="B548" s="215">
        <f t="shared" si="24"/>
        <v>45698</v>
      </c>
      <c r="C548" s="213" t="s">
        <v>4382</v>
      </c>
      <c r="D548" s="213" t="s">
        <v>4366</v>
      </c>
      <c r="E548" s="213" t="s">
        <v>333</v>
      </c>
      <c r="F548" s="212" t="s">
        <v>4365</v>
      </c>
      <c r="G548" s="212" t="str">
        <f t="shared" si="25"/>
        <v>101현금</v>
      </c>
      <c r="H548" s="214">
        <v>0</v>
      </c>
      <c r="I548" s="214">
        <v>298800</v>
      </c>
      <c r="J548" s="214">
        <f t="shared" si="26"/>
        <v>298800</v>
      </c>
      <c r="K548" s="212" t="s">
        <v>4523</v>
      </c>
      <c r="L548" s="213" t="s">
        <v>6411</v>
      </c>
      <c r="M548" s="212" t="s">
        <v>6867</v>
      </c>
    </row>
    <row r="549" spans="1:13" ht="21" customHeight="1">
      <c r="A549" s="213" t="s">
        <v>6863</v>
      </c>
      <c r="B549" s="215">
        <f t="shared" si="24"/>
        <v>45698</v>
      </c>
      <c r="C549" s="213" t="s">
        <v>4382</v>
      </c>
      <c r="D549" s="213" t="s">
        <v>4369</v>
      </c>
      <c r="E549" s="213" t="s">
        <v>4507</v>
      </c>
      <c r="F549" s="212" t="s">
        <v>6468</v>
      </c>
      <c r="G549" s="212" t="str">
        <f t="shared" si="25"/>
        <v>817세금과공과금(판)</v>
      </c>
      <c r="H549" s="214">
        <v>149400</v>
      </c>
      <c r="I549" s="214">
        <v>0</v>
      </c>
      <c r="J549" s="214">
        <f t="shared" si="26"/>
        <v>-149400</v>
      </c>
      <c r="K549" s="212" t="s">
        <v>4523</v>
      </c>
      <c r="L549" s="213" t="s">
        <v>6411</v>
      </c>
      <c r="M549" s="212" t="s">
        <v>6867</v>
      </c>
    </row>
    <row r="550" spans="1:13" ht="21" customHeight="1">
      <c r="A550" s="213" t="s">
        <v>6863</v>
      </c>
      <c r="B550" s="215">
        <f t="shared" si="24"/>
        <v>45698</v>
      </c>
      <c r="C550" s="213" t="s">
        <v>4381</v>
      </c>
      <c r="D550" s="213" t="s">
        <v>4369</v>
      </c>
      <c r="E550" s="213" t="s">
        <v>4505</v>
      </c>
      <c r="F550" s="212" t="s">
        <v>4506</v>
      </c>
      <c r="G550" s="212" t="str">
        <f t="shared" si="25"/>
        <v>254예수금</v>
      </c>
      <c r="H550" s="214">
        <v>6300</v>
      </c>
      <c r="I550" s="214">
        <v>0</v>
      </c>
      <c r="J550" s="214">
        <f t="shared" si="26"/>
        <v>-6300</v>
      </c>
      <c r="K550" s="212" t="s">
        <v>4508</v>
      </c>
      <c r="L550" s="213" t="s">
        <v>6411</v>
      </c>
      <c r="M550" s="212" t="s">
        <v>6866</v>
      </c>
    </row>
    <row r="551" spans="1:13" ht="21" customHeight="1">
      <c r="A551" s="213" t="s">
        <v>6863</v>
      </c>
      <c r="B551" s="215">
        <f t="shared" si="24"/>
        <v>45698</v>
      </c>
      <c r="C551" s="213" t="s">
        <v>4381</v>
      </c>
      <c r="D551" s="213" t="s">
        <v>4366</v>
      </c>
      <c r="E551" s="213" t="s">
        <v>333</v>
      </c>
      <c r="F551" s="212" t="s">
        <v>4365</v>
      </c>
      <c r="G551" s="212" t="str">
        <f t="shared" si="25"/>
        <v>101현금</v>
      </c>
      <c r="H551" s="214">
        <v>0</v>
      </c>
      <c r="I551" s="214">
        <v>14350</v>
      </c>
      <c r="J551" s="214">
        <f t="shared" si="26"/>
        <v>14350</v>
      </c>
      <c r="K551" s="212" t="s">
        <v>4508</v>
      </c>
      <c r="L551" s="213" t="s">
        <v>6411</v>
      </c>
      <c r="M551" s="212" t="s">
        <v>6866</v>
      </c>
    </row>
    <row r="552" spans="1:13" ht="21" customHeight="1">
      <c r="A552" s="213" t="s">
        <v>6863</v>
      </c>
      <c r="B552" s="215">
        <f t="shared" si="24"/>
        <v>45698</v>
      </c>
      <c r="C552" s="213" t="s">
        <v>4381</v>
      </c>
      <c r="D552" s="213" t="s">
        <v>4369</v>
      </c>
      <c r="E552" s="213" t="s">
        <v>4509</v>
      </c>
      <c r="F552" s="212" t="s">
        <v>6491</v>
      </c>
      <c r="G552" s="212" t="str">
        <f t="shared" si="25"/>
        <v>821보험료(판)</v>
      </c>
      <c r="H552" s="214">
        <v>8050</v>
      </c>
      <c r="I552" s="214">
        <v>0</v>
      </c>
      <c r="J552" s="214">
        <f t="shared" si="26"/>
        <v>-8050</v>
      </c>
      <c r="K552" s="212" t="s">
        <v>4508</v>
      </c>
      <c r="L552" s="213" t="s">
        <v>6411</v>
      </c>
      <c r="M552" s="212" t="s">
        <v>6866</v>
      </c>
    </row>
    <row r="553" spans="1:13" ht="21" customHeight="1">
      <c r="A553" s="213" t="s">
        <v>6863</v>
      </c>
      <c r="B553" s="215">
        <f t="shared" si="24"/>
        <v>45698</v>
      </c>
      <c r="C553" s="213" t="s">
        <v>4379</v>
      </c>
      <c r="D553" s="213" t="s">
        <v>4369</v>
      </c>
      <c r="E553" s="213" t="s">
        <v>4383</v>
      </c>
      <c r="F553" s="212" t="s">
        <v>6525</v>
      </c>
      <c r="G553" s="212" t="str">
        <f t="shared" si="25"/>
        <v>830소모품비(판)</v>
      </c>
      <c r="H553" s="214">
        <v>8214</v>
      </c>
      <c r="I553" s="214">
        <v>0</v>
      </c>
      <c r="J553" s="214">
        <f t="shared" si="26"/>
        <v>-8214</v>
      </c>
      <c r="K553" s="212" t="s">
        <v>6576</v>
      </c>
      <c r="L553" s="213"/>
      <c r="M553" s="212"/>
    </row>
    <row r="554" spans="1:13" ht="21" customHeight="1">
      <c r="A554" s="213" t="s">
        <v>6863</v>
      </c>
      <c r="B554" s="215">
        <f t="shared" si="24"/>
        <v>45698</v>
      </c>
      <c r="C554" s="213" t="s">
        <v>4379</v>
      </c>
      <c r="D554" s="213" t="s">
        <v>4366</v>
      </c>
      <c r="E554" s="213" t="s">
        <v>333</v>
      </c>
      <c r="F554" s="212" t="s">
        <v>4365</v>
      </c>
      <c r="G554" s="212" t="str">
        <f t="shared" si="25"/>
        <v>101현금</v>
      </c>
      <c r="H554" s="214">
        <v>0</v>
      </c>
      <c r="I554" s="214">
        <v>8214</v>
      </c>
      <c r="J554" s="214">
        <f t="shared" si="26"/>
        <v>8214</v>
      </c>
      <c r="K554" s="212" t="s">
        <v>6371</v>
      </c>
      <c r="L554" s="213"/>
      <c r="M554" s="212"/>
    </row>
    <row r="555" spans="1:13" ht="21" customHeight="1">
      <c r="A555" s="213" t="s">
        <v>6863</v>
      </c>
      <c r="B555" s="215">
        <f t="shared" si="24"/>
        <v>45698</v>
      </c>
      <c r="C555" s="213" t="s">
        <v>4385</v>
      </c>
      <c r="D555" s="213" t="s">
        <v>4369</v>
      </c>
      <c r="E555" s="213" t="s">
        <v>4383</v>
      </c>
      <c r="F555" s="212" t="s">
        <v>6525</v>
      </c>
      <c r="G555" s="212" t="str">
        <f t="shared" si="25"/>
        <v>830소모품비(판)</v>
      </c>
      <c r="H555" s="214">
        <v>2000</v>
      </c>
      <c r="I555" s="214">
        <v>0</v>
      </c>
      <c r="J555" s="214">
        <f t="shared" si="26"/>
        <v>-2000</v>
      </c>
      <c r="K555" s="212" t="s">
        <v>6215</v>
      </c>
      <c r="L555" s="213"/>
      <c r="M555" s="212"/>
    </row>
    <row r="556" spans="1:13" ht="21" customHeight="1">
      <c r="A556" s="213" t="s">
        <v>6863</v>
      </c>
      <c r="B556" s="215">
        <f t="shared" si="24"/>
        <v>45698</v>
      </c>
      <c r="C556" s="213" t="s">
        <v>4385</v>
      </c>
      <c r="D556" s="213" t="s">
        <v>4366</v>
      </c>
      <c r="E556" s="213" t="s">
        <v>333</v>
      </c>
      <c r="F556" s="212" t="s">
        <v>4365</v>
      </c>
      <c r="G556" s="212" t="str">
        <f t="shared" si="25"/>
        <v>101현금</v>
      </c>
      <c r="H556" s="214">
        <v>0</v>
      </c>
      <c r="I556" s="214">
        <v>2000</v>
      </c>
      <c r="J556" s="214">
        <f t="shared" si="26"/>
        <v>2000</v>
      </c>
      <c r="K556" s="212" t="s">
        <v>6369</v>
      </c>
      <c r="L556" s="213"/>
      <c r="M556" s="212"/>
    </row>
    <row r="557" spans="1:13" ht="21" customHeight="1">
      <c r="A557" s="213" t="s">
        <v>6863</v>
      </c>
      <c r="B557" s="215">
        <f t="shared" si="24"/>
        <v>45698</v>
      </c>
      <c r="C557" s="213" t="s">
        <v>4501</v>
      </c>
      <c r="D557" s="213" t="s">
        <v>4369</v>
      </c>
      <c r="E557" s="213" t="s">
        <v>4386</v>
      </c>
      <c r="F557" s="212" t="s">
        <v>6420</v>
      </c>
      <c r="G557" s="212" t="str">
        <f t="shared" si="25"/>
        <v>814통신비(판)</v>
      </c>
      <c r="H557" s="214">
        <v>5500</v>
      </c>
      <c r="I557" s="214">
        <v>0</v>
      </c>
      <c r="J557" s="214">
        <f t="shared" si="26"/>
        <v>-5500</v>
      </c>
      <c r="K557" s="212" t="s">
        <v>4524</v>
      </c>
      <c r="L557" s="213"/>
      <c r="M557" s="212"/>
    </row>
    <row r="558" spans="1:13" ht="21" customHeight="1">
      <c r="A558" s="213" t="s">
        <v>6863</v>
      </c>
      <c r="B558" s="215">
        <f t="shared" si="24"/>
        <v>45698</v>
      </c>
      <c r="C558" s="213" t="s">
        <v>4501</v>
      </c>
      <c r="D558" s="213" t="s">
        <v>4366</v>
      </c>
      <c r="E558" s="213" t="s">
        <v>333</v>
      </c>
      <c r="F558" s="212" t="s">
        <v>4365</v>
      </c>
      <c r="G558" s="212" t="str">
        <f t="shared" si="25"/>
        <v>101현금</v>
      </c>
      <c r="H558" s="214">
        <v>0</v>
      </c>
      <c r="I558" s="214">
        <v>5500</v>
      </c>
      <c r="J558" s="214">
        <f t="shared" si="26"/>
        <v>5500</v>
      </c>
      <c r="K558" s="212" t="s">
        <v>6369</v>
      </c>
      <c r="L558" s="213"/>
      <c r="M558" s="212"/>
    </row>
    <row r="559" spans="1:13" ht="21" customHeight="1">
      <c r="A559" s="213" t="s">
        <v>6863</v>
      </c>
      <c r="B559" s="215">
        <f t="shared" si="24"/>
        <v>45698</v>
      </c>
      <c r="C559" s="213" t="s">
        <v>4502</v>
      </c>
      <c r="D559" s="213" t="s">
        <v>4369</v>
      </c>
      <c r="E559" s="213" t="s">
        <v>4499</v>
      </c>
      <c r="F559" s="212" t="s">
        <v>6517</v>
      </c>
      <c r="G559" s="212" t="str">
        <f t="shared" si="25"/>
        <v>811복리후생비(판)</v>
      </c>
      <c r="H559" s="214">
        <v>33000</v>
      </c>
      <c r="I559" s="214">
        <v>0</v>
      </c>
      <c r="J559" s="214">
        <f t="shared" si="26"/>
        <v>-33000</v>
      </c>
      <c r="K559" s="212" t="s">
        <v>6865</v>
      </c>
      <c r="L559" s="213"/>
      <c r="M559" s="212"/>
    </row>
    <row r="560" spans="1:13" ht="21" customHeight="1">
      <c r="A560" s="213" t="s">
        <v>6863</v>
      </c>
      <c r="B560" s="215">
        <f t="shared" si="24"/>
        <v>45698</v>
      </c>
      <c r="C560" s="213" t="s">
        <v>4502</v>
      </c>
      <c r="D560" s="213" t="s">
        <v>4366</v>
      </c>
      <c r="E560" s="213" t="s">
        <v>333</v>
      </c>
      <c r="F560" s="212" t="s">
        <v>4365</v>
      </c>
      <c r="G560" s="212" t="str">
        <f t="shared" si="25"/>
        <v>101현금</v>
      </c>
      <c r="H560" s="214">
        <v>0</v>
      </c>
      <c r="I560" s="214">
        <v>33000</v>
      </c>
      <c r="J560" s="214">
        <f t="shared" si="26"/>
        <v>33000</v>
      </c>
      <c r="K560" s="212" t="s">
        <v>6865</v>
      </c>
      <c r="L560" s="213"/>
      <c r="M560" s="212"/>
    </row>
    <row r="561" spans="1:13" ht="21" customHeight="1">
      <c r="A561" s="213" t="s">
        <v>6863</v>
      </c>
      <c r="B561" s="215">
        <f t="shared" si="24"/>
        <v>45698</v>
      </c>
      <c r="C561" s="213" t="s">
        <v>4503</v>
      </c>
      <c r="D561" s="213" t="s">
        <v>4366</v>
      </c>
      <c r="E561" s="213" t="s">
        <v>333</v>
      </c>
      <c r="F561" s="212" t="s">
        <v>4365</v>
      </c>
      <c r="G561" s="212" t="str">
        <f t="shared" si="25"/>
        <v>101현금</v>
      </c>
      <c r="H561" s="214">
        <v>0</v>
      </c>
      <c r="I561" s="214">
        <v>10000</v>
      </c>
      <c r="J561" s="214">
        <f t="shared" si="26"/>
        <v>10000</v>
      </c>
      <c r="K561" s="212" t="s">
        <v>6864</v>
      </c>
      <c r="L561" s="213"/>
      <c r="M561" s="212"/>
    </row>
    <row r="562" spans="1:13" ht="21" customHeight="1">
      <c r="A562" s="213" t="s">
        <v>6863</v>
      </c>
      <c r="B562" s="215">
        <f t="shared" si="24"/>
        <v>45698</v>
      </c>
      <c r="C562" s="213" t="s">
        <v>4503</v>
      </c>
      <c r="D562" s="213" t="s">
        <v>4369</v>
      </c>
      <c r="E562" s="213" t="s">
        <v>4499</v>
      </c>
      <c r="F562" s="212" t="s">
        <v>6517</v>
      </c>
      <c r="G562" s="212" t="str">
        <f t="shared" si="25"/>
        <v>811복리후생비(판)</v>
      </c>
      <c r="H562" s="214">
        <v>10000</v>
      </c>
      <c r="I562" s="214">
        <v>0</v>
      </c>
      <c r="J562" s="214">
        <f t="shared" si="26"/>
        <v>-10000</v>
      </c>
      <c r="K562" s="212" t="s">
        <v>6864</v>
      </c>
      <c r="L562" s="213"/>
      <c r="M562" s="212"/>
    </row>
    <row r="563" spans="1:13" ht="21" customHeight="1">
      <c r="A563" s="213" t="s">
        <v>6863</v>
      </c>
      <c r="B563" s="215">
        <f t="shared" si="24"/>
        <v>45698</v>
      </c>
      <c r="C563" s="213" t="s">
        <v>4367</v>
      </c>
      <c r="D563" s="213" t="s">
        <v>4366</v>
      </c>
      <c r="E563" s="213" t="s">
        <v>6176</v>
      </c>
      <c r="F563" s="212" t="s">
        <v>6177</v>
      </c>
      <c r="G563" s="212" t="str">
        <f t="shared" si="25"/>
        <v>255부가세예수금</v>
      </c>
      <c r="H563" s="214">
        <v>0</v>
      </c>
      <c r="I563" s="214">
        <v>10000</v>
      </c>
      <c r="J563" s="214">
        <f t="shared" si="26"/>
        <v>10000</v>
      </c>
      <c r="K563" s="212" t="s">
        <v>6234</v>
      </c>
      <c r="L563" s="213"/>
      <c r="M563" s="212" t="s">
        <v>6185</v>
      </c>
    </row>
    <row r="564" spans="1:13" ht="21" customHeight="1">
      <c r="A564" s="213" t="s">
        <v>6863</v>
      </c>
      <c r="B564" s="215">
        <f t="shared" si="24"/>
        <v>45698</v>
      </c>
      <c r="C564" s="213" t="s">
        <v>4367</v>
      </c>
      <c r="D564" s="213" t="s">
        <v>4366</v>
      </c>
      <c r="E564" s="213" t="s">
        <v>334</v>
      </c>
      <c r="F564" s="212" t="s">
        <v>6158</v>
      </c>
      <c r="G564" s="212" t="str">
        <f t="shared" si="25"/>
        <v>401용역매출</v>
      </c>
      <c r="H564" s="214">
        <v>0</v>
      </c>
      <c r="I564" s="214">
        <v>100000</v>
      </c>
      <c r="J564" s="214">
        <f t="shared" si="26"/>
        <v>100000</v>
      </c>
      <c r="K564" s="212" t="s">
        <v>6234</v>
      </c>
      <c r="L564" s="213"/>
      <c r="M564" s="212" t="s">
        <v>6185</v>
      </c>
    </row>
    <row r="565" spans="1:13" ht="21" customHeight="1">
      <c r="A565" s="213" t="s">
        <v>6863</v>
      </c>
      <c r="B565" s="215">
        <f t="shared" si="24"/>
        <v>45698</v>
      </c>
      <c r="C565" s="213" t="s">
        <v>4367</v>
      </c>
      <c r="D565" s="213" t="s">
        <v>4369</v>
      </c>
      <c r="E565" s="213" t="s">
        <v>333</v>
      </c>
      <c r="F565" s="212" t="s">
        <v>4365</v>
      </c>
      <c r="G565" s="212" t="str">
        <f t="shared" si="25"/>
        <v>101현금</v>
      </c>
      <c r="H565" s="214">
        <v>110000</v>
      </c>
      <c r="I565" s="214">
        <v>0</v>
      </c>
      <c r="J565" s="214">
        <f t="shared" si="26"/>
        <v>-110000</v>
      </c>
      <c r="K565" s="212" t="s">
        <v>6234</v>
      </c>
      <c r="L565" s="213"/>
      <c r="M565" s="212" t="s">
        <v>6185</v>
      </c>
    </row>
    <row r="566" spans="1:13" ht="21" customHeight="1">
      <c r="A566" s="213" t="s">
        <v>6863</v>
      </c>
      <c r="B566" s="215">
        <f t="shared" si="24"/>
        <v>45698</v>
      </c>
      <c r="C566" s="213" t="s">
        <v>4374</v>
      </c>
      <c r="D566" s="213" t="s">
        <v>4366</v>
      </c>
      <c r="E566" s="213" t="s">
        <v>6176</v>
      </c>
      <c r="F566" s="212" t="s">
        <v>6177</v>
      </c>
      <c r="G566" s="212" t="str">
        <f t="shared" si="25"/>
        <v>255부가세예수금</v>
      </c>
      <c r="H566" s="214">
        <v>0</v>
      </c>
      <c r="I566" s="214">
        <v>10000</v>
      </c>
      <c r="J566" s="214">
        <f t="shared" si="26"/>
        <v>10000</v>
      </c>
      <c r="K566" s="212" t="s">
        <v>6235</v>
      </c>
      <c r="L566" s="213"/>
      <c r="M566" s="212" t="s">
        <v>6185</v>
      </c>
    </row>
    <row r="567" spans="1:13" ht="21" customHeight="1">
      <c r="A567" s="213" t="s">
        <v>6863</v>
      </c>
      <c r="B567" s="215">
        <f t="shared" si="24"/>
        <v>45698</v>
      </c>
      <c r="C567" s="213" t="s">
        <v>4374</v>
      </c>
      <c r="D567" s="213" t="s">
        <v>4366</v>
      </c>
      <c r="E567" s="213" t="s">
        <v>334</v>
      </c>
      <c r="F567" s="212" t="s">
        <v>6158</v>
      </c>
      <c r="G567" s="212" t="str">
        <f t="shared" si="25"/>
        <v>401용역매출</v>
      </c>
      <c r="H567" s="214">
        <v>0</v>
      </c>
      <c r="I567" s="214">
        <v>100000</v>
      </c>
      <c r="J567" s="214">
        <f t="shared" si="26"/>
        <v>100000</v>
      </c>
      <c r="K567" s="212" t="s">
        <v>6235</v>
      </c>
      <c r="L567" s="213"/>
      <c r="M567" s="212" t="s">
        <v>6185</v>
      </c>
    </row>
    <row r="568" spans="1:13" ht="21" customHeight="1">
      <c r="A568" s="213" t="s">
        <v>6863</v>
      </c>
      <c r="B568" s="215">
        <f t="shared" si="24"/>
        <v>45698</v>
      </c>
      <c r="C568" s="213" t="s">
        <v>4374</v>
      </c>
      <c r="D568" s="213" t="s">
        <v>4369</v>
      </c>
      <c r="E568" s="213" t="s">
        <v>333</v>
      </c>
      <c r="F568" s="212" t="s">
        <v>4365</v>
      </c>
      <c r="G568" s="212" t="str">
        <f t="shared" si="25"/>
        <v>101현금</v>
      </c>
      <c r="H568" s="214">
        <v>110000</v>
      </c>
      <c r="I568" s="214">
        <v>0</v>
      </c>
      <c r="J568" s="214">
        <f t="shared" si="26"/>
        <v>-110000</v>
      </c>
      <c r="K568" s="212" t="s">
        <v>6235</v>
      </c>
      <c r="L568" s="213"/>
      <c r="M568" s="212" t="s">
        <v>6185</v>
      </c>
    </row>
    <row r="569" spans="1:13" ht="21" customHeight="1">
      <c r="A569" s="213" t="s">
        <v>6861</v>
      </c>
      <c r="B569" s="215">
        <f t="shared" si="24"/>
        <v>45699</v>
      </c>
      <c r="C569" s="213" t="s">
        <v>4373</v>
      </c>
      <c r="D569" s="213" t="s">
        <v>4369</v>
      </c>
      <c r="E569" s="213" t="s">
        <v>4380</v>
      </c>
      <c r="F569" s="212" t="s">
        <v>6515</v>
      </c>
      <c r="G569" s="212" t="str">
        <f t="shared" si="25"/>
        <v>812여비교통비(판)</v>
      </c>
      <c r="H569" s="214">
        <v>9800</v>
      </c>
      <c r="I569" s="214">
        <v>0</v>
      </c>
      <c r="J569" s="214">
        <f t="shared" si="26"/>
        <v>-9800</v>
      </c>
      <c r="K569" s="212" t="s">
        <v>6164</v>
      </c>
      <c r="L569" s="213"/>
      <c r="M569" s="212"/>
    </row>
    <row r="570" spans="1:13" ht="21" customHeight="1">
      <c r="A570" s="213" t="s">
        <v>6861</v>
      </c>
      <c r="B570" s="215">
        <f t="shared" si="24"/>
        <v>45699</v>
      </c>
      <c r="C570" s="213" t="s">
        <v>4373</v>
      </c>
      <c r="D570" s="213" t="s">
        <v>4366</v>
      </c>
      <c r="E570" s="213" t="s">
        <v>333</v>
      </c>
      <c r="F570" s="212" t="s">
        <v>4365</v>
      </c>
      <c r="G570" s="212" t="str">
        <f t="shared" si="25"/>
        <v>101현금</v>
      </c>
      <c r="H570" s="214">
        <v>0</v>
      </c>
      <c r="I570" s="214">
        <v>9800</v>
      </c>
      <c r="J570" s="214">
        <f t="shared" si="26"/>
        <v>9800</v>
      </c>
      <c r="K570" s="212" t="s">
        <v>6369</v>
      </c>
      <c r="L570" s="213"/>
      <c r="M570" s="212"/>
    </row>
    <row r="571" spans="1:13" ht="21" customHeight="1">
      <c r="A571" s="213" t="s">
        <v>6861</v>
      </c>
      <c r="B571" s="215">
        <f t="shared" si="24"/>
        <v>45699</v>
      </c>
      <c r="C571" s="213" t="s">
        <v>4382</v>
      </c>
      <c r="D571" s="213" t="s">
        <v>4369</v>
      </c>
      <c r="E571" s="213" t="s">
        <v>4380</v>
      </c>
      <c r="F571" s="212" t="s">
        <v>6515</v>
      </c>
      <c r="G571" s="212" t="str">
        <f t="shared" si="25"/>
        <v>812여비교통비(판)</v>
      </c>
      <c r="H571" s="214">
        <v>5500</v>
      </c>
      <c r="I571" s="214">
        <v>0</v>
      </c>
      <c r="J571" s="214">
        <f t="shared" si="26"/>
        <v>-5500</v>
      </c>
      <c r="K571" s="212" t="s">
        <v>6335</v>
      </c>
      <c r="L571" s="213"/>
      <c r="M571" s="212"/>
    </row>
    <row r="572" spans="1:13" ht="21" customHeight="1">
      <c r="A572" s="213" t="s">
        <v>6861</v>
      </c>
      <c r="B572" s="215">
        <f t="shared" si="24"/>
        <v>45699</v>
      </c>
      <c r="C572" s="213" t="s">
        <v>4382</v>
      </c>
      <c r="D572" s="213" t="s">
        <v>4366</v>
      </c>
      <c r="E572" s="213" t="s">
        <v>333</v>
      </c>
      <c r="F572" s="212" t="s">
        <v>4365</v>
      </c>
      <c r="G572" s="212" t="str">
        <f t="shared" si="25"/>
        <v>101현금</v>
      </c>
      <c r="H572" s="214">
        <v>0</v>
      </c>
      <c r="I572" s="214">
        <v>5500</v>
      </c>
      <c r="J572" s="214">
        <f t="shared" si="26"/>
        <v>5500</v>
      </c>
      <c r="K572" s="212" t="s">
        <v>6369</v>
      </c>
      <c r="L572" s="213"/>
      <c r="M572" s="212"/>
    </row>
    <row r="573" spans="1:13" ht="21" customHeight="1">
      <c r="A573" s="213" t="s">
        <v>6861</v>
      </c>
      <c r="B573" s="215">
        <f t="shared" si="24"/>
        <v>45699</v>
      </c>
      <c r="C573" s="213" t="s">
        <v>4381</v>
      </c>
      <c r="D573" s="213" t="s">
        <v>4369</v>
      </c>
      <c r="E573" s="213" t="s">
        <v>4500</v>
      </c>
      <c r="F573" s="212" t="s">
        <v>6418</v>
      </c>
      <c r="G573" s="212" t="str">
        <f t="shared" si="25"/>
        <v>822차량유지비(판)</v>
      </c>
      <c r="H573" s="214">
        <v>50000</v>
      </c>
      <c r="I573" s="214">
        <v>0</v>
      </c>
      <c r="J573" s="214">
        <f t="shared" si="26"/>
        <v>-50000</v>
      </c>
      <c r="K573" s="212" t="s">
        <v>6862</v>
      </c>
      <c r="L573" s="213"/>
      <c r="M573" s="212"/>
    </row>
    <row r="574" spans="1:13" ht="21" customHeight="1">
      <c r="A574" s="213" t="s">
        <v>6861</v>
      </c>
      <c r="B574" s="215">
        <f t="shared" si="24"/>
        <v>45699</v>
      </c>
      <c r="C574" s="213" t="s">
        <v>4381</v>
      </c>
      <c r="D574" s="213" t="s">
        <v>4366</v>
      </c>
      <c r="E574" s="213" t="s">
        <v>333</v>
      </c>
      <c r="F574" s="212" t="s">
        <v>4365</v>
      </c>
      <c r="G574" s="212" t="str">
        <f t="shared" si="25"/>
        <v>101현금</v>
      </c>
      <c r="H574" s="214">
        <v>0</v>
      </c>
      <c r="I574" s="214">
        <v>50000</v>
      </c>
      <c r="J574" s="214">
        <f t="shared" si="26"/>
        <v>50000</v>
      </c>
      <c r="K574" s="212" t="s">
        <v>6370</v>
      </c>
      <c r="L574" s="213"/>
      <c r="M574" s="212"/>
    </row>
    <row r="575" spans="1:13" ht="21" customHeight="1">
      <c r="A575" s="213" t="s">
        <v>6861</v>
      </c>
      <c r="B575" s="215">
        <f t="shared" si="24"/>
        <v>45699</v>
      </c>
      <c r="C575" s="213" t="s">
        <v>4367</v>
      </c>
      <c r="D575" s="213" t="s">
        <v>4366</v>
      </c>
      <c r="E575" s="213" t="s">
        <v>6176</v>
      </c>
      <c r="F575" s="212" t="s">
        <v>6177</v>
      </c>
      <c r="G575" s="212" t="str">
        <f t="shared" si="25"/>
        <v>255부가세예수금</v>
      </c>
      <c r="H575" s="214">
        <v>0</v>
      </c>
      <c r="I575" s="214">
        <v>10000</v>
      </c>
      <c r="J575" s="214">
        <f t="shared" si="26"/>
        <v>10000</v>
      </c>
      <c r="K575" s="212" t="s">
        <v>6262</v>
      </c>
      <c r="L575" s="213"/>
      <c r="M575" s="212" t="s">
        <v>6185</v>
      </c>
    </row>
    <row r="576" spans="1:13" ht="21" customHeight="1">
      <c r="A576" s="213" t="s">
        <v>6861</v>
      </c>
      <c r="B576" s="215">
        <f t="shared" si="24"/>
        <v>45699</v>
      </c>
      <c r="C576" s="213" t="s">
        <v>4367</v>
      </c>
      <c r="D576" s="213" t="s">
        <v>4366</v>
      </c>
      <c r="E576" s="213" t="s">
        <v>334</v>
      </c>
      <c r="F576" s="212" t="s">
        <v>6158</v>
      </c>
      <c r="G576" s="212" t="str">
        <f t="shared" si="25"/>
        <v>401용역매출</v>
      </c>
      <c r="H576" s="214">
        <v>0</v>
      </c>
      <c r="I576" s="214">
        <v>100000</v>
      </c>
      <c r="J576" s="214">
        <f t="shared" si="26"/>
        <v>100000</v>
      </c>
      <c r="K576" s="212" t="s">
        <v>6262</v>
      </c>
      <c r="L576" s="213"/>
      <c r="M576" s="212" t="s">
        <v>6185</v>
      </c>
    </row>
    <row r="577" spans="1:13" ht="21" customHeight="1">
      <c r="A577" s="213" t="s">
        <v>6861</v>
      </c>
      <c r="B577" s="215">
        <f t="shared" si="24"/>
        <v>45699</v>
      </c>
      <c r="C577" s="213" t="s">
        <v>4367</v>
      </c>
      <c r="D577" s="213" t="s">
        <v>4369</v>
      </c>
      <c r="E577" s="213" t="s">
        <v>333</v>
      </c>
      <c r="F577" s="212" t="s">
        <v>4365</v>
      </c>
      <c r="G577" s="212" t="str">
        <f t="shared" si="25"/>
        <v>101현금</v>
      </c>
      <c r="H577" s="214">
        <v>110000</v>
      </c>
      <c r="I577" s="214">
        <v>0</v>
      </c>
      <c r="J577" s="214">
        <f t="shared" si="26"/>
        <v>-110000</v>
      </c>
      <c r="K577" s="212" t="s">
        <v>6262</v>
      </c>
      <c r="L577" s="213"/>
      <c r="M577" s="212" t="s">
        <v>6185</v>
      </c>
    </row>
    <row r="578" spans="1:13" ht="21" customHeight="1">
      <c r="A578" s="213" t="s">
        <v>6861</v>
      </c>
      <c r="B578" s="215">
        <f t="shared" ref="B578:B641" si="27">DATEVALUE(A578)</f>
        <v>45699</v>
      </c>
      <c r="C578" s="213" t="s">
        <v>4374</v>
      </c>
      <c r="D578" s="213" t="s">
        <v>4366</v>
      </c>
      <c r="E578" s="213" t="s">
        <v>6176</v>
      </c>
      <c r="F578" s="212" t="s">
        <v>6177</v>
      </c>
      <c r="G578" s="212" t="str">
        <f t="shared" ref="G578:G641" si="28">E578&amp;F578</f>
        <v>255부가세예수금</v>
      </c>
      <c r="H578" s="214">
        <v>0</v>
      </c>
      <c r="I578" s="214">
        <v>7000</v>
      </c>
      <c r="J578" s="214">
        <f t="shared" ref="J578:J641" si="29">I578-H578</f>
        <v>7000</v>
      </c>
      <c r="K578" s="212" t="s">
        <v>6259</v>
      </c>
      <c r="L578" s="213"/>
      <c r="M578" s="212" t="s">
        <v>6287</v>
      </c>
    </row>
    <row r="579" spans="1:13" ht="21" customHeight="1">
      <c r="A579" s="213" t="s">
        <v>6861</v>
      </c>
      <c r="B579" s="215">
        <f t="shared" si="27"/>
        <v>45699</v>
      </c>
      <c r="C579" s="213" t="s">
        <v>4374</v>
      </c>
      <c r="D579" s="213" t="s">
        <v>4366</v>
      </c>
      <c r="E579" s="213" t="s">
        <v>334</v>
      </c>
      <c r="F579" s="212" t="s">
        <v>6158</v>
      </c>
      <c r="G579" s="212" t="str">
        <f t="shared" si="28"/>
        <v>401용역매출</v>
      </c>
      <c r="H579" s="214">
        <v>0</v>
      </c>
      <c r="I579" s="214">
        <v>70000</v>
      </c>
      <c r="J579" s="214">
        <f t="shared" si="29"/>
        <v>70000</v>
      </c>
      <c r="K579" s="212" t="s">
        <v>6259</v>
      </c>
      <c r="L579" s="213"/>
      <c r="M579" s="212" t="s">
        <v>6287</v>
      </c>
    </row>
    <row r="580" spans="1:13" ht="21" customHeight="1">
      <c r="A580" s="213" t="s">
        <v>6861</v>
      </c>
      <c r="B580" s="215">
        <f t="shared" si="27"/>
        <v>45699</v>
      </c>
      <c r="C580" s="213" t="s">
        <v>4374</v>
      </c>
      <c r="D580" s="213" t="s">
        <v>4369</v>
      </c>
      <c r="E580" s="213" t="s">
        <v>333</v>
      </c>
      <c r="F580" s="212" t="s">
        <v>4365</v>
      </c>
      <c r="G580" s="212" t="str">
        <f t="shared" si="28"/>
        <v>101현금</v>
      </c>
      <c r="H580" s="214">
        <v>77000</v>
      </c>
      <c r="I580" s="214">
        <v>0</v>
      </c>
      <c r="J580" s="214">
        <f t="shared" si="29"/>
        <v>-77000</v>
      </c>
      <c r="K580" s="212" t="s">
        <v>6259</v>
      </c>
      <c r="L580" s="213"/>
      <c r="M580" s="212" t="s">
        <v>6287</v>
      </c>
    </row>
    <row r="581" spans="1:13" ht="21" customHeight="1">
      <c r="A581" s="213" t="s">
        <v>6861</v>
      </c>
      <c r="B581" s="215">
        <f t="shared" si="27"/>
        <v>45699</v>
      </c>
      <c r="C581" s="213" t="s">
        <v>6182</v>
      </c>
      <c r="D581" s="213" t="s">
        <v>4366</v>
      </c>
      <c r="E581" s="213" t="s">
        <v>6176</v>
      </c>
      <c r="F581" s="212" t="s">
        <v>6177</v>
      </c>
      <c r="G581" s="212" t="str">
        <f t="shared" si="28"/>
        <v>255부가세예수금</v>
      </c>
      <c r="H581" s="214">
        <v>0</v>
      </c>
      <c r="I581" s="214">
        <v>15000</v>
      </c>
      <c r="J581" s="214">
        <f t="shared" si="29"/>
        <v>15000</v>
      </c>
      <c r="K581" s="212" t="s">
        <v>6260</v>
      </c>
      <c r="L581" s="213"/>
      <c r="M581" s="212" t="s">
        <v>6179</v>
      </c>
    </row>
    <row r="582" spans="1:13" ht="21" customHeight="1">
      <c r="A582" s="213" t="s">
        <v>6861</v>
      </c>
      <c r="B582" s="215">
        <f t="shared" si="27"/>
        <v>45699</v>
      </c>
      <c r="C582" s="213" t="s">
        <v>6182</v>
      </c>
      <c r="D582" s="213" t="s">
        <v>4366</v>
      </c>
      <c r="E582" s="213" t="s">
        <v>334</v>
      </c>
      <c r="F582" s="212" t="s">
        <v>6158</v>
      </c>
      <c r="G582" s="212" t="str">
        <f t="shared" si="28"/>
        <v>401용역매출</v>
      </c>
      <c r="H582" s="214">
        <v>0</v>
      </c>
      <c r="I582" s="214">
        <v>150000</v>
      </c>
      <c r="J582" s="214">
        <f t="shared" si="29"/>
        <v>150000</v>
      </c>
      <c r="K582" s="212" t="s">
        <v>6260</v>
      </c>
      <c r="L582" s="213"/>
      <c r="M582" s="212" t="s">
        <v>6179</v>
      </c>
    </row>
    <row r="583" spans="1:13" ht="21" customHeight="1">
      <c r="A583" s="213" t="s">
        <v>6861</v>
      </c>
      <c r="B583" s="215">
        <f t="shared" si="27"/>
        <v>45699</v>
      </c>
      <c r="C583" s="213" t="s">
        <v>6182</v>
      </c>
      <c r="D583" s="213" t="s">
        <v>4369</v>
      </c>
      <c r="E583" s="213" t="s">
        <v>333</v>
      </c>
      <c r="F583" s="212" t="s">
        <v>4365</v>
      </c>
      <c r="G583" s="212" t="str">
        <f t="shared" si="28"/>
        <v>101현금</v>
      </c>
      <c r="H583" s="214">
        <v>165000</v>
      </c>
      <c r="I583" s="214">
        <v>0</v>
      </c>
      <c r="J583" s="214">
        <f t="shared" si="29"/>
        <v>-165000</v>
      </c>
      <c r="K583" s="212" t="s">
        <v>6260</v>
      </c>
      <c r="L583" s="213"/>
      <c r="M583" s="212" t="s">
        <v>6179</v>
      </c>
    </row>
    <row r="584" spans="1:13" ht="21" customHeight="1">
      <c r="A584" s="213" t="s">
        <v>6861</v>
      </c>
      <c r="B584" s="215">
        <f t="shared" si="27"/>
        <v>45699</v>
      </c>
      <c r="C584" s="213" t="s">
        <v>6184</v>
      </c>
      <c r="D584" s="213" t="s">
        <v>4366</v>
      </c>
      <c r="E584" s="213" t="s">
        <v>6176</v>
      </c>
      <c r="F584" s="212" t="s">
        <v>6177</v>
      </c>
      <c r="G584" s="212" t="str">
        <f t="shared" si="28"/>
        <v>255부가세예수금</v>
      </c>
      <c r="H584" s="214">
        <v>0</v>
      </c>
      <c r="I584" s="214">
        <v>20000</v>
      </c>
      <c r="J584" s="214">
        <f t="shared" si="29"/>
        <v>20000</v>
      </c>
      <c r="K584" s="212" t="s">
        <v>6263</v>
      </c>
      <c r="L584" s="213"/>
      <c r="M584" s="212" t="s">
        <v>6231</v>
      </c>
    </row>
    <row r="585" spans="1:13" ht="21" customHeight="1">
      <c r="A585" s="213" t="s">
        <v>6861</v>
      </c>
      <c r="B585" s="215">
        <f t="shared" si="27"/>
        <v>45699</v>
      </c>
      <c r="C585" s="213" t="s">
        <v>6184</v>
      </c>
      <c r="D585" s="213" t="s">
        <v>4366</v>
      </c>
      <c r="E585" s="213" t="s">
        <v>334</v>
      </c>
      <c r="F585" s="212" t="s">
        <v>6158</v>
      </c>
      <c r="G585" s="212" t="str">
        <f t="shared" si="28"/>
        <v>401용역매출</v>
      </c>
      <c r="H585" s="214">
        <v>0</v>
      </c>
      <c r="I585" s="214">
        <v>200000</v>
      </c>
      <c r="J585" s="214">
        <f t="shared" si="29"/>
        <v>200000</v>
      </c>
      <c r="K585" s="212" t="s">
        <v>6263</v>
      </c>
      <c r="L585" s="213"/>
      <c r="M585" s="212" t="s">
        <v>6231</v>
      </c>
    </row>
    <row r="586" spans="1:13" ht="21" customHeight="1">
      <c r="A586" s="213" t="s">
        <v>6861</v>
      </c>
      <c r="B586" s="215">
        <f t="shared" si="27"/>
        <v>45699</v>
      </c>
      <c r="C586" s="213" t="s">
        <v>6184</v>
      </c>
      <c r="D586" s="213" t="s">
        <v>4369</v>
      </c>
      <c r="E586" s="213" t="s">
        <v>333</v>
      </c>
      <c r="F586" s="212" t="s">
        <v>4365</v>
      </c>
      <c r="G586" s="212" t="str">
        <f t="shared" si="28"/>
        <v>101현금</v>
      </c>
      <c r="H586" s="214">
        <v>220000</v>
      </c>
      <c r="I586" s="214">
        <v>0</v>
      </c>
      <c r="J586" s="214">
        <f t="shared" si="29"/>
        <v>-220000</v>
      </c>
      <c r="K586" s="212" t="s">
        <v>6263</v>
      </c>
      <c r="L586" s="213"/>
      <c r="M586" s="212" t="s">
        <v>6231</v>
      </c>
    </row>
    <row r="587" spans="1:13" ht="21" customHeight="1">
      <c r="A587" s="213" t="s">
        <v>6861</v>
      </c>
      <c r="B587" s="215">
        <f t="shared" si="27"/>
        <v>45699</v>
      </c>
      <c r="C587" s="213" t="s">
        <v>6186</v>
      </c>
      <c r="D587" s="213" t="s">
        <v>4366</v>
      </c>
      <c r="E587" s="213" t="s">
        <v>6176</v>
      </c>
      <c r="F587" s="212" t="s">
        <v>6177</v>
      </c>
      <c r="G587" s="212" t="str">
        <f t="shared" si="28"/>
        <v>255부가세예수금</v>
      </c>
      <c r="H587" s="214">
        <v>0</v>
      </c>
      <c r="I587" s="214">
        <v>10000</v>
      </c>
      <c r="J587" s="214">
        <f t="shared" si="29"/>
        <v>10000</v>
      </c>
      <c r="K587" s="212" t="s">
        <v>6261</v>
      </c>
      <c r="L587" s="213"/>
      <c r="M587" s="212" t="s">
        <v>6185</v>
      </c>
    </row>
    <row r="588" spans="1:13" ht="21" customHeight="1">
      <c r="A588" s="213" t="s">
        <v>6861</v>
      </c>
      <c r="B588" s="215">
        <f t="shared" si="27"/>
        <v>45699</v>
      </c>
      <c r="C588" s="213" t="s">
        <v>6186</v>
      </c>
      <c r="D588" s="213" t="s">
        <v>4366</v>
      </c>
      <c r="E588" s="213" t="s">
        <v>334</v>
      </c>
      <c r="F588" s="212" t="s">
        <v>6158</v>
      </c>
      <c r="G588" s="212" t="str">
        <f t="shared" si="28"/>
        <v>401용역매출</v>
      </c>
      <c r="H588" s="214">
        <v>0</v>
      </c>
      <c r="I588" s="214">
        <v>100000</v>
      </c>
      <c r="J588" s="214">
        <f t="shared" si="29"/>
        <v>100000</v>
      </c>
      <c r="K588" s="212" t="s">
        <v>6261</v>
      </c>
      <c r="L588" s="213"/>
      <c r="M588" s="212" t="s">
        <v>6185</v>
      </c>
    </row>
    <row r="589" spans="1:13" ht="21" customHeight="1">
      <c r="A589" s="213" t="s">
        <v>6861</v>
      </c>
      <c r="B589" s="215">
        <f t="shared" si="27"/>
        <v>45699</v>
      </c>
      <c r="C589" s="213" t="s">
        <v>6186</v>
      </c>
      <c r="D589" s="213" t="s">
        <v>4369</v>
      </c>
      <c r="E589" s="213" t="s">
        <v>333</v>
      </c>
      <c r="F589" s="212" t="s">
        <v>4365</v>
      </c>
      <c r="G589" s="212" t="str">
        <f t="shared" si="28"/>
        <v>101현금</v>
      </c>
      <c r="H589" s="214">
        <v>110000</v>
      </c>
      <c r="I589" s="214">
        <v>0</v>
      </c>
      <c r="J589" s="214">
        <f t="shared" si="29"/>
        <v>-110000</v>
      </c>
      <c r="K589" s="212" t="s">
        <v>6261</v>
      </c>
      <c r="L589" s="213"/>
      <c r="M589" s="212" t="s">
        <v>6185</v>
      </c>
    </row>
    <row r="590" spans="1:13" ht="21" customHeight="1">
      <c r="A590" s="213" t="s">
        <v>6861</v>
      </c>
      <c r="B590" s="215">
        <f t="shared" si="27"/>
        <v>45699</v>
      </c>
      <c r="C590" s="213" t="s">
        <v>6189</v>
      </c>
      <c r="D590" s="213" t="s">
        <v>4366</v>
      </c>
      <c r="E590" s="213" t="s">
        <v>6176</v>
      </c>
      <c r="F590" s="212" t="s">
        <v>6177</v>
      </c>
      <c r="G590" s="212" t="str">
        <f t="shared" si="28"/>
        <v>255부가세예수금</v>
      </c>
      <c r="H590" s="214">
        <v>0</v>
      </c>
      <c r="I590" s="214">
        <v>12000</v>
      </c>
      <c r="J590" s="214">
        <f t="shared" si="29"/>
        <v>12000</v>
      </c>
      <c r="K590" s="212" t="s">
        <v>6309</v>
      </c>
      <c r="L590" s="213"/>
      <c r="M590" s="212" t="s">
        <v>6225</v>
      </c>
    </row>
    <row r="591" spans="1:13" ht="21" customHeight="1">
      <c r="A591" s="213" t="s">
        <v>6861</v>
      </c>
      <c r="B591" s="215">
        <f t="shared" si="27"/>
        <v>45699</v>
      </c>
      <c r="C591" s="213" t="s">
        <v>6189</v>
      </c>
      <c r="D591" s="213" t="s">
        <v>4366</v>
      </c>
      <c r="E591" s="213" t="s">
        <v>334</v>
      </c>
      <c r="F591" s="212" t="s">
        <v>6158</v>
      </c>
      <c r="G591" s="212" t="str">
        <f t="shared" si="28"/>
        <v>401용역매출</v>
      </c>
      <c r="H591" s="214">
        <v>0</v>
      </c>
      <c r="I591" s="214">
        <v>120000</v>
      </c>
      <c r="J591" s="214">
        <f t="shared" si="29"/>
        <v>120000</v>
      </c>
      <c r="K591" s="212" t="s">
        <v>6309</v>
      </c>
      <c r="L591" s="213"/>
      <c r="M591" s="212" t="s">
        <v>6225</v>
      </c>
    </row>
    <row r="592" spans="1:13" ht="21" customHeight="1">
      <c r="A592" s="213" t="s">
        <v>6861</v>
      </c>
      <c r="B592" s="215">
        <f t="shared" si="27"/>
        <v>45699</v>
      </c>
      <c r="C592" s="213" t="s">
        <v>6189</v>
      </c>
      <c r="D592" s="213" t="s">
        <v>4369</v>
      </c>
      <c r="E592" s="213" t="s">
        <v>333</v>
      </c>
      <c r="F592" s="212" t="s">
        <v>4365</v>
      </c>
      <c r="G592" s="212" t="str">
        <f t="shared" si="28"/>
        <v>101현금</v>
      </c>
      <c r="H592" s="214">
        <v>132000</v>
      </c>
      <c r="I592" s="214">
        <v>0</v>
      </c>
      <c r="J592" s="214">
        <f t="shared" si="29"/>
        <v>-132000</v>
      </c>
      <c r="K592" s="212" t="s">
        <v>6309</v>
      </c>
      <c r="L592" s="213"/>
      <c r="M592" s="212" t="s">
        <v>6225</v>
      </c>
    </row>
    <row r="593" spans="1:13" ht="21" customHeight="1">
      <c r="A593" s="213" t="s">
        <v>6861</v>
      </c>
      <c r="B593" s="215">
        <f t="shared" si="27"/>
        <v>45699</v>
      </c>
      <c r="C593" s="213" t="s">
        <v>6191</v>
      </c>
      <c r="D593" s="213" t="s">
        <v>4366</v>
      </c>
      <c r="E593" s="213" t="s">
        <v>6176</v>
      </c>
      <c r="F593" s="212" t="s">
        <v>6177</v>
      </c>
      <c r="G593" s="212" t="str">
        <f t="shared" si="28"/>
        <v>255부가세예수금</v>
      </c>
      <c r="H593" s="214">
        <v>0</v>
      </c>
      <c r="I593" s="214">
        <v>10000</v>
      </c>
      <c r="J593" s="214">
        <f t="shared" si="29"/>
        <v>10000</v>
      </c>
      <c r="K593" s="212" t="s">
        <v>6264</v>
      </c>
      <c r="L593" s="213"/>
      <c r="M593" s="212" t="s">
        <v>6185</v>
      </c>
    </row>
    <row r="594" spans="1:13" ht="21" customHeight="1">
      <c r="A594" s="213" t="s">
        <v>6861</v>
      </c>
      <c r="B594" s="215">
        <f t="shared" si="27"/>
        <v>45699</v>
      </c>
      <c r="C594" s="213" t="s">
        <v>6191</v>
      </c>
      <c r="D594" s="213" t="s">
        <v>4366</v>
      </c>
      <c r="E594" s="213" t="s">
        <v>334</v>
      </c>
      <c r="F594" s="212" t="s">
        <v>6158</v>
      </c>
      <c r="G594" s="212" t="str">
        <f t="shared" si="28"/>
        <v>401용역매출</v>
      </c>
      <c r="H594" s="214">
        <v>0</v>
      </c>
      <c r="I594" s="214">
        <v>100000</v>
      </c>
      <c r="J594" s="214">
        <f t="shared" si="29"/>
        <v>100000</v>
      </c>
      <c r="K594" s="212" t="s">
        <v>6264</v>
      </c>
      <c r="L594" s="213"/>
      <c r="M594" s="212" t="s">
        <v>6185</v>
      </c>
    </row>
    <row r="595" spans="1:13" ht="21" customHeight="1">
      <c r="A595" s="213" t="s">
        <v>6861</v>
      </c>
      <c r="B595" s="215">
        <f t="shared" si="27"/>
        <v>45699</v>
      </c>
      <c r="C595" s="213" t="s">
        <v>6191</v>
      </c>
      <c r="D595" s="213" t="s">
        <v>4369</v>
      </c>
      <c r="E595" s="213" t="s">
        <v>333</v>
      </c>
      <c r="F595" s="212" t="s">
        <v>4365</v>
      </c>
      <c r="G595" s="212" t="str">
        <f t="shared" si="28"/>
        <v>101현금</v>
      </c>
      <c r="H595" s="214">
        <v>110000</v>
      </c>
      <c r="I595" s="214">
        <v>0</v>
      </c>
      <c r="J595" s="214">
        <f t="shared" si="29"/>
        <v>-110000</v>
      </c>
      <c r="K595" s="212" t="s">
        <v>6264</v>
      </c>
      <c r="L595" s="213"/>
      <c r="M595" s="212" t="s">
        <v>6185</v>
      </c>
    </row>
    <row r="596" spans="1:13" ht="21" customHeight="1">
      <c r="A596" s="213" t="s">
        <v>6860</v>
      </c>
      <c r="B596" s="215">
        <f t="shared" si="27"/>
        <v>45700</v>
      </c>
      <c r="C596" s="213" t="s">
        <v>4373</v>
      </c>
      <c r="D596" s="213" t="s">
        <v>4369</v>
      </c>
      <c r="E596" s="213" t="s">
        <v>4499</v>
      </c>
      <c r="F596" s="212" t="s">
        <v>6517</v>
      </c>
      <c r="G596" s="212" t="str">
        <f t="shared" si="28"/>
        <v>811복리후생비(판)</v>
      </c>
      <c r="H596" s="214">
        <v>3000</v>
      </c>
      <c r="I596" s="214">
        <v>0</v>
      </c>
      <c r="J596" s="214">
        <f t="shared" si="29"/>
        <v>-3000</v>
      </c>
      <c r="K596" s="212" t="s">
        <v>6288</v>
      </c>
      <c r="L596" s="213"/>
      <c r="M596" s="212"/>
    </row>
    <row r="597" spans="1:13" ht="21" customHeight="1">
      <c r="A597" s="213" t="s">
        <v>6860</v>
      </c>
      <c r="B597" s="215">
        <f t="shared" si="27"/>
        <v>45700</v>
      </c>
      <c r="C597" s="213" t="s">
        <v>4373</v>
      </c>
      <c r="D597" s="213" t="s">
        <v>4366</v>
      </c>
      <c r="E597" s="213" t="s">
        <v>333</v>
      </c>
      <c r="F597" s="212" t="s">
        <v>4365</v>
      </c>
      <c r="G597" s="212" t="str">
        <f t="shared" si="28"/>
        <v>101현금</v>
      </c>
      <c r="H597" s="214">
        <v>0</v>
      </c>
      <c r="I597" s="214">
        <v>3000</v>
      </c>
      <c r="J597" s="214">
        <f t="shared" si="29"/>
        <v>3000</v>
      </c>
      <c r="K597" s="212" t="s">
        <v>6369</v>
      </c>
      <c r="L597" s="213"/>
      <c r="M597" s="212"/>
    </row>
    <row r="598" spans="1:13" ht="21" customHeight="1">
      <c r="A598" s="213" t="s">
        <v>6860</v>
      </c>
      <c r="B598" s="215">
        <f t="shared" si="27"/>
        <v>45700</v>
      </c>
      <c r="C598" s="213" t="s">
        <v>4382</v>
      </c>
      <c r="D598" s="213" t="s">
        <v>4366</v>
      </c>
      <c r="E598" s="213" t="s">
        <v>333</v>
      </c>
      <c r="F598" s="212" t="s">
        <v>4365</v>
      </c>
      <c r="G598" s="212" t="str">
        <f t="shared" si="28"/>
        <v>101현금</v>
      </c>
      <c r="H598" s="214">
        <v>0</v>
      </c>
      <c r="I598" s="214">
        <v>14000</v>
      </c>
      <c r="J598" s="214">
        <f t="shared" si="29"/>
        <v>14000</v>
      </c>
      <c r="K598" s="212" t="s">
        <v>6370</v>
      </c>
      <c r="L598" s="213"/>
      <c r="M598" s="212"/>
    </row>
    <row r="599" spans="1:13" ht="21" customHeight="1">
      <c r="A599" s="213" t="s">
        <v>6860</v>
      </c>
      <c r="B599" s="215">
        <f t="shared" si="27"/>
        <v>45700</v>
      </c>
      <c r="C599" s="213" t="s">
        <v>4382</v>
      </c>
      <c r="D599" s="213" t="s">
        <v>4369</v>
      </c>
      <c r="E599" s="213" t="s">
        <v>4499</v>
      </c>
      <c r="F599" s="212" t="s">
        <v>6517</v>
      </c>
      <c r="G599" s="212" t="str">
        <f t="shared" si="28"/>
        <v>811복리후생비(판)</v>
      </c>
      <c r="H599" s="214">
        <v>14000</v>
      </c>
      <c r="I599" s="214">
        <v>0</v>
      </c>
      <c r="J599" s="214">
        <f t="shared" si="29"/>
        <v>-14000</v>
      </c>
      <c r="K599" s="212" t="s">
        <v>6658</v>
      </c>
      <c r="L599" s="213"/>
      <c r="M599" s="212"/>
    </row>
    <row r="600" spans="1:13" ht="21" customHeight="1">
      <c r="A600" s="213" t="s">
        <v>6860</v>
      </c>
      <c r="B600" s="215">
        <f t="shared" si="27"/>
        <v>45700</v>
      </c>
      <c r="C600" s="213" t="s">
        <v>4381</v>
      </c>
      <c r="D600" s="213" t="s">
        <v>4369</v>
      </c>
      <c r="E600" s="213" t="s">
        <v>4368</v>
      </c>
      <c r="F600" s="212" t="s">
        <v>6388</v>
      </c>
      <c r="G600" s="212" t="str">
        <f t="shared" si="28"/>
        <v>831지급수수료(판)</v>
      </c>
      <c r="H600" s="214">
        <v>1990</v>
      </c>
      <c r="I600" s="214">
        <v>0</v>
      </c>
      <c r="J600" s="214">
        <f t="shared" si="29"/>
        <v>-1990</v>
      </c>
      <c r="K600" s="212" t="s">
        <v>4384</v>
      </c>
      <c r="L600" s="213"/>
      <c r="M600" s="212"/>
    </row>
    <row r="601" spans="1:13" ht="21" customHeight="1">
      <c r="A601" s="213" t="s">
        <v>6860</v>
      </c>
      <c r="B601" s="215">
        <f t="shared" si="27"/>
        <v>45700</v>
      </c>
      <c r="C601" s="213" t="s">
        <v>4381</v>
      </c>
      <c r="D601" s="213" t="s">
        <v>4366</v>
      </c>
      <c r="E601" s="213" t="s">
        <v>333</v>
      </c>
      <c r="F601" s="212" t="s">
        <v>4365</v>
      </c>
      <c r="G601" s="212" t="str">
        <f t="shared" si="28"/>
        <v>101현금</v>
      </c>
      <c r="H601" s="214">
        <v>0</v>
      </c>
      <c r="I601" s="214">
        <v>1990</v>
      </c>
      <c r="J601" s="214">
        <f t="shared" si="29"/>
        <v>1990</v>
      </c>
      <c r="K601" s="212" t="s">
        <v>6369</v>
      </c>
      <c r="L601" s="213"/>
      <c r="M601" s="212"/>
    </row>
    <row r="602" spans="1:13" ht="21" customHeight="1">
      <c r="A602" s="213" t="s">
        <v>6860</v>
      </c>
      <c r="B602" s="215">
        <f t="shared" si="27"/>
        <v>45700</v>
      </c>
      <c r="C602" s="213" t="s">
        <v>4367</v>
      </c>
      <c r="D602" s="213" t="s">
        <v>4366</v>
      </c>
      <c r="E602" s="213" t="s">
        <v>6176</v>
      </c>
      <c r="F602" s="212" t="s">
        <v>6177</v>
      </c>
      <c r="G602" s="212" t="str">
        <f t="shared" si="28"/>
        <v>255부가세예수금</v>
      </c>
      <c r="H602" s="214">
        <v>0</v>
      </c>
      <c r="I602" s="214">
        <v>15000</v>
      </c>
      <c r="J602" s="214">
        <f t="shared" si="29"/>
        <v>15000</v>
      </c>
      <c r="K602" s="212" t="s">
        <v>6201</v>
      </c>
      <c r="L602" s="213"/>
      <c r="M602" s="212" t="s">
        <v>6179</v>
      </c>
    </row>
    <row r="603" spans="1:13" ht="21" customHeight="1">
      <c r="A603" s="213" t="s">
        <v>6860</v>
      </c>
      <c r="B603" s="215">
        <f t="shared" si="27"/>
        <v>45700</v>
      </c>
      <c r="C603" s="213" t="s">
        <v>4367</v>
      </c>
      <c r="D603" s="213" t="s">
        <v>4366</v>
      </c>
      <c r="E603" s="213" t="s">
        <v>334</v>
      </c>
      <c r="F603" s="212" t="s">
        <v>6158</v>
      </c>
      <c r="G603" s="212" t="str">
        <f t="shared" si="28"/>
        <v>401용역매출</v>
      </c>
      <c r="H603" s="214">
        <v>0</v>
      </c>
      <c r="I603" s="214">
        <v>150000</v>
      </c>
      <c r="J603" s="214">
        <f t="shared" si="29"/>
        <v>150000</v>
      </c>
      <c r="K603" s="212" t="s">
        <v>6201</v>
      </c>
      <c r="L603" s="213"/>
      <c r="M603" s="212" t="s">
        <v>6179</v>
      </c>
    </row>
    <row r="604" spans="1:13" ht="21" customHeight="1">
      <c r="A604" s="213" t="s">
        <v>6860</v>
      </c>
      <c r="B604" s="215">
        <f t="shared" si="27"/>
        <v>45700</v>
      </c>
      <c r="C604" s="213" t="s">
        <v>4367</v>
      </c>
      <c r="D604" s="213" t="s">
        <v>4369</v>
      </c>
      <c r="E604" s="213" t="s">
        <v>333</v>
      </c>
      <c r="F604" s="212" t="s">
        <v>4365</v>
      </c>
      <c r="G604" s="212" t="str">
        <f t="shared" si="28"/>
        <v>101현금</v>
      </c>
      <c r="H604" s="214">
        <v>165000</v>
      </c>
      <c r="I604" s="214">
        <v>0</v>
      </c>
      <c r="J604" s="214">
        <f t="shared" si="29"/>
        <v>-165000</v>
      </c>
      <c r="K604" s="212" t="s">
        <v>6201</v>
      </c>
      <c r="L604" s="213"/>
      <c r="M604" s="212" t="s">
        <v>6179</v>
      </c>
    </row>
    <row r="605" spans="1:13" ht="21" customHeight="1">
      <c r="A605" s="213" t="s">
        <v>6859</v>
      </c>
      <c r="B605" s="215">
        <f t="shared" si="27"/>
        <v>45701</v>
      </c>
      <c r="C605" s="213" t="s">
        <v>4373</v>
      </c>
      <c r="D605" s="213" t="s">
        <v>4369</v>
      </c>
      <c r="E605" s="213" t="s">
        <v>4499</v>
      </c>
      <c r="F605" s="212" t="s">
        <v>6517</v>
      </c>
      <c r="G605" s="212" t="str">
        <f t="shared" si="28"/>
        <v>811복리후생비(판)</v>
      </c>
      <c r="H605" s="214">
        <v>3000</v>
      </c>
      <c r="I605" s="214">
        <v>0</v>
      </c>
      <c r="J605" s="214">
        <f t="shared" si="29"/>
        <v>-3000</v>
      </c>
      <c r="K605" s="212" t="s">
        <v>6288</v>
      </c>
      <c r="L605" s="213"/>
      <c r="M605" s="212"/>
    </row>
    <row r="606" spans="1:13" ht="21" customHeight="1">
      <c r="A606" s="213" t="s">
        <v>6859</v>
      </c>
      <c r="B606" s="215">
        <f t="shared" si="27"/>
        <v>45701</v>
      </c>
      <c r="C606" s="213" t="s">
        <v>4373</v>
      </c>
      <c r="D606" s="213" t="s">
        <v>4366</v>
      </c>
      <c r="E606" s="213" t="s">
        <v>333</v>
      </c>
      <c r="F606" s="212" t="s">
        <v>4365</v>
      </c>
      <c r="G606" s="212" t="str">
        <f t="shared" si="28"/>
        <v>101현금</v>
      </c>
      <c r="H606" s="214">
        <v>0</v>
      </c>
      <c r="I606" s="214">
        <v>3000</v>
      </c>
      <c r="J606" s="214">
        <f t="shared" si="29"/>
        <v>3000</v>
      </c>
      <c r="K606" s="212" t="s">
        <v>6369</v>
      </c>
      <c r="L606" s="213"/>
      <c r="M606" s="212"/>
    </row>
    <row r="607" spans="1:13" ht="21" customHeight="1">
      <c r="A607" s="213" t="s">
        <v>6859</v>
      </c>
      <c r="B607" s="215">
        <f t="shared" si="27"/>
        <v>45701</v>
      </c>
      <c r="C607" s="213" t="s">
        <v>4382</v>
      </c>
      <c r="D607" s="213" t="s">
        <v>4366</v>
      </c>
      <c r="E607" s="213" t="s">
        <v>333</v>
      </c>
      <c r="F607" s="212" t="s">
        <v>4365</v>
      </c>
      <c r="G607" s="212" t="str">
        <f t="shared" si="28"/>
        <v>101현금</v>
      </c>
      <c r="H607" s="214">
        <v>0</v>
      </c>
      <c r="I607" s="214">
        <v>5500</v>
      </c>
      <c r="J607" s="214">
        <f t="shared" si="29"/>
        <v>5500</v>
      </c>
      <c r="K607" s="212" t="s">
        <v>6369</v>
      </c>
      <c r="L607" s="213"/>
      <c r="M607" s="212"/>
    </row>
    <row r="608" spans="1:13" ht="21" customHeight="1">
      <c r="A608" s="213" t="s">
        <v>6859</v>
      </c>
      <c r="B608" s="215">
        <f t="shared" si="27"/>
        <v>45701</v>
      </c>
      <c r="C608" s="213" t="s">
        <v>4382</v>
      </c>
      <c r="D608" s="213" t="s">
        <v>4369</v>
      </c>
      <c r="E608" s="213" t="s">
        <v>4383</v>
      </c>
      <c r="F608" s="212" t="s">
        <v>6525</v>
      </c>
      <c r="G608" s="212" t="str">
        <f t="shared" si="28"/>
        <v>830소모품비(판)</v>
      </c>
      <c r="H608" s="214">
        <v>5500</v>
      </c>
      <c r="I608" s="214">
        <v>0</v>
      </c>
      <c r="J608" s="214">
        <f t="shared" si="29"/>
        <v>-5500</v>
      </c>
      <c r="K608" s="212" t="s">
        <v>6669</v>
      </c>
      <c r="L608" s="213"/>
      <c r="M608" s="212"/>
    </row>
    <row r="609" spans="1:13" ht="21" customHeight="1">
      <c r="A609" s="213" t="s">
        <v>6859</v>
      </c>
      <c r="B609" s="215">
        <f t="shared" si="27"/>
        <v>45701</v>
      </c>
      <c r="C609" s="213" t="s">
        <v>4381</v>
      </c>
      <c r="D609" s="213" t="s">
        <v>4369</v>
      </c>
      <c r="E609" s="213" t="s">
        <v>4383</v>
      </c>
      <c r="F609" s="212" t="s">
        <v>6525</v>
      </c>
      <c r="G609" s="212" t="str">
        <f t="shared" si="28"/>
        <v>830소모품비(판)</v>
      </c>
      <c r="H609" s="214">
        <v>15500</v>
      </c>
      <c r="I609" s="214">
        <v>0</v>
      </c>
      <c r="J609" s="214">
        <f t="shared" si="29"/>
        <v>-15500</v>
      </c>
      <c r="K609" s="212" t="s">
        <v>6175</v>
      </c>
      <c r="L609" s="213"/>
      <c r="M609" s="212"/>
    </row>
    <row r="610" spans="1:13" ht="21" customHeight="1">
      <c r="A610" s="213" t="s">
        <v>6859</v>
      </c>
      <c r="B610" s="215">
        <f t="shared" si="27"/>
        <v>45701</v>
      </c>
      <c r="C610" s="213" t="s">
        <v>4381</v>
      </c>
      <c r="D610" s="213" t="s">
        <v>4366</v>
      </c>
      <c r="E610" s="213" t="s">
        <v>333</v>
      </c>
      <c r="F610" s="212" t="s">
        <v>4365</v>
      </c>
      <c r="G610" s="212" t="str">
        <f t="shared" si="28"/>
        <v>101현금</v>
      </c>
      <c r="H610" s="214">
        <v>0</v>
      </c>
      <c r="I610" s="214">
        <v>15500</v>
      </c>
      <c r="J610" s="214">
        <f t="shared" si="29"/>
        <v>15500</v>
      </c>
      <c r="K610" s="212" t="s">
        <v>6370</v>
      </c>
      <c r="L610" s="213"/>
      <c r="M610" s="212"/>
    </row>
    <row r="611" spans="1:13" ht="21" customHeight="1">
      <c r="A611" s="213" t="s">
        <v>6859</v>
      </c>
      <c r="B611" s="215">
        <f t="shared" si="27"/>
        <v>45701</v>
      </c>
      <c r="C611" s="213" t="s">
        <v>4379</v>
      </c>
      <c r="D611" s="213" t="s">
        <v>4366</v>
      </c>
      <c r="E611" s="213" t="s">
        <v>333</v>
      </c>
      <c r="F611" s="212" t="s">
        <v>4365</v>
      </c>
      <c r="G611" s="212" t="str">
        <f t="shared" si="28"/>
        <v>101현금</v>
      </c>
      <c r="H611" s="214">
        <v>0</v>
      </c>
      <c r="I611" s="214">
        <v>49483</v>
      </c>
      <c r="J611" s="214">
        <f t="shared" si="29"/>
        <v>49483</v>
      </c>
      <c r="K611" s="212" t="s">
        <v>6858</v>
      </c>
      <c r="L611" s="213"/>
      <c r="M611" s="212"/>
    </row>
    <row r="612" spans="1:13" ht="21" customHeight="1">
      <c r="A612" s="213" t="s">
        <v>6859</v>
      </c>
      <c r="B612" s="215">
        <f t="shared" si="27"/>
        <v>45701</v>
      </c>
      <c r="C612" s="213" t="s">
        <v>4379</v>
      </c>
      <c r="D612" s="213" t="s">
        <v>4369</v>
      </c>
      <c r="E612" s="213" t="s">
        <v>4383</v>
      </c>
      <c r="F612" s="212" t="s">
        <v>6525</v>
      </c>
      <c r="G612" s="212" t="str">
        <f t="shared" si="28"/>
        <v>830소모품비(판)</v>
      </c>
      <c r="H612" s="214">
        <v>49483</v>
      </c>
      <c r="I612" s="214">
        <v>0</v>
      </c>
      <c r="J612" s="214">
        <f t="shared" si="29"/>
        <v>-49483</v>
      </c>
      <c r="K612" s="212" t="s">
        <v>6858</v>
      </c>
      <c r="L612" s="213" t="s">
        <v>6411</v>
      </c>
      <c r="M612" s="212"/>
    </row>
    <row r="613" spans="1:13" ht="21" customHeight="1">
      <c r="A613" s="213" t="s">
        <v>6859</v>
      </c>
      <c r="B613" s="215">
        <f t="shared" si="27"/>
        <v>45701</v>
      </c>
      <c r="C613" s="213" t="s">
        <v>4385</v>
      </c>
      <c r="D613" s="213" t="s">
        <v>4366</v>
      </c>
      <c r="E613" s="213" t="s">
        <v>333</v>
      </c>
      <c r="F613" s="212" t="s">
        <v>4365</v>
      </c>
      <c r="G613" s="212" t="str">
        <f t="shared" si="28"/>
        <v>101현금</v>
      </c>
      <c r="H613" s="214">
        <v>0</v>
      </c>
      <c r="I613" s="214">
        <v>2980</v>
      </c>
      <c r="J613" s="214">
        <f t="shared" si="29"/>
        <v>2980</v>
      </c>
      <c r="K613" s="212" t="s">
        <v>6858</v>
      </c>
      <c r="L613" s="213"/>
      <c r="M613" s="212"/>
    </row>
    <row r="614" spans="1:13" ht="21" customHeight="1">
      <c r="A614" s="213" t="s">
        <v>6859</v>
      </c>
      <c r="B614" s="215">
        <f t="shared" si="27"/>
        <v>45701</v>
      </c>
      <c r="C614" s="213" t="s">
        <v>4385</v>
      </c>
      <c r="D614" s="213" t="s">
        <v>4369</v>
      </c>
      <c r="E614" s="213" t="s">
        <v>4383</v>
      </c>
      <c r="F614" s="212" t="s">
        <v>6525</v>
      </c>
      <c r="G614" s="212" t="str">
        <f t="shared" si="28"/>
        <v>830소모품비(판)</v>
      </c>
      <c r="H614" s="214">
        <v>2980</v>
      </c>
      <c r="I614" s="214">
        <v>0</v>
      </c>
      <c r="J614" s="214">
        <f t="shared" si="29"/>
        <v>-2980</v>
      </c>
      <c r="K614" s="212" t="s">
        <v>6858</v>
      </c>
      <c r="L614" s="213" t="s">
        <v>6411</v>
      </c>
      <c r="M614" s="212"/>
    </row>
    <row r="615" spans="1:13" ht="21" customHeight="1">
      <c r="A615" s="213" t="s">
        <v>6856</v>
      </c>
      <c r="B615" s="215">
        <f t="shared" si="27"/>
        <v>45702</v>
      </c>
      <c r="C615" s="213" t="s">
        <v>4373</v>
      </c>
      <c r="D615" s="213" t="s">
        <v>4369</v>
      </c>
      <c r="E615" s="213" t="s">
        <v>4499</v>
      </c>
      <c r="F615" s="212" t="s">
        <v>6517</v>
      </c>
      <c r="G615" s="212" t="str">
        <f t="shared" si="28"/>
        <v>811복리후생비(판)</v>
      </c>
      <c r="H615" s="214">
        <v>7000</v>
      </c>
      <c r="I615" s="214">
        <v>0</v>
      </c>
      <c r="J615" s="214">
        <f t="shared" si="29"/>
        <v>-7000</v>
      </c>
      <c r="K615" s="212" t="s">
        <v>6516</v>
      </c>
      <c r="L615" s="213"/>
      <c r="M615" s="212"/>
    </row>
    <row r="616" spans="1:13" ht="21" customHeight="1">
      <c r="A616" s="213" t="s">
        <v>6856</v>
      </c>
      <c r="B616" s="215">
        <f t="shared" si="27"/>
        <v>45702</v>
      </c>
      <c r="C616" s="213" t="s">
        <v>4373</v>
      </c>
      <c r="D616" s="213" t="s">
        <v>4366</v>
      </c>
      <c r="E616" s="213" t="s">
        <v>333</v>
      </c>
      <c r="F616" s="212" t="s">
        <v>4365</v>
      </c>
      <c r="G616" s="212" t="str">
        <f t="shared" si="28"/>
        <v>101현금</v>
      </c>
      <c r="H616" s="214">
        <v>0</v>
      </c>
      <c r="I616" s="214">
        <v>7000</v>
      </c>
      <c r="J616" s="214">
        <f t="shared" si="29"/>
        <v>7000</v>
      </c>
      <c r="K616" s="212" t="s">
        <v>6369</v>
      </c>
      <c r="L616" s="213"/>
      <c r="M616" s="212"/>
    </row>
    <row r="617" spans="1:13" ht="21" customHeight="1">
      <c r="A617" s="213" t="s">
        <v>6856</v>
      </c>
      <c r="B617" s="215">
        <f t="shared" si="27"/>
        <v>45702</v>
      </c>
      <c r="C617" s="213" t="s">
        <v>4382</v>
      </c>
      <c r="D617" s="213" t="s">
        <v>4369</v>
      </c>
      <c r="E617" s="213" t="s">
        <v>4380</v>
      </c>
      <c r="F617" s="212" t="s">
        <v>6515</v>
      </c>
      <c r="G617" s="212" t="str">
        <f t="shared" si="28"/>
        <v>812여비교통비(판)</v>
      </c>
      <c r="H617" s="214">
        <v>5000</v>
      </c>
      <c r="I617" s="214">
        <v>0</v>
      </c>
      <c r="J617" s="214">
        <f t="shared" si="29"/>
        <v>-5000</v>
      </c>
      <c r="K617" s="212" t="s">
        <v>6857</v>
      </c>
      <c r="L617" s="213"/>
      <c r="M617" s="212"/>
    </row>
    <row r="618" spans="1:13" ht="21" customHeight="1">
      <c r="A618" s="213" t="s">
        <v>6856</v>
      </c>
      <c r="B618" s="215">
        <f t="shared" si="27"/>
        <v>45702</v>
      </c>
      <c r="C618" s="213" t="s">
        <v>4382</v>
      </c>
      <c r="D618" s="213" t="s">
        <v>4366</v>
      </c>
      <c r="E618" s="213" t="s">
        <v>333</v>
      </c>
      <c r="F618" s="212" t="s">
        <v>4365</v>
      </c>
      <c r="G618" s="212" t="str">
        <f t="shared" si="28"/>
        <v>101현금</v>
      </c>
      <c r="H618" s="214">
        <v>0</v>
      </c>
      <c r="I618" s="214">
        <v>5000</v>
      </c>
      <c r="J618" s="214">
        <f t="shared" si="29"/>
        <v>5000</v>
      </c>
      <c r="K618" s="212" t="s">
        <v>6370</v>
      </c>
      <c r="L618" s="213"/>
      <c r="M618" s="212"/>
    </row>
    <row r="619" spans="1:13" ht="21" customHeight="1">
      <c r="A619" s="217" t="s">
        <v>6854</v>
      </c>
      <c r="B619" s="215">
        <f t="shared" si="27"/>
        <v>45703</v>
      </c>
      <c r="C619" s="213" t="s">
        <v>4373</v>
      </c>
      <c r="D619" s="213" t="s">
        <v>4369</v>
      </c>
      <c r="E619" s="213" t="s">
        <v>4499</v>
      </c>
      <c r="F619" s="212" t="s">
        <v>6517</v>
      </c>
      <c r="G619" s="212" t="str">
        <f t="shared" si="28"/>
        <v>811복리후생비(판)</v>
      </c>
      <c r="H619" s="214">
        <v>3000</v>
      </c>
      <c r="I619" s="214">
        <v>0</v>
      </c>
      <c r="J619" s="214">
        <f t="shared" si="29"/>
        <v>-3000</v>
      </c>
      <c r="K619" s="212" t="s">
        <v>6288</v>
      </c>
      <c r="L619" s="213"/>
      <c r="M619" s="212"/>
    </row>
    <row r="620" spans="1:13" ht="21" customHeight="1">
      <c r="A620" s="217" t="s">
        <v>6854</v>
      </c>
      <c r="B620" s="215">
        <f t="shared" si="27"/>
        <v>45703</v>
      </c>
      <c r="C620" s="213" t="s">
        <v>4373</v>
      </c>
      <c r="D620" s="213" t="s">
        <v>4366</v>
      </c>
      <c r="E620" s="213" t="s">
        <v>333</v>
      </c>
      <c r="F620" s="212" t="s">
        <v>4365</v>
      </c>
      <c r="G620" s="212" t="str">
        <f t="shared" si="28"/>
        <v>101현금</v>
      </c>
      <c r="H620" s="214">
        <v>0</v>
      </c>
      <c r="I620" s="214">
        <v>3000</v>
      </c>
      <c r="J620" s="214">
        <f t="shared" si="29"/>
        <v>3000</v>
      </c>
      <c r="K620" s="212" t="s">
        <v>6370</v>
      </c>
      <c r="L620" s="213"/>
      <c r="M620" s="212"/>
    </row>
    <row r="621" spans="1:13" ht="21" customHeight="1">
      <c r="A621" s="217" t="s">
        <v>6854</v>
      </c>
      <c r="B621" s="215">
        <f t="shared" si="27"/>
        <v>45703</v>
      </c>
      <c r="C621" s="213" t="s">
        <v>4382</v>
      </c>
      <c r="D621" s="213" t="s">
        <v>4369</v>
      </c>
      <c r="E621" s="213" t="s">
        <v>4383</v>
      </c>
      <c r="F621" s="212" t="s">
        <v>6525</v>
      </c>
      <c r="G621" s="212" t="str">
        <f t="shared" si="28"/>
        <v>830소모품비(판)</v>
      </c>
      <c r="H621" s="214">
        <v>20400</v>
      </c>
      <c r="I621" s="214">
        <v>0</v>
      </c>
      <c r="J621" s="214">
        <f t="shared" si="29"/>
        <v>-20400</v>
      </c>
      <c r="K621" s="212" t="s">
        <v>6563</v>
      </c>
      <c r="L621" s="213"/>
      <c r="M621" s="212"/>
    </row>
    <row r="622" spans="1:13" ht="21" customHeight="1">
      <c r="A622" s="217" t="s">
        <v>6854</v>
      </c>
      <c r="B622" s="215">
        <f t="shared" si="27"/>
        <v>45703</v>
      </c>
      <c r="C622" s="213" t="s">
        <v>4382</v>
      </c>
      <c r="D622" s="213" t="s">
        <v>4366</v>
      </c>
      <c r="E622" s="213" t="s">
        <v>333</v>
      </c>
      <c r="F622" s="212" t="s">
        <v>4365</v>
      </c>
      <c r="G622" s="212" t="str">
        <f t="shared" si="28"/>
        <v>101현금</v>
      </c>
      <c r="H622" s="214">
        <v>0</v>
      </c>
      <c r="I622" s="214">
        <v>20400</v>
      </c>
      <c r="J622" s="214">
        <f t="shared" si="29"/>
        <v>20400</v>
      </c>
      <c r="K622" s="212" t="s">
        <v>6370</v>
      </c>
      <c r="L622" s="213"/>
      <c r="M622" s="212"/>
    </row>
    <row r="623" spans="1:13" ht="21" customHeight="1">
      <c r="A623" s="217" t="s">
        <v>6854</v>
      </c>
      <c r="B623" s="215">
        <f t="shared" si="27"/>
        <v>45703</v>
      </c>
      <c r="C623" s="213" t="s">
        <v>4381</v>
      </c>
      <c r="D623" s="213" t="s">
        <v>4369</v>
      </c>
      <c r="E623" s="213" t="s">
        <v>4383</v>
      </c>
      <c r="F623" s="212" t="s">
        <v>6525</v>
      </c>
      <c r="G623" s="212" t="str">
        <f t="shared" si="28"/>
        <v>830소모품비(판)</v>
      </c>
      <c r="H623" s="214">
        <v>5900</v>
      </c>
      <c r="I623" s="214">
        <v>0</v>
      </c>
      <c r="J623" s="214">
        <f t="shared" si="29"/>
        <v>-5900</v>
      </c>
      <c r="K623" s="212" t="s">
        <v>6358</v>
      </c>
      <c r="L623" s="213"/>
      <c r="M623" s="212"/>
    </row>
    <row r="624" spans="1:13" ht="21" customHeight="1">
      <c r="A624" s="217" t="s">
        <v>6854</v>
      </c>
      <c r="B624" s="215">
        <f t="shared" si="27"/>
        <v>45703</v>
      </c>
      <c r="C624" s="213" t="s">
        <v>4381</v>
      </c>
      <c r="D624" s="213" t="s">
        <v>4366</v>
      </c>
      <c r="E624" s="213" t="s">
        <v>333</v>
      </c>
      <c r="F624" s="212" t="s">
        <v>4365</v>
      </c>
      <c r="G624" s="212" t="str">
        <f t="shared" si="28"/>
        <v>101현금</v>
      </c>
      <c r="H624" s="214">
        <v>0</v>
      </c>
      <c r="I624" s="214">
        <v>5900</v>
      </c>
      <c r="J624" s="214">
        <f t="shared" si="29"/>
        <v>5900</v>
      </c>
      <c r="K624" s="212" t="s">
        <v>6370</v>
      </c>
      <c r="L624" s="213"/>
      <c r="M624" s="212"/>
    </row>
    <row r="625" spans="1:13" ht="21" customHeight="1">
      <c r="A625" s="217" t="s">
        <v>6854</v>
      </c>
      <c r="B625" s="215">
        <f t="shared" si="27"/>
        <v>45703</v>
      </c>
      <c r="C625" s="213" t="s">
        <v>4379</v>
      </c>
      <c r="D625" s="213" t="s">
        <v>4369</v>
      </c>
      <c r="E625" s="213" t="s">
        <v>4383</v>
      </c>
      <c r="F625" s="212" t="s">
        <v>6525</v>
      </c>
      <c r="G625" s="212" t="str">
        <f t="shared" si="28"/>
        <v>830소모품비(판)</v>
      </c>
      <c r="H625" s="214">
        <v>2900</v>
      </c>
      <c r="I625" s="214">
        <v>0</v>
      </c>
      <c r="J625" s="214">
        <f t="shared" si="29"/>
        <v>-2900</v>
      </c>
      <c r="K625" s="212" t="s">
        <v>6198</v>
      </c>
      <c r="L625" s="213"/>
      <c r="M625" s="212"/>
    </row>
    <row r="626" spans="1:13" ht="21" customHeight="1">
      <c r="A626" s="217" t="s">
        <v>6854</v>
      </c>
      <c r="B626" s="215">
        <f t="shared" si="27"/>
        <v>45703</v>
      </c>
      <c r="C626" s="213" t="s">
        <v>4379</v>
      </c>
      <c r="D626" s="213" t="s">
        <v>4366</v>
      </c>
      <c r="E626" s="213" t="s">
        <v>333</v>
      </c>
      <c r="F626" s="212" t="s">
        <v>4365</v>
      </c>
      <c r="G626" s="212" t="str">
        <f t="shared" si="28"/>
        <v>101현금</v>
      </c>
      <c r="H626" s="214">
        <v>0</v>
      </c>
      <c r="I626" s="214">
        <v>2900</v>
      </c>
      <c r="J626" s="214">
        <f t="shared" si="29"/>
        <v>2900</v>
      </c>
      <c r="K626" s="212" t="s">
        <v>6370</v>
      </c>
      <c r="L626" s="213"/>
      <c r="M626" s="212"/>
    </row>
    <row r="627" spans="1:13" ht="21" customHeight="1">
      <c r="A627" s="217" t="s">
        <v>6854</v>
      </c>
      <c r="B627" s="215">
        <f t="shared" si="27"/>
        <v>45703</v>
      </c>
      <c r="C627" s="213" t="s">
        <v>4385</v>
      </c>
      <c r="D627" s="213" t="s">
        <v>4366</v>
      </c>
      <c r="E627" s="213" t="s">
        <v>333</v>
      </c>
      <c r="F627" s="212" t="s">
        <v>4365</v>
      </c>
      <c r="G627" s="212" t="str">
        <f t="shared" si="28"/>
        <v>101현금</v>
      </c>
      <c r="H627" s="214">
        <v>0</v>
      </c>
      <c r="I627" s="214">
        <v>4000</v>
      </c>
      <c r="J627" s="214">
        <f t="shared" si="29"/>
        <v>4000</v>
      </c>
      <c r="K627" s="212" t="s">
        <v>6370</v>
      </c>
      <c r="L627" s="213"/>
      <c r="M627" s="212"/>
    </row>
    <row r="628" spans="1:13" ht="21" customHeight="1">
      <c r="A628" s="217" t="s">
        <v>6854</v>
      </c>
      <c r="B628" s="215">
        <f t="shared" si="27"/>
        <v>45703</v>
      </c>
      <c r="C628" s="213" t="s">
        <v>4385</v>
      </c>
      <c r="D628" s="213" t="s">
        <v>4369</v>
      </c>
      <c r="E628" s="213" t="s">
        <v>4380</v>
      </c>
      <c r="F628" s="212" t="s">
        <v>6515</v>
      </c>
      <c r="G628" s="212" t="str">
        <f t="shared" si="28"/>
        <v>812여비교통비(판)</v>
      </c>
      <c r="H628" s="214">
        <v>4000</v>
      </c>
      <c r="I628" s="214">
        <v>0</v>
      </c>
      <c r="J628" s="214">
        <f t="shared" si="29"/>
        <v>-4000</v>
      </c>
      <c r="K628" s="212" t="s">
        <v>6755</v>
      </c>
      <c r="L628" s="213"/>
      <c r="M628" s="212"/>
    </row>
    <row r="629" spans="1:13" ht="21" customHeight="1">
      <c r="A629" s="217" t="s">
        <v>6854</v>
      </c>
      <c r="B629" s="215">
        <f t="shared" si="27"/>
        <v>45703</v>
      </c>
      <c r="C629" s="213" t="s">
        <v>4501</v>
      </c>
      <c r="D629" s="213" t="s">
        <v>4369</v>
      </c>
      <c r="E629" s="213" t="s">
        <v>4380</v>
      </c>
      <c r="F629" s="212" t="s">
        <v>6515</v>
      </c>
      <c r="G629" s="212" t="str">
        <f t="shared" si="28"/>
        <v>812여비교통비(판)</v>
      </c>
      <c r="H629" s="214">
        <v>2400</v>
      </c>
      <c r="I629" s="214">
        <v>0</v>
      </c>
      <c r="J629" s="214">
        <f t="shared" si="29"/>
        <v>-2400</v>
      </c>
      <c r="K629" s="212" t="s">
        <v>6855</v>
      </c>
      <c r="L629" s="213"/>
      <c r="M629" s="212"/>
    </row>
    <row r="630" spans="1:13" ht="21" customHeight="1">
      <c r="A630" s="217" t="s">
        <v>6854</v>
      </c>
      <c r="B630" s="215">
        <f t="shared" si="27"/>
        <v>45703</v>
      </c>
      <c r="C630" s="213" t="s">
        <v>4501</v>
      </c>
      <c r="D630" s="213" t="s">
        <v>4366</v>
      </c>
      <c r="E630" s="213" t="s">
        <v>333</v>
      </c>
      <c r="F630" s="212" t="s">
        <v>4365</v>
      </c>
      <c r="G630" s="212" t="str">
        <f t="shared" si="28"/>
        <v>101현금</v>
      </c>
      <c r="H630" s="214">
        <v>0</v>
      </c>
      <c r="I630" s="214">
        <v>2400</v>
      </c>
      <c r="J630" s="214">
        <f t="shared" si="29"/>
        <v>2400</v>
      </c>
      <c r="K630" s="212" t="s">
        <v>6370</v>
      </c>
      <c r="L630" s="213"/>
      <c r="M630" s="212"/>
    </row>
    <row r="631" spans="1:13" ht="21" customHeight="1">
      <c r="A631" s="217" t="s">
        <v>6854</v>
      </c>
      <c r="B631" s="215">
        <f t="shared" si="27"/>
        <v>45703</v>
      </c>
      <c r="C631" s="213" t="s">
        <v>4367</v>
      </c>
      <c r="D631" s="213" t="s">
        <v>4366</v>
      </c>
      <c r="E631" s="213" t="s">
        <v>6176</v>
      </c>
      <c r="F631" s="212" t="s">
        <v>6177</v>
      </c>
      <c r="G631" s="212" t="str">
        <f t="shared" si="28"/>
        <v>255부가세예수금</v>
      </c>
      <c r="H631" s="214">
        <v>0</v>
      </c>
      <c r="I631" s="214">
        <v>13636</v>
      </c>
      <c r="J631" s="214">
        <f t="shared" si="29"/>
        <v>13636</v>
      </c>
      <c r="K631" s="212" t="s">
        <v>6204</v>
      </c>
      <c r="L631" s="213"/>
      <c r="M631" s="212" t="s">
        <v>6205</v>
      </c>
    </row>
    <row r="632" spans="1:13" ht="21" customHeight="1">
      <c r="A632" s="217" t="s">
        <v>6854</v>
      </c>
      <c r="B632" s="215">
        <f t="shared" si="27"/>
        <v>45703</v>
      </c>
      <c r="C632" s="213" t="s">
        <v>4367</v>
      </c>
      <c r="D632" s="213" t="s">
        <v>4366</v>
      </c>
      <c r="E632" s="213" t="s">
        <v>334</v>
      </c>
      <c r="F632" s="212" t="s">
        <v>6158</v>
      </c>
      <c r="G632" s="212" t="str">
        <f t="shared" si="28"/>
        <v>401용역매출</v>
      </c>
      <c r="H632" s="214">
        <v>0</v>
      </c>
      <c r="I632" s="214">
        <v>136364</v>
      </c>
      <c r="J632" s="214">
        <f t="shared" si="29"/>
        <v>136364</v>
      </c>
      <c r="K632" s="212" t="s">
        <v>6204</v>
      </c>
      <c r="L632" s="213"/>
      <c r="M632" s="212" t="s">
        <v>6205</v>
      </c>
    </row>
    <row r="633" spans="1:13" ht="21" customHeight="1">
      <c r="A633" s="217" t="s">
        <v>6854</v>
      </c>
      <c r="B633" s="215">
        <f t="shared" si="27"/>
        <v>45703</v>
      </c>
      <c r="C633" s="213" t="s">
        <v>4367</v>
      </c>
      <c r="D633" s="213" t="s">
        <v>4369</v>
      </c>
      <c r="E633" s="213" t="s">
        <v>333</v>
      </c>
      <c r="F633" s="212" t="s">
        <v>4365</v>
      </c>
      <c r="G633" s="212" t="str">
        <f t="shared" si="28"/>
        <v>101현금</v>
      </c>
      <c r="H633" s="214">
        <v>150000</v>
      </c>
      <c r="I633" s="214">
        <v>0</v>
      </c>
      <c r="J633" s="214">
        <f t="shared" si="29"/>
        <v>-150000</v>
      </c>
      <c r="K633" s="212" t="s">
        <v>6204</v>
      </c>
      <c r="L633" s="213"/>
      <c r="M633" s="212" t="s">
        <v>6205</v>
      </c>
    </row>
    <row r="634" spans="1:13" ht="21" customHeight="1">
      <c r="A634" s="216" t="s">
        <v>6852</v>
      </c>
      <c r="B634" s="215">
        <f t="shared" si="27"/>
        <v>45704</v>
      </c>
      <c r="C634" s="213" t="s">
        <v>4373</v>
      </c>
      <c r="D634" s="213" t="s">
        <v>4369</v>
      </c>
      <c r="E634" s="213" t="s">
        <v>4380</v>
      </c>
      <c r="F634" s="212" t="s">
        <v>6515</v>
      </c>
      <c r="G634" s="212" t="str">
        <f t="shared" si="28"/>
        <v>812여비교통비(판)</v>
      </c>
      <c r="H634" s="214">
        <v>7200</v>
      </c>
      <c r="I634" s="214">
        <v>0</v>
      </c>
      <c r="J634" s="214">
        <f t="shared" si="29"/>
        <v>-7200</v>
      </c>
      <c r="K634" s="212" t="s">
        <v>6853</v>
      </c>
      <c r="L634" s="213"/>
      <c r="M634" s="212"/>
    </row>
    <row r="635" spans="1:13" ht="21" customHeight="1">
      <c r="A635" s="216" t="s">
        <v>6852</v>
      </c>
      <c r="B635" s="215">
        <f t="shared" si="27"/>
        <v>45704</v>
      </c>
      <c r="C635" s="213" t="s">
        <v>4373</v>
      </c>
      <c r="D635" s="213" t="s">
        <v>4366</v>
      </c>
      <c r="E635" s="213" t="s">
        <v>333</v>
      </c>
      <c r="F635" s="212" t="s">
        <v>4365</v>
      </c>
      <c r="G635" s="212" t="str">
        <f t="shared" si="28"/>
        <v>101현금</v>
      </c>
      <c r="H635" s="214">
        <v>0</v>
      </c>
      <c r="I635" s="214">
        <v>7200</v>
      </c>
      <c r="J635" s="214">
        <f t="shared" si="29"/>
        <v>7200</v>
      </c>
      <c r="K635" s="212" t="s">
        <v>6370</v>
      </c>
      <c r="L635" s="213"/>
      <c r="M635" s="212"/>
    </row>
    <row r="636" spans="1:13" ht="21" customHeight="1">
      <c r="A636" s="216" t="s">
        <v>6852</v>
      </c>
      <c r="B636" s="215">
        <f t="shared" si="27"/>
        <v>45704</v>
      </c>
      <c r="C636" s="213" t="s">
        <v>4367</v>
      </c>
      <c r="D636" s="213" t="s">
        <v>4366</v>
      </c>
      <c r="E636" s="213" t="s">
        <v>333</v>
      </c>
      <c r="F636" s="212" t="s">
        <v>4365</v>
      </c>
      <c r="G636" s="212" t="str">
        <f t="shared" si="28"/>
        <v>101현금</v>
      </c>
      <c r="H636" s="214">
        <v>0</v>
      </c>
      <c r="I636" s="214">
        <v>5000</v>
      </c>
      <c r="J636" s="214">
        <f t="shared" si="29"/>
        <v>5000</v>
      </c>
      <c r="K636" s="212" t="s">
        <v>6370</v>
      </c>
      <c r="L636" s="213"/>
      <c r="M636" s="212"/>
    </row>
    <row r="637" spans="1:13" ht="21" customHeight="1">
      <c r="A637" s="216" t="s">
        <v>6852</v>
      </c>
      <c r="B637" s="215">
        <f t="shared" si="27"/>
        <v>45704</v>
      </c>
      <c r="C637" s="213" t="s">
        <v>4367</v>
      </c>
      <c r="D637" s="213" t="s">
        <v>4369</v>
      </c>
      <c r="E637" s="213" t="s">
        <v>4383</v>
      </c>
      <c r="F637" s="212" t="s">
        <v>6525</v>
      </c>
      <c r="G637" s="212" t="str">
        <f t="shared" si="28"/>
        <v>830소모품비(판)</v>
      </c>
      <c r="H637" s="214">
        <v>4546</v>
      </c>
      <c r="I637" s="214">
        <v>0</v>
      </c>
      <c r="J637" s="214">
        <f t="shared" si="29"/>
        <v>-4546</v>
      </c>
      <c r="K637" s="212" t="s">
        <v>6202</v>
      </c>
      <c r="L637" s="213" t="s">
        <v>6411</v>
      </c>
      <c r="M637" s="212"/>
    </row>
    <row r="638" spans="1:13" ht="21" customHeight="1">
      <c r="A638" s="216" t="s">
        <v>6852</v>
      </c>
      <c r="B638" s="215">
        <f t="shared" si="27"/>
        <v>45704</v>
      </c>
      <c r="C638" s="213" t="s">
        <v>4367</v>
      </c>
      <c r="D638" s="213" t="s">
        <v>4369</v>
      </c>
      <c r="E638" s="213" t="s">
        <v>4371</v>
      </c>
      <c r="F638" s="212" t="s">
        <v>4370</v>
      </c>
      <c r="G638" s="212" t="str">
        <f t="shared" si="28"/>
        <v>135부가세대급금</v>
      </c>
      <c r="H638" s="214">
        <v>454</v>
      </c>
      <c r="I638" s="214">
        <v>0</v>
      </c>
      <c r="J638" s="214">
        <f t="shared" si="29"/>
        <v>-454</v>
      </c>
      <c r="K638" s="212" t="s">
        <v>6202</v>
      </c>
      <c r="L638" s="213" t="s">
        <v>6411</v>
      </c>
      <c r="M638" s="212"/>
    </row>
    <row r="639" spans="1:13" ht="21" customHeight="1">
      <c r="A639" s="213" t="s">
        <v>6849</v>
      </c>
      <c r="B639" s="215">
        <f t="shared" si="27"/>
        <v>45705</v>
      </c>
      <c r="C639" s="213" t="s">
        <v>4373</v>
      </c>
      <c r="D639" s="213" t="s">
        <v>4369</v>
      </c>
      <c r="E639" s="213" t="s">
        <v>4499</v>
      </c>
      <c r="F639" s="212" t="s">
        <v>6517</v>
      </c>
      <c r="G639" s="212" t="str">
        <f t="shared" si="28"/>
        <v>811복리후생비(판)</v>
      </c>
      <c r="H639" s="214">
        <v>3000</v>
      </c>
      <c r="I639" s="214">
        <v>0</v>
      </c>
      <c r="J639" s="214">
        <f t="shared" si="29"/>
        <v>-3000</v>
      </c>
      <c r="K639" s="212" t="s">
        <v>6288</v>
      </c>
      <c r="L639" s="213"/>
      <c r="M639" s="212"/>
    </row>
    <row r="640" spans="1:13" ht="21" customHeight="1">
      <c r="A640" s="213" t="s">
        <v>6849</v>
      </c>
      <c r="B640" s="215">
        <f t="shared" si="27"/>
        <v>45705</v>
      </c>
      <c r="C640" s="213" t="s">
        <v>4373</v>
      </c>
      <c r="D640" s="213" t="s">
        <v>4366</v>
      </c>
      <c r="E640" s="213" t="s">
        <v>333</v>
      </c>
      <c r="F640" s="212" t="s">
        <v>4365</v>
      </c>
      <c r="G640" s="212" t="str">
        <f t="shared" si="28"/>
        <v>101현금</v>
      </c>
      <c r="H640" s="214">
        <v>0</v>
      </c>
      <c r="I640" s="214">
        <v>3000</v>
      </c>
      <c r="J640" s="214">
        <f t="shared" si="29"/>
        <v>3000</v>
      </c>
      <c r="K640" s="212" t="s">
        <v>6369</v>
      </c>
      <c r="L640" s="213"/>
      <c r="M640" s="212"/>
    </row>
    <row r="641" spans="1:13" ht="21" customHeight="1">
      <c r="A641" s="213" t="s">
        <v>6849</v>
      </c>
      <c r="B641" s="215">
        <f t="shared" si="27"/>
        <v>45705</v>
      </c>
      <c r="C641" s="213" t="s">
        <v>4382</v>
      </c>
      <c r="D641" s="213" t="s">
        <v>4366</v>
      </c>
      <c r="E641" s="213" t="s">
        <v>333</v>
      </c>
      <c r="F641" s="212" t="s">
        <v>4365</v>
      </c>
      <c r="G641" s="212" t="str">
        <f t="shared" si="28"/>
        <v>101현금</v>
      </c>
      <c r="H641" s="214">
        <v>0</v>
      </c>
      <c r="I641" s="214">
        <v>5300</v>
      </c>
      <c r="J641" s="214">
        <f t="shared" si="29"/>
        <v>5300</v>
      </c>
      <c r="K641" s="212" t="s">
        <v>6369</v>
      </c>
      <c r="L641" s="213"/>
      <c r="M641" s="212"/>
    </row>
    <row r="642" spans="1:13" ht="21" customHeight="1">
      <c r="A642" s="213" t="s">
        <v>6849</v>
      </c>
      <c r="B642" s="215">
        <f t="shared" ref="B642:B705" si="30">DATEVALUE(A642)</f>
        <v>45705</v>
      </c>
      <c r="C642" s="213" t="s">
        <v>4382</v>
      </c>
      <c r="D642" s="213" t="s">
        <v>4369</v>
      </c>
      <c r="E642" s="213" t="s">
        <v>4499</v>
      </c>
      <c r="F642" s="212" t="s">
        <v>6517</v>
      </c>
      <c r="G642" s="212" t="str">
        <f t="shared" ref="G642:G705" si="31">E642&amp;F642</f>
        <v>811복리후생비(판)</v>
      </c>
      <c r="H642" s="214">
        <v>5300</v>
      </c>
      <c r="I642" s="214">
        <v>0</v>
      </c>
      <c r="J642" s="214">
        <f t="shared" ref="J642:J705" si="32">I642-H642</f>
        <v>-5300</v>
      </c>
      <c r="K642" s="212" t="s">
        <v>6587</v>
      </c>
      <c r="L642" s="213"/>
      <c r="M642" s="212"/>
    </row>
    <row r="643" spans="1:13" ht="21" customHeight="1">
      <c r="A643" s="213" t="s">
        <v>6849</v>
      </c>
      <c r="B643" s="215">
        <f t="shared" si="30"/>
        <v>45705</v>
      </c>
      <c r="C643" s="213" t="s">
        <v>4381</v>
      </c>
      <c r="D643" s="213" t="s">
        <v>4369</v>
      </c>
      <c r="E643" s="213" t="s">
        <v>4380</v>
      </c>
      <c r="F643" s="212" t="s">
        <v>6515</v>
      </c>
      <c r="G643" s="212" t="str">
        <f t="shared" si="31"/>
        <v>812여비교통비(판)</v>
      </c>
      <c r="H643" s="214">
        <v>5600</v>
      </c>
      <c r="I643" s="214">
        <v>0</v>
      </c>
      <c r="J643" s="214">
        <f t="shared" si="32"/>
        <v>-5600</v>
      </c>
      <c r="K643" s="212" t="s">
        <v>6851</v>
      </c>
      <c r="L643" s="213"/>
      <c r="M643" s="212"/>
    </row>
    <row r="644" spans="1:13" ht="21" customHeight="1">
      <c r="A644" s="213" t="s">
        <v>6849</v>
      </c>
      <c r="B644" s="215">
        <f t="shared" si="30"/>
        <v>45705</v>
      </c>
      <c r="C644" s="213" t="s">
        <v>4381</v>
      </c>
      <c r="D644" s="213" t="s">
        <v>4366</v>
      </c>
      <c r="E644" s="213" t="s">
        <v>333</v>
      </c>
      <c r="F644" s="212" t="s">
        <v>4365</v>
      </c>
      <c r="G644" s="212" t="str">
        <f t="shared" si="31"/>
        <v>101현금</v>
      </c>
      <c r="H644" s="214">
        <v>0</v>
      </c>
      <c r="I644" s="214">
        <v>5600</v>
      </c>
      <c r="J644" s="214">
        <f t="shared" si="32"/>
        <v>5600</v>
      </c>
      <c r="K644" s="212" t="s">
        <v>6369</v>
      </c>
      <c r="L644" s="213"/>
      <c r="M644" s="212"/>
    </row>
    <row r="645" spans="1:13" ht="21" customHeight="1">
      <c r="A645" s="213" t="s">
        <v>6849</v>
      </c>
      <c r="B645" s="215">
        <f t="shared" si="30"/>
        <v>45705</v>
      </c>
      <c r="C645" s="213" t="s">
        <v>4379</v>
      </c>
      <c r="D645" s="213" t="s">
        <v>4369</v>
      </c>
      <c r="E645" s="213" t="s">
        <v>4500</v>
      </c>
      <c r="F645" s="212" t="s">
        <v>6418</v>
      </c>
      <c r="G645" s="212" t="str">
        <f t="shared" si="31"/>
        <v>822차량유지비(판)</v>
      </c>
      <c r="H645" s="214">
        <v>50000</v>
      </c>
      <c r="I645" s="214">
        <v>0</v>
      </c>
      <c r="J645" s="214">
        <f t="shared" si="32"/>
        <v>-50000</v>
      </c>
      <c r="K645" s="212" t="s">
        <v>6850</v>
      </c>
      <c r="L645" s="213"/>
      <c r="M645" s="212"/>
    </row>
    <row r="646" spans="1:13" ht="21" customHeight="1">
      <c r="A646" s="213" t="s">
        <v>6849</v>
      </c>
      <c r="B646" s="215">
        <f t="shared" si="30"/>
        <v>45705</v>
      </c>
      <c r="C646" s="213" t="s">
        <v>4379</v>
      </c>
      <c r="D646" s="213" t="s">
        <v>4366</v>
      </c>
      <c r="E646" s="213" t="s">
        <v>333</v>
      </c>
      <c r="F646" s="212" t="s">
        <v>4365</v>
      </c>
      <c r="G646" s="212" t="str">
        <f t="shared" si="31"/>
        <v>101현금</v>
      </c>
      <c r="H646" s="214">
        <v>0</v>
      </c>
      <c r="I646" s="214">
        <v>50000</v>
      </c>
      <c r="J646" s="214">
        <f t="shared" si="32"/>
        <v>50000</v>
      </c>
      <c r="K646" s="212" t="s">
        <v>6369</v>
      </c>
      <c r="L646" s="213"/>
      <c r="M646" s="212"/>
    </row>
    <row r="647" spans="1:13" ht="21" customHeight="1">
      <c r="A647" s="213" t="s">
        <v>6849</v>
      </c>
      <c r="B647" s="215">
        <f t="shared" si="30"/>
        <v>45705</v>
      </c>
      <c r="C647" s="213" t="s">
        <v>4367</v>
      </c>
      <c r="D647" s="213" t="s">
        <v>4366</v>
      </c>
      <c r="E647" s="213" t="s">
        <v>6176</v>
      </c>
      <c r="F647" s="212" t="s">
        <v>6177</v>
      </c>
      <c r="G647" s="212" t="str">
        <f t="shared" si="31"/>
        <v>255부가세예수금</v>
      </c>
      <c r="H647" s="214">
        <v>0</v>
      </c>
      <c r="I647" s="214">
        <v>10000</v>
      </c>
      <c r="J647" s="214">
        <f t="shared" si="32"/>
        <v>10000</v>
      </c>
      <c r="K647" s="212" t="s">
        <v>6304</v>
      </c>
      <c r="L647" s="213"/>
      <c r="M647" s="212" t="s">
        <v>6185</v>
      </c>
    </row>
    <row r="648" spans="1:13" ht="21" customHeight="1">
      <c r="A648" s="213" t="s">
        <v>6849</v>
      </c>
      <c r="B648" s="215">
        <f t="shared" si="30"/>
        <v>45705</v>
      </c>
      <c r="C648" s="213" t="s">
        <v>4367</v>
      </c>
      <c r="D648" s="213" t="s">
        <v>4366</v>
      </c>
      <c r="E648" s="213" t="s">
        <v>334</v>
      </c>
      <c r="F648" s="212" t="s">
        <v>6158</v>
      </c>
      <c r="G648" s="212" t="str">
        <f t="shared" si="31"/>
        <v>401용역매출</v>
      </c>
      <c r="H648" s="214">
        <v>0</v>
      </c>
      <c r="I648" s="214">
        <v>100000</v>
      </c>
      <c r="J648" s="214">
        <f t="shared" si="32"/>
        <v>100000</v>
      </c>
      <c r="K648" s="212" t="s">
        <v>6304</v>
      </c>
      <c r="L648" s="213"/>
      <c r="M648" s="212" t="s">
        <v>6185</v>
      </c>
    </row>
    <row r="649" spans="1:13" ht="21" customHeight="1">
      <c r="A649" s="213" t="s">
        <v>6849</v>
      </c>
      <c r="B649" s="215">
        <f t="shared" si="30"/>
        <v>45705</v>
      </c>
      <c r="C649" s="213" t="s">
        <v>4367</v>
      </c>
      <c r="D649" s="213" t="s">
        <v>4369</v>
      </c>
      <c r="E649" s="213" t="s">
        <v>333</v>
      </c>
      <c r="F649" s="212" t="s">
        <v>4365</v>
      </c>
      <c r="G649" s="212" t="str">
        <f t="shared" si="31"/>
        <v>101현금</v>
      </c>
      <c r="H649" s="214">
        <v>110000</v>
      </c>
      <c r="I649" s="214">
        <v>0</v>
      </c>
      <c r="J649" s="214">
        <f t="shared" si="32"/>
        <v>-110000</v>
      </c>
      <c r="K649" s="212" t="s">
        <v>6304</v>
      </c>
      <c r="L649" s="213"/>
      <c r="M649" s="212" t="s">
        <v>6185</v>
      </c>
    </row>
    <row r="650" spans="1:13" ht="21" customHeight="1">
      <c r="A650" s="213" t="s">
        <v>6848</v>
      </c>
      <c r="B650" s="215">
        <f t="shared" si="30"/>
        <v>45706</v>
      </c>
      <c r="C650" s="213" t="s">
        <v>4373</v>
      </c>
      <c r="D650" s="213" t="s">
        <v>4369</v>
      </c>
      <c r="E650" s="213" t="s">
        <v>4380</v>
      </c>
      <c r="F650" s="212" t="s">
        <v>6515</v>
      </c>
      <c r="G650" s="212" t="str">
        <f t="shared" si="31"/>
        <v>812여비교통비(판)</v>
      </c>
      <c r="H650" s="214">
        <v>10000</v>
      </c>
      <c r="I650" s="214">
        <v>0</v>
      </c>
      <c r="J650" s="214">
        <f t="shared" si="32"/>
        <v>-10000</v>
      </c>
      <c r="K650" s="212" t="s">
        <v>6366</v>
      </c>
      <c r="L650" s="213"/>
      <c r="M650" s="212"/>
    </row>
    <row r="651" spans="1:13" ht="21" customHeight="1">
      <c r="A651" s="213" t="s">
        <v>6848</v>
      </c>
      <c r="B651" s="215">
        <f t="shared" si="30"/>
        <v>45706</v>
      </c>
      <c r="C651" s="213" t="s">
        <v>4373</v>
      </c>
      <c r="D651" s="213" t="s">
        <v>4366</v>
      </c>
      <c r="E651" s="213" t="s">
        <v>333</v>
      </c>
      <c r="F651" s="212" t="s">
        <v>4365</v>
      </c>
      <c r="G651" s="212" t="str">
        <f t="shared" si="31"/>
        <v>101현금</v>
      </c>
      <c r="H651" s="214">
        <v>0</v>
      </c>
      <c r="I651" s="214">
        <v>10000</v>
      </c>
      <c r="J651" s="214">
        <f t="shared" si="32"/>
        <v>10000</v>
      </c>
      <c r="K651" s="212" t="s">
        <v>6200</v>
      </c>
      <c r="L651" s="213"/>
      <c r="M651" s="212"/>
    </row>
    <row r="652" spans="1:13" ht="21" customHeight="1">
      <c r="A652" s="213" t="s">
        <v>6848</v>
      </c>
      <c r="B652" s="215">
        <f t="shared" si="30"/>
        <v>45706</v>
      </c>
      <c r="C652" s="213" t="s">
        <v>4382</v>
      </c>
      <c r="D652" s="213" t="s">
        <v>4369</v>
      </c>
      <c r="E652" s="213" t="s">
        <v>6157</v>
      </c>
      <c r="F652" s="212" t="s">
        <v>6524</v>
      </c>
      <c r="G652" s="212" t="str">
        <f t="shared" si="31"/>
        <v>813접대비(기업업무추진비)(판)</v>
      </c>
      <c r="H652" s="214">
        <v>57000</v>
      </c>
      <c r="I652" s="214">
        <v>0</v>
      </c>
      <c r="J652" s="214">
        <f t="shared" si="32"/>
        <v>-57000</v>
      </c>
      <c r="K652" s="212" t="s">
        <v>6597</v>
      </c>
      <c r="L652" s="213"/>
      <c r="M652" s="212"/>
    </row>
    <row r="653" spans="1:13" ht="21" customHeight="1">
      <c r="A653" s="213" t="s">
        <v>6848</v>
      </c>
      <c r="B653" s="215">
        <f t="shared" si="30"/>
        <v>45706</v>
      </c>
      <c r="C653" s="213" t="s">
        <v>4382</v>
      </c>
      <c r="D653" s="213" t="s">
        <v>4366</v>
      </c>
      <c r="E653" s="213" t="s">
        <v>333</v>
      </c>
      <c r="F653" s="212" t="s">
        <v>4365</v>
      </c>
      <c r="G653" s="212" t="str">
        <f t="shared" si="31"/>
        <v>101현금</v>
      </c>
      <c r="H653" s="214">
        <v>0</v>
      </c>
      <c r="I653" s="214">
        <v>57000</v>
      </c>
      <c r="J653" s="214">
        <f t="shared" si="32"/>
        <v>57000</v>
      </c>
      <c r="K653" s="212" t="s">
        <v>6369</v>
      </c>
      <c r="L653" s="213"/>
      <c r="M653" s="212"/>
    </row>
    <row r="654" spans="1:13" ht="21" customHeight="1">
      <c r="A654" s="213" t="s">
        <v>6848</v>
      </c>
      <c r="B654" s="215">
        <f t="shared" si="30"/>
        <v>45706</v>
      </c>
      <c r="C654" s="213" t="s">
        <v>4367</v>
      </c>
      <c r="D654" s="213" t="s">
        <v>4366</v>
      </c>
      <c r="E654" s="213" t="s">
        <v>6176</v>
      </c>
      <c r="F654" s="212" t="s">
        <v>6177</v>
      </c>
      <c r="G654" s="212" t="str">
        <f t="shared" si="31"/>
        <v>255부가세예수금</v>
      </c>
      <c r="H654" s="214">
        <v>0</v>
      </c>
      <c r="I654" s="214">
        <v>6000</v>
      </c>
      <c r="J654" s="214">
        <f t="shared" si="32"/>
        <v>6000</v>
      </c>
      <c r="K654" s="212" t="s">
        <v>6302</v>
      </c>
      <c r="L654" s="213"/>
      <c r="M654" s="212" t="s">
        <v>6303</v>
      </c>
    </row>
    <row r="655" spans="1:13" ht="21" customHeight="1">
      <c r="A655" s="213" t="s">
        <v>6848</v>
      </c>
      <c r="B655" s="215">
        <f t="shared" si="30"/>
        <v>45706</v>
      </c>
      <c r="C655" s="213" t="s">
        <v>4367</v>
      </c>
      <c r="D655" s="213" t="s">
        <v>4366</v>
      </c>
      <c r="E655" s="213" t="s">
        <v>334</v>
      </c>
      <c r="F655" s="212" t="s">
        <v>6158</v>
      </c>
      <c r="G655" s="212" t="str">
        <f t="shared" si="31"/>
        <v>401용역매출</v>
      </c>
      <c r="H655" s="214">
        <v>0</v>
      </c>
      <c r="I655" s="214">
        <v>60000</v>
      </c>
      <c r="J655" s="214">
        <f t="shared" si="32"/>
        <v>60000</v>
      </c>
      <c r="K655" s="212" t="s">
        <v>6302</v>
      </c>
      <c r="L655" s="213"/>
      <c r="M655" s="212" t="s">
        <v>6303</v>
      </c>
    </row>
    <row r="656" spans="1:13" ht="21" customHeight="1">
      <c r="A656" s="213" t="s">
        <v>6848</v>
      </c>
      <c r="B656" s="215">
        <f t="shared" si="30"/>
        <v>45706</v>
      </c>
      <c r="C656" s="213" t="s">
        <v>4367</v>
      </c>
      <c r="D656" s="213" t="s">
        <v>4369</v>
      </c>
      <c r="E656" s="213" t="s">
        <v>333</v>
      </c>
      <c r="F656" s="212" t="s">
        <v>4365</v>
      </c>
      <c r="G656" s="212" t="str">
        <f t="shared" si="31"/>
        <v>101현금</v>
      </c>
      <c r="H656" s="214">
        <v>66000</v>
      </c>
      <c r="I656" s="214">
        <v>0</v>
      </c>
      <c r="J656" s="214">
        <f t="shared" si="32"/>
        <v>-66000</v>
      </c>
      <c r="K656" s="212" t="s">
        <v>6302</v>
      </c>
      <c r="L656" s="213"/>
      <c r="M656" s="212" t="s">
        <v>6303</v>
      </c>
    </row>
    <row r="657" spans="1:13" ht="21" customHeight="1">
      <c r="A657" s="213" t="s">
        <v>6848</v>
      </c>
      <c r="B657" s="215">
        <f t="shared" si="30"/>
        <v>45706</v>
      </c>
      <c r="C657" s="213" t="s">
        <v>4374</v>
      </c>
      <c r="D657" s="213" t="s">
        <v>4366</v>
      </c>
      <c r="E657" s="213" t="s">
        <v>333</v>
      </c>
      <c r="F657" s="212" t="s">
        <v>4365</v>
      </c>
      <c r="G657" s="212" t="str">
        <f t="shared" si="31"/>
        <v>101현금</v>
      </c>
      <c r="H657" s="214">
        <v>0</v>
      </c>
      <c r="I657" s="214">
        <v>122000</v>
      </c>
      <c r="J657" s="214">
        <f t="shared" si="32"/>
        <v>122000</v>
      </c>
      <c r="K657" s="212" t="s">
        <v>6371</v>
      </c>
      <c r="L657" s="213"/>
      <c r="M657" s="212"/>
    </row>
    <row r="658" spans="1:13" ht="21" customHeight="1">
      <c r="A658" s="213" t="s">
        <v>6848</v>
      </c>
      <c r="B658" s="215">
        <f t="shared" si="30"/>
        <v>45706</v>
      </c>
      <c r="C658" s="213" t="s">
        <v>4374</v>
      </c>
      <c r="D658" s="213" t="s">
        <v>4369</v>
      </c>
      <c r="E658" s="213" t="s">
        <v>4383</v>
      </c>
      <c r="F658" s="212" t="s">
        <v>6525</v>
      </c>
      <c r="G658" s="212" t="str">
        <f t="shared" si="31"/>
        <v>830소모품비(판)</v>
      </c>
      <c r="H658" s="214">
        <v>110909</v>
      </c>
      <c r="I658" s="214">
        <v>0</v>
      </c>
      <c r="J658" s="214">
        <f t="shared" si="32"/>
        <v>-110909</v>
      </c>
      <c r="K658" s="212" t="s">
        <v>6215</v>
      </c>
      <c r="L658" s="213" t="s">
        <v>6411</v>
      </c>
      <c r="M658" s="212"/>
    </row>
    <row r="659" spans="1:13" ht="21" customHeight="1">
      <c r="A659" s="213" t="s">
        <v>6848</v>
      </c>
      <c r="B659" s="215">
        <f t="shared" si="30"/>
        <v>45706</v>
      </c>
      <c r="C659" s="213" t="s">
        <v>4374</v>
      </c>
      <c r="D659" s="213" t="s">
        <v>4369</v>
      </c>
      <c r="E659" s="213" t="s">
        <v>4371</v>
      </c>
      <c r="F659" s="212" t="s">
        <v>4370</v>
      </c>
      <c r="G659" s="212" t="str">
        <f t="shared" si="31"/>
        <v>135부가세대급금</v>
      </c>
      <c r="H659" s="214">
        <v>11091</v>
      </c>
      <c r="I659" s="214">
        <v>0</v>
      </c>
      <c r="J659" s="214">
        <f t="shared" si="32"/>
        <v>-11091</v>
      </c>
      <c r="K659" s="212" t="s">
        <v>6215</v>
      </c>
      <c r="L659" s="213" t="s">
        <v>6411</v>
      </c>
      <c r="M659" s="212"/>
    </row>
    <row r="660" spans="1:13" ht="21" customHeight="1">
      <c r="A660" s="213" t="s">
        <v>6846</v>
      </c>
      <c r="B660" s="215">
        <f t="shared" si="30"/>
        <v>45707</v>
      </c>
      <c r="C660" s="213" t="s">
        <v>4373</v>
      </c>
      <c r="D660" s="213" t="s">
        <v>4369</v>
      </c>
      <c r="E660" s="213" t="s">
        <v>4499</v>
      </c>
      <c r="F660" s="212" t="s">
        <v>6517</v>
      </c>
      <c r="G660" s="212" t="str">
        <f t="shared" si="31"/>
        <v>811복리후생비(판)</v>
      </c>
      <c r="H660" s="214">
        <v>22000</v>
      </c>
      <c r="I660" s="214">
        <v>0</v>
      </c>
      <c r="J660" s="214">
        <f t="shared" si="32"/>
        <v>-22000</v>
      </c>
      <c r="K660" s="212" t="s">
        <v>6635</v>
      </c>
      <c r="L660" s="213"/>
      <c r="M660" s="212"/>
    </row>
    <row r="661" spans="1:13" ht="21" customHeight="1">
      <c r="A661" s="213" t="s">
        <v>6846</v>
      </c>
      <c r="B661" s="215">
        <f t="shared" si="30"/>
        <v>45707</v>
      </c>
      <c r="C661" s="213" t="s">
        <v>4373</v>
      </c>
      <c r="D661" s="213" t="s">
        <v>4366</v>
      </c>
      <c r="E661" s="213" t="s">
        <v>333</v>
      </c>
      <c r="F661" s="212" t="s">
        <v>4365</v>
      </c>
      <c r="G661" s="212" t="str">
        <f t="shared" si="31"/>
        <v>101현금</v>
      </c>
      <c r="H661" s="214">
        <v>0</v>
      </c>
      <c r="I661" s="214">
        <v>22000</v>
      </c>
      <c r="J661" s="214">
        <f t="shared" si="32"/>
        <v>22000</v>
      </c>
      <c r="K661" s="212" t="s">
        <v>6369</v>
      </c>
      <c r="L661" s="213"/>
      <c r="M661" s="212"/>
    </row>
    <row r="662" spans="1:13" ht="21" customHeight="1">
      <c r="A662" s="213" t="s">
        <v>6846</v>
      </c>
      <c r="B662" s="215">
        <f t="shared" si="30"/>
        <v>45707</v>
      </c>
      <c r="C662" s="213" t="s">
        <v>4382</v>
      </c>
      <c r="D662" s="213" t="s">
        <v>4369</v>
      </c>
      <c r="E662" s="213" t="s">
        <v>4383</v>
      </c>
      <c r="F662" s="212" t="s">
        <v>6525</v>
      </c>
      <c r="G662" s="212" t="str">
        <f t="shared" si="31"/>
        <v>830소모품비(판)</v>
      </c>
      <c r="H662" s="214">
        <v>5500</v>
      </c>
      <c r="I662" s="214">
        <v>0</v>
      </c>
      <c r="J662" s="214">
        <f t="shared" si="32"/>
        <v>-5500</v>
      </c>
      <c r="K662" s="212" t="s">
        <v>6215</v>
      </c>
      <c r="L662" s="213"/>
      <c r="M662" s="212"/>
    </row>
    <row r="663" spans="1:13" ht="21" customHeight="1">
      <c r="A663" s="213" t="s">
        <v>6846</v>
      </c>
      <c r="B663" s="215">
        <f t="shared" si="30"/>
        <v>45707</v>
      </c>
      <c r="C663" s="213" t="s">
        <v>4382</v>
      </c>
      <c r="D663" s="213" t="s">
        <v>4366</v>
      </c>
      <c r="E663" s="213" t="s">
        <v>333</v>
      </c>
      <c r="F663" s="212" t="s">
        <v>4365</v>
      </c>
      <c r="G663" s="212" t="str">
        <f t="shared" si="31"/>
        <v>101현금</v>
      </c>
      <c r="H663" s="214">
        <v>0</v>
      </c>
      <c r="I663" s="214">
        <v>5500</v>
      </c>
      <c r="J663" s="214">
        <f t="shared" si="32"/>
        <v>5500</v>
      </c>
      <c r="K663" s="212" t="s">
        <v>6369</v>
      </c>
      <c r="L663" s="213"/>
      <c r="M663" s="212"/>
    </row>
    <row r="664" spans="1:13" ht="21" customHeight="1">
      <c r="A664" s="213" t="s">
        <v>6846</v>
      </c>
      <c r="B664" s="215">
        <f t="shared" si="30"/>
        <v>45707</v>
      </c>
      <c r="C664" s="213" t="s">
        <v>4381</v>
      </c>
      <c r="D664" s="213" t="s">
        <v>4366</v>
      </c>
      <c r="E664" s="213" t="s">
        <v>333</v>
      </c>
      <c r="F664" s="212" t="s">
        <v>4365</v>
      </c>
      <c r="G664" s="212" t="str">
        <f t="shared" si="31"/>
        <v>101현금</v>
      </c>
      <c r="H664" s="214">
        <v>0</v>
      </c>
      <c r="I664" s="214">
        <v>6500</v>
      </c>
      <c r="J664" s="214">
        <f t="shared" si="32"/>
        <v>6500</v>
      </c>
      <c r="K664" s="212" t="s">
        <v>6369</v>
      </c>
      <c r="L664" s="213"/>
      <c r="M664" s="212"/>
    </row>
    <row r="665" spans="1:13" ht="21" customHeight="1">
      <c r="A665" s="213" t="s">
        <v>6846</v>
      </c>
      <c r="B665" s="215">
        <f t="shared" si="30"/>
        <v>45707</v>
      </c>
      <c r="C665" s="213" t="s">
        <v>4381</v>
      </c>
      <c r="D665" s="213" t="s">
        <v>4369</v>
      </c>
      <c r="E665" s="213" t="s">
        <v>4380</v>
      </c>
      <c r="F665" s="212" t="s">
        <v>6515</v>
      </c>
      <c r="G665" s="212" t="str">
        <f t="shared" si="31"/>
        <v>812여비교통비(판)</v>
      </c>
      <c r="H665" s="214">
        <v>6500</v>
      </c>
      <c r="I665" s="214">
        <v>0</v>
      </c>
      <c r="J665" s="214">
        <f t="shared" si="32"/>
        <v>-6500</v>
      </c>
      <c r="K665" s="212" t="s">
        <v>6847</v>
      </c>
      <c r="L665" s="213"/>
      <c r="M665" s="212"/>
    </row>
    <row r="666" spans="1:13" ht="21" customHeight="1">
      <c r="A666" s="213" t="s">
        <v>6846</v>
      </c>
      <c r="B666" s="215">
        <f t="shared" si="30"/>
        <v>45707</v>
      </c>
      <c r="C666" s="213" t="s">
        <v>4379</v>
      </c>
      <c r="D666" s="213" t="s">
        <v>4366</v>
      </c>
      <c r="E666" s="213" t="s">
        <v>333</v>
      </c>
      <c r="F666" s="212" t="s">
        <v>4365</v>
      </c>
      <c r="G666" s="212" t="str">
        <f t="shared" si="31"/>
        <v>101현금</v>
      </c>
      <c r="H666" s="214">
        <v>0</v>
      </c>
      <c r="I666" s="214">
        <v>10120</v>
      </c>
      <c r="J666" s="214">
        <f t="shared" si="32"/>
        <v>10120</v>
      </c>
      <c r="K666" s="212" t="s">
        <v>6369</v>
      </c>
      <c r="L666" s="213"/>
      <c r="M666" s="212"/>
    </row>
    <row r="667" spans="1:13" ht="21" customHeight="1">
      <c r="A667" s="213" t="s">
        <v>6846</v>
      </c>
      <c r="B667" s="215">
        <f t="shared" si="30"/>
        <v>45707</v>
      </c>
      <c r="C667" s="213" t="s">
        <v>4379</v>
      </c>
      <c r="D667" s="213" t="s">
        <v>4369</v>
      </c>
      <c r="E667" s="213" t="s">
        <v>6290</v>
      </c>
      <c r="F667" s="212" t="s">
        <v>6570</v>
      </c>
      <c r="G667" s="212" t="str">
        <f t="shared" si="31"/>
        <v>824운반비(판)</v>
      </c>
      <c r="H667" s="214">
        <v>10120</v>
      </c>
      <c r="I667" s="214">
        <v>0</v>
      </c>
      <c r="J667" s="214">
        <f t="shared" si="32"/>
        <v>-10120</v>
      </c>
      <c r="K667" s="212" t="s">
        <v>6291</v>
      </c>
      <c r="L667" s="213"/>
      <c r="M667" s="212"/>
    </row>
    <row r="668" spans="1:13" ht="21" customHeight="1">
      <c r="A668" s="213" t="s">
        <v>6843</v>
      </c>
      <c r="B668" s="215">
        <f t="shared" si="30"/>
        <v>45708</v>
      </c>
      <c r="C668" s="213" t="s">
        <v>4373</v>
      </c>
      <c r="D668" s="213" t="s">
        <v>4369</v>
      </c>
      <c r="E668" s="213" t="s">
        <v>4499</v>
      </c>
      <c r="F668" s="212" t="s">
        <v>6517</v>
      </c>
      <c r="G668" s="212" t="str">
        <f t="shared" si="31"/>
        <v>811복리후생비(판)</v>
      </c>
      <c r="H668" s="214">
        <v>3900</v>
      </c>
      <c r="I668" s="214">
        <v>0</v>
      </c>
      <c r="J668" s="214">
        <f t="shared" si="32"/>
        <v>-3900</v>
      </c>
      <c r="K668" s="212" t="s">
        <v>6845</v>
      </c>
      <c r="L668" s="213"/>
      <c r="M668" s="212"/>
    </row>
    <row r="669" spans="1:13" ht="21" customHeight="1">
      <c r="A669" s="213" t="s">
        <v>6843</v>
      </c>
      <c r="B669" s="215">
        <f t="shared" si="30"/>
        <v>45708</v>
      </c>
      <c r="C669" s="213" t="s">
        <v>4373</v>
      </c>
      <c r="D669" s="213" t="s">
        <v>4366</v>
      </c>
      <c r="E669" s="213" t="s">
        <v>333</v>
      </c>
      <c r="F669" s="212" t="s">
        <v>4365</v>
      </c>
      <c r="G669" s="212" t="str">
        <f t="shared" si="31"/>
        <v>101현금</v>
      </c>
      <c r="H669" s="214">
        <v>0</v>
      </c>
      <c r="I669" s="214">
        <v>3900</v>
      </c>
      <c r="J669" s="214">
        <f t="shared" si="32"/>
        <v>3900</v>
      </c>
      <c r="K669" s="212" t="s">
        <v>6370</v>
      </c>
      <c r="L669" s="213"/>
      <c r="M669" s="212"/>
    </row>
    <row r="670" spans="1:13" ht="21" customHeight="1">
      <c r="A670" s="213" t="s">
        <v>6843</v>
      </c>
      <c r="B670" s="215">
        <f t="shared" si="30"/>
        <v>45708</v>
      </c>
      <c r="C670" s="213" t="s">
        <v>4382</v>
      </c>
      <c r="D670" s="213" t="s">
        <v>4369</v>
      </c>
      <c r="E670" s="213" t="s">
        <v>4383</v>
      </c>
      <c r="F670" s="212" t="s">
        <v>6525</v>
      </c>
      <c r="G670" s="212" t="str">
        <f t="shared" si="31"/>
        <v>830소모품비(판)</v>
      </c>
      <c r="H670" s="214">
        <v>3300</v>
      </c>
      <c r="I670" s="214">
        <v>0</v>
      </c>
      <c r="J670" s="214">
        <f t="shared" si="32"/>
        <v>-3300</v>
      </c>
      <c r="K670" s="212" t="s">
        <v>6215</v>
      </c>
      <c r="L670" s="213"/>
      <c r="M670" s="212"/>
    </row>
    <row r="671" spans="1:13" ht="21" customHeight="1">
      <c r="A671" s="213" t="s">
        <v>6843</v>
      </c>
      <c r="B671" s="215">
        <f t="shared" si="30"/>
        <v>45708</v>
      </c>
      <c r="C671" s="213" t="s">
        <v>4382</v>
      </c>
      <c r="D671" s="213" t="s">
        <v>4366</v>
      </c>
      <c r="E671" s="213" t="s">
        <v>333</v>
      </c>
      <c r="F671" s="212" t="s">
        <v>4365</v>
      </c>
      <c r="G671" s="212" t="str">
        <f t="shared" si="31"/>
        <v>101현금</v>
      </c>
      <c r="H671" s="214">
        <v>0</v>
      </c>
      <c r="I671" s="214">
        <v>3300</v>
      </c>
      <c r="J671" s="214">
        <f t="shared" si="32"/>
        <v>3300</v>
      </c>
      <c r="K671" s="212" t="s">
        <v>6369</v>
      </c>
      <c r="L671" s="213"/>
      <c r="M671" s="212"/>
    </row>
    <row r="672" spans="1:13" ht="21" customHeight="1">
      <c r="A672" s="213" t="s">
        <v>6843</v>
      </c>
      <c r="B672" s="215">
        <f t="shared" si="30"/>
        <v>45708</v>
      </c>
      <c r="C672" s="213" t="s">
        <v>4381</v>
      </c>
      <c r="D672" s="213" t="s">
        <v>4366</v>
      </c>
      <c r="E672" s="213" t="s">
        <v>333</v>
      </c>
      <c r="F672" s="212" t="s">
        <v>4365</v>
      </c>
      <c r="G672" s="212" t="str">
        <f t="shared" si="31"/>
        <v>101현금</v>
      </c>
      <c r="H672" s="214">
        <v>0</v>
      </c>
      <c r="I672" s="214">
        <v>24130</v>
      </c>
      <c r="J672" s="214">
        <f t="shared" si="32"/>
        <v>24130</v>
      </c>
      <c r="K672" s="212" t="s">
        <v>6370</v>
      </c>
      <c r="L672" s="213"/>
      <c r="M672" s="212"/>
    </row>
    <row r="673" spans="1:13" ht="21" customHeight="1">
      <c r="A673" s="213" t="s">
        <v>6843</v>
      </c>
      <c r="B673" s="215">
        <f t="shared" si="30"/>
        <v>45708</v>
      </c>
      <c r="C673" s="213" t="s">
        <v>4381</v>
      </c>
      <c r="D673" s="213" t="s">
        <v>4369</v>
      </c>
      <c r="E673" s="213" t="s">
        <v>4368</v>
      </c>
      <c r="F673" s="212" t="s">
        <v>6388</v>
      </c>
      <c r="G673" s="212" t="str">
        <f t="shared" si="31"/>
        <v>831지급수수료(판)</v>
      </c>
      <c r="H673" s="214">
        <v>24130</v>
      </c>
      <c r="I673" s="214">
        <v>0</v>
      </c>
      <c r="J673" s="214">
        <f t="shared" si="32"/>
        <v>-24130</v>
      </c>
      <c r="K673" s="212" t="s">
        <v>6549</v>
      </c>
      <c r="L673" s="213"/>
      <c r="M673" s="212"/>
    </row>
    <row r="674" spans="1:13" ht="21" customHeight="1">
      <c r="A674" s="213" t="s">
        <v>6843</v>
      </c>
      <c r="B674" s="215">
        <f t="shared" si="30"/>
        <v>45708</v>
      </c>
      <c r="C674" s="213" t="s">
        <v>4379</v>
      </c>
      <c r="D674" s="213" t="s">
        <v>4366</v>
      </c>
      <c r="E674" s="213" t="s">
        <v>333</v>
      </c>
      <c r="F674" s="212" t="s">
        <v>4365</v>
      </c>
      <c r="G674" s="212" t="str">
        <f t="shared" si="31"/>
        <v>101현금</v>
      </c>
      <c r="H674" s="214">
        <v>0</v>
      </c>
      <c r="I674" s="214">
        <v>42650</v>
      </c>
      <c r="J674" s="214">
        <f t="shared" si="32"/>
        <v>42650</v>
      </c>
      <c r="K674" s="212" t="s">
        <v>6370</v>
      </c>
      <c r="L674" s="213"/>
      <c r="M674" s="212"/>
    </row>
    <row r="675" spans="1:13" ht="21" customHeight="1">
      <c r="A675" s="213" t="s">
        <v>6843</v>
      </c>
      <c r="B675" s="215">
        <f t="shared" si="30"/>
        <v>45708</v>
      </c>
      <c r="C675" s="213" t="s">
        <v>4379</v>
      </c>
      <c r="D675" s="213" t="s">
        <v>4369</v>
      </c>
      <c r="E675" s="213" t="s">
        <v>4368</v>
      </c>
      <c r="F675" s="212" t="s">
        <v>6388</v>
      </c>
      <c r="G675" s="212" t="str">
        <f t="shared" si="31"/>
        <v>831지급수수료(판)</v>
      </c>
      <c r="H675" s="214">
        <v>42650</v>
      </c>
      <c r="I675" s="214">
        <v>0</v>
      </c>
      <c r="J675" s="214">
        <f t="shared" si="32"/>
        <v>-42650</v>
      </c>
      <c r="K675" s="212" t="s">
        <v>6549</v>
      </c>
      <c r="L675" s="213"/>
      <c r="M675" s="212"/>
    </row>
    <row r="676" spans="1:13" ht="21" customHeight="1">
      <c r="A676" s="213" t="s">
        <v>6843</v>
      </c>
      <c r="B676" s="215">
        <f t="shared" si="30"/>
        <v>45708</v>
      </c>
      <c r="C676" s="213" t="s">
        <v>4385</v>
      </c>
      <c r="D676" s="213" t="s">
        <v>4369</v>
      </c>
      <c r="E676" s="213" t="s">
        <v>4499</v>
      </c>
      <c r="F676" s="212" t="s">
        <v>6517</v>
      </c>
      <c r="G676" s="212" t="str">
        <f t="shared" si="31"/>
        <v>811복리후생비(판)</v>
      </c>
      <c r="H676" s="214">
        <v>21900</v>
      </c>
      <c r="I676" s="214">
        <v>0</v>
      </c>
      <c r="J676" s="214">
        <f t="shared" si="32"/>
        <v>-21900</v>
      </c>
      <c r="K676" s="212" t="s">
        <v>6354</v>
      </c>
      <c r="L676" s="213"/>
      <c r="M676" s="212"/>
    </row>
    <row r="677" spans="1:13" ht="21" customHeight="1">
      <c r="A677" s="213" t="s">
        <v>6843</v>
      </c>
      <c r="B677" s="215">
        <f t="shared" si="30"/>
        <v>45708</v>
      </c>
      <c r="C677" s="213" t="s">
        <v>4385</v>
      </c>
      <c r="D677" s="213" t="s">
        <v>4366</v>
      </c>
      <c r="E677" s="213" t="s">
        <v>333</v>
      </c>
      <c r="F677" s="212" t="s">
        <v>4365</v>
      </c>
      <c r="G677" s="212" t="str">
        <f t="shared" si="31"/>
        <v>101현금</v>
      </c>
      <c r="H677" s="214">
        <v>0</v>
      </c>
      <c r="I677" s="214">
        <v>21900</v>
      </c>
      <c r="J677" s="214">
        <f t="shared" si="32"/>
        <v>21900</v>
      </c>
      <c r="K677" s="212" t="s">
        <v>6354</v>
      </c>
      <c r="L677" s="213"/>
      <c r="M677" s="212"/>
    </row>
    <row r="678" spans="1:13" ht="21" customHeight="1">
      <c r="A678" s="213" t="s">
        <v>6843</v>
      </c>
      <c r="B678" s="215">
        <f t="shared" si="30"/>
        <v>45708</v>
      </c>
      <c r="C678" s="213" t="s">
        <v>4367</v>
      </c>
      <c r="D678" s="213" t="s">
        <v>4366</v>
      </c>
      <c r="E678" s="213" t="s">
        <v>6176</v>
      </c>
      <c r="F678" s="212" t="s">
        <v>6177</v>
      </c>
      <c r="G678" s="212" t="str">
        <f t="shared" si="31"/>
        <v>255부가세예수금</v>
      </c>
      <c r="H678" s="214">
        <v>0</v>
      </c>
      <c r="I678" s="214">
        <v>10000</v>
      </c>
      <c r="J678" s="214">
        <f t="shared" si="32"/>
        <v>10000</v>
      </c>
      <c r="K678" s="212" t="s">
        <v>6280</v>
      </c>
      <c r="L678" s="213"/>
      <c r="M678" s="212" t="s">
        <v>6185</v>
      </c>
    </row>
    <row r="679" spans="1:13" ht="21" customHeight="1">
      <c r="A679" s="213" t="s">
        <v>6843</v>
      </c>
      <c r="B679" s="215">
        <f t="shared" si="30"/>
        <v>45708</v>
      </c>
      <c r="C679" s="213" t="s">
        <v>4367</v>
      </c>
      <c r="D679" s="213" t="s">
        <v>4366</v>
      </c>
      <c r="E679" s="213" t="s">
        <v>334</v>
      </c>
      <c r="F679" s="212" t="s">
        <v>6158</v>
      </c>
      <c r="G679" s="212" t="str">
        <f t="shared" si="31"/>
        <v>401용역매출</v>
      </c>
      <c r="H679" s="214">
        <v>0</v>
      </c>
      <c r="I679" s="214">
        <v>100000</v>
      </c>
      <c r="J679" s="214">
        <f t="shared" si="32"/>
        <v>100000</v>
      </c>
      <c r="K679" s="212" t="s">
        <v>6280</v>
      </c>
      <c r="L679" s="213"/>
      <c r="M679" s="212" t="s">
        <v>6185</v>
      </c>
    </row>
    <row r="680" spans="1:13" ht="21" customHeight="1">
      <c r="A680" s="213" t="s">
        <v>6843</v>
      </c>
      <c r="B680" s="215">
        <f t="shared" si="30"/>
        <v>45708</v>
      </c>
      <c r="C680" s="213" t="s">
        <v>4367</v>
      </c>
      <c r="D680" s="213" t="s">
        <v>4369</v>
      </c>
      <c r="E680" s="213" t="s">
        <v>333</v>
      </c>
      <c r="F680" s="212" t="s">
        <v>4365</v>
      </c>
      <c r="G680" s="212" t="str">
        <f t="shared" si="31"/>
        <v>101현금</v>
      </c>
      <c r="H680" s="214">
        <v>110000</v>
      </c>
      <c r="I680" s="214">
        <v>0</v>
      </c>
      <c r="J680" s="214">
        <f t="shared" si="32"/>
        <v>-110000</v>
      </c>
      <c r="K680" s="212" t="s">
        <v>6280</v>
      </c>
      <c r="L680" s="213"/>
      <c r="M680" s="212" t="s">
        <v>6185</v>
      </c>
    </row>
    <row r="681" spans="1:13" ht="21" customHeight="1">
      <c r="A681" s="213" t="s">
        <v>6843</v>
      </c>
      <c r="B681" s="215">
        <f t="shared" si="30"/>
        <v>45708</v>
      </c>
      <c r="C681" s="213" t="s">
        <v>4374</v>
      </c>
      <c r="D681" s="213" t="s">
        <v>4366</v>
      </c>
      <c r="E681" s="213" t="s">
        <v>6176</v>
      </c>
      <c r="F681" s="212" t="s">
        <v>6177</v>
      </c>
      <c r="G681" s="212" t="str">
        <f t="shared" si="31"/>
        <v>255부가세예수금</v>
      </c>
      <c r="H681" s="214">
        <v>0</v>
      </c>
      <c r="I681" s="214">
        <v>20000</v>
      </c>
      <c r="J681" s="214">
        <f t="shared" si="32"/>
        <v>20000</v>
      </c>
      <c r="K681" s="212" t="s">
        <v>6355</v>
      </c>
      <c r="L681" s="213"/>
      <c r="M681" s="212" t="s">
        <v>6231</v>
      </c>
    </row>
    <row r="682" spans="1:13" ht="21" customHeight="1">
      <c r="A682" s="213" t="s">
        <v>6843</v>
      </c>
      <c r="B682" s="215">
        <f t="shared" si="30"/>
        <v>45708</v>
      </c>
      <c r="C682" s="213" t="s">
        <v>4374</v>
      </c>
      <c r="D682" s="213" t="s">
        <v>4366</v>
      </c>
      <c r="E682" s="213" t="s">
        <v>334</v>
      </c>
      <c r="F682" s="212" t="s">
        <v>6158</v>
      </c>
      <c r="G682" s="212" t="str">
        <f t="shared" si="31"/>
        <v>401용역매출</v>
      </c>
      <c r="H682" s="214">
        <v>0</v>
      </c>
      <c r="I682" s="214">
        <v>200000</v>
      </c>
      <c r="J682" s="214">
        <f t="shared" si="32"/>
        <v>200000</v>
      </c>
      <c r="K682" s="212" t="s">
        <v>6355</v>
      </c>
      <c r="L682" s="213"/>
      <c r="M682" s="212" t="s">
        <v>6231</v>
      </c>
    </row>
    <row r="683" spans="1:13" ht="21" customHeight="1">
      <c r="A683" s="213" t="s">
        <v>6843</v>
      </c>
      <c r="B683" s="215">
        <f t="shared" si="30"/>
        <v>45708</v>
      </c>
      <c r="C683" s="213" t="s">
        <v>4374</v>
      </c>
      <c r="D683" s="213" t="s">
        <v>4369</v>
      </c>
      <c r="E683" s="213" t="s">
        <v>333</v>
      </c>
      <c r="F683" s="212" t="s">
        <v>4365</v>
      </c>
      <c r="G683" s="212" t="str">
        <f t="shared" si="31"/>
        <v>101현금</v>
      </c>
      <c r="H683" s="214">
        <v>220000</v>
      </c>
      <c r="I683" s="214">
        <v>0</v>
      </c>
      <c r="J683" s="214">
        <f t="shared" si="32"/>
        <v>-220000</v>
      </c>
      <c r="K683" s="212" t="s">
        <v>6355</v>
      </c>
      <c r="L683" s="213"/>
      <c r="M683" s="212" t="s">
        <v>6231</v>
      </c>
    </row>
    <row r="684" spans="1:13" ht="21" customHeight="1">
      <c r="A684" s="213" t="s">
        <v>6843</v>
      </c>
      <c r="B684" s="215">
        <f t="shared" si="30"/>
        <v>45708</v>
      </c>
      <c r="C684" s="213" t="s">
        <v>6182</v>
      </c>
      <c r="D684" s="213" t="s">
        <v>4366</v>
      </c>
      <c r="E684" s="213" t="s">
        <v>6176</v>
      </c>
      <c r="F684" s="212" t="s">
        <v>6177</v>
      </c>
      <c r="G684" s="212" t="str">
        <f t="shared" si="31"/>
        <v>255부가세예수금</v>
      </c>
      <c r="H684" s="214">
        <v>0</v>
      </c>
      <c r="I684" s="214">
        <v>10000</v>
      </c>
      <c r="J684" s="214">
        <f t="shared" si="32"/>
        <v>10000</v>
      </c>
      <c r="K684" s="212" t="s">
        <v>6209</v>
      </c>
      <c r="L684" s="213"/>
      <c r="M684" s="212" t="s">
        <v>6185</v>
      </c>
    </row>
    <row r="685" spans="1:13" ht="21" customHeight="1">
      <c r="A685" s="213" t="s">
        <v>6843</v>
      </c>
      <c r="B685" s="215">
        <f t="shared" si="30"/>
        <v>45708</v>
      </c>
      <c r="C685" s="213" t="s">
        <v>6182</v>
      </c>
      <c r="D685" s="213" t="s">
        <v>4366</v>
      </c>
      <c r="E685" s="213" t="s">
        <v>334</v>
      </c>
      <c r="F685" s="212" t="s">
        <v>6158</v>
      </c>
      <c r="G685" s="212" t="str">
        <f t="shared" si="31"/>
        <v>401용역매출</v>
      </c>
      <c r="H685" s="214">
        <v>0</v>
      </c>
      <c r="I685" s="214">
        <v>100000</v>
      </c>
      <c r="J685" s="214">
        <f t="shared" si="32"/>
        <v>100000</v>
      </c>
      <c r="K685" s="212" t="s">
        <v>6209</v>
      </c>
      <c r="L685" s="213"/>
      <c r="M685" s="212" t="s">
        <v>6185</v>
      </c>
    </row>
    <row r="686" spans="1:13" ht="21" customHeight="1">
      <c r="A686" s="213" t="s">
        <v>6843</v>
      </c>
      <c r="B686" s="215">
        <f t="shared" si="30"/>
        <v>45708</v>
      </c>
      <c r="C686" s="213" t="s">
        <v>6182</v>
      </c>
      <c r="D686" s="213" t="s">
        <v>4369</v>
      </c>
      <c r="E686" s="213" t="s">
        <v>333</v>
      </c>
      <c r="F686" s="212" t="s">
        <v>4365</v>
      </c>
      <c r="G686" s="212" t="str">
        <f t="shared" si="31"/>
        <v>101현금</v>
      </c>
      <c r="H686" s="214">
        <v>110000</v>
      </c>
      <c r="I686" s="214">
        <v>0</v>
      </c>
      <c r="J686" s="214">
        <f t="shared" si="32"/>
        <v>-110000</v>
      </c>
      <c r="K686" s="212" t="s">
        <v>6209</v>
      </c>
      <c r="L686" s="213"/>
      <c r="M686" s="212" t="s">
        <v>6185</v>
      </c>
    </row>
    <row r="687" spans="1:13" ht="21" customHeight="1">
      <c r="A687" s="213" t="s">
        <v>6843</v>
      </c>
      <c r="B687" s="215">
        <f t="shared" si="30"/>
        <v>45708</v>
      </c>
      <c r="C687" s="213" t="s">
        <v>6184</v>
      </c>
      <c r="D687" s="213" t="s">
        <v>4366</v>
      </c>
      <c r="E687" s="213" t="s">
        <v>6176</v>
      </c>
      <c r="F687" s="212" t="s">
        <v>6177</v>
      </c>
      <c r="G687" s="212" t="str">
        <f t="shared" si="31"/>
        <v>255부가세예수금</v>
      </c>
      <c r="H687" s="214">
        <v>0</v>
      </c>
      <c r="I687" s="214">
        <v>10000</v>
      </c>
      <c r="J687" s="214">
        <f t="shared" si="32"/>
        <v>10000</v>
      </c>
      <c r="K687" s="212" t="s">
        <v>6210</v>
      </c>
      <c r="L687" s="213"/>
      <c r="M687" s="212" t="s">
        <v>6185</v>
      </c>
    </row>
    <row r="688" spans="1:13" ht="21" customHeight="1">
      <c r="A688" s="213" t="s">
        <v>6843</v>
      </c>
      <c r="B688" s="215">
        <f t="shared" si="30"/>
        <v>45708</v>
      </c>
      <c r="C688" s="213" t="s">
        <v>6184</v>
      </c>
      <c r="D688" s="213" t="s">
        <v>4366</v>
      </c>
      <c r="E688" s="213" t="s">
        <v>334</v>
      </c>
      <c r="F688" s="212" t="s">
        <v>6158</v>
      </c>
      <c r="G688" s="212" t="str">
        <f t="shared" si="31"/>
        <v>401용역매출</v>
      </c>
      <c r="H688" s="214">
        <v>0</v>
      </c>
      <c r="I688" s="214">
        <v>100000</v>
      </c>
      <c r="J688" s="214">
        <f t="shared" si="32"/>
        <v>100000</v>
      </c>
      <c r="K688" s="212" t="s">
        <v>6210</v>
      </c>
      <c r="L688" s="213"/>
      <c r="M688" s="212" t="s">
        <v>6185</v>
      </c>
    </row>
    <row r="689" spans="1:13" ht="21" customHeight="1">
      <c r="A689" s="213" t="s">
        <v>6843</v>
      </c>
      <c r="B689" s="215">
        <f t="shared" si="30"/>
        <v>45708</v>
      </c>
      <c r="C689" s="213" t="s">
        <v>6184</v>
      </c>
      <c r="D689" s="213" t="s">
        <v>4369</v>
      </c>
      <c r="E689" s="213" t="s">
        <v>333</v>
      </c>
      <c r="F689" s="212" t="s">
        <v>4365</v>
      </c>
      <c r="G689" s="212" t="str">
        <f t="shared" si="31"/>
        <v>101현금</v>
      </c>
      <c r="H689" s="214">
        <v>110000</v>
      </c>
      <c r="I689" s="214">
        <v>0</v>
      </c>
      <c r="J689" s="214">
        <f t="shared" si="32"/>
        <v>-110000</v>
      </c>
      <c r="K689" s="212" t="s">
        <v>6210</v>
      </c>
      <c r="L689" s="213"/>
      <c r="M689" s="212" t="s">
        <v>6185</v>
      </c>
    </row>
    <row r="690" spans="1:13" ht="21" customHeight="1">
      <c r="A690" s="213" t="s">
        <v>6843</v>
      </c>
      <c r="B690" s="215">
        <f t="shared" si="30"/>
        <v>45708</v>
      </c>
      <c r="C690" s="213" t="s">
        <v>6186</v>
      </c>
      <c r="D690" s="213" t="s">
        <v>4366</v>
      </c>
      <c r="E690" s="213" t="s">
        <v>6176</v>
      </c>
      <c r="F690" s="212" t="s">
        <v>6177</v>
      </c>
      <c r="G690" s="212" t="str">
        <f t="shared" si="31"/>
        <v>255부가세예수금</v>
      </c>
      <c r="H690" s="214">
        <v>0</v>
      </c>
      <c r="I690" s="214">
        <v>15000</v>
      </c>
      <c r="J690" s="214">
        <f t="shared" si="32"/>
        <v>15000</v>
      </c>
      <c r="K690" s="212" t="s">
        <v>6211</v>
      </c>
      <c r="L690" s="213"/>
      <c r="M690" s="212" t="s">
        <v>6179</v>
      </c>
    </row>
    <row r="691" spans="1:13" ht="21" customHeight="1">
      <c r="A691" s="213" t="s">
        <v>6843</v>
      </c>
      <c r="B691" s="215">
        <f t="shared" si="30"/>
        <v>45708</v>
      </c>
      <c r="C691" s="213" t="s">
        <v>6186</v>
      </c>
      <c r="D691" s="213" t="s">
        <v>4366</v>
      </c>
      <c r="E691" s="213" t="s">
        <v>334</v>
      </c>
      <c r="F691" s="212" t="s">
        <v>6158</v>
      </c>
      <c r="G691" s="212" t="str">
        <f t="shared" si="31"/>
        <v>401용역매출</v>
      </c>
      <c r="H691" s="214">
        <v>0</v>
      </c>
      <c r="I691" s="214">
        <v>150000</v>
      </c>
      <c r="J691" s="214">
        <f t="shared" si="32"/>
        <v>150000</v>
      </c>
      <c r="K691" s="212" t="s">
        <v>6211</v>
      </c>
      <c r="L691" s="213"/>
      <c r="M691" s="212" t="s">
        <v>6179</v>
      </c>
    </row>
    <row r="692" spans="1:13" ht="21" customHeight="1">
      <c r="A692" s="213" t="s">
        <v>6843</v>
      </c>
      <c r="B692" s="215">
        <f t="shared" si="30"/>
        <v>45708</v>
      </c>
      <c r="C692" s="213" t="s">
        <v>6186</v>
      </c>
      <c r="D692" s="213" t="s">
        <v>4369</v>
      </c>
      <c r="E692" s="213" t="s">
        <v>333</v>
      </c>
      <c r="F692" s="212" t="s">
        <v>4365</v>
      </c>
      <c r="G692" s="212" t="str">
        <f t="shared" si="31"/>
        <v>101현금</v>
      </c>
      <c r="H692" s="214">
        <v>165000</v>
      </c>
      <c r="I692" s="214">
        <v>0</v>
      </c>
      <c r="J692" s="214">
        <f t="shared" si="32"/>
        <v>-165000</v>
      </c>
      <c r="K692" s="212" t="s">
        <v>6211</v>
      </c>
      <c r="L692" s="213"/>
      <c r="M692" s="212" t="s">
        <v>6179</v>
      </c>
    </row>
    <row r="693" spans="1:13" ht="21" customHeight="1">
      <c r="A693" s="213" t="s">
        <v>6843</v>
      </c>
      <c r="B693" s="215">
        <f t="shared" si="30"/>
        <v>45708</v>
      </c>
      <c r="C693" s="213" t="s">
        <v>6189</v>
      </c>
      <c r="D693" s="213" t="s">
        <v>4366</v>
      </c>
      <c r="E693" s="213" t="s">
        <v>6176</v>
      </c>
      <c r="F693" s="212" t="s">
        <v>6177</v>
      </c>
      <c r="G693" s="212" t="str">
        <f t="shared" si="31"/>
        <v>255부가세예수금</v>
      </c>
      <c r="H693" s="214">
        <v>0</v>
      </c>
      <c r="I693" s="214">
        <v>100000</v>
      </c>
      <c r="J693" s="214">
        <f t="shared" si="32"/>
        <v>100000</v>
      </c>
      <c r="K693" s="212" t="s">
        <v>6279</v>
      </c>
      <c r="L693" s="213"/>
      <c r="M693" s="212" t="s">
        <v>6844</v>
      </c>
    </row>
    <row r="694" spans="1:13" ht="21" customHeight="1">
      <c r="A694" s="213" t="s">
        <v>6843</v>
      </c>
      <c r="B694" s="215">
        <f t="shared" si="30"/>
        <v>45708</v>
      </c>
      <c r="C694" s="213" t="s">
        <v>6189</v>
      </c>
      <c r="D694" s="213" t="s">
        <v>4366</v>
      </c>
      <c r="E694" s="213" t="s">
        <v>334</v>
      </c>
      <c r="F694" s="212" t="s">
        <v>6158</v>
      </c>
      <c r="G694" s="212" t="str">
        <f t="shared" si="31"/>
        <v>401용역매출</v>
      </c>
      <c r="H694" s="214">
        <v>0</v>
      </c>
      <c r="I694" s="214">
        <v>1000000</v>
      </c>
      <c r="J694" s="214">
        <f t="shared" si="32"/>
        <v>1000000</v>
      </c>
      <c r="K694" s="212" t="s">
        <v>6279</v>
      </c>
      <c r="L694" s="213"/>
      <c r="M694" s="212" t="s">
        <v>6844</v>
      </c>
    </row>
    <row r="695" spans="1:13" ht="21" customHeight="1">
      <c r="A695" s="213" t="s">
        <v>6843</v>
      </c>
      <c r="B695" s="215">
        <f t="shared" si="30"/>
        <v>45708</v>
      </c>
      <c r="C695" s="213" t="s">
        <v>6189</v>
      </c>
      <c r="D695" s="213" t="s">
        <v>4369</v>
      </c>
      <c r="E695" s="213" t="s">
        <v>333</v>
      </c>
      <c r="F695" s="212" t="s">
        <v>4365</v>
      </c>
      <c r="G695" s="212" t="str">
        <f t="shared" si="31"/>
        <v>101현금</v>
      </c>
      <c r="H695" s="214">
        <v>1100000</v>
      </c>
      <c r="I695" s="214">
        <v>0</v>
      </c>
      <c r="J695" s="214">
        <f t="shared" si="32"/>
        <v>-1100000</v>
      </c>
      <c r="K695" s="212" t="s">
        <v>6279</v>
      </c>
      <c r="L695" s="213"/>
      <c r="M695" s="212" t="s">
        <v>6844</v>
      </c>
    </row>
    <row r="696" spans="1:13" ht="21" customHeight="1">
      <c r="A696" s="213" t="s">
        <v>6843</v>
      </c>
      <c r="B696" s="215">
        <f t="shared" si="30"/>
        <v>45708</v>
      </c>
      <c r="C696" s="213" t="s">
        <v>6191</v>
      </c>
      <c r="D696" s="213" t="s">
        <v>4369</v>
      </c>
      <c r="E696" s="213" t="s">
        <v>6212</v>
      </c>
      <c r="F696" s="212" t="s">
        <v>6402</v>
      </c>
      <c r="G696" s="212" t="str">
        <f t="shared" si="31"/>
        <v>837건물관리비(판)</v>
      </c>
      <c r="H696" s="214">
        <v>180260</v>
      </c>
      <c r="I696" s="214">
        <v>0</v>
      </c>
      <c r="J696" s="214">
        <f t="shared" si="32"/>
        <v>-180260</v>
      </c>
      <c r="K696" s="212" t="s">
        <v>6213</v>
      </c>
      <c r="L696" s="213"/>
      <c r="M696" s="212" t="s">
        <v>6214</v>
      </c>
    </row>
    <row r="697" spans="1:13" ht="21" customHeight="1">
      <c r="A697" s="213" t="s">
        <v>6843</v>
      </c>
      <c r="B697" s="215">
        <f t="shared" si="30"/>
        <v>45708</v>
      </c>
      <c r="C697" s="213" t="s">
        <v>6191</v>
      </c>
      <c r="D697" s="213" t="s">
        <v>4366</v>
      </c>
      <c r="E697" s="213" t="s">
        <v>333</v>
      </c>
      <c r="F697" s="212" t="s">
        <v>4365</v>
      </c>
      <c r="G697" s="212" t="str">
        <f t="shared" si="31"/>
        <v>101현금</v>
      </c>
      <c r="H697" s="214">
        <v>0</v>
      </c>
      <c r="I697" s="214">
        <v>180260</v>
      </c>
      <c r="J697" s="214">
        <f t="shared" si="32"/>
        <v>180260</v>
      </c>
      <c r="K697" s="212" t="s">
        <v>6213</v>
      </c>
      <c r="L697" s="213"/>
      <c r="M697" s="212" t="s">
        <v>6214</v>
      </c>
    </row>
    <row r="698" spans="1:13" ht="21" customHeight="1">
      <c r="A698" s="213" t="s">
        <v>6843</v>
      </c>
      <c r="B698" s="215">
        <f t="shared" si="30"/>
        <v>45708</v>
      </c>
      <c r="C698" s="213" t="s">
        <v>6216</v>
      </c>
      <c r="D698" s="213" t="s">
        <v>4369</v>
      </c>
      <c r="E698" s="213" t="s">
        <v>4371</v>
      </c>
      <c r="F698" s="212" t="s">
        <v>4370</v>
      </c>
      <c r="G698" s="212" t="str">
        <f t="shared" si="31"/>
        <v>135부가세대급금</v>
      </c>
      <c r="H698" s="214">
        <v>14454</v>
      </c>
      <c r="I698" s="214">
        <v>0</v>
      </c>
      <c r="J698" s="214">
        <f t="shared" si="32"/>
        <v>-14454</v>
      </c>
      <c r="K698" s="212" t="s">
        <v>6197</v>
      </c>
      <c r="L698" s="213"/>
      <c r="M698" s="212"/>
    </row>
    <row r="699" spans="1:13" ht="21" customHeight="1">
      <c r="A699" s="213" t="s">
        <v>6843</v>
      </c>
      <c r="B699" s="215">
        <f t="shared" si="30"/>
        <v>45708</v>
      </c>
      <c r="C699" s="213" t="s">
        <v>6216</v>
      </c>
      <c r="D699" s="213" t="s">
        <v>4369</v>
      </c>
      <c r="E699" s="213" t="s">
        <v>4383</v>
      </c>
      <c r="F699" s="212" t="s">
        <v>6525</v>
      </c>
      <c r="G699" s="212" t="str">
        <f t="shared" si="31"/>
        <v>830소모품비(판)</v>
      </c>
      <c r="H699" s="214">
        <v>144546</v>
      </c>
      <c r="I699" s="214">
        <v>0</v>
      </c>
      <c r="J699" s="214">
        <f t="shared" si="32"/>
        <v>-144546</v>
      </c>
      <c r="K699" s="212" t="s">
        <v>6197</v>
      </c>
      <c r="L699" s="213"/>
      <c r="M699" s="212"/>
    </row>
    <row r="700" spans="1:13" ht="21" customHeight="1">
      <c r="A700" s="213" t="s">
        <v>6843</v>
      </c>
      <c r="B700" s="215">
        <f t="shared" si="30"/>
        <v>45708</v>
      </c>
      <c r="C700" s="213" t="s">
        <v>6216</v>
      </c>
      <c r="D700" s="213" t="s">
        <v>4366</v>
      </c>
      <c r="E700" s="213" t="s">
        <v>333</v>
      </c>
      <c r="F700" s="212" t="s">
        <v>4365</v>
      </c>
      <c r="G700" s="212" t="str">
        <f t="shared" si="31"/>
        <v>101현금</v>
      </c>
      <c r="H700" s="214">
        <v>0</v>
      </c>
      <c r="I700" s="214">
        <v>159000</v>
      </c>
      <c r="J700" s="214">
        <f t="shared" si="32"/>
        <v>159000</v>
      </c>
      <c r="K700" s="212" t="s">
        <v>6370</v>
      </c>
      <c r="L700" s="213"/>
      <c r="M700" s="212"/>
    </row>
    <row r="701" spans="1:13" ht="21" customHeight="1">
      <c r="A701" s="213" t="s">
        <v>6843</v>
      </c>
      <c r="B701" s="215">
        <f t="shared" si="30"/>
        <v>45708</v>
      </c>
      <c r="C701" s="213" t="s">
        <v>6217</v>
      </c>
      <c r="D701" s="213" t="s">
        <v>4369</v>
      </c>
      <c r="E701" s="213" t="s">
        <v>4371</v>
      </c>
      <c r="F701" s="212" t="s">
        <v>4370</v>
      </c>
      <c r="G701" s="212" t="str">
        <f t="shared" si="31"/>
        <v>135부가세대급금</v>
      </c>
      <c r="H701" s="214">
        <v>3181</v>
      </c>
      <c r="I701" s="214">
        <v>0</v>
      </c>
      <c r="J701" s="214">
        <f t="shared" si="32"/>
        <v>-3181</v>
      </c>
      <c r="K701" s="212" t="s">
        <v>6197</v>
      </c>
      <c r="L701" s="213"/>
      <c r="M701" s="212"/>
    </row>
    <row r="702" spans="1:13" ht="21" customHeight="1">
      <c r="A702" s="213" t="s">
        <v>6843</v>
      </c>
      <c r="B702" s="215">
        <f t="shared" si="30"/>
        <v>45708</v>
      </c>
      <c r="C702" s="213" t="s">
        <v>6217</v>
      </c>
      <c r="D702" s="213" t="s">
        <v>4369</v>
      </c>
      <c r="E702" s="213" t="s">
        <v>4383</v>
      </c>
      <c r="F702" s="212" t="s">
        <v>6525</v>
      </c>
      <c r="G702" s="212" t="str">
        <f t="shared" si="31"/>
        <v>830소모품비(판)</v>
      </c>
      <c r="H702" s="214">
        <v>31819</v>
      </c>
      <c r="I702" s="214">
        <v>0</v>
      </c>
      <c r="J702" s="214">
        <f t="shared" si="32"/>
        <v>-31819</v>
      </c>
      <c r="K702" s="212" t="s">
        <v>6197</v>
      </c>
      <c r="L702" s="213"/>
      <c r="M702" s="212"/>
    </row>
    <row r="703" spans="1:13" ht="21" customHeight="1">
      <c r="A703" s="213" t="s">
        <v>6843</v>
      </c>
      <c r="B703" s="215">
        <f t="shared" si="30"/>
        <v>45708</v>
      </c>
      <c r="C703" s="213" t="s">
        <v>6217</v>
      </c>
      <c r="D703" s="213" t="s">
        <v>4366</v>
      </c>
      <c r="E703" s="213" t="s">
        <v>333</v>
      </c>
      <c r="F703" s="212" t="s">
        <v>4365</v>
      </c>
      <c r="G703" s="212" t="str">
        <f t="shared" si="31"/>
        <v>101현금</v>
      </c>
      <c r="H703" s="214">
        <v>0</v>
      </c>
      <c r="I703" s="214">
        <v>35000</v>
      </c>
      <c r="J703" s="214">
        <f t="shared" si="32"/>
        <v>35000</v>
      </c>
      <c r="K703" s="212" t="s">
        <v>6200</v>
      </c>
      <c r="L703" s="213"/>
      <c r="M703" s="212"/>
    </row>
    <row r="704" spans="1:13" ht="21" customHeight="1">
      <c r="A704" s="213" t="s">
        <v>6840</v>
      </c>
      <c r="B704" s="215">
        <f t="shared" si="30"/>
        <v>45709</v>
      </c>
      <c r="C704" s="213" t="s">
        <v>4373</v>
      </c>
      <c r="D704" s="213" t="s">
        <v>4369</v>
      </c>
      <c r="E704" s="213" t="s">
        <v>4499</v>
      </c>
      <c r="F704" s="212" t="s">
        <v>6517</v>
      </c>
      <c r="G704" s="212" t="str">
        <f t="shared" si="31"/>
        <v>811복리후생비(판)</v>
      </c>
      <c r="H704" s="214">
        <v>3000</v>
      </c>
      <c r="I704" s="214">
        <v>0</v>
      </c>
      <c r="J704" s="214">
        <f t="shared" si="32"/>
        <v>-3000</v>
      </c>
      <c r="K704" s="212" t="s">
        <v>6288</v>
      </c>
      <c r="L704" s="213"/>
      <c r="M704" s="212"/>
    </row>
    <row r="705" spans="1:13" ht="21" customHeight="1">
      <c r="A705" s="213" t="s">
        <v>6840</v>
      </c>
      <c r="B705" s="215">
        <f t="shared" si="30"/>
        <v>45709</v>
      </c>
      <c r="C705" s="213" t="s">
        <v>4373</v>
      </c>
      <c r="D705" s="213" t="s">
        <v>4366</v>
      </c>
      <c r="E705" s="213" t="s">
        <v>333</v>
      </c>
      <c r="F705" s="212" t="s">
        <v>4365</v>
      </c>
      <c r="G705" s="212" t="str">
        <f t="shared" si="31"/>
        <v>101현금</v>
      </c>
      <c r="H705" s="214">
        <v>0</v>
      </c>
      <c r="I705" s="214">
        <v>3000</v>
      </c>
      <c r="J705" s="214">
        <f t="shared" si="32"/>
        <v>3000</v>
      </c>
      <c r="K705" s="212" t="s">
        <v>6369</v>
      </c>
      <c r="L705" s="213"/>
      <c r="M705" s="212"/>
    </row>
    <row r="706" spans="1:13" ht="21" customHeight="1">
      <c r="A706" s="213" t="s">
        <v>6840</v>
      </c>
      <c r="B706" s="215">
        <f t="shared" ref="B706:B769" si="33">DATEVALUE(A706)</f>
        <v>45709</v>
      </c>
      <c r="C706" s="213" t="s">
        <v>4382</v>
      </c>
      <c r="D706" s="213" t="s">
        <v>4369</v>
      </c>
      <c r="E706" s="213" t="s">
        <v>4380</v>
      </c>
      <c r="F706" s="212" t="s">
        <v>6515</v>
      </c>
      <c r="G706" s="212" t="str">
        <f t="shared" ref="G706:G769" si="34">E706&amp;F706</f>
        <v>812여비교통비(판)</v>
      </c>
      <c r="H706" s="214">
        <v>1000</v>
      </c>
      <c r="I706" s="214">
        <v>0</v>
      </c>
      <c r="J706" s="214">
        <f t="shared" ref="J706:J769" si="35">I706-H706</f>
        <v>-1000</v>
      </c>
      <c r="K706" s="212" t="s">
        <v>6842</v>
      </c>
      <c r="L706" s="213"/>
      <c r="M706" s="212"/>
    </row>
    <row r="707" spans="1:13" ht="21" customHeight="1">
      <c r="A707" s="213" t="s">
        <v>6840</v>
      </c>
      <c r="B707" s="215">
        <f t="shared" si="33"/>
        <v>45709</v>
      </c>
      <c r="C707" s="213" t="s">
        <v>4382</v>
      </c>
      <c r="D707" s="213" t="s">
        <v>4366</v>
      </c>
      <c r="E707" s="213" t="s">
        <v>333</v>
      </c>
      <c r="F707" s="212" t="s">
        <v>4365</v>
      </c>
      <c r="G707" s="212" t="str">
        <f t="shared" si="34"/>
        <v>101현금</v>
      </c>
      <c r="H707" s="214">
        <v>0</v>
      </c>
      <c r="I707" s="214">
        <v>1000</v>
      </c>
      <c r="J707" s="214">
        <f t="shared" si="35"/>
        <v>1000</v>
      </c>
      <c r="K707" s="212" t="s">
        <v>6369</v>
      </c>
      <c r="L707" s="213"/>
      <c r="M707" s="212"/>
    </row>
    <row r="708" spans="1:13" ht="21" customHeight="1">
      <c r="A708" s="213" t="s">
        <v>6840</v>
      </c>
      <c r="B708" s="215">
        <f t="shared" si="33"/>
        <v>45709</v>
      </c>
      <c r="C708" s="213" t="s">
        <v>4381</v>
      </c>
      <c r="D708" s="213" t="s">
        <v>4366</v>
      </c>
      <c r="E708" s="213" t="s">
        <v>333</v>
      </c>
      <c r="F708" s="212" t="s">
        <v>4365</v>
      </c>
      <c r="G708" s="212" t="str">
        <f t="shared" si="34"/>
        <v>101현금</v>
      </c>
      <c r="H708" s="214">
        <v>0</v>
      </c>
      <c r="I708" s="214">
        <v>17400</v>
      </c>
      <c r="J708" s="214">
        <f t="shared" si="35"/>
        <v>17400</v>
      </c>
      <c r="K708" s="212" t="s">
        <v>6369</v>
      </c>
      <c r="L708" s="213"/>
      <c r="M708" s="212"/>
    </row>
    <row r="709" spans="1:13" ht="21" customHeight="1">
      <c r="A709" s="213" t="s">
        <v>6840</v>
      </c>
      <c r="B709" s="215">
        <f t="shared" si="33"/>
        <v>45709</v>
      </c>
      <c r="C709" s="213" t="s">
        <v>4381</v>
      </c>
      <c r="D709" s="213" t="s">
        <v>4369</v>
      </c>
      <c r="E709" s="213" t="s">
        <v>4380</v>
      </c>
      <c r="F709" s="212" t="s">
        <v>6515</v>
      </c>
      <c r="G709" s="212" t="str">
        <f t="shared" si="34"/>
        <v>812여비교통비(판)</v>
      </c>
      <c r="H709" s="214">
        <v>17400</v>
      </c>
      <c r="I709" s="214">
        <v>0</v>
      </c>
      <c r="J709" s="214">
        <f t="shared" si="35"/>
        <v>-17400</v>
      </c>
      <c r="K709" s="212" t="s">
        <v>6841</v>
      </c>
      <c r="L709" s="213"/>
      <c r="M709" s="212"/>
    </row>
    <row r="710" spans="1:13" ht="21" customHeight="1">
      <c r="A710" s="213" t="s">
        <v>6840</v>
      </c>
      <c r="B710" s="215">
        <f t="shared" si="33"/>
        <v>45709</v>
      </c>
      <c r="C710" s="213" t="s">
        <v>4367</v>
      </c>
      <c r="D710" s="213" t="s">
        <v>4366</v>
      </c>
      <c r="E710" s="213" t="s">
        <v>6176</v>
      </c>
      <c r="F710" s="212" t="s">
        <v>6177</v>
      </c>
      <c r="G710" s="212" t="str">
        <f t="shared" si="34"/>
        <v>255부가세예수금</v>
      </c>
      <c r="H710" s="214">
        <v>0</v>
      </c>
      <c r="I710" s="214">
        <v>10000</v>
      </c>
      <c r="J710" s="214">
        <f t="shared" si="35"/>
        <v>10000</v>
      </c>
      <c r="K710" s="212" t="s">
        <v>6245</v>
      </c>
      <c r="L710" s="213"/>
      <c r="M710" s="212" t="s">
        <v>6185</v>
      </c>
    </row>
    <row r="711" spans="1:13" ht="21" customHeight="1">
      <c r="A711" s="213" t="s">
        <v>6840</v>
      </c>
      <c r="B711" s="215">
        <f t="shared" si="33"/>
        <v>45709</v>
      </c>
      <c r="C711" s="213" t="s">
        <v>4367</v>
      </c>
      <c r="D711" s="213" t="s">
        <v>4366</v>
      </c>
      <c r="E711" s="213" t="s">
        <v>334</v>
      </c>
      <c r="F711" s="212" t="s">
        <v>6158</v>
      </c>
      <c r="G711" s="212" t="str">
        <f t="shared" si="34"/>
        <v>401용역매출</v>
      </c>
      <c r="H711" s="214">
        <v>0</v>
      </c>
      <c r="I711" s="214">
        <v>100000</v>
      </c>
      <c r="J711" s="214">
        <f t="shared" si="35"/>
        <v>100000</v>
      </c>
      <c r="K711" s="212" t="s">
        <v>6245</v>
      </c>
      <c r="L711" s="213"/>
      <c r="M711" s="212" t="s">
        <v>6185</v>
      </c>
    </row>
    <row r="712" spans="1:13" ht="21" customHeight="1">
      <c r="A712" s="213" t="s">
        <v>6840</v>
      </c>
      <c r="B712" s="215">
        <f t="shared" si="33"/>
        <v>45709</v>
      </c>
      <c r="C712" s="213" t="s">
        <v>4367</v>
      </c>
      <c r="D712" s="213" t="s">
        <v>4369</v>
      </c>
      <c r="E712" s="213" t="s">
        <v>333</v>
      </c>
      <c r="F712" s="212" t="s">
        <v>4365</v>
      </c>
      <c r="G712" s="212" t="str">
        <f t="shared" si="34"/>
        <v>101현금</v>
      </c>
      <c r="H712" s="214">
        <v>110000</v>
      </c>
      <c r="I712" s="214">
        <v>0</v>
      </c>
      <c r="J712" s="214">
        <f t="shared" si="35"/>
        <v>-110000</v>
      </c>
      <c r="K712" s="212" t="s">
        <v>6245</v>
      </c>
      <c r="L712" s="213"/>
      <c r="M712" s="212" t="s">
        <v>6185</v>
      </c>
    </row>
    <row r="713" spans="1:13" ht="21" customHeight="1">
      <c r="A713" s="213" t="s">
        <v>6840</v>
      </c>
      <c r="B713" s="215">
        <f t="shared" si="33"/>
        <v>45709</v>
      </c>
      <c r="C713" s="213" t="s">
        <v>4374</v>
      </c>
      <c r="D713" s="213" t="s">
        <v>4366</v>
      </c>
      <c r="E713" s="213" t="s">
        <v>6176</v>
      </c>
      <c r="F713" s="212" t="s">
        <v>6177</v>
      </c>
      <c r="G713" s="212" t="str">
        <f t="shared" si="34"/>
        <v>255부가세예수금</v>
      </c>
      <c r="H713" s="214">
        <v>0</v>
      </c>
      <c r="I713" s="214">
        <v>15000</v>
      </c>
      <c r="J713" s="214">
        <f t="shared" si="35"/>
        <v>15000</v>
      </c>
      <c r="K713" s="212" t="s">
        <v>6353</v>
      </c>
      <c r="L713" s="213"/>
      <c r="M713" s="212" t="s">
        <v>6179</v>
      </c>
    </row>
    <row r="714" spans="1:13" ht="21" customHeight="1">
      <c r="A714" s="213" t="s">
        <v>6840</v>
      </c>
      <c r="B714" s="215">
        <f t="shared" si="33"/>
        <v>45709</v>
      </c>
      <c r="C714" s="213" t="s">
        <v>4374</v>
      </c>
      <c r="D714" s="213" t="s">
        <v>4366</v>
      </c>
      <c r="E714" s="213" t="s">
        <v>334</v>
      </c>
      <c r="F714" s="212" t="s">
        <v>6158</v>
      </c>
      <c r="G714" s="212" t="str">
        <f t="shared" si="34"/>
        <v>401용역매출</v>
      </c>
      <c r="H714" s="214">
        <v>0</v>
      </c>
      <c r="I714" s="214">
        <v>150000</v>
      </c>
      <c r="J714" s="214">
        <f t="shared" si="35"/>
        <v>150000</v>
      </c>
      <c r="K714" s="212" t="s">
        <v>6353</v>
      </c>
      <c r="L714" s="213"/>
      <c r="M714" s="212" t="s">
        <v>6179</v>
      </c>
    </row>
    <row r="715" spans="1:13" ht="21" customHeight="1">
      <c r="A715" s="213" t="s">
        <v>6840</v>
      </c>
      <c r="B715" s="215">
        <f t="shared" si="33"/>
        <v>45709</v>
      </c>
      <c r="C715" s="213" t="s">
        <v>4374</v>
      </c>
      <c r="D715" s="213" t="s">
        <v>4369</v>
      </c>
      <c r="E715" s="213" t="s">
        <v>333</v>
      </c>
      <c r="F715" s="212" t="s">
        <v>4365</v>
      </c>
      <c r="G715" s="212" t="str">
        <f t="shared" si="34"/>
        <v>101현금</v>
      </c>
      <c r="H715" s="214">
        <v>165000</v>
      </c>
      <c r="I715" s="214">
        <v>0</v>
      </c>
      <c r="J715" s="214">
        <f t="shared" si="35"/>
        <v>-165000</v>
      </c>
      <c r="K715" s="212" t="s">
        <v>6353</v>
      </c>
      <c r="L715" s="213"/>
      <c r="M715" s="212" t="s">
        <v>6179</v>
      </c>
    </row>
    <row r="716" spans="1:13" ht="21" customHeight="1">
      <c r="A716" s="213" t="s">
        <v>6840</v>
      </c>
      <c r="B716" s="215">
        <f t="shared" si="33"/>
        <v>45709</v>
      </c>
      <c r="C716" s="213" t="s">
        <v>6182</v>
      </c>
      <c r="D716" s="213" t="s">
        <v>4366</v>
      </c>
      <c r="E716" s="213" t="s">
        <v>6176</v>
      </c>
      <c r="F716" s="212" t="s">
        <v>6177</v>
      </c>
      <c r="G716" s="212" t="str">
        <f t="shared" si="34"/>
        <v>255부가세예수금</v>
      </c>
      <c r="H716" s="214">
        <v>0</v>
      </c>
      <c r="I716" s="214">
        <v>10000</v>
      </c>
      <c r="J716" s="214">
        <f t="shared" si="35"/>
        <v>10000</v>
      </c>
      <c r="K716" s="212" t="s">
        <v>6252</v>
      </c>
      <c r="L716" s="213"/>
      <c r="M716" s="212" t="s">
        <v>6185</v>
      </c>
    </row>
    <row r="717" spans="1:13" ht="21" customHeight="1">
      <c r="A717" s="213" t="s">
        <v>6840</v>
      </c>
      <c r="B717" s="215">
        <f t="shared" si="33"/>
        <v>45709</v>
      </c>
      <c r="C717" s="213" t="s">
        <v>6182</v>
      </c>
      <c r="D717" s="213" t="s">
        <v>4366</v>
      </c>
      <c r="E717" s="213" t="s">
        <v>334</v>
      </c>
      <c r="F717" s="212" t="s">
        <v>6158</v>
      </c>
      <c r="G717" s="212" t="str">
        <f t="shared" si="34"/>
        <v>401용역매출</v>
      </c>
      <c r="H717" s="214">
        <v>0</v>
      </c>
      <c r="I717" s="214">
        <v>100000</v>
      </c>
      <c r="J717" s="214">
        <f t="shared" si="35"/>
        <v>100000</v>
      </c>
      <c r="K717" s="212" t="s">
        <v>6252</v>
      </c>
      <c r="L717" s="213"/>
      <c r="M717" s="212" t="s">
        <v>6185</v>
      </c>
    </row>
    <row r="718" spans="1:13" ht="21" customHeight="1">
      <c r="A718" s="213" t="s">
        <v>6840</v>
      </c>
      <c r="B718" s="215">
        <f t="shared" si="33"/>
        <v>45709</v>
      </c>
      <c r="C718" s="213" t="s">
        <v>6182</v>
      </c>
      <c r="D718" s="213" t="s">
        <v>4369</v>
      </c>
      <c r="E718" s="213" t="s">
        <v>333</v>
      </c>
      <c r="F718" s="212" t="s">
        <v>4365</v>
      </c>
      <c r="G718" s="212" t="str">
        <f t="shared" si="34"/>
        <v>101현금</v>
      </c>
      <c r="H718" s="214">
        <v>110000</v>
      </c>
      <c r="I718" s="214">
        <v>0</v>
      </c>
      <c r="J718" s="214">
        <f t="shared" si="35"/>
        <v>-110000</v>
      </c>
      <c r="K718" s="212" t="s">
        <v>6252</v>
      </c>
      <c r="L718" s="213"/>
      <c r="M718" s="212" t="s">
        <v>6185</v>
      </c>
    </row>
    <row r="719" spans="1:13" ht="21" customHeight="1">
      <c r="A719" s="213" t="s">
        <v>6840</v>
      </c>
      <c r="B719" s="215">
        <f t="shared" si="33"/>
        <v>45709</v>
      </c>
      <c r="C719" s="213" t="s">
        <v>6184</v>
      </c>
      <c r="D719" s="213" t="s">
        <v>4366</v>
      </c>
      <c r="E719" s="213" t="s">
        <v>6176</v>
      </c>
      <c r="F719" s="212" t="s">
        <v>6177</v>
      </c>
      <c r="G719" s="212" t="str">
        <f t="shared" si="34"/>
        <v>255부가세예수금</v>
      </c>
      <c r="H719" s="214">
        <v>0</v>
      </c>
      <c r="I719" s="214">
        <v>10000</v>
      </c>
      <c r="J719" s="214">
        <f t="shared" si="35"/>
        <v>10000</v>
      </c>
      <c r="K719" s="212" t="s">
        <v>6255</v>
      </c>
      <c r="L719" s="213"/>
      <c r="M719" s="212" t="s">
        <v>6185</v>
      </c>
    </row>
    <row r="720" spans="1:13" ht="21" customHeight="1">
      <c r="A720" s="213" t="s">
        <v>6840</v>
      </c>
      <c r="B720" s="215">
        <f t="shared" si="33"/>
        <v>45709</v>
      </c>
      <c r="C720" s="213" t="s">
        <v>6184</v>
      </c>
      <c r="D720" s="213" t="s">
        <v>4366</v>
      </c>
      <c r="E720" s="213" t="s">
        <v>334</v>
      </c>
      <c r="F720" s="212" t="s">
        <v>6158</v>
      </c>
      <c r="G720" s="212" t="str">
        <f t="shared" si="34"/>
        <v>401용역매출</v>
      </c>
      <c r="H720" s="214">
        <v>0</v>
      </c>
      <c r="I720" s="214">
        <v>100000</v>
      </c>
      <c r="J720" s="214">
        <f t="shared" si="35"/>
        <v>100000</v>
      </c>
      <c r="K720" s="212" t="s">
        <v>6255</v>
      </c>
      <c r="L720" s="213"/>
      <c r="M720" s="212" t="s">
        <v>6185</v>
      </c>
    </row>
    <row r="721" spans="1:13" ht="21" customHeight="1">
      <c r="A721" s="213" t="s">
        <v>6840</v>
      </c>
      <c r="B721" s="215">
        <f t="shared" si="33"/>
        <v>45709</v>
      </c>
      <c r="C721" s="213" t="s">
        <v>6184</v>
      </c>
      <c r="D721" s="213" t="s">
        <v>4369</v>
      </c>
      <c r="E721" s="213" t="s">
        <v>333</v>
      </c>
      <c r="F721" s="212" t="s">
        <v>4365</v>
      </c>
      <c r="G721" s="212" t="str">
        <f t="shared" si="34"/>
        <v>101현금</v>
      </c>
      <c r="H721" s="214">
        <v>110000</v>
      </c>
      <c r="I721" s="214">
        <v>0</v>
      </c>
      <c r="J721" s="214">
        <f t="shared" si="35"/>
        <v>-110000</v>
      </c>
      <c r="K721" s="212" t="s">
        <v>6255</v>
      </c>
      <c r="L721" s="213"/>
      <c r="M721" s="212" t="s">
        <v>6185</v>
      </c>
    </row>
    <row r="722" spans="1:13" ht="21" customHeight="1">
      <c r="A722" s="213" t="s">
        <v>6840</v>
      </c>
      <c r="B722" s="215">
        <f t="shared" si="33"/>
        <v>45709</v>
      </c>
      <c r="C722" s="213" t="s">
        <v>6186</v>
      </c>
      <c r="D722" s="213" t="s">
        <v>4366</v>
      </c>
      <c r="E722" s="213" t="s">
        <v>6176</v>
      </c>
      <c r="F722" s="212" t="s">
        <v>6177</v>
      </c>
      <c r="G722" s="212" t="str">
        <f t="shared" si="34"/>
        <v>255부가세예수금</v>
      </c>
      <c r="H722" s="214">
        <v>0</v>
      </c>
      <c r="I722" s="214">
        <v>20000</v>
      </c>
      <c r="J722" s="214">
        <f t="shared" si="35"/>
        <v>20000</v>
      </c>
      <c r="K722" s="212" t="s">
        <v>6257</v>
      </c>
      <c r="L722" s="213"/>
      <c r="M722" s="212" t="s">
        <v>6231</v>
      </c>
    </row>
    <row r="723" spans="1:13" ht="21" customHeight="1">
      <c r="A723" s="213" t="s">
        <v>6840</v>
      </c>
      <c r="B723" s="215">
        <f t="shared" si="33"/>
        <v>45709</v>
      </c>
      <c r="C723" s="213" t="s">
        <v>6186</v>
      </c>
      <c r="D723" s="213" t="s">
        <v>4366</v>
      </c>
      <c r="E723" s="213" t="s">
        <v>334</v>
      </c>
      <c r="F723" s="212" t="s">
        <v>6158</v>
      </c>
      <c r="G723" s="212" t="str">
        <f t="shared" si="34"/>
        <v>401용역매출</v>
      </c>
      <c r="H723" s="214">
        <v>0</v>
      </c>
      <c r="I723" s="214">
        <v>200000</v>
      </c>
      <c r="J723" s="214">
        <f t="shared" si="35"/>
        <v>200000</v>
      </c>
      <c r="K723" s="212" t="s">
        <v>6257</v>
      </c>
      <c r="L723" s="213"/>
      <c r="M723" s="212" t="s">
        <v>6231</v>
      </c>
    </row>
    <row r="724" spans="1:13" ht="21" customHeight="1">
      <c r="A724" s="213" t="s">
        <v>6840</v>
      </c>
      <c r="B724" s="215">
        <f t="shared" si="33"/>
        <v>45709</v>
      </c>
      <c r="C724" s="213" t="s">
        <v>6186</v>
      </c>
      <c r="D724" s="213" t="s">
        <v>4369</v>
      </c>
      <c r="E724" s="213" t="s">
        <v>333</v>
      </c>
      <c r="F724" s="212" t="s">
        <v>4365</v>
      </c>
      <c r="G724" s="212" t="str">
        <f t="shared" si="34"/>
        <v>101현금</v>
      </c>
      <c r="H724" s="214">
        <v>220000</v>
      </c>
      <c r="I724" s="214">
        <v>0</v>
      </c>
      <c r="J724" s="214">
        <f t="shared" si="35"/>
        <v>-220000</v>
      </c>
      <c r="K724" s="212" t="s">
        <v>6257</v>
      </c>
      <c r="L724" s="213"/>
      <c r="M724" s="212" t="s">
        <v>6231</v>
      </c>
    </row>
    <row r="725" spans="1:13" ht="21" customHeight="1">
      <c r="A725" s="213" t="s">
        <v>6840</v>
      </c>
      <c r="B725" s="215">
        <f t="shared" si="33"/>
        <v>45709</v>
      </c>
      <c r="C725" s="213" t="s">
        <v>6189</v>
      </c>
      <c r="D725" s="213" t="s">
        <v>4366</v>
      </c>
      <c r="E725" s="213" t="s">
        <v>6176</v>
      </c>
      <c r="F725" s="212" t="s">
        <v>6177</v>
      </c>
      <c r="G725" s="212" t="str">
        <f t="shared" si="34"/>
        <v>255부가세예수금</v>
      </c>
      <c r="H725" s="214">
        <v>0</v>
      </c>
      <c r="I725" s="214">
        <v>15000</v>
      </c>
      <c r="J725" s="214">
        <f t="shared" si="35"/>
        <v>15000</v>
      </c>
      <c r="K725" s="212" t="s">
        <v>6400</v>
      </c>
      <c r="L725" s="213"/>
      <c r="M725" s="212" t="s">
        <v>6179</v>
      </c>
    </row>
    <row r="726" spans="1:13" ht="21" customHeight="1">
      <c r="A726" s="213" t="s">
        <v>6840</v>
      </c>
      <c r="B726" s="215">
        <f t="shared" si="33"/>
        <v>45709</v>
      </c>
      <c r="C726" s="213" t="s">
        <v>6189</v>
      </c>
      <c r="D726" s="213" t="s">
        <v>4366</v>
      </c>
      <c r="E726" s="213" t="s">
        <v>334</v>
      </c>
      <c r="F726" s="212" t="s">
        <v>6158</v>
      </c>
      <c r="G726" s="212" t="str">
        <f t="shared" si="34"/>
        <v>401용역매출</v>
      </c>
      <c r="H726" s="214">
        <v>0</v>
      </c>
      <c r="I726" s="214">
        <v>150000</v>
      </c>
      <c r="J726" s="214">
        <f t="shared" si="35"/>
        <v>150000</v>
      </c>
      <c r="K726" s="212" t="s">
        <v>6400</v>
      </c>
      <c r="L726" s="213"/>
      <c r="M726" s="212" t="s">
        <v>6179</v>
      </c>
    </row>
    <row r="727" spans="1:13" ht="21" customHeight="1">
      <c r="A727" s="213" t="s">
        <v>6840</v>
      </c>
      <c r="B727" s="215">
        <f t="shared" si="33"/>
        <v>45709</v>
      </c>
      <c r="C727" s="213" t="s">
        <v>6189</v>
      </c>
      <c r="D727" s="213" t="s">
        <v>4369</v>
      </c>
      <c r="E727" s="213" t="s">
        <v>333</v>
      </c>
      <c r="F727" s="212" t="s">
        <v>4365</v>
      </c>
      <c r="G727" s="212" t="str">
        <f t="shared" si="34"/>
        <v>101현금</v>
      </c>
      <c r="H727" s="214">
        <v>165000</v>
      </c>
      <c r="I727" s="214">
        <v>0</v>
      </c>
      <c r="J727" s="214">
        <f t="shared" si="35"/>
        <v>-165000</v>
      </c>
      <c r="K727" s="212" t="s">
        <v>6400</v>
      </c>
      <c r="L727" s="213"/>
      <c r="M727" s="212" t="s">
        <v>6179</v>
      </c>
    </row>
    <row r="728" spans="1:13" ht="21" customHeight="1">
      <c r="A728" s="213" t="s">
        <v>6840</v>
      </c>
      <c r="B728" s="215">
        <f t="shared" si="33"/>
        <v>45709</v>
      </c>
      <c r="C728" s="213" t="s">
        <v>6191</v>
      </c>
      <c r="D728" s="213" t="s">
        <v>4366</v>
      </c>
      <c r="E728" s="213" t="s">
        <v>6176</v>
      </c>
      <c r="F728" s="212" t="s">
        <v>6177</v>
      </c>
      <c r="G728" s="212" t="str">
        <f t="shared" si="34"/>
        <v>255부가세예수금</v>
      </c>
      <c r="H728" s="214">
        <v>0</v>
      </c>
      <c r="I728" s="214">
        <v>20000</v>
      </c>
      <c r="J728" s="214">
        <f t="shared" si="35"/>
        <v>20000</v>
      </c>
      <c r="K728" s="212" t="s">
        <v>6399</v>
      </c>
      <c r="L728" s="213"/>
      <c r="M728" s="212" t="s">
        <v>6231</v>
      </c>
    </row>
    <row r="729" spans="1:13" ht="21" customHeight="1">
      <c r="A729" s="213" t="s">
        <v>6840</v>
      </c>
      <c r="B729" s="215">
        <f t="shared" si="33"/>
        <v>45709</v>
      </c>
      <c r="C729" s="213" t="s">
        <v>6191</v>
      </c>
      <c r="D729" s="213" t="s">
        <v>4366</v>
      </c>
      <c r="E729" s="213" t="s">
        <v>334</v>
      </c>
      <c r="F729" s="212" t="s">
        <v>6158</v>
      </c>
      <c r="G729" s="212" t="str">
        <f t="shared" si="34"/>
        <v>401용역매출</v>
      </c>
      <c r="H729" s="214">
        <v>0</v>
      </c>
      <c r="I729" s="214">
        <v>200000</v>
      </c>
      <c r="J729" s="214">
        <f t="shared" si="35"/>
        <v>200000</v>
      </c>
      <c r="K729" s="212" t="s">
        <v>6399</v>
      </c>
      <c r="L729" s="213"/>
      <c r="M729" s="212" t="s">
        <v>6231</v>
      </c>
    </row>
    <row r="730" spans="1:13" ht="21" customHeight="1">
      <c r="A730" s="213" t="s">
        <v>6840</v>
      </c>
      <c r="B730" s="215">
        <f t="shared" si="33"/>
        <v>45709</v>
      </c>
      <c r="C730" s="213" t="s">
        <v>6191</v>
      </c>
      <c r="D730" s="213" t="s">
        <v>4369</v>
      </c>
      <c r="E730" s="213" t="s">
        <v>333</v>
      </c>
      <c r="F730" s="212" t="s">
        <v>4365</v>
      </c>
      <c r="G730" s="212" t="str">
        <f t="shared" si="34"/>
        <v>101현금</v>
      </c>
      <c r="H730" s="214">
        <v>220000</v>
      </c>
      <c r="I730" s="214">
        <v>0</v>
      </c>
      <c r="J730" s="214">
        <f t="shared" si="35"/>
        <v>-220000</v>
      </c>
      <c r="K730" s="212" t="s">
        <v>6399</v>
      </c>
      <c r="L730" s="213"/>
      <c r="M730" s="212" t="s">
        <v>6231</v>
      </c>
    </row>
    <row r="731" spans="1:13" ht="21" customHeight="1">
      <c r="A731" s="213" t="s">
        <v>6818</v>
      </c>
      <c r="B731" s="215">
        <f t="shared" si="33"/>
        <v>45712</v>
      </c>
      <c r="C731" s="213" t="s">
        <v>4373</v>
      </c>
      <c r="D731" s="213" t="s">
        <v>4366</v>
      </c>
      <c r="E731" s="213" t="s">
        <v>333</v>
      </c>
      <c r="F731" s="212" t="s">
        <v>4365</v>
      </c>
      <c r="G731" s="212" t="str">
        <f t="shared" si="34"/>
        <v>101현금</v>
      </c>
      <c r="H731" s="214">
        <v>0</v>
      </c>
      <c r="I731" s="214">
        <v>100000</v>
      </c>
      <c r="J731" s="214">
        <f t="shared" si="35"/>
        <v>100000</v>
      </c>
      <c r="K731" s="212" t="s">
        <v>6371</v>
      </c>
      <c r="L731" s="213"/>
      <c r="M731" s="212"/>
    </row>
    <row r="732" spans="1:13" ht="21" customHeight="1">
      <c r="A732" s="213" t="s">
        <v>6818</v>
      </c>
      <c r="B732" s="215">
        <f t="shared" si="33"/>
        <v>45712</v>
      </c>
      <c r="C732" s="213" t="s">
        <v>4373</v>
      </c>
      <c r="D732" s="213" t="s">
        <v>4369</v>
      </c>
      <c r="E732" s="213" t="s">
        <v>4499</v>
      </c>
      <c r="F732" s="212" t="s">
        <v>6517</v>
      </c>
      <c r="G732" s="212" t="str">
        <f t="shared" si="34"/>
        <v>811복리후생비(판)</v>
      </c>
      <c r="H732" s="214">
        <v>100000</v>
      </c>
      <c r="I732" s="214">
        <v>0</v>
      </c>
      <c r="J732" s="214">
        <f t="shared" si="35"/>
        <v>-100000</v>
      </c>
      <c r="K732" s="212" t="s">
        <v>6839</v>
      </c>
      <c r="L732" s="213"/>
      <c r="M732" s="212"/>
    </row>
    <row r="733" spans="1:13" ht="21" customHeight="1">
      <c r="A733" s="213" t="s">
        <v>6818</v>
      </c>
      <c r="B733" s="215">
        <f t="shared" si="33"/>
        <v>45712</v>
      </c>
      <c r="C733" s="213" t="s">
        <v>4382</v>
      </c>
      <c r="D733" s="213" t="s">
        <v>4369</v>
      </c>
      <c r="E733" s="213" t="s">
        <v>4499</v>
      </c>
      <c r="F733" s="212" t="s">
        <v>6517</v>
      </c>
      <c r="G733" s="212" t="str">
        <f t="shared" si="34"/>
        <v>811복리후생비(판)</v>
      </c>
      <c r="H733" s="214">
        <v>3000</v>
      </c>
      <c r="I733" s="214">
        <v>0</v>
      </c>
      <c r="J733" s="214">
        <f t="shared" si="35"/>
        <v>-3000</v>
      </c>
      <c r="K733" s="212" t="s">
        <v>6288</v>
      </c>
      <c r="L733" s="213"/>
      <c r="M733" s="212"/>
    </row>
    <row r="734" spans="1:13" ht="21" customHeight="1">
      <c r="A734" s="213" t="s">
        <v>6818</v>
      </c>
      <c r="B734" s="215">
        <f t="shared" si="33"/>
        <v>45712</v>
      </c>
      <c r="C734" s="213" t="s">
        <v>4382</v>
      </c>
      <c r="D734" s="213" t="s">
        <v>4366</v>
      </c>
      <c r="E734" s="213" t="s">
        <v>333</v>
      </c>
      <c r="F734" s="212" t="s">
        <v>4365</v>
      </c>
      <c r="G734" s="212" t="str">
        <f t="shared" si="34"/>
        <v>101현금</v>
      </c>
      <c r="H734" s="214">
        <v>0</v>
      </c>
      <c r="I734" s="214">
        <v>3000</v>
      </c>
      <c r="J734" s="214">
        <f t="shared" si="35"/>
        <v>3000</v>
      </c>
      <c r="K734" s="212" t="s">
        <v>6369</v>
      </c>
      <c r="L734" s="213"/>
      <c r="M734" s="212"/>
    </row>
    <row r="735" spans="1:13" ht="21" customHeight="1">
      <c r="A735" s="213" t="s">
        <v>6818</v>
      </c>
      <c r="B735" s="215">
        <f t="shared" si="33"/>
        <v>45712</v>
      </c>
      <c r="C735" s="213" t="s">
        <v>4381</v>
      </c>
      <c r="D735" s="213" t="s">
        <v>4369</v>
      </c>
      <c r="E735" s="213" t="s">
        <v>4499</v>
      </c>
      <c r="F735" s="212" t="s">
        <v>6517</v>
      </c>
      <c r="G735" s="212" t="str">
        <f t="shared" si="34"/>
        <v>811복리후생비(판)</v>
      </c>
      <c r="H735" s="214">
        <v>3000</v>
      </c>
      <c r="I735" s="214">
        <v>0</v>
      </c>
      <c r="J735" s="214">
        <f t="shared" si="35"/>
        <v>-3000</v>
      </c>
      <c r="K735" s="212" t="s">
        <v>6288</v>
      </c>
      <c r="L735" s="213"/>
      <c r="M735" s="212"/>
    </row>
    <row r="736" spans="1:13" ht="21" customHeight="1">
      <c r="A736" s="213" t="s">
        <v>6818</v>
      </c>
      <c r="B736" s="215">
        <f t="shared" si="33"/>
        <v>45712</v>
      </c>
      <c r="C736" s="213" t="s">
        <v>4381</v>
      </c>
      <c r="D736" s="213" t="s">
        <v>4366</v>
      </c>
      <c r="E736" s="213" t="s">
        <v>333</v>
      </c>
      <c r="F736" s="212" t="s">
        <v>4365</v>
      </c>
      <c r="G736" s="212" t="str">
        <f t="shared" si="34"/>
        <v>101현금</v>
      </c>
      <c r="H736" s="214">
        <v>0</v>
      </c>
      <c r="I736" s="214">
        <v>3000</v>
      </c>
      <c r="J736" s="214">
        <f t="shared" si="35"/>
        <v>3000</v>
      </c>
      <c r="K736" s="212" t="s">
        <v>6369</v>
      </c>
      <c r="L736" s="213"/>
      <c r="M736" s="212"/>
    </row>
    <row r="737" spans="1:13" ht="21" customHeight="1">
      <c r="A737" s="213" t="s">
        <v>6818</v>
      </c>
      <c r="B737" s="215">
        <f t="shared" si="33"/>
        <v>45712</v>
      </c>
      <c r="C737" s="213" t="s">
        <v>4379</v>
      </c>
      <c r="D737" s="213" t="s">
        <v>4369</v>
      </c>
      <c r="E737" s="213" t="s">
        <v>4499</v>
      </c>
      <c r="F737" s="212" t="s">
        <v>6517</v>
      </c>
      <c r="G737" s="212" t="str">
        <f t="shared" si="34"/>
        <v>811복리후생비(판)</v>
      </c>
      <c r="H737" s="214">
        <v>3000</v>
      </c>
      <c r="I737" s="214">
        <v>0</v>
      </c>
      <c r="J737" s="214">
        <f t="shared" si="35"/>
        <v>-3000</v>
      </c>
      <c r="K737" s="212" t="s">
        <v>6288</v>
      </c>
      <c r="L737" s="213"/>
      <c r="M737" s="212"/>
    </row>
    <row r="738" spans="1:13" ht="21" customHeight="1">
      <c r="A738" s="213" t="s">
        <v>6818</v>
      </c>
      <c r="B738" s="215">
        <f t="shared" si="33"/>
        <v>45712</v>
      </c>
      <c r="C738" s="213" t="s">
        <v>4379</v>
      </c>
      <c r="D738" s="213" t="s">
        <v>4366</v>
      </c>
      <c r="E738" s="213" t="s">
        <v>333</v>
      </c>
      <c r="F738" s="212" t="s">
        <v>4365</v>
      </c>
      <c r="G738" s="212" t="str">
        <f t="shared" si="34"/>
        <v>101현금</v>
      </c>
      <c r="H738" s="214">
        <v>0</v>
      </c>
      <c r="I738" s="214">
        <v>3000</v>
      </c>
      <c r="J738" s="214">
        <f t="shared" si="35"/>
        <v>3000</v>
      </c>
      <c r="K738" s="212" t="s">
        <v>6369</v>
      </c>
      <c r="L738" s="213"/>
      <c r="M738" s="212"/>
    </row>
    <row r="739" spans="1:13" ht="21" customHeight="1">
      <c r="A739" s="213" t="s">
        <v>6818</v>
      </c>
      <c r="B739" s="215">
        <f t="shared" si="33"/>
        <v>45712</v>
      </c>
      <c r="C739" s="213" t="s">
        <v>4385</v>
      </c>
      <c r="D739" s="213" t="s">
        <v>4369</v>
      </c>
      <c r="E739" s="213" t="s">
        <v>4383</v>
      </c>
      <c r="F739" s="212" t="s">
        <v>6525</v>
      </c>
      <c r="G739" s="212" t="str">
        <f t="shared" si="34"/>
        <v>830소모품비(판)</v>
      </c>
      <c r="H739" s="214">
        <v>15420</v>
      </c>
      <c r="I739" s="214">
        <v>0</v>
      </c>
      <c r="J739" s="214">
        <f t="shared" si="35"/>
        <v>-15420</v>
      </c>
      <c r="K739" s="212" t="s">
        <v>6215</v>
      </c>
      <c r="L739" s="213"/>
      <c r="M739" s="212"/>
    </row>
    <row r="740" spans="1:13" ht="21" customHeight="1">
      <c r="A740" s="213" t="s">
        <v>6818</v>
      </c>
      <c r="B740" s="215">
        <f t="shared" si="33"/>
        <v>45712</v>
      </c>
      <c r="C740" s="213" t="s">
        <v>4385</v>
      </c>
      <c r="D740" s="213" t="s">
        <v>4366</v>
      </c>
      <c r="E740" s="213" t="s">
        <v>333</v>
      </c>
      <c r="F740" s="212" t="s">
        <v>4365</v>
      </c>
      <c r="G740" s="212" t="str">
        <f t="shared" si="34"/>
        <v>101현금</v>
      </c>
      <c r="H740" s="214">
        <v>0</v>
      </c>
      <c r="I740" s="214">
        <v>15420</v>
      </c>
      <c r="J740" s="214">
        <f t="shared" si="35"/>
        <v>15420</v>
      </c>
      <c r="K740" s="212" t="s">
        <v>6371</v>
      </c>
      <c r="L740" s="213"/>
      <c r="M740" s="212"/>
    </row>
    <row r="741" spans="1:13" ht="21" customHeight="1">
      <c r="A741" s="213" t="s">
        <v>6818</v>
      </c>
      <c r="B741" s="215">
        <f t="shared" si="33"/>
        <v>45712</v>
      </c>
      <c r="C741" s="213" t="s">
        <v>4501</v>
      </c>
      <c r="D741" s="213" t="s">
        <v>4369</v>
      </c>
      <c r="E741" s="213" t="s">
        <v>4383</v>
      </c>
      <c r="F741" s="212" t="s">
        <v>6525</v>
      </c>
      <c r="G741" s="212" t="str">
        <f t="shared" si="34"/>
        <v>830소모품비(판)</v>
      </c>
      <c r="H741" s="214">
        <v>18120</v>
      </c>
      <c r="I741" s="214">
        <v>0</v>
      </c>
      <c r="J741" s="214">
        <f t="shared" si="35"/>
        <v>-18120</v>
      </c>
      <c r="K741" s="212" t="s">
        <v>6215</v>
      </c>
      <c r="L741" s="213"/>
      <c r="M741" s="212"/>
    </row>
    <row r="742" spans="1:13" ht="21" customHeight="1">
      <c r="A742" s="213" t="s">
        <v>6818</v>
      </c>
      <c r="B742" s="215">
        <f t="shared" si="33"/>
        <v>45712</v>
      </c>
      <c r="C742" s="213" t="s">
        <v>4501</v>
      </c>
      <c r="D742" s="213" t="s">
        <v>4366</v>
      </c>
      <c r="E742" s="213" t="s">
        <v>333</v>
      </c>
      <c r="F742" s="212" t="s">
        <v>4365</v>
      </c>
      <c r="G742" s="212" t="str">
        <f t="shared" si="34"/>
        <v>101현금</v>
      </c>
      <c r="H742" s="214">
        <v>0</v>
      </c>
      <c r="I742" s="214">
        <v>18120</v>
      </c>
      <c r="J742" s="214">
        <f t="shared" si="35"/>
        <v>18120</v>
      </c>
      <c r="K742" s="212" t="s">
        <v>6371</v>
      </c>
      <c r="L742" s="213"/>
      <c r="M742" s="212"/>
    </row>
    <row r="743" spans="1:13" ht="21" customHeight="1">
      <c r="A743" s="213" t="s">
        <v>6818</v>
      </c>
      <c r="B743" s="215">
        <f t="shared" si="33"/>
        <v>45712</v>
      </c>
      <c r="C743" s="213" t="s">
        <v>4502</v>
      </c>
      <c r="D743" s="213" t="s">
        <v>4369</v>
      </c>
      <c r="E743" s="213" t="s">
        <v>4383</v>
      </c>
      <c r="F743" s="212" t="s">
        <v>6525</v>
      </c>
      <c r="G743" s="212" t="str">
        <f t="shared" si="34"/>
        <v>830소모품비(판)</v>
      </c>
      <c r="H743" s="214">
        <v>25340</v>
      </c>
      <c r="I743" s="214">
        <v>0</v>
      </c>
      <c r="J743" s="214">
        <f t="shared" si="35"/>
        <v>-25340</v>
      </c>
      <c r="K743" s="212" t="s">
        <v>6215</v>
      </c>
      <c r="L743" s="213"/>
      <c r="M743" s="212"/>
    </row>
    <row r="744" spans="1:13" ht="21" customHeight="1">
      <c r="A744" s="213" t="s">
        <v>6818</v>
      </c>
      <c r="B744" s="215">
        <f t="shared" si="33"/>
        <v>45712</v>
      </c>
      <c r="C744" s="213" t="s">
        <v>4502</v>
      </c>
      <c r="D744" s="213" t="s">
        <v>4366</v>
      </c>
      <c r="E744" s="213" t="s">
        <v>333</v>
      </c>
      <c r="F744" s="212" t="s">
        <v>4365</v>
      </c>
      <c r="G744" s="212" t="str">
        <f t="shared" si="34"/>
        <v>101현금</v>
      </c>
      <c r="H744" s="214">
        <v>0</v>
      </c>
      <c r="I744" s="214">
        <v>25340</v>
      </c>
      <c r="J744" s="214">
        <f t="shared" si="35"/>
        <v>25340</v>
      </c>
      <c r="K744" s="212" t="s">
        <v>6371</v>
      </c>
      <c r="L744" s="213"/>
      <c r="M744" s="212"/>
    </row>
    <row r="745" spans="1:13" ht="21" customHeight="1">
      <c r="A745" s="213" t="s">
        <v>6818</v>
      </c>
      <c r="B745" s="215">
        <f t="shared" si="33"/>
        <v>45712</v>
      </c>
      <c r="C745" s="213" t="s">
        <v>4503</v>
      </c>
      <c r="D745" s="213" t="s">
        <v>4369</v>
      </c>
      <c r="E745" s="213" t="s">
        <v>4383</v>
      </c>
      <c r="F745" s="212" t="s">
        <v>6525</v>
      </c>
      <c r="G745" s="212" t="str">
        <f t="shared" si="34"/>
        <v>830소모품비(판)</v>
      </c>
      <c r="H745" s="214">
        <v>4000</v>
      </c>
      <c r="I745" s="214">
        <v>0</v>
      </c>
      <c r="J745" s="214">
        <f t="shared" si="35"/>
        <v>-4000</v>
      </c>
      <c r="K745" s="212" t="s">
        <v>6215</v>
      </c>
      <c r="L745" s="213"/>
      <c r="M745" s="212"/>
    </row>
    <row r="746" spans="1:13" ht="21" customHeight="1">
      <c r="A746" s="213" t="s">
        <v>6818</v>
      </c>
      <c r="B746" s="215">
        <f t="shared" si="33"/>
        <v>45712</v>
      </c>
      <c r="C746" s="213" t="s">
        <v>4503</v>
      </c>
      <c r="D746" s="213" t="s">
        <v>4366</v>
      </c>
      <c r="E746" s="213" t="s">
        <v>333</v>
      </c>
      <c r="F746" s="212" t="s">
        <v>4365</v>
      </c>
      <c r="G746" s="212" t="str">
        <f t="shared" si="34"/>
        <v>101현금</v>
      </c>
      <c r="H746" s="214">
        <v>0</v>
      </c>
      <c r="I746" s="214">
        <v>4000</v>
      </c>
      <c r="J746" s="214">
        <f t="shared" si="35"/>
        <v>4000</v>
      </c>
      <c r="K746" s="212" t="s">
        <v>6369</v>
      </c>
      <c r="L746" s="213"/>
      <c r="M746" s="212"/>
    </row>
    <row r="747" spans="1:13" ht="21" customHeight="1">
      <c r="A747" s="213" t="s">
        <v>6818</v>
      </c>
      <c r="B747" s="215">
        <f t="shared" si="33"/>
        <v>45712</v>
      </c>
      <c r="C747" s="213" t="s">
        <v>4511</v>
      </c>
      <c r="D747" s="213" t="s">
        <v>4369</v>
      </c>
      <c r="E747" s="213" t="s">
        <v>4383</v>
      </c>
      <c r="F747" s="212" t="s">
        <v>6525</v>
      </c>
      <c r="G747" s="212" t="str">
        <f t="shared" si="34"/>
        <v>830소모품비(판)</v>
      </c>
      <c r="H747" s="214">
        <v>4000</v>
      </c>
      <c r="I747" s="214">
        <v>0</v>
      </c>
      <c r="J747" s="214">
        <f t="shared" si="35"/>
        <v>-4000</v>
      </c>
      <c r="K747" s="212" t="s">
        <v>6215</v>
      </c>
      <c r="L747" s="213"/>
      <c r="M747" s="212"/>
    </row>
    <row r="748" spans="1:13" ht="21" customHeight="1">
      <c r="A748" s="213" t="s">
        <v>6818</v>
      </c>
      <c r="B748" s="215">
        <f t="shared" si="33"/>
        <v>45712</v>
      </c>
      <c r="C748" s="213" t="s">
        <v>4511</v>
      </c>
      <c r="D748" s="213" t="s">
        <v>4366</v>
      </c>
      <c r="E748" s="213" t="s">
        <v>333</v>
      </c>
      <c r="F748" s="212" t="s">
        <v>4365</v>
      </c>
      <c r="G748" s="212" t="str">
        <f t="shared" si="34"/>
        <v>101현금</v>
      </c>
      <c r="H748" s="214">
        <v>0</v>
      </c>
      <c r="I748" s="214">
        <v>4000</v>
      </c>
      <c r="J748" s="214">
        <f t="shared" si="35"/>
        <v>4000</v>
      </c>
      <c r="K748" s="212" t="s">
        <v>6369</v>
      </c>
      <c r="L748" s="213"/>
      <c r="M748" s="212"/>
    </row>
    <row r="749" spans="1:13" ht="21" customHeight="1">
      <c r="A749" s="213" t="s">
        <v>6818</v>
      </c>
      <c r="B749" s="215">
        <f t="shared" si="33"/>
        <v>45712</v>
      </c>
      <c r="C749" s="213" t="s">
        <v>4512</v>
      </c>
      <c r="D749" s="213" t="s">
        <v>4369</v>
      </c>
      <c r="E749" s="213" t="s">
        <v>4383</v>
      </c>
      <c r="F749" s="212" t="s">
        <v>6525</v>
      </c>
      <c r="G749" s="212" t="str">
        <f t="shared" si="34"/>
        <v>830소모품비(판)</v>
      </c>
      <c r="H749" s="214">
        <v>4000</v>
      </c>
      <c r="I749" s="214">
        <v>0</v>
      </c>
      <c r="J749" s="214">
        <f t="shared" si="35"/>
        <v>-4000</v>
      </c>
      <c r="K749" s="212" t="s">
        <v>6215</v>
      </c>
      <c r="L749" s="213"/>
      <c r="M749" s="212"/>
    </row>
    <row r="750" spans="1:13" ht="21" customHeight="1">
      <c r="A750" s="213" t="s">
        <v>6818</v>
      </c>
      <c r="B750" s="215">
        <f t="shared" si="33"/>
        <v>45712</v>
      </c>
      <c r="C750" s="213" t="s">
        <v>4512</v>
      </c>
      <c r="D750" s="213" t="s">
        <v>4366</v>
      </c>
      <c r="E750" s="213" t="s">
        <v>333</v>
      </c>
      <c r="F750" s="212" t="s">
        <v>4365</v>
      </c>
      <c r="G750" s="212" t="str">
        <f t="shared" si="34"/>
        <v>101현금</v>
      </c>
      <c r="H750" s="214">
        <v>0</v>
      </c>
      <c r="I750" s="214">
        <v>4000</v>
      </c>
      <c r="J750" s="214">
        <f t="shared" si="35"/>
        <v>4000</v>
      </c>
      <c r="K750" s="212" t="s">
        <v>6369</v>
      </c>
      <c r="L750" s="213"/>
      <c r="M750" s="212"/>
    </row>
    <row r="751" spans="1:13" ht="21" customHeight="1">
      <c r="A751" s="213" t="s">
        <v>6818</v>
      </c>
      <c r="B751" s="215">
        <f t="shared" si="33"/>
        <v>45712</v>
      </c>
      <c r="C751" s="213" t="s">
        <v>4518</v>
      </c>
      <c r="D751" s="213" t="s">
        <v>4369</v>
      </c>
      <c r="E751" s="213" t="s">
        <v>4383</v>
      </c>
      <c r="F751" s="212" t="s">
        <v>6525</v>
      </c>
      <c r="G751" s="212" t="str">
        <f t="shared" si="34"/>
        <v>830소모품비(판)</v>
      </c>
      <c r="H751" s="214">
        <v>7200</v>
      </c>
      <c r="I751" s="214">
        <v>0</v>
      </c>
      <c r="J751" s="214">
        <f t="shared" si="35"/>
        <v>-7200</v>
      </c>
      <c r="K751" s="212" t="s">
        <v>6358</v>
      </c>
      <c r="L751" s="213"/>
      <c r="M751" s="212"/>
    </row>
    <row r="752" spans="1:13" ht="21" customHeight="1">
      <c r="A752" s="213" t="s">
        <v>6818</v>
      </c>
      <c r="B752" s="215">
        <f t="shared" si="33"/>
        <v>45712</v>
      </c>
      <c r="C752" s="213" t="s">
        <v>4518</v>
      </c>
      <c r="D752" s="213" t="s">
        <v>4366</v>
      </c>
      <c r="E752" s="213" t="s">
        <v>333</v>
      </c>
      <c r="F752" s="212" t="s">
        <v>4365</v>
      </c>
      <c r="G752" s="212" t="str">
        <f t="shared" si="34"/>
        <v>101현금</v>
      </c>
      <c r="H752" s="214">
        <v>0</v>
      </c>
      <c r="I752" s="214">
        <v>7200</v>
      </c>
      <c r="J752" s="214">
        <f t="shared" si="35"/>
        <v>7200</v>
      </c>
      <c r="K752" s="212" t="s">
        <v>6369</v>
      </c>
      <c r="L752" s="213"/>
      <c r="M752" s="212"/>
    </row>
    <row r="753" spans="1:13" ht="21" customHeight="1">
      <c r="A753" s="213" t="s">
        <v>6818</v>
      </c>
      <c r="B753" s="215">
        <f t="shared" si="33"/>
        <v>45712</v>
      </c>
      <c r="C753" s="213" t="s">
        <v>4519</v>
      </c>
      <c r="D753" s="213" t="s">
        <v>4369</v>
      </c>
      <c r="E753" s="213" t="s">
        <v>4380</v>
      </c>
      <c r="F753" s="212" t="s">
        <v>6515</v>
      </c>
      <c r="G753" s="212" t="str">
        <f t="shared" si="34"/>
        <v>812여비교통비(판)</v>
      </c>
      <c r="H753" s="214">
        <v>1400</v>
      </c>
      <c r="I753" s="214">
        <v>0</v>
      </c>
      <c r="J753" s="214">
        <f t="shared" si="35"/>
        <v>-1400</v>
      </c>
      <c r="K753" s="212" t="s">
        <v>6838</v>
      </c>
      <c r="L753" s="213"/>
      <c r="M753" s="212"/>
    </row>
    <row r="754" spans="1:13" ht="21" customHeight="1">
      <c r="A754" s="213" t="s">
        <v>6818</v>
      </c>
      <c r="B754" s="215">
        <f t="shared" si="33"/>
        <v>45712</v>
      </c>
      <c r="C754" s="213" t="s">
        <v>4519</v>
      </c>
      <c r="D754" s="213" t="s">
        <v>4366</v>
      </c>
      <c r="E754" s="213" t="s">
        <v>333</v>
      </c>
      <c r="F754" s="212" t="s">
        <v>4365</v>
      </c>
      <c r="G754" s="212" t="str">
        <f t="shared" si="34"/>
        <v>101현금</v>
      </c>
      <c r="H754" s="214">
        <v>0</v>
      </c>
      <c r="I754" s="214">
        <v>1400</v>
      </c>
      <c r="J754" s="214">
        <f t="shared" si="35"/>
        <v>1400</v>
      </c>
      <c r="K754" s="212" t="s">
        <v>6369</v>
      </c>
      <c r="L754" s="213"/>
      <c r="M754" s="212"/>
    </row>
    <row r="755" spans="1:13" ht="21" customHeight="1">
      <c r="A755" s="213" t="s">
        <v>6818</v>
      </c>
      <c r="B755" s="215">
        <f t="shared" si="33"/>
        <v>45712</v>
      </c>
      <c r="C755" s="213" t="s">
        <v>6737</v>
      </c>
      <c r="D755" s="213" t="s">
        <v>4369</v>
      </c>
      <c r="E755" s="213" t="s">
        <v>4380</v>
      </c>
      <c r="F755" s="212" t="s">
        <v>6515</v>
      </c>
      <c r="G755" s="212" t="str">
        <f t="shared" si="34"/>
        <v>812여비교통비(판)</v>
      </c>
      <c r="H755" s="214">
        <v>3500</v>
      </c>
      <c r="I755" s="214">
        <v>0</v>
      </c>
      <c r="J755" s="214">
        <f t="shared" si="35"/>
        <v>-3500</v>
      </c>
      <c r="K755" s="212" t="s">
        <v>6838</v>
      </c>
      <c r="L755" s="213"/>
      <c r="M755" s="212"/>
    </row>
    <row r="756" spans="1:13" ht="21" customHeight="1">
      <c r="A756" s="213" t="s">
        <v>6818</v>
      </c>
      <c r="B756" s="215">
        <f t="shared" si="33"/>
        <v>45712</v>
      </c>
      <c r="C756" s="213" t="s">
        <v>6737</v>
      </c>
      <c r="D756" s="213" t="s">
        <v>4366</v>
      </c>
      <c r="E756" s="213" t="s">
        <v>333</v>
      </c>
      <c r="F756" s="212" t="s">
        <v>4365</v>
      </c>
      <c r="G756" s="212" t="str">
        <f t="shared" si="34"/>
        <v>101현금</v>
      </c>
      <c r="H756" s="214">
        <v>0</v>
      </c>
      <c r="I756" s="214">
        <v>3500</v>
      </c>
      <c r="J756" s="214">
        <f t="shared" si="35"/>
        <v>3500</v>
      </c>
      <c r="K756" s="212" t="s">
        <v>6369</v>
      </c>
      <c r="L756" s="213"/>
      <c r="M756" s="212"/>
    </row>
    <row r="757" spans="1:13" ht="21" customHeight="1">
      <c r="A757" s="213" t="s">
        <v>6818</v>
      </c>
      <c r="B757" s="215">
        <f t="shared" si="33"/>
        <v>45712</v>
      </c>
      <c r="C757" s="213" t="s">
        <v>6735</v>
      </c>
      <c r="D757" s="213" t="s">
        <v>4369</v>
      </c>
      <c r="E757" s="213" t="s">
        <v>4380</v>
      </c>
      <c r="F757" s="212" t="s">
        <v>6515</v>
      </c>
      <c r="G757" s="212" t="str">
        <f t="shared" si="34"/>
        <v>812여비교통비(판)</v>
      </c>
      <c r="H757" s="214">
        <v>7100</v>
      </c>
      <c r="I757" s="214">
        <v>0</v>
      </c>
      <c r="J757" s="214">
        <f t="shared" si="35"/>
        <v>-7100</v>
      </c>
      <c r="K757" s="212" t="s">
        <v>6838</v>
      </c>
      <c r="L757" s="213"/>
      <c r="M757" s="212"/>
    </row>
    <row r="758" spans="1:13" ht="21" customHeight="1">
      <c r="A758" s="213" t="s">
        <v>6818</v>
      </c>
      <c r="B758" s="215">
        <f t="shared" si="33"/>
        <v>45712</v>
      </c>
      <c r="C758" s="213" t="s">
        <v>6735</v>
      </c>
      <c r="D758" s="213" t="s">
        <v>4366</v>
      </c>
      <c r="E758" s="213" t="s">
        <v>333</v>
      </c>
      <c r="F758" s="212" t="s">
        <v>4365</v>
      </c>
      <c r="G758" s="212" t="str">
        <f t="shared" si="34"/>
        <v>101현금</v>
      </c>
      <c r="H758" s="214">
        <v>0</v>
      </c>
      <c r="I758" s="214">
        <v>7100</v>
      </c>
      <c r="J758" s="214">
        <f t="shared" si="35"/>
        <v>7100</v>
      </c>
      <c r="K758" s="212" t="s">
        <v>6369</v>
      </c>
      <c r="L758" s="213"/>
      <c r="M758" s="212"/>
    </row>
    <row r="759" spans="1:13" ht="21" customHeight="1">
      <c r="A759" s="213" t="s">
        <v>6818</v>
      </c>
      <c r="B759" s="215">
        <f t="shared" si="33"/>
        <v>45712</v>
      </c>
      <c r="C759" s="213" t="s">
        <v>6734</v>
      </c>
      <c r="D759" s="213" t="s">
        <v>4369</v>
      </c>
      <c r="E759" s="213" t="s">
        <v>4380</v>
      </c>
      <c r="F759" s="212" t="s">
        <v>6515</v>
      </c>
      <c r="G759" s="212" t="str">
        <f t="shared" si="34"/>
        <v>812여비교통비(판)</v>
      </c>
      <c r="H759" s="214">
        <v>6000</v>
      </c>
      <c r="I759" s="214">
        <v>0</v>
      </c>
      <c r="J759" s="214">
        <f t="shared" si="35"/>
        <v>-6000</v>
      </c>
      <c r="K759" s="212" t="s">
        <v>6837</v>
      </c>
      <c r="L759" s="213"/>
      <c r="M759" s="212"/>
    </row>
    <row r="760" spans="1:13" ht="21" customHeight="1">
      <c r="A760" s="213" t="s">
        <v>6818</v>
      </c>
      <c r="B760" s="215">
        <f t="shared" si="33"/>
        <v>45712</v>
      </c>
      <c r="C760" s="213" t="s">
        <v>6734</v>
      </c>
      <c r="D760" s="213" t="s">
        <v>4366</v>
      </c>
      <c r="E760" s="213" t="s">
        <v>333</v>
      </c>
      <c r="F760" s="212" t="s">
        <v>4365</v>
      </c>
      <c r="G760" s="212" t="str">
        <f t="shared" si="34"/>
        <v>101현금</v>
      </c>
      <c r="H760" s="214">
        <v>0</v>
      </c>
      <c r="I760" s="214">
        <v>6000</v>
      </c>
      <c r="J760" s="214">
        <f t="shared" si="35"/>
        <v>6000</v>
      </c>
      <c r="K760" s="212" t="s">
        <v>6369</v>
      </c>
      <c r="L760" s="213"/>
      <c r="M760" s="212"/>
    </row>
    <row r="761" spans="1:13" ht="21" customHeight="1">
      <c r="A761" s="213" t="s">
        <v>6818</v>
      </c>
      <c r="B761" s="215">
        <f t="shared" si="33"/>
        <v>45712</v>
      </c>
      <c r="C761" s="213" t="s">
        <v>6835</v>
      </c>
      <c r="D761" s="213" t="s">
        <v>4369</v>
      </c>
      <c r="E761" s="213" t="s">
        <v>4380</v>
      </c>
      <c r="F761" s="212" t="s">
        <v>6515</v>
      </c>
      <c r="G761" s="212" t="str">
        <f t="shared" si="34"/>
        <v>812여비교통비(판)</v>
      </c>
      <c r="H761" s="214">
        <v>10200</v>
      </c>
      <c r="I761" s="214">
        <v>0</v>
      </c>
      <c r="J761" s="214">
        <f t="shared" si="35"/>
        <v>-10200</v>
      </c>
      <c r="K761" s="212" t="s">
        <v>6836</v>
      </c>
      <c r="L761" s="213"/>
      <c r="M761" s="212"/>
    </row>
    <row r="762" spans="1:13" ht="21" customHeight="1">
      <c r="A762" s="213" t="s">
        <v>6818</v>
      </c>
      <c r="B762" s="215">
        <f t="shared" si="33"/>
        <v>45712</v>
      </c>
      <c r="C762" s="213" t="s">
        <v>6835</v>
      </c>
      <c r="D762" s="213" t="s">
        <v>4366</v>
      </c>
      <c r="E762" s="213" t="s">
        <v>333</v>
      </c>
      <c r="F762" s="212" t="s">
        <v>4365</v>
      </c>
      <c r="G762" s="212" t="str">
        <f t="shared" si="34"/>
        <v>101현금</v>
      </c>
      <c r="H762" s="214">
        <v>0</v>
      </c>
      <c r="I762" s="214">
        <v>10200</v>
      </c>
      <c r="J762" s="214">
        <f t="shared" si="35"/>
        <v>10200</v>
      </c>
      <c r="K762" s="212" t="s">
        <v>6369</v>
      </c>
      <c r="L762" s="213"/>
      <c r="M762" s="212"/>
    </row>
    <row r="763" spans="1:13" ht="21" customHeight="1">
      <c r="A763" s="213" t="s">
        <v>6818</v>
      </c>
      <c r="B763" s="215">
        <f t="shared" si="33"/>
        <v>45712</v>
      </c>
      <c r="C763" s="213" t="s">
        <v>6833</v>
      </c>
      <c r="D763" s="213" t="s">
        <v>4369</v>
      </c>
      <c r="E763" s="213" t="s">
        <v>4380</v>
      </c>
      <c r="F763" s="212" t="s">
        <v>6515</v>
      </c>
      <c r="G763" s="212" t="str">
        <f t="shared" si="34"/>
        <v>812여비교통비(판)</v>
      </c>
      <c r="H763" s="214">
        <v>15600</v>
      </c>
      <c r="I763" s="214">
        <v>0</v>
      </c>
      <c r="J763" s="214">
        <f t="shared" si="35"/>
        <v>-15600</v>
      </c>
      <c r="K763" s="212" t="s">
        <v>6834</v>
      </c>
      <c r="L763" s="213"/>
      <c r="M763" s="212"/>
    </row>
    <row r="764" spans="1:13" ht="21" customHeight="1">
      <c r="A764" s="213" t="s">
        <v>6818</v>
      </c>
      <c r="B764" s="215">
        <f t="shared" si="33"/>
        <v>45712</v>
      </c>
      <c r="C764" s="213" t="s">
        <v>6833</v>
      </c>
      <c r="D764" s="213" t="s">
        <v>4366</v>
      </c>
      <c r="E764" s="213" t="s">
        <v>333</v>
      </c>
      <c r="F764" s="212" t="s">
        <v>4365</v>
      </c>
      <c r="G764" s="212" t="str">
        <f t="shared" si="34"/>
        <v>101현금</v>
      </c>
      <c r="H764" s="214">
        <v>0</v>
      </c>
      <c r="I764" s="214">
        <v>15600</v>
      </c>
      <c r="J764" s="214">
        <f t="shared" si="35"/>
        <v>15600</v>
      </c>
      <c r="K764" s="212" t="s">
        <v>6369</v>
      </c>
      <c r="L764" s="213"/>
      <c r="M764" s="212"/>
    </row>
    <row r="765" spans="1:13" ht="21" customHeight="1">
      <c r="A765" s="213" t="s">
        <v>6818</v>
      </c>
      <c r="B765" s="215">
        <f t="shared" si="33"/>
        <v>45712</v>
      </c>
      <c r="C765" s="213" t="s">
        <v>6832</v>
      </c>
      <c r="D765" s="213" t="s">
        <v>4366</v>
      </c>
      <c r="E765" s="213" t="s">
        <v>333</v>
      </c>
      <c r="F765" s="212" t="s">
        <v>4365</v>
      </c>
      <c r="G765" s="212" t="str">
        <f t="shared" si="34"/>
        <v>101현금</v>
      </c>
      <c r="H765" s="214">
        <v>0</v>
      </c>
      <c r="I765" s="214">
        <v>11600</v>
      </c>
      <c r="J765" s="214">
        <f t="shared" si="35"/>
        <v>11600</v>
      </c>
      <c r="K765" s="212" t="s">
        <v>6369</v>
      </c>
      <c r="L765" s="213"/>
      <c r="M765" s="212"/>
    </row>
    <row r="766" spans="1:13" ht="21" customHeight="1">
      <c r="A766" s="213" t="s">
        <v>6818</v>
      </c>
      <c r="B766" s="215">
        <f t="shared" si="33"/>
        <v>45712</v>
      </c>
      <c r="C766" s="213" t="s">
        <v>6832</v>
      </c>
      <c r="D766" s="213" t="s">
        <v>4369</v>
      </c>
      <c r="E766" s="213" t="s">
        <v>4380</v>
      </c>
      <c r="F766" s="212" t="s">
        <v>6515</v>
      </c>
      <c r="G766" s="212" t="str">
        <f t="shared" si="34"/>
        <v>812여비교통비(판)</v>
      </c>
      <c r="H766" s="214">
        <v>11600</v>
      </c>
      <c r="I766" s="214">
        <v>0</v>
      </c>
      <c r="J766" s="214">
        <f t="shared" si="35"/>
        <v>-11600</v>
      </c>
      <c r="K766" s="212" t="s">
        <v>6830</v>
      </c>
      <c r="L766" s="213"/>
      <c r="M766" s="212"/>
    </row>
    <row r="767" spans="1:13" ht="21" customHeight="1">
      <c r="A767" s="213" t="s">
        <v>6818</v>
      </c>
      <c r="B767" s="215">
        <f t="shared" si="33"/>
        <v>45712</v>
      </c>
      <c r="C767" s="213" t="s">
        <v>6831</v>
      </c>
      <c r="D767" s="213" t="s">
        <v>4366</v>
      </c>
      <c r="E767" s="213" t="s">
        <v>333</v>
      </c>
      <c r="F767" s="212" t="s">
        <v>4365</v>
      </c>
      <c r="G767" s="212" t="str">
        <f t="shared" si="34"/>
        <v>101현금</v>
      </c>
      <c r="H767" s="214">
        <v>0</v>
      </c>
      <c r="I767" s="214">
        <v>12000</v>
      </c>
      <c r="J767" s="214">
        <f t="shared" si="35"/>
        <v>12000</v>
      </c>
      <c r="K767" s="212" t="s">
        <v>6369</v>
      </c>
      <c r="L767" s="213"/>
      <c r="M767" s="212"/>
    </row>
    <row r="768" spans="1:13" ht="21" customHeight="1">
      <c r="A768" s="213" t="s">
        <v>6818</v>
      </c>
      <c r="B768" s="215">
        <f t="shared" si="33"/>
        <v>45712</v>
      </c>
      <c r="C768" s="213" t="s">
        <v>6831</v>
      </c>
      <c r="D768" s="213" t="s">
        <v>4369</v>
      </c>
      <c r="E768" s="213" t="s">
        <v>4380</v>
      </c>
      <c r="F768" s="212" t="s">
        <v>6515</v>
      </c>
      <c r="G768" s="212" t="str">
        <f t="shared" si="34"/>
        <v>812여비교통비(판)</v>
      </c>
      <c r="H768" s="214">
        <v>12000</v>
      </c>
      <c r="I768" s="214">
        <v>0</v>
      </c>
      <c r="J768" s="214">
        <f t="shared" si="35"/>
        <v>-12000</v>
      </c>
      <c r="K768" s="212" t="s">
        <v>6830</v>
      </c>
      <c r="L768" s="213"/>
      <c r="M768" s="212"/>
    </row>
    <row r="769" spans="1:13" ht="21" customHeight="1">
      <c r="A769" s="213" t="s">
        <v>6818</v>
      </c>
      <c r="B769" s="215">
        <f t="shared" si="33"/>
        <v>45712</v>
      </c>
      <c r="C769" s="213" t="s">
        <v>6828</v>
      </c>
      <c r="D769" s="213" t="s">
        <v>4369</v>
      </c>
      <c r="E769" s="213" t="s">
        <v>4380</v>
      </c>
      <c r="F769" s="212" t="s">
        <v>6515</v>
      </c>
      <c r="G769" s="212" t="str">
        <f t="shared" si="34"/>
        <v>812여비교통비(판)</v>
      </c>
      <c r="H769" s="214">
        <v>5000</v>
      </c>
      <c r="I769" s="214">
        <v>0</v>
      </c>
      <c r="J769" s="214">
        <f t="shared" si="35"/>
        <v>-5000</v>
      </c>
      <c r="K769" s="212" t="s">
        <v>6829</v>
      </c>
      <c r="L769" s="213"/>
      <c r="M769" s="212"/>
    </row>
    <row r="770" spans="1:13" ht="21" customHeight="1">
      <c r="A770" s="213" t="s">
        <v>6818</v>
      </c>
      <c r="B770" s="215">
        <f t="shared" ref="B770:B833" si="36">DATEVALUE(A770)</f>
        <v>45712</v>
      </c>
      <c r="C770" s="213" t="s">
        <v>6828</v>
      </c>
      <c r="D770" s="213" t="s">
        <v>4366</v>
      </c>
      <c r="E770" s="213" t="s">
        <v>333</v>
      </c>
      <c r="F770" s="212" t="s">
        <v>4365</v>
      </c>
      <c r="G770" s="212" t="str">
        <f t="shared" ref="G770:G833" si="37">E770&amp;F770</f>
        <v>101현금</v>
      </c>
      <c r="H770" s="214">
        <v>0</v>
      </c>
      <c r="I770" s="214">
        <v>5000</v>
      </c>
      <c r="J770" s="214">
        <f t="shared" ref="J770:J833" si="38">I770-H770</f>
        <v>5000</v>
      </c>
      <c r="K770" s="212" t="s">
        <v>6369</v>
      </c>
      <c r="L770" s="213"/>
      <c r="M770" s="212"/>
    </row>
    <row r="771" spans="1:13" ht="21" customHeight="1">
      <c r="A771" s="213" t="s">
        <v>6818</v>
      </c>
      <c r="B771" s="215">
        <f t="shared" si="36"/>
        <v>45712</v>
      </c>
      <c r="C771" s="213" t="s">
        <v>6827</v>
      </c>
      <c r="D771" s="213" t="s">
        <v>4369</v>
      </c>
      <c r="E771" s="213" t="s">
        <v>4380</v>
      </c>
      <c r="F771" s="212" t="s">
        <v>6515</v>
      </c>
      <c r="G771" s="212" t="str">
        <f t="shared" si="37"/>
        <v>812여비교통비(판)</v>
      </c>
      <c r="H771" s="214">
        <v>4400</v>
      </c>
      <c r="I771" s="214">
        <v>0</v>
      </c>
      <c r="J771" s="214">
        <f t="shared" si="38"/>
        <v>-4400</v>
      </c>
      <c r="K771" s="212" t="s">
        <v>6305</v>
      </c>
      <c r="L771" s="213"/>
      <c r="M771" s="212"/>
    </row>
    <row r="772" spans="1:13" ht="21" customHeight="1">
      <c r="A772" s="213" t="s">
        <v>6818</v>
      </c>
      <c r="B772" s="215">
        <f t="shared" si="36"/>
        <v>45712</v>
      </c>
      <c r="C772" s="213" t="s">
        <v>6827</v>
      </c>
      <c r="D772" s="213" t="s">
        <v>4366</v>
      </c>
      <c r="E772" s="213" t="s">
        <v>333</v>
      </c>
      <c r="F772" s="212" t="s">
        <v>4365</v>
      </c>
      <c r="G772" s="212" t="str">
        <f t="shared" si="37"/>
        <v>101현금</v>
      </c>
      <c r="H772" s="214">
        <v>0</v>
      </c>
      <c r="I772" s="214">
        <v>4400</v>
      </c>
      <c r="J772" s="214">
        <f t="shared" si="38"/>
        <v>4400</v>
      </c>
      <c r="K772" s="212" t="s">
        <v>6369</v>
      </c>
      <c r="L772" s="213"/>
      <c r="M772" s="212"/>
    </row>
    <row r="773" spans="1:13" ht="21" customHeight="1">
      <c r="A773" s="213" t="s">
        <v>6818</v>
      </c>
      <c r="B773" s="215">
        <f t="shared" si="36"/>
        <v>45712</v>
      </c>
      <c r="C773" s="213" t="s">
        <v>6826</v>
      </c>
      <c r="D773" s="213" t="s">
        <v>4366</v>
      </c>
      <c r="E773" s="213" t="s">
        <v>333</v>
      </c>
      <c r="F773" s="212" t="s">
        <v>4365</v>
      </c>
      <c r="G773" s="212" t="str">
        <f t="shared" si="37"/>
        <v>101현금</v>
      </c>
      <c r="H773" s="214">
        <v>0</v>
      </c>
      <c r="I773" s="214">
        <v>56000</v>
      </c>
      <c r="J773" s="214">
        <f t="shared" si="38"/>
        <v>56000</v>
      </c>
      <c r="K773" s="212" t="s">
        <v>6369</v>
      </c>
      <c r="L773" s="213"/>
      <c r="M773" s="212"/>
    </row>
    <row r="774" spans="1:13" ht="21" customHeight="1">
      <c r="A774" s="213" t="s">
        <v>6818</v>
      </c>
      <c r="B774" s="215">
        <f t="shared" si="36"/>
        <v>45712</v>
      </c>
      <c r="C774" s="213" t="s">
        <v>6826</v>
      </c>
      <c r="D774" s="213" t="s">
        <v>4369</v>
      </c>
      <c r="E774" s="213" t="s">
        <v>6157</v>
      </c>
      <c r="F774" s="212" t="s">
        <v>6524</v>
      </c>
      <c r="G774" s="212" t="str">
        <f t="shared" si="37"/>
        <v>813접대비(기업업무추진비)(판)</v>
      </c>
      <c r="H774" s="214">
        <v>56000</v>
      </c>
      <c r="I774" s="214">
        <v>0</v>
      </c>
      <c r="J774" s="214">
        <f t="shared" si="38"/>
        <v>-56000</v>
      </c>
      <c r="K774" s="212" t="s">
        <v>6825</v>
      </c>
      <c r="L774" s="213" t="s">
        <v>1327</v>
      </c>
      <c r="M774" s="212" t="s">
        <v>6356</v>
      </c>
    </row>
    <row r="775" spans="1:13" ht="21" customHeight="1">
      <c r="A775" s="213" t="s">
        <v>6818</v>
      </c>
      <c r="B775" s="215">
        <f t="shared" si="36"/>
        <v>45712</v>
      </c>
      <c r="C775" s="213" t="s">
        <v>6823</v>
      </c>
      <c r="D775" s="213" t="s">
        <v>4369</v>
      </c>
      <c r="E775" s="213" t="s">
        <v>4368</v>
      </c>
      <c r="F775" s="212" t="s">
        <v>6388</v>
      </c>
      <c r="G775" s="212" t="str">
        <f t="shared" si="37"/>
        <v>831지급수수료(판)</v>
      </c>
      <c r="H775" s="214">
        <v>2000</v>
      </c>
      <c r="I775" s="214">
        <v>0</v>
      </c>
      <c r="J775" s="214">
        <f t="shared" si="38"/>
        <v>-2000</v>
      </c>
      <c r="K775" s="212" t="s">
        <v>6824</v>
      </c>
      <c r="L775" s="213"/>
      <c r="M775" s="212"/>
    </row>
    <row r="776" spans="1:13" ht="21" customHeight="1">
      <c r="A776" s="213" t="s">
        <v>6818</v>
      </c>
      <c r="B776" s="215">
        <f t="shared" si="36"/>
        <v>45712</v>
      </c>
      <c r="C776" s="213" t="s">
        <v>6823</v>
      </c>
      <c r="D776" s="213" t="s">
        <v>4366</v>
      </c>
      <c r="E776" s="213" t="s">
        <v>333</v>
      </c>
      <c r="F776" s="212" t="s">
        <v>4365</v>
      </c>
      <c r="G776" s="212" t="str">
        <f t="shared" si="37"/>
        <v>101현금</v>
      </c>
      <c r="H776" s="214">
        <v>0</v>
      </c>
      <c r="I776" s="214">
        <v>2000</v>
      </c>
      <c r="J776" s="214">
        <f t="shared" si="38"/>
        <v>2000</v>
      </c>
      <c r="K776" s="212" t="s">
        <v>6369</v>
      </c>
      <c r="L776" s="213"/>
      <c r="M776" s="212"/>
    </row>
    <row r="777" spans="1:13" ht="21" customHeight="1">
      <c r="A777" s="213" t="s">
        <v>6818</v>
      </c>
      <c r="B777" s="215">
        <f t="shared" si="36"/>
        <v>45712</v>
      </c>
      <c r="C777" s="213" t="s">
        <v>6821</v>
      </c>
      <c r="D777" s="213" t="s">
        <v>4369</v>
      </c>
      <c r="E777" s="213" t="s">
        <v>6157</v>
      </c>
      <c r="F777" s="212" t="s">
        <v>6524</v>
      </c>
      <c r="G777" s="212" t="str">
        <f t="shared" si="37"/>
        <v>813접대비(기업업무추진비)(판)</v>
      </c>
      <c r="H777" s="214">
        <v>32900</v>
      </c>
      <c r="I777" s="214">
        <v>0</v>
      </c>
      <c r="J777" s="214">
        <f t="shared" si="38"/>
        <v>-32900</v>
      </c>
      <c r="K777" s="212" t="s">
        <v>6822</v>
      </c>
      <c r="L777" s="213" t="s">
        <v>1327</v>
      </c>
      <c r="M777" s="212" t="s">
        <v>6356</v>
      </c>
    </row>
    <row r="778" spans="1:13" ht="21" customHeight="1">
      <c r="A778" s="213" t="s">
        <v>6818</v>
      </c>
      <c r="B778" s="215">
        <f t="shared" si="36"/>
        <v>45712</v>
      </c>
      <c r="C778" s="213" t="s">
        <v>6821</v>
      </c>
      <c r="D778" s="213" t="s">
        <v>4366</v>
      </c>
      <c r="E778" s="213" t="s">
        <v>333</v>
      </c>
      <c r="F778" s="212" t="s">
        <v>4365</v>
      </c>
      <c r="G778" s="212" t="str">
        <f t="shared" si="37"/>
        <v>101현금</v>
      </c>
      <c r="H778" s="214">
        <v>0</v>
      </c>
      <c r="I778" s="214">
        <v>32900</v>
      </c>
      <c r="J778" s="214">
        <f t="shared" si="38"/>
        <v>32900</v>
      </c>
      <c r="K778" s="212" t="s">
        <v>6369</v>
      </c>
      <c r="L778" s="213"/>
      <c r="M778" s="212"/>
    </row>
    <row r="779" spans="1:13" ht="21" customHeight="1">
      <c r="A779" s="213" t="s">
        <v>6818</v>
      </c>
      <c r="B779" s="215">
        <f t="shared" si="36"/>
        <v>45712</v>
      </c>
      <c r="C779" s="213" t="s">
        <v>6820</v>
      </c>
      <c r="D779" s="213" t="s">
        <v>4366</v>
      </c>
      <c r="E779" s="213" t="s">
        <v>333</v>
      </c>
      <c r="F779" s="212" t="s">
        <v>4365</v>
      </c>
      <c r="G779" s="212" t="str">
        <f t="shared" si="37"/>
        <v>101현금</v>
      </c>
      <c r="H779" s="214">
        <v>0</v>
      </c>
      <c r="I779" s="214">
        <v>3000</v>
      </c>
      <c r="J779" s="214">
        <f t="shared" si="38"/>
        <v>3000</v>
      </c>
      <c r="K779" s="212" t="s">
        <v>6369</v>
      </c>
      <c r="L779" s="213"/>
      <c r="M779" s="212"/>
    </row>
    <row r="780" spans="1:13" ht="21" customHeight="1">
      <c r="A780" s="213" t="s">
        <v>6818</v>
      </c>
      <c r="B780" s="215">
        <f t="shared" si="36"/>
        <v>45712</v>
      </c>
      <c r="C780" s="213" t="s">
        <v>6820</v>
      </c>
      <c r="D780" s="213" t="s">
        <v>4369</v>
      </c>
      <c r="E780" s="213" t="s">
        <v>4380</v>
      </c>
      <c r="F780" s="212" t="s">
        <v>6515</v>
      </c>
      <c r="G780" s="212" t="str">
        <f t="shared" si="37"/>
        <v>812여비교통비(판)</v>
      </c>
      <c r="H780" s="214">
        <v>3000</v>
      </c>
      <c r="I780" s="214">
        <v>0</v>
      </c>
      <c r="J780" s="214">
        <f t="shared" si="38"/>
        <v>-3000</v>
      </c>
      <c r="K780" s="212" t="s">
        <v>6819</v>
      </c>
      <c r="L780" s="213"/>
      <c r="M780" s="212"/>
    </row>
    <row r="781" spans="1:13" ht="21" customHeight="1">
      <c r="A781" s="213" t="s">
        <v>6818</v>
      </c>
      <c r="B781" s="215">
        <f t="shared" si="36"/>
        <v>45712</v>
      </c>
      <c r="C781" s="213" t="s">
        <v>4367</v>
      </c>
      <c r="D781" s="213" t="s">
        <v>4366</v>
      </c>
      <c r="E781" s="213" t="s">
        <v>6176</v>
      </c>
      <c r="F781" s="212" t="s">
        <v>6177</v>
      </c>
      <c r="G781" s="212" t="str">
        <f t="shared" si="37"/>
        <v>255부가세예수금</v>
      </c>
      <c r="H781" s="214">
        <v>0</v>
      </c>
      <c r="I781" s="214">
        <v>10000</v>
      </c>
      <c r="J781" s="214">
        <f t="shared" si="38"/>
        <v>10000</v>
      </c>
      <c r="K781" s="212" t="s">
        <v>6226</v>
      </c>
      <c r="L781" s="213"/>
      <c r="M781" s="212" t="s">
        <v>6185</v>
      </c>
    </row>
    <row r="782" spans="1:13" ht="21" customHeight="1">
      <c r="A782" s="213" t="s">
        <v>6818</v>
      </c>
      <c r="B782" s="215">
        <f t="shared" si="36"/>
        <v>45712</v>
      </c>
      <c r="C782" s="213" t="s">
        <v>4367</v>
      </c>
      <c r="D782" s="213" t="s">
        <v>4366</v>
      </c>
      <c r="E782" s="213" t="s">
        <v>334</v>
      </c>
      <c r="F782" s="212" t="s">
        <v>6158</v>
      </c>
      <c r="G782" s="212" t="str">
        <f t="shared" si="37"/>
        <v>401용역매출</v>
      </c>
      <c r="H782" s="214">
        <v>0</v>
      </c>
      <c r="I782" s="214">
        <v>100000</v>
      </c>
      <c r="J782" s="214">
        <f t="shared" si="38"/>
        <v>100000</v>
      </c>
      <c r="K782" s="212" t="s">
        <v>6226</v>
      </c>
      <c r="L782" s="213"/>
      <c r="M782" s="212" t="s">
        <v>6185</v>
      </c>
    </row>
    <row r="783" spans="1:13" ht="21" customHeight="1">
      <c r="A783" s="213" t="s">
        <v>6818</v>
      </c>
      <c r="B783" s="215">
        <f t="shared" si="36"/>
        <v>45712</v>
      </c>
      <c r="C783" s="213" t="s">
        <v>4367</v>
      </c>
      <c r="D783" s="213" t="s">
        <v>4369</v>
      </c>
      <c r="E783" s="213" t="s">
        <v>333</v>
      </c>
      <c r="F783" s="212" t="s">
        <v>4365</v>
      </c>
      <c r="G783" s="212" t="str">
        <f t="shared" si="37"/>
        <v>101현금</v>
      </c>
      <c r="H783" s="214">
        <v>110000</v>
      </c>
      <c r="I783" s="214">
        <v>0</v>
      </c>
      <c r="J783" s="214">
        <f t="shared" si="38"/>
        <v>-110000</v>
      </c>
      <c r="K783" s="212" t="s">
        <v>6226</v>
      </c>
      <c r="L783" s="213"/>
      <c r="M783" s="212" t="s">
        <v>6185</v>
      </c>
    </row>
    <row r="784" spans="1:13" ht="21" customHeight="1">
      <c r="A784" s="213" t="s">
        <v>6818</v>
      </c>
      <c r="B784" s="215">
        <f t="shared" si="36"/>
        <v>45712</v>
      </c>
      <c r="C784" s="213" t="s">
        <v>4374</v>
      </c>
      <c r="D784" s="213" t="s">
        <v>4366</v>
      </c>
      <c r="E784" s="213" t="s">
        <v>6176</v>
      </c>
      <c r="F784" s="212" t="s">
        <v>6177</v>
      </c>
      <c r="G784" s="212" t="str">
        <f t="shared" si="37"/>
        <v>255부가세예수금</v>
      </c>
      <c r="H784" s="214">
        <v>0</v>
      </c>
      <c r="I784" s="214">
        <v>-10000</v>
      </c>
      <c r="J784" s="214">
        <f t="shared" si="38"/>
        <v>-10000</v>
      </c>
      <c r="K784" s="212" t="s">
        <v>6226</v>
      </c>
      <c r="L784" s="213"/>
      <c r="M784" s="212" t="s">
        <v>6208</v>
      </c>
    </row>
    <row r="785" spans="1:13" ht="21" customHeight="1">
      <c r="A785" s="213" t="s">
        <v>6818</v>
      </c>
      <c r="B785" s="215">
        <f t="shared" si="36"/>
        <v>45712</v>
      </c>
      <c r="C785" s="213" t="s">
        <v>4374</v>
      </c>
      <c r="D785" s="213" t="s">
        <v>4366</v>
      </c>
      <c r="E785" s="213" t="s">
        <v>334</v>
      </c>
      <c r="F785" s="212" t="s">
        <v>6158</v>
      </c>
      <c r="G785" s="212" t="str">
        <f t="shared" si="37"/>
        <v>401용역매출</v>
      </c>
      <c r="H785" s="214">
        <v>0</v>
      </c>
      <c r="I785" s="214">
        <v>-100000</v>
      </c>
      <c r="J785" s="214">
        <f t="shared" si="38"/>
        <v>-100000</v>
      </c>
      <c r="K785" s="212" t="s">
        <v>6226</v>
      </c>
      <c r="L785" s="213"/>
      <c r="M785" s="212" t="s">
        <v>6208</v>
      </c>
    </row>
    <row r="786" spans="1:13" ht="21" customHeight="1">
      <c r="A786" s="213" t="s">
        <v>6818</v>
      </c>
      <c r="B786" s="215">
        <f t="shared" si="36"/>
        <v>45712</v>
      </c>
      <c r="C786" s="213" t="s">
        <v>4374</v>
      </c>
      <c r="D786" s="213" t="s">
        <v>4369</v>
      </c>
      <c r="E786" s="213" t="s">
        <v>333</v>
      </c>
      <c r="F786" s="212" t="s">
        <v>4365</v>
      </c>
      <c r="G786" s="212" t="str">
        <f t="shared" si="37"/>
        <v>101현금</v>
      </c>
      <c r="H786" s="214">
        <v>-110000</v>
      </c>
      <c r="I786" s="214">
        <v>0</v>
      </c>
      <c r="J786" s="214">
        <f t="shared" si="38"/>
        <v>110000</v>
      </c>
      <c r="K786" s="212" t="s">
        <v>6226</v>
      </c>
      <c r="L786" s="213"/>
      <c r="M786" s="212" t="s">
        <v>6208</v>
      </c>
    </row>
    <row r="787" spans="1:13" ht="21" customHeight="1">
      <c r="A787" s="213" t="s">
        <v>6818</v>
      </c>
      <c r="B787" s="215">
        <f t="shared" si="36"/>
        <v>45712</v>
      </c>
      <c r="C787" s="213" t="s">
        <v>6182</v>
      </c>
      <c r="D787" s="213" t="s">
        <v>4366</v>
      </c>
      <c r="E787" s="213" t="s">
        <v>6176</v>
      </c>
      <c r="F787" s="212" t="s">
        <v>6177</v>
      </c>
      <c r="G787" s="212" t="str">
        <f t="shared" si="37"/>
        <v>255부가세예수금</v>
      </c>
      <c r="H787" s="214">
        <v>0</v>
      </c>
      <c r="I787" s="214">
        <v>10000</v>
      </c>
      <c r="J787" s="214">
        <f t="shared" si="38"/>
        <v>10000</v>
      </c>
      <c r="K787" s="212" t="s">
        <v>6226</v>
      </c>
      <c r="L787" s="213"/>
      <c r="M787" s="212" t="s">
        <v>6185</v>
      </c>
    </row>
    <row r="788" spans="1:13" ht="21" customHeight="1">
      <c r="A788" s="213" t="s">
        <v>6818</v>
      </c>
      <c r="B788" s="215">
        <f t="shared" si="36"/>
        <v>45712</v>
      </c>
      <c r="C788" s="213" t="s">
        <v>6182</v>
      </c>
      <c r="D788" s="213" t="s">
        <v>4366</v>
      </c>
      <c r="E788" s="213" t="s">
        <v>334</v>
      </c>
      <c r="F788" s="212" t="s">
        <v>6158</v>
      </c>
      <c r="G788" s="212" t="str">
        <f t="shared" si="37"/>
        <v>401용역매출</v>
      </c>
      <c r="H788" s="214">
        <v>0</v>
      </c>
      <c r="I788" s="214">
        <v>100000</v>
      </c>
      <c r="J788" s="214">
        <f t="shared" si="38"/>
        <v>100000</v>
      </c>
      <c r="K788" s="212" t="s">
        <v>6226</v>
      </c>
      <c r="L788" s="213"/>
      <c r="M788" s="212" t="s">
        <v>6185</v>
      </c>
    </row>
    <row r="789" spans="1:13" ht="21" customHeight="1">
      <c r="A789" s="213" t="s">
        <v>6818</v>
      </c>
      <c r="B789" s="215">
        <f t="shared" si="36"/>
        <v>45712</v>
      </c>
      <c r="C789" s="213" t="s">
        <v>6182</v>
      </c>
      <c r="D789" s="213" t="s">
        <v>4369</v>
      </c>
      <c r="E789" s="213" t="s">
        <v>333</v>
      </c>
      <c r="F789" s="212" t="s">
        <v>4365</v>
      </c>
      <c r="G789" s="212" t="str">
        <f t="shared" si="37"/>
        <v>101현금</v>
      </c>
      <c r="H789" s="214">
        <v>110000</v>
      </c>
      <c r="I789" s="214">
        <v>0</v>
      </c>
      <c r="J789" s="214">
        <f t="shared" si="38"/>
        <v>-110000</v>
      </c>
      <c r="K789" s="212" t="s">
        <v>6226</v>
      </c>
      <c r="L789" s="213"/>
      <c r="M789" s="212" t="s">
        <v>6185</v>
      </c>
    </row>
    <row r="790" spans="1:13" ht="21" customHeight="1">
      <c r="A790" s="213" t="s">
        <v>6804</v>
      </c>
      <c r="B790" s="215">
        <f t="shared" si="36"/>
        <v>45713</v>
      </c>
      <c r="C790" s="213" t="s">
        <v>4373</v>
      </c>
      <c r="D790" s="213" t="s">
        <v>4369</v>
      </c>
      <c r="E790" s="213" t="s">
        <v>4499</v>
      </c>
      <c r="F790" s="212" t="s">
        <v>6517</v>
      </c>
      <c r="G790" s="212" t="str">
        <f t="shared" si="37"/>
        <v>811복리후생비(판)</v>
      </c>
      <c r="H790" s="214">
        <v>2000</v>
      </c>
      <c r="I790" s="214">
        <v>0</v>
      </c>
      <c r="J790" s="214">
        <f t="shared" si="38"/>
        <v>-2000</v>
      </c>
      <c r="K790" s="212" t="s">
        <v>6817</v>
      </c>
      <c r="L790" s="213"/>
      <c r="M790" s="212"/>
    </row>
    <row r="791" spans="1:13" ht="21" customHeight="1">
      <c r="A791" s="213" t="s">
        <v>6804</v>
      </c>
      <c r="B791" s="215">
        <f t="shared" si="36"/>
        <v>45713</v>
      </c>
      <c r="C791" s="213" t="s">
        <v>4373</v>
      </c>
      <c r="D791" s="213" t="s">
        <v>4366</v>
      </c>
      <c r="E791" s="213" t="s">
        <v>333</v>
      </c>
      <c r="F791" s="212" t="s">
        <v>4365</v>
      </c>
      <c r="G791" s="212" t="str">
        <f t="shared" si="37"/>
        <v>101현금</v>
      </c>
      <c r="H791" s="214">
        <v>0</v>
      </c>
      <c r="I791" s="214">
        <v>2000</v>
      </c>
      <c r="J791" s="214">
        <f t="shared" si="38"/>
        <v>2000</v>
      </c>
      <c r="K791" s="212" t="s">
        <v>6369</v>
      </c>
      <c r="L791" s="213"/>
      <c r="M791" s="212"/>
    </row>
    <row r="792" spans="1:13" ht="21" customHeight="1">
      <c r="A792" s="213" t="s">
        <v>6804</v>
      </c>
      <c r="B792" s="215">
        <f t="shared" si="36"/>
        <v>45713</v>
      </c>
      <c r="C792" s="213" t="s">
        <v>4382</v>
      </c>
      <c r="D792" s="213" t="s">
        <v>4369</v>
      </c>
      <c r="E792" s="213" t="s">
        <v>4499</v>
      </c>
      <c r="F792" s="212" t="s">
        <v>6517</v>
      </c>
      <c r="G792" s="212" t="str">
        <f t="shared" si="37"/>
        <v>811복리후생비(판)</v>
      </c>
      <c r="H792" s="214">
        <v>30500</v>
      </c>
      <c r="I792" s="214">
        <v>0</v>
      </c>
      <c r="J792" s="214">
        <f t="shared" si="38"/>
        <v>-30500</v>
      </c>
      <c r="K792" s="212" t="s">
        <v>6817</v>
      </c>
      <c r="L792" s="213"/>
      <c r="M792" s="212"/>
    </row>
    <row r="793" spans="1:13" ht="21" customHeight="1">
      <c r="A793" s="213" t="s">
        <v>6804</v>
      </c>
      <c r="B793" s="215">
        <f t="shared" si="36"/>
        <v>45713</v>
      </c>
      <c r="C793" s="213" t="s">
        <v>4382</v>
      </c>
      <c r="D793" s="213" t="s">
        <v>4366</v>
      </c>
      <c r="E793" s="213" t="s">
        <v>333</v>
      </c>
      <c r="F793" s="212" t="s">
        <v>4365</v>
      </c>
      <c r="G793" s="212" t="str">
        <f t="shared" si="37"/>
        <v>101현금</v>
      </c>
      <c r="H793" s="214">
        <v>0</v>
      </c>
      <c r="I793" s="214">
        <v>30500</v>
      </c>
      <c r="J793" s="214">
        <f t="shared" si="38"/>
        <v>30500</v>
      </c>
      <c r="K793" s="212" t="s">
        <v>6369</v>
      </c>
      <c r="L793" s="213"/>
      <c r="M793" s="212"/>
    </row>
    <row r="794" spans="1:13" ht="21" customHeight="1">
      <c r="A794" s="213" t="s">
        <v>6804</v>
      </c>
      <c r="B794" s="215">
        <f t="shared" si="36"/>
        <v>45713</v>
      </c>
      <c r="C794" s="213" t="s">
        <v>4381</v>
      </c>
      <c r="D794" s="213" t="s">
        <v>4366</v>
      </c>
      <c r="E794" s="213" t="s">
        <v>333</v>
      </c>
      <c r="F794" s="212" t="s">
        <v>4365</v>
      </c>
      <c r="G794" s="212" t="str">
        <f t="shared" si="37"/>
        <v>101현금</v>
      </c>
      <c r="H794" s="214">
        <v>0</v>
      </c>
      <c r="I794" s="214">
        <v>13900</v>
      </c>
      <c r="J794" s="214">
        <f t="shared" si="38"/>
        <v>13900</v>
      </c>
      <c r="K794" s="212" t="s">
        <v>6369</v>
      </c>
      <c r="L794" s="213"/>
      <c r="M794" s="212"/>
    </row>
    <row r="795" spans="1:13" ht="21" customHeight="1">
      <c r="A795" s="213" t="s">
        <v>6804</v>
      </c>
      <c r="B795" s="215">
        <f t="shared" si="36"/>
        <v>45713</v>
      </c>
      <c r="C795" s="213" t="s">
        <v>4381</v>
      </c>
      <c r="D795" s="213" t="s">
        <v>4369</v>
      </c>
      <c r="E795" s="213" t="s">
        <v>4383</v>
      </c>
      <c r="F795" s="212" t="s">
        <v>6525</v>
      </c>
      <c r="G795" s="212" t="str">
        <f t="shared" si="37"/>
        <v>830소모품비(판)</v>
      </c>
      <c r="H795" s="214">
        <v>13900</v>
      </c>
      <c r="I795" s="214">
        <v>0</v>
      </c>
      <c r="J795" s="214">
        <f t="shared" si="38"/>
        <v>-13900</v>
      </c>
      <c r="K795" s="212" t="s">
        <v>6816</v>
      </c>
      <c r="L795" s="213"/>
      <c r="M795" s="212"/>
    </row>
    <row r="796" spans="1:13" ht="21" customHeight="1">
      <c r="A796" s="213" t="s">
        <v>6804</v>
      </c>
      <c r="B796" s="215">
        <f t="shared" si="36"/>
        <v>45713</v>
      </c>
      <c r="C796" s="213" t="s">
        <v>4379</v>
      </c>
      <c r="D796" s="213" t="s">
        <v>4369</v>
      </c>
      <c r="E796" s="213" t="s">
        <v>4383</v>
      </c>
      <c r="F796" s="212" t="s">
        <v>6525</v>
      </c>
      <c r="G796" s="212" t="str">
        <f t="shared" si="37"/>
        <v>830소모품비(판)</v>
      </c>
      <c r="H796" s="214">
        <v>18000</v>
      </c>
      <c r="I796" s="214">
        <v>0</v>
      </c>
      <c r="J796" s="214">
        <f t="shared" si="38"/>
        <v>-18000</v>
      </c>
      <c r="K796" s="212" t="s">
        <v>6815</v>
      </c>
      <c r="L796" s="213"/>
      <c r="M796" s="212"/>
    </row>
    <row r="797" spans="1:13" ht="21" customHeight="1">
      <c r="A797" s="213" t="s">
        <v>6804</v>
      </c>
      <c r="B797" s="215">
        <f t="shared" si="36"/>
        <v>45713</v>
      </c>
      <c r="C797" s="213" t="s">
        <v>4379</v>
      </c>
      <c r="D797" s="213" t="s">
        <v>4366</v>
      </c>
      <c r="E797" s="213" t="s">
        <v>333</v>
      </c>
      <c r="F797" s="212" t="s">
        <v>4365</v>
      </c>
      <c r="G797" s="212" t="str">
        <f t="shared" si="37"/>
        <v>101현금</v>
      </c>
      <c r="H797" s="214">
        <v>0</v>
      </c>
      <c r="I797" s="214">
        <v>18000</v>
      </c>
      <c r="J797" s="214">
        <f t="shared" si="38"/>
        <v>18000</v>
      </c>
      <c r="K797" s="212" t="s">
        <v>6369</v>
      </c>
      <c r="L797" s="213"/>
      <c r="M797" s="212"/>
    </row>
    <row r="798" spans="1:13" ht="21" customHeight="1">
      <c r="A798" s="213" t="s">
        <v>6804</v>
      </c>
      <c r="B798" s="215">
        <f t="shared" si="36"/>
        <v>45713</v>
      </c>
      <c r="C798" s="213" t="s">
        <v>4385</v>
      </c>
      <c r="D798" s="213" t="s">
        <v>4369</v>
      </c>
      <c r="E798" s="213" t="s">
        <v>4380</v>
      </c>
      <c r="F798" s="212" t="s">
        <v>6515</v>
      </c>
      <c r="G798" s="212" t="str">
        <f t="shared" si="37"/>
        <v>812여비교통비(판)</v>
      </c>
      <c r="H798" s="214">
        <v>6000</v>
      </c>
      <c r="I798" s="214">
        <v>0</v>
      </c>
      <c r="J798" s="214">
        <f t="shared" si="38"/>
        <v>-6000</v>
      </c>
      <c r="K798" s="212" t="s">
        <v>6814</v>
      </c>
      <c r="L798" s="213"/>
      <c r="M798" s="212"/>
    </row>
    <row r="799" spans="1:13" ht="21" customHeight="1">
      <c r="A799" s="213" t="s">
        <v>6804</v>
      </c>
      <c r="B799" s="215">
        <f t="shared" si="36"/>
        <v>45713</v>
      </c>
      <c r="C799" s="213" t="s">
        <v>4385</v>
      </c>
      <c r="D799" s="213" t="s">
        <v>4366</v>
      </c>
      <c r="E799" s="213" t="s">
        <v>333</v>
      </c>
      <c r="F799" s="212" t="s">
        <v>4365</v>
      </c>
      <c r="G799" s="212" t="str">
        <f t="shared" si="37"/>
        <v>101현금</v>
      </c>
      <c r="H799" s="214">
        <v>0</v>
      </c>
      <c r="I799" s="214">
        <v>6000</v>
      </c>
      <c r="J799" s="214">
        <f t="shared" si="38"/>
        <v>6000</v>
      </c>
      <c r="K799" s="212" t="s">
        <v>6369</v>
      </c>
      <c r="L799" s="213"/>
      <c r="M799" s="212"/>
    </row>
    <row r="800" spans="1:13" ht="21" customHeight="1">
      <c r="A800" s="213" t="s">
        <v>6804</v>
      </c>
      <c r="B800" s="215">
        <f t="shared" si="36"/>
        <v>45713</v>
      </c>
      <c r="C800" s="213" t="s">
        <v>4501</v>
      </c>
      <c r="D800" s="213" t="s">
        <v>4369</v>
      </c>
      <c r="E800" s="213" t="s">
        <v>4380</v>
      </c>
      <c r="F800" s="212" t="s">
        <v>6515</v>
      </c>
      <c r="G800" s="212" t="str">
        <f t="shared" si="37"/>
        <v>812여비교통비(판)</v>
      </c>
      <c r="H800" s="214">
        <v>5500</v>
      </c>
      <c r="I800" s="214">
        <v>0</v>
      </c>
      <c r="J800" s="214">
        <f t="shared" si="38"/>
        <v>-5500</v>
      </c>
      <c r="K800" s="212" t="s">
        <v>6813</v>
      </c>
      <c r="L800" s="213"/>
      <c r="M800" s="212"/>
    </row>
    <row r="801" spans="1:13" ht="21" customHeight="1">
      <c r="A801" s="213" t="s">
        <v>6804</v>
      </c>
      <c r="B801" s="215">
        <f t="shared" si="36"/>
        <v>45713</v>
      </c>
      <c r="C801" s="213" t="s">
        <v>4501</v>
      </c>
      <c r="D801" s="213" t="s">
        <v>4366</v>
      </c>
      <c r="E801" s="213" t="s">
        <v>333</v>
      </c>
      <c r="F801" s="212" t="s">
        <v>4365</v>
      </c>
      <c r="G801" s="212" t="str">
        <f t="shared" si="37"/>
        <v>101현금</v>
      </c>
      <c r="H801" s="214">
        <v>0</v>
      </c>
      <c r="I801" s="214">
        <v>5500</v>
      </c>
      <c r="J801" s="214">
        <f t="shared" si="38"/>
        <v>5500</v>
      </c>
      <c r="K801" s="212" t="s">
        <v>6369</v>
      </c>
      <c r="L801" s="213"/>
      <c r="M801" s="212"/>
    </row>
    <row r="802" spans="1:13" ht="21" customHeight="1">
      <c r="A802" s="213" t="s">
        <v>6804</v>
      </c>
      <c r="B802" s="215">
        <f t="shared" si="36"/>
        <v>45713</v>
      </c>
      <c r="C802" s="213" t="s">
        <v>4502</v>
      </c>
      <c r="D802" s="213" t="s">
        <v>4369</v>
      </c>
      <c r="E802" s="213" t="s">
        <v>4380</v>
      </c>
      <c r="F802" s="212" t="s">
        <v>6515</v>
      </c>
      <c r="G802" s="212" t="str">
        <f t="shared" si="37"/>
        <v>812여비교통비(판)</v>
      </c>
      <c r="H802" s="214">
        <v>3100</v>
      </c>
      <c r="I802" s="214">
        <v>0</v>
      </c>
      <c r="J802" s="214">
        <f t="shared" si="38"/>
        <v>-3100</v>
      </c>
      <c r="K802" s="212" t="s">
        <v>6812</v>
      </c>
      <c r="L802" s="213"/>
      <c r="M802" s="212"/>
    </row>
    <row r="803" spans="1:13" ht="21" customHeight="1">
      <c r="A803" s="213" t="s">
        <v>6804</v>
      </c>
      <c r="B803" s="215">
        <f t="shared" si="36"/>
        <v>45713</v>
      </c>
      <c r="C803" s="213" t="s">
        <v>4502</v>
      </c>
      <c r="D803" s="213" t="s">
        <v>4366</v>
      </c>
      <c r="E803" s="213" t="s">
        <v>333</v>
      </c>
      <c r="F803" s="212" t="s">
        <v>4365</v>
      </c>
      <c r="G803" s="212" t="str">
        <f t="shared" si="37"/>
        <v>101현금</v>
      </c>
      <c r="H803" s="214">
        <v>0</v>
      </c>
      <c r="I803" s="214">
        <v>3100</v>
      </c>
      <c r="J803" s="214">
        <f t="shared" si="38"/>
        <v>3100</v>
      </c>
      <c r="K803" s="212" t="s">
        <v>6369</v>
      </c>
      <c r="L803" s="213"/>
      <c r="M803" s="212"/>
    </row>
    <row r="804" spans="1:13" ht="21" customHeight="1">
      <c r="A804" s="213" t="s">
        <v>6804</v>
      </c>
      <c r="B804" s="215">
        <f t="shared" si="36"/>
        <v>45713</v>
      </c>
      <c r="C804" s="213" t="s">
        <v>4503</v>
      </c>
      <c r="D804" s="213" t="s">
        <v>4369</v>
      </c>
      <c r="E804" s="213" t="s">
        <v>4380</v>
      </c>
      <c r="F804" s="212" t="s">
        <v>6515</v>
      </c>
      <c r="G804" s="212" t="str">
        <f t="shared" si="37"/>
        <v>812여비교통비(판)</v>
      </c>
      <c r="H804" s="214">
        <v>10000</v>
      </c>
      <c r="I804" s="214">
        <v>0</v>
      </c>
      <c r="J804" s="214">
        <f t="shared" si="38"/>
        <v>-10000</v>
      </c>
      <c r="K804" s="212" t="s">
        <v>6811</v>
      </c>
      <c r="L804" s="213"/>
      <c r="M804" s="212"/>
    </row>
    <row r="805" spans="1:13" ht="21" customHeight="1">
      <c r="A805" s="213" t="s">
        <v>6804</v>
      </c>
      <c r="B805" s="215">
        <f t="shared" si="36"/>
        <v>45713</v>
      </c>
      <c r="C805" s="213" t="s">
        <v>4503</v>
      </c>
      <c r="D805" s="213" t="s">
        <v>4366</v>
      </c>
      <c r="E805" s="213" t="s">
        <v>333</v>
      </c>
      <c r="F805" s="212" t="s">
        <v>4365</v>
      </c>
      <c r="G805" s="212" t="str">
        <f t="shared" si="37"/>
        <v>101현금</v>
      </c>
      <c r="H805" s="214">
        <v>0</v>
      </c>
      <c r="I805" s="214">
        <v>10000</v>
      </c>
      <c r="J805" s="214">
        <f t="shared" si="38"/>
        <v>10000</v>
      </c>
      <c r="K805" s="212" t="s">
        <v>6369</v>
      </c>
      <c r="L805" s="213"/>
      <c r="M805" s="212"/>
    </row>
    <row r="806" spans="1:13" ht="21" customHeight="1">
      <c r="A806" s="213" t="s">
        <v>6804</v>
      </c>
      <c r="B806" s="215">
        <f t="shared" si="36"/>
        <v>45713</v>
      </c>
      <c r="C806" s="213" t="s">
        <v>4511</v>
      </c>
      <c r="D806" s="213" t="s">
        <v>4369</v>
      </c>
      <c r="E806" s="213" t="s">
        <v>4380</v>
      </c>
      <c r="F806" s="212" t="s">
        <v>6515</v>
      </c>
      <c r="G806" s="212" t="str">
        <f t="shared" si="37"/>
        <v>812여비교통비(판)</v>
      </c>
      <c r="H806" s="214">
        <v>1300</v>
      </c>
      <c r="I806" s="214">
        <v>0</v>
      </c>
      <c r="J806" s="214">
        <f t="shared" si="38"/>
        <v>-1300</v>
      </c>
      <c r="K806" s="212" t="s">
        <v>6810</v>
      </c>
      <c r="L806" s="213"/>
      <c r="M806" s="212"/>
    </row>
    <row r="807" spans="1:13" ht="21" customHeight="1">
      <c r="A807" s="213" t="s">
        <v>6804</v>
      </c>
      <c r="B807" s="215">
        <f t="shared" si="36"/>
        <v>45713</v>
      </c>
      <c r="C807" s="213" t="s">
        <v>4511</v>
      </c>
      <c r="D807" s="213" t="s">
        <v>4366</v>
      </c>
      <c r="E807" s="213" t="s">
        <v>333</v>
      </c>
      <c r="F807" s="212" t="s">
        <v>4365</v>
      </c>
      <c r="G807" s="212" t="str">
        <f t="shared" si="37"/>
        <v>101현금</v>
      </c>
      <c r="H807" s="214">
        <v>0</v>
      </c>
      <c r="I807" s="214">
        <v>1300</v>
      </c>
      <c r="J807" s="214">
        <f t="shared" si="38"/>
        <v>1300</v>
      </c>
      <c r="K807" s="212" t="s">
        <v>6369</v>
      </c>
      <c r="L807" s="213"/>
      <c r="M807" s="212"/>
    </row>
    <row r="808" spans="1:13" ht="21" customHeight="1">
      <c r="A808" s="213" t="s">
        <v>6804</v>
      </c>
      <c r="B808" s="215">
        <f t="shared" si="36"/>
        <v>45713</v>
      </c>
      <c r="C808" s="213" t="s">
        <v>4512</v>
      </c>
      <c r="D808" s="213" t="s">
        <v>4369</v>
      </c>
      <c r="E808" s="213" t="s">
        <v>4380</v>
      </c>
      <c r="F808" s="212" t="s">
        <v>6515</v>
      </c>
      <c r="G808" s="212" t="str">
        <f t="shared" si="37"/>
        <v>812여비교통비(판)</v>
      </c>
      <c r="H808" s="214">
        <v>8100</v>
      </c>
      <c r="I808" s="214">
        <v>0</v>
      </c>
      <c r="J808" s="214">
        <f t="shared" si="38"/>
        <v>-8100</v>
      </c>
      <c r="K808" s="212" t="s">
        <v>6809</v>
      </c>
      <c r="L808" s="213"/>
      <c r="M808" s="212"/>
    </row>
    <row r="809" spans="1:13" ht="21" customHeight="1">
      <c r="A809" s="213" t="s">
        <v>6804</v>
      </c>
      <c r="B809" s="215">
        <f t="shared" si="36"/>
        <v>45713</v>
      </c>
      <c r="C809" s="213" t="s">
        <v>4512</v>
      </c>
      <c r="D809" s="213" t="s">
        <v>4366</v>
      </c>
      <c r="E809" s="213" t="s">
        <v>333</v>
      </c>
      <c r="F809" s="212" t="s">
        <v>4365</v>
      </c>
      <c r="G809" s="212" t="str">
        <f t="shared" si="37"/>
        <v>101현금</v>
      </c>
      <c r="H809" s="214">
        <v>0</v>
      </c>
      <c r="I809" s="214">
        <v>8100</v>
      </c>
      <c r="J809" s="214">
        <f t="shared" si="38"/>
        <v>8100</v>
      </c>
      <c r="K809" s="212" t="s">
        <v>6369</v>
      </c>
      <c r="L809" s="213"/>
      <c r="M809" s="212"/>
    </row>
    <row r="810" spans="1:13" ht="21" customHeight="1">
      <c r="A810" s="213" t="s">
        <v>6804</v>
      </c>
      <c r="B810" s="215">
        <f t="shared" si="36"/>
        <v>45713</v>
      </c>
      <c r="C810" s="213" t="s">
        <v>4518</v>
      </c>
      <c r="D810" s="213" t="s">
        <v>4366</v>
      </c>
      <c r="E810" s="213" t="s">
        <v>333</v>
      </c>
      <c r="F810" s="212" t="s">
        <v>4365</v>
      </c>
      <c r="G810" s="212" t="str">
        <f t="shared" si="37"/>
        <v>101현금</v>
      </c>
      <c r="H810" s="214">
        <v>0</v>
      </c>
      <c r="I810" s="214">
        <v>13000</v>
      </c>
      <c r="J810" s="214">
        <f t="shared" si="38"/>
        <v>13000</v>
      </c>
      <c r="K810" s="212" t="s">
        <v>6369</v>
      </c>
      <c r="L810" s="213"/>
      <c r="M810" s="212"/>
    </row>
    <row r="811" spans="1:13" ht="21" customHeight="1">
      <c r="A811" s="213" t="s">
        <v>6804</v>
      </c>
      <c r="B811" s="215">
        <f t="shared" si="36"/>
        <v>45713</v>
      </c>
      <c r="C811" s="213" t="s">
        <v>4518</v>
      </c>
      <c r="D811" s="213" t="s">
        <v>4369</v>
      </c>
      <c r="E811" s="213" t="s">
        <v>4380</v>
      </c>
      <c r="F811" s="212" t="s">
        <v>6515</v>
      </c>
      <c r="G811" s="212" t="str">
        <f t="shared" si="37"/>
        <v>812여비교통비(판)</v>
      </c>
      <c r="H811" s="214">
        <v>13000</v>
      </c>
      <c r="I811" s="214">
        <v>0</v>
      </c>
      <c r="J811" s="214">
        <f t="shared" si="38"/>
        <v>-13000</v>
      </c>
      <c r="K811" s="212" t="s">
        <v>6808</v>
      </c>
      <c r="L811" s="213"/>
      <c r="M811" s="212"/>
    </row>
    <row r="812" spans="1:13" ht="21" customHeight="1">
      <c r="A812" s="213" t="s">
        <v>6804</v>
      </c>
      <c r="B812" s="215">
        <f t="shared" si="36"/>
        <v>45713</v>
      </c>
      <c r="C812" s="213" t="s">
        <v>4519</v>
      </c>
      <c r="D812" s="213" t="s">
        <v>4369</v>
      </c>
      <c r="E812" s="213" t="s">
        <v>4380</v>
      </c>
      <c r="F812" s="212" t="s">
        <v>6515</v>
      </c>
      <c r="G812" s="212" t="str">
        <f t="shared" si="37"/>
        <v>812여비교통비(판)</v>
      </c>
      <c r="H812" s="214">
        <v>10200</v>
      </c>
      <c r="I812" s="214">
        <v>0</v>
      </c>
      <c r="J812" s="214">
        <f t="shared" si="38"/>
        <v>-10200</v>
      </c>
      <c r="K812" s="212" t="s">
        <v>6807</v>
      </c>
      <c r="L812" s="213"/>
      <c r="M812" s="212"/>
    </row>
    <row r="813" spans="1:13" ht="21" customHeight="1">
      <c r="A813" s="213" t="s">
        <v>6804</v>
      </c>
      <c r="B813" s="215">
        <f t="shared" si="36"/>
        <v>45713</v>
      </c>
      <c r="C813" s="213" t="s">
        <v>4519</v>
      </c>
      <c r="D813" s="213" t="s">
        <v>4366</v>
      </c>
      <c r="E813" s="213" t="s">
        <v>333</v>
      </c>
      <c r="F813" s="212" t="s">
        <v>4365</v>
      </c>
      <c r="G813" s="212" t="str">
        <f t="shared" si="37"/>
        <v>101현금</v>
      </c>
      <c r="H813" s="214">
        <v>0</v>
      </c>
      <c r="I813" s="214">
        <v>10200</v>
      </c>
      <c r="J813" s="214">
        <f t="shared" si="38"/>
        <v>10200</v>
      </c>
      <c r="K813" s="212" t="s">
        <v>6369</v>
      </c>
      <c r="L813" s="213"/>
      <c r="M813" s="212"/>
    </row>
    <row r="814" spans="1:13" ht="21" customHeight="1">
      <c r="A814" s="213" t="s">
        <v>6804</v>
      </c>
      <c r="B814" s="215">
        <f t="shared" si="36"/>
        <v>45713</v>
      </c>
      <c r="C814" s="213" t="s">
        <v>6737</v>
      </c>
      <c r="D814" s="213" t="s">
        <v>4369</v>
      </c>
      <c r="E814" s="213" t="s">
        <v>6157</v>
      </c>
      <c r="F814" s="212" t="s">
        <v>6524</v>
      </c>
      <c r="G814" s="212" t="str">
        <f t="shared" si="37"/>
        <v>813접대비(기업업무추진비)(판)</v>
      </c>
      <c r="H814" s="214">
        <v>48000</v>
      </c>
      <c r="I814" s="214">
        <v>0</v>
      </c>
      <c r="J814" s="214">
        <f t="shared" si="38"/>
        <v>-48000</v>
      </c>
      <c r="K814" s="212" t="s">
        <v>6806</v>
      </c>
      <c r="L814" s="213" t="s">
        <v>1327</v>
      </c>
      <c r="M814" s="212" t="s">
        <v>6356</v>
      </c>
    </row>
    <row r="815" spans="1:13" ht="21" customHeight="1">
      <c r="A815" s="213" t="s">
        <v>6804</v>
      </c>
      <c r="B815" s="215">
        <f t="shared" si="36"/>
        <v>45713</v>
      </c>
      <c r="C815" s="213" t="s">
        <v>6737</v>
      </c>
      <c r="D815" s="213" t="s">
        <v>4366</v>
      </c>
      <c r="E815" s="213" t="s">
        <v>333</v>
      </c>
      <c r="F815" s="212" t="s">
        <v>4365</v>
      </c>
      <c r="G815" s="212" t="str">
        <f t="shared" si="37"/>
        <v>101현금</v>
      </c>
      <c r="H815" s="214">
        <v>0</v>
      </c>
      <c r="I815" s="214">
        <v>48000</v>
      </c>
      <c r="J815" s="214">
        <f t="shared" si="38"/>
        <v>48000</v>
      </c>
      <c r="K815" s="212" t="s">
        <v>6369</v>
      </c>
      <c r="L815" s="213"/>
      <c r="M815" s="212"/>
    </row>
    <row r="816" spans="1:13" ht="21" customHeight="1">
      <c r="A816" s="213" t="s">
        <v>6804</v>
      </c>
      <c r="B816" s="215">
        <f t="shared" si="36"/>
        <v>45713</v>
      </c>
      <c r="C816" s="213" t="s">
        <v>6735</v>
      </c>
      <c r="D816" s="213" t="s">
        <v>4369</v>
      </c>
      <c r="E816" s="213" t="s">
        <v>4380</v>
      </c>
      <c r="F816" s="212" t="s">
        <v>6515</v>
      </c>
      <c r="G816" s="212" t="str">
        <f t="shared" si="37"/>
        <v>812여비교통비(판)</v>
      </c>
      <c r="H816" s="214">
        <v>51981</v>
      </c>
      <c r="I816" s="214">
        <v>0</v>
      </c>
      <c r="J816" s="214">
        <f t="shared" si="38"/>
        <v>-51981</v>
      </c>
      <c r="K816" s="212" t="s">
        <v>6805</v>
      </c>
      <c r="L816" s="213"/>
      <c r="M816" s="212"/>
    </row>
    <row r="817" spans="1:13" ht="21" customHeight="1">
      <c r="A817" s="213" t="s">
        <v>6804</v>
      </c>
      <c r="B817" s="215">
        <f t="shared" si="36"/>
        <v>45713</v>
      </c>
      <c r="C817" s="213" t="s">
        <v>6735</v>
      </c>
      <c r="D817" s="213" t="s">
        <v>4366</v>
      </c>
      <c r="E817" s="213" t="s">
        <v>333</v>
      </c>
      <c r="F817" s="212" t="s">
        <v>4365</v>
      </c>
      <c r="G817" s="212" t="str">
        <f t="shared" si="37"/>
        <v>101현금</v>
      </c>
      <c r="H817" s="214">
        <v>0</v>
      </c>
      <c r="I817" s="214">
        <v>51981</v>
      </c>
      <c r="J817" s="214">
        <f t="shared" si="38"/>
        <v>51981</v>
      </c>
      <c r="K817" s="212" t="s">
        <v>6805</v>
      </c>
      <c r="L817" s="213"/>
      <c r="M817" s="212"/>
    </row>
    <row r="818" spans="1:13" ht="21" customHeight="1">
      <c r="A818" s="213" t="s">
        <v>6804</v>
      </c>
      <c r="B818" s="215">
        <f t="shared" si="36"/>
        <v>45713</v>
      </c>
      <c r="C818" s="213" t="s">
        <v>4367</v>
      </c>
      <c r="D818" s="213" t="s">
        <v>4366</v>
      </c>
      <c r="E818" s="213" t="s">
        <v>6176</v>
      </c>
      <c r="F818" s="212" t="s">
        <v>6177</v>
      </c>
      <c r="G818" s="212" t="str">
        <f t="shared" si="37"/>
        <v>255부가세예수금</v>
      </c>
      <c r="H818" s="214">
        <v>0</v>
      </c>
      <c r="I818" s="214">
        <v>7000</v>
      </c>
      <c r="J818" s="214">
        <f t="shared" si="38"/>
        <v>7000</v>
      </c>
      <c r="K818" s="212" t="s">
        <v>6247</v>
      </c>
      <c r="L818" s="213"/>
      <c r="M818" s="212" t="s">
        <v>6287</v>
      </c>
    </row>
    <row r="819" spans="1:13" ht="21" customHeight="1">
      <c r="A819" s="213" t="s">
        <v>6804</v>
      </c>
      <c r="B819" s="215">
        <f t="shared" si="36"/>
        <v>45713</v>
      </c>
      <c r="C819" s="213" t="s">
        <v>4367</v>
      </c>
      <c r="D819" s="213" t="s">
        <v>4366</v>
      </c>
      <c r="E819" s="213" t="s">
        <v>334</v>
      </c>
      <c r="F819" s="212" t="s">
        <v>6158</v>
      </c>
      <c r="G819" s="212" t="str">
        <f t="shared" si="37"/>
        <v>401용역매출</v>
      </c>
      <c r="H819" s="214">
        <v>0</v>
      </c>
      <c r="I819" s="214">
        <v>70000</v>
      </c>
      <c r="J819" s="214">
        <f t="shared" si="38"/>
        <v>70000</v>
      </c>
      <c r="K819" s="212" t="s">
        <v>6247</v>
      </c>
      <c r="L819" s="213"/>
      <c r="M819" s="212" t="s">
        <v>6287</v>
      </c>
    </row>
    <row r="820" spans="1:13" ht="21" customHeight="1">
      <c r="A820" s="213" t="s">
        <v>6804</v>
      </c>
      <c r="B820" s="215">
        <f t="shared" si="36"/>
        <v>45713</v>
      </c>
      <c r="C820" s="213" t="s">
        <v>4367</v>
      </c>
      <c r="D820" s="213" t="s">
        <v>4369</v>
      </c>
      <c r="E820" s="213" t="s">
        <v>333</v>
      </c>
      <c r="F820" s="212" t="s">
        <v>4365</v>
      </c>
      <c r="G820" s="212" t="str">
        <f t="shared" si="37"/>
        <v>101현금</v>
      </c>
      <c r="H820" s="214">
        <v>77000</v>
      </c>
      <c r="I820" s="214">
        <v>0</v>
      </c>
      <c r="J820" s="214">
        <f t="shared" si="38"/>
        <v>-77000</v>
      </c>
      <c r="K820" s="212" t="s">
        <v>6247</v>
      </c>
      <c r="L820" s="213"/>
      <c r="M820" s="212" t="s">
        <v>6287</v>
      </c>
    </row>
    <row r="821" spans="1:13" ht="21" customHeight="1">
      <c r="A821" s="213" t="s">
        <v>6804</v>
      </c>
      <c r="B821" s="215">
        <f t="shared" si="36"/>
        <v>45713</v>
      </c>
      <c r="C821" s="213" t="s">
        <v>4374</v>
      </c>
      <c r="D821" s="213" t="s">
        <v>4366</v>
      </c>
      <c r="E821" s="213" t="s">
        <v>6176</v>
      </c>
      <c r="F821" s="212" t="s">
        <v>6177</v>
      </c>
      <c r="G821" s="212" t="str">
        <f t="shared" si="37"/>
        <v>255부가세예수금</v>
      </c>
      <c r="H821" s="214">
        <v>0</v>
      </c>
      <c r="I821" s="214">
        <v>15000</v>
      </c>
      <c r="J821" s="214">
        <f t="shared" si="38"/>
        <v>15000</v>
      </c>
      <c r="K821" s="212" t="s">
        <v>6372</v>
      </c>
      <c r="L821" s="213"/>
      <c r="M821" s="212" t="s">
        <v>6179</v>
      </c>
    </row>
    <row r="822" spans="1:13" ht="21" customHeight="1">
      <c r="A822" s="213" t="s">
        <v>6804</v>
      </c>
      <c r="B822" s="215">
        <f t="shared" si="36"/>
        <v>45713</v>
      </c>
      <c r="C822" s="213" t="s">
        <v>4374</v>
      </c>
      <c r="D822" s="213" t="s">
        <v>4366</v>
      </c>
      <c r="E822" s="213" t="s">
        <v>334</v>
      </c>
      <c r="F822" s="212" t="s">
        <v>6158</v>
      </c>
      <c r="G822" s="212" t="str">
        <f t="shared" si="37"/>
        <v>401용역매출</v>
      </c>
      <c r="H822" s="214">
        <v>0</v>
      </c>
      <c r="I822" s="214">
        <v>150000</v>
      </c>
      <c r="J822" s="214">
        <f t="shared" si="38"/>
        <v>150000</v>
      </c>
      <c r="K822" s="212" t="s">
        <v>6372</v>
      </c>
      <c r="L822" s="213"/>
      <c r="M822" s="212" t="s">
        <v>6179</v>
      </c>
    </row>
    <row r="823" spans="1:13" ht="21" customHeight="1">
      <c r="A823" s="213" t="s">
        <v>6804</v>
      </c>
      <c r="B823" s="215">
        <f t="shared" si="36"/>
        <v>45713</v>
      </c>
      <c r="C823" s="213" t="s">
        <v>4374</v>
      </c>
      <c r="D823" s="213" t="s">
        <v>4369</v>
      </c>
      <c r="E823" s="213" t="s">
        <v>333</v>
      </c>
      <c r="F823" s="212" t="s">
        <v>4365</v>
      </c>
      <c r="G823" s="212" t="str">
        <f t="shared" si="37"/>
        <v>101현금</v>
      </c>
      <c r="H823" s="214">
        <v>165000</v>
      </c>
      <c r="I823" s="214">
        <v>0</v>
      </c>
      <c r="J823" s="214">
        <f t="shared" si="38"/>
        <v>-165000</v>
      </c>
      <c r="K823" s="212" t="s">
        <v>6372</v>
      </c>
      <c r="L823" s="213"/>
      <c r="M823" s="212" t="s">
        <v>6179</v>
      </c>
    </row>
    <row r="824" spans="1:13" ht="21" customHeight="1">
      <c r="A824" s="213" t="s">
        <v>6804</v>
      </c>
      <c r="B824" s="215">
        <f t="shared" si="36"/>
        <v>45713</v>
      </c>
      <c r="C824" s="213" t="s">
        <v>6182</v>
      </c>
      <c r="D824" s="213" t="s">
        <v>4366</v>
      </c>
      <c r="E824" s="213" t="s">
        <v>6176</v>
      </c>
      <c r="F824" s="212" t="s">
        <v>6177</v>
      </c>
      <c r="G824" s="212" t="str">
        <f t="shared" si="37"/>
        <v>255부가세예수금</v>
      </c>
      <c r="H824" s="214">
        <v>0</v>
      </c>
      <c r="I824" s="214">
        <v>10000</v>
      </c>
      <c r="J824" s="214">
        <f t="shared" si="38"/>
        <v>10000</v>
      </c>
      <c r="K824" s="212" t="s">
        <v>6279</v>
      </c>
      <c r="L824" s="213"/>
      <c r="M824" s="212" t="s">
        <v>6185</v>
      </c>
    </row>
    <row r="825" spans="1:13" ht="21" customHeight="1">
      <c r="A825" s="213" t="s">
        <v>6804</v>
      </c>
      <c r="B825" s="215">
        <f t="shared" si="36"/>
        <v>45713</v>
      </c>
      <c r="C825" s="213" t="s">
        <v>6182</v>
      </c>
      <c r="D825" s="213" t="s">
        <v>4366</v>
      </c>
      <c r="E825" s="213" t="s">
        <v>334</v>
      </c>
      <c r="F825" s="212" t="s">
        <v>6158</v>
      </c>
      <c r="G825" s="212" t="str">
        <f t="shared" si="37"/>
        <v>401용역매출</v>
      </c>
      <c r="H825" s="214">
        <v>0</v>
      </c>
      <c r="I825" s="214">
        <v>100000</v>
      </c>
      <c r="J825" s="214">
        <f t="shared" si="38"/>
        <v>100000</v>
      </c>
      <c r="K825" s="212" t="s">
        <v>6279</v>
      </c>
      <c r="L825" s="213"/>
      <c r="M825" s="212" t="s">
        <v>6185</v>
      </c>
    </row>
    <row r="826" spans="1:13" ht="21" customHeight="1">
      <c r="A826" s="213" t="s">
        <v>6804</v>
      </c>
      <c r="B826" s="215">
        <f t="shared" si="36"/>
        <v>45713</v>
      </c>
      <c r="C826" s="213" t="s">
        <v>6182</v>
      </c>
      <c r="D826" s="213" t="s">
        <v>4369</v>
      </c>
      <c r="E826" s="213" t="s">
        <v>333</v>
      </c>
      <c r="F826" s="212" t="s">
        <v>4365</v>
      </c>
      <c r="G826" s="212" t="str">
        <f t="shared" si="37"/>
        <v>101현금</v>
      </c>
      <c r="H826" s="214">
        <v>110000</v>
      </c>
      <c r="I826" s="214">
        <v>0</v>
      </c>
      <c r="J826" s="214">
        <f t="shared" si="38"/>
        <v>-110000</v>
      </c>
      <c r="K826" s="212" t="s">
        <v>6279</v>
      </c>
      <c r="L826" s="213"/>
      <c r="M826" s="212" t="s">
        <v>6185</v>
      </c>
    </row>
    <row r="827" spans="1:13" ht="21" customHeight="1">
      <c r="A827" s="213" t="s">
        <v>6804</v>
      </c>
      <c r="B827" s="215">
        <f t="shared" si="36"/>
        <v>45713</v>
      </c>
      <c r="C827" s="213" t="s">
        <v>6184</v>
      </c>
      <c r="D827" s="213" t="s">
        <v>4366</v>
      </c>
      <c r="E827" s="213" t="s">
        <v>333</v>
      </c>
      <c r="F827" s="212" t="s">
        <v>4365</v>
      </c>
      <c r="G827" s="212" t="str">
        <f t="shared" si="37"/>
        <v>101현금</v>
      </c>
      <c r="H827" s="214">
        <v>0</v>
      </c>
      <c r="I827" s="214">
        <v>2000</v>
      </c>
      <c r="J827" s="214">
        <f t="shared" si="38"/>
        <v>2000</v>
      </c>
      <c r="K827" s="212" t="s">
        <v>6369</v>
      </c>
      <c r="L827" s="213"/>
      <c r="M827" s="212"/>
    </row>
    <row r="828" spans="1:13" ht="21" customHeight="1">
      <c r="A828" s="213" t="s">
        <v>6804</v>
      </c>
      <c r="B828" s="215">
        <f t="shared" si="36"/>
        <v>45713</v>
      </c>
      <c r="C828" s="213" t="s">
        <v>6184</v>
      </c>
      <c r="D828" s="213" t="s">
        <v>4369</v>
      </c>
      <c r="E828" s="213" t="s">
        <v>4383</v>
      </c>
      <c r="F828" s="212" t="s">
        <v>6525</v>
      </c>
      <c r="G828" s="212" t="str">
        <f t="shared" si="37"/>
        <v>830소모품비(판)</v>
      </c>
      <c r="H828" s="214">
        <v>1818</v>
      </c>
      <c r="I828" s="214">
        <v>0</v>
      </c>
      <c r="J828" s="214">
        <f t="shared" si="38"/>
        <v>-1818</v>
      </c>
      <c r="K828" s="212" t="s">
        <v>6202</v>
      </c>
      <c r="L828" s="213" t="s">
        <v>6411</v>
      </c>
      <c r="M828" s="212"/>
    </row>
    <row r="829" spans="1:13" ht="21" customHeight="1">
      <c r="A829" s="213" t="s">
        <v>6804</v>
      </c>
      <c r="B829" s="215">
        <f t="shared" si="36"/>
        <v>45713</v>
      </c>
      <c r="C829" s="213" t="s">
        <v>6184</v>
      </c>
      <c r="D829" s="213" t="s">
        <v>4369</v>
      </c>
      <c r="E829" s="213" t="s">
        <v>4371</v>
      </c>
      <c r="F829" s="212" t="s">
        <v>4370</v>
      </c>
      <c r="G829" s="212" t="str">
        <f t="shared" si="37"/>
        <v>135부가세대급금</v>
      </c>
      <c r="H829" s="214">
        <v>182</v>
      </c>
      <c r="I829" s="214">
        <v>0</v>
      </c>
      <c r="J829" s="214">
        <f t="shared" si="38"/>
        <v>-182</v>
      </c>
      <c r="K829" s="212" t="s">
        <v>6202</v>
      </c>
      <c r="L829" s="213" t="s">
        <v>6411</v>
      </c>
      <c r="M829" s="212"/>
    </row>
    <row r="830" spans="1:13" ht="21" customHeight="1">
      <c r="A830" s="213" t="s">
        <v>6801</v>
      </c>
      <c r="B830" s="215">
        <f t="shared" si="36"/>
        <v>45714</v>
      </c>
      <c r="C830" s="213" t="s">
        <v>4373</v>
      </c>
      <c r="D830" s="213" t="s">
        <v>4366</v>
      </c>
      <c r="E830" s="213" t="s">
        <v>333</v>
      </c>
      <c r="F830" s="212" t="s">
        <v>4365</v>
      </c>
      <c r="G830" s="212" t="str">
        <f t="shared" si="37"/>
        <v>101현금</v>
      </c>
      <c r="H830" s="214">
        <v>0</v>
      </c>
      <c r="I830" s="214">
        <v>21600</v>
      </c>
      <c r="J830" s="214">
        <f t="shared" si="38"/>
        <v>21600</v>
      </c>
      <c r="K830" s="212" t="s">
        <v>6371</v>
      </c>
      <c r="L830" s="213"/>
      <c r="M830" s="212"/>
    </row>
    <row r="831" spans="1:13" ht="21" customHeight="1">
      <c r="A831" s="213" t="s">
        <v>6801</v>
      </c>
      <c r="B831" s="215">
        <f t="shared" si="36"/>
        <v>45714</v>
      </c>
      <c r="C831" s="213" t="s">
        <v>4373</v>
      </c>
      <c r="D831" s="213" t="s">
        <v>4369</v>
      </c>
      <c r="E831" s="213" t="s">
        <v>4499</v>
      </c>
      <c r="F831" s="212" t="s">
        <v>6517</v>
      </c>
      <c r="G831" s="212" t="str">
        <f t="shared" si="37"/>
        <v>811복리후생비(판)</v>
      </c>
      <c r="H831" s="214">
        <v>21600</v>
      </c>
      <c r="I831" s="214">
        <v>0</v>
      </c>
      <c r="J831" s="214">
        <f t="shared" si="38"/>
        <v>-21600</v>
      </c>
      <c r="K831" s="212" t="s">
        <v>6658</v>
      </c>
      <c r="L831" s="213"/>
      <c r="M831" s="212"/>
    </row>
    <row r="832" spans="1:13" ht="21" customHeight="1">
      <c r="A832" s="213" t="s">
        <v>6801</v>
      </c>
      <c r="B832" s="215">
        <f t="shared" si="36"/>
        <v>45714</v>
      </c>
      <c r="C832" s="213" t="s">
        <v>4382</v>
      </c>
      <c r="D832" s="213" t="s">
        <v>4369</v>
      </c>
      <c r="E832" s="213" t="s">
        <v>4380</v>
      </c>
      <c r="F832" s="212" t="s">
        <v>6515</v>
      </c>
      <c r="G832" s="212" t="str">
        <f t="shared" si="37"/>
        <v>812여비교통비(판)</v>
      </c>
      <c r="H832" s="214">
        <v>7200</v>
      </c>
      <c r="I832" s="214">
        <v>0</v>
      </c>
      <c r="J832" s="214">
        <f t="shared" si="38"/>
        <v>-7200</v>
      </c>
      <c r="K832" s="212" t="s">
        <v>6803</v>
      </c>
      <c r="L832" s="213"/>
      <c r="M832" s="212"/>
    </row>
    <row r="833" spans="1:13" ht="21" customHeight="1">
      <c r="A833" s="213" t="s">
        <v>6801</v>
      </c>
      <c r="B833" s="215">
        <f t="shared" si="36"/>
        <v>45714</v>
      </c>
      <c r="C833" s="213" t="s">
        <v>4382</v>
      </c>
      <c r="D833" s="213" t="s">
        <v>4366</v>
      </c>
      <c r="E833" s="213" t="s">
        <v>333</v>
      </c>
      <c r="F833" s="212" t="s">
        <v>4365</v>
      </c>
      <c r="G833" s="212" t="str">
        <f t="shared" si="37"/>
        <v>101현금</v>
      </c>
      <c r="H833" s="214">
        <v>0</v>
      </c>
      <c r="I833" s="214">
        <v>7200</v>
      </c>
      <c r="J833" s="214">
        <f t="shared" si="38"/>
        <v>7200</v>
      </c>
      <c r="K833" s="212" t="s">
        <v>6371</v>
      </c>
      <c r="L833" s="213"/>
      <c r="M833" s="212"/>
    </row>
    <row r="834" spans="1:13" ht="21" customHeight="1">
      <c r="A834" s="213" t="s">
        <v>6801</v>
      </c>
      <c r="B834" s="215">
        <f t="shared" ref="B834:B897" si="39">DATEVALUE(A834)</f>
        <v>45714</v>
      </c>
      <c r="C834" s="213" t="s">
        <v>4367</v>
      </c>
      <c r="D834" s="213" t="s">
        <v>4366</v>
      </c>
      <c r="E834" s="213" t="s">
        <v>6176</v>
      </c>
      <c r="F834" s="212" t="s">
        <v>6177</v>
      </c>
      <c r="G834" s="212" t="str">
        <f t="shared" ref="G834:G897" si="40">E834&amp;F834</f>
        <v>255부가세예수금</v>
      </c>
      <c r="H834" s="214">
        <v>0</v>
      </c>
      <c r="I834" s="214">
        <v>15000</v>
      </c>
      <c r="J834" s="214">
        <f t="shared" ref="J834:J897" si="41">I834-H834</f>
        <v>15000</v>
      </c>
      <c r="K834" s="212" t="s">
        <v>6360</v>
      </c>
      <c r="L834" s="213"/>
      <c r="M834" s="212" t="s">
        <v>6179</v>
      </c>
    </row>
    <row r="835" spans="1:13" ht="21" customHeight="1">
      <c r="A835" s="213" t="s">
        <v>6801</v>
      </c>
      <c r="B835" s="215">
        <f t="shared" si="39"/>
        <v>45714</v>
      </c>
      <c r="C835" s="213" t="s">
        <v>4367</v>
      </c>
      <c r="D835" s="213" t="s">
        <v>4366</v>
      </c>
      <c r="E835" s="213" t="s">
        <v>334</v>
      </c>
      <c r="F835" s="212" t="s">
        <v>6158</v>
      </c>
      <c r="G835" s="212" t="str">
        <f t="shared" si="40"/>
        <v>401용역매출</v>
      </c>
      <c r="H835" s="214">
        <v>0</v>
      </c>
      <c r="I835" s="214">
        <v>150000</v>
      </c>
      <c r="J835" s="214">
        <f t="shared" si="41"/>
        <v>150000</v>
      </c>
      <c r="K835" s="212" t="s">
        <v>6360</v>
      </c>
      <c r="L835" s="213"/>
      <c r="M835" s="212" t="s">
        <v>6179</v>
      </c>
    </row>
    <row r="836" spans="1:13" ht="21" customHeight="1">
      <c r="A836" s="213" t="s">
        <v>6801</v>
      </c>
      <c r="B836" s="215">
        <f t="shared" si="39"/>
        <v>45714</v>
      </c>
      <c r="C836" s="213" t="s">
        <v>4367</v>
      </c>
      <c r="D836" s="213" t="s">
        <v>4369</v>
      </c>
      <c r="E836" s="213" t="s">
        <v>333</v>
      </c>
      <c r="F836" s="212" t="s">
        <v>4365</v>
      </c>
      <c r="G836" s="212" t="str">
        <f t="shared" si="40"/>
        <v>101현금</v>
      </c>
      <c r="H836" s="214">
        <v>165000</v>
      </c>
      <c r="I836" s="214">
        <v>0</v>
      </c>
      <c r="J836" s="214">
        <f t="shared" si="41"/>
        <v>-165000</v>
      </c>
      <c r="K836" s="212" t="s">
        <v>6360</v>
      </c>
      <c r="L836" s="213"/>
      <c r="M836" s="212" t="s">
        <v>6179</v>
      </c>
    </row>
    <row r="837" spans="1:13" ht="21" customHeight="1">
      <c r="A837" s="213" t="s">
        <v>6801</v>
      </c>
      <c r="B837" s="215">
        <f t="shared" si="39"/>
        <v>45714</v>
      </c>
      <c r="C837" s="213" t="s">
        <v>4374</v>
      </c>
      <c r="D837" s="213" t="s">
        <v>4366</v>
      </c>
      <c r="E837" s="213" t="s">
        <v>6176</v>
      </c>
      <c r="F837" s="212" t="s">
        <v>6177</v>
      </c>
      <c r="G837" s="212" t="str">
        <f t="shared" si="40"/>
        <v>255부가세예수금</v>
      </c>
      <c r="H837" s="214">
        <v>0</v>
      </c>
      <c r="I837" s="214">
        <v>15000</v>
      </c>
      <c r="J837" s="214">
        <f t="shared" si="41"/>
        <v>15000</v>
      </c>
      <c r="K837" s="212" t="s">
        <v>6237</v>
      </c>
      <c r="L837" s="213"/>
      <c r="M837" s="212" t="s">
        <v>6179</v>
      </c>
    </row>
    <row r="838" spans="1:13" ht="21" customHeight="1">
      <c r="A838" s="213" t="s">
        <v>6801</v>
      </c>
      <c r="B838" s="215">
        <f t="shared" si="39"/>
        <v>45714</v>
      </c>
      <c r="C838" s="213" t="s">
        <v>4374</v>
      </c>
      <c r="D838" s="213" t="s">
        <v>4366</v>
      </c>
      <c r="E838" s="213" t="s">
        <v>334</v>
      </c>
      <c r="F838" s="212" t="s">
        <v>6158</v>
      </c>
      <c r="G838" s="212" t="str">
        <f t="shared" si="40"/>
        <v>401용역매출</v>
      </c>
      <c r="H838" s="214">
        <v>0</v>
      </c>
      <c r="I838" s="214">
        <v>150000</v>
      </c>
      <c r="J838" s="214">
        <f t="shared" si="41"/>
        <v>150000</v>
      </c>
      <c r="K838" s="212" t="s">
        <v>6237</v>
      </c>
      <c r="L838" s="213"/>
      <c r="M838" s="212" t="s">
        <v>6179</v>
      </c>
    </row>
    <row r="839" spans="1:13" ht="21" customHeight="1">
      <c r="A839" s="213" t="s">
        <v>6801</v>
      </c>
      <c r="B839" s="215">
        <f t="shared" si="39"/>
        <v>45714</v>
      </c>
      <c r="C839" s="213" t="s">
        <v>4374</v>
      </c>
      <c r="D839" s="213" t="s">
        <v>4369</v>
      </c>
      <c r="E839" s="213" t="s">
        <v>333</v>
      </c>
      <c r="F839" s="212" t="s">
        <v>4365</v>
      </c>
      <c r="G839" s="212" t="str">
        <f t="shared" si="40"/>
        <v>101현금</v>
      </c>
      <c r="H839" s="214">
        <v>165000</v>
      </c>
      <c r="I839" s="214">
        <v>0</v>
      </c>
      <c r="J839" s="214">
        <f t="shared" si="41"/>
        <v>-165000</v>
      </c>
      <c r="K839" s="212" t="s">
        <v>6237</v>
      </c>
      <c r="L839" s="213"/>
      <c r="M839" s="212" t="s">
        <v>6179</v>
      </c>
    </row>
    <row r="840" spans="1:13" ht="21" customHeight="1">
      <c r="A840" s="213" t="s">
        <v>6801</v>
      </c>
      <c r="B840" s="215">
        <f t="shared" si="39"/>
        <v>45714</v>
      </c>
      <c r="C840" s="213" t="s">
        <v>6182</v>
      </c>
      <c r="D840" s="213" t="s">
        <v>4366</v>
      </c>
      <c r="E840" s="213" t="s">
        <v>6176</v>
      </c>
      <c r="F840" s="212" t="s">
        <v>6177</v>
      </c>
      <c r="G840" s="212" t="str">
        <f t="shared" si="40"/>
        <v>255부가세예수금</v>
      </c>
      <c r="H840" s="214">
        <v>0</v>
      </c>
      <c r="I840" s="214">
        <v>12000</v>
      </c>
      <c r="J840" s="214">
        <f t="shared" si="41"/>
        <v>12000</v>
      </c>
      <c r="K840" s="212" t="s">
        <v>6281</v>
      </c>
      <c r="L840" s="213"/>
      <c r="M840" s="212" t="s">
        <v>6225</v>
      </c>
    </row>
    <row r="841" spans="1:13" ht="21" customHeight="1">
      <c r="A841" s="213" t="s">
        <v>6801</v>
      </c>
      <c r="B841" s="215">
        <f t="shared" si="39"/>
        <v>45714</v>
      </c>
      <c r="C841" s="213" t="s">
        <v>6182</v>
      </c>
      <c r="D841" s="213" t="s">
        <v>4366</v>
      </c>
      <c r="E841" s="213" t="s">
        <v>334</v>
      </c>
      <c r="F841" s="212" t="s">
        <v>6158</v>
      </c>
      <c r="G841" s="212" t="str">
        <f t="shared" si="40"/>
        <v>401용역매출</v>
      </c>
      <c r="H841" s="214">
        <v>0</v>
      </c>
      <c r="I841" s="214">
        <v>120000</v>
      </c>
      <c r="J841" s="214">
        <f t="shared" si="41"/>
        <v>120000</v>
      </c>
      <c r="K841" s="212" t="s">
        <v>6281</v>
      </c>
      <c r="L841" s="213"/>
      <c r="M841" s="212" t="s">
        <v>6225</v>
      </c>
    </row>
    <row r="842" spans="1:13" ht="21" customHeight="1">
      <c r="A842" s="213" t="s">
        <v>6801</v>
      </c>
      <c r="B842" s="215">
        <f t="shared" si="39"/>
        <v>45714</v>
      </c>
      <c r="C842" s="213" t="s">
        <v>6182</v>
      </c>
      <c r="D842" s="213" t="s">
        <v>4369</v>
      </c>
      <c r="E842" s="213" t="s">
        <v>333</v>
      </c>
      <c r="F842" s="212" t="s">
        <v>4365</v>
      </c>
      <c r="G842" s="212" t="str">
        <f t="shared" si="40"/>
        <v>101현금</v>
      </c>
      <c r="H842" s="214">
        <v>132000</v>
      </c>
      <c r="I842" s="214">
        <v>0</v>
      </c>
      <c r="J842" s="214">
        <f t="shared" si="41"/>
        <v>-132000</v>
      </c>
      <c r="K842" s="212" t="s">
        <v>6281</v>
      </c>
      <c r="L842" s="213"/>
      <c r="M842" s="212" t="s">
        <v>6225</v>
      </c>
    </row>
    <row r="843" spans="1:13" ht="21" customHeight="1">
      <c r="A843" s="213" t="s">
        <v>6801</v>
      </c>
      <c r="B843" s="215">
        <f t="shared" si="39"/>
        <v>45714</v>
      </c>
      <c r="C843" s="213" t="s">
        <v>6184</v>
      </c>
      <c r="D843" s="213" t="s">
        <v>4366</v>
      </c>
      <c r="E843" s="213" t="s">
        <v>6176</v>
      </c>
      <c r="F843" s="212" t="s">
        <v>6177</v>
      </c>
      <c r="G843" s="212" t="str">
        <f t="shared" si="40"/>
        <v>255부가세예수금</v>
      </c>
      <c r="H843" s="214">
        <v>0</v>
      </c>
      <c r="I843" s="214">
        <v>5000</v>
      </c>
      <c r="J843" s="214">
        <f t="shared" si="41"/>
        <v>5000</v>
      </c>
      <c r="K843" s="212" t="s">
        <v>6242</v>
      </c>
      <c r="L843" s="213"/>
      <c r="M843" s="212" t="s">
        <v>6282</v>
      </c>
    </row>
    <row r="844" spans="1:13" ht="21" customHeight="1">
      <c r="A844" s="213" t="s">
        <v>6801</v>
      </c>
      <c r="B844" s="215">
        <f t="shared" si="39"/>
        <v>45714</v>
      </c>
      <c r="C844" s="213" t="s">
        <v>6184</v>
      </c>
      <c r="D844" s="213" t="s">
        <v>4366</v>
      </c>
      <c r="E844" s="213" t="s">
        <v>334</v>
      </c>
      <c r="F844" s="212" t="s">
        <v>6158</v>
      </c>
      <c r="G844" s="212" t="str">
        <f t="shared" si="40"/>
        <v>401용역매출</v>
      </c>
      <c r="H844" s="214">
        <v>0</v>
      </c>
      <c r="I844" s="214">
        <v>50000</v>
      </c>
      <c r="J844" s="214">
        <f t="shared" si="41"/>
        <v>50000</v>
      </c>
      <c r="K844" s="212" t="s">
        <v>6242</v>
      </c>
      <c r="L844" s="213"/>
      <c r="M844" s="212" t="s">
        <v>6282</v>
      </c>
    </row>
    <row r="845" spans="1:13" ht="21" customHeight="1">
      <c r="A845" s="213" t="s">
        <v>6801</v>
      </c>
      <c r="B845" s="215">
        <f t="shared" si="39"/>
        <v>45714</v>
      </c>
      <c r="C845" s="213" t="s">
        <v>6184</v>
      </c>
      <c r="D845" s="213" t="s">
        <v>4369</v>
      </c>
      <c r="E845" s="213" t="s">
        <v>333</v>
      </c>
      <c r="F845" s="212" t="s">
        <v>4365</v>
      </c>
      <c r="G845" s="212" t="str">
        <f t="shared" si="40"/>
        <v>101현금</v>
      </c>
      <c r="H845" s="214">
        <v>55000</v>
      </c>
      <c r="I845" s="214">
        <v>0</v>
      </c>
      <c r="J845" s="214">
        <f t="shared" si="41"/>
        <v>-55000</v>
      </c>
      <c r="K845" s="212" t="s">
        <v>6242</v>
      </c>
      <c r="L845" s="213"/>
      <c r="M845" s="212" t="s">
        <v>6282</v>
      </c>
    </row>
    <row r="846" spans="1:13" ht="21" customHeight="1">
      <c r="A846" s="213" t="s">
        <v>6801</v>
      </c>
      <c r="B846" s="215">
        <f t="shared" si="39"/>
        <v>45714</v>
      </c>
      <c r="C846" s="213" t="s">
        <v>6186</v>
      </c>
      <c r="D846" s="213" t="s">
        <v>4366</v>
      </c>
      <c r="E846" s="213" t="s">
        <v>6176</v>
      </c>
      <c r="F846" s="212" t="s">
        <v>6177</v>
      </c>
      <c r="G846" s="212" t="str">
        <f t="shared" si="40"/>
        <v>255부가세예수금</v>
      </c>
      <c r="H846" s="214">
        <v>0</v>
      </c>
      <c r="I846" s="214">
        <v>15000</v>
      </c>
      <c r="J846" s="214">
        <f t="shared" si="41"/>
        <v>15000</v>
      </c>
      <c r="K846" s="212" t="s">
        <v>6239</v>
      </c>
      <c r="L846" s="213"/>
      <c r="M846" s="212" t="s">
        <v>6179</v>
      </c>
    </row>
    <row r="847" spans="1:13" ht="21" customHeight="1">
      <c r="A847" s="213" t="s">
        <v>6801</v>
      </c>
      <c r="B847" s="215">
        <f t="shared" si="39"/>
        <v>45714</v>
      </c>
      <c r="C847" s="213" t="s">
        <v>6186</v>
      </c>
      <c r="D847" s="213" t="s">
        <v>4366</v>
      </c>
      <c r="E847" s="213" t="s">
        <v>334</v>
      </c>
      <c r="F847" s="212" t="s">
        <v>6158</v>
      </c>
      <c r="G847" s="212" t="str">
        <f t="shared" si="40"/>
        <v>401용역매출</v>
      </c>
      <c r="H847" s="214">
        <v>0</v>
      </c>
      <c r="I847" s="214">
        <v>150000</v>
      </c>
      <c r="J847" s="214">
        <f t="shared" si="41"/>
        <v>150000</v>
      </c>
      <c r="K847" s="212" t="s">
        <v>6239</v>
      </c>
      <c r="L847" s="213"/>
      <c r="M847" s="212" t="s">
        <v>6179</v>
      </c>
    </row>
    <row r="848" spans="1:13" ht="21" customHeight="1">
      <c r="A848" s="213" t="s">
        <v>6801</v>
      </c>
      <c r="B848" s="215">
        <f t="shared" si="39"/>
        <v>45714</v>
      </c>
      <c r="C848" s="213" t="s">
        <v>6186</v>
      </c>
      <c r="D848" s="213" t="s">
        <v>4369</v>
      </c>
      <c r="E848" s="213" t="s">
        <v>333</v>
      </c>
      <c r="F848" s="212" t="s">
        <v>4365</v>
      </c>
      <c r="G848" s="212" t="str">
        <f t="shared" si="40"/>
        <v>101현금</v>
      </c>
      <c r="H848" s="214">
        <v>165000</v>
      </c>
      <c r="I848" s="214">
        <v>0</v>
      </c>
      <c r="J848" s="214">
        <f t="shared" si="41"/>
        <v>-165000</v>
      </c>
      <c r="K848" s="212" t="s">
        <v>6239</v>
      </c>
      <c r="L848" s="213"/>
      <c r="M848" s="212" t="s">
        <v>6179</v>
      </c>
    </row>
    <row r="849" spans="1:13" ht="21" customHeight="1">
      <c r="A849" s="213" t="s">
        <v>6801</v>
      </c>
      <c r="B849" s="215">
        <f t="shared" si="39"/>
        <v>45714</v>
      </c>
      <c r="C849" s="213" t="s">
        <v>6189</v>
      </c>
      <c r="D849" s="213" t="s">
        <v>4366</v>
      </c>
      <c r="E849" s="213" t="s">
        <v>6176</v>
      </c>
      <c r="F849" s="212" t="s">
        <v>6177</v>
      </c>
      <c r="G849" s="212" t="str">
        <f t="shared" si="40"/>
        <v>255부가세예수금</v>
      </c>
      <c r="H849" s="214">
        <v>0</v>
      </c>
      <c r="I849" s="214">
        <v>20000</v>
      </c>
      <c r="J849" s="214">
        <f t="shared" si="41"/>
        <v>20000</v>
      </c>
      <c r="K849" s="212" t="s">
        <v>6236</v>
      </c>
      <c r="L849" s="213"/>
      <c r="M849" s="212" t="s">
        <v>6231</v>
      </c>
    </row>
    <row r="850" spans="1:13" ht="21" customHeight="1">
      <c r="A850" s="213" t="s">
        <v>6801</v>
      </c>
      <c r="B850" s="215">
        <f t="shared" si="39"/>
        <v>45714</v>
      </c>
      <c r="C850" s="213" t="s">
        <v>6189</v>
      </c>
      <c r="D850" s="213" t="s">
        <v>4366</v>
      </c>
      <c r="E850" s="213" t="s">
        <v>334</v>
      </c>
      <c r="F850" s="212" t="s">
        <v>6158</v>
      </c>
      <c r="G850" s="212" t="str">
        <f t="shared" si="40"/>
        <v>401용역매출</v>
      </c>
      <c r="H850" s="214">
        <v>0</v>
      </c>
      <c r="I850" s="214">
        <v>200000</v>
      </c>
      <c r="J850" s="214">
        <f t="shared" si="41"/>
        <v>200000</v>
      </c>
      <c r="K850" s="212" t="s">
        <v>6236</v>
      </c>
      <c r="L850" s="213"/>
      <c r="M850" s="212" t="s">
        <v>6231</v>
      </c>
    </row>
    <row r="851" spans="1:13" ht="21" customHeight="1">
      <c r="A851" s="213" t="s">
        <v>6801</v>
      </c>
      <c r="B851" s="215">
        <f t="shared" si="39"/>
        <v>45714</v>
      </c>
      <c r="C851" s="213" t="s">
        <v>6189</v>
      </c>
      <c r="D851" s="213" t="s">
        <v>4369</v>
      </c>
      <c r="E851" s="213" t="s">
        <v>333</v>
      </c>
      <c r="F851" s="212" t="s">
        <v>4365</v>
      </c>
      <c r="G851" s="212" t="str">
        <f t="shared" si="40"/>
        <v>101현금</v>
      </c>
      <c r="H851" s="214">
        <v>220000</v>
      </c>
      <c r="I851" s="214">
        <v>0</v>
      </c>
      <c r="J851" s="214">
        <f t="shared" si="41"/>
        <v>-220000</v>
      </c>
      <c r="K851" s="212" t="s">
        <v>6236</v>
      </c>
      <c r="L851" s="213"/>
      <c r="M851" s="212" t="s">
        <v>6231</v>
      </c>
    </row>
    <row r="852" spans="1:13" ht="21" customHeight="1">
      <c r="A852" s="213" t="s">
        <v>6801</v>
      </c>
      <c r="B852" s="215">
        <f t="shared" si="39"/>
        <v>45714</v>
      </c>
      <c r="C852" s="213" t="s">
        <v>6191</v>
      </c>
      <c r="D852" s="213" t="s">
        <v>4366</v>
      </c>
      <c r="E852" s="213" t="s">
        <v>6176</v>
      </c>
      <c r="F852" s="212" t="s">
        <v>6177</v>
      </c>
      <c r="G852" s="212" t="str">
        <f t="shared" si="40"/>
        <v>255부가세예수금</v>
      </c>
      <c r="H852" s="214">
        <v>0</v>
      </c>
      <c r="I852" s="214">
        <v>20000</v>
      </c>
      <c r="J852" s="214">
        <f t="shared" si="41"/>
        <v>20000</v>
      </c>
      <c r="K852" s="212" t="s">
        <v>6236</v>
      </c>
      <c r="L852" s="213"/>
      <c r="M852" s="212" t="s">
        <v>6802</v>
      </c>
    </row>
    <row r="853" spans="1:13" ht="21" customHeight="1">
      <c r="A853" s="213" t="s">
        <v>6801</v>
      </c>
      <c r="B853" s="215">
        <f t="shared" si="39"/>
        <v>45714</v>
      </c>
      <c r="C853" s="213" t="s">
        <v>6191</v>
      </c>
      <c r="D853" s="213" t="s">
        <v>4366</v>
      </c>
      <c r="E853" s="213" t="s">
        <v>334</v>
      </c>
      <c r="F853" s="212" t="s">
        <v>6158</v>
      </c>
      <c r="G853" s="212" t="str">
        <f t="shared" si="40"/>
        <v>401용역매출</v>
      </c>
      <c r="H853" s="214">
        <v>0</v>
      </c>
      <c r="I853" s="214">
        <v>200000</v>
      </c>
      <c r="J853" s="214">
        <f t="shared" si="41"/>
        <v>200000</v>
      </c>
      <c r="K853" s="212" t="s">
        <v>6236</v>
      </c>
      <c r="L853" s="213"/>
      <c r="M853" s="212" t="s">
        <v>6802</v>
      </c>
    </row>
    <row r="854" spans="1:13" ht="21" customHeight="1">
      <c r="A854" s="213" t="s">
        <v>6801</v>
      </c>
      <c r="B854" s="215">
        <f t="shared" si="39"/>
        <v>45714</v>
      </c>
      <c r="C854" s="213" t="s">
        <v>6191</v>
      </c>
      <c r="D854" s="213" t="s">
        <v>4369</v>
      </c>
      <c r="E854" s="213" t="s">
        <v>333</v>
      </c>
      <c r="F854" s="212" t="s">
        <v>4365</v>
      </c>
      <c r="G854" s="212" t="str">
        <f t="shared" si="40"/>
        <v>101현금</v>
      </c>
      <c r="H854" s="214">
        <v>220000</v>
      </c>
      <c r="I854" s="214">
        <v>0</v>
      </c>
      <c r="J854" s="214">
        <f t="shared" si="41"/>
        <v>-220000</v>
      </c>
      <c r="K854" s="212" t="s">
        <v>6236</v>
      </c>
      <c r="L854" s="213"/>
      <c r="M854" s="212" t="s">
        <v>6802</v>
      </c>
    </row>
    <row r="855" spans="1:13" ht="21" customHeight="1">
      <c r="A855" s="213" t="s">
        <v>6801</v>
      </c>
      <c r="B855" s="215">
        <f t="shared" si="39"/>
        <v>45714</v>
      </c>
      <c r="C855" s="213" t="s">
        <v>6216</v>
      </c>
      <c r="D855" s="213" t="s">
        <v>4366</v>
      </c>
      <c r="E855" s="213" t="s">
        <v>6176</v>
      </c>
      <c r="F855" s="212" t="s">
        <v>6177</v>
      </c>
      <c r="G855" s="212" t="str">
        <f t="shared" si="40"/>
        <v>255부가세예수금</v>
      </c>
      <c r="H855" s="214">
        <v>0</v>
      </c>
      <c r="I855" s="214">
        <v>9091</v>
      </c>
      <c r="J855" s="214">
        <f t="shared" si="41"/>
        <v>9091</v>
      </c>
      <c r="K855" s="212" t="s">
        <v>6295</v>
      </c>
      <c r="L855" s="213"/>
      <c r="M855" s="212" t="s">
        <v>6296</v>
      </c>
    </row>
    <row r="856" spans="1:13" ht="21" customHeight="1">
      <c r="A856" s="213" t="s">
        <v>6801</v>
      </c>
      <c r="B856" s="215">
        <f t="shared" si="39"/>
        <v>45714</v>
      </c>
      <c r="C856" s="213" t="s">
        <v>6216</v>
      </c>
      <c r="D856" s="213" t="s">
        <v>4366</v>
      </c>
      <c r="E856" s="213" t="s">
        <v>334</v>
      </c>
      <c r="F856" s="212" t="s">
        <v>6158</v>
      </c>
      <c r="G856" s="212" t="str">
        <f t="shared" si="40"/>
        <v>401용역매출</v>
      </c>
      <c r="H856" s="214">
        <v>0</v>
      </c>
      <c r="I856" s="214">
        <v>90909</v>
      </c>
      <c r="J856" s="214">
        <f t="shared" si="41"/>
        <v>90909</v>
      </c>
      <c r="K856" s="212" t="s">
        <v>6295</v>
      </c>
      <c r="L856" s="213"/>
      <c r="M856" s="212" t="s">
        <v>6296</v>
      </c>
    </row>
    <row r="857" spans="1:13" ht="21" customHeight="1">
      <c r="A857" s="213" t="s">
        <v>6801</v>
      </c>
      <c r="B857" s="215">
        <f t="shared" si="39"/>
        <v>45714</v>
      </c>
      <c r="C857" s="213" t="s">
        <v>6216</v>
      </c>
      <c r="D857" s="213" t="s">
        <v>4369</v>
      </c>
      <c r="E857" s="213" t="s">
        <v>333</v>
      </c>
      <c r="F857" s="212" t="s">
        <v>4365</v>
      </c>
      <c r="G857" s="212" t="str">
        <f t="shared" si="40"/>
        <v>101현금</v>
      </c>
      <c r="H857" s="214">
        <v>100000</v>
      </c>
      <c r="I857" s="214">
        <v>0</v>
      </c>
      <c r="J857" s="214">
        <f t="shared" si="41"/>
        <v>-100000</v>
      </c>
      <c r="K857" s="212" t="s">
        <v>6295</v>
      </c>
      <c r="L857" s="213"/>
      <c r="M857" s="212" t="s">
        <v>6296</v>
      </c>
    </row>
    <row r="858" spans="1:13" ht="21" customHeight="1">
      <c r="A858" s="213" t="s">
        <v>6801</v>
      </c>
      <c r="B858" s="215">
        <f t="shared" si="39"/>
        <v>45714</v>
      </c>
      <c r="C858" s="213" t="s">
        <v>6217</v>
      </c>
      <c r="D858" s="213" t="s">
        <v>4366</v>
      </c>
      <c r="E858" s="213" t="s">
        <v>6176</v>
      </c>
      <c r="F858" s="212" t="s">
        <v>6177</v>
      </c>
      <c r="G858" s="212" t="str">
        <f t="shared" si="40"/>
        <v>255부가세예수금</v>
      </c>
      <c r="H858" s="214">
        <v>0</v>
      </c>
      <c r="I858" s="214">
        <v>10000</v>
      </c>
      <c r="J858" s="214">
        <f t="shared" si="41"/>
        <v>10000</v>
      </c>
      <c r="K858" s="212" t="s">
        <v>6221</v>
      </c>
      <c r="L858" s="213"/>
      <c r="M858" s="212" t="s">
        <v>6185</v>
      </c>
    </row>
    <row r="859" spans="1:13" ht="21" customHeight="1">
      <c r="A859" s="213" t="s">
        <v>6801</v>
      </c>
      <c r="B859" s="215">
        <f t="shared" si="39"/>
        <v>45714</v>
      </c>
      <c r="C859" s="213" t="s">
        <v>6217</v>
      </c>
      <c r="D859" s="213" t="s">
        <v>4366</v>
      </c>
      <c r="E859" s="213" t="s">
        <v>334</v>
      </c>
      <c r="F859" s="212" t="s">
        <v>6158</v>
      </c>
      <c r="G859" s="212" t="str">
        <f t="shared" si="40"/>
        <v>401용역매출</v>
      </c>
      <c r="H859" s="214">
        <v>0</v>
      </c>
      <c r="I859" s="214">
        <v>100000</v>
      </c>
      <c r="J859" s="214">
        <f t="shared" si="41"/>
        <v>100000</v>
      </c>
      <c r="K859" s="212" t="s">
        <v>6221</v>
      </c>
      <c r="L859" s="213"/>
      <c r="M859" s="212" t="s">
        <v>6185</v>
      </c>
    </row>
    <row r="860" spans="1:13" ht="21" customHeight="1">
      <c r="A860" s="213" t="s">
        <v>6801</v>
      </c>
      <c r="B860" s="215">
        <f t="shared" si="39"/>
        <v>45714</v>
      </c>
      <c r="C860" s="213" t="s">
        <v>6217</v>
      </c>
      <c r="D860" s="213" t="s">
        <v>4369</v>
      </c>
      <c r="E860" s="213" t="s">
        <v>333</v>
      </c>
      <c r="F860" s="212" t="s">
        <v>4365</v>
      </c>
      <c r="G860" s="212" t="str">
        <f t="shared" si="40"/>
        <v>101현금</v>
      </c>
      <c r="H860" s="214">
        <v>110000</v>
      </c>
      <c r="I860" s="214">
        <v>0</v>
      </c>
      <c r="J860" s="214">
        <f t="shared" si="41"/>
        <v>-110000</v>
      </c>
      <c r="K860" s="212" t="s">
        <v>6221</v>
      </c>
      <c r="L860" s="213"/>
      <c r="M860" s="212" t="s">
        <v>6185</v>
      </c>
    </row>
    <row r="861" spans="1:13" ht="21" customHeight="1">
      <c r="A861" s="213" t="s">
        <v>6801</v>
      </c>
      <c r="B861" s="215">
        <f t="shared" si="39"/>
        <v>45714</v>
      </c>
      <c r="C861" s="213" t="s">
        <v>6218</v>
      </c>
      <c r="D861" s="213" t="s">
        <v>4366</v>
      </c>
      <c r="E861" s="213" t="s">
        <v>6176</v>
      </c>
      <c r="F861" s="212" t="s">
        <v>6177</v>
      </c>
      <c r="G861" s="212" t="str">
        <f t="shared" si="40"/>
        <v>255부가세예수금</v>
      </c>
      <c r="H861" s="214">
        <v>0</v>
      </c>
      <c r="I861" s="214">
        <v>11819</v>
      </c>
      <c r="J861" s="214">
        <f t="shared" si="41"/>
        <v>11819</v>
      </c>
      <c r="K861" s="212" t="s">
        <v>6220</v>
      </c>
      <c r="L861" s="213"/>
      <c r="M861" s="212" t="s">
        <v>6362</v>
      </c>
    </row>
    <row r="862" spans="1:13" ht="21" customHeight="1">
      <c r="A862" s="213" t="s">
        <v>6801</v>
      </c>
      <c r="B862" s="215">
        <f t="shared" si="39"/>
        <v>45714</v>
      </c>
      <c r="C862" s="213" t="s">
        <v>6218</v>
      </c>
      <c r="D862" s="213" t="s">
        <v>4366</v>
      </c>
      <c r="E862" s="213" t="s">
        <v>334</v>
      </c>
      <c r="F862" s="212" t="s">
        <v>6158</v>
      </c>
      <c r="G862" s="212" t="str">
        <f t="shared" si="40"/>
        <v>401용역매출</v>
      </c>
      <c r="H862" s="214">
        <v>0</v>
      </c>
      <c r="I862" s="214">
        <v>118181</v>
      </c>
      <c r="J862" s="214">
        <f t="shared" si="41"/>
        <v>118181</v>
      </c>
      <c r="K862" s="212" t="s">
        <v>6220</v>
      </c>
      <c r="L862" s="213"/>
      <c r="M862" s="212" t="s">
        <v>6362</v>
      </c>
    </row>
    <row r="863" spans="1:13" ht="21" customHeight="1">
      <c r="A863" s="213" t="s">
        <v>6801</v>
      </c>
      <c r="B863" s="215">
        <f t="shared" si="39"/>
        <v>45714</v>
      </c>
      <c r="C863" s="213" t="s">
        <v>6218</v>
      </c>
      <c r="D863" s="213" t="s">
        <v>4369</v>
      </c>
      <c r="E863" s="213" t="s">
        <v>333</v>
      </c>
      <c r="F863" s="212" t="s">
        <v>4365</v>
      </c>
      <c r="G863" s="212" t="str">
        <f t="shared" si="40"/>
        <v>101현금</v>
      </c>
      <c r="H863" s="214">
        <v>130000</v>
      </c>
      <c r="I863" s="214">
        <v>0</v>
      </c>
      <c r="J863" s="214">
        <f t="shared" si="41"/>
        <v>-130000</v>
      </c>
      <c r="K863" s="212" t="s">
        <v>6220</v>
      </c>
      <c r="L863" s="213"/>
      <c r="M863" s="212" t="s">
        <v>6362</v>
      </c>
    </row>
    <row r="864" spans="1:13" ht="21" customHeight="1">
      <c r="A864" s="213" t="s">
        <v>6799</v>
      </c>
      <c r="B864" s="215">
        <f t="shared" si="39"/>
        <v>45715</v>
      </c>
      <c r="C864" s="213" t="s">
        <v>4373</v>
      </c>
      <c r="D864" s="213" t="s">
        <v>4366</v>
      </c>
      <c r="E864" s="213" t="s">
        <v>333</v>
      </c>
      <c r="F864" s="212" t="s">
        <v>4365</v>
      </c>
      <c r="G864" s="212" t="str">
        <f t="shared" si="40"/>
        <v>101현금</v>
      </c>
      <c r="H864" s="214">
        <v>0</v>
      </c>
      <c r="I864" s="214">
        <v>6500</v>
      </c>
      <c r="J864" s="214">
        <f t="shared" si="41"/>
        <v>6500</v>
      </c>
      <c r="K864" s="212" t="s">
        <v>6369</v>
      </c>
      <c r="L864" s="213"/>
      <c r="M864" s="212"/>
    </row>
    <row r="865" spans="1:13" ht="21" customHeight="1">
      <c r="A865" s="213" t="s">
        <v>6799</v>
      </c>
      <c r="B865" s="215">
        <f t="shared" si="39"/>
        <v>45715</v>
      </c>
      <c r="C865" s="213" t="s">
        <v>4373</v>
      </c>
      <c r="D865" s="213" t="s">
        <v>4369</v>
      </c>
      <c r="E865" s="213" t="s">
        <v>4383</v>
      </c>
      <c r="F865" s="212" t="s">
        <v>6525</v>
      </c>
      <c r="G865" s="212" t="str">
        <f t="shared" si="40"/>
        <v>830소모품비(판)</v>
      </c>
      <c r="H865" s="214">
        <v>6500</v>
      </c>
      <c r="I865" s="214">
        <v>0</v>
      </c>
      <c r="J865" s="214">
        <f t="shared" si="41"/>
        <v>-6500</v>
      </c>
      <c r="K865" s="212" t="s">
        <v>6800</v>
      </c>
      <c r="L865" s="213"/>
      <c r="M865" s="212"/>
    </row>
    <row r="866" spans="1:13" ht="21" customHeight="1">
      <c r="A866" s="213" t="s">
        <v>6799</v>
      </c>
      <c r="B866" s="215">
        <f t="shared" si="39"/>
        <v>45715</v>
      </c>
      <c r="C866" s="213" t="s">
        <v>4382</v>
      </c>
      <c r="D866" s="213" t="s">
        <v>4369</v>
      </c>
      <c r="E866" s="213" t="s">
        <v>4380</v>
      </c>
      <c r="F866" s="212" t="s">
        <v>6515</v>
      </c>
      <c r="G866" s="212" t="str">
        <f t="shared" si="40"/>
        <v>812여비교통비(판)</v>
      </c>
      <c r="H866" s="214">
        <v>150</v>
      </c>
      <c r="I866" s="214">
        <v>0</v>
      </c>
      <c r="J866" s="214">
        <f t="shared" si="41"/>
        <v>-150</v>
      </c>
      <c r="K866" s="212" t="s">
        <v>6305</v>
      </c>
      <c r="L866" s="213"/>
      <c r="M866" s="212"/>
    </row>
    <row r="867" spans="1:13" ht="21" customHeight="1">
      <c r="A867" s="213" t="s">
        <v>6799</v>
      </c>
      <c r="B867" s="215">
        <f t="shared" si="39"/>
        <v>45715</v>
      </c>
      <c r="C867" s="213" t="s">
        <v>4382</v>
      </c>
      <c r="D867" s="213" t="s">
        <v>4366</v>
      </c>
      <c r="E867" s="213" t="s">
        <v>333</v>
      </c>
      <c r="F867" s="212" t="s">
        <v>4365</v>
      </c>
      <c r="G867" s="212" t="str">
        <f t="shared" si="40"/>
        <v>101현금</v>
      </c>
      <c r="H867" s="214">
        <v>0</v>
      </c>
      <c r="I867" s="214">
        <v>150</v>
      </c>
      <c r="J867" s="214">
        <f t="shared" si="41"/>
        <v>150</v>
      </c>
      <c r="K867" s="212" t="s">
        <v>6371</v>
      </c>
      <c r="L867" s="213"/>
      <c r="M867" s="212"/>
    </row>
    <row r="868" spans="1:13" ht="21" customHeight="1">
      <c r="A868" s="213" t="s">
        <v>6799</v>
      </c>
      <c r="B868" s="215">
        <f t="shared" si="39"/>
        <v>45715</v>
      </c>
      <c r="C868" s="213" t="s">
        <v>4381</v>
      </c>
      <c r="D868" s="213" t="s">
        <v>4369</v>
      </c>
      <c r="E868" s="213" t="s">
        <v>4380</v>
      </c>
      <c r="F868" s="212" t="s">
        <v>6515</v>
      </c>
      <c r="G868" s="212" t="str">
        <f t="shared" si="40"/>
        <v>812여비교통비(판)</v>
      </c>
      <c r="H868" s="214">
        <v>600</v>
      </c>
      <c r="I868" s="214">
        <v>0</v>
      </c>
      <c r="J868" s="214">
        <f t="shared" si="41"/>
        <v>-600</v>
      </c>
      <c r="K868" s="212" t="s">
        <v>6305</v>
      </c>
      <c r="L868" s="213"/>
      <c r="M868" s="212"/>
    </row>
    <row r="869" spans="1:13" ht="21" customHeight="1">
      <c r="A869" s="213" t="s">
        <v>6799</v>
      </c>
      <c r="B869" s="215">
        <f t="shared" si="39"/>
        <v>45715</v>
      </c>
      <c r="C869" s="213" t="s">
        <v>4381</v>
      </c>
      <c r="D869" s="213" t="s">
        <v>4366</v>
      </c>
      <c r="E869" s="213" t="s">
        <v>333</v>
      </c>
      <c r="F869" s="212" t="s">
        <v>4365</v>
      </c>
      <c r="G869" s="212" t="str">
        <f t="shared" si="40"/>
        <v>101현금</v>
      </c>
      <c r="H869" s="214">
        <v>0</v>
      </c>
      <c r="I869" s="214">
        <v>600</v>
      </c>
      <c r="J869" s="214">
        <f t="shared" si="41"/>
        <v>600</v>
      </c>
      <c r="K869" s="212" t="s">
        <v>6369</v>
      </c>
      <c r="L869" s="213"/>
      <c r="M869" s="212"/>
    </row>
    <row r="870" spans="1:13" ht="21" customHeight="1">
      <c r="A870" s="213" t="s">
        <v>6799</v>
      </c>
      <c r="B870" s="215">
        <f t="shared" si="39"/>
        <v>45715</v>
      </c>
      <c r="C870" s="213" t="s">
        <v>4379</v>
      </c>
      <c r="D870" s="213" t="s">
        <v>4366</v>
      </c>
      <c r="E870" s="213" t="s">
        <v>333</v>
      </c>
      <c r="F870" s="212" t="s">
        <v>4365</v>
      </c>
      <c r="G870" s="212" t="str">
        <f t="shared" si="40"/>
        <v>101현금</v>
      </c>
      <c r="H870" s="214">
        <v>0</v>
      </c>
      <c r="I870" s="214">
        <v>4700</v>
      </c>
      <c r="J870" s="214">
        <f t="shared" si="41"/>
        <v>4700</v>
      </c>
      <c r="K870" s="212" t="s">
        <v>6369</v>
      </c>
      <c r="L870" s="213"/>
      <c r="M870" s="212"/>
    </row>
    <row r="871" spans="1:13" ht="21" customHeight="1">
      <c r="A871" s="213" t="s">
        <v>6799</v>
      </c>
      <c r="B871" s="215">
        <f t="shared" si="39"/>
        <v>45715</v>
      </c>
      <c r="C871" s="213" t="s">
        <v>4379</v>
      </c>
      <c r="D871" s="213" t="s">
        <v>4369</v>
      </c>
      <c r="E871" s="213" t="s">
        <v>6290</v>
      </c>
      <c r="F871" s="212" t="s">
        <v>6570</v>
      </c>
      <c r="G871" s="212" t="str">
        <f t="shared" si="40"/>
        <v>824운반비(판)</v>
      </c>
      <c r="H871" s="214">
        <v>4700</v>
      </c>
      <c r="I871" s="214">
        <v>0</v>
      </c>
      <c r="J871" s="214">
        <f t="shared" si="41"/>
        <v>-4700</v>
      </c>
      <c r="K871" s="212" t="s">
        <v>6291</v>
      </c>
      <c r="L871" s="213"/>
      <c r="M871" s="212"/>
    </row>
    <row r="872" spans="1:13" ht="21" customHeight="1">
      <c r="A872" s="213" t="s">
        <v>6799</v>
      </c>
      <c r="B872" s="215">
        <f t="shared" si="39"/>
        <v>45715</v>
      </c>
      <c r="C872" s="213" t="s">
        <v>4385</v>
      </c>
      <c r="D872" s="213" t="s">
        <v>4369</v>
      </c>
      <c r="E872" s="213" t="s">
        <v>6157</v>
      </c>
      <c r="F872" s="212" t="s">
        <v>6524</v>
      </c>
      <c r="G872" s="212" t="str">
        <f t="shared" si="40"/>
        <v>813접대비(기업업무추진비)(판)</v>
      </c>
      <c r="H872" s="214">
        <v>55800</v>
      </c>
      <c r="I872" s="214">
        <v>0</v>
      </c>
      <c r="J872" s="214">
        <f t="shared" si="41"/>
        <v>-55800</v>
      </c>
      <c r="K872" s="212" t="s">
        <v>6393</v>
      </c>
      <c r="L872" s="213" t="s">
        <v>1327</v>
      </c>
      <c r="M872" s="212" t="s">
        <v>6356</v>
      </c>
    </row>
    <row r="873" spans="1:13" ht="21" customHeight="1">
      <c r="A873" s="213" t="s">
        <v>6799</v>
      </c>
      <c r="B873" s="215">
        <f t="shared" si="39"/>
        <v>45715</v>
      </c>
      <c r="C873" s="213" t="s">
        <v>4385</v>
      </c>
      <c r="D873" s="213" t="s">
        <v>4366</v>
      </c>
      <c r="E873" s="213" t="s">
        <v>333</v>
      </c>
      <c r="F873" s="212" t="s">
        <v>4365</v>
      </c>
      <c r="G873" s="212" t="str">
        <f t="shared" si="40"/>
        <v>101현금</v>
      </c>
      <c r="H873" s="214">
        <v>0</v>
      </c>
      <c r="I873" s="214">
        <v>55800</v>
      </c>
      <c r="J873" s="214">
        <f t="shared" si="41"/>
        <v>55800</v>
      </c>
      <c r="K873" s="212" t="s">
        <v>6371</v>
      </c>
      <c r="L873" s="213"/>
      <c r="M873" s="212"/>
    </row>
    <row r="874" spans="1:13" ht="21" customHeight="1">
      <c r="A874" s="213" t="s">
        <v>6799</v>
      </c>
      <c r="B874" s="215">
        <f t="shared" si="39"/>
        <v>45715</v>
      </c>
      <c r="C874" s="213" t="s">
        <v>4367</v>
      </c>
      <c r="D874" s="213" t="s">
        <v>4369</v>
      </c>
      <c r="E874" s="213" t="s">
        <v>4371</v>
      </c>
      <c r="F874" s="212" t="s">
        <v>4370</v>
      </c>
      <c r="G874" s="212" t="str">
        <f t="shared" si="40"/>
        <v>135부가세대급금</v>
      </c>
      <c r="H874" s="214">
        <v>181818</v>
      </c>
      <c r="I874" s="214">
        <v>0</v>
      </c>
      <c r="J874" s="214">
        <f t="shared" si="41"/>
        <v>-181818</v>
      </c>
      <c r="K874" s="212" t="s">
        <v>6286</v>
      </c>
      <c r="L874" s="213"/>
      <c r="M874" s="212" t="s">
        <v>6798</v>
      </c>
    </row>
    <row r="875" spans="1:13" ht="21" customHeight="1">
      <c r="A875" s="213" t="s">
        <v>6799</v>
      </c>
      <c r="B875" s="215">
        <f t="shared" si="39"/>
        <v>45715</v>
      </c>
      <c r="C875" s="213" t="s">
        <v>4367</v>
      </c>
      <c r="D875" s="213" t="s">
        <v>4369</v>
      </c>
      <c r="E875" s="213" t="s">
        <v>4368</v>
      </c>
      <c r="F875" s="212" t="s">
        <v>6388</v>
      </c>
      <c r="G875" s="212" t="str">
        <f t="shared" si="40"/>
        <v>831지급수수료(판)</v>
      </c>
      <c r="H875" s="214">
        <v>1818182</v>
      </c>
      <c r="I875" s="214">
        <v>0</v>
      </c>
      <c r="J875" s="214">
        <f t="shared" si="41"/>
        <v>-1818182</v>
      </c>
      <c r="K875" s="212" t="s">
        <v>6286</v>
      </c>
      <c r="L875" s="213"/>
      <c r="M875" s="212" t="s">
        <v>6798</v>
      </c>
    </row>
    <row r="876" spans="1:13" ht="21" customHeight="1">
      <c r="A876" s="213" t="s">
        <v>6799</v>
      </c>
      <c r="B876" s="215">
        <f t="shared" si="39"/>
        <v>45715</v>
      </c>
      <c r="C876" s="213" t="s">
        <v>4367</v>
      </c>
      <c r="D876" s="213" t="s">
        <v>4366</v>
      </c>
      <c r="E876" s="213" t="s">
        <v>333</v>
      </c>
      <c r="F876" s="212" t="s">
        <v>4365</v>
      </c>
      <c r="G876" s="212" t="str">
        <f t="shared" si="40"/>
        <v>101현금</v>
      </c>
      <c r="H876" s="214">
        <v>0</v>
      </c>
      <c r="I876" s="214">
        <v>2000000</v>
      </c>
      <c r="J876" s="214">
        <f t="shared" si="41"/>
        <v>2000000</v>
      </c>
      <c r="K876" s="212" t="s">
        <v>6286</v>
      </c>
      <c r="L876" s="213"/>
      <c r="M876" s="212" t="s">
        <v>6798</v>
      </c>
    </row>
    <row r="877" spans="1:13" ht="21" customHeight="1">
      <c r="A877" s="213" t="s">
        <v>6794</v>
      </c>
      <c r="B877" s="215">
        <f t="shared" si="39"/>
        <v>45716</v>
      </c>
      <c r="C877" s="213" t="s">
        <v>4373</v>
      </c>
      <c r="D877" s="213" t="s">
        <v>4369</v>
      </c>
      <c r="E877" s="213" t="s">
        <v>4513</v>
      </c>
      <c r="F877" s="212" t="s">
        <v>6519</v>
      </c>
      <c r="G877" s="212" t="str">
        <f t="shared" si="40"/>
        <v>802직원급여(판)</v>
      </c>
      <c r="H877" s="214">
        <v>1700000</v>
      </c>
      <c r="I877" s="214">
        <v>0</v>
      </c>
      <c r="J877" s="214">
        <f t="shared" si="41"/>
        <v>-1700000</v>
      </c>
      <c r="K877" s="212"/>
      <c r="L877" s="213" t="s">
        <v>6411</v>
      </c>
      <c r="M877" s="212" t="s">
        <v>4514</v>
      </c>
    </row>
    <row r="878" spans="1:13" ht="21" customHeight="1">
      <c r="A878" s="213" t="s">
        <v>6794</v>
      </c>
      <c r="B878" s="215">
        <f t="shared" si="39"/>
        <v>45716</v>
      </c>
      <c r="C878" s="213" t="s">
        <v>4373</v>
      </c>
      <c r="D878" s="213" t="s">
        <v>4366</v>
      </c>
      <c r="E878" s="213" t="s">
        <v>333</v>
      </c>
      <c r="F878" s="212" t="s">
        <v>4365</v>
      </c>
      <c r="G878" s="212" t="str">
        <f t="shared" si="40"/>
        <v>101현금</v>
      </c>
      <c r="H878" s="214">
        <v>0</v>
      </c>
      <c r="I878" s="214">
        <v>1476240</v>
      </c>
      <c r="J878" s="214">
        <f t="shared" si="41"/>
        <v>1476240</v>
      </c>
      <c r="K878" s="212"/>
      <c r="L878" s="213" t="s">
        <v>6411</v>
      </c>
      <c r="M878" s="212" t="s">
        <v>4514</v>
      </c>
    </row>
    <row r="879" spans="1:13" ht="21" customHeight="1">
      <c r="A879" s="213" t="s">
        <v>6794</v>
      </c>
      <c r="B879" s="215">
        <f t="shared" si="39"/>
        <v>45716</v>
      </c>
      <c r="C879" s="213" t="s">
        <v>4373</v>
      </c>
      <c r="D879" s="213" t="s">
        <v>4366</v>
      </c>
      <c r="E879" s="213" t="s">
        <v>4505</v>
      </c>
      <c r="F879" s="212" t="s">
        <v>4506</v>
      </c>
      <c r="G879" s="212" t="str">
        <f t="shared" si="40"/>
        <v>254예수금</v>
      </c>
      <c r="H879" s="214">
        <v>0</v>
      </c>
      <c r="I879" s="214">
        <v>149400</v>
      </c>
      <c r="J879" s="214">
        <f t="shared" si="41"/>
        <v>149400</v>
      </c>
      <c r="K879" s="212" t="s">
        <v>4523</v>
      </c>
      <c r="L879" s="213" t="s">
        <v>6411</v>
      </c>
      <c r="M879" s="212" t="s">
        <v>4515</v>
      </c>
    </row>
    <row r="880" spans="1:13" ht="21" customHeight="1">
      <c r="A880" s="213" t="s">
        <v>6794</v>
      </c>
      <c r="B880" s="215">
        <f t="shared" si="39"/>
        <v>45716</v>
      </c>
      <c r="C880" s="213" t="s">
        <v>4373</v>
      </c>
      <c r="D880" s="213" t="s">
        <v>4366</v>
      </c>
      <c r="E880" s="213" t="s">
        <v>4505</v>
      </c>
      <c r="F880" s="212" t="s">
        <v>4506</v>
      </c>
      <c r="G880" s="212" t="str">
        <f t="shared" si="40"/>
        <v>254예수금</v>
      </c>
      <c r="H880" s="214">
        <v>0</v>
      </c>
      <c r="I880" s="214">
        <v>60260</v>
      </c>
      <c r="J880" s="214">
        <f t="shared" si="41"/>
        <v>60260</v>
      </c>
      <c r="K880" s="212" t="s">
        <v>4522</v>
      </c>
      <c r="L880" s="213" t="s">
        <v>6411</v>
      </c>
      <c r="M880" s="212" t="s">
        <v>6518</v>
      </c>
    </row>
    <row r="881" spans="1:13" ht="21" customHeight="1">
      <c r="A881" s="213" t="s">
        <v>6794</v>
      </c>
      <c r="B881" s="215">
        <f t="shared" si="39"/>
        <v>45716</v>
      </c>
      <c r="C881" s="213" t="s">
        <v>4373</v>
      </c>
      <c r="D881" s="213" t="s">
        <v>4366</v>
      </c>
      <c r="E881" s="213" t="s">
        <v>4505</v>
      </c>
      <c r="F881" s="212" t="s">
        <v>4506</v>
      </c>
      <c r="G881" s="212" t="str">
        <f t="shared" si="40"/>
        <v>254예수금</v>
      </c>
      <c r="H881" s="214">
        <v>0</v>
      </c>
      <c r="I881" s="214">
        <v>6300</v>
      </c>
      <c r="J881" s="214">
        <f t="shared" si="41"/>
        <v>6300</v>
      </c>
      <c r="K881" s="212" t="s">
        <v>4508</v>
      </c>
      <c r="L881" s="213" t="s">
        <v>6411</v>
      </c>
      <c r="M881" s="212" t="s">
        <v>4516</v>
      </c>
    </row>
    <row r="882" spans="1:13" ht="21" customHeight="1">
      <c r="A882" s="213" t="s">
        <v>6794</v>
      </c>
      <c r="B882" s="215">
        <f t="shared" si="39"/>
        <v>45716</v>
      </c>
      <c r="C882" s="213" t="s">
        <v>4373</v>
      </c>
      <c r="D882" s="213" t="s">
        <v>4366</v>
      </c>
      <c r="E882" s="213" t="s">
        <v>4505</v>
      </c>
      <c r="F882" s="212" t="s">
        <v>4506</v>
      </c>
      <c r="G882" s="212" t="str">
        <f t="shared" si="40"/>
        <v>254예수금</v>
      </c>
      <c r="H882" s="214">
        <v>0</v>
      </c>
      <c r="I882" s="214">
        <v>7800</v>
      </c>
      <c r="J882" s="214">
        <f t="shared" si="41"/>
        <v>7800</v>
      </c>
      <c r="K882" s="212" t="s">
        <v>4522</v>
      </c>
      <c r="L882" s="213" t="s">
        <v>6411</v>
      </c>
      <c r="M882" s="212" t="s">
        <v>4517</v>
      </c>
    </row>
    <row r="883" spans="1:13" ht="21" customHeight="1">
      <c r="A883" s="213" t="s">
        <v>6794</v>
      </c>
      <c r="B883" s="215">
        <f t="shared" si="39"/>
        <v>45716</v>
      </c>
      <c r="C883" s="213" t="s">
        <v>4382</v>
      </c>
      <c r="D883" s="213" t="s">
        <v>4369</v>
      </c>
      <c r="E883" s="213" t="s">
        <v>4499</v>
      </c>
      <c r="F883" s="212" t="s">
        <v>6517</v>
      </c>
      <c r="G883" s="212" t="str">
        <f t="shared" si="40"/>
        <v>811복리후생비(판)</v>
      </c>
      <c r="H883" s="214">
        <v>6000</v>
      </c>
      <c r="I883" s="214">
        <v>0</v>
      </c>
      <c r="J883" s="214">
        <f t="shared" si="41"/>
        <v>-6000</v>
      </c>
      <c r="K883" s="212" t="s">
        <v>6288</v>
      </c>
      <c r="L883" s="213"/>
      <c r="M883" s="212"/>
    </row>
    <row r="884" spans="1:13" ht="21" customHeight="1">
      <c r="A884" s="213" t="s">
        <v>6794</v>
      </c>
      <c r="B884" s="215">
        <f t="shared" si="39"/>
        <v>45716</v>
      </c>
      <c r="C884" s="213" t="s">
        <v>4382</v>
      </c>
      <c r="D884" s="213" t="s">
        <v>4366</v>
      </c>
      <c r="E884" s="213" t="s">
        <v>333</v>
      </c>
      <c r="F884" s="212" t="s">
        <v>4365</v>
      </c>
      <c r="G884" s="212" t="str">
        <f t="shared" si="40"/>
        <v>101현금</v>
      </c>
      <c r="H884" s="214">
        <v>0</v>
      </c>
      <c r="I884" s="214">
        <v>6000</v>
      </c>
      <c r="J884" s="214">
        <f t="shared" si="41"/>
        <v>6000</v>
      </c>
      <c r="K884" s="212" t="s">
        <v>6369</v>
      </c>
      <c r="L884" s="213"/>
      <c r="M884" s="212"/>
    </row>
    <row r="885" spans="1:13" ht="21" customHeight="1">
      <c r="A885" s="213" t="s">
        <v>6794</v>
      </c>
      <c r="B885" s="215">
        <f t="shared" si="39"/>
        <v>45716</v>
      </c>
      <c r="C885" s="213" t="s">
        <v>4381</v>
      </c>
      <c r="D885" s="213" t="s">
        <v>4369</v>
      </c>
      <c r="E885" s="213" t="s">
        <v>4383</v>
      </c>
      <c r="F885" s="212" t="s">
        <v>6525</v>
      </c>
      <c r="G885" s="212" t="str">
        <f t="shared" si="40"/>
        <v>830소모품비(판)</v>
      </c>
      <c r="H885" s="214">
        <v>2150</v>
      </c>
      <c r="I885" s="214">
        <v>0</v>
      </c>
      <c r="J885" s="214">
        <f t="shared" si="41"/>
        <v>-2150</v>
      </c>
      <c r="K885" s="212" t="s">
        <v>6324</v>
      </c>
      <c r="L885" s="213"/>
      <c r="M885" s="212"/>
    </row>
    <row r="886" spans="1:13" ht="21" customHeight="1">
      <c r="A886" s="213" t="s">
        <v>6794</v>
      </c>
      <c r="B886" s="215">
        <f t="shared" si="39"/>
        <v>45716</v>
      </c>
      <c r="C886" s="213" t="s">
        <v>4381</v>
      </c>
      <c r="D886" s="213" t="s">
        <v>4366</v>
      </c>
      <c r="E886" s="213" t="s">
        <v>333</v>
      </c>
      <c r="F886" s="212" t="s">
        <v>4365</v>
      </c>
      <c r="G886" s="212" t="str">
        <f t="shared" si="40"/>
        <v>101현금</v>
      </c>
      <c r="H886" s="214">
        <v>0</v>
      </c>
      <c r="I886" s="214">
        <v>2150</v>
      </c>
      <c r="J886" s="214">
        <f t="shared" si="41"/>
        <v>2150</v>
      </c>
      <c r="K886" s="212" t="s">
        <v>6369</v>
      </c>
      <c r="L886" s="213"/>
      <c r="M886" s="212"/>
    </row>
    <row r="887" spans="1:13" ht="21" customHeight="1">
      <c r="A887" s="213" t="s">
        <v>6794</v>
      </c>
      <c r="B887" s="215">
        <f t="shared" si="39"/>
        <v>45716</v>
      </c>
      <c r="C887" s="213" t="s">
        <v>4367</v>
      </c>
      <c r="D887" s="213" t="s">
        <v>4369</v>
      </c>
      <c r="E887" s="213" t="s">
        <v>4371</v>
      </c>
      <c r="F887" s="212" t="s">
        <v>4370</v>
      </c>
      <c r="G887" s="212" t="str">
        <f t="shared" si="40"/>
        <v>135부가세대급금</v>
      </c>
      <c r="H887" s="214">
        <v>10000</v>
      </c>
      <c r="I887" s="214">
        <v>0</v>
      </c>
      <c r="J887" s="214">
        <f t="shared" si="41"/>
        <v>-10000</v>
      </c>
      <c r="K887" s="212" t="s">
        <v>6159</v>
      </c>
      <c r="L887" s="213"/>
      <c r="M887" s="212" t="s">
        <v>4364</v>
      </c>
    </row>
    <row r="888" spans="1:13" ht="21" customHeight="1">
      <c r="A888" s="213" t="s">
        <v>6794</v>
      </c>
      <c r="B888" s="215">
        <f t="shared" si="39"/>
        <v>45716</v>
      </c>
      <c r="C888" s="213" t="s">
        <v>4367</v>
      </c>
      <c r="D888" s="213" t="s">
        <v>4369</v>
      </c>
      <c r="E888" s="213" t="s">
        <v>4368</v>
      </c>
      <c r="F888" s="212" t="s">
        <v>6388</v>
      </c>
      <c r="G888" s="212" t="str">
        <f t="shared" si="40"/>
        <v>831지급수수료(판)</v>
      </c>
      <c r="H888" s="214">
        <v>100000</v>
      </c>
      <c r="I888" s="214">
        <v>0</v>
      </c>
      <c r="J888" s="214">
        <f t="shared" si="41"/>
        <v>-100000</v>
      </c>
      <c r="K888" s="212" t="s">
        <v>6159</v>
      </c>
      <c r="L888" s="213"/>
      <c r="M888" s="212" t="s">
        <v>4364</v>
      </c>
    </row>
    <row r="889" spans="1:13" ht="21" customHeight="1">
      <c r="A889" s="213" t="s">
        <v>6794</v>
      </c>
      <c r="B889" s="215">
        <f t="shared" si="39"/>
        <v>45716</v>
      </c>
      <c r="C889" s="213" t="s">
        <v>4367</v>
      </c>
      <c r="D889" s="213" t="s">
        <v>4366</v>
      </c>
      <c r="E889" s="213" t="s">
        <v>333</v>
      </c>
      <c r="F889" s="212" t="s">
        <v>4365</v>
      </c>
      <c r="G889" s="212" t="str">
        <f t="shared" si="40"/>
        <v>101현금</v>
      </c>
      <c r="H889" s="214">
        <v>0</v>
      </c>
      <c r="I889" s="214">
        <v>110000</v>
      </c>
      <c r="J889" s="214">
        <f t="shared" si="41"/>
        <v>110000</v>
      </c>
      <c r="K889" s="212" t="s">
        <v>6159</v>
      </c>
      <c r="L889" s="213"/>
      <c r="M889" s="212" t="s">
        <v>4364</v>
      </c>
    </row>
    <row r="890" spans="1:13" ht="21" customHeight="1">
      <c r="A890" s="213" t="s">
        <v>6794</v>
      </c>
      <c r="B890" s="215">
        <f t="shared" si="39"/>
        <v>45716</v>
      </c>
      <c r="C890" s="213" t="s">
        <v>4374</v>
      </c>
      <c r="D890" s="213" t="s">
        <v>4369</v>
      </c>
      <c r="E890" s="213" t="s">
        <v>4371</v>
      </c>
      <c r="F890" s="212" t="s">
        <v>4370</v>
      </c>
      <c r="G890" s="212" t="str">
        <f t="shared" si="40"/>
        <v>135부가세대급금</v>
      </c>
      <c r="H890" s="214">
        <v>532</v>
      </c>
      <c r="I890" s="214">
        <v>0</v>
      </c>
      <c r="J890" s="214">
        <f t="shared" si="41"/>
        <v>-532</v>
      </c>
      <c r="K890" s="212" t="s">
        <v>6274</v>
      </c>
      <c r="L890" s="213"/>
      <c r="M890" s="212" t="s">
        <v>6797</v>
      </c>
    </row>
    <row r="891" spans="1:13" ht="21" customHeight="1">
      <c r="A891" s="213" t="s">
        <v>6794</v>
      </c>
      <c r="B891" s="215">
        <f t="shared" si="39"/>
        <v>45716</v>
      </c>
      <c r="C891" s="213" t="s">
        <v>4374</v>
      </c>
      <c r="D891" s="213" t="s">
        <v>4369</v>
      </c>
      <c r="E891" s="213" t="s">
        <v>4368</v>
      </c>
      <c r="F891" s="212" t="s">
        <v>6388</v>
      </c>
      <c r="G891" s="212" t="str">
        <f t="shared" si="40"/>
        <v>831지급수수료(판)</v>
      </c>
      <c r="H891" s="214">
        <v>5318</v>
      </c>
      <c r="I891" s="214">
        <v>0</v>
      </c>
      <c r="J891" s="214">
        <f t="shared" si="41"/>
        <v>-5318</v>
      </c>
      <c r="K891" s="212" t="s">
        <v>6274</v>
      </c>
      <c r="L891" s="213"/>
      <c r="M891" s="212" t="s">
        <v>6797</v>
      </c>
    </row>
    <row r="892" spans="1:13" ht="21" customHeight="1">
      <c r="A892" s="213" t="s">
        <v>6794</v>
      </c>
      <c r="B892" s="215">
        <f t="shared" si="39"/>
        <v>45716</v>
      </c>
      <c r="C892" s="213" t="s">
        <v>4374</v>
      </c>
      <c r="D892" s="213" t="s">
        <v>4366</v>
      </c>
      <c r="E892" s="213" t="s">
        <v>333</v>
      </c>
      <c r="F892" s="212" t="s">
        <v>4365</v>
      </c>
      <c r="G892" s="212" t="str">
        <f t="shared" si="40"/>
        <v>101현금</v>
      </c>
      <c r="H892" s="214">
        <v>0</v>
      </c>
      <c r="I892" s="214">
        <v>5850</v>
      </c>
      <c r="J892" s="214">
        <f t="shared" si="41"/>
        <v>5850</v>
      </c>
      <c r="K892" s="212" t="s">
        <v>6274</v>
      </c>
      <c r="L892" s="213"/>
      <c r="M892" s="212" t="s">
        <v>6797</v>
      </c>
    </row>
    <row r="893" spans="1:13" ht="21" customHeight="1">
      <c r="A893" s="213" t="s">
        <v>6794</v>
      </c>
      <c r="B893" s="215">
        <f t="shared" si="39"/>
        <v>45716</v>
      </c>
      <c r="C893" s="213" t="s">
        <v>6182</v>
      </c>
      <c r="D893" s="213" t="s">
        <v>4369</v>
      </c>
      <c r="E893" s="213" t="s">
        <v>4371</v>
      </c>
      <c r="F893" s="212" t="s">
        <v>4370</v>
      </c>
      <c r="G893" s="212" t="str">
        <f t="shared" si="40"/>
        <v>135부가세대급금</v>
      </c>
      <c r="H893" s="214">
        <v>4000</v>
      </c>
      <c r="I893" s="214">
        <v>0</v>
      </c>
      <c r="J893" s="214">
        <f t="shared" si="41"/>
        <v>-4000</v>
      </c>
      <c r="K893" s="212" t="s">
        <v>6227</v>
      </c>
      <c r="L893" s="213"/>
      <c r="M893" s="212" t="s">
        <v>6275</v>
      </c>
    </row>
    <row r="894" spans="1:13" ht="21" customHeight="1">
      <c r="A894" s="213" t="s">
        <v>6794</v>
      </c>
      <c r="B894" s="215">
        <f t="shared" si="39"/>
        <v>45716</v>
      </c>
      <c r="C894" s="213" t="s">
        <v>6182</v>
      </c>
      <c r="D894" s="213" t="s">
        <v>4369</v>
      </c>
      <c r="E894" s="213" t="s">
        <v>4368</v>
      </c>
      <c r="F894" s="212" t="s">
        <v>6388</v>
      </c>
      <c r="G894" s="212" t="str">
        <f t="shared" si="40"/>
        <v>831지급수수료(판)</v>
      </c>
      <c r="H894" s="214">
        <v>40000</v>
      </c>
      <c r="I894" s="214">
        <v>0</v>
      </c>
      <c r="J894" s="214">
        <f t="shared" si="41"/>
        <v>-40000</v>
      </c>
      <c r="K894" s="212" t="s">
        <v>6227</v>
      </c>
      <c r="L894" s="213"/>
      <c r="M894" s="212" t="s">
        <v>6275</v>
      </c>
    </row>
    <row r="895" spans="1:13" ht="21" customHeight="1">
      <c r="A895" s="213" t="s">
        <v>6794</v>
      </c>
      <c r="B895" s="215">
        <f t="shared" si="39"/>
        <v>45716</v>
      </c>
      <c r="C895" s="213" t="s">
        <v>6182</v>
      </c>
      <c r="D895" s="213" t="s">
        <v>4366</v>
      </c>
      <c r="E895" s="213" t="s">
        <v>333</v>
      </c>
      <c r="F895" s="212" t="s">
        <v>4365</v>
      </c>
      <c r="G895" s="212" t="str">
        <f t="shared" si="40"/>
        <v>101현금</v>
      </c>
      <c r="H895" s="214">
        <v>0</v>
      </c>
      <c r="I895" s="214">
        <v>44000</v>
      </c>
      <c r="J895" s="214">
        <f t="shared" si="41"/>
        <v>44000</v>
      </c>
      <c r="K895" s="212" t="s">
        <v>6227</v>
      </c>
      <c r="L895" s="213"/>
      <c r="M895" s="212" t="s">
        <v>6275</v>
      </c>
    </row>
    <row r="896" spans="1:13" ht="21" customHeight="1">
      <c r="A896" s="213" t="s">
        <v>6794</v>
      </c>
      <c r="B896" s="215">
        <f t="shared" si="39"/>
        <v>45716</v>
      </c>
      <c r="C896" s="213" t="s">
        <v>6184</v>
      </c>
      <c r="D896" s="213" t="s">
        <v>4369</v>
      </c>
      <c r="E896" s="213" t="s">
        <v>4371</v>
      </c>
      <c r="F896" s="212" t="s">
        <v>4370</v>
      </c>
      <c r="G896" s="212" t="str">
        <f t="shared" si="40"/>
        <v>135부가세대급금</v>
      </c>
      <c r="H896" s="214">
        <v>1315</v>
      </c>
      <c r="I896" s="214">
        <v>0</v>
      </c>
      <c r="J896" s="214">
        <f t="shared" si="41"/>
        <v>-1315</v>
      </c>
      <c r="K896" s="212" t="s">
        <v>6227</v>
      </c>
      <c r="L896" s="213"/>
      <c r="M896" s="212" t="s">
        <v>6276</v>
      </c>
    </row>
    <row r="897" spans="1:13" ht="21" customHeight="1">
      <c r="A897" s="213" t="s">
        <v>6794</v>
      </c>
      <c r="B897" s="215">
        <f t="shared" si="39"/>
        <v>45716</v>
      </c>
      <c r="C897" s="213" t="s">
        <v>6184</v>
      </c>
      <c r="D897" s="213" t="s">
        <v>4369</v>
      </c>
      <c r="E897" s="213" t="s">
        <v>4368</v>
      </c>
      <c r="F897" s="212" t="s">
        <v>6388</v>
      </c>
      <c r="G897" s="212" t="str">
        <f t="shared" si="40"/>
        <v>831지급수수료(판)</v>
      </c>
      <c r="H897" s="214">
        <v>13150</v>
      </c>
      <c r="I897" s="214">
        <v>0</v>
      </c>
      <c r="J897" s="214">
        <f t="shared" si="41"/>
        <v>-13150</v>
      </c>
      <c r="K897" s="212" t="s">
        <v>6227</v>
      </c>
      <c r="L897" s="213"/>
      <c r="M897" s="212" t="s">
        <v>6276</v>
      </c>
    </row>
    <row r="898" spans="1:13" ht="21" customHeight="1">
      <c r="A898" s="213" t="s">
        <v>6794</v>
      </c>
      <c r="B898" s="215">
        <f t="shared" ref="B898:B961" si="42">DATEVALUE(A898)</f>
        <v>45716</v>
      </c>
      <c r="C898" s="213" t="s">
        <v>6184</v>
      </c>
      <c r="D898" s="213" t="s">
        <v>4366</v>
      </c>
      <c r="E898" s="213" t="s">
        <v>333</v>
      </c>
      <c r="F898" s="212" t="s">
        <v>4365</v>
      </c>
      <c r="G898" s="212" t="str">
        <f t="shared" ref="G898:G961" si="43">E898&amp;F898</f>
        <v>101현금</v>
      </c>
      <c r="H898" s="214">
        <v>0</v>
      </c>
      <c r="I898" s="214">
        <v>14465</v>
      </c>
      <c r="J898" s="214">
        <f t="shared" ref="J898:J961" si="44">I898-H898</f>
        <v>14465</v>
      </c>
      <c r="K898" s="212" t="s">
        <v>6227</v>
      </c>
      <c r="L898" s="213"/>
      <c r="M898" s="212" t="s">
        <v>6276</v>
      </c>
    </row>
    <row r="899" spans="1:13" ht="21" customHeight="1">
      <c r="A899" s="213" t="s">
        <v>6794</v>
      </c>
      <c r="B899" s="215">
        <f t="shared" si="42"/>
        <v>45716</v>
      </c>
      <c r="C899" s="213" t="s">
        <v>6186</v>
      </c>
      <c r="D899" s="213" t="s">
        <v>4366</v>
      </c>
      <c r="E899" s="213" t="s">
        <v>6176</v>
      </c>
      <c r="F899" s="212" t="s">
        <v>6177</v>
      </c>
      <c r="G899" s="212" t="str">
        <f t="shared" si="43"/>
        <v>255부가세예수금</v>
      </c>
      <c r="H899" s="214">
        <v>0</v>
      </c>
      <c r="I899" s="214">
        <v>20000</v>
      </c>
      <c r="J899" s="214">
        <f t="shared" si="44"/>
        <v>20000</v>
      </c>
      <c r="K899" s="212" t="s">
        <v>6230</v>
      </c>
      <c r="L899" s="213"/>
      <c r="M899" s="212" t="s">
        <v>6231</v>
      </c>
    </row>
    <row r="900" spans="1:13" ht="21" customHeight="1">
      <c r="A900" s="213" t="s">
        <v>6794</v>
      </c>
      <c r="B900" s="215">
        <f t="shared" si="42"/>
        <v>45716</v>
      </c>
      <c r="C900" s="213" t="s">
        <v>6186</v>
      </c>
      <c r="D900" s="213" t="s">
        <v>4366</v>
      </c>
      <c r="E900" s="213" t="s">
        <v>334</v>
      </c>
      <c r="F900" s="212" t="s">
        <v>6158</v>
      </c>
      <c r="G900" s="212" t="str">
        <f t="shared" si="43"/>
        <v>401용역매출</v>
      </c>
      <c r="H900" s="214">
        <v>0</v>
      </c>
      <c r="I900" s="214">
        <v>200000</v>
      </c>
      <c r="J900" s="214">
        <f t="shared" si="44"/>
        <v>200000</v>
      </c>
      <c r="K900" s="212" t="s">
        <v>6230</v>
      </c>
      <c r="L900" s="213"/>
      <c r="M900" s="212" t="s">
        <v>6231</v>
      </c>
    </row>
    <row r="901" spans="1:13" ht="21" customHeight="1">
      <c r="A901" s="213" t="s">
        <v>6794</v>
      </c>
      <c r="B901" s="215">
        <f t="shared" si="42"/>
        <v>45716</v>
      </c>
      <c r="C901" s="213" t="s">
        <v>6186</v>
      </c>
      <c r="D901" s="213" t="s">
        <v>4369</v>
      </c>
      <c r="E901" s="213" t="s">
        <v>333</v>
      </c>
      <c r="F901" s="212" t="s">
        <v>4365</v>
      </c>
      <c r="G901" s="212" t="str">
        <f t="shared" si="43"/>
        <v>101현금</v>
      </c>
      <c r="H901" s="214">
        <v>220000</v>
      </c>
      <c r="I901" s="214">
        <v>0</v>
      </c>
      <c r="J901" s="214">
        <f t="shared" si="44"/>
        <v>-220000</v>
      </c>
      <c r="K901" s="212" t="s">
        <v>6230</v>
      </c>
      <c r="L901" s="213"/>
      <c r="M901" s="212" t="s">
        <v>6231</v>
      </c>
    </row>
    <row r="902" spans="1:13" ht="21" customHeight="1">
      <c r="A902" s="213" t="s">
        <v>6794</v>
      </c>
      <c r="B902" s="215">
        <f t="shared" si="42"/>
        <v>45716</v>
      </c>
      <c r="C902" s="213" t="s">
        <v>6189</v>
      </c>
      <c r="D902" s="213" t="s">
        <v>4366</v>
      </c>
      <c r="E902" s="213" t="s">
        <v>6176</v>
      </c>
      <c r="F902" s="212" t="s">
        <v>6177</v>
      </c>
      <c r="G902" s="212" t="str">
        <f t="shared" si="43"/>
        <v>255부가세예수금</v>
      </c>
      <c r="H902" s="214">
        <v>0</v>
      </c>
      <c r="I902" s="214">
        <v>15000</v>
      </c>
      <c r="J902" s="214">
        <f t="shared" si="44"/>
        <v>15000</v>
      </c>
      <c r="K902" s="212" t="s">
        <v>6233</v>
      </c>
      <c r="L902" s="213"/>
      <c r="M902" s="212" t="s">
        <v>6179</v>
      </c>
    </row>
    <row r="903" spans="1:13" ht="21" customHeight="1">
      <c r="A903" s="213" t="s">
        <v>6794</v>
      </c>
      <c r="B903" s="215">
        <f t="shared" si="42"/>
        <v>45716</v>
      </c>
      <c r="C903" s="213" t="s">
        <v>6189</v>
      </c>
      <c r="D903" s="213" t="s">
        <v>4366</v>
      </c>
      <c r="E903" s="213" t="s">
        <v>334</v>
      </c>
      <c r="F903" s="212" t="s">
        <v>6158</v>
      </c>
      <c r="G903" s="212" t="str">
        <f t="shared" si="43"/>
        <v>401용역매출</v>
      </c>
      <c r="H903" s="214">
        <v>0</v>
      </c>
      <c r="I903" s="214">
        <v>150000</v>
      </c>
      <c r="J903" s="214">
        <f t="shared" si="44"/>
        <v>150000</v>
      </c>
      <c r="K903" s="212" t="s">
        <v>6233</v>
      </c>
      <c r="L903" s="213"/>
      <c r="M903" s="212" t="s">
        <v>6179</v>
      </c>
    </row>
    <row r="904" spans="1:13" ht="21" customHeight="1">
      <c r="A904" s="213" t="s">
        <v>6794</v>
      </c>
      <c r="B904" s="215">
        <f t="shared" si="42"/>
        <v>45716</v>
      </c>
      <c r="C904" s="213" t="s">
        <v>6189</v>
      </c>
      <c r="D904" s="213" t="s">
        <v>4369</v>
      </c>
      <c r="E904" s="213" t="s">
        <v>333</v>
      </c>
      <c r="F904" s="212" t="s">
        <v>4365</v>
      </c>
      <c r="G904" s="212" t="str">
        <f t="shared" si="43"/>
        <v>101현금</v>
      </c>
      <c r="H904" s="214">
        <v>165000</v>
      </c>
      <c r="I904" s="214">
        <v>0</v>
      </c>
      <c r="J904" s="214">
        <f t="shared" si="44"/>
        <v>-165000</v>
      </c>
      <c r="K904" s="212" t="s">
        <v>6233</v>
      </c>
      <c r="L904" s="213"/>
      <c r="M904" s="212" t="s">
        <v>6179</v>
      </c>
    </row>
    <row r="905" spans="1:13" ht="21" customHeight="1">
      <c r="A905" s="213" t="s">
        <v>6794</v>
      </c>
      <c r="B905" s="215">
        <f t="shared" si="42"/>
        <v>45716</v>
      </c>
      <c r="C905" s="213" t="s">
        <v>6191</v>
      </c>
      <c r="D905" s="213" t="s">
        <v>4366</v>
      </c>
      <c r="E905" s="213" t="s">
        <v>6176</v>
      </c>
      <c r="F905" s="212" t="s">
        <v>6177</v>
      </c>
      <c r="G905" s="212" t="str">
        <f t="shared" si="43"/>
        <v>255부가세예수금</v>
      </c>
      <c r="H905" s="214">
        <v>0</v>
      </c>
      <c r="I905" s="214">
        <v>12000</v>
      </c>
      <c r="J905" s="214">
        <f t="shared" si="44"/>
        <v>12000</v>
      </c>
      <c r="K905" s="212" t="s">
        <v>6270</v>
      </c>
      <c r="L905" s="213"/>
      <c r="M905" s="212" t="s">
        <v>6225</v>
      </c>
    </row>
    <row r="906" spans="1:13" ht="21" customHeight="1">
      <c r="A906" s="213" t="s">
        <v>6794</v>
      </c>
      <c r="B906" s="215">
        <f t="shared" si="42"/>
        <v>45716</v>
      </c>
      <c r="C906" s="213" t="s">
        <v>6191</v>
      </c>
      <c r="D906" s="213" t="s">
        <v>4366</v>
      </c>
      <c r="E906" s="213" t="s">
        <v>334</v>
      </c>
      <c r="F906" s="212" t="s">
        <v>6158</v>
      </c>
      <c r="G906" s="212" t="str">
        <f t="shared" si="43"/>
        <v>401용역매출</v>
      </c>
      <c r="H906" s="214">
        <v>0</v>
      </c>
      <c r="I906" s="214">
        <v>120000</v>
      </c>
      <c r="J906" s="214">
        <f t="shared" si="44"/>
        <v>120000</v>
      </c>
      <c r="K906" s="212" t="s">
        <v>6270</v>
      </c>
      <c r="L906" s="213"/>
      <c r="M906" s="212" t="s">
        <v>6225</v>
      </c>
    </row>
    <row r="907" spans="1:13" ht="21" customHeight="1">
      <c r="A907" s="213" t="s">
        <v>6794</v>
      </c>
      <c r="B907" s="215">
        <f t="shared" si="42"/>
        <v>45716</v>
      </c>
      <c r="C907" s="213" t="s">
        <v>6191</v>
      </c>
      <c r="D907" s="213" t="s">
        <v>4369</v>
      </c>
      <c r="E907" s="213" t="s">
        <v>333</v>
      </c>
      <c r="F907" s="212" t="s">
        <v>4365</v>
      </c>
      <c r="G907" s="212" t="str">
        <f t="shared" si="43"/>
        <v>101현금</v>
      </c>
      <c r="H907" s="214">
        <v>132000</v>
      </c>
      <c r="I907" s="214">
        <v>0</v>
      </c>
      <c r="J907" s="214">
        <f t="shared" si="44"/>
        <v>-132000</v>
      </c>
      <c r="K907" s="212" t="s">
        <v>6270</v>
      </c>
      <c r="L907" s="213"/>
      <c r="M907" s="212" t="s">
        <v>6225</v>
      </c>
    </row>
    <row r="908" spans="1:13" ht="21" customHeight="1">
      <c r="A908" s="213" t="s">
        <v>6794</v>
      </c>
      <c r="B908" s="215">
        <f t="shared" si="42"/>
        <v>45716</v>
      </c>
      <c r="C908" s="213" t="s">
        <v>6216</v>
      </c>
      <c r="D908" s="213" t="s">
        <v>4366</v>
      </c>
      <c r="E908" s="213" t="s">
        <v>6176</v>
      </c>
      <c r="F908" s="212" t="s">
        <v>6177</v>
      </c>
      <c r="G908" s="212" t="str">
        <f t="shared" si="43"/>
        <v>255부가세예수금</v>
      </c>
      <c r="H908" s="214">
        <v>0</v>
      </c>
      <c r="I908" s="214">
        <v>30000</v>
      </c>
      <c r="J908" s="214">
        <f t="shared" si="44"/>
        <v>30000</v>
      </c>
      <c r="K908" s="212" t="s">
        <v>6180</v>
      </c>
      <c r="L908" s="213"/>
      <c r="M908" s="212" t="s">
        <v>6190</v>
      </c>
    </row>
    <row r="909" spans="1:13" ht="21" customHeight="1">
      <c r="A909" s="213" t="s">
        <v>6794</v>
      </c>
      <c r="B909" s="215">
        <f t="shared" si="42"/>
        <v>45716</v>
      </c>
      <c r="C909" s="213" t="s">
        <v>6216</v>
      </c>
      <c r="D909" s="213" t="s">
        <v>4366</v>
      </c>
      <c r="E909" s="213" t="s">
        <v>334</v>
      </c>
      <c r="F909" s="212" t="s">
        <v>6158</v>
      </c>
      <c r="G909" s="212" t="str">
        <f t="shared" si="43"/>
        <v>401용역매출</v>
      </c>
      <c r="H909" s="214">
        <v>0</v>
      </c>
      <c r="I909" s="214">
        <v>300000</v>
      </c>
      <c r="J909" s="214">
        <f t="shared" si="44"/>
        <v>300000</v>
      </c>
      <c r="K909" s="212" t="s">
        <v>6180</v>
      </c>
      <c r="L909" s="213"/>
      <c r="M909" s="212" t="s">
        <v>6190</v>
      </c>
    </row>
    <row r="910" spans="1:13" ht="21" customHeight="1">
      <c r="A910" s="213" t="s">
        <v>6794</v>
      </c>
      <c r="B910" s="215">
        <f t="shared" si="42"/>
        <v>45716</v>
      </c>
      <c r="C910" s="213" t="s">
        <v>6216</v>
      </c>
      <c r="D910" s="213" t="s">
        <v>4369</v>
      </c>
      <c r="E910" s="213" t="s">
        <v>333</v>
      </c>
      <c r="F910" s="212" t="s">
        <v>4365</v>
      </c>
      <c r="G910" s="212" t="str">
        <f t="shared" si="43"/>
        <v>101현금</v>
      </c>
      <c r="H910" s="214">
        <v>330000</v>
      </c>
      <c r="I910" s="214">
        <v>0</v>
      </c>
      <c r="J910" s="214">
        <f t="shared" si="44"/>
        <v>-330000</v>
      </c>
      <c r="K910" s="212" t="s">
        <v>6180</v>
      </c>
      <c r="L910" s="213"/>
      <c r="M910" s="212" t="s">
        <v>6190</v>
      </c>
    </row>
    <row r="911" spans="1:13" ht="21" customHeight="1">
      <c r="A911" s="213" t="s">
        <v>6794</v>
      </c>
      <c r="B911" s="215">
        <f t="shared" si="42"/>
        <v>45716</v>
      </c>
      <c r="C911" s="213" t="s">
        <v>6217</v>
      </c>
      <c r="D911" s="213" t="s">
        <v>4366</v>
      </c>
      <c r="E911" s="213" t="s">
        <v>6176</v>
      </c>
      <c r="F911" s="212" t="s">
        <v>6177</v>
      </c>
      <c r="G911" s="212" t="str">
        <f t="shared" si="43"/>
        <v>255부가세예수금</v>
      </c>
      <c r="H911" s="214">
        <v>0</v>
      </c>
      <c r="I911" s="214">
        <v>12000</v>
      </c>
      <c r="J911" s="214">
        <f t="shared" si="44"/>
        <v>12000</v>
      </c>
      <c r="K911" s="212" t="s">
        <v>6224</v>
      </c>
      <c r="L911" s="213"/>
      <c r="M911" s="212" t="s">
        <v>6225</v>
      </c>
    </row>
    <row r="912" spans="1:13" ht="21" customHeight="1">
      <c r="A912" s="213" t="s">
        <v>6794</v>
      </c>
      <c r="B912" s="215">
        <f t="shared" si="42"/>
        <v>45716</v>
      </c>
      <c r="C912" s="213" t="s">
        <v>6217</v>
      </c>
      <c r="D912" s="213" t="s">
        <v>4366</v>
      </c>
      <c r="E912" s="213" t="s">
        <v>334</v>
      </c>
      <c r="F912" s="212" t="s">
        <v>6158</v>
      </c>
      <c r="G912" s="212" t="str">
        <f t="shared" si="43"/>
        <v>401용역매출</v>
      </c>
      <c r="H912" s="214">
        <v>0</v>
      </c>
      <c r="I912" s="214">
        <v>120000</v>
      </c>
      <c r="J912" s="214">
        <f t="shared" si="44"/>
        <v>120000</v>
      </c>
      <c r="K912" s="212" t="s">
        <v>6224</v>
      </c>
      <c r="L912" s="213"/>
      <c r="M912" s="212" t="s">
        <v>6225</v>
      </c>
    </row>
    <row r="913" spans="1:13" ht="21" customHeight="1">
      <c r="A913" s="213" t="s">
        <v>6794</v>
      </c>
      <c r="B913" s="215">
        <f t="shared" si="42"/>
        <v>45716</v>
      </c>
      <c r="C913" s="213" t="s">
        <v>6217</v>
      </c>
      <c r="D913" s="213" t="s">
        <v>4369</v>
      </c>
      <c r="E913" s="213" t="s">
        <v>333</v>
      </c>
      <c r="F913" s="212" t="s">
        <v>4365</v>
      </c>
      <c r="G913" s="212" t="str">
        <f t="shared" si="43"/>
        <v>101현금</v>
      </c>
      <c r="H913" s="214">
        <v>132000</v>
      </c>
      <c r="I913" s="214">
        <v>0</v>
      </c>
      <c r="J913" s="214">
        <f t="shared" si="44"/>
        <v>-132000</v>
      </c>
      <c r="K913" s="212" t="s">
        <v>6224</v>
      </c>
      <c r="L913" s="213"/>
      <c r="M913" s="212" t="s">
        <v>6225</v>
      </c>
    </row>
    <row r="914" spans="1:13" ht="21" customHeight="1">
      <c r="A914" s="213" t="s">
        <v>6794</v>
      </c>
      <c r="B914" s="215">
        <f t="shared" si="42"/>
        <v>45716</v>
      </c>
      <c r="C914" s="213" t="s">
        <v>6218</v>
      </c>
      <c r="D914" s="213" t="s">
        <v>4366</v>
      </c>
      <c r="E914" s="213" t="s">
        <v>6176</v>
      </c>
      <c r="F914" s="212" t="s">
        <v>6177</v>
      </c>
      <c r="G914" s="212" t="str">
        <f t="shared" si="43"/>
        <v>255부가세예수금</v>
      </c>
      <c r="H914" s="214">
        <v>0</v>
      </c>
      <c r="I914" s="214">
        <v>7000</v>
      </c>
      <c r="J914" s="214">
        <f t="shared" si="44"/>
        <v>7000</v>
      </c>
      <c r="K914" s="212" t="s">
        <v>6336</v>
      </c>
      <c r="L914" s="213"/>
      <c r="M914" s="212" t="s">
        <v>6287</v>
      </c>
    </row>
    <row r="915" spans="1:13" ht="21" customHeight="1">
      <c r="A915" s="213" t="s">
        <v>6794</v>
      </c>
      <c r="B915" s="215">
        <f t="shared" si="42"/>
        <v>45716</v>
      </c>
      <c r="C915" s="213" t="s">
        <v>6218</v>
      </c>
      <c r="D915" s="213" t="s">
        <v>4366</v>
      </c>
      <c r="E915" s="213" t="s">
        <v>334</v>
      </c>
      <c r="F915" s="212" t="s">
        <v>6158</v>
      </c>
      <c r="G915" s="212" t="str">
        <f t="shared" si="43"/>
        <v>401용역매출</v>
      </c>
      <c r="H915" s="214">
        <v>0</v>
      </c>
      <c r="I915" s="214">
        <v>70000</v>
      </c>
      <c r="J915" s="214">
        <f t="shared" si="44"/>
        <v>70000</v>
      </c>
      <c r="K915" s="212" t="s">
        <v>6336</v>
      </c>
      <c r="L915" s="213"/>
      <c r="M915" s="212" t="s">
        <v>6287</v>
      </c>
    </row>
    <row r="916" spans="1:13" ht="21" customHeight="1">
      <c r="A916" s="213" t="s">
        <v>6794</v>
      </c>
      <c r="B916" s="215">
        <f t="shared" si="42"/>
        <v>45716</v>
      </c>
      <c r="C916" s="213" t="s">
        <v>6218</v>
      </c>
      <c r="D916" s="213" t="s">
        <v>4369</v>
      </c>
      <c r="E916" s="213" t="s">
        <v>333</v>
      </c>
      <c r="F916" s="212" t="s">
        <v>4365</v>
      </c>
      <c r="G916" s="212" t="str">
        <f t="shared" si="43"/>
        <v>101현금</v>
      </c>
      <c r="H916" s="214">
        <v>77000</v>
      </c>
      <c r="I916" s="214">
        <v>0</v>
      </c>
      <c r="J916" s="214">
        <f t="shared" si="44"/>
        <v>-77000</v>
      </c>
      <c r="K916" s="212" t="s">
        <v>6336</v>
      </c>
      <c r="L916" s="213"/>
      <c r="M916" s="212" t="s">
        <v>6287</v>
      </c>
    </row>
    <row r="917" spans="1:13" ht="21" customHeight="1">
      <c r="A917" s="213" t="s">
        <v>6794</v>
      </c>
      <c r="B917" s="215">
        <f t="shared" si="42"/>
        <v>45716</v>
      </c>
      <c r="C917" s="213" t="s">
        <v>6238</v>
      </c>
      <c r="D917" s="213" t="s">
        <v>4366</v>
      </c>
      <c r="E917" s="213" t="s">
        <v>6176</v>
      </c>
      <c r="F917" s="212" t="s">
        <v>6177</v>
      </c>
      <c r="G917" s="212" t="str">
        <f t="shared" si="43"/>
        <v>255부가세예수금</v>
      </c>
      <c r="H917" s="214">
        <v>0</v>
      </c>
      <c r="I917" s="214">
        <v>15000</v>
      </c>
      <c r="J917" s="214">
        <f t="shared" si="44"/>
        <v>15000</v>
      </c>
      <c r="K917" s="212" t="s">
        <v>6223</v>
      </c>
      <c r="L917" s="213"/>
      <c r="M917" s="212" t="s">
        <v>6179</v>
      </c>
    </row>
    <row r="918" spans="1:13" ht="21" customHeight="1">
      <c r="A918" s="213" t="s">
        <v>6794</v>
      </c>
      <c r="B918" s="215">
        <f t="shared" si="42"/>
        <v>45716</v>
      </c>
      <c r="C918" s="213" t="s">
        <v>6238</v>
      </c>
      <c r="D918" s="213" t="s">
        <v>4366</v>
      </c>
      <c r="E918" s="213" t="s">
        <v>334</v>
      </c>
      <c r="F918" s="212" t="s">
        <v>6158</v>
      </c>
      <c r="G918" s="212" t="str">
        <f t="shared" si="43"/>
        <v>401용역매출</v>
      </c>
      <c r="H918" s="214">
        <v>0</v>
      </c>
      <c r="I918" s="214">
        <v>150000</v>
      </c>
      <c r="J918" s="214">
        <f t="shared" si="44"/>
        <v>150000</v>
      </c>
      <c r="K918" s="212" t="s">
        <v>6223</v>
      </c>
      <c r="L918" s="213"/>
      <c r="M918" s="212" t="s">
        <v>6179</v>
      </c>
    </row>
    <row r="919" spans="1:13" ht="21" customHeight="1">
      <c r="A919" s="213" t="s">
        <v>6794</v>
      </c>
      <c r="B919" s="215">
        <f t="shared" si="42"/>
        <v>45716</v>
      </c>
      <c r="C919" s="213" t="s">
        <v>6238</v>
      </c>
      <c r="D919" s="213" t="s">
        <v>4369</v>
      </c>
      <c r="E919" s="213" t="s">
        <v>333</v>
      </c>
      <c r="F919" s="212" t="s">
        <v>4365</v>
      </c>
      <c r="G919" s="212" t="str">
        <f t="shared" si="43"/>
        <v>101현금</v>
      </c>
      <c r="H919" s="214">
        <v>165000</v>
      </c>
      <c r="I919" s="214">
        <v>0</v>
      </c>
      <c r="J919" s="214">
        <f t="shared" si="44"/>
        <v>-165000</v>
      </c>
      <c r="K919" s="212" t="s">
        <v>6223</v>
      </c>
      <c r="L919" s="213"/>
      <c r="M919" s="212" t="s">
        <v>6179</v>
      </c>
    </row>
    <row r="920" spans="1:13" ht="21" customHeight="1">
      <c r="A920" s="213" t="s">
        <v>6794</v>
      </c>
      <c r="B920" s="215">
        <f t="shared" si="42"/>
        <v>45716</v>
      </c>
      <c r="C920" s="213" t="s">
        <v>6240</v>
      </c>
      <c r="D920" s="213" t="s">
        <v>4366</v>
      </c>
      <c r="E920" s="213" t="s">
        <v>6176</v>
      </c>
      <c r="F920" s="212" t="s">
        <v>6177</v>
      </c>
      <c r="G920" s="212" t="str">
        <f t="shared" si="43"/>
        <v>255부가세예수금</v>
      </c>
      <c r="H920" s="214">
        <v>0</v>
      </c>
      <c r="I920" s="214">
        <v>50000</v>
      </c>
      <c r="J920" s="214">
        <f t="shared" si="44"/>
        <v>50000</v>
      </c>
      <c r="K920" s="212" t="s">
        <v>6796</v>
      </c>
      <c r="L920" s="213"/>
      <c r="M920" s="212" t="s">
        <v>6278</v>
      </c>
    </row>
    <row r="921" spans="1:13" ht="21" customHeight="1">
      <c r="A921" s="213" t="s">
        <v>6794</v>
      </c>
      <c r="B921" s="215">
        <f t="shared" si="42"/>
        <v>45716</v>
      </c>
      <c r="C921" s="213" t="s">
        <v>6240</v>
      </c>
      <c r="D921" s="213" t="s">
        <v>4366</v>
      </c>
      <c r="E921" s="213" t="s">
        <v>334</v>
      </c>
      <c r="F921" s="212" t="s">
        <v>6158</v>
      </c>
      <c r="G921" s="212" t="str">
        <f t="shared" si="43"/>
        <v>401용역매출</v>
      </c>
      <c r="H921" s="214">
        <v>0</v>
      </c>
      <c r="I921" s="214">
        <v>500000</v>
      </c>
      <c r="J921" s="214">
        <f t="shared" si="44"/>
        <v>500000</v>
      </c>
      <c r="K921" s="212" t="s">
        <v>6796</v>
      </c>
      <c r="L921" s="213"/>
      <c r="M921" s="212" t="s">
        <v>6278</v>
      </c>
    </row>
    <row r="922" spans="1:13" ht="21" customHeight="1">
      <c r="A922" s="213" t="s">
        <v>6794</v>
      </c>
      <c r="B922" s="215">
        <f t="shared" si="42"/>
        <v>45716</v>
      </c>
      <c r="C922" s="213" t="s">
        <v>6240</v>
      </c>
      <c r="D922" s="213" t="s">
        <v>4369</v>
      </c>
      <c r="E922" s="213" t="s">
        <v>333</v>
      </c>
      <c r="F922" s="212" t="s">
        <v>4365</v>
      </c>
      <c r="G922" s="212" t="str">
        <f t="shared" si="43"/>
        <v>101현금</v>
      </c>
      <c r="H922" s="214">
        <v>550000</v>
      </c>
      <c r="I922" s="214">
        <v>0</v>
      </c>
      <c r="J922" s="214">
        <f t="shared" si="44"/>
        <v>-550000</v>
      </c>
      <c r="K922" s="212" t="s">
        <v>6796</v>
      </c>
      <c r="L922" s="213"/>
      <c r="M922" s="212" t="s">
        <v>6278</v>
      </c>
    </row>
    <row r="923" spans="1:13" ht="21" customHeight="1">
      <c r="A923" s="213" t="s">
        <v>6794</v>
      </c>
      <c r="B923" s="215">
        <f t="shared" si="42"/>
        <v>45716</v>
      </c>
      <c r="C923" s="213" t="s">
        <v>6241</v>
      </c>
      <c r="D923" s="213" t="s">
        <v>4366</v>
      </c>
      <c r="E923" s="213" t="s">
        <v>6176</v>
      </c>
      <c r="F923" s="212" t="s">
        <v>6177</v>
      </c>
      <c r="G923" s="212" t="str">
        <f t="shared" si="43"/>
        <v>255부가세예수금</v>
      </c>
      <c r="H923" s="214">
        <v>0</v>
      </c>
      <c r="I923" s="214">
        <v>9091</v>
      </c>
      <c r="J923" s="214">
        <f t="shared" si="44"/>
        <v>9091</v>
      </c>
      <c r="K923" s="212" t="s">
        <v>6795</v>
      </c>
      <c r="L923" s="213"/>
      <c r="M923" s="212" t="s">
        <v>6296</v>
      </c>
    </row>
    <row r="924" spans="1:13" ht="21" customHeight="1">
      <c r="A924" s="213" t="s">
        <v>6794</v>
      </c>
      <c r="B924" s="215">
        <f t="shared" si="42"/>
        <v>45716</v>
      </c>
      <c r="C924" s="213" t="s">
        <v>6241</v>
      </c>
      <c r="D924" s="213" t="s">
        <v>4366</v>
      </c>
      <c r="E924" s="213" t="s">
        <v>334</v>
      </c>
      <c r="F924" s="212" t="s">
        <v>6158</v>
      </c>
      <c r="G924" s="212" t="str">
        <f t="shared" si="43"/>
        <v>401용역매출</v>
      </c>
      <c r="H924" s="214">
        <v>0</v>
      </c>
      <c r="I924" s="214">
        <v>90909</v>
      </c>
      <c r="J924" s="214">
        <f t="shared" si="44"/>
        <v>90909</v>
      </c>
      <c r="K924" s="212" t="s">
        <v>6795</v>
      </c>
      <c r="L924" s="213"/>
      <c r="M924" s="212" t="s">
        <v>6296</v>
      </c>
    </row>
    <row r="925" spans="1:13" ht="21" customHeight="1">
      <c r="A925" s="213" t="s">
        <v>6794</v>
      </c>
      <c r="B925" s="215">
        <f t="shared" si="42"/>
        <v>45716</v>
      </c>
      <c r="C925" s="213" t="s">
        <v>6241</v>
      </c>
      <c r="D925" s="213" t="s">
        <v>4369</v>
      </c>
      <c r="E925" s="213" t="s">
        <v>333</v>
      </c>
      <c r="F925" s="212" t="s">
        <v>4365</v>
      </c>
      <c r="G925" s="212" t="str">
        <f t="shared" si="43"/>
        <v>101현금</v>
      </c>
      <c r="H925" s="214">
        <v>100000</v>
      </c>
      <c r="I925" s="214">
        <v>0</v>
      </c>
      <c r="J925" s="214">
        <f t="shared" si="44"/>
        <v>-100000</v>
      </c>
      <c r="K925" s="212" t="s">
        <v>6795</v>
      </c>
      <c r="L925" s="213"/>
      <c r="M925" s="212" t="s">
        <v>6296</v>
      </c>
    </row>
    <row r="926" spans="1:13" ht="21" customHeight="1">
      <c r="A926" s="213" t="s">
        <v>6794</v>
      </c>
      <c r="B926" s="215">
        <f t="shared" si="42"/>
        <v>45716</v>
      </c>
      <c r="C926" s="213" t="s">
        <v>6243</v>
      </c>
      <c r="D926" s="216" t="s">
        <v>4372</v>
      </c>
      <c r="E926" s="213" t="s">
        <v>6176</v>
      </c>
      <c r="F926" s="212" t="s">
        <v>6177</v>
      </c>
      <c r="G926" s="212" t="str">
        <f t="shared" si="43"/>
        <v>255부가세예수금</v>
      </c>
      <c r="H926" s="214">
        <v>0</v>
      </c>
      <c r="I926" s="214">
        <v>1827272</v>
      </c>
      <c r="J926" s="214">
        <f t="shared" si="44"/>
        <v>1827272</v>
      </c>
      <c r="K926" s="212" t="s">
        <v>6277</v>
      </c>
      <c r="L926" s="213" t="s">
        <v>6411</v>
      </c>
      <c r="M926" s="212" t="s">
        <v>6512</v>
      </c>
    </row>
    <row r="927" spans="1:13" ht="21" customHeight="1">
      <c r="A927" s="213" t="s">
        <v>6794</v>
      </c>
      <c r="B927" s="215">
        <f t="shared" si="42"/>
        <v>45716</v>
      </c>
      <c r="C927" s="213" t="s">
        <v>6243</v>
      </c>
      <c r="D927" s="216" t="s">
        <v>4372</v>
      </c>
      <c r="E927" s="213" t="s">
        <v>333</v>
      </c>
      <c r="F927" s="212" t="s">
        <v>4365</v>
      </c>
      <c r="G927" s="212" t="str">
        <f t="shared" si="43"/>
        <v>101현금</v>
      </c>
      <c r="H927" s="214">
        <v>1827272</v>
      </c>
      <c r="I927" s="214">
        <v>0</v>
      </c>
      <c r="J927" s="214">
        <f t="shared" si="44"/>
        <v>-1827272</v>
      </c>
      <c r="K927" s="212" t="s">
        <v>6277</v>
      </c>
      <c r="L927" s="213" t="s">
        <v>6411</v>
      </c>
      <c r="M927" s="212" t="s">
        <v>6512</v>
      </c>
    </row>
    <row r="928" spans="1:13" ht="21" customHeight="1">
      <c r="A928" s="213" t="s">
        <v>6794</v>
      </c>
      <c r="B928" s="215">
        <f t="shared" si="42"/>
        <v>45716</v>
      </c>
      <c r="C928" s="213" t="s">
        <v>6243</v>
      </c>
      <c r="D928" s="216" t="s">
        <v>4372</v>
      </c>
      <c r="E928" s="213" t="s">
        <v>334</v>
      </c>
      <c r="F928" s="212" t="s">
        <v>6158</v>
      </c>
      <c r="G928" s="212" t="str">
        <f t="shared" si="43"/>
        <v>401용역매출</v>
      </c>
      <c r="H928" s="214">
        <v>0</v>
      </c>
      <c r="I928" s="214">
        <v>18272728</v>
      </c>
      <c r="J928" s="214">
        <f t="shared" si="44"/>
        <v>18272728</v>
      </c>
      <c r="K928" s="212" t="s">
        <v>6277</v>
      </c>
      <c r="L928" s="213" t="s">
        <v>6411</v>
      </c>
      <c r="M928" s="212" t="s">
        <v>6512</v>
      </c>
    </row>
    <row r="929" spans="1:13" ht="21" customHeight="1">
      <c r="A929" s="213" t="s">
        <v>6794</v>
      </c>
      <c r="B929" s="215">
        <f t="shared" si="42"/>
        <v>45716</v>
      </c>
      <c r="C929" s="213" t="s">
        <v>6243</v>
      </c>
      <c r="D929" s="216" t="s">
        <v>4372</v>
      </c>
      <c r="E929" s="213" t="s">
        <v>333</v>
      </c>
      <c r="F929" s="212" t="s">
        <v>4365</v>
      </c>
      <c r="G929" s="212" t="str">
        <f t="shared" si="43"/>
        <v>101현금</v>
      </c>
      <c r="H929" s="214">
        <v>18272728</v>
      </c>
      <c r="I929" s="214">
        <v>0</v>
      </c>
      <c r="J929" s="214">
        <f t="shared" si="44"/>
        <v>-18272728</v>
      </c>
      <c r="K929" s="212" t="s">
        <v>6277</v>
      </c>
      <c r="L929" s="213" t="s">
        <v>6411</v>
      </c>
      <c r="M929" s="212" t="s">
        <v>6512</v>
      </c>
    </row>
    <row r="930" spans="1:13" ht="21" customHeight="1">
      <c r="A930" s="217" t="s">
        <v>6793</v>
      </c>
      <c r="B930" s="215">
        <f t="shared" si="42"/>
        <v>45717</v>
      </c>
      <c r="C930" s="213" t="s">
        <v>4373</v>
      </c>
      <c r="D930" s="213" t="s">
        <v>4369</v>
      </c>
      <c r="E930" s="213" t="s">
        <v>4499</v>
      </c>
      <c r="F930" s="212" t="s">
        <v>6517</v>
      </c>
      <c r="G930" s="212" t="str">
        <f t="shared" si="43"/>
        <v>811복리후생비(판)</v>
      </c>
      <c r="H930" s="214">
        <v>3000</v>
      </c>
      <c r="I930" s="214">
        <v>0</v>
      </c>
      <c r="J930" s="214">
        <f t="shared" si="44"/>
        <v>-3000</v>
      </c>
      <c r="K930" s="212" t="s">
        <v>6288</v>
      </c>
      <c r="L930" s="213"/>
      <c r="M930" s="212"/>
    </row>
    <row r="931" spans="1:13" ht="21" customHeight="1">
      <c r="A931" s="217" t="s">
        <v>6793</v>
      </c>
      <c r="B931" s="215">
        <f t="shared" si="42"/>
        <v>45717</v>
      </c>
      <c r="C931" s="213" t="s">
        <v>4373</v>
      </c>
      <c r="D931" s="213" t="s">
        <v>4366</v>
      </c>
      <c r="E931" s="213" t="s">
        <v>333</v>
      </c>
      <c r="F931" s="212" t="s">
        <v>4365</v>
      </c>
      <c r="G931" s="212" t="str">
        <f t="shared" si="43"/>
        <v>101현금</v>
      </c>
      <c r="H931" s="214">
        <v>0</v>
      </c>
      <c r="I931" s="214">
        <v>3000</v>
      </c>
      <c r="J931" s="214">
        <f t="shared" si="44"/>
        <v>3000</v>
      </c>
      <c r="K931" s="212" t="s">
        <v>6370</v>
      </c>
      <c r="L931" s="213"/>
      <c r="M931" s="212"/>
    </row>
    <row r="932" spans="1:13" ht="21" customHeight="1">
      <c r="A932" s="217" t="s">
        <v>6793</v>
      </c>
      <c r="B932" s="215">
        <f t="shared" si="42"/>
        <v>45717</v>
      </c>
      <c r="C932" s="213" t="s">
        <v>4382</v>
      </c>
      <c r="D932" s="213" t="s">
        <v>4369</v>
      </c>
      <c r="E932" s="213" t="s">
        <v>4500</v>
      </c>
      <c r="F932" s="212" t="s">
        <v>6418</v>
      </c>
      <c r="G932" s="212" t="str">
        <f t="shared" si="43"/>
        <v>822차량유지비(판)</v>
      </c>
      <c r="H932" s="214">
        <v>50000</v>
      </c>
      <c r="I932" s="214">
        <v>0</v>
      </c>
      <c r="J932" s="214">
        <f t="shared" si="44"/>
        <v>-50000</v>
      </c>
      <c r="K932" s="212" t="s">
        <v>6272</v>
      </c>
      <c r="L932" s="213"/>
      <c r="M932" s="212"/>
    </row>
    <row r="933" spans="1:13" ht="21" customHeight="1">
      <c r="A933" s="217" t="s">
        <v>6793</v>
      </c>
      <c r="B933" s="215">
        <f t="shared" si="42"/>
        <v>45717</v>
      </c>
      <c r="C933" s="213" t="s">
        <v>4382</v>
      </c>
      <c r="D933" s="213" t="s">
        <v>4366</v>
      </c>
      <c r="E933" s="213" t="s">
        <v>333</v>
      </c>
      <c r="F933" s="212" t="s">
        <v>4365</v>
      </c>
      <c r="G933" s="212" t="str">
        <f t="shared" si="43"/>
        <v>101현금</v>
      </c>
      <c r="H933" s="214">
        <v>0</v>
      </c>
      <c r="I933" s="214">
        <v>50000</v>
      </c>
      <c r="J933" s="214">
        <f t="shared" si="44"/>
        <v>50000</v>
      </c>
      <c r="K933" s="212" t="s">
        <v>6371</v>
      </c>
      <c r="L933" s="213"/>
      <c r="M933" s="212"/>
    </row>
    <row r="934" spans="1:13" ht="21" customHeight="1">
      <c r="A934" s="217" t="s">
        <v>6793</v>
      </c>
      <c r="B934" s="215">
        <f t="shared" si="42"/>
        <v>45717</v>
      </c>
      <c r="C934" s="213" t="s">
        <v>4367</v>
      </c>
      <c r="D934" s="213" t="s">
        <v>4366</v>
      </c>
      <c r="E934" s="213" t="s">
        <v>6176</v>
      </c>
      <c r="F934" s="212" t="s">
        <v>6177</v>
      </c>
      <c r="G934" s="212" t="str">
        <f t="shared" si="43"/>
        <v>255부가세예수금</v>
      </c>
      <c r="H934" s="214">
        <v>0</v>
      </c>
      <c r="I934" s="214">
        <v>9091</v>
      </c>
      <c r="J934" s="214">
        <f t="shared" si="44"/>
        <v>9091</v>
      </c>
      <c r="K934" s="212" t="s">
        <v>6300</v>
      </c>
      <c r="L934" s="213"/>
      <c r="M934" s="212" t="s">
        <v>6296</v>
      </c>
    </row>
    <row r="935" spans="1:13" ht="21" customHeight="1">
      <c r="A935" s="217" t="s">
        <v>6793</v>
      </c>
      <c r="B935" s="215">
        <f t="shared" si="42"/>
        <v>45717</v>
      </c>
      <c r="C935" s="213" t="s">
        <v>4367</v>
      </c>
      <c r="D935" s="213" t="s">
        <v>4366</v>
      </c>
      <c r="E935" s="213" t="s">
        <v>334</v>
      </c>
      <c r="F935" s="212" t="s">
        <v>6158</v>
      </c>
      <c r="G935" s="212" t="str">
        <f t="shared" si="43"/>
        <v>401용역매출</v>
      </c>
      <c r="H935" s="214">
        <v>0</v>
      </c>
      <c r="I935" s="214">
        <v>90909</v>
      </c>
      <c r="J935" s="214">
        <f t="shared" si="44"/>
        <v>90909</v>
      </c>
      <c r="K935" s="212" t="s">
        <v>6300</v>
      </c>
      <c r="L935" s="213"/>
      <c r="M935" s="212" t="s">
        <v>6296</v>
      </c>
    </row>
    <row r="936" spans="1:13" ht="21" customHeight="1">
      <c r="A936" s="217" t="s">
        <v>6793</v>
      </c>
      <c r="B936" s="215">
        <f t="shared" si="42"/>
        <v>45717</v>
      </c>
      <c r="C936" s="213" t="s">
        <v>4367</v>
      </c>
      <c r="D936" s="213" t="s">
        <v>4369</v>
      </c>
      <c r="E936" s="213" t="s">
        <v>333</v>
      </c>
      <c r="F936" s="212" t="s">
        <v>4365</v>
      </c>
      <c r="G936" s="212" t="str">
        <f t="shared" si="43"/>
        <v>101현금</v>
      </c>
      <c r="H936" s="214">
        <v>100000</v>
      </c>
      <c r="I936" s="214">
        <v>0</v>
      </c>
      <c r="J936" s="214">
        <f t="shared" si="44"/>
        <v>-100000</v>
      </c>
      <c r="K936" s="212" t="s">
        <v>6300</v>
      </c>
      <c r="L936" s="213"/>
      <c r="M936" s="212" t="s">
        <v>6296</v>
      </c>
    </row>
    <row r="937" spans="1:13" ht="21" customHeight="1">
      <c r="A937" s="217" t="s">
        <v>6793</v>
      </c>
      <c r="B937" s="215">
        <f t="shared" si="42"/>
        <v>45717</v>
      </c>
      <c r="C937" s="213" t="s">
        <v>4374</v>
      </c>
      <c r="D937" s="213" t="s">
        <v>4366</v>
      </c>
      <c r="E937" s="213" t="s">
        <v>6176</v>
      </c>
      <c r="F937" s="212" t="s">
        <v>6177</v>
      </c>
      <c r="G937" s="212" t="str">
        <f t="shared" si="43"/>
        <v>255부가세예수금</v>
      </c>
      <c r="H937" s="214">
        <v>0</v>
      </c>
      <c r="I937" s="214">
        <v>10000</v>
      </c>
      <c r="J937" s="214">
        <f t="shared" si="44"/>
        <v>10000</v>
      </c>
      <c r="K937" s="212" t="s">
        <v>6317</v>
      </c>
      <c r="L937" s="213"/>
      <c r="M937" s="212" t="s">
        <v>6185</v>
      </c>
    </row>
    <row r="938" spans="1:13" ht="21" customHeight="1">
      <c r="A938" s="217" t="s">
        <v>6793</v>
      </c>
      <c r="B938" s="215">
        <f t="shared" si="42"/>
        <v>45717</v>
      </c>
      <c r="C938" s="213" t="s">
        <v>4374</v>
      </c>
      <c r="D938" s="213" t="s">
        <v>4366</v>
      </c>
      <c r="E938" s="213" t="s">
        <v>334</v>
      </c>
      <c r="F938" s="212" t="s">
        <v>6158</v>
      </c>
      <c r="G938" s="212" t="str">
        <f t="shared" si="43"/>
        <v>401용역매출</v>
      </c>
      <c r="H938" s="214">
        <v>0</v>
      </c>
      <c r="I938" s="214">
        <v>100000</v>
      </c>
      <c r="J938" s="214">
        <f t="shared" si="44"/>
        <v>100000</v>
      </c>
      <c r="K938" s="212" t="s">
        <v>6317</v>
      </c>
      <c r="L938" s="213"/>
      <c r="M938" s="212" t="s">
        <v>6185</v>
      </c>
    </row>
    <row r="939" spans="1:13" ht="21" customHeight="1">
      <c r="A939" s="217" t="s">
        <v>6793</v>
      </c>
      <c r="B939" s="215">
        <f t="shared" si="42"/>
        <v>45717</v>
      </c>
      <c r="C939" s="213" t="s">
        <v>4374</v>
      </c>
      <c r="D939" s="213" t="s">
        <v>4369</v>
      </c>
      <c r="E939" s="213" t="s">
        <v>333</v>
      </c>
      <c r="F939" s="212" t="s">
        <v>4365</v>
      </c>
      <c r="G939" s="212" t="str">
        <f t="shared" si="43"/>
        <v>101현금</v>
      </c>
      <c r="H939" s="214">
        <v>110000</v>
      </c>
      <c r="I939" s="214">
        <v>0</v>
      </c>
      <c r="J939" s="214">
        <f t="shared" si="44"/>
        <v>-110000</v>
      </c>
      <c r="K939" s="212" t="s">
        <v>6317</v>
      </c>
      <c r="L939" s="213"/>
      <c r="M939" s="212" t="s">
        <v>6185</v>
      </c>
    </row>
    <row r="940" spans="1:13" ht="21" customHeight="1">
      <c r="A940" s="217" t="s">
        <v>6793</v>
      </c>
      <c r="B940" s="215">
        <f t="shared" si="42"/>
        <v>45717</v>
      </c>
      <c r="C940" s="213" t="s">
        <v>6182</v>
      </c>
      <c r="D940" s="213" t="s">
        <v>4366</v>
      </c>
      <c r="E940" s="213" t="s">
        <v>6176</v>
      </c>
      <c r="F940" s="212" t="s">
        <v>6177</v>
      </c>
      <c r="G940" s="212" t="str">
        <f t="shared" si="43"/>
        <v>255부가세예수금</v>
      </c>
      <c r="H940" s="214">
        <v>0</v>
      </c>
      <c r="I940" s="214">
        <v>15000</v>
      </c>
      <c r="J940" s="214">
        <f t="shared" si="44"/>
        <v>15000</v>
      </c>
      <c r="K940" s="212" t="s">
        <v>6232</v>
      </c>
      <c r="L940" s="213"/>
      <c r="M940" s="212" t="s">
        <v>6179</v>
      </c>
    </row>
    <row r="941" spans="1:13" ht="21" customHeight="1">
      <c r="A941" s="217" t="s">
        <v>6793</v>
      </c>
      <c r="B941" s="215">
        <f t="shared" si="42"/>
        <v>45717</v>
      </c>
      <c r="C941" s="213" t="s">
        <v>6182</v>
      </c>
      <c r="D941" s="213" t="s">
        <v>4366</v>
      </c>
      <c r="E941" s="213" t="s">
        <v>334</v>
      </c>
      <c r="F941" s="212" t="s">
        <v>6158</v>
      </c>
      <c r="G941" s="212" t="str">
        <f t="shared" si="43"/>
        <v>401용역매출</v>
      </c>
      <c r="H941" s="214">
        <v>0</v>
      </c>
      <c r="I941" s="214">
        <v>150000</v>
      </c>
      <c r="J941" s="214">
        <f t="shared" si="44"/>
        <v>150000</v>
      </c>
      <c r="K941" s="212" t="s">
        <v>6232</v>
      </c>
      <c r="L941" s="213"/>
      <c r="M941" s="212" t="s">
        <v>6179</v>
      </c>
    </row>
    <row r="942" spans="1:13" ht="21" customHeight="1">
      <c r="A942" s="217" t="s">
        <v>6793</v>
      </c>
      <c r="B942" s="215">
        <f t="shared" si="42"/>
        <v>45717</v>
      </c>
      <c r="C942" s="213" t="s">
        <v>6182</v>
      </c>
      <c r="D942" s="213" t="s">
        <v>4369</v>
      </c>
      <c r="E942" s="213" t="s">
        <v>333</v>
      </c>
      <c r="F942" s="212" t="s">
        <v>4365</v>
      </c>
      <c r="G942" s="212" t="str">
        <f t="shared" si="43"/>
        <v>101현금</v>
      </c>
      <c r="H942" s="214">
        <v>165000</v>
      </c>
      <c r="I942" s="214">
        <v>0</v>
      </c>
      <c r="J942" s="214">
        <f t="shared" si="44"/>
        <v>-165000</v>
      </c>
      <c r="K942" s="212" t="s">
        <v>6232</v>
      </c>
      <c r="L942" s="213"/>
      <c r="M942" s="212" t="s">
        <v>6179</v>
      </c>
    </row>
    <row r="943" spans="1:13" ht="21" customHeight="1">
      <c r="A943" s="216" t="s">
        <v>6792</v>
      </c>
      <c r="B943" s="215">
        <f t="shared" si="42"/>
        <v>45718</v>
      </c>
      <c r="C943" s="213" t="s">
        <v>4373</v>
      </c>
      <c r="D943" s="213" t="s">
        <v>4369</v>
      </c>
      <c r="E943" s="213" t="s">
        <v>4500</v>
      </c>
      <c r="F943" s="212" t="s">
        <v>6418</v>
      </c>
      <c r="G943" s="212" t="str">
        <f t="shared" si="43"/>
        <v>822차량유지비(판)</v>
      </c>
      <c r="H943" s="214">
        <v>50000</v>
      </c>
      <c r="I943" s="214">
        <v>0</v>
      </c>
      <c r="J943" s="214">
        <f t="shared" si="44"/>
        <v>-50000</v>
      </c>
      <c r="K943" s="212" t="s">
        <v>6272</v>
      </c>
      <c r="L943" s="213"/>
      <c r="M943" s="212"/>
    </row>
    <row r="944" spans="1:13" ht="21" customHeight="1">
      <c r="A944" s="216" t="s">
        <v>6792</v>
      </c>
      <c r="B944" s="215">
        <f t="shared" si="42"/>
        <v>45718</v>
      </c>
      <c r="C944" s="213" t="s">
        <v>4373</v>
      </c>
      <c r="D944" s="213" t="s">
        <v>4366</v>
      </c>
      <c r="E944" s="213" t="s">
        <v>333</v>
      </c>
      <c r="F944" s="212" t="s">
        <v>4365</v>
      </c>
      <c r="G944" s="212" t="str">
        <f t="shared" si="43"/>
        <v>101현금</v>
      </c>
      <c r="H944" s="214">
        <v>0</v>
      </c>
      <c r="I944" s="214">
        <v>50000</v>
      </c>
      <c r="J944" s="214">
        <f t="shared" si="44"/>
        <v>50000</v>
      </c>
      <c r="K944" s="212" t="s">
        <v>6371</v>
      </c>
      <c r="L944" s="213"/>
      <c r="M944" s="212"/>
    </row>
    <row r="945" spans="1:13" ht="21" customHeight="1">
      <c r="A945" s="216" t="s">
        <v>6792</v>
      </c>
      <c r="B945" s="215">
        <f t="shared" si="42"/>
        <v>45718</v>
      </c>
      <c r="C945" s="213" t="s">
        <v>4367</v>
      </c>
      <c r="D945" s="213" t="s">
        <v>4366</v>
      </c>
      <c r="E945" s="213" t="s">
        <v>333</v>
      </c>
      <c r="F945" s="212" t="s">
        <v>4365</v>
      </c>
      <c r="G945" s="212" t="str">
        <f t="shared" si="43"/>
        <v>101현금</v>
      </c>
      <c r="H945" s="214">
        <v>0</v>
      </c>
      <c r="I945" s="214">
        <v>5000</v>
      </c>
      <c r="J945" s="214">
        <f t="shared" si="44"/>
        <v>5000</v>
      </c>
      <c r="K945" s="212" t="s">
        <v>6371</v>
      </c>
      <c r="L945" s="213"/>
      <c r="M945" s="212"/>
    </row>
    <row r="946" spans="1:13" ht="21" customHeight="1">
      <c r="A946" s="216" t="s">
        <v>6792</v>
      </c>
      <c r="B946" s="215">
        <f t="shared" si="42"/>
        <v>45718</v>
      </c>
      <c r="C946" s="213" t="s">
        <v>4367</v>
      </c>
      <c r="D946" s="213" t="s">
        <v>4369</v>
      </c>
      <c r="E946" s="213" t="s">
        <v>4383</v>
      </c>
      <c r="F946" s="212" t="s">
        <v>6525</v>
      </c>
      <c r="G946" s="212" t="str">
        <f t="shared" si="43"/>
        <v>830소모품비(판)</v>
      </c>
      <c r="H946" s="214">
        <v>4545</v>
      </c>
      <c r="I946" s="214">
        <v>0</v>
      </c>
      <c r="J946" s="214">
        <f t="shared" si="44"/>
        <v>-4545</v>
      </c>
      <c r="K946" s="212" t="s">
        <v>6202</v>
      </c>
      <c r="L946" s="213" t="s">
        <v>6411</v>
      </c>
      <c r="M946" s="212"/>
    </row>
    <row r="947" spans="1:13" ht="21" customHeight="1">
      <c r="A947" s="216" t="s">
        <v>6792</v>
      </c>
      <c r="B947" s="215">
        <f t="shared" si="42"/>
        <v>45718</v>
      </c>
      <c r="C947" s="213" t="s">
        <v>4367</v>
      </c>
      <c r="D947" s="213" t="s">
        <v>4369</v>
      </c>
      <c r="E947" s="213" t="s">
        <v>4371</v>
      </c>
      <c r="F947" s="212" t="s">
        <v>4370</v>
      </c>
      <c r="G947" s="212" t="str">
        <f t="shared" si="43"/>
        <v>135부가세대급금</v>
      </c>
      <c r="H947" s="214">
        <v>455</v>
      </c>
      <c r="I947" s="214">
        <v>0</v>
      </c>
      <c r="J947" s="214">
        <f t="shared" si="44"/>
        <v>-455</v>
      </c>
      <c r="K947" s="212" t="s">
        <v>6202</v>
      </c>
      <c r="L947" s="213" t="s">
        <v>6411</v>
      </c>
      <c r="M947" s="212"/>
    </row>
    <row r="948" spans="1:13" ht="21" customHeight="1">
      <c r="A948" s="216" t="s">
        <v>6792</v>
      </c>
      <c r="B948" s="215">
        <f t="shared" si="42"/>
        <v>45718</v>
      </c>
      <c r="C948" s="213" t="s">
        <v>4374</v>
      </c>
      <c r="D948" s="213" t="s">
        <v>4369</v>
      </c>
      <c r="E948" s="213" t="s">
        <v>4371</v>
      </c>
      <c r="F948" s="212" t="s">
        <v>4370</v>
      </c>
      <c r="G948" s="212" t="str">
        <f t="shared" si="43"/>
        <v>135부가세대급금</v>
      </c>
      <c r="H948" s="214">
        <v>4768</v>
      </c>
      <c r="I948" s="214">
        <v>0</v>
      </c>
      <c r="J948" s="214">
        <f t="shared" si="44"/>
        <v>-4768</v>
      </c>
      <c r="K948" s="212" t="s">
        <v>6222</v>
      </c>
      <c r="L948" s="213"/>
      <c r="M948" s="212"/>
    </row>
    <row r="949" spans="1:13" ht="21" customHeight="1">
      <c r="A949" s="216" t="s">
        <v>6792</v>
      </c>
      <c r="B949" s="215">
        <f t="shared" si="42"/>
        <v>45718</v>
      </c>
      <c r="C949" s="213" t="s">
        <v>4374</v>
      </c>
      <c r="D949" s="213" t="s">
        <v>4369</v>
      </c>
      <c r="E949" s="213" t="s">
        <v>4383</v>
      </c>
      <c r="F949" s="212" t="s">
        <v>6525</v>
      </c>
      <c r="G949" s="212" t="str">
        <f t="shared" si="43"/>
        <v>830소모품비(판)</v>
      </c>
      <c r="H949" s="214">
        <v>47682</v>
      </c>
      <c r="I949" s="214">
        <v>0</v>
      </c>
      <c r="J949" s="214">
        <f t="shared" si="44"/>
        <v>-47682</v>
      </c>
      <c r="K949" s="212" t="s">
        <v>6222</v>
      </c>
      <c r="L949" s="213"/>
      <c r="M949" s="212"/>
    </row>
    <row r="950" spans="1:13" ht="21" customHeight="1">
      <c r="A950" s="216" t="s">
        <v>6792</v>
      </c>
      <c r="B950" s="215">
        <f t="shared" si="42"/>
        <v>45718</v>
      </c>
      <c r="C950" s="213" t="s">
        <v>4374</v>
      </c>
      <c r="D950" s="213" t="s">
        <v>4366</v>
      </c>
      <c r="E950" s="213" t="s">
        <v>333</v>
      </c>
      <c r="F950" s="212" t="s">
        <v>4365</v>
      </c>
      <c r="G950" s="212" t="str">
        <f t="shared" si="43"/>
        <v>101현금</v>
      </c>
      <c r="H950" s="214">
        <v>0</v>
      </c>
      <c r="I950" s="214">
        <v>52450</v>
      </c>
      <c r="J950" s="214">
        <f t="shared" si="44"/>
        <v>52450</v>
      </c>
      <c r="K950" s="212" t="s">
        <v>6371</v>
      </c>
      <c r="L950" s="213"/>
      <c r="M950" s="212"/>
    </row>
    <row r="951" spans="1:13" ht="21" customHeight="1">
      <c r="A951" s="216" t="s">
        <v>6791</v>
      </c>
      <c r="B951" s="215">
        <f t="shared" si="42"/>
        <v>45719</v>
      </c>
      <c r="C951" s="213" t="s">
        <v>4373</v>
      </c>
      <c r="D951" s="213" t="s">
        <v>4366</v>
      </c>
      <c r="E951" s="213" t="s">
        <v>333</v>
      </c>
      <c r="F951" s="212" t="s">
        <v>4365</v>
      </c>
      <c r="G951" s="212" t="str">
        <f t="shared" si="43"/>
        <v>101현금</v>
      </c>
      <c r="H951" s="214">
        <v>0</v>
      </c>
      <c r="I951" s="214">
        <v>28800</v>
      </c>
      <c r="J951" s="214">
        <f t="shared" si="44"/>
        <v>28800</v>
      </c>
      <c r="K951" s="212" t="s">
        <v>6371</v>
      </c>
      <c r="L951" s="213"/>
      <c r="M951" s="212"/>
    </row>
    <row r="952" spans="1:13" ht="21" customHeight="1">
      <c r="A952" s="216" t="s">
        <v>6791</v>
      </c>
      <c r="B952" s="215">
        <f t="shared" si="42"/>
        <v>45719</v>
      </c>
      <c r="C952" s="213" t="s">
        <v>4373</v>
      </c>
      <c r="D952" s="213" t="s">
        <v>4369</v>
      </c>
      <c r="E952" s="213" t="s">
        <v>4499</v>
      </c>
      <c r="F952" s="212" t="s">
        <v>6517</v>
      </c>
      <c r="G952" s="212" t="str">
        <f t="shared" si="43"/>
        <v>811복리후생비(판)</v>
      </c>
      <c r="H952" s="214">
        <v>28800</v>
      </c>
      <c r="I952" s="214">
        <v>0</v>
      </c>
      <c r="J952" s="214">
        <f t="shared" si="44"/>
        <v>-28800</v>
      </c>
      <c r="K952" s="212" t="s">
        <v>6658</v>
      </c>
      <c r="L952" s="213"/>
      <c r="M952" s="212"/>
    </row>
    <row r="953" spans="1:13" ht="21" customHeight="1">
      <c r="A953" s="213" t="s">
        <v>6789</v>
      </c>
      <c r="B953" s="215">
        <f t="shared" si="42"/>
        <v>45720</v>
      </c>
      <c r="C953" s="213" t="s">
        <v>4373</v>
      </c>
      <c r="D953" s="213" t="s">
        <v>4369</v>
      </c>
      <c r="E953" s="213" t="s">
        <v>4499</v>
      </c>
      <c r="F953" s="212" t="s">
        <v>6517</v>
      </c>
      <c r="G953" s="212" t="str">
        <f t="shared" si="43"/>
        <v>811복리후생비(판)</v>
      </c>
      <c r="H953" s="214">
        <v>5500</v>
      </c>
      <c r="I953" s="214">
        <v>0</v>
      </c>
      <c r="J953" s="214">
        <f t="shared" si="44"/>
        <v>-5500</v>
      </c>
      <c r="K953" s="212" t="s">
        <v>6288</v>
      </c>
      <c r="L953" s="213"/>
      <c r="M953" s="212"/>
    </row>
    <row r="954" spans="1:13" ht="21" customHeight="1">
      <c r="A954" s="213" t="s">
        <v>6789</v>
      </c>
      <c r="B954" s="215">
        <f t="shared" si="42"/>
        <v>45720</v>
      </c>
      <c r="C954" s="213" t="s">
        <v>4373</v>
      </c>
      <c r="D954" s="213" t="s">
        <v>4366</v>
      </c>
      <c r="E954" s="213" t="s">
        <v>333</v>
      </c>
      <c r="F954" s="212" t="s">
        <v>4365</v>
      </c>
      <c r="G954" s="212" t="str">
        <f t="shared" si="43"/>
        <v>101현금</v>
      </c>
      <c r="H954" s="214">
        <v>0</v>
      </c>
      <c r="I954" s="214">
        <v>5500</v>
      </c>
      <c r="J954" s="214">
        <f t="shared" si="44"/>
        <v>5500</v>
      </c>
      <c r="K954" s="212" t="s">
        <v>6369</v>
      </c>
      <c r="L954" s="213"/>
      <c r="M954" s="212"/>
    </row>
    <row r="955" spans="1:13" ht="21" customHeight="1">
      <c r="A955" s="213" t="s">
        <v>6789</v>
      </c>
      <c r="B955" s="215">
        <f t="shared" si="42"/>
        <v>45720</v>
      </c>
      <c r="C955" s="213" t="s">
        <v>4382</v>
      </c>
      <c r="D955" s="213" t="s">
        <v>4369</v>
      </c>
      <c r="E955" s="213" t="s">
        <v>4499</v>
      </c>
      <c r="F955" s="212" t="s">
        <v>6517</v>
      </c>
      <c r="G955" s="212" t="str">
        <f t="shared" si="43"/>
        <v>811복리후생비(판)</v>
      </c>
      <c r="H955" s="214">
        <v>22000</v>
      </c>
      <c r="I955" s="214">
        <v>0</v>
      </c>
      <c r="J955" s="214">
        <f t="shared" si="44"/>
        <v>-22000</v>
      </c>
      <c r="K955" s="212" t="s">
        <v>6556</v>
      </c>
      <c r="L955" s="213"/>
      <c r="M955" s="212"/>
    </row>
    <row r="956" spans="1:13" ht="21" customHeight="1">
      <c r="A956" s="213" t="s">
        <v>6789</v>
      </c>
      <c r="B956" s="215">
        <f t="shared" si="42"/>
        <v>45720</v>
      </c>
      <c r="C956" s="213" t="s">
        <v>4382</v>
      </c>
      <c r="D956" s="213" t="s">
        <v>4366</v>
      </c>
      <c r="E956" s="213" t="s">
        <v>333</v>
      </c>
      <c r="F956" s="212" t="s">
        <v>4365</v>
      </c>
      <c r="G956" s="212" t="str">
        <f t="shared" si="43"/>
        <v>101현금</v>
      </c>
      <c r="H956" s="214">
        <v>0</v>
      </c>
      <c r="I956" s="214">
        <v>22000</v>
      </c>
      <c r="J956" s="214">
        <f t="shared" si="44"/>
        <v>22000</v>
      </c>
      <c r="K956" s="212" t="s">
        <v>6369</v>
      </c>
      <c r="L956" s="213"/>
      <c r="M956" s="212"/>
    </row>
    <row r="957" spans="1:13" ht="21" customHeight="1">
      <c r="A957" s="213" t="s">
        <v>6789</v>
      </c>
      <c r="B957" s="215">
        <f t="shared" si="42"/>
        <v>45720</v>
      </c>
      <c r="C957" s="213" t="s">
        <v>4367</v>
      </c>
      <c r="D957" s="213" t="s">
        <v>4369</v>
      </c>
      <c r="E957" s="213" t="s">
        <v>4371</v>
      </c>
      <c r="F957" s="212" t="s">
        <v>4370</v>
      </c>
      <c r="G957" s="212" t="str">
        <f t="shared" si="43"/>
        <v>135부가세대급금</v>
      </c>
      <c r="H957" s="214">
        <v>1269</v>
      </c>
      <c r="I957" s="214">
        <v>0</v>
      </c>
      <c r="J957" s="214">
        <f t="shared" si="44"/>
        <v>-1269</v>
      </c>
      <c r="K957" s="212" t="s">
        <v>6193</v>
      </c>
      <c r="L957" s="213"/>
      <c r="M957" s="212" t="s">
        <v>6790</v>
      </c>
    </row>
    <row r="958" spans="1:13" ht="21" customHeight="1">
      <c r="A958" s="213" t="s">
        <v>6789</v>
      </c>
      <c r="B958" s="215">
        <f t="shared" si="42"/>
        <v>45720</v>
      </c>
      <c r="C958" s="213" t="s">
        <v>4367</v>
      </c>
      <c r="D958" s="213" t="s">
        <v>4369</v>
      </c>
      <c r="E958" s="213" t="s">
        <v>4386</v>
      </c>
      <c r="F958" s="212" t="s">
        <v>6420</v>
      </c>
      <c r="G958" s="212" t="str">
        <f t="shared" si="43"/>
        <v>814통신비(판)</v>
      </c>
      <c r="H958" s="214">
        <v>12692</v>
      </c>
      <c r="I958" s="214">
        <v>0</v>
      </c>
      <c r="J958" s="214">
        <f t="shared" si="44"/>
        <v>-12692</v>
      </c>
      <c r="K958" s="212" t="s">
        <v>6193</v>
      </c>
      <c r="L958" s="213"/>
      <c r="M958" s="212" t="s">
        <v>6790</v>
      </c>
    </row>
    <row r="959" spans="1:13" ht="21" customHeight="1">
      <c r="A959" s="213" t="s">
        <v>6789</v>
      </c>
      <c r="B959" s="215">
        <f t="shared" si="42"/>
        <v>45720</v>
      </c>
      <c r="C959" s="213" t="s">
        <v>4367</v>
      </c>
      <c r="D959" s="213" t="s">
        <v>4366</v>
      </c>
      <c r="E959" s="213" t="s">
        <v>333</v>
      </c>
      <c r="F959" s="212" t="s">
        <v>4365</v>
      </c>
      <c r="G959" s="212" t="str">
        <f t="shared" si="43"/>
        <v>101현금</v>
      </c>
      <c r="H959" s="214">
        <v>0</v>
      </c>
      <c r="I959" s="214">
        <v>13961</v>
      </c>
      <c r="J959" s="214">
        <f t="shared" si="44"/>
        <v>13961</v>
      </c>
      <c r="K959" s="212" t="s">
        <v>6193</v>
      </c>
      <c r="L959" s="213"/>
      <c r="M959" s="212" t="s">
        <v>6790</v>
      </c>
    </row>
    <row r="960" spans="1:13" ht="21" customHeight="1">
      <c r="A960" s="213" t="s">
        <v>6789</v>
      </c>
      <c r="B960" s="215">
        <f t="shared" si="42"/>
        <v>45720</v>
      </c>
      <c r="C960" s="213" t="s">
        <v>4374</v>
      </c>
      <c r="D960" s="213" t="s">
        <v>4366</v>
      </c>
      <c r="E960" s="213" t="s">
        <v>6176</v>
      </c>
      <c r="F960" s="212" t="s">
        <v>6177</v>
      </c>
      <c r="G960" s="212" t="str">
        <f t="shared" si="43"/>
        <v>255부가세예수금</v>
      </c>
      <c r="H960" s="214">
        <v>0</v>
      </c>
      <c r="I960" s="214">
        <v>15000</v>
      </c>
      <c r="J960" s="214">
        <f t="shared" si="44"/>
        <v>15000</v>
      </c>
      <c r="K960" s="212" t="s">
        <v>6178</v>
      </c>
      <c r="L960" s="213"/>
      <c r="M960" s="212" t="s">
        <v>6179</v>
      </c>
    </row>
    <row r="961" spans="1:13" ht="21" customHeight="1">
      <c r="A961" s="213" t="s">
        <v>6789</v>
      </c>
      <c r="B961" s="215">
        <f t="shared" si="42"/>
        <v>45720</v>
      </c>
      <c r="C961" s="213" t="s">
        <v>4374</v>
      </c>
      <c r="D961" s="213" t="s">
        <v>4366</v>
      </c>
      <c r="E961" s="213" t="s">
        <v>334</v>
      </c>
      <c r="F961" s="212" t="s">
        <v>6158</v>
      </c>
      <c r="G961" s="212" t="str">
        <f t="shared" si="43"/>
        <v>401용역매출</v>
      </c>
      <c r="H961" s="214">
        <v>0</v>
      </c>
      <c r="I961" s="214">
        <v>150000</v>
      </c>
      <c r="J961" s="214">
        <f t="shared" si="44"/>
        <v>150000</v>
      </c>
      <c r="K961" s="212" t="s">
        <v>6178</v>
      </c>
      <c r="L961" s="213"/>
      <c r="M961" s="212" t="s">
        <v>6179</v>
      </c>
    </row>
    <row r="962" spans="1:13" ht="21" customHeight="1">
      <c r="A962" s="213" t="s">
        <v>6789</v>
      </c>
      <c r="B962" s="215">
        <f t="shared" ref="B962:B1025" si="45">DATEVALUE(A962)</f>
        <v>45720</v>
      </c>
      <c r="C962" s="213" t="s">
        <v>4374</v>
      </c>
      <c r="D962" s="213" t="s">
        <v>4369</v>
      </c>
      <c r="E962" s="213" t="s">
        <v>333</v>
      </c>
      <c r="F962" s="212" t="s">
        <v>4365</v>
      </c>
      <c r="G962" s="212" t="str">
        <f t="shared" ref="G962:G1025" si="46">E962&amp;F962</f>
        <v>101현금</v>
      </c>
      <c r="H962" s="214">
        <v>165000</v>
      </c>
      <c r="I962" s="214">
        <v>0</v>
      </c>
      <c r="J962" s="214">
        <f t="shared" ref="J962:J1025" si="47">I962-H962</f>
        <v>-165000</v>
      </c>
      <c r="K962" s="212" t="s">
        <v>6178</v>
      </c>
      <c r="L962" s="213"/>
      <c r="M962" s="212" t="s">
        <v>6179</v>
      </c>
    </row>
    <row r="963" spans="1:13" ht="21" customHeight="1">
      <c r="A963" s="213" t="s">
        <v>6789</v>
      </c>
      <c r="B963" s="215">
        <f t="shared" si="45"/>
        <v>45720</v>
      </c>
      <c r="C963" s="213" t="s">
        <v>6182</v>
      </c>
      <c r="D963" s="213" t="s">
        <v>4366</v>
      </c>
      <c r="E963" s="213" t="s">
        <v>6176</v>
      </c>
      <c r="F963" s="212" t="s">
        <v>6177</v>
      </c>
      <c r="G963" s="212" t="str">
        <f t="shared" si="46"/>
        <v>255부가세예수금</v>
      </c>
      <c r="H963" s="214">
        <v>0</v>
      </c>
      <c r="I963" s="214">
        <v>-15000</v>
      </c>
      <c r="J963" s="214">
        <f t="shared" si="47"/>
        <v>-15000</v>
      </c>
      <c r="K963" s="212" t="s">
        <v>6178</v>
      </c>
      <c r="L963" s="213"/>
      <c r="M963" s="212" t="s">
        <v>6313</v>
      </c>
    </row>
    <row r="964" spans="1:13" ht="21" customHeight="1">
      <c r="A964" s="213" t="s">
        <v>6789</v>
      </c>
      <c r="B964" s="215">
        <f t="shared" si="45"/>
        <v>45720</v>
      </c>
      <c r="C964" s="213" t="s">
        <v>6182</v>
      </c>
      <c r="D964" s="213" t="s">
        <v>4366</v>
      </c>
      <c r="E964" s="213" t="s">
        <v>334</v>
      </c>
      <c r="F964" s="212" t="s">
        <v>6158</v>
      </c>
      <c r="G964" s="212" t="str">
        <f t="shared" si="46"/>
        <v>401용역매출</v>
      </c>
      <c r="H964" s="214">
        <v>0</v>
      </c>
      <c r="I964" s="214">
        <v>-150000</v>
      </c>
      <c r="J964" s="214">
        <f t="shared" si="47"/>
        <v>-150000</v>
      </c>
      <c r="K964" s="212" t="s">
        <v>6178</v>
      </c>
      <c r="L964" s="213"/>
      <c r="M964" s="212" t="s">
        <v>6313</v>
      </c>
    </row>
    <row r="965" spans="1:13" ht="21" customHeight="1">
      <c r="A965" s="213" t="s">
        <v>6789</v>
      </c>
      <c r="B965" s="215">
        <f t="shared" si="45"/>
        <v>45720</v>
      </c>
      <c r="C965" s="213" t="s">
        <v>6182</v>
      </c>
      <c r="D965" s="213" t="s">
        <v>4369</v>
      </c>
      <c r="E965" s="213" t="s">
        <v>333</v>
      </c>
      <c r="F965" s="212" t="s">
        <v>4365</v>
      </c>
      <c r="G965" s="212" t="str">
        <f t="shared" si="46"/>
        <v>101현금</v>
      </c>
      <c r="H965" s="214">
        <v>-165000</v>
      </c>
      <c r="I965" s="214">
        <v>0</v>
      </c>
      <c r="J965" s="214">
        <f t="shared" si="47"/>
        <v>165000</v>
      </c>
      <c r="K965" s="212" t="s">
        <v>6178</v>
      </c>
      <c r="L965" s="213"/>
      <c r="M965" s="212" t="s">
        <v>6313</v>
      </c>
    </row>
    <row r="966" spans="1:13" ht="21" customHeight="1">
      <c r="A966" s="213" t="s">
        <v>6789</v>
      </c>
      <c r="B966" s="215">
        <f t="shared" si="45"/>
        <v>45720</v>
      </c>
      <c r="C966" s="213" t="s">
        <v>6184</v>
      </c>
      <c r="D966" s="213" t="s">
        <v>4366</v>
      </c>
      <c r="E966" s="213" t="s">
        <v>6176</v>
      </c>
      <c r="F966" s="212" t="s">
        <v>6177</v>
      </c>
      <c r="G966" s="212" t="str">
        <f t="shared" si="46"/>
        <v>255부가세예수금</v>
      </c>
      <c r="H966" s="214">
        <v>0</v>
      </c>
      <c r="I966" s="214">
        <v>10000</v>
      </c>
      <c r="J966" s="214">
        <f t="shared" si="47"/>
        <v>10000</v>
      </c>
      <c r="K966" s="212" t="s">
        <v>6269</v>
      </c>
      <c r="L966" s="213"/>
      <c r="M966" s="212" t="s">
        <v>6185</v>
      </c>
    </row>
    <row r="967" spans="1:13" ht="21" customHeight="1">
      <c r="A967" s="213" t="s">
        <v>6789</v>
      </c>
      <c r="B967" s="215">
        <f t="shared" si="45"/>
        <v>45720</v>
      </c>
      <c r="C967" s="213" t="s">
        <v>6184</v>
      </c>
      <c r="D967" s="213" t="s">
        <v>4366</v>
      </c>
      <c r="E967" s="213" t="s">
        <v>334</v>
      </c>
      <c r="F967" s="212" t="s">
        <v>6158</v>
      </c>
      <c r="G967" s="212" t="str">
        <f t="shared" si="46"/>
        <v>401용역매출</v>
      </c>
      <c r="H967" s="214">
        <v>0</v>
      </c>
      <c r="I967" s="214">
        <v>100000</v>
      </c>
      <c r="J967" s="214">
        <f t="shared" si="47"/>
        <v>100000</v>
      </c>
      <c r="K967" s="212" t="s">
        <v>6269</v>
      </c>
      <c r="L967" s="213"/>
      <c r="M967" s="212" t="s">
        <v>6185</v>
      </c>
    </row>
    <row r="968" spans="1:13" ht="21" customHeight="1">
      <c r="A968" s="213" t="s">
        <v>6789</v>
      </c>
      <c r="B968" s="215">
        <f t="shared" si="45"/>
        <v>45720</v>
      </c>
      <c r="C968" s="213" t="s">
        <v>6184</v>
      </c>
      <c r="D968" s="213" t="s">
        <v>4369</v>
      </c>
      <c r="E968" s="213" t="s">
        <v>333</v>
      </c>
      <c r="F968" s="212" t="s">
        <v>4365</v>
      </c>
      <c r="G968" s="212" t="str">
        <f t="shared" si="46"/>
        <v>101현금</v>
      </c>
      <c r="H968" s="214">
        <v>110000</v>
      </c>
      <c r="I968" s="214">
        <v>0</v>
      </c>
      <c r="J968" s="214">
        <f t="shared" si="47"/>
        <v>-110000</v>
      </c>
      <c r="K968" s="212" t="s">
        <v>6269</v>
      </c>
      <c r="L968" s="213"/>
      <c r="M968" s="212" t="s">
        <v>6185</v>
      </c>
    </row>
    <row r="969" spans="1:13" ht="21" customHeight="1">
      <c r="A969" s="213" t="s">
        <v>6789</v>
      </c>
      <c r="B969" s="215">
        <f t="shared" si="45"/>
        <v>45720</v>
      </c>
      <c r="C969" s="213" t="s">
        <v>6186</v>
      </c>
      <c r="D969" s="213" t="s">
        <v>4366</v>
      </c>
      <c r="E969" s="213" t="s">
        <v>6176</v>
      </c>
      <c r="F969" s="212" t="s">
        <v>6177</v>
      </c>
      <c r="G969" s="212" t="str">
        <f t="shared" si="46"/>
        <v>255부가세예수금</v>
      </c>
      <c r="H969" s="214">
        <v>0</v>
      </c>
      <c r="I969" s="214">
        <v>15000</v>
      </c>
      <c r="J969" s="214">
        <f t="shared" si="47"/>
        <v>15000</v>
      </c>
      <c r="K969" s="212" t="s">
        <v>6178</v>
      </c>
      <c r="L969" s="213"/>
      <c r="M969" s="212" t="s">
        <v>6179</v>
      </c>
    </row>
    <row r="970" spans="1:13" ht="21" customHeight="1">
      <c r="A970" s="213" t="s">
        <v>6789</v>
      </c>
      <c r="B970" s="215">
        <f t="shared" si="45"/>
        <v>45720</v>
      </c>
      <c r="C970" s="213" t="s">
        <v>6186</v>
      </c>
      <c r="D970" s="213" t="s">
        <v>4366</v>
      </c>
      <c r="E970" s="213" t="s">
        <v>334</v>
      </c>
      <c r="F970" s="212" t="s">
        <v>6158</v>
      </c>
      <c r="G970" s="212" t="str">
        <f t="shared" si="46"/>
        <v>401용역매출</v>
      </c>
      <c r="H970" s="214">
        <v>0</v>
      </c>
      <c r="I970" s="214">
        <v>150000</v>
      </c>
      <c r="J970" s="214">
        <f t="shared" si="47"/>
        <v>150000</v>
      </c>
      <c r="K970" s="212" t="s">
        <v>6178</v>
      </c>
      <c r="L970" s="213"/>
      <c r="M970" s="212" t="s">
        <v>6179</v>
      </c>
    </row>
    <row r="971" spans="1:13" ht="21" customHeight="1">
      <c r="A971" s="213" t="s">
        <v>6789</v>
      </c>
      <c r="B971" s="215">
        <f t="shared" si="45"/>
        <v>45720</v>
      </c>
      <c r="C971" s="213" t="s">
        <v>6186</v>
      </c>
      <c r="D971" s="213" t="s">
        <v>4369</v>
      </c>
      <c r="E971" s="213" t="s">
        <v>333</v>
      </c>
      <c r="F971" s="212" t="s">
        <v>4365</v>
      </c>
      <c r="G971" s="212" t="str">
        <f t="shared" si="46"/>
        <v>101현금</v>
      </c>
      <c r="H971" s="214">
        <v>165000</v>
      </c>
      <c r="I971" s="214">
        <v>0</v>
      </c>
      <c r="J971" s="214">
        <f t="shared" si="47"/>
        <v>-165000</v>
      </c>
      <c r="K971" s="212" t="s">
        <v>6178</v>
      </c>
      <c r="L971" s="213"/>
      <c r="M971" s="212" t="s">
        <v>6179</v>
      </c>
    </row>
    <row r="972" spans="1:13" ht="21" customHeight="1">
      <c r="A972" s="213" t="s">
        <v>6789</v>
      </c>
      <c r="B972" s="215">
        <f t="shared" si="45"/>
        <v>45720</v>
      </c>
      <c r="C972" s="213" t="s">
        <v>6189</v>
      </c>
      <c r="D972" s="213" t="s">
        <v>4366</v>
      </c>
      <c r="E972" s="213" t="s">
        <v>6176</v>
      </c>
      <c r="F972" s="212" t="s">
        <v>6177</v>
      </c>
      <c r="G972" s="212" t="str">
        <f t="shared" si="46"/>
        <v>255부가세예수금</v>
      </c>
      <c r="H972" s="214">
        <v>0</v>
      </c>
      <c r="I972" s="214">
        <v>15000</v>
      </c>
      <c r="J972" s="214">
        <f t="shared" si="47"/>
        <v>15000</v>
      </c>
      <c r="K972" s="212" t="s">
        <v>6310</v>
      </c>
      <c r="L972" s="213"/>
      <c r="M972" s="212" t="s">
        <v>6179</v>
      </c>
    </row>
    <row r="973" spans="1:13" ht="21" customHeight="1">
      <c r="A973" s="213" t="s">
        <v>6789</v>
      </c>
      <c r="B973" s="215">
        <f t="shared" si="45"/>
        <v>45720</v>
      </c>
      <c r="C973" s="213" t="s">
        <v>6189</v>
      </c>
      <c r="D973" s="213" t="s">
        <v>4366</v>
      </c>
      <c r="E973" s="213" t="s">
        <v>334</v>
      </c>
      <c r="F973" s="212" t="s">
        <v>6158</v>
      </c>
      <c r="G973" s="212" t="str">
        <f t="shared" si="46"/>
        <v>401용역매출</v>
      </c>
      <c r="H973" s="214">
        <v>0</v>
      </c>
      <c r="I973" s="214">
        <v>150000</v>
      </c>
      <c r="J973" s="214">
        <f t="shared" si="47"/>
        <v>150000</v>
      </c>
      <c r="K973" s="212" t="s">
        <v>6310</v>
      </c>
      <c r="L973" s="213"/>
      <c r="M973" s="212" t="s">
        <v>6179</v>
      </c>
    </row>
    <row r="974" spans="1:13" ht="21" customHeight="1">
      <c r="A974" s="213" t="s">
        <v>6789</v>
      </c>
      <c r="B974" s="215">
        <f t="shared" si="45"/>
        <v>45720</v>
      </c>
      <c r="C974" s="213" t="s">
        <v>6189</v>
      </c>
      <c r="D974" s="213" t="s">
        <v>4369</v>
      </c>
      <c r="E974" s="213" t="s">
        <v>333</v>
      </c>
      <c r="F974" s="212" t="s">
        <v>4365</v>
      </c>
      <c r="G974" s="212" t="str">
        <f t="shared" si="46"/>
        <v>101현금</v>
      </c>
      <c r="H974" s="214">
        <v>165000</v>
      </c>
      <c r="I974" s="214">
        <v>0</v>
      </c>
      <c r="J974" s="214">
        <f t="shared" si="47"/>
        <v>-165000</v>
      </c>
      <c r="K974" s="212" t="s">
        <v>6310</v>
      </c>
      <c r="L974" s="213"/>
      <c r="M974" s="212" t="s">
        <v>6179</v>
      </c>
    </row>
    <row r="975" spans="1:13" ht="21" customHeight="1">
      <c r="A975" s="213" t="s">
        <v>6789</v>
      </c>
      <c r="B975" s="215">
        <f t="shared" si="45"/>
        <v>45720</v>
      </c>
      <c r="C975" s="213" t="s">
        <v>6191</v>
      </c>
      <c r="D975" s="213" t="s">
        <v>4366</v>
      </c>
      <c r="E975" s="213" t="s">
        <v>6176</v>
      </c>
      <c r="F975" s="212" t="s">
        <v>6177</v>
      </c>
      <c r="G975" s="212" t="str">
        <f t="shared" si="46"/>
        <v>255부가세예수금</v>
      </c>
      <c r="H975" s="214">
        <v>0</v>
      </c>
      <c r="I975" s="214">
        <v>12000</v>
      </c>
      <c r="J975" s="214">
        <f t="shared" si="47"/>
        <v>12000</v>
      </c>
      <c r="K975" s="212" t="s">
        <v>6308</v>
      </c>
      <c r="L975" s="213"/>
      <c r="M975" s="212" t="s">
        <v>6225</v>
      </c>
    </row>
    <row r="976" spans="1:13" ht="21" customHeight="1">
      <c r="A976" s="213" t="s">
        <v>6789</v>
      </c>
      <c r="B976" s="215">
        <f t="shared" si="45"/>
        <v>45720</v>
      </c>
      <c r="C976" s="213" t="s">
        <v>6191</v>
      </c>
      <c r="D976" s="213" t="s">
        <v>4366</v>
      </c>
      <c r="E976" s="213" t="s">
        <v>334</v>
      </c>
      <c r="F976" s="212" t="s">
        <v>6158</v>
      </c>
      <c r="G976" s="212" t="str">
        <f t="shared" si="46"/>
        <v>401용역매출</v>
      </c>
      <c r="H976" s="214">
        <v>0</v>
      </c>
      <c r="I976" s="214">
        <v>120000</v>
      </c>
      <c r="J976" s="214">
        <f t="shared" si="47"/>
        <v>120000</v>
      </c>
      <c r="K976" s="212" t="s">
        <v>6308</v>
      </c>
      <c r="L976" s="213"/>
      <c r="M976" s="212" t="s">
        <v>6225</v>
      </c>
    </row>
    <row r="977" spans="1:13" ht="21" customHeight="1">
      <c r="A977" s="213" t="s">
        <v>6789</v>
      </c>
      <c r="B977" s="215">
        <f t="shared" si="45"/>
        <v>45720</v>
      </c>
      <c r="C977" s="213" t="s">
        <v>6191</v>
      </c>
      <c r="D977" s="213" t="s">
        <v>4369</v>
      </c>
      <c r="E977" s="213" t="s">
        <v>333</v>
      </c>
      <c r="F977" s="212" t="s">
        <v>4365</v>
      </c>
      <c r="G977" s="212" t="str">
        <f t="shared" si="46"/>
        <v>101현금</v>
      </c>
      <c r="H977" s="214">
        <v>132000</v>
      </c>
      <c r="I977" s="214">
        <v>0</v>
      </c>
      <c r="J977" s="214">
        <f t="shared" si="47"/>
        <v>-132000</v>
      </c>
      <c r="K977" s="212" t="s">
        <v>6308</v>
      </c>
      <c r="L977" s="213"/>
      <c r="M977" s="212" t="s">
        <v>6225</v>
      </c>
    </row>
    <row r="978" spans="1:13" ht="21" customHeight="1">
      <c r="A978" s="213" t="s">
        <v>6789</v>
      </c>
      <c r="B978" s="215">
        <f t="shared" si="45"/>
        <v>45720</v>
      </c>
      <c r="C978" s="213" t="s">
        <v>6216</v>
      </c>
      <c r="D978" s="213" t="s">
        <v>4366</v>
      </c>
      <c r="E978" s="213" t="s">
        <v>6176</v>
      </c>
      <c r="F978" s="212" t="s">
        <v>6177</v>
      </c>
      <c r="G978" s="212" t="str">
        <f t="shared" si="46"/>
        <v>255부가세예수금</v>
      </c>
      <c r="H978" s="214">
        <v>0</v>
      </c>
      <c r="I978" s="214">
        <v>15000</v>
      </c>
      <c r="J978" s="214">
        <f t="shared" si="47"/>
        <v>15000</v>
      </c>
      <c r="K978" s="212" t="s">
        <v>6181</v>
      </c>
      <c r="L978" s="213"/>
      <c r="M978" s="212" t="s">
        <v>6179</v>
      </c>
    </row>
    <row r="979" spans="1:13" ht="21" customHeight="1">
      <c r="A979" s="213" t="s">
        <v>6789</v>
      </c>
      <c r="B979" s="215">
        <f t="shared" si="45"/>
        <v>45720</v>
      </c>
      <c r="C979" s="213" t="s">
        <v>6216</v>
      </c>
      <c r="D979" s="213" t="s">
        <v>4366</v>
      </c>
      <c r="E979" s="213" t="s">
        <v>334</v>
      </c>
      <c r="F979" s="212" t="s">
        <v>6158</v>
      </c>
      <c r="G979" s="212" t="str">
        <f t="shared" si="46"/>
        <v>401용역매출</v>
      </c>
      <c r="H979" s="214">
        <v>0</v>
      </c>
      <c r="I979" s="214">
        <v>150000</v>
      </c>
      <c r="J979" s="214">
        <f t="shared" si="47"/>
        <v>150000</v>
      </c>
      <c r="K979" s="212" t="s">
        <v>6181</v>
      </c>
      <c r="L979" s="213"/>
      <c r="M979" s="212" t="s">
        <v>6179</v>
      </c>
    </row>
    <row r="980" spans="1:13" ht="21" customHeight="1">
      <c r="A980" s="213" t="s">
        <v>6789</v>
      </c>
      <c r="B980" s="215">
        <f t="shared" si="45"/>
        <v>45720</v>
      </c>
      <c r="C980" s="213" t="s">
        <v>6216</v>
      </c>
      <c r="D980" s="213" t="s">
        <v>4369</v>
      </c>
      <c r="E980" s="213" t="s">
        <v>333</v>
      </c>
      <c r="F980" s="212" t="s">
        <v>4365</v>
      </c>
      <c r="G980" s="212" t="str">
        <f t="shared" si="46"/>
        <v>101현금</v>
      </c>
      <c r="H980" s="214">
        <v>165000</v>
      </c>
      <c r="I980" s="214">
        <v>0</v>
      </c>
      <c r="J980" s="214">
        <f t="shared" si="47"/>
        <v>-165000</v>
      </c>
      <c r="K980" s="212" t="s">
        <v>6181</v>
      </c>
      <c r="L980" s="213"/>
      <c r="M980" s="212" t="s">
        <v>6179</v>
      </c>
    </row>
    <row r="981" spans="1:13" ht="21" customHeight="1">
      <c r="A981" s="213" t="s">
        <v>6789</v>
      </c>
      <c r="B981" s="215">
        <f t="shared" si="45"/>
        <v>45720</v>
      </c>
      <c r="C981" s="213" t="s">
        <v>6217</v>
      </c>
      <c r="D981" s="213" t="s">
        <v>4366</v>
      </c>
      <c r="E981" s="213" t="s">
        <v>6176</v>
      </c>
      <c r="F981" s="212" t="s">
        <v>6177</v>
      </c>
      <c r="G981" s="212" t="str">
        <f t="shared" si="46"/>
        <v>255부가세예수금</v>
      </c>
      <c r="H981" s="214">
        <v>0</v>
      </c>
      <c r="I981" s="214">
        <v>15000</v>
      </c>
      <c r="J981" s="214">
        <f t="shared" si="47"/>
        <v>15000</v>
      </c>
      <c r="K981" s="212" t="s">
        <v>6183</v>
      </c>
      <c r="L981" s="213"/>
      <c r="M981" s="212" t="s">
        <v>6179</v>
      </c>
    </row>
    <row r="982" spans="1:13" ht="21" customHeight="1">
      <c r="A982" s="213" t="s">
        <v>6789</v>
      </c>
      <c r="B982" s="215">
        <f t="shared" si="45"/>
        <v>45720</v>
      </c>
      <c r="C982" s="213" t="s">
        <v>6217</v>
      </c>
      <c r="D982" s="213" t="s">
        <v>4366</v>
      </c>
      <c r="E982" s="213" t="s">
        <v>334</v>
      </c>
      <c r="F982" s="212" t="s">
        <v>6158</v>
      </c>
      <c r="G982" s="212" t="str">
        <f t="shared" si="46"/>
        <v>401용역매출</v>
      </c>
      <c r="H982" s="214">
        <v>0</v>
      </c>
      <c r="I982" s="214">
        <v>150000</v>
      </c>
      <c r="J982" s="214">
        <f t="shared" si="47"/>
        <v>150000</v>
      </c>
      <c r="K982" s="212" t="s">
        <v>6183</v>
      </c>
      <c r="L982" s="213"/>
      <c r="M982" s="212" t="s">
        <v>6179</v>
      </c>
    </row>
    <row r="983" spans="1:13" ht="21" customHeight="1">
      <c r="A983" s="213" t="s">
        <v>6789</v>
      </c>
      <c r="B983" s="215">
        <f t="shared" si="45"/>
        <v>45720</v>
      </c>
      <c r="C983" s="213" t="s">
        <v>6217</v>
      </c>
      <c r="D983" s="213" t="s">
        <v>4369</v>
      </c>
      <c r="E983" s="213" t="s">
        <v>333</v>
      </c>
      <c r="F983" s="212" t="s">
        <v>4365</v>
      </c>
      <c r="G983" s="212" t="str">
        <f t="shared" si="46"/>
        <v>101현금</v>
      </c>
      <c r="H983" s="214">
        <v>165000</v>
      </c>
      <c r="I983" s="214">
        <v>0</v>
      </c>
      <c r="J983" s="214">
        <f t="shared" si="47"/>
        <v>-165000</v>
      </c>
      <c r="K983" s="212" t="s">
        <v>6183</v>
      </c>
      <c r="L983" s="213"/>
      <c r="M983" s="212" t="s">
        <v>6179</v>
      </c>
    </row>
    <row r="984" spans="1:13" ht="21" customHeight="1">
      <c r="A984" s="213" t="s">
        <v>6788</v>
      </c>
      <c r="B984" s="215">
        <f t="shared" si="45"/>
        <v>45721</v>
      </c>
      <c r="C984" s="213" t="s">
        <v>4373</v>
      </c>
      <c r="D984" s="213" t="s">
        <v>4369</v>
      </c>
      <c r="E984" s="213" t="s">
        <v>4504</v>
      </c>
      <c r="F984" s="212" t="s">
        <v>6545</v>
      </c>
      <c r="G984" s="212" t="str">
        <f t="shared" si="46"/>
        <v>826도서인쇄비(판)</v>
      </c>
      <c r="H984" s="214">
        <v>15000</v>
      </c>
      <c r="I984" s="214">
        <v>0</v>
      </c>
      <c r="J984" s="214">
        <f t="shared" si="47"/>
        <v>-15000</v>
      </c>
      <c r="K984" s="212" t="s">
        <v>6289</v>
      </c>
      <c r="L984" s="213"/>
      <c r="M984" s="212"/>
    </row>
    <row r="985" spans="1:13" ht="21" customHeight="1">
      <c r="A985" s="213" t="s">
        <v>6788</v>
      </c>
      <c r="B985" s="215">
        <f t="shared" si="45"/>
        <v>45721</v>
      </c>
      <c r="C985" s="213" t="s">
        <v>4373</v>
      </c>
      <c r="D985" s="213" t="s">
        <v>4366</v>
      </c>
      <c r="E985" s="213" t="s">
        <v>333</v>
      </c>
      <c r="F985" s="212" t="s">
        <v>4365</v>
      </c>
      <c r="G985" s="212" t="str">
        <f t="shared" si="46"/>
        <v>101현금</v>
      </c>
      <c r="H985" s="214">
        <v>0</v>
      </c>
      <c r="I985" s="214">
        <v>15000</v>
      </c>
      <c r="J985" s="214">
        <f t="shared" si="47"/>
        <v>15000</v>
      </c>
      <c r="K985" s="212" t="s">
        <v>6371</v>
      </c>
      <c r="L985" s="213"/>
      <c r="M985" s="212"/>
    </row>
    <row r="986" spans="1:13" ht="21" customHeight="1">
      <c r="A986" s="213" t="s">
        <v>6788</v>
      </c>
      <c r="B986" s="215">
        <f t="shared" si="45"/>
        <v>45721</v>
      </c>
      <c r="C986" s="213" t="s">
        <v>4382</v>
      </c>
      <c r="D986" s="213" t="s">
        <v>4369</v>
      </c>
      <c r="E986" s="213" t="s">
        <v>4499</v>
      </c>
      <c r="F986" s="212" t="s">
        <v>6517</v>
      </c>
      <c r="G986" s="212" t="str">
        <f t="shared" si="46"/>
        <v>811복리후생비(판)</v>
      </c>
      <c r="H986" s="214">
        <v>14000</v>
      </c>
      <c r="I986" s="214">
        <v>0</v>
      </c>
      <c r="J986" s="214">
        <f t="shared" si="47"/>
        <v>-14000</v>
      </c>
      <c r="K986" s="212" t="s">
        <v>6516</v>
      </c>
      <c r="L986" s="213"/>
      <c r="M986" s="212"/>
    </row>
    <row r="987" spans="1:13" ht="21" customHeight="1">
      <c r="A987" s="213" t="s">
        <v>6788</v>
      </c>
      <c r="B987" s="215">
        <f t="shared" si="45"/>
        <v>45721</v>
      </c>
      <c r="C987" s="213" t="s">
        <v>4382</v>
      </c>
      <c r="D987" s="213" t="s">
        <v>4366</v>
      </c>
      <c r="E987" s="213" t="s">
        <v>333</v>
      </c>
      <c r="F987" s="212" t="s">
        <v>4365</v>
      </c>
      <c r="G987" s="212" t="str">
        <f t="shared" si="46"/>
        <v>101현금</v>
      </c>
      <c r="H987" s="214">
        <v>0</v>
      </c>
      <c r="I987" s="214">
        <v>14000</v>
      </c>
      <c r="J987" s="214">
        <f t="shared" si="47"/>
        <v>14000</v>
      </c>
      <c r="K987" s="212" t="s">
        <v>6369</v>
      </c>
      <c r="L987" s="213"/>
      <c r="M987" s="212"/>
    </row>
    <row r="988" spans="1:13" ht="21" customHeight="1">
      <c r="A988" s="213" t="s">
        <v>6788</v>
      </c>
      <c r="B988" s="215">
        <f t="shared" si="45"/>
        <v>45721</v>
      </c>
      <c r="C988" s="213" t="s">
        <v>4381</v>
      </c>
      <c r="D988" s="213" t="s">
        <v>4369</v>
      </c>
      <c r="E988" s="213" t="s">
        <v>4383</v>
      </c>
      <c r="F988" s="212" t="s">
        <v>6525</v>
      </c>
      <c r="G988" s="212" t="str">
        <f t="shared" si="46"/>
        <v>830소모품비(판)</v>
      </c>
      <c r="H988" s="214">
        <v>15000</v>
      </c>
      <c r="I988" s="214">
        <v>0</v>
      </c>
      <c r="J988" s="214">
        <f t="shared" si="47"/>
        <v>-15000</v>
      </c>
      <c r="K988" s="212" t="s">
        <v>6215</v>
      </c>
      <c r="L988" s="213"/>
      <c r="M988" s="212"/>
    </row>
    <row r="989" spans="1:13" ht="21" customHeight="1">
      <c r="A989" s="213" t="s">
        <v>6788</v>
      </c>
      <c r="B989" s="215">
        <f t="shared" si="45"/>
        <v>45721</v>
      </c>
      <c r="C989" s="213" t="s">
        <v>4381</v>
      </c>
      <c r="D989" s="213" t="s">
        <v>4366</v>
      </c>
      <c r="E989" s="213" t="s">
        <v>333</v>
      </c>
      <c r="F989" s="212" t="s">
        <v>4365</v>
      </c>
      <c r="G989" s="212" t="str">
        <f t="shared" si="46"/>
        <v>101현금</v>
      </c>
      <c r="H989" s="214">
        <v>0</v>
      </c>
      <c r="I989" s="214">
        <v>15000</v>
      </c>
      <c r="J989" s="214">
        <f t="shared" si="47"/>
        <v>15000</v>
      </c>
      <c r="K989" s="212" t="s">
        <v>6371</v>
      </c>
      <c r="L989" s="213"/>
      <c r="M989" s="212"/>
    </row>
    <row r="990" spans="1:13" ht="21" customHeight="1">
      <c r="A990" s="213" t="s">
        <v>6788</v>
      </c>
      <c r="B990" s="215">
        <f t="shared" si="45"/>
        <v>45721</v>
      </c>
      <c r="C990" s="213" t="s">
        <v>4367</v>
      </c>
      <c r="D990" s="213" t="s">
        <v>4366</v>
      </c>
      <c r="E990" s="213" t="s">
        <v>6176</v>
      </c>
      <c r="F990" s="212" t="s">
        <v>6177</v>
      </c>
      <c r="G990" s="212" t="str">
        <f t="shared" si="46"/>
        <v>255부가세예수금</v>
      </c>
      <c r="H990" s="214">
        <v>0</v>
      </c>
      <c r="I990" s="214">
        <v>40000</v>
      </c>
      <c r="J990" s="214">
        <f t="shared" si="47"/>
        <v>40000</v>
      </c>
      <c r="K990" s="212" t="s">
        <v>6187</v>
      </c>
      <c r="L990" s="213"/>
      <c r="M990" s="212" t="s">
        <v>6188</v>
      </c>
    </row>
    <row r="991" spans="1:13" ht="21" customHeight="1">
      <c r="A991" s="213" t="s">
        <v>6788</v>
      </c>
      <c r="B991" s="215">
        <f t="shared" si="45"/>
        <v>45721</v>
      </c>
      <c r="C991" s="213" t="s">
        <v>4367</v>
      </c>
      <c r="D991" s="213" t="s">
        <v>4366</v>
      </c>
      <c r="E991" s="213" t="s">
        <v>334</v>
      </c>
      <c r="F991" s="212" t="s">
        <v>6158</v>
      </c>
      <c r="G991" s="212" t="str">
        <f t="shared" si="46"/>
        <v>401용역매출</v>
      </c>
      <c r="H991" s="214">
        <v>0</v>
      </c>
      <c r="I991" s="214">
        <v>400000</v>
      </c>
      <c r="J991" s="214">
        <f t="shared" si="47"/>
        <v>400000</v>
      </c>
      <c r="K991" s="212" t="s">
        <v>6187</v>
      </c>
      <c r="L991" s="213"/>
      <c r="M991" s="212" t="s">
        <v>6188</v>
      </c>
    </row>
    <row r="992" spans="1:13" ht="21" customHeight="1">
      <c r="A992" s="213" t="s">
        <v>6788</v>
      </c>
      <c r="B992" s="215">
        <f t="shared" si="45"/>
        <v>45721</v>
      </c>
      <c r="C992" s="213" t="s">
        <v>4367</v>
      </c>
      <c r="D992" s="213" t="s">
        <v>4369</v>
      </c>
      <c r="E992" s="213" t="s">
        <v>333</v>
      </c>
      <c r="F992" s="212" t="s">
        <v>4365</v>
      </c>
      <c r="G992" s="212" t="str">
        <f t="shared" si="46"/>
        <v>101현금</v>
      </c>
      <c r="H992" s="214">
        <v>440000</v>
      </c>
      <c r="I992" s="214">
        <v>0</v>
      </c>
      <c r="J992" s="214">
        <f t="shared" si="47"/>
        <v>-440000</v>
      </c>
      <c r="K992" s="212" t="s">
        <v>6187</v>
      </c>
      <c r="L992" s="213"/>
      <c r="M992" s="212" t="s">
        <v>6188</v>
      </c>
    </row>
    <row r="993" spans="1:13" ht="21" customHeight="1">
      <c r="A993" s="213" t="s">
        <v>6788</v>
      </c>
      <c r="B993" s="215">
        <f t="shared" si="45"/>
        <v>45721</v>
      </c>
      <c r="C993" s="213" t="s">
        <v>4374</v>
      </c>
      <c r="D993" s="213" t="s">
        <v>4366</v>
      </c>
      <c r="E993" s="213" t="s">
        <v>6176</v>
      </c>
      <c r="F993" s="212" t="s">
        <v>6177</v>
      </c>
      <c r="G993" s="212" t="str">
        <f t="shared" si="46"/>
        <v>255부가세예수금</v>
      </c>
      <c r="H993" s="214">
        <v>0</v>
      </c>
      <c r="I993" s="214">
        <v>15000</v>
      </c>
      <c r="J993" s="214">
        <f t="shared" si="47"/>
        <v>15000</v>
      </c>
      <c r="K993" s="212" t="s">
        <v>6265</v>
      </c>
      <c r="L993" s="213"/>
      <c r="M993" s="212" t="s">
        <v>6179</v>
      </c>
    </row>
    <row r="994" spans="1:13" ht="21" customHeight="1">
      <c r="A994" s="213" t="s">
        <v>6788</v>
      </c>
      <c r="B994" s="215">
        <f t="shared" si="45"/>
        <v>45721</v>
      </c>
      <c r="C994" s="213" t="s">
        <v>4374</v>
      </c>
      <c r="D994" s="213" t="s">
        <v>4366</v>
      </c>
      <c r="E994" s="213" t="s">
        <v>334</v>
      </c>
      <c r="F994" s="212" t="s">
        <v>6158</v>
      </c>
      <c r="G994" s="212" t="str">
        <f t="shared" si="46"/>
        <v>401용역매출</v>
      </c>
      <c r="H994" s="214">
        <v>0</v>
      </c>
      <c r="I994" s="214">
        <v>150000</v>
      </c>
      <c r="J994" s="214">
        <f t="shared" si="47"/>
        <v>150000</v>
      </c>
      <c r="K994" s="212" t="s">
        <v>6265</v>
      </c>
      <c r="L994" s="213"/>
      <c r="M994" s="212" t="s">
        <v>6179</v>
      </c>
    </row>
    <row r="995" spans="1:13" ht="21" customHeight="1">
      <c r="A995" s="213" t="s">
        <v>6788</v>
      </c>
      <c r="B995" s="215">
        <f t="shared" si="45"/>
        <v>45721</v>
      </c>
      <c r="C995" s="213" t="s">
        <v>4374</v>
      </c>
      <c r="D995" s="213" t="s">
        <v>4369</v>
      </c>
      <c r="E995" s="213" t="s">
        <v>333</v>
      </c>
      <c r="F995" s="212" t="s">
        <v>4365</v>
      </c>
      <c r="G995" s="212" t="str">
        <f t="shared" si="46"/>
        <v>101현금</v>
      </c>
      <c r="H995" s="214">
        <v>165000</v>
      </c>
      <c r="I995" s="214">
        <v>0</v>
      </c>
      <c r="J995" s="214">
        <f t="shared" si="47"/>
        <v>-165000</v>
      </c>
      <c r="K995" s="212" t="s">
        <v>6265</v>
      </c>
      <c r="L995" s="213"/>
      <c r="M995" s="212" t="s">
        <v>6179</v>
      </c>
    </row>
    <row r="996" spans="1:13" ht="21" customHeight="1">
      <c r="A996" s="213" t="s">
        <v>6788</v>
      </c>
      <c r="B996" s="215">
        <f t="shared" si="45"/>
        <v>45721</v>
      </c>
      <c r="C996" s="213" t="s">
        <v>6182</v>
      </c>
      <c r="D996" s="213" t="s">
        <v>4366</v>
      </c>
      <c r="E996" s="213" t="s">
        <v>6176</v>
      </c>
      <c r="F996" s="212" t="s">
        <v>6177</v>
      </c>
      <c r="G996" s="212" t="str">
        <f t="shared" si="46"/>
        <v>255부가세예수금</v>
      </c>
      <c r="H996" s="214">
        <v>0</v>
      </c>
      <c r="I996" s="214">
        <v>15000</v>
      </c>
      <c r="J996" s="214">
        <f t="shared" si="47"/>
        <v>15000</v>
      </c>
      <c r="K996" s="212" t="s">
        <v>6267</v>
      </c>
      <c r="L996" s="213"/>
      <c r="M996" s="212" t="s">
        <v>6179</v>
      </c>
    </row>
    <row r="997" spans="1:13" ht="21" customHeight="1">
      <c r="A997" s="213" t="s">
        <v>6788</v>
      </c>
      <c r="B997" s="215">
        <f t="shared" si="45"/>
        <v>45721</v>
      </c>
      <c r="C997" s="213" t="s">
        <v>6182</v>
      </c>
      <c r="D997" s="213" t="s">
        <v>4366</v>
      </c>
      <c r="E997" s="213" t="s">
        <v>334</v>
      </c>
      <c r="F997" s="212" t="s">
        <v>6158</v>
      </c>
      <c r="G997" s="212" t="str">
        <f t="shared" si="46"/>
        <v>401용역매출</v>
      </c>
      <c r="H997" s="214">
        <v>0</v>
      </c>
      <c r="I997" s="214">
        <v>150000</v>
      </c>
      <c r="J997" s="214">
        <f t="shared" si="47"/>
        <v>150000</v>
      </c>
      <c r="K997" s="212" t="s">
        <v>6267</v>
      </c>
      <c r="L997" s="213"/>
      <c r="M997" s="212" t="s">
        <v>6179</v>
      </c>
    </row>
    <row r="998" spans="1:13" ht="21" customHeight="1">
      <c r="A998" s="213" t="s">
        <v>6788</v>
      </c>
      <c r="B998" s="215">
        <f t="shared" si="45"/>
        <v>45721</v>
      </c>
      <c r="C998" s="213" t="s">
        <v>6182</v>
      </c>
      <c r="D998" s="213" t="s">
        <v>4369</v>
      </c>
      <c r="E998" s="213" t="s">
        <v>333</v>
      </c>
      <c r="F998" s="212" t="s">
        <v>4365</v>
      </c>
      <c r="G998" s="212" t="str">
        <f t="shared" si="46"/>
        <v>101현금</v>
      </c>
      <c r="H998" s="214">
        <v>165000</v>
      </c>
      <c r="I998" s="214">
        <v>0</v>
      </c>
      <c r="J998" s="214">
        <f t="shared" si="47"/>
        <v>-165000</v>
      </c>
      <c r="K998" s="212" t="s">
        <v>6267</v>
      </c>
      <c r="L998" s="213"/>
      <c r="M998" s="212" t="s">
        <v>6179</v>
      </c>
    </row>
    <row r="999" spans="1:13" ht="21" customHeight="1">
      <c r="A999" s="213" t="s">
        <v>6788</v>
      </c>
      <c r="B999" s="215">
        <f t="shared" si="45"/>
        <v>45721</v>
      </c>
      <c r="C999" s="213" t="s">
        <v>6184</v>
      </c>
      <c r="D999" s="213" t="s">
        <v>4366</v>
      </c>
      <c r="E999" s="213" t="s">
        <v>6176</v>
      </c>
      <c r="F999" s="212" t="s">
        <v>6177</v>
      </c>
      <c r="G999" s="212" t="str">
        <f t="shared" si="46"/>
        <v>255부가세예수금</v>
      </c>
      <c r="H999" s="214">
        <v>0</v>
      </c>
      <c r="I999" s="214">
        <v>-15000</v>
      </c>
      <c r="J999" s="214">
        <f t="shared" si="47"/>
        <v>-15000</v>
      </c>
      <c r="K999" s="212" t="s">
        <v>6267</v>
      </c>
      <c r="L999" s="213"/>
      <c r="M999" s="212" t="s">
        <v>6313</v>
      </c>
    </row>
    <row r="1000" spans="1:13" ht="21" customHeight="1">
      <c r="A1000" s="213" t="s">
        <v>6788</v>
      </c>
      <c r="B1000" s="215">
        <f t="shared" si="45"/>
        <v>45721</v>
      </c>
      <c r="C1000" s="213" t="s">
        <v>6184</v>
      </c>
      <c r="D1000" s="213" t="s">
        <v>4366</v>
      </c>
      <c r="E1000" s="213" t="s">
        <v>334</v>
      </c>
      <c r="F1000" s="212" t="s">
        <v>6158</v>
      </c>
      <c r="G1000" s="212" t="str">
        <f t="shared" si="46"/>
        <v>401용역매출</v>
      </c>
      <c r="H1000" s="214">
        <v>0</v>
      </c>
      <c r="I1000" s="214">
        <v>-150000</v>
      </c>
      <c r="J1000" s="214">
        <f t="shared" si="47"/>
        <v>-150000</v>
      </c>
      <c r="K1000" s="212" t="s">
        <v>6267</v>
      </c>
      <c r="L1000" s="213"/>
      <c r="M1000" s="212" t="s">
        <v>6313</v>
      </c>
    </row>
    <row r="1001" spans="1:13" ht="21" customHeight="1">
      <c r="A1001" s="213" t="s">
        <v>6788</v>
      </c>
      <c r="B1001" s="215">
        <f t="shared" si="45"/>
        <v>45721</v>
      </c>
      <c r="C1001" s="213" t="s">
        <v>6184</v>
      </c>
      <c r="D1001" s="213" t="s">
        <v>4369</v>
      </c>
      <c r="E1001" s="213" t="s">
        <v>333</v>
      </c>
      <c r="F1001" s="212" t="s">
        <v>4365</v>
      </c>
      <c r="G1001" s="212" t="str">
        <f t="shared" si="46"/>
        <v>101현금</v>
      </c>
      <c r="H1001" s="214">
        <v>-165000</v>
      </c>
      <c r="I1001" s="214">
        <v>0</v>
      </c>
      <c r="J1001" s="214">
        <f t="shared" si="47"/>
        <v>165000</v>
      </c>
      <c r="K1001" s="212" t="s">
        <v>6267</v>
      </c>
      <c r="L1001" s="213"/>
      <c r="M1001" s="212" t="s">
        <v>6313</v>
      </c>
    </row>
    <row r="1002" spans="1:13" ht="21" customHeight="1">
      <c r="A1002" s="213" t="s">
        <v>6788</v>
      </c>
      <c r="B1002" s="215">
        <f t="shared" si="45"/>
        <v>45721</v>
      </c>
      <c r="C1002" s="213" t="s">
        <v>6186</v>
      </c>
      <c r="D1002" s="213" t="s">
        <v>4366</v>
      </c>
      <c r="E1002" s="213" t="s">
        <v>6176</v>
      </c>
      <c r="F1002" s="212" t="s">
        <v>6177</v>
      </c>
      <c r="G1002" s="212" t="str">
        <f t="shared" si="46"/>
        <v>255부가세예수금</v>
      </c>
      <c r="H1002" s="214">
        <v>0</v>
      </c>
      <c r="I1002" s="214">
        <v>15000</v>
      </c>
      <c r="J1002" s="214">
        <f t="shared" si="47"/>
        <v>15000</v>
      </c>
      <c r="K1002" s="212" t="s">
        <v>6267</v>
      </c>
      <c r="L1002" s="213"/>
      <c r="M1002" s="212" t="s">
        <v>6179</v>
      </c>
    </row>
    <row r="1003" spans="1:13" ht="21" customHeight="1">
      <c r="A1003" s="213" t="s">
        <v>6788</v>
      </c>
      <c r="B1003" s="215">
        <f t="shared" si="45"/>
        <v>45721</v>
      </c>
      <c r="C1003" s="213" t="s">
        <v>6186</v>
      </c>
      <c r="D1003" s="213" t="s">
        <v>4366</v>
      </c>
      <c r="E1003" s="213" t="s">
        <v>334</v>
      </c>
      <c r="F1003" s="212" t="s">
        <v>6158</v>
      </c>
      <c r="G1003" s="212" t="str">
        <f t="shared" si="46"/>
        <v>401용역매출</v>
      </c>
      <c r="H1003" s="214">
        <v>0</v>
      </c>
      <c r="I1003" s="214">
        <v>150000</v>
      </c>
      <c r="J1003" s="214">
        <f t="shared" si="47"/>
        <v>150000</v>
      </c>
      <c r="K1003" s="212" t="s">
        <v>6267</v>
      </c>
      <c r="L1003" s="213"/>
      <c r="M1003" s="212" t="s">
        <v>6179</v>
      </c>
    </row>
    <row r="1004" spans="1:13" ht="21" customHeight="1">
      <c r="A1004" s="213" t="s">
        <v>6788</v>
      </c>
      <c r="B1004" s="215">
        <f t="shared" si="45"/>
        <v>45721</v>
      </c>
      <c r="C1004" s="213" t="s">
        <v>6186</v>
      </c>
      <c r="D1004" s="213" t="s">
        <v>4369</v>
      </c>
      <c r="E1004" s="213" t="s">
        <v>333</v>
      </c>
      <c r="F1004" s="212" t="s">
        <v>4365</v>
      </c>
      <c r="G1004" s="212" t="str">
        <f t="shared" si="46"/>
        <v>101현금</v>
      </c>
      <c r="H1004" s="214">
        <v>165000</v>
      </c>
      <c r="I1004" s="214">
        <v>0</v>
      </c>
      <c r="J1004" s="214">
        <f t="shared" si="47"/>
        <v>-165000</v>
      </c>
      <c r="K1004" s="212" t="s">
        <v>6267</v>
      </c>
      <c r="L1004" s="213"/>
      <c r="M1004" s="212" t="s">
        <v>6179</v>
      </c>
    </row>
    <row r="1005" spans="1:13" ht="21" customHeight="1">
      <c r="A1005" s="213" t="s">
        <v>6788</v>
      </c>
      <c r="B1005" s="215">
        <f t="shared" si="45"/>
        <v>45721</v>
      </c>
      <c r="C1005" s="213" t="s">
        <v>6189</v>
      </c>
      <c r="D1005" s="213" t="s">
        <v>4366</v>
      </c>
      <c r="E1005" s="213" t="s">
        <v>6176</v>
      </c>
      <c r="F1005" s="212" t="s">
        <v>6177</v>
      </c>
      <c r="G1005" s="212" t="str">
        <f t="shared" si="46"/>
        <v>255부가세예수금</v>
      </c>
      <c r="H1005" s="214">
        <v>0</v>
      </c>
      <c r="I1005" s="214">
        <v>10000</v>
      </c>
      <c r="J1005" s="214">
        <f t="shared" si="47"/>
        <v>10000</v>
      </c>
      <c r="K1005" s="212" t="s">
        <v>6268</v>
      </c>
      <c r="L1005" s="213"/>
      <c r="M1005" s="212" t="s">
        <v>6185</v>
      </c>
    </row>
    <row r="1006" spans="1:13" ht="21" customHeight="1">
      <c r="A1006" s="213" t="s">
        <v>6788</v>
      </c>
      <c r="B1006" s="215">
        <f t="shared" si="45"/>
        <v>45721</v>
      </c>
      <c r="C1006" s="213" t="s">
        <v>6189</v>
      </c>
      <c r="D1006" s="213" t="s">
        <v>4366</v>
      </c>
      <c r="E1006" s="213" t="s">
        <v>334</v>
      </c>
      <c r="F1006" s="212" t="s">
        <v>6158</v>
      </c>
      <c r="G1006" s="212" t="str">
        <f t="shared" si="46"/>
        <v>401용역매출</v>
      </c>
      <c r="H1006" s="214">
        <v>0</v>
      </c>
      <c r="I1006" s="214">
        <v>100000</v>
      </c>
      <c r="J1006" s="214">
        <f t="shared" si="47"/>
        <v>100000</v>
      </c>
      <c r="K1006" s="212" t="s">
        <v>6268</v>
      </c>
      <c r="L1006" s="213"/>
      <c r="M1006" s="212" t="s">
        <v>6185</v>
      </c>
    </row>
    <row r="1007" spans="1:13" ht="21" customHeight="1">
      <c r="A1007" s="213" t="s">
        <v>6788</v>
      </c>
      <c r="B1007" s="215">
        <f t="shared" si="45"/>
        <v>45721</v>
      </c>
      <c r="C1007" s="213" t="s">
        <v>6189</v>
      </c>
      <c r="D1007" s="213" t="s">
        <v>4369</v>
      </c>
      <c r="E1007" s="213" t="s">
        <v>333</v>
      </c>
      <c r="F1007" s="212" t="s">
        <v>4365</v>
      </c>
      <c r="G1007" s="212" t="str">
        <f t="shared" si="46"/>
        <v>101현금</v>
      </c>
      <c r="H1007" s="214">
        <v>110000</v>
      </c>
      <c r="I1007" s="214">
        <v>0</v>
      </c>
      <c r="J1007" s="214">
        <f t="shared" si="47"/>
        <v>-110000</v>
      </c>
      <c r="K1007" s="212" t="s">
        <v>6268</v>
      </c>
      <c r="L1007" s="213"/>
      <c r="M1007" s="212" t="s">
        <v>6185</v>
      </c>
    </row>
    <row r="1008" spans="1:13" ht="21" customHeight="1">
      <c r="A1008" s="213" t="s">
        <v>6788</v>
      </c>
      <c r="B1008" s="215">
        <f t="shared" si="45"/>
        <v>45721</v>
      </c>
      <c r="C1008" s="213" t="s">
        <v>6191</v>
      </c>
      <c r="D1008" s="213" t="s">
        <v>4369</v>
      </c>
      <c r="E1008" s="213" t="s">
        <v>4371</v>
      </c>
      <c r="F1008" s="212" t="s">
        <v>4370</v>
      </c>
      <c r="G1008" s="212" t="str">
        <f t="shared" si="46"/>
        <v>135부가세대급금</v>
      </c>
      <c r="H1008" s="214">
        <v>618</v>
      </c>
      <c r="I1008" s="214">
        <v>0</v>
      </c>
      <c r="J1008" s="214">
        <f t="shared" si="47"/>
        <v>-618</v>
      </c>
      <c r="K1008" s="212" t="s">
        <v>6222</v>
      </c>
      <c r="L1008" s="213"/>
      <c r="M1008" s="212"/>
    </row>
    <row r="1009" spans="1:13" ht="21" customHeight="1">
      <c r="A1009" s="213" t="s">
        <v>6788</v>
      </c>
      <c r="B1009" s="215">
        <f t="shared" si="45"/>
        <v>45721</v>
      </c>
      <c r="C1009" s="213" t="s">
        <v>6191</v>
      </c>
      <c r="D1009" s="213" t="s">
        <v>4369</v>
      </c>
      <c r="E1009" s="213" t="s">
        <v>4383</v>
      </c>
      <c r="F1009" s="212" t="s">
        <v>6525</v>
      </c>
      <c r="G1009" s="212" t="str">
        <f t="shared" si="46"/>
        <v>830소모품비(판)</v>
      </c>
      <c r="H1009" s="214">
        <v>6182</v>
      </c>
      <c r="I1009" s="214">
        <v>0</v>
      </c>
      <c r="J1009" s="214">
        <f t="shared" si="47"/>
        <v>-6182</v>
      </c>
      <c r="K1009" s="212" t="s">
        <v>6222</v>
      </c>
      <c r="L1009" s="213"/>
      <c r="M1009" s="212"/>
    </row>
    <row r="1010" spans="1:13" ht="21" customHeight="1">
      <c r="A1010" s="213" t="s">
        <v>6788</v>
      </c>
      <c r="B1010" s="215">
        <f t="shared" si="45"/>
        <v>45721</v>
      </c>
      <c r="C1010" s="213" t="s">
        <v>6191</v>
      </c>
      <c r="D1010" s="213" t="s">
        <v>4366</v>
      </c>
      <c r="E1010" s="213" t="s">
        <v>333</v>
      </c>
      <c r="F1010" s="212" t="s">
        <v>4365</v>
      </c>
      <c r="G1010" s="212" t="str">
        <f t="shared" si="46"/>
        <v>101현금</v>
      </c>
      <c r="H1010" s="214">
        <v>0</v>
      </c>
      <c r="I1010" s="214">
        <v>6800</v>
      </c>
      <c r="J1010" s="214">
        <f t="shared" si="47"/>
        <v>6800</v>
      </c>
      <c r="K1010" s="212" t="s">
        <v>6369</v>
      </c>
      <c r="L1010" s="213"/>
      <c r="M1010" s="212"/>
    </row>
    <row r="1011" spans="1:13" ht="21" customHeight="1">
      <c r="A1011" s="213" t="s">
        <v>6786</v>
      </c>
      <c r="B1011" s="215">
        <f t="shared" si="45"/>
        <v>45722</v>
      </c>
      <c r="C1011" s="213" t="s">
        <v>4373</v>
      </c>
      <c r="D1011" s="213" t="s">
        <v>4369</v>
      </c>
      <c r="E1011" s="213" t="s">
        <v>4499</v>
      </c>
      <c r="F1011" s="212" t="s">
        <v>6517</v>
      </c>
      <c r="G1011" s="212" t="str">
        <f t="shared" si="46"/>
        <v>811복리후생비(판)</v>
      </c>
      <c r="H1011" s="214">
        <v>7000</v>
      </c>
      <c r="I1011" s="214">
        <v>0</v>
      </c>
      <c r="J1011" s="214">
        <f t="shared" si="47"/>
        <v>-7000</v>
      </c>
      <c r="K1011" s="212" t="s">
        <v>6539</v>
      </c>
      <c r="L1011" s="213"/>
      <c r="M1011" s="212"/>
    </row>
    <row r="1012" spans="1:13" ht="21" customHeight="1">
      <c r="A1012" s="213" t="s">
        <v>6786</v>
      </c>
      <c r="B1012" s="215">
        <f t="shared" si="45"/>
        <v>45722</v>
      </c>
      <c r="C1012" s="213" t="s">
        <v>4373</v>
      </c>
      <c r="D1012" s="213" t="s">
        <v>4366</v>
      </c>
      <c r="E1012" s="213" t="s">
        <v>333</v>
      </c>
      <c r="F1012" s="212" t="s">
        <v>4365</v>
      </c>
      <c r="G1012" s="212" t="str">
        <f t="shared" si="46"/>
        <v>101현금</v>
      </c>
      <c r="H1012" s="214">
        <v>0</v>
      </c>
      <c r="I1012" s="214">
        <v>7000</v>
      </c>
      <c r="J1012" s="214">
        <f t="shared" si="47"/>
        <v>7000</v>
      </c>
      <c r="K1012" s="212" t="s">
        <v>6369</v>
      </c>
      <c r="L1012" s="213"/>
      <c r="M1012" s="212"/>
    </row>
    <row r="1013" spans="1:13" ht="21" customHeight="1">
      <c r="A1013" s="213" t="s">
        <v>6786</v>
      </c>
      <c r="B1013" s="215">
        <f t="shared" si="45"/>
        <v>45722</v>
      </c>
      <c r="C1013" s="213" t="s">
        <v>4382</v>
      </c>
      <c r="D1013" s="213" t="s">
        <v>4366</v>
      </c>
      <c r="E1013" s="213" t="s">
        <v>333</v>
      </c>
      <c r="F1013" s="212" t="s">
        <v>4365</v>
      </c>
      <c r="G1013" s="212" t="str">
        <f t="shared" si="46"/>
        <v>101현금</v>
      </c>
      <c r="H1013" s="214">
        <v>0</v>
      </c>
      <c r="I1013" s="214">
        <v>70000</v>
      </c>
      <c r="J1013" s="214">
        <f t="shared" si="47"/>
        <v>70000</v>
      </c>
      <c r="K1013" s="212" t="s">
        <v>6371</v>
      </c>
      <c r="L1013" s="213"/>
      <c r="M1013" s="212"/>
    </row>
    <row r="1014" spans="1:13" ht="21" customHeight="1">
      <c r="A1014" s="213" t="s">
        <v>6786</v>
      </c>
      <c r="B1014" s="215">
        <f t="shared" si="45"/>
        <v>45722</v>
      </c>
      <c r="C1014" s="213" t="s">
        <v>4382</v>
      </c>
      <c r="D1014" s="213" t="s">
        <v>4369</v>
      </c>
      <c r="E1014" s="213" t="s">
        <v>4499</v>
      </c>
      <c r="F1014" s="212" t="s">
        <v>6517</v>
      </c>
      <c r="G1014" s="212" t="str">
        <f t="shared" si="46"/>
        <v>811복리후생비(판)</v>
      </c>
      <c r="H1014" s="214">
        <v>70000</v>
      </c>
      <c r="I1014" s="214">
        <v>0</v>
      </c>
      <c r="J1014" s="214">
        <f t="shared" si="47"/>
        <v>-70000</v>
      </c>
      <c r="K1014" s="212" t="s">
        <v>6787</v>
      </c>
      <c r="L1014" s="213"/>
      <c r="M1014" s="212"/>
    </row>
    <row r="1015" spans="1:13" ht="21" customHeight="1">
      <c r="A1015" s="213" t="s">
        <v>6786</v>
      </c>
      <c r="B1015" s="215">
        <f t="shared" si="45"/>
        <v>45722</v>
      </c>
      <c r="C1015" s="213" t="s">
        <v>4367</v>
      </c>
      <c r="D1015" s="213" t="s">
        <v>4366</v>
      </c>
      <c r="E1015" s="213" t="s">
        <v>6176</v>
      </c>
      <c r="F1015" s="212" t="s">
        <v>6177</v>
      </c>
      <c r="G1015" s="212" t="str">
        <f t="shared" si="46"/>
        <v>255부가세예수금</v>
      </c>
      <c r="H1015" s="214">
        <v>0</v>
      </c>
      <c r="I1015" s="214">
        <v>-10000</v>
      </c>
      <c r="J1015" s="214">
        <f t="shared" si="47"/>
        <v>-10000</v>
      </c>
      <c r="K1015" s="212" t="s">
        <v>6266</v>
      </c>
      <c r="L1015" s="213"/>
      <c r="M1015" s="212" t="s">
        <v>6208</v>
      </c>
    </row>
    <row r="1016" spans="1:13" ht="21" customHeight="1">
      <c r="A1016" s="213" t="s">
        <v>6786</v>
      </c>
      <c r="B1016" s="215">
        <f t="shared" si="45"/>
        <v>45722</v>
      </c>
      <c r="C1016" s="213" t="s">
        <v>4367</v>
      </c>
      <c r="D1016" s="213" t="s">
        <v>4366</v>
      </c>
      <c r="E1016" s="213" t="s">
        <v>334</v>
      </c>
      <c r="F1016" s="212" t="s">
        <v>6158</v>
      </c>
      <c r="G1016" s="212" t="str">
        <f t="shared" si="46"/>
        <v>401용역매출</v>
      </c>
      <c r="H1016" s="214">
        <v>0</v>
      </c>
      <c r="I1016" s="214">
        <v>-100000</v>
      </c>
      <c r="J1016" s="214">
        <f t="shared" si="47"/>
        <v>-100000</v>
      </c>
      <c r="K1016" s="212" t="s">
        <v>6266</v>
      </c>
      <c r="L1016" s="213"/>
      <c r="M1016" s="212" t="s">
        <v>6208</v>
      </c>
    </row>
    <row r="1017" spans="1:13" ht="21" customHeight="1">
      <c r="A1017" s="213" t="s">
        <v>6786</v>
      </c>
      <c r="B1017" s="215">
        <f t="shared" si="45"/>
        <v>45722</v>
      </c>
      <c r="C1017" s="213" t="s">
        <v>4367</v>
      </c>
      <c r="D1017" s="213" t="s">
        <v>4369</v>
      </c>
      <c r="E1017" s="213" t="s">
        <v>333</v>
      </c>
      <c r="F1017" s="212" t="s">
        <v>4365</v>
      </c>
      <c r="G1017" s="212" t="str">
        <f t="shared" si="46"/>
        <v>101현금</v>
      </c>
      <c r="H1017" s="214">
        <v>-110000</v>
      </c>
      <c r="I1017" s="214">
        <v>0</v>
      </c>
      <c r="J1017" s="214">
        <f t="shared" si="47"/>
        <v>110000</v>
      </c>
      <c r="K1017" s="212" t="s">
        <v>6266</v>
      </c>
      <c r="L1017" s="213"/>
      <c r="M1017" s="212" t="s">
        <v>6208</v>
      </c>
    </row>
    <row r="1018" spans="1:13" ht="21" customHeight="1">
      <c r="A1018" s="213" t="s">
        <v>6786</v>
      </c>
      <c r="B1018" s="215">
        <f t="shared" si="45"/>
        <v>45722</v>
      </c>
      <c r="C1018" s="213" t="s">
        <v>4374</v>
      </c>
      <c r="D1018" s="213" t="s">
        <v>4366</v>
      </c>
      <c r="E1018" s="213" t="s">
        <v>6176</v>
      </c>
      <c r="F1018" s="212" t="s">
        <v>6177</v>
      </c>
      <c r="G1018" s="212" t="str">
        <f t="shared" si="46"/>
        <v>255부가세예수금</v>
      </c>
      <c r="H1018" s="214">
        <v>0</v>
      </c>
      <c r="I1018" s="214">
        <v>10000</v>
      </c>
      <c r="J1018" s="214">
        <f t="shared" si="47"/>
        <v>10000</v>
      </c>
      <c r="K1018" s="212" t="s">
        <v>6266</v>
      </c>
      <c r="L1018" s="213"/>
      <c r="M1018" s="212" t="s">
        <v>6185</v>
      </c>
    </row>
    <row r="1019" spans="1:13" ht="21" customHeight="1">
      <c r="A1019" s="213" t="s">
        <v>6786</v>
      </c>
      <c r="B1019" s="215">
        <f t="shared" si="45"/>
        <v>45722</v>
      </c>
      <c r="C1019" s="213" t="s">
        <v>4374</v>
      </c>
      <c r="D1019" s="213" t="s">
        <v>4366</v>
      </c>
      <c r="E1019" s="213" t="s">
        <v>334</v>
      </c>
      <c r="F1019" s="212" t="s">
        <v>6158</v>
      </c>
      <c r="G1019" s="212" t="str">
        <f t="shared" si="46"/>
        <v>401용역매출</v>
      </c>
      <c r="H1019" s="214">
        <v>0</v>
      </c>
      <c r="I1019" s="214">
        <v>100000</v>
      </c>
      <c r="J1019" s="214">
        <f t="shared" si="47"/>
        <v>100000</v>
      </c>
      <c r="K1019" s="212" t="s">
        <v>6266</v>
      </c>
      <c r="L1019" s="213"/>
      <c r="M1019" s="212" t="s">
        <v>6185</v>
      </c>
    </row>
    <row r="1020" spans="1:13" ht="21" customHeight="1">
      <c r="A1020" s="213" t="s">
        <v>6786</v>
      </c>
      <c r="B1020" s="215">
        <f t="shared" si="45"/>
        <v>45722</v>
      </c>
      <c r="C1020" s="213" t="s">
        <v>4374</v>
      </c>
      <c r="D1020" s="213" t="s">
        <v>4369</v>
      </c>
      <c r="E1020" s="213" t="s">
        <v>333</v>
      </c>
      <c r="F1020" s="212" t="s">
        <v>4365</v>
      </c>
      <c r="G1020" s="212" t="str">
        <f t="shared" si="46"/>
        <v>101현금</v>
      </c>
      <c r="H1020" s="214">
        <v>110000</v>
      </c>
      <c r="I1020" s="214">
        <v>0</v>
      </c>
      <c r="J1020" s="214">
        <f t="shared" si="47"/>
        <v>-110000</v>
      </c>
      <c r="K1020" s="212" t="s">
        <v>6266</v>
      </c>
      <c r="L1020" s="213"/>
      <c r="M1020" s="212" t="s">
        <v>6185</v>
      </c>
    </row>
    <row r="1021" spans="1:13" ht="21" customHeight="1">
      <c r="A1021" s="213" t="s">
        <v>6786</v>
      </c>
      <c r="B1021" s="215">
        <f t="shared" si="45"/>
        <v>45722</v>
      </c>
      <c r="C1021" s="213" t="s">
        <v>6182</v>
      </c>
      <c r="D1021" s="213" t="s">
        <v>4366</v>
      </c>
      <c r="E1021" s="213" t="s">
        <v>6176</v>
      </c>
      <c r="F1021" s="212" t="s">
        <v>6177</v>
      </c>
      <c r="G1021" s="212" t="str">
        <f t="shared" si="46"/>
        <v>255부가세예수금</v>
      </c>
      <c r="H1021" s="214">
        <v>0</v>
      </c>
      <c r="I1021" s="214">
        <v>10000</v>
      </c>
      <c r="J1021" s="214">
        <f t="shared" si="47"/>
        <v>10000</v>
      </c>
      <c r="K1021" s="212" t="s">
        <v>6266</v>
      </c>
      <c r="L1021" s="213"/>
      <c r="M1021" s="212" t="s">
        <v>6185</v>
      </c>
    </row>
    <row r="1022" spans="1:13" ht="21" customHeight="1">
      <c r="A1022" s="213" t="s">
        <v>6786</v>
      </c>
      <c r="B1022" s="215">
        <f t="shared" si="45"/>
        <v>45722</v>
      </c>
      <c r="C1022" s="213" t="s">
        <v>6182</v>
      </c>
      <c r="D1022" s="213" t="s">
        <v>4366</v>
      </c>
      <c r="E1022" s="213" t="s">
        <v>334</v>
      </c>
      <c r="F1022" s="212" t="s">
        <v>6158</v>
      </c>
      <c r="G1022" s="212" t="str">
        <f t="shared" si="46"/>
        <v>401용역매출</v>
      </c>
      <c r="H1022" s="214">
        <v>0</v>
      </c>
      <c r="I1022" s="214">
        <v>100000</v>
      </c>
      <c r="J1022" s="214">
        <f t="shared" si="47"/>
        <v>100000</v>
      </c>
      <c r="K1022" s="212" t="s">
        <v>6266</v>
      </c>
      <c r="L1022" s="213"/>
      <c r="M1022" s="212" t="s">
        <v>6185</v>
      </c>
    </row>
    <row r="1023" spans="1:13" ht="21" customHeight="1">
      <c r="A1023" s="213" t="s">
        <v>6786</v>
      </c>
      <c r="B1023" s="215">
        <f t="shared" si="45"/>
        <v>45722</v>
      </c>
      <c r="C1023" s="213" t="s">
        <v>6182</v>
      </c>
      <c r="D1023" s="213" t="s">
        <v>4369</v>
      </c>
      <c r="E1023" s="213" t="s">
        <v>333</v>
      </c>
      <c r="F1023" s="212" t="s">
        <v>4365</v>
      </c>
      <c r="G1023" s="212" t="str">
        <f t="shared" si="46"/>
        <v>101현금</v>
      </c>
      <c r="H1023" s="214">
        <v>110000</v>
      </c>
      <c r="I1023" s="214">
        <v>0</v>
      </c>
      <c r="J1023" s="214">
        <f t="shared" si="47"/>
        <v>-110000</v>
      </c>
      <c r="K1023" s="212" t="s">
        <v>6266</v>
      </c>
      <c r="L1023" s="213"/>
      <c r="M1023" s="212" t="s">
        <v>6185</v>
      </c>
    </row>
    <row r="1024" spans="1:13" ht="21" customHeight="1">
      <c r="A1024" s="213" t="s">
        <v>6783</v>
      </c>
      <c r="B1024" s="215">
        <f t="shared" si="45"/>
        <v>45723</v>
      </c>
      <c r="C1024" s="213" t="s">
        <v>4373</v>
      </c>
      <c r="D1024" s="213" t="s">
        <v>4369</v>
      </c>
      <c r="E1024" s="213" t="s">
        <v>6157</v>
      </c>
      <c r="F1024" s="212" t="s">
        <v>6524</v>
      </c>
      <c r="G1024" s="212" t="str">
        <f t="shared" si="46"/>
        <v>813접대비(기업업무추진비)(판)</v>
      </c>
      <c r="H1024" s="214">
        <v>55500</v>
      </c>
      <c r="I1024" s="214">
        <v>0</v>
      </c>
      <c r="J1024" s="214">
        <f t="shared" si="47"/>
        <v>-55500</v>
      </c>
      <c r="K1024" s="212" t="s">
        <v>6785</v>
      </c>
      <c r="L1024" s="213" t="s">
        <v>1327</v>
      </c>
      <c r="M1024" s="212" t="s">
        <v>6356</v>
      </c>
    </row>
    <row r="1025" spans="1:13" ht="21" customHeight="1">
      <c r="A1025" s="213" t="s">
        <v>6783</v>
      </c>
      <c r="B1025" s="215">
        <f t="shared" si="45"/>
        <v>45723</v>
      </c>
      <c r="C1025" s="213" t="s">
        <v>4373</v>
      </c>
      <c r="D1025" s="213" t="s">
        <v>4366</v>
      </c>
      <c r="E1025" s="213" t="s">
        <v>333</v>
      </c>
      <c r="F1025" s="212" t="s">
        <v>4365</v>
      </c>
      <c r="G1025" s="212" t="str">
        <f t="shared" si="46"/>
        <v>101현금</v>
      </c>
      <c r="H1025" s="214">
        <v>0</v>
      </c>
      <c r="I1025" s="214">
        <v>55500</v>
      </c>
      <c r="J1025" s="214">
        <f t="shared" si="47"/>
        <v>55500</v>
      </c>
      <c r="K1025" s="212" t="s">
        <v>6370</v>
      </c>
      <c r="L1025" s="213"/>
      <c r="M1025" s="212"/>
    </row>
    <row r="1026" spans="1:13" ht="21" customHeight="1">
      <c r="A1026" s="213" t="s">
        <v>6783</v>
      </c>
      <c r="B1026" s="215">
        <f t="shared" ref="B1026:B1089" si="48">DATEVALUE(A1026)</f>
        <v>45723</v>
      </c>
      <c r="C1026" s="213" t="s">
        <v>4382</v>
      </c>
      <c r="D1026" s="213" t="s">
        <v>4366</v>
      </c>
      <c r="E1026" s="213" t="s">
        <v>333</v>
      </c>
      <c r="F1026" s="212" t="s">
        <v>4365</v>
      </c>
      <c r="G1026" s="212" t="str">
        <f t="shared" ref="G1026:G1089" si="49">E1026&amp;F1026</f>
        <v>101현금</v>
      </c>
      <c r="H1026" s="214">
        <v>0</v>
      </c>
      <c r="I1026" s="214">
        <v>28183</v>
      </c>
      <c r="J1026" s="214">
        <f t="shared" ref="J1026:J1089" si="50">I1026-H1026</f>
        <v>28183</v>
      </c>
      <c r="K1026" s="212" t="s">
        <v>6784</v>
      </c>
      <c r="L1026" s="213"/>
      <c r="M1026" s="212"/>
    </row>
    <row r="1027" spans="1:13" ht="21" customHeight="1">
      <c r="A1027" s="213" t="s">
        <v>6783</v>
      </c>
      <c r="B1027" s="215">
        <f t="shared" si="48"/>
        <v>45723</v>
      </c>
      <c r="C1027" s="213" t="s">
        <v>4382</v>
      </c>
      <c r="D1027" s="213" t="s">
        <v>4369</v>
      </c>
      <c r="E1027" s="213" t="s">
        <v>4499</v>
      </c>
      <c r="F1027" s="212" t="s">
        <v>6517</v>
      </c>
      <c r="G1027" s="212" t="str">
        <f t="shared" si="49"/>
        <v>811복리후생비(판)</v>
      </c>
      <c r="H1027" s="214">
        <v>28183</v>
      </c>
      <c r="I1027" s="214">
        <v>0</v>
      </c>
      <c r="J1027" s="214">
        <f t="shared" si="50"/>
        <v>-28183</v>
      </c>
      <c r="K1027" s="212" t="s">
        <v>6784</v>
      </c>
      <c r="L1027" s="213"/>
      <c r="M1027" s="212"/>
    </row>
    <row r="1028" spans="1:13" ht="21" customHeight="1">
      <c r="A1028" s="213" t="s">
        <v>6783</v>
      </c>
      <c r="B1028" s="215">
        <f t="shared" si="48"/>
        <v>45723</v>
      </c>
      <c r="C1028" s="213" t="s">
        <v>4367</v>
      </c>
      <c r="D1028" s="213" t="s">
        <v>4369</v>
      </c>
      <c r="E1028" s="213" t="s">
        <v>4371</v>
      </c>
      <c r="F1028" s="212" t="s">
        <v>4370</v>
      </c>
      <c r="G1028" s="212" t="str">
        <f t="shared" si="49"/>
        <v>135부가세대급금</v>
      </c>
      <c r="H1028" s="214">
        <v>1920</v>
      </c>
      <c r="I1028" s="214">
        <v>0</v>
      </c>
      <c r="J1028" s="214">
        <f t="shared" si="50"/>
        <v>-1920</v>
      </c>
      <c r="K1028" s="212" t="s">
        <v>4524</v>
      </c>
      <c r="L1028" s="213"/>
      <c r="M1028" s="212" t="s">
        <v>6199</v>
      </c>
    </row>
    <row r="1029" spans="1:13" ht="21" customHeight="1">
      <c r="A1029" s="213" t="s">
        <v>6783</v>
      </c>
      <c r="B1029" s="215">
        <f t="shared" si="48"/>
        <v>45723</v>
      </c>
      <c r="C1029" s="213" t="s">
        <v>4367</v>
      </c>
      <c r="D1029" s="213" t="s">
        <v>4369</v>
      </c>
      <c r="E1029" s="213" t="s">
        <v>4386</v>
      </c>
      <c r="F1029" s="212" t="s">
        <v>6420</v>
      </c>
      <c r="G1029" s="212" t="str">
        <f t="shared" si="49"/>
        <v>814통신비(판)</v>
      </c>
      <c r="H1029" s="214">
        <v>19200</v>
      </c>
      <c r="I1029" s="214">
        <v>0</v>
      </c>
      <c r="J1029" s="214">
        <f t="shared" si="50"/>
        <v>-19200</v>
      </c>
      <c r="K1029" s="212" t="s">
        <v>4524</v>
      </c>
      <c r="L1029" s="213"/>
      <c r="M1029" s="212" t="s">
        <v>6199</v>
      </c>
    </row>
    <row r="1030" spans="1:13" ht="21" customHeight="1">
      <c r="A1030" s="213" t="s">
        <v>6783</v>
      </c>
      <c r="B1030" s="215">
        <f t="shared" si="48"/>
        <v>45723</v>
      </c>
      <c r="C1030" s="213" t="s">
        <v>4367</v>
      </c>
      <c r="D1030" s="213" t="s">
        <v>4366</v>
      </c>
      <c r="E1030" s="213" t="s">
        <v>333</v>
      </c>
      <c r="F1030" s="212" t="s">
        <v>4365</v>
      </c>
      <c r="G1030" s="212" t="str">
        <f t="shared" si="49"/>
        <v>101현금</v>
      </c>
      <c r="H1030" s="214">
        <v>0</v>
      </c>
      <c r="I1030" s="214">
        <v>21120</v>
      </c>
      <c r="J1030" s="214">
        <f t="shared" si="50"/>
        <v>21120</v>
      </c>
      <c r="K1030" s="212" t="s">
        <v>4524</v>
      </c>
      <c r="L1030" s="213"/>
      <c r="M1030" s="212" t="s">
        <v>6199</v>
      </c>
    </row>
    <row r="1031" spans="1:13" ht="21" customHeight="1">
      <c r="A1031" s="213" t="s">
        <v>6783</v>
      </c>
      <c r="B1031" s="215">
        <f t="shared" si="48"/>
        <v>45723</v>
      </c>
      <c r="C1031" s="213" t="s">
        <v>4374</v>
      </c>
      <c r="D1031" s="213" t="s">
        <v>4369</v>
      </c>
      <c r="E1031" s="213" t="s">
        <v>4500</v>
      </c>
      <c r="F1031" s="212" t="s">
        <v>6418</v>
      </c>
      <c r="G1031" s="212" t="str">
        <f t="shared" si="49"/>
        <v>822차량유지비(판)</v>
      </c>
      <c r="H1031" s="214">
        <v>5500</v>
      </c>
      <c r="I1031" s="214">
        <v>0</v>
      </c>
      <c r="J1031" s="214">
        <f t="shared" si="50"/>
        <v>-5500</v>
      </c>
      <c r="K1031" s="212" t="s">
        <v>6284</v>
      </c>
      <c r="L1031" s="213"/>
      <c r="M1031" s="212" t="s">
        <v>6285</v>
      </c>
    </row>
    <row r="1032" spans="1:13" ht="21" customHeight="1">
      <c r="A1032" s="213" t="s">
        <v>6783</v>
      </c>
      <c r="B1032" s="215">
        <f t="shared" si="48"/>
        <v>45723</v>
      </c>
      <c r="C1032" s="213" t="s">
        <v>4374</v>
      </c>
      <c r="D1032" s="213" t="s">
        <v>4366</v>
      </c>
      <c r="E1032" s="213" t="s">
        <v>333</v>
      </c>
      <c r="F1032" s="212" t="s">
        <v>4365</v>
      </c>
      <c r="G1032" s="212" t="str">
        <f t="shared" si="49"/>
        <v>101현금</v>
      </c>
      <c r="H1032" s="214">
        <v>0</v>
      </c>
      <c r="I1032" s="214">
        <v>5500</v>
      </c>
      <c r="J1032" s="214">
        <f t="shared" si="50"/>
        <v>5500</v>
      </c>
      <c r="K1032" s="212" t="s">
        <v>6284</v>
      </c>
      <c r="L1032" s="213"/>
      <c r="M1032" s="212" t="s">
        <v>6285</v>
      </c>
    </row>
    <row r="1033" spans="1:13" ht="21" customHeight="1">
      <c r="A1033" s="217" t="s">
        <v>6782</v>
      </c>
      <c r="B1033" s="215">
        <f t="shared" si="48"/>
        <v>45724</v>
      </c>
      <c r="C1033" s="213" t="s">
        <v>4373</v>
      </c>
      <c r="D1033" s="213" t="s">
        <v>4369</v>
      </c>
      <c r="E1033" s="213" t="s">
        <v>4499</v>
      </c>
      <c r="F1033" s="212" t="s">
        <v>6517</v>
      </c>
      <c r="G1033" s="212" t="str">
        <f t="shared" si="49"/>
        <v>811복리후생비(판)</v>
      </c>
      <c r="H1033" s="214">
        <v>11000</v>
      </c>
      <c r="I1033" s="214">
        <v>0</v>
      </c>
      <c r="J1033" s="214">
        <f t="shared" si="50"/>
        <v>-11000</v>
      </c>
      <c r="K1033" s="212" t="s">
        <v>6600</v>
      </c>
      <c r="L1033" s="213"/>
      <c r="M1033" s="212"/>
    </row>
    <row r="1034" spans="1:13" ht="21" customHeight="1">
      <c r="A1034" s="217" t="s">
        <v>6782</v>
      </c>
      <c r="B1034" s="215">
        <f t="shared" si="48"/>
        <v>45724</v>
      </c>
      <c r="C1034" s="213" t="s">
        <v>4373</v>
      </c>
      <c r="D1034" s="213" t="s">
        <v>4366</v>
      </c>
      <c r="E1034" s="213" t="s">
        <v>333</v>
      </c>
      <c r="F1034" s="212" t="s">
        <v>4365</v>
      </c>
      <c r="G1034" s="212" t="str">
        <f t="shared" si="49"/>
        <v>101현금</v>
      </c>
      <c r="H1034" s="214">
        <v>0</v>
      </c>
      <c r="I1034" s="214">
        <v>11000</v>
      </c>
      <c r="J1034" s="214">
        <f t="shared" si="50"/>
        <v>11000</v>
      </c>
      <c r="K1034" s="212" t="s">
        <v>6369</v>
      </c>
      <c r="L1034" s="213"/>
      <c r="M1034" s="212"/>
    </row>
    <row r="1035" spans="1:13" ht="21" customHeight="1">
      <c r="A1035" s="217" t="s">
        <v>6782</v>
      </c>
      <c r="B1035" s="215">
        <f t="shared" si="48"/>
        <v>45724</v>
      </c>
      <c r="C1035" s="213" t="s">
        <v>4382</v>
      </c>
      <c r="D1035" s="213" t="s">
        <v>4369</v>
      </c>
      <c r="E1035" s="213" t="s">
        <v>4383</v>
      </c>
      <c r="F1035" s="212" t="s">
        <v>6525</v>
      </c>
      <c r="G1035" s="212" t="str">
        <f t="shared" si="49"/>
        <v>830소모품비(판)</v>
      </c>
      <c r="H1035" s="214">
        <v>11400</v>
      </c>
      <c r="I1035" s="214">
        <v>0</v>
      </c>
      <c r="J1035" s="214">
        <f t="shared" si="50"/>
        <v>-11400</v>
      </c>
      <c r="K1035" s="212" t="s">
        <v>6563</v>
      </c>
      <c r="L1035" s="213"/>
      <c r="M1035" s="212"/>
    </row>
    <row r="1036" spans="1:13" ht="21" customHeight="1">
      <c r="A1036" s="217" t="s">
        <v>6782</v>
      </c>
      <c r="B1036" s="215">
        <f t="shared" si="48"/>
        <v>45724</v>
      </c>
      <c r="C1036" s="213" t="s">
        <v>4382</v>
      </c>
      <c r="D1036" s="213" t="s">
        <v>4366</v>
      </c>
      <c r="E1036" s="213" t="s">
        <v>333</v>
      </c>
      <c r="F1036" s="212" t="s">
        <v>4365</v>
      </c>
      <c r="G1036" s="212" t="str">
        <f t="shared" si="49"/>
        <v>101현금</v>
      </c>
      <c r="H1036" s="214">
        <v>0</v>
      </c>
      <c r="I1036" s="214">
        <v>11400</v>
      </c>
      <c r="J1036" s="214">
        <f t="shared" si="50"/>
        <v>11400</v>
      </c>
      <c r="K1036" s="212" t="s">
        <v>6370</v>
      </c>
      <c r="L1036" s="213"/>
      <c r="M1036" s="212"/>
    </row>
    <row r="1037" spans="1:13" ht="21" customHeight="1">
      <c r="A1037" s="216" t="s">
        <v>6781</v>
      </c>
      <c r="B1037" s="215">
        <f t="shared" si="48"/>
        <v>45725</v>
      </c>
      <c r="C1037" s="213" t="s">
        <v>4373</v>
      </c>
      <c r="D1037" s="213" t="s">
        <v>4369</v>
      </c>
      <c r="E1037" s="213" t="s">
        <v>4383</v>
      </c>
      <c r="F1037" s="212" t="s">
        <v>6525</v>
      </c>
      <c r="G1037" s="212" t="str">
        <f t="shared" si="49"/>
        <v>830소모품비(판)</v>
      </c>
      <c r="H1037" s="214">
        <v>920</v>
      </c>
      <c r="I1037" s="214">
        <v>0</v>
      </c>
      <c r="J1037" s="214">
        <f t="shared" si="50"/>
        <v>-920</v>
      </c>
      <c r="K1037" s="212" t="s">
        <v>6576</v>
      </c>
      <c r="L1037" s="213"/>
      <c r="M1037" s="212"/>
    </row>
    <row r="1038" spans="1:13" ht="21" customHeight="1">
      <c r="A1038" s="216" t="s">
        <v>6781</v>
      </c>
      <c r="B1038" s="215">
        <f t="shared" si="48"/>
        <v>45725</v>
      </c>
      <c r="C1038" s="213" t="s">
        <v>4373</v>
      </c>
      <c r="D1038" s="213" t="s">
        <v>4366</v>
      </c>
      <c r="E1038" s="213" t="s">
        <v>333</v>
      </c>
      <c r="F1038" s="212" t="s">
        <v>4365</v>
      </c>
      <c r="G1038" s="212" t="str">
        <f t="shared" si="49"/>
        <v>101현금</v>
      </c>
      <c r="H1038" s="214">
        <v>0</v>
      </c>
      <c r="I1038" s="214">
        <v>920</v>
      </c>
      <c r="J1038" s="214">
        <f t="shared" si="50"/>
        <v>920</v>
      </c>
      <c r="K1038" s="212" t="s">
        <v>6371</v>
      </c>
      <c r="L1038" s="213"/>
      <c r="M1038" s="212"/>
    </row>
    <row r="1039" spans="1:13" ht="21" customHeight="1">
      <c r="A1039" s="216" t="s">
        <v>6781</v>
      </c>
      <c r="B1039" s="215">
        <f t="shared" si="48"/>
        <v>45725</v>
      </c>
      <c r="C1039" s="213" t="s">
        <v>4382</v>
      </c>
      <c r="D1039" s="213" t="s">
        <v>4369</v>
      </c>
      <c r="E1039" s="213" t="s">
        <v>4383</v>
      </c>
      <c r="F1039" s="212" t="s">
        <v>6525</v>
      </c>
      <c r="G1039" s="212" t="str">
        <f t="shared" si="49"/>
        <v>830소모품비(판)</v>
      </c>
      <c r="H1039" s="214">
        <v>1400</v>
      </c>
      <c r="I1039" s="214">
        <v>0</v>
      </c>
      <c r="J1039" s="214">
        <f t="shared" si="50"/>
        <v>-1400</v>
      </c>
      <c r="K1039" s="212" t="s">
        <v>6358</v>
      </c>
      <c r="L1039" s="213"/>
      <c r="M1039" s="212"/>
    </row>
    <row r="1040" spans="1:13" ht="21" customHeight="1">
      <c r="A1040" s="216" t="s">
        <v>6781</v>
      </c>
      <c r="B1040" s="215">
        <f t="shared" si="48"/>
        <v>45725</v>
      </c>
      <c r="C1040" s="213" t="s">
        <v>4382</v>
      </c>
      <c r="D1040" s="213" t="s">
        <v>4366</v>
      </c>
      <c r="E1040" s="213" t="s">
        <v>333</v>
      </c>
      <c r="F1040" s="212" t="s">
        <v>4365</v>
      </c>
      <c r="G1040" s="212" t="str">
        <f t="shared" si="49"/>
        <v>101현금</v>
      </c>
      <c r="H1040" s="214">
        <v>0</v>
      </c>
      <c r="I1040" s="214">
        <v>1400</v>
      </c>
      <c r="J1040" s="214">
        <f t="shared" si="50"/>
        <v>1400</v>
      </c>
      <c r="K1040" s="212" t="s">
        <v>6369</v>
      </c>
      <c r="L1040" s="213"/>
      <c r="M1040" s="212"/>
    </row>
    <row r="1041" spans="1:13" ht="21" customHeight="1">
      <c r="A1041" s="216" t="s">
        <v>6781</v>
      </c>
      <c r="B1041" s="215">
        <f t="shared" si="48"/>
        <v>45725</v>
      </c>
      <c r="C1041" s="213" t="s">
        <v>4367</v>
      </c>
      <c r="D1041" s="213" t="s">
        <v>4366</v>
      </c>
      <c r="E1041" s="213" t="s">
        <v>333</v>
      </c>
      <c r="F1041" s="212" t="s">
        <v>4365</v>
      </c>
      <c r="G1041" s="212" t="str">
        <f t="shared" si="49"/>
        <v>101현금</v>
      </c>
      <c r="H1041" s="214">
        <v>0</v>
      </c>
      <c r="I1041" s="214">
        <v>7000</v>
      </c>
      <c r="J1041" s="214">
        <f t="shared" si="50"/>
        <v>7000</v>
      </c>
      <c r="K1041" s="212" t="s">
        <v>6370</v>
      </c>
      <c r="L1041" s="213"/>
      <c r="M1041" s="212"/>
    </row>
    <row r="1042" spans="1:13" ht="21" customHeight="1">
      <c r="A1042" s="216" t="s">
        <v>6781</v>
      </c>
      <c r="B1042" s="215">
        <f t="shared" si="48"/>
        <v>45725</v>
      </c>
      <c r="C1042" s="213" t="s">
        <v>4367</v>
      </c>
      <c r="D1042" s="213" t="s">
        <v>4369</v>
      </c>
      <c r="E1042" s="213" t="s">
        <v>4383</v>
      </c>
      <c r="F1042" s="212" t="s">
        <v>6525</v>
      </c>
      <c r="G1042" s="212" t="str">
        <f t="shared" si="49"/>
        <v>830소모품비(판)</v>
      </c>
      <c r="H1042" s="214">
        <v>6364</v>
      </c>
      <c r="I1042" s="214">
        <v>0</v>
      </c>
      <c r="J1042" s="214">
        <f t="shared" si="50"/>
        <v>-6364</v>
      </c>
      <c r="K1042" s="212" t="s">
        <v>6202</v>
      </c>
      <c r="L1042" s="213" t="s">
        <v>6411</v>
      </c>
      <c r="M1042" s="212"/>
    </row>
    <row r="1043" spans="1:13" ht="21" customHeight="1">
      <c r="A1043" s="216" t="s">
        <v>6781</v>
      </c>
      <c r="B1043" s="215">
        <f t="shared" si="48"/>
        <v>45725</v>
      </c>
      <c r="C1043" s="213" t="s">
        <v>4367</v>
      </c>
      <c r="D1043" s="213" t="s">
        <v>4369</v>
      </c>
      <c r="E1043" s="213" t="s">
        <v>4371</v>
      </c>
      <c r="F1043" s="212" t="s">
        <v>4370</v>
      </c>
      <c r="G1043" s="212" t="str">
        <f t="shared" si="49"/>
        <v>135부가세대급금</v>
      </c>
      <c r="H1043" s="214">
        <v>636</v>
      </c>
      <c r="I1043" s="214">
        <v>0</v>
      </c>
      <c r="J1043" s="214">
        <f t="shared" si="50"/>
        <v>-636</v>
      </c>
      <c r="K1043" s="212" t="s">
        <v>6202</v>
      </c>
      <c r="L1043" s="213" t="s">
        <v>6411</v>
      </c>
      <c r="M1043" s="212"/>
    </row>
    <row r="1044" spans="1:13" ht="21" customHeight="1">
      <c r="A1044" s="213" t="s">
        <v>6776</v>
      </c>
      <c r="B1044" s="215">
        <f t="shared" si="48"/>
        <v>45726</v>
      </c>
      <c r="C1044" s="213" t="s">
        <v>4373</v>
      </c>
      <c r="D1044" s="213" t="s">
        <v>4369</v>
      </c>
      <c r="E1044" s="213" t="s">
        <v>4505</v>
      </c>
      <c r="F1044" s="212" t="s">
        <v>4506</v>
      </c>
      <c r="G1044" s="212" t="str">
        <f t="shared" si="49"/>
        <v>254예수금</v>
      </c>
      <c r="H1044" s="214">
        <v>68060</v>
      </c>
      <c r="I1044" s="214">
        <v>0</v>
      </c>
      <c r="J1044" s="214">
        <f t="shared" si="50"/>
        <v>-68060</v>
      </c>
      <c r="K1044" s="212" t="s">
        <v>4522</v>
      </c>
      <c r="L1044" s="213" t="s">
        <v>6411</v>
      </c>
      <c r="M1044" s="212" t="s">
        <v>6780</v>
      </c>
    </row>
    <row r="1045" spans="1:13" ht="21" customHeight="1">
      <c r="A1045" s="213" t="s">
        <v>6776</v>
      </c>
      <c r="B1045" s="215">
        <f t="shared" si="48"/>
        <v>45726</v>
      </c>
      <c r="C1045" s="213" t="s">
        <v>4373</v>
      </c>
      <c r="D1045" s="213" t="s">
        <v>4366</v>
      </c>
      <c r="E1045" s="213" t="s">
        <v>333</v>
      </c>
      <c r="F1045" s="212" t="s">
        <v>4365</v>
      </c>
      <c r="G1045" s="212" t="str">
        <f t="shared" si="49"/>
        <v>101현금</v>
      </c>
      <c r="H1045" s="214">
        <v>0</v>
      </c>
      <c r="I1045" s="214">
        <v>723720</v>
      </c>
      <c r="J1045" s="214">
        <f t="shared" si="50"/>
        <v>723720</v>
      </c>
      <c r="K1045" s="212" t="s">
        <v>4522</v>
      </c>
      <c r="L1045" s="213" t="s">
        <v>6411</v>
      </c>
      <c r="M1045" s="212" t="s">
        <v>6780</v>
      </c>
    </row>
    <row r="1046" spans="1:13" ht="21" customHeight="1">
      <c r="A1046" s="213" t="s">
        <v>6776</v>
      </c>
      <c r="B1046" s="215">
        <f t="shared" si="48"/>
        <v>45726</v>
      </c>
      <c r="C1046" s="213" t="s">
        <v>4373</v>
      </c>
      <c r="D1046" s="213" t="s">
        <v>4369</v>
      </c>
      <c r="E1046" s="213" t="s">
        <v>4509</v>
      </c>
      <c r="F1046" s="212" t="s">
        <v>6491</v>
      </c>
      <c r="G1046" s="212" t="str">
        <f t="shared" si="49"/>
        <v>821보험료(판)</v>
      </c>
      <c r="H1046" s="214">
        <v>655660</v>
      </c>
      <c r="I1046" s="214">
        <v>0</v>
      </c>
      <c r="J1046" s="214">
        <f t="shared" si="50"/>
        <v>-655660</v>
      </c>
      <c r="K1046" s="212" t="s">
        <v>4522</v>
      </c>
      <c r="L1046" s="213" t="s">
        <v>6411</v>
      </c>
      <c r="M1046" s="212" t="s">
        <v>6780</v>
      </c>
    </row>
    <row r="1047" spans="1:13" ht="21" customHeight="1">
      <c r="A1047" s="213" t="s">
        <v>6776</v>
      </c>
      <c r="B1047" s="215">
        <f t="shared" si="48"/>
        <v>45726</v>
      </c>
      <c r="C1047" s="213" t="s">
        <v>4382</v>
      </c>
      <c r="D1047" s="213" t="s">
        <v>4369</v>
      </c>
      <c r="E1047" s="213" t="s">
        <v>4505</v>
      </c>
      <c r="F1047" s="212" t="s">
        <v>4506</v>
      </c>
      <c r="G1047" s="212" t="str">
        <f t="shared" si="49"/>
        <v>254예수금</v>
      </c>
      <c r="H1047" s="214">
        <v>149400</v>
      </c>
      <c r="I1047" s="214">
        <v>0</v>
      </c>
      <c r="J1047" s="214">
        <f t="shared" si="50"/>
        <v>-149400</v>
      </c>
      <c r="K1047" s="212" t="s">
        <v>4523</v>
      </c>
      <c r="L1047" s="213" t="s">
        <v>6411</v>
      </c>
      <c r="M1047" s="212" t="s">
        <v>6779</v>
      </c>
    </row>
    <row r="1048" spans="1:13" ht="21" customHeight="1">
      <c r="A1048" s="213" t="s">
        <v>6776</v>
      </c>
      <c r="B1048" s="215">
        <f t="shared" si="48"/>
        <v>45726</v>
      </c>
      <c r="C1048" s="213" t="s">
        <v>4382</v>
      </c>
      <c r="D1048" s="213" t="s">
        <v>4366</v>
      </c>
      <c r="E1048" s="213" t="s">
        <v>333</v>
      </c>
      <c r="F1048" s="212" t="s">
        <v>4365</v>
      </c>
      <c r="G1048" s="212" t="str">
        <f t="shared" si="49"/>
        <v>101현금</v>
      </c>
      <c r="H1048" s="214">
        <v>0</v>
      </c>
      <c r="I1048" s="214">
        <v>298800</v>
      </c>
      <c r="J1048" s="214">
        <f t="shared" si="50"/>
        <v>298800</v>
      </c>
      <c r="K1048" s="212" t="s">
        <v>4523</v>
      </c>
      <c r="L1048" s="213" t="s">
        <v>6411</v>
      </c>
      <c r="M1048" s="212" t="s">
        <v>6779</v>
      </c>
    </row>
    <row r="1049" spans="1:13" ht="21" customHeight="1">
      <c r="A1049" s="213" t="s">
        <v>6776</v>
      </c>
      <c r="B1049" s="215">
        <f t="shared" si="48"/>
        <v>45726</v>
      </c>
      <c r="C1049" s="213" t="s">
        <v>4382</v>
      </c>
      <c r="D1049" s="213" t="s">
        <v>4369</v>
      </c>
      <c r="E1049" s="213" t="s">
        <v>4507</v>
      </c>
      <c r="F1049" s="212" t="s">
        <v>6468</v>
      </c>
      <c r="G1049" s="212" t="str">
        <f t="shared" si="49"/>
        <v>817세금과공과금(판)</v>
      </c>
      <c r="H1049" s="214">
        <v>149400</v>
      </c>
      <c r="I1049" s="214">
        <v>0</v>
      </c>
      <c r="J1049" s="214">
        <f t="shared" si="50"/>
        <v>-149400</v>
      </c>
      <c r="K1049" s="212" t="s">
        <v>4523</v>
      </c>
      <c r="L1049" s="213" t="s">
        <v>6411</v>
      </c>
      <c r="M1049" s="212" t="s">
        <v>6779</v>
      </c>
    </row>
    <row r="1050" spans="1:13" ht="21" customHeight="1">
      <c r="A1050" s="213" t="s">
        <v>6776</v>
      </c>
      <c r="B1050" s="215">
        <f t="shared" si="48"/>
        <v>45726</v>
      </c>
      <c r="C1050" s="213" t="s">
        <v>4381</v>
      </c>
      <c r="D1050" s="213" t="s">
        <v>4369</v>
      </c>
      <c r="E1050" s="213" t="s">
        <v>4505</v>
      </c>
      <c r="F1050" s="212" t="s">
        <v>4506</v>
      </c>
      <c r="G1050" s="212" t="str">
        <f t="shared" si="49"/>
        <v>254예수금</v>
      </c>
      <c r="H1050" s="214">
        <v>6300</v>
      </c>
      <c r="I1050" s="214">
        <v>0</v>
      </c>
      <c r="J1050" s="214">
        <f t="shared" si="50"/>
        <v>-6300</v>
      </c>
      <c r="K1050" s="212" t="s">
        <v>4508</v>
      </c>
      <c r="L1050" s="213" t="s">
        <v>6411</v>
      </c>
      <c r="M1050" s="212" t="s">
        <v>6778</v>
      </c>
    </row>
    <row r="1051" spans="1:13" ht="21" customHeight="1">
      <c r="A1051" s="213" t="s">
        <v>6776</v>
      </c>
      <c r="B1051" s="215">
        <f t="shared" si="48"/>
        <v>45726</v>
      </c>
      <c r="C1051" s="213" t="s">
        <v>4381</v>
      </c>
      <c r="D1051" s="213" t="s">
        <v>4366</v>
      </c>
      <c r="E1051" s="213" t="s">
        <v>333</v>
      </c>
      <c r="F1051" s="212" t="s">
        <v>4365</v>
      </c>
      <c r="G1051" s="212" t="str">
        <f t="shared" si="49"/>
        <v>101현금</v>
      </c>
      <c r="H1051" s="214">
        <v>0</v>
      </c>
      <c r="I1051" s="214">
        <v>14350</v>
      </c>
      <c r="J1051" s="214">
        <f t="shared" si="50"/>
        <v>14350</v>
      </c>
      <c r="K1051" s="212" t="s">
        <v>4508</v>
      </c>
      <c r="L1051" s="213" t="s">
        <v>6411</v>
      </c>
      <c r="M1051" s="212" t="s">
        <v>6778</v>
      </c>
    </row>
    <row r="1052" spans="1:13" ht="21" customHeight="1">
      <c r="A1052" s="213" t="s">
        <v>6776</v>
      </c>
      <c r="B1052" s="215">
        <f t="shared" si="48"/>
        <v>45726</v>
      </c>
      <c r="C1052" s="213" t="s">
        <v>4381</v>
      </c>
      <c r="D1052" s="213" t="s">
        <v>4369</v>
      </c>
      <c r="E1052" s="213" t="s">
        <v>4509</v>
      </c>
      <c r="F1052" s="212" t="s">
        <v>6491</v>
      </c>
      <c r="G1052" s="212" t="str">
        <f t="shared" si="49"/>
        <v>821보험료(판)</v>
      </c>
      <c r="H1052" s="214">
        <v>8050</v>
      </c>
      <c r="I1052" s="214">
        <v>0</v>
      </c>
      <c r="J1052" s="214">
        <f t="shared" si="50"/>
        <v>-8050</v>
      </c>
      <c r="K1052" s="212" t="s">
        <v>4508</v>
      </c>
      <c r="L1052" s="213" t="s">
        <v>6411</v>
      </c>
      <c r="M1052" s="212" t="s">
        <v>6778</v>
      </c>
    </row>
    <row r="1053" spans="1:13" ht="21" customHeight="1">
      <c r="A1053" s="213" t="s">
        <v>6776</v>
      </c>
      <c r="B1053" s="215">
        <f t="shared" si="48"/>
        <v>45726</v>
      </c>
      <c r="C1053" s="213" t="s">
        <v>4379</v>
      </c>
      <c r="D1053" s="213" t="s">
        <v>4369</v>
      </c>
      <c r="E1053" s="213" t="s">
        <v>4499</v>
      </c>
      <c r="F1053" s="212" t="s">
        <v>6517</v>
      </c>
      <c r="G1053" s="212" t="str">
        <f t="shared" si="49"/>
        <v>811복리후생비(판)</v>
      </c>
      <c r="H1053" s="214">
        <v>3500</v>
      </c>
      <c r="I1053" s="214">
        <v>0</v>
      </c>
      <c r="J1053" s="214">
        <f t="shared" si="50"/>
        <v>-3500</v>
      </c>
      <c r="K1053" s="212" t="s">
        <v>6539</v>
      </c>
      <c r="L1053" s="213"/>
      <c r="M1053" s="212"/>
    </row>
    <row r="1054" spans="1:13" ht="21" customHeight="1">
      <c r="A1054" s="213" t="s">
        <v>6776</v>
      </c>
      <c r="B1054" s="215">
        <f t="shared" si="48"/>
        <v>45726</v>
      </c>
      <c r="C1054" s="213" t="s">
        <v>4379</v>
      </c>
      <c r="D1054" s="213" t="s">
        <v>4366</v>
      </c>
      <c r="E1054" s="213" t="s">
        <v>333</v>
      </c>
      <c r="F1054" s="212" t="s">
        <v>4365</v>
      </c>
      <c r="G1054" s="212" t="str">
        <f t="shared" si="49"/>
        <v>101현금</v>
      </c>
      <c r="H1054" s="214">
        <v>0</v>
      </c>
      <c r="I1054" s="214">
        <v>3500</v>
      </c>
      <c r="J1054" s="214">
        <f t="shared" si="50"/>
        <v>3500</v>
      </c>
      <c r="K1054" s="212" t="s">
        <v>6369</v>
      </c>
      <c r="L1054" s="213"/>
      <c r="M1054" s="212"/>
    </row>
    <row r="1055" spans="1:13" ht="21" customHeight="1">
      <c r="A1055" s="213" t="s">
        <v>6776</v>
      </c>
      <c r="B1055" s="215">
        <f t="shared" si="48"/>
        <v>45726</v>
      </c>
      <c r="C1055" s="213" t="s">
        <v>4385</v>
      </c>
      <c r="D1055" s="213" t="s">
        <v>4369</v>
      </c>
      <c r="E1055" s="213" t="s">
        <v>4383</v>
      </c>
      <c r="F1055" s="212" t="s">
        <v>6525</v>
      </c>
      <c r="G1055" s="212" t="str">
        <f t="shared" si="49"/>
        <v>830소모품비(판)</v>
      </c>
      <c r="H1055" s="214">
        <v>9900</v>
      </c>
      <c r="I1055" s="214">
        <v>0</v>
      </c>
      <c r="J1055" s="214">
        <f t="shared" si="50"/>
        <v>-9900</v>
      </c>
      <c r="K1055" s="212" t="s">
        <v>6576</v>
      </c>
      <c r="L1055" s="213"/>
      <c r="M1055" s="212"/>
    </row>
    <row r="1056" spans="1:13" ht="21" customHeight="1">
      <c r="A1056" s="213" t="s">
        <v>6776</v>
      </c>
      <c r="B1056" s="215">
        <f t="shared" si="48"/>
        <v>45726</v>
      </c>
      <c r="C1056" s="213" t="s">
        <v>4385</v>
      </c>
      <c r="D1056" s="213" t="s">
        <v>4366</v>
      </c>
      <c r="E1056" s="213" t="s">
        <v>333</v>
      </c>
      <c r="F1056" s="212" t="s">
        <v>4365</v>
      </c>
      <c r="G1056" s="212" t="str">
        <f t="shared" si="49"/>
        <v>101현금</v>
      </c>
      <c r="H1056" s="214">
        <v>0</v>
      </c>
      <c r="I1056" s="214">
        <v>9900</v>
      </c>
      <c r="J1056" s="214">
        <f t="shared" si="50"/>
        <v>9900</v>
      </c>
      <c r="K1056" s="212" t="s">
        <v>6371</v>
      </c>
      <c r="L1056" s="213"/>
      <c r="M1056" s="212"/>
    </row>
    <row r="1057" spans="1:13" ht="21" customHeight="1">
      <c r="A1057" s="213" t="s">
        <v>6776</v>
      </c>
      <c r="B1057" s="215">
        <f t="shared" si="48"/>
        <v>45726</v>
      </c>
      <c r="C1057" s="213" t="s">
        <v>4501</v>
      </c>
      <c r="D1057" s="213" t="s">
        <v>4366</v>
      </c>
      <c r="E1057" s="213" t="s">
        <v>333</v>
      </c>
      <c r="F1057" s="212" t="s">
        <v>4365</v>
      </c>
      <c r="G1057" s="212" t="str">
        <f t="shared" si="49"/>
        <v>101현금</v>
      </c>
      <c r="H1057" s="214">
        <v>0</v>
      </c>
      <c r="I1057" s="214">
        <v>600</v>
      </c>
      <c r="J1057" s="214">
        <f t="shared" si="50"/>
        <v>600</v>
      </c>
      <c r="K1057" s="212" t="s">
        <v>6369</v>
      </c>
      <c r="L1057" s="213"/>
      <c r="M1057" s="212"/>
    </row>
    <row r="1058" spans="1:13" ht="21" customHeight="1">
      <c r="A1058" s="213" t="s">
        <v>6776</v>
      </c>
      <c r="B1058" s="215">
        <f t="shared" si="48"/>
        <v>45726</v>
      </c>
      <c r="C1058" s="213" t="s">
        <v>4501</v>
      </c>
      <c r="D1058" s="213" t="s">
        <v>4369</v>
      </c>
      <c r="E1058" s="213" t="s">
        <v>4383</v>
      </c>
      <c r="F1058" s="212" t="s">
        <v>6525</v>
      </c>
      <c r="G1058" s="212" t="str">
        <f t="shared" si="49"/>
        <v>830소모품비(판)</v>
      </c>
      <c r="H1058" s="214">
        <v>600</v>
      </c>
      <c r="I1058" s="214">
        <v>0</v>
      </c>
      <c r="J1058" s="214">
        <f t="shared" si="50"/>
        <v>-600</v>
      </c>
      <c r="K1058" s="212" t="s">
        <v>6777</v>
      </c>
      <c r="L1058" s="213"/>
      <c r="M1058" s="212"/>
    </row>
    <row r="1059" spans="1:13" ht="21" customHeight="1">
      <c r="A1059" s="213" t="s">
        <v>6776</v>
      </c>
      <c r="B1059" s="215">
        <f t="shared" si="48"/>
        <v>45726</v>
      </c>
      <c r="C1059" s="213" t="s">
        <v>4502</v>
      </c>
      <c r="D1059" s="213" t="s">
        <v>4369</v>
      </c>
      <c r="E1059" s="213" t="s">
        <v>4500</v>
      </c>
      <c r="F1059" s="212" t="s">
        <v>6418</v>
      </c>
      <c r="G1059" s="212" t="str">
        <f t="shared" si="49"/>
        <v>822차량유지비(판)</v>
      </c>
      <c r="H1059" s="214">
        <v>50000</v>
      </c>
      <c r="I1059" s="214">
        <v>0</v>
      </c>
      <c r="J1059" s="214">
        <f t="shared" si="50"/>
        <v>-50000</v>
      </c>
      <c r="K1059" s="212" t="s">
        <v>6272</v>
      </c>
      <c r="L1059" s="213"/>
      <c r="M1059" s="212"/>
    </row>
    <row r="1060" spans="1:13" ht="21" customHeight="1">
      <c r="A1060" s="213" t="s">
        <v>6776</v>
      </c>
      <c r="B1060" s="215">
        <f t="shared" si="48"/>
        <v>45726</v>
      </c>
      <c r="C1060" s="213" t="s">
        <v>4502</v>
      </c>
      <c r="D1060" s="213" t="s">
        <v>4366</v>
      </c>
      <c r="E1060" s="213" t="s">
        <v>333</v>
      </c>
      <c r="F1060" s="212" t="s">
        <v>4365</v>
      </c>
      <c r="G1060" s="212" t="str">
        <f t="shared" si="49"/>
        <v>101현금</v>
      </c>
      <c r="H1060" s="214">
        <v>0</v>
      </c>
      <c r="I1060" s="214">
        <v>50000</v>
      </c>
      <c r="J1060" s="214">
        <f t="shared" si="50"/>
        <v>50000</v>
      </c>
      <c r="K1060" s="212" t="s">
        <v>6371</v>
      </c>
      <c r="L1060" s="213"/>
      <c r="M1060" s="212"/>
    </row>
    <row r="1061" spans="1:13" ht="21" customHeight="1">
      <c r="A1061" s="213" t="s">
        <v>6776</v>
      </c>
      <c r="B1061" s="215">
        <f t="shared" si="48"/>
        <v>45726</v>
      </c>
      <c r="C1061" s="213" t="s">
        <v>4503</v>
      </c>
      <c r="D1061" s="213" t="s">
        <v>4369</v>
      </c>
      <c r="E1061" s="213" t="s">
        <v>4386</v>
      </c>
      <c r="F1061" s="212" t="s">
        <v>6420</v>
      </c>
      <c r="G1061" s="212" t="str">
        <f t="shared" si="49"/>
        <v>814통신비(판)</v>
      </c>
      <c r="H1061" s="214">
        <v>5500</v>
      </c>
      <c r="I1061" s="214">
        <v>0</v>
      </c>
      <c r="J1061" s="214">
        <f t="shared" si="50"/>
        <v>-5500</v>
      </c>
      <c r="K1061" s="212" t="s">
        <v>4524</v>
      </c>
      <c r="L1061" s="213"/>
      <c r="M1061" s="212"/>
    </row>
    <row r="1062" spans="1:13" ht="21" customHeight="1">
      <c r="A1062" s="213" t="s">
        <v>6776</v>
      </c>
      <c r="B1062" s="215">
        <f t="shared" si="48"/>
        <v>45726</v>
      </c>
      <c r="C1062" s="213" t="s">
        <v>4503</v>
      </c>
      <c r="D1062" s="213" t="s">
        <v>4366</v>
      </c>
      <c r="E1062" s="213" t="s">
        <v>333</v>
      </c>
      <c r="F1062" s="212" t="s">
        <v>4365</v>
      </c>
      <c r="G1062" s="212" t="str">
        <f t="shared" si="49"/>
        <v>101현금</v>
      </c>
      <c r="H1062" s="214">
        <v>0</v>
      </c>
      <c r="I1062" s="214">
        <v>5500</v>
      </c>
      <c r="J1062" s="214">
        <f t="shared" si="50"/>
        <v>5500</v>
      </c>
      <c r="K1062" s="212" t="s">
        <v>6369</v>
      </c>
      <c r="L1062" s="213"/>
      <c r="M1062" s="212"/>
    </row>
    <row r="1063" spans="1:13" ht="21" customHeight="1">
      <c r="A1063" s="213" t="s">
        <v>6776</v>
      </c>
      <c r="B1063" s="215">
        <f t="shared" si="48"/>
        <v>45726</v>
      </c>
      <c r="C1063" s="213" t="s">
        <v>4367</v>
      </c>
      <c r="D1063" s="213" t="s">
        <v>4366</v>
      </c>
      <c r="E1063" s="213" t="s">
        <v>6176</v>
      </c>
      <c r="F1063" s="212" t="s">
        <v>6177</v>
      </c>
      <c r="G1063" s="212" t="str">
        <f t="shared" si="49"/>
        <v>255부가세예수금</v>
      </c>
      <c r="H1063" s="214">
        <v>0</v>
      </c>
      <c r="I1063" s="214">
        <v>10000</v>
      </c>
      <c r="J1063" s="214">
        <f t="shared" si="50"/>
        <v>10000</v>
      </c>
      <c r="K1063" s="212" t="s">
        <v>6235</v>
      </c>
      <c r="L1063" s="213"/>
      <c r="M1063" s="212" t="s">
        <v>6185</v>
      </c>
    </row>
    <row r="1064" spans="1:13" ht="21" customHeight="1">
      <c r="A1064" s="213" t="s">
        <v>6776</v>
      </c>
      <c r="B1064" s="215">
        <f t="shared" si="48"/>
        <v>45726</v>
      </c>
      <c r="C1064" s="213" t="s">
        <v>4367</v>
      </c>
      <c r="D1064" s="213" t="s">
        <v>4366</v>
      </c>
      <c r="E1064" s="213" t="s">
        <v>334</v>
      </c>
      <c r="F1064" s="212" t="s">
        <v>6158</v>
      </c>
      <c r="G1064" s="212" t="str">
        <f t="shared" si="49"/>
        <v>401용역매출</v>
      </c>
      <c r="H1064" s="214">
        <v>0</v>
      </c>
      <c r="I1064" s="214">
        <v>100000</v>
      </c>
      <c r="J1064" s="214">
        <f t="shared" si="50"/>
        <v>100000</v>
      </c>
      <c r="K1064" s="212" t="s">
        <v>6235</v>
      </c>
      <c r="L1064" s="213"/>
      <c r="M1064" s="212" t="s">
        <v>6185</v>
      </c>
    </row>
    <row r="1065" spans="1:13" ht="21" customHeight="1">
      <c r="A1065" s="213" t="s">
        <v>6776</v>
      </c>
      <c r="B1065" s="215">
        <f t="shared" si="48"/>
        <v>45726</v>
      </c>
      <c r="C1065" s="213" t="s">
        <v>4367</v>
      </c>
      <c r="D1065" s="213" t="s">
        <v>4369</v>
      </c>
      <c r="E1065" s="213" t="s">
        <v>333</v>
      </c>
      <c r="F1065" s="212" t="s">
        <v>4365</v>
      </c>
      <c r="G1065" s="212" t="str">
        <f t="shared" si="49"/>
        <v>101현금</v>
      </c>
      <c r="H1065" s="214">
        <v>110000</v>
      </c>
      <c r="I1065" s="214">
        <v>0</v>
      </c>
      <c r="J1065" s="214">
        <f t="shared" si="50"/>
        <v>-110000</v>
      </c>
      <c r="K1065" s="212" t="s">
        <v>6235</v>
      </c>
      <c r="L1065" s="213"/>
      <c r="M1065" s="212" t="s">
        <v>6185</v>
      </c>
    </row>
    <row r="1066" spans="1:13" ht="21" customHeight="1">
      <c r="A1066" s="213" t="s">
        <v>6776</v>
      </c>
      <c r="B1066" s="215">
        <f t="shared" si="48"/>
        <v>45726</v>
      </c>
      <c r="C1066" s="213" t="s">
        <v>4374</v>
      </c>
      <c r="D1066" s="213" t="s">
        <v>4369</v>
      </c>
      <c r="E1066" s="213" t="s">
        <v>4371</v>
      </c>
      <c r="F1066" s="212" t="s">
        <v>4370</v>
      </c>
      <c r="G1066" s="212" t="str">
        <f t="shared" si="49"/>
        <v>135부가세대급금</v>
      </c>
      <c r="H1066" s="214">
        <v>5000</v>
      </c>
      <c r="I1066" s="214">
        <v>0</v>
      </c>
      <c r="J1066" s="214">
        <f t="shared" si="50"/>
        <v>-5000</v>
      </c>
      <c r="K1066" s="212" t="s">
        <v>6197</v>
      </c>
      <c r="L1066" s="213"/>
      <c r="M1066" s="212"/>
    </row>
    <row r="1067" spans="1:13" ht="21" customHeight="1">
      <c r="A1067" s="213" t="s">
        <v>6776</v>
      </c>
      <c r="B1067" s="215">
        <f t="shared" si="48"/>
        <v>45726</v>
      </c>
      <c r="C1067" s="213" t="s">
        <v>4374</v>
      </c>
      <c r="D1067" s="213" t="s">
        <v>4369</v>
      </c>
      <c r="E1067" s="213" t="s">
        <v>4383</v>
      </c>
      <c r="F1067" s="212" t="s">
        <v>6525</v>
      </c>
      <c r="G1067" s="212" t="str">
        <f t="shared" si="49"/>
        <v>830소모품비(판)</v>
      </c>
      <c r="H1067" s="214">
        <v>50000</v>
      </c>
      <c r="I1067" s="214">
        <v>0</v>
      </c>
      <c r="J1067" s="214">
        <f t="shared" si="50"/>
        <v>-50000</v>
      </c>
      <c r="K1067" s="212" t="s">
        <v>6197</v>
      </c>
      <c r="L1067" s="213"/>
      <c r="M1067" s="212"/>
    </row>
    <row r="1068" spans="1:13" ht="21" customHeight="1">
      <c r="A1068" s="213" t="s">
        <v>6776</v>
      </c>
      <c r="B1068" s="215">
        <f t="shared" si="48"/>
        <v>45726</v>
      </c>
      <c r="C1068" s="213" t="s">
        <v>4374</v>
      </c>
      <c r="D1068" s="213" t="s">
        <v>4366</v>
      </c>
      <c r="E1068" s="213" t="s">
        <v>333</v>
      </c>
      <c r="F1068" s="212" t="s">
        <v>4365</v>
      </c>
      <c r="G1068" s="212" t="str">
        <f t="shared" si="49"/>
        <v>101현금</v>
      </c>
      <c r="H1068" s="214">
        <v>0</v>
      </c>
      <c r="I1068" s="214">
        <v>55000</v>
      </c>
      <c r="J1068" s="214">
        <f t="shared" si="50"/>
        <v>55000</v>
      </c>
      <c r="K1068" s="212" t="s">
        <v>6371</v>
      </c>
      <c r="L1068" s="213"/>
      <c r="M1068" s="212"/>
    </row>
    <row r="1069" spans="1:13" ht="21" customHeight="1">
      <c r="A1069" s="213" t="s">
        <v>6775</v>
      </c>
      <c r="B1069" s="215">
        <f t="shared" si="48"/>
        <v>45727</v>
      </c>
      <c r="C1069" s="213" t="s">
        <v>4373</v>
      </c>
      <c r="D1069" s="213" t="s">
        <v>4369</v>
      </c>
      <c r="E1069" s="213" t="s">
        <v>4499</v>
      </c>
      <c r="F1069" s="212" t="s">
        <v>6517</v>
      </c>
      <c r="G1069" s="212" t="str">
        <f t="shared" si="49"/>
        <v>811복리후생비(판)</v>
      </c>
      <c r="H1069" s="214">
        <v>12000</v>
      </c>
      <c r="I1069" s="214">
        <v>0</v>
      </c>
      <c r="J1069" s="214">
        <f t="shared" si="50"/>
        <v>-12000</v>
      </c>
      <c r="K1069" s="212" t="s">
        <v>6539</v>
      </c>
      <c r="L1069" s="213"/>
      <c r="M1069" s="212"/>
    </row>
    <row r="1070" spans="1:13" ht="21" customHeight="1">
      <c r="A1070" s="213" t="s">
        <v>6775</v>
      </c>
      <c r="B1070" s="215">
        <f t="shared" si="48"/>
        <v>45727</v>
      </c>
      <c r="C1070" s="213" t="s">
        <v>4373</v>
      </c>
      <c r="D1070" s="213" t="s">
        <v>4366</v>
      </c>
      <c r="E1070" s="213" t="s">
        <v>333</v>
      </c>
      <c r="F1070" s="212" t="s">
        <v>4365</v>
      </c>
      <c r="G1070" s="212" t="str">
        <f t="shared" si="49"/>
        <v>101현금</v>
      </c>
      <c r="H1070" s="214">
        <v>0</v>
      </c>
      <c r="I1070" s="214">
        <v>12000</v>
      </c>
      <c r="J1070" s="214">
        <f t="shared" si="50"/>
        <v>12000</v>
      </c>
      <c r="K1070" s="212" t="s">
        <v>6369</v>
      </c>
      <c r="L1070" s="213"/>
      <c r="M1070" s="212"/>
    </row>
    <row r="1071" spans="1:13" ht="21" customHeight="1">
      <c r="A1071" s="213" t="s">
        <v>6775</v>
      </c>
      <c r="B1071" s="215">
        <f t="shared" si="48"/>
        <v>45727</v>
      </c>
      <c r="C1071" s="213" t="s">
        <v>4382</v>
      </c>
      <c r="D1071" s="213" t="s">
        <v>4369</v>
      </c>
      <c r="E1071" s="213" t="s">
        <v>4499</v>
      </c>
      <c r="F1071" s="212" t="s">
        <v>6517</v>
      </c>
      <c r="G1071" s="212" t="str">
        <f t="shared" si="49"/>
        <v>811복리후생비(판)</v>
      </c>
      <c r="H1071" s="214">
        <v>22000</v>
      </c>
      <c r="I1071" s="214">
        <v>0</v>
      </c>
      <c r="J1071" s="214">
        <f t="shared" si="50"/>
        <v>-22000</v>
      </c>
      <c r="K1071" s="212" t="s">
        <v>6600</v>
      </c>
      <c r="L1071" s="213"/>
      <c r="M1071" s="212"/>
    </row>
    <row r="1072" spans="1:13" ht="21" customHeight="1">
      <c r="A1072" s="213" t="s">
        <v>6775</v>
      </c>
      <c r="B1072" s="215">
        <f t="shared" si="48"/>
        <v>45727</v>
      </c>
      <c r="C1072" s="213" t="s">
        <v>4382</v>
      </c>
      <c r="D1072" s="213" t="s">
        <v>4366</v>
      </c>
      <c r="E1072" s="213" t="s">
        <v>333</v>
      </c>
      <c r="F1072" s="212" t="s">
        <v>4365</v>
      </c>
      <c r="G1072" s="212" t="str">
        <f t="shared" si="49"/>
        <v>101현금</v>
      </c>
      <c r="H1072" s="214">
        <v>0</v>
      </c>
      <c r="I1072" s="214">
        <v>22000</v>
      </c>
      <c r="J1072" s="214">
        <f t="shared" si="50"/>
        <v>22000</v>
      </c>
      <c r="K1072" s="212" t="s">
        <v>6369</v>
      </c>
      <c r="L1072" s="213"/>
      <c r="M1072" s="212"/>
    </row>
    <row r="1073" spans="1:13" ht="21" customHeight="1">
      <c r="A1073" s="213" t="s">
        <v>6775</v>
      </c>
      <c r="B1073" s="215">
        <f t="shared" si="48"/>
        <v>45727</v>
      </c>
      <c r="C1073" s="213" t="s">
        <v>4381</v>
      </c>
      <c r="D1073" s="213" t="s">
        <v>4369</v>
      </c>
      <c r="E1073" s="213" t="s">
        <v>4380</v>
      </c>
      <c r="F1073" s="212" t="s">
        <v>6515</v>
      </c>
      <c r="G1073" s="212" t="str">
        <f t="shared" si="49"/>
        <v>812여비교통비(판)</v>
      </c>
      <c r="H1073" s="214">
        <v>300</v>
      </c>
      <c r="I1073" s="214">
        <v>0</v>
      </c>
      <c r="J1073" s="214">
        <f t="shared" si="50"/>
        <v>-300</v>
      </c>
      <c r="K1073" s="212" t="s">
        <v>6164</v>
      </c>
      <c r="L1073" s="213"/>
      <c r="M1073" s="212"/>
    </row>
    <row r="1074" spans="1:13" ht="21" customHeight="1">
      <c r="A1074" s="213" t="s">
        <v>6775</v>
      </c>
      <c r="B1074" s="215">
        <f t="shared" si="48"/>
        <v>45727</v>
      </c>
      <c r="C1074" s="213" t="s">
        <v>4381</v>
      </c>
      <c r="D1074" s="213" t="s">
        <v>4366</v>
      </c>
      <c r="E1074" s="213" t="s">
        <v>333</v>
      </c>
      <c r="F1074" s="212" t="s">
        <v>4365</v>
      </c>
      <c r="G1074" s="212" t="str">
        <f t="shared" si="49"/>
        <v>101현금</v>
      </c>
      <c r="H1074" s="214">
        <v>0</v>
      </c>
      <c r="I1074" s="214">
        <v>300</v>
      </c>
      <c r="J1074" s="214">
        <f t="shared" si="50"/>
        <v>300</v>
      </c>
      <c r="K1074" s="212" t="s">
        <v>6371</v>
      </c>
      <c r="L1074" s="213"/>
      <c r="M1074" s="212"/>
    </row>
    <row r="1075" spans="1:13" ht="21" customHeight="1">
      <c r="A1075" s="213" t="s">
        <v>6774</v>
      </c>
      <c r="B1075" s="215">
        <f t="shared" si="48"/>
        <v>45728</v>
      </c>
      <c r="C1075" s="213" t="s">
        <v>4373</v>
      </c>
      <c r="D1075" s="213" t="s">
        <v>4366</v>
      </c>
      <c r="E1075" s="213" t="s">
        <v>333</v>
      </c>
      <c r="F1075" s="212" t="s">
        <v>4365</v>
      </c>
      <c r="G1075" s="212" t="str">
        <f t="shared" si="49"/>
        <v>101현금</v>
      </c>
      <c r="H1075" s="214">
        <v>0</v>
      </c>
      <c r="I1075" s="214">
        <v>7800</v>
      </c>
      <c r="J1075" s="214">
        <f t="shared" si="50"/>
        <v>7800</v>
      </c>
      <c r="K1075" s="212" t="s">
        <v>6371</v>
      </c>
      <c r="L1075" s="213"/>
      <c r="M1075" s="212"/>
    </row>
    <row r="1076" spans="1:13" ht="21" customHeight="1">
      <c r="A1076" s="213" t="s">
        <v>6774</v>
      </c>
      <c r="B1076" s="215">
        <f t="shared" si="48"/>
        <v>45728</v>
      </c>
      <c r="C1076" s="213" t="s">
        <v>4373</v>
      </c>
      <c r="D1076" s="213" t="s">
        <v>4369</v>
      </c>
      <c r="E1076" s="213" t="s">
        <v>4499</v>
      </c>
      <c r="F1076" s="212" t="s">
        <v>6517</v>
      </c>
      <c r="G1076" s="212" t="str">
        <f t="shared" si="49"/>
        <v>811복리후생비(판)</v>
      </c>
      <c r="H1076" s="214">
        <v>7800</v>
      </c>
      <c r="I1076" s="214">
        <v>0</v>
      </c>
      <c r="J1076" s="214">
        <f t="shared" si="50"/>
        <v>-7800</v>
      </c>
      <c r="K1076" s="212" t="s">
        <v>6587</v>
      </c>
      <c r="L1076" s="213"/>
      <c r="M1076" s="212"/>
    </row>
    <row r="1077" spans="1:13" ht="21" customHeight="1">
      <c r="A1077" s="213" t="s">
        <v>6774</v>
      </c>
      <c r="B1077" s="215">
        <f t="shared" si="48"/>
        <v>45728</v>
      </c>
      <c r="C1077" s="213" t="s">
        <v>4382</v>
      </c>
      <c r="D1077" s="213" t="s">
        <v>4369</v>
      </c>
      <c r="E1077" s="213" t="s">
        <v>4499</v>
      </c>
      <c r="F1077" s="212" t="s">
        <v>6517</v>
      </c>
      <c r="G1077" s="212" t="str">
        <f t="shared" si="49"/>
        <v>811복리후생비(판)</v>
      </c>
      <c r="H1077" s="214">
        <v>3500</v>
      </c>
      <c r="I1077" s="214">
        <v>0</v>
      </c>
      <c r="J1077" s="214">
        <f t="shared" si="50"/>
        <v>-3500</v>
      </c>
      <c r="K1077" s="212" t="s">
        <v>6539</v>
      </c>
      <c r="L1077" s="213"/>
      <c r="M1077" s="212"/>
    </row>
    <row r="1078" spans="1:13" ht="21" customHeight="1">
      <c r="A1078" s="213" t="s">
        <v>6774</v>
      </c>
      <c r="B1078" s="215">
        <f t="shared" si="48"/>
        <v>45728</v>
      </c>
      <c r="C1078" s="213" t="s">
        <v>4382</v>
      </c>
      <c r="D1078" s="213" t="s">
        <v>4366</v>
      </c>
      <c r="E1078" s="213" t="s">
        <v>333</v>
      </c>
      <c r="F1078" s="212" t="s">
        <v>4365</v>
      </c>
      <c r="G1078" s="212" t="str">
        <f t="shared" si="49"/>
        <v>101현금</v>
      </c>
      <c r="H1078" s="214">
        <v>0</v>
      </c>
      <c r="I1078" s="214">
        <v>3500</v>
      </c>
      <c r="J1078" s="214">
        <f t="shared" si="50"/>
        <v>3500</v>
      </c>
      <c r="K1078" s="212" t="s">
        <v>6369</v>
      </c>
      <c r="L1078" s="213"/>
      <c r="M1078" s="212"/>
    </row>
    <row r="1079" spans="1:13" ht="21" customHeight="1">
      <c r="A1079" s="213" t="s">
        <v>6774</v>
      </c>
      <c r="B1079" s="215">
        <f t="shared" si="48"/>
        <v>45728</v>
      </c>
      <c r="C1079" s="213" t="s">
        <v>4381</v>
      </c>
      <c r="D1079" s="213" t="s">
        <v>4369</v>
      </c>
      <c r="E1079" s="213" t="s">
        <v>4383</v>
      </c>
      <c r="F1079" s="212" t="s">
        <v>6525</v>
      </c>
      <c r="G1079" s="212" t="str">
        <f t="shared" si="49"/>
        <v>830소모품비(판)</v>
      </c>
      <c r="H1079" s="214">
        <v>2150</v>
      </c>
      <c r="I1079" s="214">
        <v>0</v>
      </c>
      <c r="J1079" s="214">
        <f t="shared" si="50"/>
        <v>-2150</v>
      </c>
      <c r="K1079" s="212" t="s">
        <v>6324</v>
      </c>
      <c r="L1079" s="213"/>
      <c r="M1079" s="212"/>
    </row>
    <row r="1080" spans="1:13" ht="21" customHeight="1">
      <c r="A1080" s="213" t="s">
        <v>6774</v>
      </c>
      <c r="B1080" s="215">
        <f t="shared" si="48"/>
        <v>45728</v>
      </c>
      <c r="C1080" s="213" t="s">
        <v>4381</v>
      </c>
      <c r="D1080" s="213" t="s">
        <v>4366</v>
      </c>
      <c r="E1080" s="213" t="s">
        <v>333</v>
      </c>
      <c r="F1080" s="212" t="s">
        <v>4365</v>
      </c>
      <c r="G1080" s="212" t="str">
        <f t="shared" si="49"/>
        <v>101현금</v>
      </c>
      <c r="H1080" s="214">
        <v>0</v>
      </c>
      <c r="I1080" s="214">
        <v>2150</v>
      </c>
      <c r="J1080" s="214">
        <f t="shared" si="50"/>
        <v>2150</v>
      </c>
      <c r="K1080" s="212" t="s">
        <v>6369</v>
      </c>
      <c r="L1080" s="213"/>
      <c r="M1080" s="212"/>
    </row>
    <row r="1081" spans="1:13" ht="21" customHeight="1">
      <c r="A1081" s="213" t="s">
        <v>6774</v>
      </c>
      <c r="B1081" s="215">
        <f t="shared" si="48"/>
        <v>45728</v>
      </c>
      <c r="C1081" s="213" t="s">
        <v>4379</v>
      </c>
      <c r="D1081" s="213" t="s">
        <v>4369</v>
      </c>
      <c r="E1081" s="213" t="s">
        <v>4380</v>
      </c>
      <c r="F1081" s="212" t="s">
        <v>6515</v>
      </c>
      <c r="G1081" s="212" t="str">
        <f t="shared" si="49"/>
        <v>812여비교통비(판)</v>
      </c>
      <c r="H1081" s="214">
        <v>6500</v>
      </c>
      <c r="I1081" s="214">
        <v>0</v>
      </c>
      <c r="J1081" s="214">
        <f t="shared" si="50"/>
        <v>-6500</v>
      </c>
      <c r="K1081" s="212" t="s">
        <v>6746</v>
      </c>
      <c r="L1081" s="213"/>
      <c r="M1081" s="212"/>
    </row>
    <row r="1082" spans="1:13" ht="21" customHeight="1">
      <c r="A1082" s="213" t="s">
        <v>6774</v>
      </c>
      <c r="B1082" s="215">
        <f t="shared" si="48"/>
        <v>45728</v>
      </c>
      <c r="C1082" s="213" t="s">
        <v>4379</v>
      </c>
      <c r="D1082" s="213" t="s">
        <v>4366</v>
      </c>
      <c r="E1082" s="213" t="s">
        <v>333</v>
      </c>
      <c r="F1082" s="212" t="s">
        <v>4365</v>
      </c>
      <c r="G1082" s="212" t="str">
        <f t="shared" si="49"/>
        <v>101현금</v>
      </c>
      <c r="H1082" s="214">
        <v>0</v>
      </c>
      <c r="I1082" s="214">
        <v>6500</v>
      </c>
      <c r="J1082" s="214">
        <f t="shared" si="50"/>
        <v>6500</v>
      </c>
      <c r="K1082" s="212" t="s">
        <v>6369</v>
      </c>
      <c r="L1082" s="213"/>
      <c r="M1082" s="212"/>
    </row>
    <row r="1083" spans="1:13" ht="21" customHeight="1">
      <c r="A1083" s="213" t="s">
        <v>6774</v>
      </c>
      <c r="B1083" s="215">
        <f t="shared" si="48"/>
        <v>45728</v>
      </c>
      <c r="C1083" s="213" t="s">
        <v>4385</v>
      </c>
      <c r="D1083" s="213" t="s">
        <v>4369</v>
      </c>
      <c r="E1083" s="213" t="s">
        <v>4368</v>
      </c>
      <c r="F1083" s="212" t="s">
        <v>6388</v>
      </c>
      <c r="G1083" s="212" t="str">
        <f t="shared" si="49"/>
        <v>831지급수수료(판)</v>
      </c>
      <c r="H1083" s="214">
        <v>1990</v>
      </c>
      <c r="I1083" s="214">
        <v>0</v>
      </c>
      <c r="J1083" s="214">
        <f t="shared" si="50"/>
        <v>-1990</v>
      </c>
      <c r="K1083" s="212" t="s">
        <v>6351</v>
      </c>
      <c r="L1083" s="213"/>
      <c r="M1083" s="212"/>
    </row>
    <row r="1084" spans="1:13" ht="21" customHeight="1">
      <c r="A1084" s="213" t="s">
        <v>6774</v>
      </c>
      <c r="B1084" s="215">
        <f t="shared" si="48"/>
        <v>45728</v>
      </c>
      <c r="C1084" s="213" t="s">
        <v>4385</v>
      </c>
      <c r="D1084" s="213" t="s">
        <v>4366</v>
      </c>
      <c r="E1084" s="213" t="s">
        <v>333</v>
      </c>
      <c r="F1084" s="212" t="s">
        <v>4365</v>
      </c>
      <c r="G1084" s="212" t="str">
        <f t="shared" si="49"/>
        <v>101현금</v>
      </c>
      <c r="H1084" s="214">
        <v>0</v>
      </c>
      <c r="I1084" s="214">
        <v>1990</v>
      </c>
      <c r="J1084" s="214">
        <f t="shared" si="50"/>
        <v>1990</v>
      </c>
      <c r="K1084" s="212" t="s">
        <v>6369</v>
      </c>
      <c r="L1084" s="213"/>
      <c r="M1084" s="212"/>
    </row>
    <row r="1085" spans="1:13" ht="21" customHeight="1">
      <c r="A1085" s="213" t="s">
        <v>6774</v>
      </c>
      <c r="B1085" s="215">
        <f t="shared" si="48"/>
        <v>45728</v>
      </c>
      <c r="C1085" s="213" t="s">
        <v>4367</v>
      </c>
      <c r="D1085" s="213" t="s">
        <v>4366</v>
      </c>
      <c r="E1085" s="213" t="s">
        <v>6176</v>
      </c>
      <c r="F1085" s="212" t="s">
        <v>6177</v>
      </c>
      <c r="G1085" s="212" t="str">
        <f t="shared" si="49"/>
        <v>255부가세예수금</v>
      </c>
      <c r="H1085" s="214">
        <v>0</v>
      </c>
      <c r="I1085" s="214">
        <v>15000</v>
      </c>
      <c r="J1085" s="214">
        <f t="shared" si="50"/>
        <v>15000</v>
      </c>
      <c r="K1085" s="212" t="s">
        <v>6201</v>
      </c>
      <c r="L1085" s="213"/>
      <c r="M1085" s="212" t="s">
        <v>6179</v>
      </c>
    </row>
    <row r="1086" spans="1:13" ht="21" customHeight="1">
      <c r="A1086" s="213" t="s">
        <v>6774</v>
      </c>
      <c r="B1086" s="215">
        <f t="shared" si="48"/>
        <v>45728</v>
      </c>
      <c r="C1086" s="213" t="s">
        <v>4367</v>
      </c>
      <c r="D1086" s="213" t="s">
        <v>4366</v>
      </c>
      <c r="E1086" s="213" t="s">
        <v>334</v>
      </c>
      <c r="F1086" s="212" t="s">
        <v>6158</v>
      </c>
      <c r="G1086" s="212" t="str">
        <f t="shared" si="49"/>
        <v>401용역매출</v>
      </c>
      <c r="H1086" s="214">
        <v>0</v>
      </c>
      <c r="I1086" s="214">
        <v>150000</v>
      </c>
      <c r="J1086" s="214">
        <f t="shared" si="50"/>
        <v>150000</v>
      </c>
      <c r="K1086" s="212" t="s">
        <v>6201</v>
      </c>
      <c r="L1086" s="213"/>
      <c r="M1086" s="212" t="s">
        <v>6179</v>
      </c>
    </row>
    <row r="1087" spans="1:13" ht="21" customHeight="1">
      <c r="A1087" s="213" t="s">
        <v>6774</v>
      </c>
      <c r="B1087" s="215">
        <f t="shared" si="48"/>
        <v>45728</v>
      </c>
      <c r="C1087" s="213" t="s">
        <v>4367</v>
      </c>
      <c r="D1087" s="213" t="s">
        <v>4369</v>
      </c>
      <c r="E1087" s="213" t="s">
        <v>333</v>
      </c>
      <c r="F1087" s="212" t="s">
        <v>4365</v>
      </c>
      <c r="G1087" s="212" t="str">
        <f t="shared" si="49"/>
        <v>101현금</v>
      </c>
      <c r="H1087" s="214">
        <v>165000</v>
      </c>
      <c r="I1087" s="214">
        <v>0</v>
      </c>
      <c r="J1087" s="214">
        <f t="shared" si="50"/>
        <v>-165000</v>
      </c>
      <c r="K1087" s="212" t="s">
        <v>6201</v>
      </c>
      <c r="L1087" s="213"/>
      <c r="M1087" s="212" t="s">
        <v>6179</v>
      </c>
    </row>
    <row r="1088" spans="1:13" ht="21" customHeight="1">
      <c r="A1088" s="213" t="s">
        <v>6772</v>
      </c>
      <c r="B1088" s="215">
        <f t="shared" si="48"/>
        <v>45729</v>
      </c>
      <c r="C1088" s="213" t="s">
        <v>4373</v>
      </c>
      <c r="D1088" s="213" t="s">
        <v>4369</v>
      </c>
      <c r="E1088" s="213" t="s">
        <v>4499</v>
      </c>
      <c r="F1088" s="212" t="s">
        <v>6517</v>
      </c>
      <c r="G1088" s="212" t="str">
        <f t="shared" si="49"/>
        <v>811복리후생비(판)</v>
      </c>
      <c r="H1088" s="214">
        <v>3500</v>
      </c>
      <c r="I1088" s="214">
        <v>0</v>
      </c>
      <c r="J1088" s="214">
        <f t="shared" si="50"/>
        <v>-3500</v>
      </c>
      <c r="K1088" s="212" t="s">
        <v>6539</v>
      </c>
      <c r="L1088" s="213"/>
      <c r="M1088" s="212"/>
    </row>
    <row r="1089" spans="1:13" ht="21" customHeight="1">
      <c r="A1089" s="213" t="s">
        <v>6772</v>
      </c>
      <c r="B1089" s="215">
        <f t="shared" si="48"/>
        <v>45729</v>
      </c>
      <c r="C1089" s="213" t="s">
        <v>4373</v>
      </c>
      <c r="D1089" s="213" t="s">
        <v>4366</v>
      </c>
      <c r="E1089" s="213" t="s">
        <v>333</v>
      </c>
      <c r="F1089" s="212" t="s">
        <v>4365</v>
      </c>
      <c r="G1089" s="212" t="str">
        <f t="shared" si="49"/>
        <v>101현금</v>
      </c>
      <c r="H1089" s="214">
        <v>0</v>
      </c>
      <c r="I1089" s="214">
        <v>3500</v>
      </c>
      <c r="J1089" s="214">
        <f t="shared" si="50"/>
        <v>3500</v>
      </c>
      <c r="K1089" s="212" t="s">
        <v>6369</v>
      </c>
      <c r="L1089" s="213"/>
      <c r="M1089" s="212"/>
    </row>
    <row r="1090" spans="1:13" ht="21" customHeight="1">
      <c r="A1090" s="213" t="s">
        <v>6772</v>
      </c>
      <c r="B1090" s="215">
        <f t="shared" ref="B1090:B1153" si="51">DATEVALUE(A1090)</f>
        <v>45729</v>
      </c>
      <c r="C1090" s="213" t="s">
        <v>4382</v>
      </c>
      <c r="D1090" s="213" t="s">
        <v>4369</v>
      </c>
      <c r="E1090" s="213" t="s">
        <v>4380</v>
      </c>
      <c r="F1090" s="212" t="s">
        <v>6515</v>
      </c>
      <c r="G1090" s="212" t="str">
        <f t="shared" ref="G1090:G1153" si="52">E1090&amp;F1090</f>
        <v>812여비교통비(판)</v>
      </c>
      <c r="H1090" s="214">
        <v>7300</v>
      </c>
      <c r="I1090" s="214">
        <v>0</v>
      </c>
      <c r="J1090" s="214">
        <f t="shared" ref="J1090:J1153" si="53">I1090-H1090</f>
        <v>-7300</v>
      </c>
      <c r="K1090" s="212" t="s">
        <v>6746</v>
      </c>
      <c r="L1090" s="213"/>
      <c r="M1090" s="212"/>
    </row>
    <row r="1091" spans="1:13" ht="21" customHeight="1">
      <c r="A1091" s="213" t="s">
        <v>6772</v>
      </c>
      <c r="B1091" s="215">
        <f t="shared" si="51"/>
        <v>45729</v>
      </c>
      <c r="C1091" s="213" t="s">
        <v>4382</v>
      </c>
      <c r="D1091" s="213" t="s">
        <v>4366</v>
      </c>
      <c r="E1091" s="213" t="s">
        <v>333</v>
      </c>
      <c r="F1091" s="212" t="s">
        <v>4365</v>
      </c>
      <c r="G1091" s="212" t="str">
        <f t="shared" si="52"/>
        <v>101현금</v>
      </c>
      <c r="H1091" s="214">
        <v>0</v>
      </c>
      <c r="I1091" s="214">
        <v>7300</v>
      </c>
      <c r="J1091" s="214">
        <f t="shared" si="53"/>
        <v>7300</v>
      </c>
      <c r="K1091" s="212" t="s">
        <v>6369</v>
      </c>
      <c r="L1091" s="213"/>
      <c r="M1091" s="212"/>
    </row>
    <row r="1092" spans="1:13" ht="21" customHeight="1">
      <c r="A1092" s="213" t="s">
        <v>6772</v>
      </c>
      <c r="B1092" s="215">
        <f t="shared" si="51"/>
        <v>45729</v>
      </c>
      <c r="C1092" s="213" t="s">
        <v>4367</v>
      </c>
      <c r="D1092" s="213" t="s">
        <v>4366</v>
      </c>
      <c r="E1092" s="213" t="s">
        <v>6176</v>
      </c>
      <c r="F1092" s="212" t="s">
        <v>6177</v>
      </c>
      <c r="G1092" s="212" t="str">
        <f t="shared" si="52"/>
        <v>255부가세예수금</v>
      </c>
      <c r="H1092" s="214">
        <v>0</v>
      </c>
      <c r="I1092" s="214">
        <v>50000</v>
      </c>
      <c r="J1092" s="214">
        <f t="shared" si="53"/>
        <v>50000</v>
      </c>
      <c r="K1092" s="212" t="s">
        <v>6773</v>
      </c>
      <c r="L1092" s="213"/>
      <c r="M1092" s="212" t="s">
        <v>6278</v>
      </c>
    </row>
    <row r="1093" spans="1:13" ht="21" customHeight="1">
      <c r="A1093" s="213" t="s">
        <v>6772</v>
      </c>
      <c r="B1093" s="215">
        <f t="shared" si="51"/>
        <v>45729</v>
      </c>
      <c r="C1093" s="213" t="s">
        <v>4367</v>
      </c>
      <c r="D1093" s="213" t="s">
        <v>4366</v>
      </c>
      <c r="E1093" s="213" t="s">
        <v>334</v>
      </c>
      <c r="F1093" s="212" t="s">
        <v>6158</v>
      </c>
      <c r="G1093" s="212" t="str">
        <f t="shared" si="52"/>
        <v>401용역매출</v>
      </c>
      <c r="H1093" s="214">
        <v>0</v>
      </c>
      <c r="I1093" s="214">
        <v>500000</v>
      </c>
      <c r="J1093" s="214">
        <f t="shared" si="53"/>
        <v>500000</v>
      </c>
      <c r="K1093" s="212" t="s">
        <v>6773</v>
      </c>
      <c r="L1093" s="213"/>
      <c r="M1093" s="212" t="s">
        <v>6278</v>
      </c>
    </row>
    <row r="1094" spans="1:13" ht="21" customHeight="1">
      <c r="A1094" s="213" t="s">
        <v>6772</v>
      </c>
      <c r="B1094" s="215">
        <f t="shared" si="51"/>
        <v>45729</v>
      </c>
      <c r="C1094" s="213" t="s">
        <v>4367</v>
      </c>
      <c r="D1094" s="213" t="s">
        <v>4369</v>
      </c>
      <c r="E1094" s="213" t="s">
        <v>333</v>
      </c>
      <c r="F1094" s="212" t="s">
        <v>4365</v>
      </c>
      <c r="G1094" s="212" t="str">
        <f t="shared" si="52"/>
        <v>101현금</v>
      </c>
      <c r="H1094" s="214">
        <v>550000</v>
      </c>
      <c r="I1094" s="214">
        <v>0</v>
      </c>
      <c r="J1094" s="214">
        <f t="shared" si="53"/>
        <v>-550000</v>
      </c>
      <c r="K1094" s="212" t="s">
        <v>6773</v>
      </c>
      <c r="L1094" s="213"/>
      <c r="M1094" s="212" t="s">
        <v>6278</v>
      </c>
    </row>
    <row r="1095" spans="1:13" ht="21" customHeight="1">
      <c r="A1095" s="213" t="s">
        <v>6772</v>
      </c>
      <c r="B1095" s="215">
        <f t="shared" si="51"/>
        <v>45729</v>
      </c>
      <c r="C1095" s="213" t="s">
        <v>4374</v>
      </c>
      <c r="D1095" s="213" t="s">
        <v>4366</v>
      </c>
      <c r="E1095" s="213" t="s">
        <v>6176</v>
      </c>
      <c r="F1095" s="212" t="s">
        <v>6177</v>
      </c>
      <c r="G1095" s="212" t="str">
        <f t="shared" si="52"/>
        <v>255부가세예수금</v>
      </c>
      <c r="H1095" s="214">
        <v>0</v>
      </c>
      <c r="I1095" s="214">
        <v>100000</v>
      </c>
      <c r="J1095" s="214">
        <f t="shared" si="53"/>
        <v>100000</v>
      </c>
      <c r="K1095" s="212" t="s">
        <v>6279</v>
      </c>
      <c r="L1095" s="213"/>
      <c r="M1095" s="212" t="s">
        <v>6301</v>
      </c>
    </row>
    <row r="1096" spans="1:13" ht="21" customHeight="1">
      <c r="A1096" s="213" t="s">
        <v>6772</v>
      </c>
      <c r="B1096" s="215">
        <f t="shared" si="51"/>
        <v>45729</v>
      </c>
      <c r="C1096" s="213" t="s">
        <v>4374</v>
      </c>
      <c r="D1096" s="213" t="s">
        <v>4366</v>
      </c>
      <c r="E1096" s="213" t="s">
        <v>334</v>
      </c>
      <c r="F1096" s="212" t="s">
        <v>6158</v>
      </c>
      <c r="G1096" s="212" t="str">
        <f t="shared" si="52"/>
        <v>401용역매출</v>
      </c>
      <c r="H1096" s="214">
        <v>0</v>
      </c>
      <c r="I1096" s="214">
        <v>1000000</v>
      </c>
      <c r="J1096" s="214">
        <f t="shared" si="53"/>
        <v>1000000</v>
      </c>
      <c r="K1096" s="212" t="s">
        <v>6279</v>
      </c>
      <c r="L1096" s="213"/>
      <c r="M1096" s="212" t="s">
        <v>6301</v>
      </c>
    </row>
    <row r="1097" spans="1:13" ht="21" customHeight="1">
      <c r="A1097" s="213" t="s">
        <v>6772</v>
      </c>
      <c r="B1097" s="215">
        <f t="shared" si="51"/>
        <v>45729</v>
      </c>
      <c r="C1097" s="213" t="s">
        <v>4374</v>
      </c>
      <c r="D1097" s="213" t="s">
        <v>4369</v>
      </c>
      <c r="E1097" s="213" t="s">
        <v>333</v>
      </c>
      <c r="F1097" s="212" t="s">
        <v>4365</v>
      </c>
      <c r="G1097" s="212" t="str">
        <f t="shared" si="52"/>
        <v>101현금</v>
      </c>
      <c r="H1097" s="214">
        <v>1100000</v>
      </c>
      <c r="I1097" s="214">
        <v>0</v>
      </c>
      <c r="J1097" s="214">
        <f t="shared" si="53"/>
        <v>-1100000</v>
      </c>
      <c r="K1097" s="212" t="s">
        <v>6279</v>
      </c>
      <c r="L1097" s="213"/>
      <c r="M1097" s="212" t="s">
        <v>6301</v>
      </c>
    </row>
    <row r="1098" spans="1:13" ht="21" customHeight="1">
      <c r="A1098" s="213" t="s">
        <v>6770</v>
      </c>
      <c r="B1098" s="215">
        <f t="shared" si="51"/>
        <v>45730</v>
      </c>
      <c r="C1098" s="213" t="s">
        <v>4373</v>
      </c>
      <c r="D1098" s="213" t="s">
        <v>4369</v>
      </c>
      <c r="E1098" s="213" t="s">
        <v>4499</v>
      </c>
      <c r="F1098" s="212" t="s">
        <v>6517</v>
      </c>
      <c r="G1098" s="212" t="str">
        <f t="shared" si="52"/>
        <v>811복리후생비(판)</v>
      </c>
      <c r="H1098" s="214">
        <v>3500</v>
      </c>
      <c r="I1098" s="214">
        <v>0</v>
      </c>
      <c r="J1098" s="214">
        <f t="shared" si="53"/>
        <v>-3500</v>
      </c>
      <c r="K1098" s="212" t="s">
        <v>6539</v>
      </c>
      <c r="L1098" s="213"/>
      <c r="M1098" s="212"/>
    </row>
    <row r="1099" spans="1:13" ht="21" customHeight="1">
      <c r="A1099" s="213" t="s">
        <v>6770</v>
      </c>
      <c r="B1099" s="215">
        <f t="shared" si="51"/>
        <v>45730</v>
      </c>
      <c r="C1099" s="213" t="s">
        <v>4373</v>
      </c>
      <c r="D1099" s="213" t="s">
        <v>4366</v>
      </c>
      <c r="E1099" s="213" t="s">
        <v>333</v>
      </c>
      <c r="F1099" s="212" t="s">
        <v>4365</v>
      </c>
      <c r="G1099" s="212" t="str">
        <f t="shared" si="52"/>
        <v>101현금</v>
      </c>
      <c r="H1099" s="214">
        <v>0</v>
      </c>
      <c r="I1099" s="214">
        <v>3500</v>
      </c>
      <c r="J1099" s="214">
        <f t="shared" si="53"/>
        <v>3500</v>
      </c>
      <c r="K1099" s="212" t="s">
        <v>6369</v>
      </c>
      <c r="L1099" s="213"/>
      <c r="M1099" s="212"/>
    </row>
    <row r="1100" spans="1:13" ht="21" customHeight="1">
      <c r="A1100" s="213" t="s">
        <v>6770</v>
      </c>
      <c r="B1100" s="215">
        <f t="shared" si="51"/>
        <v>45730</v>
      </c>
      <c r="C1100" s="213" t="s">
        <v>4382</v>
      </c>
      <c r="D1100" s="213" t="s">
        <v>4369</v>
      </c>
      <c r="E1100" s="213" t="s">
        <v>4383</v>
      </c>
      <c r="F1100" s="212" t="s">
        <v>6525</v>
      </c>
      <c r="G1100" s="212" t="str">
        <f t="shared" si="52"/>
        <v>830소모품비(판)</v>
      </c>
      <c r="H1100" s="214">
        <v>4000</v>
      </c>
      <c r="I1100" s="214">
        <v>0</v>
      </c>
      <c r="J1100" s="214">
        <f t="shared" si="53"/>
        <v>-4000</v>
      </c>
      <c r="K1100" s="212" t="s">
        <v>6324</v>
      </c>
      <c r="L1100" s="213"/>
      <c r="M1100" s="212"/>
    </row>
    <row r="1101" spans="1:13" ht="21" customHeight="1">
      <c r="A1101" s="213" t="s">
        <v>6770</v>
      </c>
      <c r="B1101" s="215">
        <f t="shared" si="51"/>
        <v>45730</v>
      </c>
      <c r="C1101" s="213" t="s">
        <v>4382</v>
      </c>
      <c r="D1101" s="213" t="s">
        <v>4366</v>
      </c>
      <c r="E1101" s="213" t="s">
        <v>333</v>
      </c>
      <c r="F1101" s="212" t="s">
        <v>4365</v>
      </c>
      <c r="G1101" s="212" t="str">
        <f t="shared" si="52"/>
        <v>101현금</v>
      </c>
      <c r="H1101" s="214">
        <v>0</v>
      </c>
      <c r="I1101" s="214">
        <v>4000</v>
      </c>
      <c r="J1101" s="214">
        <f t="shared" si="53"/>
        <v>4000</v>
      </c>
      <c r="K1101" s="212" t="s">
        <v>6369</v>
      </c>
      <c r="L1101" s="213"/>
      <c r="M1101" s="212"/>
    </row>
    <row r="1102" spans="1:13" ht="21" customHeight="1">
      <c r="A1102" s="213" t="s">
        <v>6770</v>
      </c>
      <c r="B1102" s="215">
        <f t="shared" si="51"/>
        <v>45730</v>
      </c>
      <c r="C1102" s="213" t="s">
        <v>4381</v>
      </c>
      <c r="D1102" s="213" t="s">
        <v>4369</v>
      </c>
      <c r="E1102" s="213" t="s">
        <v>4380</v>
      </c>
      <c r="F1102" s="212" t="s">
        <v>6515</v>
      </c>
      <c r="G1102" s="212" t="str">
        <f t="shared" si="52"/>
        <v>812여비교통비(판)</v>
      </c>
      <c r="H1102" s="214">
        <v>1800</v>
      </c>
      <c r="I1102" s="214">
        <v>0</v>
      </c>
      <c r="J1102" s="214">
        <f t="shared" si="53"/>
        <v>-1800</v>
      </c>
      <c r="K1102" s="212" t="s">
        <v>6771</v>
      </c>
      <c r="L1102" s="213"/>
      <c r="M1102" s="212"/>
    </row>
    <row r="1103" spans="1:13" ht="21" customHeight="1">
      <c r="A1103" s="213" t="s">
        <v>6770</v>
      </c>
      <c r="B1103" s="215">
        <f t="shared" si="51"/>
        <v>45730</v>
      </c>
      <c r="C1103" s="213" t="s">
        <v>4381</v>
      </c>
      <c r="D1103" s="213" t="s">
        <v>4366</v>
      </c>
      <c r="E1103" s="213" t="s">
        <v>333</v>
      </c>
      <c r="F1103" s="212" t="s">
        <v>4365</v>
      </c>
      <c r="G1103" s="212" t="str">
        <f t="shared" si="52"/>
        <v>101현금</v>
      </c>
      <c r="H1103" s="214">
        <v>0</v>
      </c>
      <c r="I1103" s="214">
        <v>1800</v>
      </c>
      <c r="J1103" s="214">
        <f t="shared" si="53"/>
        <v>1800</v>
      </c>
      <c r="K1103" s="212" t="s">
        <v>6369</v>
      </c>
      <c r="L1103" s="213"/>
      <c r="M1103" s="212"/>
    </row>
    <row r="1104" spans="1:13" ht="21" customHeight="1">
      <c r="A1104" s="213" t="s">
        <v>6770</v>
      </c>
      <c r="B1104" s="215">
        <f t="shared" si="51"/>
        <v>45730</v>
      </c>
      <c r="C1104" s="213" t="s">
        <v>4379</v>
      </c>
      <c r="D1104" s="213" t="s">
        <v>4369</v>
      </c>
      <c r="E1104" s="213" t="s">
        <v>4383</v>
      </c>
      <c r="F1104" s="212" t="s">
        <v>6525</v>
      </c>
      <c r="G1104" s="212" t="str">
        <f t="shared" si="52"/>
        <v>830소모품비(판)</v>
      </c>
      <c r="H1104" s="214">
        <v>15600</v>
      </c>
      <c r="I1104" s="214">
        <v>0</v>
      </c>
      <c r="J1104" s="214">
        <f t="shared" si="53"/>
        <v>-15600</v>
      </c>
      <c r="K1104" s="212" t="s">
        <v>6769</v>
      </c>
      <c r="L1104" s="213"/>
      <c r="M1104" s="212"/>
    </row>
    <row r="1105" spans="1:13" ht="21" customHeight="1">
      <c r="A1105" s="213" t="s">
        <v>6770</v>
      </c>
      <c r="B1105" s="215">
        <f t="shared" si="51"/>
        <v>45730</v>
      </c>
      <c r="C1105" s="213" t="s">
        <v>4379</v>
      </c>
      <c r="D1105" s="213" t="s">
        <v>4366</v>
      </c>
      <c r="E1105" s="213" t="s">
        <v>333</v>
      </c>
      <c r="F1105" s="212" t="s">
        <v>4365</v>
      </c>
      <c r="G1105" s="212" t="str">
        <f t="shared" si="52"/>
        <v>101현금</v>
      </c>
      <c r="H1105" s="214">
        <v>0</v>
      </c>
      <c r="I1105" s="214">
        <v>15600</v>
      </c>
      <c r="J1105" s="214">
        <f t="shared" si="53"/>
        <v>15600</v>
      </c>
      <c r="K1105" s="212" t="s">
        <v>6769</v>
      </c>
      <c r="L1105" s="213"/>
      <c r="M1105" s="212"/>
    </row>
    <row r="1106" spans="1:13" ht="21" customHeight="1">
      <c r="A1106" s="213" t="s">
        <v>6770</v>
      </c>
      <c r="B1106" s="215">
        <f t="shared" si="51"/>
        <v>45730</v>
      </c>
      <c r="C1106" s="213" t="s">
        <v>4385</v>
      </c>
      <c r="D1106" s="213" t="s">
        <v>4369</v>
      </c>
      <c r="E1106" s="213" t="s">
        <v>4383</v>
      </c>
      <c r="F1106" s="212" t="s">
        <v>6525</v>
      </c>
      <c r="G1106" s="212" t="str">
        <f t="shared" si="52"/>
        <v>830소모품비(판)</v>
      </c>
      <c r="H1106" s="214">
        <v>3000</v>
      </c>
      <c r="I1106" s="214">
        <v>0</v>
      </c>
      <c r="J1106" s="214">
        <f t="shared" si="53"/>
        <v>-3000</v>
      </c>
      <c r="K1106" s="212" t="s">
        <v>6769</v>
      </c>
      <c r="L1106" s="213"/>
      <c r="M1106" s="212"/>
    </row>
    <row r="1107" spans="1:13" ht="21" customHeight="1">
      <c r="A1107" s="213" t="s">
        <v>6770</v>
      </c>
      <c r="B1107" s="215">
        <f t="shared" si="51"/>
        <v>45730</v>
      </c>
      <c r="C1107" s="213" t="s">
        <v>4385</v>
      </c>
      <c r="D1107" s="213" t="s">
        <v>4366</v>
      </c>
      <c r="E1107" s="213" t="s">
        <v>333</v>
      </c>
      <c r="F1107" s="212" t="s">
        <v>4365</v>
      </c>
      <c r="G1107" s="212" t="str">
        <f t="shared" si="52"/>
        <v>101현금</v>
      </c>
      <c r="H1107" s="214">
        <v>0</v>
      </c>
      <c r="I1107" s="214">
        <v>3000</v>
      </c>
      <c r="J1107" s="214">
        <f t="shared" si="53"/>
        <v>3000</v>
      </c>
      <c r="K1107" s="212" t="s">
        <v>6769</v>
      </c>
      <c r="L1107" s="213"/>
      <c r="M1107" s="212"/>
    </row>
    <row r="1108" spans="1:13" ht="21" customHeight="1">
      <c r="A1108" s="217" t="s">
        <v>6766</v>
      </c>
      <c r="B1108" s="215">
        <f t="shared" si="51"/>
        <v>45731</v>
      </c>
      <c r="C1108" s="213" t="s">
        <v>4373</v>
      </c>
      <c r="D1108" s="213" t="s">
        <v>4369</v>
      </c>
      <c r="E1108" s="213" t="s">
        <v>4499</v>
      </c>
      <c r="F1108" s="212" t="s">
        <v>6517</v>
      </c>
      <c r="G1108" s="212" t="str">
        <f t="shared" si="52"/>
        <v>811복리후생비(판)</v>
      </c>
      <c r="H1108" s="214">
        <v>21000</v>
      </c>
      <c r="I1108" s="214">
        <v>0</v>
      </c>
      <c r="J1108" s="214">
        <f t="shared" si="53"/>
        <v>-21000</v>
      </c>
      <c r="K1108" s="212" t="s">
        <v>6675</v>
      </c>
      <c r="L1108" s="213"/>
      <c r="M1108" s="212"/>
    </row>
    <row r="1109" spans="1:13" ht="21" customHeight="1">
      <c r="A1109" s="217" t="s">
        <v>6766</v>
      </c>
      <c r="B1109" s="215">
        <f t="shared" si="51"/>
        <v>45731</v>
      </c>
      <c r="C1109" s="213" t="s">
        <v>4373</v>
      </c>
      <c r="D1109" s="213" t="s">
        <v>4366</v>
      </c>
      <c r="E1109" s="213" t="s">
        <v>333</v>
      </c>
      <c r="F1109" s="212" t="s">
        <v>4365</v>
      </c>
      <c r="G1109" s="212" t="str">
        <f t="shared" si="52"/>
        <v>101현금</v>
      </c>
      <c r="H1109" s="214">
        <v>0</v>
      </c>
      <c r="I1109" s="214">
        <v>21000</v>
      </c>
      <c r="J1109" s="214">
        <f t="shared" si="53"/>
        <v>21000</v>
      </c>
      <c r="K1109" s="212" t="s">
        <v>6371</v>
      </c>
      <c r="L1109" s="213"/>
      <c r="M1109" s="212"/>
    </row>
    <row r="1110" spans="1:13" ht="21" customHeight="1">
      <c r="A1110" s="217" t="s">
        <v>6766</v>
      </c>
      <c r="B1110" s="215">
        <f t="shared" si="51"/>
        <v>45731</v>
      </c>
      <c r="C1110" s="213" t="s">
        <v>4382</v>
      </c>
      <c r="D1110" s="213" t="s">
        <v>4369</v>
      </c>
      <c r="E1110" s="213" t="s">
        <v>4383</v>
      </c>
      <c r="F1110" s="212" t="s">
        <v>6525</v>
      </c>
      <c r="G1110" s="212" t="str">
        <f t="shared" si="52"/>
        <v>830소모품비(판)</v>
      </c>
      <c r="H1110" s="214">
        <v>15200</v>
      </c>
      <c r="I1110" s="214">
        <v>0</v>
      </c>
      <c r="J1110" s="214">
        <f t="shared" si="53"/>
        <v>-15200</v>
      </c>
      <c r="K1110" s="212" t="s">
        <v>6198</v>
      </c>
      <c r="L1110" s="213"/>
      <c r="M1110" s="212"/>
    </row>
    <row r="1111" spans="1:13" ht="21" customHeight="1">
      <c r="A1111" s="217" t="s">
        <v>6766</v>
      </c>
      <c r="B1111" s="215">
        <f t="shared" si="51"/>
        <v>45731</v>
      </c>
      <c r="C1111" s="213" t="s">
        <v>4382</v>
      </c>
      <c r="D1111" s="213" t="s">
        <v>4366</v>
      </c>
      <c r="E1111" s="213" t="s">
        <v>333</v>
      </c>
      <c r="F1111" s="212" t="s">
        <v>4365</v>
      </c>
      <c r="G1111" s="212" t="str">
        <f t="shared" si="52"/>
        <v>101현금</v>
      </c>
      <c r="H1111" s="214">
        <v>0</v>
      </c>
      <c r="I1111" s="214">
        <v>15200</v>
      </c>
      <c r="J1111" s="214">
        <f t="shared" si="53"/>
        <v>15200</v>
      </c>
      <c r="K1111" s="212" t="s">
        <v>6370</v>
      </c>
      <c r="L1111" s="213"/>
      <c r="M1111" s="212"/>
    </row>
    <row r="1112" spans="1:13" ht="21" customHeight="1">
      <c r="A1112" s="217" t="s">
        <v>6766</v>
      </c>
      <c r="B1112" s="215">
        <f t="shared" si="51"/>
        <v>45731</v>
      </c>
      <c r="C1112" s="213" t="s">
        <v>4381</v>
      </c>
      <c r="D1112" s="213" t="s">
        <v>4369</v>
      </c>
      <c r="E1112" s="213" t="s">
        <v>4380</v>
      </c>
      <c r="F1112" s="212" t="s">
        <v>6515</v>
      </c>
      <c r="G1112" s="212" t="str">
        <f t="shared" si="52"/>
        <v>812여비교통비(판)</v>
      </c>
      <c r="H1112" s="214">
        <v>4000</v>
      </c>
      <c r="I1112" s="214">
        <v>0</v>
      </c>
      <c r="J1112" s="214">
        <f t="shared" si="53"/>
        <v>-4000</v>
      </c>
      <c r="K1112" s="212" t="s">
        <v>6768</v>
      </c>
      <c r="L1112" s="213"/>
      <c r="M1112" s="212"/>
    </row>
    <row r="1113" spans="1:13" ht="21" customHeight="1">
      <c r="A1113" s="217" t="s">
        <v>6766</v>
      </c>
      <c r="B1113" s="215">
        <f t="shared" si="51"/>
        <v>45731</v>
      </c>
      <c r="C1113" s="213" t="s">
        <v>4381</v>
      </c>
      <c r="D1113" s="213" t="s">
        <v>4366</v>
      </c>
      <c r="E1113" s="213" t="s">
        <v>333</v>
      </c>
      <c r="F1113" s="212" t="s">
        <v>4365</v>
      </c>
      <c r="G1113" s="212" t="str">
        <f t="shared" si="52"/>
        <v>101현금</v>
      </c>
      <c r="H1113" s="214">
        <v>0</v>
      </c>
      <c r="I1113" s="214">
        <v>4000</v>
      </c>
      <c r="J1113" s="214">
        <f t="shared" si="53"/>
        <v>4000</v>
      </c>
      <c r="K1113" s="212" t="s">
        <v>6371</v>
      </c>
      <c r="L1113" s="213"/>
      <c r="M1113" s="212"/>
    </row>
    <row r="1114" spans="1:13" ht="21" customHeight="1">
      <c r="A1114" s="217" t="s">
        <v>6766</v>
      </c>
      <c r="B1114" s="215">
        <f t="shared" si="51"/>
        <v>45731</v>
      </c>
      <c r="C1114" s="213" t="s">
        <v>4379</v>
      </c>
      <c r="D1114" s="213" t="s">
        <v>4366</v>
      </c>
      <c r="E1114" s="213" t="s">
        <v>333</v>
      </c>
      <c r="F1114" s="212" t="s">
        <v>4365</v>
      </c>
      <c r="G1114" s="212" t="str">
        <f t="shared" si="52"/>
        <v>101현금</v>
      </c>
      <c r="H1114" s="214">
        <v>0</v>
      </c>
      <c r="I1114" s="214">
        <v>1000</v>
      </c>
      <c r="J1114" s="214">
        <f t="shared" si="53"/>
        <v>1000</v>
      </c>
      <c r="K1114" s="212" t="s">
        <v>6369</v>
      </c>
      <c r="L1114" s="213"/>
      <c r="M1114" s="212"/>
    </row>
    <row r="1115" spans="1:13" ht="21" customHeight="1">
      <c r="A1115" s="217" t="s">
        <v>6766</v>
      </c>
      <c r="B1115" s="215">
        <f t="shared" si="51"/>
        <v>45731</v>
      </c>
      <c r="C1115" s="213" t="s">
        <v>4379</v>
      </c>
      <c r="D1115" s="213" t="s">
        <v>4369</v>
      </c>
      <c r="E1115" s="213" t="s">
        <v>4380</v>
      </c>
      <c r="F1115" s="212" t="s">
        <v>6515</v>
      </c>
      <c r="G1115" s="212" t="str">
        <f t="shared" si="52"/>
        <v>812여비교통비(판)</v>
      </c>
      <c r="H1115" s="214">
        <v>1000</v>
      </c>
      <c r="I1115" s="214">
        <v>0</v>
      </c>
      <c r="J1115" s="214">
        <f t="shared" si="53"/>
        <v>-1000</v>
      </c>
      <c r="K1115" s="212" t="s">
        <v>6767</v>
      </c>
      <c r="L1115" s="213"/>
      <c r="M1115" s="212"/>
    </row>
    <row r="1116" spans="1:13" ht="21" customHeight="1">
      <c r="A1116" s="217" t="s">
        <v>6766</v>
      </c>
      <c r="B1116" s="215">
        <f t="shared" si="51"/>
        <v>45731</v>
      </c>
      <c r="C1116" s="213" t="s">
        <v>4385</v>
      </c>
      <c r="D1116" s="213" t="s">
        <v>4369</v>
      </c>
      <c r="E1116" s="213" t="s">
        <v>4380</v>
      </c>
      <c r="F1116" s="212" t="s">
        <v>6515</v>
      </c>
      <c r="G1116" s="212" t="str">
        <f t="shared" si="52"/>
        <v>812여비교통비(판)</v>
      </c>
      <c r="H1116" s="214">
        <v>2100</v>
      </c>
      <c r="I1116" s="214">
        <v>0</v>
      </c>
      <c r="J1116" s="214">
        <f t="shared" si="53"/>
        <v>-2100</v>
      </c>
      <c r="K1116" s="212" t="s">
        <v>6674</v>
      </c>
      <c r="L1116" s="213"/>
      <c r="M1116" s="212"/>
    </row>
    <row r="1117" spans="1:13" ht="21" customHeight="1">
      <c r="A1117" s="217" t="s">
        <v>6766</v>
      </c>
      <c r="B1117" s="215">
        <f t="shared" si="51"/>
        <v>45731</v>
      </c>
      <c r="C1117" s="213" t="s">
        <v>4385</v>
      </c>
      <c r="D1117" s="213" t="s">
        <v>4366</v>
      </c>
      <c r="E1117" s="213" t="s">
        <v>333</v>
      </c>
      <c r="F1117" s="212" t="s">
        <v>4365</v>
      </c>
      <c r="G1117" s="212" t="str">
        <f t="shared" si="52"/>
        <v>101현금</v>
      </c>
      <c r="H1117" s="214">
        <v>0</v>
      </c>
      <c r="I1117" s="214">
        <v>2100</v>
      </c>
      <c r="J1117" s="214">
        <f t="shared" si="53"/>
        <v>2100</v>
      </c>
      <c r="K1117" s="212" t="s">
        <v>6371</v>
      </c>
      <c r="L1117" s="213"/>
      <c r="M1117" s="212"/>
    </row>
    <row r="1118" spans="1:13" ht="21" customHeight="1">
      <c r="A1118" s="217" t="s">
        <v>6766</v>
      </c>
      <c r="B1118" s="215">
        <f t="shared" si="51"/>
        <v>45731</v>
      </c>
      <c r="C1118" s="213" t="s">
        <v>4367</v>
      </c>
      <c r="D1118" s="213" t="s">
        <v>4366</v>
      </c>
      <c r="E1118" s="213" t="s">
        <v>6176</v>
      </c>
      <c r="F1118" s="212" t="s">
        <v>6177</v>
      </c>
      <c r="G1118" s="212" t="str">
        <f t="shared" si="52"/>
        <v>255부가세예수금</v>
      </c>
      <c r="H1118" s="214">
        <v>0</v>
      </c>
      <c r="I1118" s="214">
        <v>20000</v>
      </c>
      <c r="J1118" s="214">
        <f t="shared" si="53"/>
        <v>20000</v>
      </c>
      <c r="K1118" s="212" t="s">
        <v>6263</v>
      </c>
      <c r="L1118" s="213"/>
      <c r="M1118" s="212" t="s">
        <v>6231</v>
      </c>
    </row>
    <row r="1119" spans="1:13" ht="21" customHeight="1">
      <c r="A1119" s="217" t="s">
        <v>6766</v>
      </c>
      <c r="B1119" s="215">
        <f t="shared" si="51"/>
        <v>45731</v>
      </c>
      <c r="C1119" s="213" t="s">
        <v>4367</v>
      </c>
      <c r="D1119" s="213" t="s">
        <v>4366</v>
      </c>
      <c r="E1119" s="213" t="s">
        <v>334</v>
      </c>
      <c r="F1119" s="212" t="s">
        <v>6158</v>
      </c>
      <c r="G1119" s="212" t="str">
        <f t="shared" si="52"/>
        <v>401용역매출</v>
      </c>
      <c r="H1119" s="214">
        <v>0</v>
      </c>
      <c r="I1119" s="214">
        <v>200000</v>
      </c>
      <c r="J1119" s="214">
        <f t="shared" si="53"/>
        <v>200000</v>
      </c>
      <c r="K1119" s="212" t="s">
        <v>6263</v>
      </c>
      <c r="L1119" s="213"/>
      <c r="M1119" s="212" t="s">
        <v>6231</v>
      </c>
    </row>
    <row r="1120" spans="1:13" ht="21" customHeight="1">
      <c r="A1120" s="217" t="s">
        <v>6766</v>
      </c>
      <c r="B1120" s="215">
        <f t="shared" si="51"/>
        <v>45731</v>
      </c>
      <c r="C1120" s="213" t="s">
        <v>4367</v>
      </c>
      <c r="D1120" s="213" t="s">
        <v>4369</v>
      </c>
      <c r="E1120" s="213" t="s">
        <v>333</v>
      </c>
      <c r="F1120" s="212" t="s">
        <v>4365</v>
      </c>
      <c r="G1120" s="212" t="str">
        <f t="shared" si="52"/>
        <v>101현금</v>
      </c>
      <c r="H1120" s="214">
        <v>220000</v>
      </c>
      <c r="I1120" s="214">
        <v>0</v>
      </c>
      <c r="J1120" s="214">
        <f t="shared" si="53"/>
        <v>-220000</v>
      </c>
      <c r="K1120" s="212" t="s">
        <v>6263</v>
      </c>
      <c r="L1120" s="213"/>
      <c r="M1120" s="212" t="s">
        <v>6231</v>
      </c>
    </row>
    <row r="1121" spans="1:13" ht="21" customHeight="1">
      <c r="A1121" s="217" t="s">
        <v>6766</v>
      </c>
      <c r="B1121" s="215">
        <f t="shared" si="51"/>
        <v>45731</v>
      </c>
      <c r="C1121" s="213" t="s">
        <v>4374</v>
      </c>
      <c r="D1121" s="213" t="s">
        <v>4366</v>
      </c>
      <c r="E1121" s="213" t="s">
        <v>6176</v>
      </c>
      <c r="F1121" s="212" t="s">
        <v>6177</v>
      </c>
      <c r="G1121" s="212" t="str">
        <f t="shared" si="52"/>
        <v>255부가세예수금</v>
      </c>
      <c r="H1121" s="214">
        <v>0</v>
      </c>
      <c r="I1121" s="214">
        <v>15000</v>
      </c>
      <c r="J1121" s="214">
        <f t="shared" si="53"/>
        <v>15000</v>
      </c>
      <c r="K1121" s="212" t="s">
        <v>6260</v>
      </c>
      <c r="L1121" s="213"/>
      <c r="M1121" s="212" t="s">
        <v>6179</v>
      </c>
    </row>
    <row r="1122" spans="1:13" ht="21" customHeight="1">
      <c r="A1122" s="217" t="s">
        <v>6766</v>
      </c>
      <c r="B1122" s="215">
        <f t="shared" si="51"/>
        <v>45731</v>
      </c>
      <c r="C1122" s="213" t="s">
        <v>4374</v>
      </c>
      <c r="D1122" s="213" t="s">
        <v>4366</v>
      </c>
      <c r="E1122" s="213" t="s">
        <v>334</v>
      </c>
      <c r="F1122" s="212" t="s">
        <v>6158</v>
      </c>
      <c r="G1122" s="212" t="str">
        <f t="shared" si="52"/>
        <v>401용역매출</v>
      </c>
      <c r="H1122" s="214">
        <v>0</v>
      </c>
      <c r="I1122" s="214">
        <v>150000</v>
      </c>
      <c r="J1122" s="214">
        <f t="shared" si="53"/>
        <v>150000</v>
      </c>
      <c r="K1122" s="212" t="s">
        <v>6260</v>
      </c>
      <c r="L1122" s="213"/>
      <c r="M1122" s="212" t="s">
        <v>6179</v>
      </c>
    </row>
    <row r="1123" spans="1:13" ht="21" customHeight="1">
      <c r="A1123" s="217" t="s">
        <v>6766</v>
      </c>
      <c r="B1123" s="215">
        <f t="shared" si="51"/>
        <v>45731</v>
      </c>
      <c r="C1123" s="213" t="s">
        <v>4374</v>
      </c>
      <c r="D1123" s="213" t="s">
        <v>4369</v>
      </c>
      <c r="E1123" s="213" t="s">
        <v>333</v>
      </c>
      <c r="F1123" s="212" t="s">
        <v>4365</v>
      </c>
      <c r="G1123" s="212" t="str">
        <f t="shared" si="52"/>
        <v>101현금</v>
      </c>
      <c r="H1123" s="214">
        <v>165000</v>
      </c>
      <c r="I1123" s="214">
        <v>0</v>
      </c>
      <c r="J1123" s="214">
        <f t="shared" si="53"/>
        <v>-165000</v>
      </c>
      <c r="K1123" s="212" t="s">
        <v>6260</v>
      </c>
      <c r="L1123" s="213"/>
      <c r="M1123" s="212" t="s">
        <v>6179</v>
      </c>
    </row>
    <row r="1124" spans="1:13" ht="21" customHeight="1">
      <c r="A1124" s="217" t="s">
        <v>6766</v>
      </c>
      <c r="B1124" s="215">
        <f t="shared" si="51"/>
        <v>45731</v>
      </c>
      <c r="C1124" s="213" t="s">
        <v>6182</v>
      </c>
      <c r="D1124" s="213" t="s">
        <v>4366</v>
      </c>
      <c r="E1124" s="213" t="s">
        <v>6176</v>
      </c>
      <c r="F1124" s="212" t="s">
        <v>6177</v>
      </c>
      <c r="G1124" s="212" t="str">
        <f t="shared" si="52"/>
        <v>255부가세예수금</v>
      </c>
      <c r="H1124" s="214">
        <v>0</v>
      </c>
      <c r="I1124" s="214">
        <v>10000</v>
      </c>
      <c r="J1124" s="214">
        <f t="shared" si="53"/>
        <v>10000</v>
      </c>
      <c r="K1124" s="212" t="s">
        <v>6264</v>
      </c>
      <c r="L1124" s="213"/>
      <c r="M1124" s="212" t="s">
        <v>6185</v>
      </c>
    </row>
    <row r="1125" spans="1:13" ht="21" customHeight="1">
      <c r="A1125" s="217" t="s">
        <v>6766</v>
      </c>
      <c r="B1125" s="215">
        <f t="shared" si="51"/>
        <v>45731</v>
      </c>
      <c r="C1125" s="213" t="s">
        <v>6182</v>
      </c>
      <c r="D1125" s="213" t="s">
        <v>4366</v>
      </c>
      <c r="E1125" s="213" t="s">
        <v>334</v>
      </c>
      <c r="F1125" s="212" t="s">
        <v>6158</v>
      </c>
      <c r="G1125" s="212" t="str">
        <f t="shared" si="52"/>
        <v>401용역매출</v>
      </c>
      <c r="H1125" s="214">
        <v>0</v>
      </c>
      <c r="I1125" s="214">
        <v>100000</v>
      </c>
      <c r="J1125" s="214">
        <f t="shared" si="53"/>
        <v>100000</v>
      </c>
      <c r="K1125" s="212" t="s">
        <v>6264</v>
      </c>
      <c r="L1125" s="213"/>
      <c r="M1125" s="212" t="s">
        <v>6185</v>
      </c>
    </row>
    <row r="1126" spans="1:13" ht="21" customHeight="1">
      <c r="A1126" s="217" t="s">
        <v>6766</v>
      </c>
      <c r="B1126" s="215">
        <f t="shared" si="51"/>
        <v>45731</v>
      </c>
      <c r="C1126" s="213" t="s">
        <v>6182</v>
      </c>
      <c r="D1126" s="213" t="s">
        <v>4369</v>
      </c>
      <c r="E1126" s="213" t="s">
        <v>333</v>
      </c>
      <c r="F1126" s="212" t="s">
        <v>4365</v>
      </c>
      <c r="G1126" s="212" t="str">
        <f t="shared" si="52"/>
        <v>101현금</v>
      </c>
      <c r="H1126" s="214">
        <v>110000</v>
      </c>
      <c r="I1126" s="214">
        <v>0</v>
      </c>
      <c r="J1126" s="214">
        <f t="shared" si="53"/>
        <v>-110000</v>
      </c>
      <c r="K1126" s="212" t="s">
        <v>6264</v>
      </c>
      <c r="L1126" s="213"/>
      <c r="M1126" s="212" t="s">
        <v>6185</v>
      </c>
    </row>
    <row r="1127" spans="1:13" ht="21" customHeight="1">
      <c r="A1127" s="217" t="s">
        <v>6766</v>
      </c>
      <c r="B1127" s="215">
        <f t="shared" si="51"/>
        <v>45731</v>
      </c>
      <c r="C1127" s="213" t="s">
        <v>6184</v>
      </c>
      <c r="D1127" s="213" t="s">
        <v>4366</v>
      </c>
      <c r="E1127" s="213" t="s">
        <v>6176</v>
      </c>
      <c r="F1127" s="212" t="s">
        <v>6177</v>
      </c>
      <c r="G1127" s="212" t="str">
        <f t="shared" si="52"/>
        <v>255부가세예수금</v>
      </c>
      <c r="H1127" s="214">
        <v>0</v>
      </c>
      <c r="I1127" s="214">
        <v>12000</v>
      </c>
      <c r="J1127" s="214">
        <f t="shared" si="53"/>
        <v>12000</v>
      </c>
      <c r="K1127" s="212" t="s">
        <v>6309</v>
      </c>
      <c r="L1127" s="213"/>
      <c r="M1127" s="212" t="s">
        <v>6225</v>
      </c>
    </row>
    <row r="1128" spans="1:13" ht="21" customHeight="1">
      <c r="A1128" s="217" t="s">
        <v>6766</v>
      </c>
      <c r="B1128" s="215">
        <f t="shared" si="51"/>
        <v>45731</v>
      </c>
      <c r="C1128" s="213" t="s">
        <v>6184</v>
      </c>
      <c r="D1128" s="213" t="s">
        <v>4366</v>
      </c>
      <c r="E1128" s="213" t="s">
        <v>334</v>
      </c>
      <c r="F1128" s="212" t="s">
        <v>6158</v>
      </c>
      <c r="G1128" s="212" t="str">
        <f t="shared" si="52"/>
        <v>401용역매출</v>
      </c>
      <c r="H1128" s="214">
        <v>0</v>
      </c>
      <c r="I1128" s="214">
        <v>120000</v>
      </c>
      <c r="J1128" s="214">
        <f t="shared" si="53"/>
        <v>120000</v>
      </c>
      <c r="K1128" s="212" t="s">
        <v>6309</v>
      </c>
      <c r="L1128" s="213"/>
      <c r="M1128" s="212" t="s">
        <v>6225</v>
      </c>
    </row>
    <row r="1129" spans="1:13" ht="21" customHeight="1">
      <c r="A1129" s="217" t="s">
        <v>6766</v>
      </c>
      <c r="B1129" s="215">
        <f t="shared" si="51"/>
        <v>45731</v>
      </c>
      <c r="C1129" s="213" t="s">
        <v>6184</v>
      </c>
      <c r="D1129" s="213" t="s">
        <v>4369</v>
      </c>
      <c r="E1129" s="213" t="s">
        <v>333</v>
      </c>
      <c r="F1129" s="212" t="s">
        <v>4365</v>
      </c>
      <c r="G1129" s="212" t="str">
        <f t="shared" si="52"/>
        <v>101현금</v>
      </c>
      <c r="H1129" s="214">
        <v>132000</v>
      </c>
      <c r="I1129" s="214">
        <v>0</v>
      </c>
      <c r="J1129" s="214">
        <f t="shared" si="53"/>
        <v>-132000</v>
      </c>
      <c r="K1129" s="212" t="s">
        <v>6309</v>
      </c>
      <c r="L1129" s="213"/>
      <c r="M1129" s="212" t="s">
        <v>6225</v>
      </c>
    </row>
    <row r="1130" spans="1:13" ht="21" customHeight="1">
      <c r="A1130" s="217" t="s">
        <v>6766</v>
      </c>
      <c r="B1130" s="215">
        <f t="shared" si="51"/>
        <v>45731</v>
      </c>
      <c r="C1130" s="213" t="s">
        <v>6186</v>
      </c>
      <c r="D1130" s="213" t="s">
        <v>4366</v>
      </c>
      <c r="E1130" s="213" t="s">
        <v>6176</v>
      </c>
      <c r="F1130" s="212" t="s">
        <v>6177</v>
      </c>
      <c r="G1130" s="212" t="str">
        <f t="shared" si="52"/>
        <v>255부가세예수금</v>
      </c>
      <c r="H1130" s="214">
        <v>0</v>
      </c>
      <c r="I1130" s="214">
        <v>7000</v>
      </c>
      <c r="J1130" s="214">
        <f t="shared" si="53"/>
        <v>7000</v>
      </c>
      <c r="K1130" s="212" t="s">
        <v>6259</v>
      </c>
      <c r="L1130" s="213"/>
      <c r="M1130" s="212" t="s">
        <v>6287</v>
      </c>
    </row>
    <row r="1131" spans="1:13" ht="21" customHeight="1">
      <c r="A1131" s="217" t="s">
        <v>6766</v>
      </c>
      <c r="B1131" s="215">
        <f t="shared" si="51"/>
        <v>45731</v>
      </c>
      <c r="C1131" s="213" t="s">
        <v>6186</v>
      </c>
      <c r="D1131" s="213" t="s">
        <v>4366</v>
      </c>
      <c r="E1131" s="213" t="s">
        <v>334</v>
      </c>
      <c r="F1131" s="212" t="s">
        <v>6158</v>
      </c>
      <c r="G1131" s="212" t="str">
        <f t="shared" si="52"/>
        <v>401용역매출</v>
      </c>
      <c r="H1131" s="214">
        <v>0</v>
      </c>
      <c r="I1131" s="214">
        <v>70000</v>
      </c>
      <c r="J1131" s="214">
        <f t="shared" si="53"/>
        <v>70000</v>
      </c>
      <c r="K1131" s="212" t="s">
        <v>6259</v>
      </c>
      <c r="L1131" s="213"/>
      <c r="M1131" s="212" t="s">
        <v>6287</v>
      </c>
    </row>
    <row r="1132" spans="1:13" ht="21" customHeight="1">
      <c r="A1132" s="217" t="s">
        <v>6766</v>
      </c>
      <c r="B1132" s="215">
        <f t="shared" si="51"/>
        <v>45731</v>
      </c>
      <c r="C1132" s="213" t="s">
        <v>6186</v>
      </c>
      <c r="D1132" s="213" t="s">
        <v>4369</v>
      </c>
      <c r="E1132" s="213" t="s">
        <v>333</v>
      </c>
      <c r="F1132" s="212" t="s">
        <v>4365</v>
      </c>
      <c r="G1132" s="212" t="str">
        <f t="shared" si="52"/>
        <v>101현금</v>
      </c>
      <c r="H1132" s="214">
        <v>77000</v>
      </c>
      <c r="I1132" s="214">
        <v>0</v>
      </c>
      <c r="J1132" s="214">
        <f t="shared" si="53"/>
        <v>-77000</v>
      </c>
      <c r="K1132" s="212" t="s">
        <v>6259</v>
      </c>
      <c r="L1132" s="213"/>
      <c r="M1132" s="212" t="s">
        <v>6287</v>
      </c>
    </row>
    <row r="1133" spans="1:13" ht="21" customHeight="1">
      <c r="A1133" s="217" t="s">
        <v>6766</v>
      </c>
      <c r="B1133" s="215">
        <f t="shared" si="51"/>
        <v>45731</v>
      </c>
      <c r="C1133" s="213" t="s">
        <v>6189</v>
      </c>
      <c r="D1133" s="213" t="s">
        <v>4366</v>
      </c>
      <c r="E1133" s="213" t="s">
        <v>6176</v>
      </c>
      <c r="F1133" s="212" t="s">
        <v>6177</v>
      </c>
      <c r="G1133" s="212" t="str">
        <f t="shared" si="52"/>
        <v>255부가세예수금</v>
      </c>
      <c r="H1133" s="214">
        <v>0</v>
      </c>
      <c r="I1133" s="214">
        <v>10000</v>
      </c>
      <c r="J1133" s="214">
        <f t="shared" si="53"/>
        <v>10000</v>
      </c>
      <c r="K1133" s="212" t="s">
        <v>6408</v>
      </c>
      <c r="L1133" s="213"/>
      <c r="M1133" s="212" t="s">
        <v>6185</v>
      </c>
    </row>
    <row r="1134" spans="1:13" ht="21" customHeight="1">
      <c r="A1134" s="217" t="s">
        <v>6766</v>
      </c>
      <c r="B1134" s="215">
        <f t="shared" si="51"/>
        <v>45731</v>
      </c>
      <c r="C1134" s="213" t="s">
        <v>6189</v>
      </c>
      <c r="D1134" s="213" t="s">
        <v>4366</v>
      </c>
      <c r="E1134" s="213" t="s">
        <v>334</v>
      </c>
      <c r="F1134" s="212" t="s">
        <v>6158</v>
      </c>
      <c r="G1134" s="212" t="str">
        <f t="shared" si="52"/>
        <v>401용역매출</v>
      </c>
      <c r="H1134" s="214">
        <v>0</v>
      </c>
      <c r="I1134" s="214">
        <v>100000</v>
      </c>
      <c r="J1134" s="214">
        <f t="shared" si="53"/>
        <v>100000</v>
      </c>
      <c r="K1134" s="212" t="s">
        <v>6408</v>
      </c>
      <c r="L1134" s="213"/>
      <c r="M1134" s="212" t="s">
        <v>6185</v>
      </c>
    </row>
    <row r="1135" spans="1:13" ht="21" customHeight="1">
      <c r="A1135" s="217" t="s">
        <v>6766</v>
      </c>
      <c r="B1135" s="215">
        <f t="shared" si="51"/>
        <v>45731</v>
      </c>
      <c r="C1135" s="213" t="s">
        <v>6189</v>
      </c>
      <c r="D1135" s="213" t="s">
        <v>4369</v>
      </c>
      <c r="E1135" s="213" t="s">
        <v>333</v>
      </c>
      <c r="F1135" s="212" t="s">
        <v>4365</v>
      </c>
      <c r="G1135" s="212" t="str">
        <f t="shared" si="52"/>
        <v>101현금</v>
      </c>
      <c r="H1135" s="214">
        <v>110000</v>
      </c>
      <c r="I1135" s="214">
        <v>0</v>
      </c>
      <c r="J1135" s="214">
        <f t="shared" si="53"/>
        <v>-110000</v>
      </c>
      <c r="K1135" s="212" t="s">
        <v>6408</v>
      </c>
      <c r="L1135" s="213"/>
      <c r="M1135" s="212" t="s">
        <v>6185</v>
      </c>
    </row>
    <row r="1136" spans="1:13" ht="21" customHeight="1">
      <c r="A1136" s="217" t="s">
        <v>6766</v>
      </c>
      <c r="B1136" s="215">
        <f t="shared" si="51"/>
        <v>45731</v>
      </c>
      <c r="C1136" s="213" t="s">
        <v>6191</v>
      </c>
      <c r="D1136" s="213" t="s">
        <v>4366</v>
      </c>
      <c r="E1136" s="213" t="s">
        <v>6176</v>
      </c>
      <c r="F1136" s="212" t="s">
        <v>6177</v>
      </c>
      <c r="G1136" s="212" t="str">
        <f t="shared" si="52"/>
        <v>255부가세예수금</v>
      </c>
      <c r="H1136" s="214">
        <v>0</v>
      </c>
      <c r="I1136" s="214">
        <v>10000</v>
      </c>
      <c r="J1136" s="214">
        <f t="shared" si="53"/>
        <v>10000</v>
      </c>
      <c r="K1136" s="212" t="s">
        <v>6261</v>
      </c>
      <c r="L1136" s="213"/>
      <c r="M1136" s="212" t="s">
        <v>6185</v>
      </c>
    </row>
    <row r="1137" spans="1:13" ht="21" customHeight="1">
      <c r="A1137" s="217" t="s">
        <v>6766</v>
      </c>
      <c r="B1137" s="215">
        <f t="shared" si="51"/>
        <v>45731</v>
      </c>
      <c r="C1137" s="213" t="s">
        <v>6191</v>
      </c>
      <c r="D1137" s="213" t="s">
        <v>4366</v>
      </c>
      <c r="E1137" s="213" t="s">
        <v>334</v>
      </c>
      <c r="F1137" s="212" t="s">
        <v>6158</v>
      </c>
      <c r="G1137" s="212" t="str">
        <f t="shared" si="52"/>
        <v>401용역매출</v>
      </c>
      <c r="H1137" s="214">
        <v>0</v>
      </c>
      <c r="I1137" s="214">
        <v>100000</v>
      </c>
      <c r="J1137" s="214">
        <f t="shared" si="53"/>
        <v>100000</v>
      </c>
      <c r="K1137" s="212" t="s">
        <v>6261</v>
      </c>
      <c r="L1137" s="213"/>
      <c r="M1137" s="212" t="s">
        <v>6185</v>
      </c>
    </row>
    <row r="1138" spans="1:13" ht="21" customHeight="1">
      <c r="A1138" s="217" t="s">
        <v>6766</v>
      </c>
      <c r="B1138" s="215">
        <f t="shared" si="51"/>
        <v>45731</v>
      </c>
      <c r="C1138" s="213" t="s">
        <v>6191</v>
      </c>
      <c r="D1138" s="213" t="s">
        <v>4369</v>
      </c>
      <c r="E1138" s="213" t="s">
        <v>333</v>
      </c>
      <c r="F1138" s="212" t="s">
        <v>4365</v>
      </c>
      <c r="G1138" s="212" t="str">
        <f t="shared" si="52"/>
        <v>101현금</v>
      </c>
      <c r="H1138" s="214">
        <v>110000</v>
      </c>
      <c r="I1138" s="214">
        <v>0</v>
      </c>
      <c r="J1138" s="214">
        <f t="shared" si="53"/>
        <v>-110000</v>
      </c>
      <c r="K1138" s="212" t="s">
        <v>6261</v>
      </c>
      <c r="L1138" s="213"/>
      <c r="M1138" s="212" t="s">
        <v>6185</v>
      </c>
    </row>
    <row r="1139" spans="1:13" ht="21" customHeight="1">
      <c r="A1139" s="217" t="s">
        <v>6766</v>
      </c>
      <c r="B1139" s="215">
        <f t="shared" si="51"/>
        <v>45731</v>
      </c>
      <c r="C1139" s="213" t="s">
        <v>6216</v>
      </c>
      <c r="D1139" s="213" t="s">
        <v>4366</v>
      </c>
      <c r="E1139" s="213" t="s">
        <v>6176</v>
      </c>
      <c r="F1139" s="212" t="s">
        <v>6177</v>
      </c>
      <c r="G1139" s="212" t="str">
        <f t="shared" si="52"/>
        <v>255부가세예수금</v>
      </c>
      <c r="H1139" s="214">
        <v>0</v>
      </c>
      <c r="I1139" s="214">
        <v>10000</v>
      </c>
      <c r="J1139" s="214">
        <f t="shared" si="53"/>
        <v>10000</v>
      </c>
      <c r="K1139" s="212" t="s">
        <v>6262</v>
      </c>
      <c r="L1139" s="213"/>
      <c r="M1139" s="212" t="s">
        <v>6185</v>
      </c>
    </row>
    <row r="1140" spans="1:13" ht="21" customHeight="1">
      <c r="A1140" s="217" t="s">
        <v>6766</v>
      </c>
      <c r="B1140" s="215">
        <f t="shared" si="51"/>
        <v>45731</v>
      </c>
      <c r="C1140" s="213" t="s">
        <v>6216</v>
      </c>
      <c r="D1140" s="213" t="s">
        <v>4366</v>
      </c>
      <c r="E1140" s="213" t="s">
        <v>334</v>
      </c>
      <c r="F1140" s="212" t="s">
        <v>6158</v>
      </c>
      <c r="G1140" s="212" t="str">
        <f t="shared" si="52"/>
        <v>401용역매출</v>
      </c>
      <c r="H1140" s="214">
        <v>0</v>
      </c>
      <c r="I1140" s="214">
        <v>100000</v>
      </c>
      <c r="J1140" s="214">
        <f t="shared" si="53"/>
        <v>100000</v>
      </c>
      <c r="K1140" s="212" t="s">
        <v>6262</v>
      </c>
      <c r="L1140" s="213"/>
      <c r="M1140" s="212" t="s">
        <v>6185</v>
      </c>
    </row>
    <row r="1141" spans="1:13" ht="21" customHeight="1">
      <c r="A1141" s="217" t="s">
        <v>6766</v>
      </c>
      <c r="B1141" s="215">
        <f t="shared" si="51"/>
        <v>45731</v>
      </c>
      <c r="C1141" s="213" t="s">
        <v>6216</v>
      </c>
      <c r="D1141" s="213" t="s">
        <v>4369</v>
      </c>
      <c r="E1141" s="213" t="s">
        <v>333</v>
      </c>
      <c r="F1141" s="212" t="s">
        <v>4365</v>
      </c>
      <c r="G1141" s="212" t="str">
        <f t="shared" si="52"/>
        <v>101현금</v>
      </c>
      <c r="H1141" s="214">
        <v>110000</v>
      </c>
      <c r="I1141" s="214">
        <v>0</v>
      </c>
      <c r="J1141" s="214">
        <f t="shared" si="53"/>
        <v>-110000</v>
      </c>
      <c r="K1141" s="212" t="s">
        <v>6262</v>
      </c>
      <c r="L1141" s="213"/>
      <c r="M1141" s="212" t="s">
        <v>6185</v>
      </c>
    </row>
    <row r="1142" spans="1:13" ht="21" customHeight="1">
      <c r="A1142" s="217" t="s">
        <v>6766</v>
      </c>
      <c r="B1142" s="215">
        <f t="shared" si="51"/>
        <v>45731</v>
      </c>
      <c r="C1142" s="213" t="s">
        <v>6217</v>
      </c>
      <c r="D1142" s="213" t="s">
        <v>4366</v>
      </c>
      <c r="E1142" s="213" t="s">
        <v>6176</v>
      </c>
      <c r="F1142" s="212" t="s">
        <v>6177</v>
      </c>
      <c r="G1142" s="212" t="str">
        <f t="shared" si="52"/>
        <v>255부가세예수금</v>
      </c>
      <c r="H1142" s="214">
        <v>0</v>
      </c>
      <c r="I1142" s="214">
        <v>10000</v>
      </c>
      <c r="J1142" s="214">
        <f t="shared" si="53"/>
        <v>10000</v>
      </c>
      <c r="K1142" s="212" t="s">
        <v>6209</v>
      </c>
      <c r="L1142" s="213"/>
      <c r="M1142" s="212" t="s">
        <v>6185</v>
      </c>
    </row>
    <row r="1143" spans="1:13" ht="21" customHeight="1">
      <c r="A1143" s="217" t="s">
        <v>6766</v>
      </c>
      <c r="B1143" s="215">
        <f t="shared" si="51"/>
        <v>45731</v>
      </c>
      <c r="C1143" s="213" t="s">
        <v>6217</v>
      </c>
      <c r="D1143" s="213" t="s">
        <v>4366</v>
      </c>
      <c r="E1143" s="213" t="s">
        <v>334</v>
      </c>
      <c r="F1143" s="212" t="s">
        <v>6158</v>
      </c>
      <c r="G1143" s="212" t="str">
        <f t="shared" si="52"/>
        <v>401용역매출</v>
      </c>
      <c r="H1143" s="214">
        <v>0</v>
      </c>
      <c r="I1143" s="214">
        <v>100000</v>
      </c>
      <c r="J1143" s="214">
        <f t="shared" si="53"/>
        <v>100000</v>
      </c>
      <c r="K1143" s="212" t="s">
        <v>6209</v>
      </c>
      <c r="L1143" s="213"/>
      <c r="M1143" s="212" t="s">
        <v>6185</v>
      </c>
    </row>
    <row r="1144" spans="1:13" ht="21" customHeight="1">
      <c r="A1144" s="217" t="s">
        <v>6766</v>
      </c>
      <c r="B1144" s="215">
        <f t="shared" si="51"/>
        <v>45731</v>
      </c>
      <c r="C1144" s="213" t="s">
        <v>6217</v>
      </c>
      <c r="D1144" s="213" t="s">
        <v>4369</v>
      </c>
      <c r="E1144" s="213" t="s">
        <v>333</v>
      </c>
      <c r="F1144" s="212" t="s">
        <v>4365</v>
      </c>
      <c r="G1144" s="212" t="str">
        <f t="shared" si="52"/>
        <v>101현금</v>
      </c>
      <c r="H1144" s="214">
        <v>110000</v>
      </c>
      <c r="I1144" s="214">
        <v>0</v>
      </c>
      <c r="J1144" s="214">
        <f t="shared" si="53"/>
        <v>-110000</v>
      </c>
      <c r="K1144" s="212" t="s">
        <v>6209</v>
      </c>
      <c r="L1144" s="213"/>
      <c r="M1144" s="212" t="s">
        <v>6185</v>
      </c>
    </row>
    <row r="1145" spans="1:13" ht="21" customHeight="1">
      <c r="A1145" s="217" t="s">
        <v>6766</v>
      </c>
      <c r="B1145" s="215">
        <f t="shared" si="51"/>
        <v>45731</v>
      </c>
      <c r="C1145" s="213" t="s">
        <v>6218</v>
      </c>
      <c r="D1145" s="213" t="s">
        <v>4366</v>
      </c>
      <c r="E1145" s="213" t="s">
        <v>6176</v>
      </c>
      <c r="F1145" s="212" t="s">
        <v>6177</v>
      </c>
      <c r="G1145" s="212" t="str">
        <f t="shared" si="52"/>
        <v>255부가세예수금</v>
      </c>
      <c r="H1145" s="214">
        <v>0</v>
      </c>
      <c r="I1145" s="214">
        <v>15000</v>
      </c>
      <c r="J1145" s="214">
        <f t="shared" si="53"/>
        <v>15000</v>
      </c>
      <c r="K1145" s="212" t="s">
        <v>6211</v>
      </c>
      <c r="L1145" s="213"/>
      <c r="M1145" s="212" t="s">
        <v>6179</v>
      </c>
    </row>
    <row r="1146" spans="1:13" ht="21" customHeight="1">
      <c r="A1146" s="217" t="s">
        <v>6766</v>
      </c>
      <c r="B1146" s="215">
        <f t="shared" si="51"/>
        <v>45731</v>
      </c>
      <c r="C1146" s="213" t="s">
        <v>6218</v>
      </c>
      <c r="D1146" s="213" t="s">
        <v>4366</v>
      </c>
      <c r="E1146" s="213" t="s">
        <v>334</v>
      </c>
      <c r="F1146" s="212" t="s">
        <v>6158</v>
      </c>
      <c r="G1146" s="212" t="str">
        <f t="shared" si="52"/>
        <v>401용역매출</v>
      </c>
      <c r="H1146" s="214">
        <v>0</v>
      </c>
      <c r="I1146" s="214">
        <v>150000</v>
      </c>
      <c r="J1146" s="214">
        <f t="shared" si="53"/>
        <v>150000</v>
      </c>
      <c r="K1146" s="212" t="s">
        <v>6211</v>
      </c>
      <c r="L1146" s="213"/>
      <c r="M1146" s="212" t="s">
        <v>6179</v>
      </c>
    </row>
    <row r="1147" spans="1:13" ht="21" customHeight="1">
      <c r="A1147" s="217" t="s">
        <v>6766</v>
      </c>
      <c r="B1147" s="215">
        <f t="shared" si="51"/>
        <v>45731</v>
      </c>
      <c r="C1147" s="213" t="s">
        <v>6218</v>
      </c>
      <c r="D1147" s="213" t="s">
        <v>4369</v>
      </c>
      <c r="E1147" s="213" t="s">
        <v>333</v>
      </c>
      <c r="F1147" s="212" t="s">
        <v>4365</v>
      </c>
      <c r="G1147" s="212" t="str">
        <f t="shared" si="52"/>
        <v>101현금</v>
      </c>
      <c r="H1147" s="214">
        <v>165000</v>
      </c>
      <c r="I1147" s="214">
        <v>0</v>
      </c>
      <c r="J1147" s="214">
        <f t="shared" si="53"/>
        <v>-165000</v>
      </c>
      <c r="K1147" s="212" t="s">
        <v>6211</v>
      </c>
      <c r="L1147" s="213"/>
      <c r="M1147" s="212" t="s">
        <v>6179</v>
      </c>
    </row>
    <row r="1148" spans="1:13" ht="21" customHeight="1">
      <c r="A1148" s="217" t="s">
        <v>6766</v>
      </c>
      <c r="B1148" s="215">
        <f t="shared" si="51"/>
        <v>45731</v>
      </c>
      <c r="C1148" s="213" t="s">
        <v>6238</v>
      </c>
      <c r="D1148" s="213" t="s">
        <v>4366</v>
      </c>
      <c r="E1148" s="213" t="s">
        <v>6176</v>
      </c>
      <c r="F1148" s="212" t="s">
        <v>6177</v>
      </c>
      <c r="G1148" s="212" t="str">
        <f t="shared" si="52"/>
        <v>255부가세예수금</v>
      </c>
      <c r="H1148" s="214">
        <v>0</v>
      </c>
      <c r="I1148" s="214">
        <v>10000</v>
      </c>
      <c r="J1148" s="214">
        <f t="shared" si="53"/>
        <v>10000</v>
      </c>
      <c r="K1148" s="212" t="s">
        <v>6210</v>
      </c>
      <c r="L1148" s="213"/>
      <c r="M1148" s="212" t="s">
        <v>6185</v>
      </c>
    </row>
    <row r="1149" spans="1:13" ht="21" customHeight="1">
      <c r="A1149" s="217" t="s">
        <v>6766</v>
      </c>
      <c r="B1149" s="215">
        <f t="shared" si="51"/>
        <v>45731</v>
      </c>
      <c r="C1149" s="213" t="s">
        <v>6238</v>
      </c>
      <c r="D1149" s="213" t="s">
        <v>4366</v>
      </c>
      <c r="E1149" s="213" t="s">
        <v>334</v>
      </c>
      <c r="F1149" s="212" t="s">
        <v>6158</v>
      </c>
      <c r="G1149" s="212" t="str">
        <f t="shared" si="52"/>
        <v>401용역매출</v>
      </c>
      <c r="H1149" s="214">
        <v>0</v>
      </c>
      <c r="I1149" s="214">
        <v>100000</v>
      </c>
      <c r="J1149" s="214">
        <f t="shared" si="53"/>
        <v>100000</v>
      </c>
      <c r="K1149" s="212" t="s">
        <v>6210</v>
      </c>
      <c r="L1149" s="213"/>
      <c r="M1149" s="212" t="s">
        <v>6185</v>
      </c>
    </row>
    <row r="1150" spans="1:13" ht="21" customHeight="1">
      <c r="A1150" s="217" t="s">
        <v>6766</v>
      </c>
      <c r="B1150" s="215">
        <f t="shared" si="51"/>
        <v>45731</v>
      </c>
      <c r="C1150" s="213" t="s">
        <v>6238</v>
      </c>
      <c r="D1150" s="213" t="s">
        <v>4369</v>
      </c>
      <c r="E1150" s="213" t="s">
        <v>333</v>
      </c>
      <c r="F1150" s="212" t="s">
        <v>4365</v>
      </c>
      <c r="G1150" s="212" t="str">
        <f t="shared" si="52"/>
        <v>101현금</v>
      </c>
      <c r="H1150" s="214">
        <v>110000</v>
      </c>
      <c r="I1150" s="214">
        <v>0</v>
      </c>
      <c r="J1150" s="214">
        <f t="shared" si="53"/>
        <v>-110000</v>
      </c>
      <c r="K1150" s="212" t="s">
        <v>6210</v>
      </c>
      <c r="L1150" s="213"/>
      <c r="M1150" s="212" t="s">
        <v>6185</v>
      </c>
    </row>
    <row r="1151" spans="1:13" ht="21" customHeight="1">
      <c r="A1151" s="217" t="s">
        <v>6766</v>
      </c>
      <c r="B1151" s="215">
        <f t="shared" si="51"/>
        <v>45731</v>
      </c>
      <c r="C1151" s="213" t="s">
        <v>6240</v>
      </c>
      <c r="D1151" s="213" t="s">
        <v>4366</v>
      </c>
      <c r="E1151" s="213" t="s">
        <v>6176</v>
      </c>
      <c r="F1151" s="212" t="s">
        <v>6177</v>
      </c>
      <c r="G1151" s="212" t="str">
        <f t="shared" si="52"/>
        <v>255부가세예수금</v>
      </c>
      <c r="H1151" s="214">
        <v>0</v>
      </c>
      <c r="I1151" s="214">
        <v>13637</v>
      </c>
      <c r="J1151" s="214">
        <f t="shared" si="53"/>
        <v>13637</v>
      </c>
      <c r="K1151" s="212" t="s">
        <v>6204</v>
      </c>
      <c r="L1151" s="213"/>
      <c r="M1151" s="212" t="s">
        <v>6380</v>
      </c>
    </row>
    <row r="1152" spans="1:13" ht="21" customHeight="1">
      <c r="A1152" s="217" t="s">
        <v>6766</v>
      </c>
      <c r="B1152" s="215">
        <f t="shared" si="51"/>
        <v>45731</v>
      </c>
      <c r="C1152" s="213" t="s">
        <v>6240</v>
      </c>
      <c r="D1152" s="213" t="s">
        <v>4366</v>
      </c>
      <c r="E1152" s="213" t="s">
        <v>334</v>
      </c>
      <c r="F1152" s="212" t="s">
        <v>6158</v>
      </c>
      <c r="G1152" s="212" t="str">
        <f t="shared" si="52"/>
        <v>401용역매출</v>
      </c>
      <c r="H1152" s="214">
        <v>0</v>
      </c>
      <c r="I1152" s="214">
        <v>136363</v>
      </c>
      <c r="J1152" s="214">
        <f t="shared" si="53"/>
        <v>136363</v>
      </c>
      <c r="K1152" s="212" t="s">
        <v>6204</v>
      </c>
      <c r="L1152" s="213"/>
      <c r="M1152" s="212" t="s">
        <v>6380</v>
      </c>
    </row>
    <row r="1153" spans="1:13" ht="21" customHeight="1">
      <c r="A1153" s="217" t="s">
        <v>6766</v>
      </c>
      <c r="B1153" s="215">
        <f t="shared" si="51"/>
        <v>45731</v>
      </c>
      <c r="C1153" s="213" t="s">
        <v>6240</v>
      </c>
      <c r="D1153" s="213" t="s">
        <v>4369</v>
      </c>
      <c r="E1153" s="213" t="s">
        <v>333</v>
      </c>
      <c r="F1153" s="212" t="s">
        <v>4365</v>
      </c>
      <c r="G1153" s="212" t="str">
        <f t="shared" si="52"/>
        <v>101현금</v>
      </c>
      <c r="H1153" s="214">
        <v>150000</v>
      </c>
      <c r="I1153" s="214">
        <v>0</v>
      </c>
      <c r="J1153" s="214">
        <f t="shared" si="53"/>
        <v>-150000</v>
      </c>
      <c r="K1153" s="212" t="s">
        <v>6204</v>
      </c>
      <c r="L1153" s="213"/>
      <c r="M1153" s="212" t="s">
        <v>6380</v>
      </c>
    </row>
    <row r="1154" spans="1:13" ht="21" customHeight="1">
      <c r="A1154" s="217" t="s">
        <v>6766</v>
      </c>
      <c r="B1154" s="215">
        <f t="shared" ref="B1154:B1217" si="54">DATEVALUE(A1154)</f>
        <v>45731</v>
      </c>
      <c r="C1154" s="213" t="s">
        <v>6241</v>
      </c>
      <c r="D1154" s="213" t="s">
        <v>4366</v>
      </c>
      <c r="E1154" s="213" t="s">
        <v>333</v>
      </c>
      <c r="F1154" s="212" t="s">
        <v>4365</v>
      </c>
      <c r="G1154" s="212" t="str">
        <f t="shared" ref="G1154:G1217" si="55">E1154&amp;F1154</f>
        <v>101현금</v>
      </c>
      <c r="H1154" s="214">
        <v>0</v>
      </c>
      <c r="I1154" s="214">
        <v>6900</v>
      </c>
      <c r="J1154" s="214">
        <f t="shared" ref="J1154:J1217" si="56">I1154-H1154</f>
        <v>6900</v>
      </c>
      <c r="K1154" s="212" t="s">
        <v>6371</v>
      </c>
      <c r="L1154" s="213"/>
      <c r="M1154" s="212"/>
    </row>
    <row r="1155" spans="1:13" ht="21" customHeight="1">
      <c r="A1155" s="217" t="s">
        <v>6766</v>
      </c>
      <c r="B1155" s="215">
        <f t="shared" si="54"/>
        <v>45731</v>
      </c>
      <c r="C1155" s="213" t="s">
        <v>6241</v>
      </c>
      <c r="D1155" s="213" t="s">
        <v>4369</v>
      </c>
      <c r="E1155" s="213" t="s">
        <v>4383</v>
      </c>
      <c r="F1155" s="212" t="s">
        <v>6525</v>
      </c>
      <c r="G1155" s="212" t="str">
        <f t="shared" si="55"/>
        <v>830소모품비(판)</v>
      </c>
      <c r="H1155" s="214">
        <v>6273</v>
      </c>
      <c r="I1155" s="214">
        <v>0</v>
      </c>
      <c r="J1155" s="214">
        <f t="shared" si="56"/>
        <v>-6273</v>
      </c>
      <c r="K1155" s="212" t="s">
        <v>6174</v>
      </c>
      <c r="L1155" s="213" t="s">
        <v>6411</v>
      </c>
      <c r="M1155" s="212"/>
    </row>
    <row r="1156" spans="1:13" ht="21" customHeight="1">
      <c r="A1156" s="217" t="s">
        <v>6766</v>
      </c>
      <c r="B1156" s="215">
        <f t="shared" si="54"/>
        <v>45731</v>
      </c>
      <c r="C1156" s="213" t="s">
        <v>6241</v>
      </c>
      <c r="D1156" s="213" t="s">
        <v>4369</v>
      </c>
      <c r="E1156" s="213" t="s">
        <v>4371</v>
      </c>
      <c r="F1156" s="212" t="s">
        <v>4370</v>
      </c>
      <c r="G1156" s="212" t="str">
        <f t="shared" si="55"/>
        <v>135부가세대급금</v>
      </c>
      <c r="H1156" s="214">
        <v>627</v>
      </c>
      <c r="I1156" s="214">
        <v>0</v>
      </c>
      <c r="J1156" s="214">
        <f t="shared" si="56"/>
        <v>-627</v>
      </c>
      <c r="K1156" s="212" t="s">
        <v>6174</v>
      </c>
      <c r="L1156" s="213" t="s">
        <v>6411</v>
      </c>
      <c r="M1156" s="212"/>
    </row>
    <row r="1157" spans="1:13" ht="21" customHeight="1">
      <c r="A1157" s="217" t="s">
        <v>6766</v>
      </c>
      <c r="B1157" s="215">
        <f t="shared" si="54"/>
        <v>45731</v>
      </c>
      <c r="C1157" s="213" t="s">
        <v>6243</v>
      </c>
      <c r="D1157" s="213" t="s">
        <v>4369</v>
      </c>
      <c r="E1157" s="213" t="s">
        <v>4371</v>
      </c>
      <c r="F1157" s="212" t="s">
        <v>4370</v>
      </c>
      <c r="G1157" s="212" t="str">
        <f t="shared" si="55"/>
        <v>135부가세대급금</v>
      </c>
      <c r="H1157" s="214">
        <v>1445</v>
      </c>
      <c r="I1157" s="214">
        <v>0</v>
      </c>
      <c r="J1157" s="214">
        <f t="shared" si="56"/>
        <v>-1445</v>
      </c>
      <c r="K1157" s="212" t="s">
        <v>6673</v>
      </c>
      <c r="L1157" s="213"/>
      <c r="M1157" s="212"/>
    </row>
    <row r="1158" spans="1:13" ht="21" customHeight="1">
      <c r="A1158" s="217" t="s">
        <v>6766</v>
      </c>
      <c r="B1158" s="215">
        <f t="shared" si="54"/>
        <v>45731</v>
      </c>
      <c r="C1158" s="213" t="s">
        <v>6243</v>
      </c>
      <c r="D1158" s="213" t="s">
        <v>4369</v>
      </c>
      <c r="E1158" s="213" t="s">
        <v>4383</v>
      </c>
      <c r="F1158" s="212" t="s">
        <v>6525</v>
      </c>
      <c r="G1158" s="212" t="str">
        <f t="shared" si="55"/>
        <v>830소모품비(판)</v>
      </c>
      <c r="H1158" s="214">
        <v>14455</v>
      </c>
      <c r="I1158" s="214">
        <v>0</v>
      </c>
      <c r="J1158" s="214">
        <f t="shared" si="56"/>
        <v>-14455</v>
      </c>
      <c r="K1158" s="212" t="s">
        <v>6673</v>
      </c>
      <c r="L1158" s="213"/>
      <c r="M1158" s="212"/>
    </row>
    <row r="1159" spans="1:13" ht="21" customHeight="1">
      <c r="A1159" s="217" t="s">
        <v>6766</v>
      </c>
      <c r="B1159" s="215">
        <f t="shared" si="54"/>
        <v>45731</v>
      </c>
      <c r="C1159" s="213" t="s">
        <v>6243</v>
      </c>
      <c r="D1159" s="213" t="s">
        <v>4366</v>
      </c>
      <c r="E1159" s="213" t="s">
        <v>333</v>
      </c>
      <c r="F1159" s="212" t="s">
        <v>4365</v>
      </c>
      <c r="G1159" s="212" t="str">
        <f t="shared" si="55"/>
        <v>101현금</v>
      </c>
      <c r="H1159" s="214">
        <v>0</v>
      </c>
      <c r="I1159" s="214">
        <v>15900</v>
      </c>
      <c r="J1159" s="214">
        <f t="shared" si="56"/>
        <v>15900</v>
      </c>
      <c r="K1159" s="212" t="s">
        <v>6371</v>
      </c>
      <c r="L1159" s="213"/>
      <c r="M1159" s="212"/>
    </row>
    <row r="1160" spans="1:13" ht="21" customHeight="1">
      <c r="A1160" s="216" t="s">
        <v>6765</v>
      </c>
      <c r="B1160" s="215">
        <f t="shared" si="54"/>
        <v>45732</v>
      </c>
      <c r="C1160" s="213" t="s">
        <v>4373</v>
      </c>
      <c r="D1160" s="213" t="s">
        <v>4369</v>
      </c>
      <c r="E1160" s="213" t="s">
        <v>4383</v>
      </c>
      <c r="F1160" s="212" t="s">
        <v>6525</v>
      </c>
      <c r="G1160" s="212" t="str">
        <f t="shared" si="55"/>
        <v>830소모품비(판)</v>
      </c>
      <c r="H1160" s="214">
        <v>2700</v>
      </c>
      <c r="I1160" s="214">
        <v>0</v>
      </c>
      <c r="J1160" s="214">
        <f t="shared" si="56"/>
        <v>-2700</v>
      </c>
      <c r="K1160" s="212" t="s">
        <v>6357</v>
      </c>
      <c r="L1160" s="213"/>
      <c r="M1160" s="212"/>
    </row>
    <row r="1161" spans="1:13" ht="21" customHeight="1">
      <c r="A1161" s="216" t="s">
        <v>6765</v>
      </c>
      <c r="B1161" s="215">
        <f t="shared" si="54"/>
        <v>45732</v>
      </c>
      <c r="C1161" s="213" t="s">
        <v>4373</v>
      </c>
      <c r="D1161" s="213" t="s">
        <v>4366</v>
      </c>
      <c r="E1161" s="213" t="s">
        <v>333</v>
      </c>
      <c r="F1161" s="212" t="s">
        <v>4365</v>
      </c>
      <c r="G1161" s="212" t="str">
        <f t="shared" si="55"/>
        <v>101현금</v>
      </c>
      <c r="H1161" s="214">
        <v>0</v>
      </c>
      <c r="I1161" s="214">
        <v>2700</v>
      </c>
      <c r="J1161" s="214">
        <f t="shared" si="56"/>
        <v>2700</v>
      </c>
      <c r="K1161" s="212" t="s">
        <v>6371</v>
      </c>
      <c r="L1161" s="213"/>
      <c r="M1161" s="212"/>
    </row>
    <row r="1162" spans="1:13" ht="21" customHeight="1">
      <c r="A1162" s="213" t="s">
        <v>6763</v>
      </c>
      <c r="B1162" s="215">
        <f t="shared" si="54"/>
        <v>45733</v>
      </c>
      <c r="C1162" s="213" t="s">
        <v>4373</v>
      </c>
      <c r="D1162" s="213" t="s">
        <v>4366</v>
      </c>
      <c r="E1162" s="213" t="s">
        <v>333</v>
      </c>
      <c r="F1162" s="212" t="s">
        <v>4365</v>
      </c>
      <c r="G1162" s="212" t="str">
        <f t="shared" si="55"/>
        <v>101현금</v>
      </c>
      <c r="H1162" s="214">
        <v>0</v>
      </c>
      <c r="I1162" s="214">
        <v>101000</v>
      </c>
      <c r="J1162" s="214">
        <f t="shared" si="56"/>
        <v>101000</v>
      </c>
      <c r="K1162" s="212" t="s">
        <v>6371</v>
      </c>
      <c r="L1162" s="213"/>
      <c r="M1162" s="212"/>
    </row>
    <row r="1163" spans="1:13" ht="21" customHeight="1">
      <c r="A1163" s="213" t="s">
        <v>6763</v>
      </c>
      <c r="B1163" s="215">
        <f t="shared" si="54"/>
        <v>45733</v>
      </c>
      <c r="C1163" s="213" t="s">
        <v>4373</v>
      </c>
      <c r="D1163" s="213" t="s">
        <v>4369</v>
      </c>
      <c r="E1163" s="213" t="s">
        <v>4499</v>
      </c>
      <c r="F1163" s="212" t="s">
        <v>6517</v>
      </c>
      <c r="G1163" s="212" t="str">
        <f t="shared" si="55"/>
        <v>811복리후생비(판)</v>
      </c>
      <c r="H1163" s="214">
        <v>101000</v>
      </c>
      <c r="I1163" s="214">
        <v>0</v>
      </c>
      <c r="J1163" s="214">
        <f t="shared" si="56"/>
        <v>-101000</v>
      </c>
      <c r="K1163" s="212" t="s">
        <v>6764</v>
      </c>
      <c r="L1163" s="213" t="s">
        <v>1327</v>
      </c>
      <c r="M1163" s="212" t="s">
        <v>6356</v>
      </c>
    </row>
    <row r="1164" spans="1:13" ht="21" customHeight="1">
      <c r="A1164" s="213" t="s">
        <v>6763</v>
      </c>
      <c r="B1164" s="215">
        <f t="shared" si="54"/>
        <v>45733</v>
      </c>
      <c r="C1164" s="213" t="s">
        <v>4382</v>
      </c>
      <c r="D1164" s="213" t="s">
        <v>4369</v>
      </c>
      <c r="E1164" s="213" t="s">
        <v>4499</v>
      </c>
      <c r="F1164" s="212" t="s">
        <v>6517</v>
      </c>
      <c r="G1164" s="212" t="str">
        <f t="shared" si="55"/>
        <v>811복리후생비(판)</v>
      </c>
      <c r="H1164" s="214">
        <v>14000</v>
      </c>
      <c r="I1164" s="214">
        <v>0</v>
      </c>
      <c r="J1164" s="214">
        <f t="shared" si="56"/>
        <v>-14000</v>
      </c>
      <c r="K1164" s="212" t="s">
        <v>6516</v>
      </c>
      <c r="L1164" s="213"/>
      <c r="M1164" s="212"/>
    </row>
    <row r="1165" spans="1:13" ht="21" customHeight="1">
      <c r="A1165" s="213" t="s">
        <v>6763</v>
      </c>
      <c r="B1165" s="215">
        <f t="shared" si="54"/>
        <v>45733</v>
      </c>
      <c r="C1165" s="213" t="s">
        <v>4382</v>
      </c>
      <c r="D1165" s="213" t="s">
        <v>4366</v>
      </c>
      <c r="E1165" s="213" t="s">
        <v>333</v>
      </c>
      <c r="F1165" s="212" t="s">
        <v>4365</v>
      </c>
      <c r="G1165" s="212" t="str">
        <f t="shared" si="55"/>
        <v>101현금</v>
      </c>
      <c r="H1165" s="214">
        <v>0</v>
      </c>
      <c r="I1165" s="214">
        <v>14000</v>
      </c>
      <c r="J1165" s="214">
        <f t="shared" si="56"/>
        <v>14000</v>
      </c>
      <c r="K1165" s="212" t="s">
        <v>6369</v>
      </c>
      <c r="L1165" s="213"/>
      <c r="M1165" s="212"/>
    </row>
    <row r="1166" spans="1:13" ht="21" customHeight="1">
      <c r="A1166" s="213" t="s">
        <v>6761</v>
      </c>
      <c r="B1166" s="215">
        <f t="shared" si="54"/>
        <v>45734</v>
      </c>
      <c r="C1166" s="213" t="s">
        <v>4373</v>
      </c>
      <c r="D1166" s="213" t="s">
        <v>4369</v>
      </c>
      <c r="E1166" s="213" t="s">
        <v>4380</v>
      </c>
      <c r="F1166" s="212" t="s">
        <v>6515</v>
      </c>
      <c r="G1166" s="212" t="str">
        <f t="shared" si="55"/>
        <v>812여비교통비(판)</v>
      </c>
      <c r="H1166" s="214">
        <v>5000</v>
      </c>
      <c r="I1166" s="214">
        <v>0</v>
      </c>
      <c r="J1166" s="214">
        <f t="shared" si="56"/>
        <v>-5000</v>
      </c>
      <c r="K1166" s="212" t="s">
        <v>6762</v>
      </c>
      <c r="L1166" s="213"/>
      <c r="M1166" s="212"/>
    </row>
    <row r="1167" spans="1:13" ht="21" customHeight="1">
      <c r="A1167" s="213" t="s">
        <v>6761</v>
      </c>
      <c r="B1167" s="215">
        <f t="shared" si="54"/>
        <v>45734</v>
      </c>
      <c r="C1167" s="213" t="s">
        <v>4373</v>
      </c>
      <c r="D1167" s="213" t="s">
        <v>4366</v>
      </c>
      <c r="E1167" s="213" t="s">
        <v>333</v>
      </c>
      <c r="F1167" s="212" t="s">
        <v>4365</v>
      </c>
      <c r="G1167" s="212" t="str">
        <f t="shared" si="55"/>
        <v>101현금</v>
      </c>
      <c r="H1167" s="214">
        <v>0</v>
      </c>
      <c r="I1167" s="214">
        <v>5000</v>
      </c>
      <c r="J1167" s="214">
        <f t="shared" si="56"/>
        <v>5000</v>
      </c>
      <c r="K1167" s="212" t="s">
        <v>6369</v>
      </c>
      <c r="L1167" s="213"/>
      <c r="M1167" s="212"/>
    </row>
    <row r="1168" spans="1:13" ht="21" customHeight="1">
      <c r="A1168" s="213" t="s">
        <v>6761</v>
      </c>
      <c r="B1168" s="215">
        <f t="shared" si="54"/>
        <v>45734</v>
      </c>
      <c r="C1168" s="213" t="s">
        <v>4382</v>
      </c>
      <c r="D1168" s="213" t="s">
        <v>4366</v>
      </c>
      <c r="E1168" s="213" t="s">
        <v>333</v>
      </c>
      <c r="F1168" s="212" t="s">
        <v>4365</v>
      </c>
      <c r="G1168" s="212" t="str">
        <f t="shared" si="55"/>
        <v>101현금</v>
      </c>
      <c r="H1168" s="214">
        <v>0</v>
      </c>
      <c r="I1168" s="214">
        <v>3980</v>
      </c>
      <c r="J1168" s="214">
        <f t="shared" si="56"/>
        <v>3980</v>
      </c>
      <c r="K1168" s="212" t="s">
        <v>6370</v>
      </c>
      <c r="L1168" s="213"/>
      <c r="M1168" s="212"/>
    </row>
    <row r="1169" spans="1:13" ht="21" customHeight="1">
      <c r="A1169" s="213" t="s">
        <v>6761</v>
      </c>
      <c r="B1169" s="215">
        <f t="shared" si="54"/>
        <v>45734</v>
      </c>
      <c r="C1169" s="213" t="s">
        <v>4382</v>
      </c>
      <c r="D1169" s="213" t="s">
        <v>4369</v>
      </c>
      <c r="E1169" s="213" t="s">
        <v>6290</v>
      </c>
      <c r="F1169" s="212" t="s">
        <v>6570</v>
      </c>
      <c r="G1169" s="212" t="str">
        <f t="shared" si="55"/>
        <v>824운반비(판)</v>
      </c>
      <c r="H1169" s="214">
        <v>3980</v>
      </c>
      <c r="I1169" s="214">
        <v>0</v>
      </c>
      <c r="J1169" s="214">
        <f t="shared" si="56"/>
        <v>-3980</v>
      </c>
      <c r="K1169" s="212" t="s">
        <v>6291</v>
      </c>
      <c r="L1169" s="213"/>
      <c r="M1169" s="212"/>
    </row>
    <row r="1170" spans="1:13" ht="21" customHeight="1">
      <c r="A1170" s="213" t="s">
        <v>6760</v>
      </c>
      <c r="B1170" s="215">
        <f t="shared" si="54"/>
        <v>45735</v>
      </c>
      <c r="C1170" s="213" t="s">
        <v>4373</v>
      </c>
      <c r="D1170" s="213" t="s">
        <v>4369</v>
      </c>
      <c r="E1170" s="213" t="s">
        <v>4499</v>
      </c>
      <c r="F1170" s="212" t="s">
        <v>6517</v>
      </c>
      <c r="G1170" s="212" t="str">
        <f t="shared" si="55"/>
        <v>811복리후생비(판)</v>
      </c>
      <c r="H1170" s="214">
        <v>24000</v>
      </c>
      <c r="I1170" s="214">
        <v>0</v>
      </c>
      <c r="J1170" s="214">
        <f t="shared" si="56"/>
        <v>-24000</v>
      </c>
      <c r="K1170" s="212" t="s">
        <v>6699</v>
      </c>
      <c r="L1170" s="213"/>
      <c r="M1170" s="212"/>
    </row>
    <row r="1171" spans="1:13" ht="21" customHeight="1">
      <c r="A1171" s="213" t="s">
        <v>6760</v>
      </c>
      <c r="B1171" s="215">
        <f t="shared" si="54"/>
        <v>45735</v>
      </c>
      <c r="C1171" s="213" t="s">
        <v>4373</v>
      </c>
      <c r="D1171" s="213" t="s">
        <v>4366</v>
      </c>
      <c r="E1171" s="213" t="s">
        <v>333</v>
      </c>
      <c r="F1171" s="212" t="s">
        <v>4365</v>
      </c>
      <c r="G1171" s="212" t="str">
        <f t="shared" si="55"/>
        <v>101현금</v>
      </c>
      <c r="H1171" s="214">
        <v>0</v>
      </c>
      <c r="I1171" s="214">
        <v>24000</v>
      </c>
      <c r="J1171" s="214">
        <f t="shared" si="56"/>
        <v>24000</v>
      </c>
      <c r="K1171" s="212" t="s">
        <v>6370</v>
      </c>
      <c r="L1171" s="213"/>
      <c r="M1171" s="212"/>
    </row>
    <row r="1172" spans="1:13" ht="21" customHeight="1">
      <c r="A1172" s="213" t="s">
        <v>6760</v>
      </c>
      <c r="B1172" s="215">
        <f t="shared" si="54"/>
        <v>45735</v>
      </c>
      <c r="C1172" s="213" t="s">
        <v>4382</v>
      </c>
      <c r="D1172" s="213" t="s">
        <v>4369</v>
      </c>
      <c r="E1172" s="213" t="s">
        <v>4499</v>
      </c>
      <c r="F1172" s="212" t="s">
        <v>6517</v>
      </c>
      <c r="G1172" s="212" t="str">
        <f t="shared" si="55"/>
        <v>811복리후생비(판)</v>
      </c>
      <c r="H1172" s="214">
        <v>14000</v>
      </c>
      <c r="I1172" s="214">
        <v>0</v>
      </c>
      <c r="J1172" s="214">
        <f t="shared" si="56"/>
        <v>-14000</v>
      </c>
      <c r="K1172" s="212" t="s">
        <v>6516</v>
      </c>
      <c r="L1172" s="213"/>
      <c r="M1172" s="212"/>
    </row>
    <row r="1173" spans="1:13" ht="21" customHeight="1">
      <c r="A1173" s="213" t="s">
        <v>6760</v>
      </c>
      <c r="B1173" s="215">
        <f t="shared" si="54"/>
        <v>45735</v>
      </c>
      <c r="C1173" s="213" t="s">
        <v>4382</v>
      </c>
      <c r="D1173" s="213" t="s">
        <v>4366</v>
      </c>
      <c r="E1173" s="213" t="s">
        <v>333</v>
      </c>
      <c r="F1173" s="212" t="s">
        <v>4365</v>
      </c>
      <c r="G1173" s="212" t="str">
        <f t="shared" si="55"/>
        <v>101현금</v>
      </c>
      <c r="H1173" s="214">
        <v>0</v>
      </c>
      <c r="I1173" s="214">
        <v>14000</v>
      </c>
      <c r="J1173" s="214">
        <f t="shared" si="56"/>
        <v>14000</v>
      </c>
      <c r="K1173" s="212" t="s">
        <v>6369</v>
      </c>
      <c r="L1173" s="213"/>
      <c r="M1173" s="212"/>
    </row>
    <row r="1174" spans="1:13" ht="21" customHeight="1">
      <c r="A1174" s="213" t="s">
        <v>6760</v>
      </c>
      <c r="B1174" s="215">
        <f t="shared" si="54"/>
        <v>45735</v>
      </c>
      <c r="C1174" s="213" t="s">
        <v>4367</v>
      </c>
      <c r="D1174" s="213" t="s">
        <v>4366</v>
      </c>
      <c r="E1174" s="213" t="s">
        <v>6176</v>
      </c>
      <c r="F1174" s="212" t="s">
        <v>6177</v>
      </c>
      <c r="G1174" s="212" t="str">
        <f t="shared" si="55"/>
        <v>255부가세예수금</v>
      </c>
      <c r="H1174" s="214">
        <v>0</v>
      </c>
      <c r="I1174" s="214">
        <v>50000</v>
      </c>
      <c r="J1174" s="214">
        <f t="shared" si="56"/>
        <v>50000</v>
      </c>
      <c r="K1174" s="212" t="s">
        <v>6759</v>
      </c>
      <c r="L1174" s="213"/>
      <c r="M1174" s="212" t="s">
        <v>6278</v>
      </c>
    </row>
    <row r="1175" spans="1:13" ht="21" customHeight="1">
      <c r="A1175" s="213" t="s">
        <v>6760</v>
      </c>
      <c r="B1175" s="215">
        <f t="shared" si="54"/>
        <v>45735</v>
      </c>
      <c r="C1175" s="213" t="s">
        <v>4367</v>
      </c>
      <c r="D1175" s="213" t="s">
        <v>4366</v>
      </c>
      <c r="E1175" s="213" t="s">
        <v>334</v>
      </c>
      <c r="F1175" s="212" t="s">
        <v>6158</v>
      </c>
      <c r="G1175" s="212" t="str">
        <f t="shared" si="55"/>
        <v>401용역매출</v>
      </c>
      <c r="H1175" s="214">
        <v>0</v>
      </c>
      <c r="I1175" s="214">
        <v>500000</v>
      </c>
      <c r="J1175" s="214">
        <f t="shared" si="56"/>
        <v>500000</v>
      </c>
      <c r="K1175" s="212" t="s">
        <v>6759</v>
      </c>
      <c r="L1175" s="213"/>
      <c r="M1175" s="212" t="s">
        <v>6278</v>
      </c>
    </row>
    <row r="1176" spans="1:13" ht="21" customHeight="1">
      <c r="A1176" s="213" t="s">
        <v>6760</v>
      </c>
      <c r="B1176" s="215">
        <f t="shared" si="54"/>
        <v>45735</v>
      </c>
      <c r="C1176" s="213" t="s">
        <v>4367</v>
      </c>
      <c r="D1176" s="213" t="s">
        <v>4369</v>
      </c>
      <c r="E1176" s="213" t="s">
        <v>333</v>
      </c>
      <c r="F1176" s="212" t="s">
        <v>4365</v>
      </c>
      <c r="G1176" s="212" t="str">
        <f t="shared" si="55"/>
        <v>101현금</v>
      </c>
      <c r="H1176" s="214">
        <v>550000</v>
      </c>
      <c r="I1176" s="214">
        <v>0</v>
      </c>
      <c r="J1176" s="214">
        <f t="shared" si="56"/>
        <v>-550000</v>
      </c>
      <c r="K1176" s="212" t="s">
        <v>6759</v>
      </c>
      <c r="L1176" s="213"/>
      <c r="M1176" s="212" t="s">
        <v>6278</v>
      </c>
    </row>
    <row r="1177" spans="1:13" ht="21" customHeight="1">
      <c r="A1177" s="213" t="s">
        <v>6758</v>
      </c>
      <c r="B1177" s="215">
        <f t="shared" si="54"/>
        <v>45736</v>
      </c>
      <c r="C1177" s="213" t="s">
        <v>4373</v>
      </c>
      <c r="D1177" s="213" t="s">
        <v>4369</v>
      </c>
      <c r="E1177" s="213" t="s">
        <v>4499</v>
      </c>
      <c r="F1177" s="212" t="s">
        <v>6517</v>
      </c>
      <c r="G1177" s="212" t="str">
        <f t="shared" si="55"/>
        <v>811복리후생비(판)</v>
      </c>
      <c r="H1177" s="214">
        <v>14000</v>
      </c>
      <c r="I1177" s="214">
        <v>0</v>
      </c>
      <c r="J1177" s="214">
        <f t="shared" si="56"/>
        <v>-14000</v>
      </c>
      <c r="K1177" s="212" t="s">
        <v>6516</v>
      </c>
      <c r="L1177" s="213"/>
      <c r="M1177" s="212"/>
    </row>
    <row r="1178" spans="1:13" ht="21" customHeight="1">
      <c r="A1178" s="213" t="s">
        <v>6758</v>
      </c>
      <c r="B1178" s="215">
        <f t="shared" si="54"/>
        <v>45736</v>
      </c>
      <c r="C1178" s="213" t="s">
        <v>4373</v>
      </c>
      <c r="D1178" s="213" t="s">
        <v>4366</v>
      </c>
      <c r="E1178" s="213" t="s">
        <v>333</v>
      </c>
      <c r="F1178" s="212" t="s">
        <v>4365</v>
      </c>
      <c r="G1178" s="212" t="str">
        <f t="shared" si="55"/>
        <v>101현금</v>
      </c>
      <c r="H1178" s="214">
        <v>0</v>
      </c>
      <c r="I1178" s="214">
        <v>14000</v>
      </c>
      <c r="J1178" s="214">
        <f t="shared" si="56"/>
        <v>14000</v>
      </c>
      <c r="K1178" s="212" t="s">
        <v>6369</v>
      </c>
      <c r="L1178" s="213"/>
      <c r="M1178" s="212"/>
    </row>
    <row r="1179" spans="1:13" ht="21" customHeight="1">
      <c r="A1179" s="213" t="s">
        <v>6758</v>
      </c>
      <c r="B1179" s="215">
        <f t="shared" si="54"/>
        <v>45736</v>
      </c>
      <c r="C1179" s="213" t="s">
        <v>4382</v>
      </c>
      <c r="D1179" s="213" t="s">
        <v>4366</v>
      </c>
      <c r="E1179" s="213" t="s">
        <v>333</v>
      </c>
      <c r="F1179" s="212" t="s">
        <v>4365</v>
      </c>
      <c r="G1179" s="212" t="str">
        <f t="shared" si="55"/>
        <v>101현금</v>
      </c>
      <c r="H1179" s="214">
        <v>0</v>
      </c>
      <c r="I1179" s="214">
        <v>5180</v>
      </c>
      <c r="J1179" s="214">
        <f t="shared" si="56"/>
        <v>5180</v>
      </c>
      <c r="K1179" s="212" t="s">
        <v>6370</v>
      </c>
      <c r="L1179" s="213"/>
      <c r="M1179" s="212"/>
    </row>
    <row r="1180" spans="1:13" ht="21" customHeight="1">
      <c r="A1180" s="213" t="s">
        <v>6758</v>
      </c>
      <c r="B1180" s="215">
        <f t="shared" si="54"/>
        <v>45736</v>
      </c>
      <c r="C1180" s="213" t="s">
        <v>4382</v>
      </c>
      <c r="D1180" s="213" t="s">
        <v>4369</v>
      </c>
      <c r="E1180" s="213" t="s">
        <v>6290</v>
      </c>
      <c r="F1180" s="212" t="s">
        <v>6570</v>
      </c>
      <c r="G1180" s="212" t="str">
        <f t="shared" si="55"/>
        <v>824운반비(판)</v>
      </c>
      <c r="H1180" s="214">
        <v>5180</v>
      </c>
      <c r="I1180" s="214">
        <v>0</v>
      </c>
      <c r="J1180" s="214">
        <f t="shared" si="56"/>
        <v>-5180</v>
      </c>
      <c r="K1180" s="212" t="s">
        <v>6291</v>
      </c>
      <c r="L1180" s="213"/>
      <c r="M1180" s="212"/>
    </row>
    <row r="1181" spans="1:13" ht="21" customHeight="1">
      <c r="A1181" s="213" t="s">
        <v>6758</v>
      </c>
      <c r="B1181" s="215">
        <f t="shared" si="54"/>
        <v>45736</v>
      </c>
      <c r="C1181" s="213" t="s">
        <v>4381</v>
      </c>
      <c r="D1181" s="213" t="s">
        <v>4366</v>
      </c>
      <c r="E1181" s="213" t="s">
        <v>333</v>
      </c>
      <c r="F1181" s="212" t="s">
        <v>4365</v>
      </c>
      <c r="G1181" s="212" t="str">
        <f t="shared" si="55"/>
        <v>101현금</v>
      </c>
      <c r="H1181" s="214">
        <v>0</v>
      </c>
      <c r="I1181" s="214">
        <v>24130</v>
      </c>
      <c r="J1181" s="214">
        <f t="shared" si="56"/>
        <v>24130</v>
      </c>
      <c r="K1181" s="212" t="s">
        <v>6370</v>
      </c>
      <c r="L1181" s="213"/>
      <c r="M1181" s="212"/>
    </row>
    <row r="1182" spans="1:13" ht="21" customHeight="1">
      <c r="A1182" s="213" t="s">
        <v>6758</v>
      </c>
      <c r="B1182" s="215">
        <f t="shared" si="54"/>
        <v>45736</v>
      </c>
      <c r="C1182" s="213" t="s">
        <v>4381</v>
      </c>
      <c r="D1182" s="213" t="s">
        <v>4369</v>
      </c>
      <c r="E1182" s="213" t="s">
        <v>4368</v>
      </c>
      <c r="F1182" s="212" t="s">
        <v>6388</v>
      </c>
      <c r="G1182" s="212" t="str">
        <f t="shared" si="55"/>
        <v>831지급수수료(판)</v>
      </c>
      <c r="H1182" s="214">
        <v>24130</v>
      </c>
      <c r="I1182" s="214">
        <v>0</v>
      </c>
      <c r="J1182" s="214">
        <f t="shared" si="56"/>
        <v>-24130</v>
      </c>
      <c r="K1182" s="212" t="s">
        <v>6549</v>
      </c>
      <c r="L1182" s="213"/>
      <c r="M1182" s="212"/>
    </row>
    <row r="1183" spans="1:13" ht="21" customHeight="1">
      <c r="A1183" s="213" t="s">
        <v>6758</v>
      </c>
      <c r="B1183" s="215">
        <f t="shared" si="54"/>
        <v>45736</v>
      </c>
      <c r="C1183" s="213" t="s">
        <v>4379</v>
      </c>
      <c r="D1183" s="213" t="s">
        <v>4366</v>
      </c>
      <c r="E1183" s="213" t="s">
        <v>333</v>
      </c>
      <c r="F1183" s="212" t="s">
        <v>4365</v>
      </c>
      <c r="G1183" s="212" t="str">
        <f t="shared" si="55"/>
        <v>101현금</v>
      </c>
      <c r="H1183" s="214">
        <v>0</v>
      </c>
      <c r="I1183" s="214">
        <v>42650</v>
      </c>
      <c r="J1183" s="214">
        <f t="shared" si="56"/>
        <v>42650</v>
      </c>
      <c r="K1183" s="212" t="s">
        <v>6370</v>
      </c>
      <c r="L1183" s="213"/>
      <c r="M1183" s="212"/>
    </row>
    <row r="1184" spans="1:13" ht="21" customHeight="1">
      <c r="A1184" s="213" t="s">
        <v>6758</v>
      </c>
      <c r="B1184" s="215">
        <f t="shared" si="54"/>
        <v>45736</v>
      </c>
      <c r="C1184" s="213" t="s">
        <v>4379</v>
      </c>
      <c r="D1184" s="213" t="s">
        <v>4369</v>
      </c>
      <c r="E1184" s="213" t="s">
        <v>4368</v>
      </c>
      <c r="F1184" s="212" t="s">
        <v>6388</v>
      </c>
      <c r="G1184" s="212" t="str">
        <f t="shared" si="55"/>
        <v>831지급수수료(판)</v>
      </c>
      <c r="H1184" s="214">
        <v>42650</v>
      </c>
      <c r="I1184" s="214">
        <v>0</v>
      </c>
      <c r="J1184" s="214">
        <f t="shared" si="56"/>
        <v>-42650</v>
      </c>
      <c r="K1184" s="212" t="s">
        <v>6549</v>
      </c>
      <c r="L1184" s="213"/>
      <c r="M1184" s="212"/>
    </row>
    <row r="1185" spans="1:13" ht="21" customHeight="1">
      <c r="A1185" s="213" t="s">
        <v>6758</v>
      </c>
      <c r="B1185" s="215">
        <f t="shared" si="54"/>
        <v>45736</v>
      </c>
      <c r="C1185" s="213" t="s">
        <v>4367</v>
      </c>
      <c r="D1185" s="213" t="s">
        <v>4369</v>
      </c>
      <c r="E1185" s="213" t="s">
        <v>6212</v>
      </c>
      <c r="F1185" s="212" t="s">
        <v>6402</v>
      </c>
      <c r="G1185" s="212" t="str">
        <f t="shared" si="55"/>
        <v>837건물관리비(판)</v>
      </c>
      <c r="H1185" s="214">
        <v>191390</v>
      </c>
      <c r="I1185" s="214">
        <v>0</v>
      </c>
      <c r="J1185" s="214">
        <f t="shared" si="56"/>
        <v>-191390</v>
      </c>
      <c r="K1185" s="212" t="s">
        <v>6213</v>
      </c>
      <c r="L1185" s="213"/>
      <c r="M1185" s="212" t="s">
        <v>6214</v>
      </c>
    </row>
    <row r="1186" spans="1:13" ht="21" customHeight="1">
      <c r="A1186" s="213" t="s">
        <v>6758</v>
      </c>
      <c r="B1186" s="215">
        <f t="shared" si="54"/>
        <v>45736</v>
      </c>
      <c r="C1186" s="213" t="s">
        <v>4367</v>
      </c>
      <c r="D1186" s="213" t="s">
        <v>4366</v>
      </c>
      <c r="E1186" s="213" t="s">
        <v>333</v>
      </c>
      <c r="F1186" s="212" t="s">
        <v>4365</v>
      </c>
      <c r="G1186" s="212" t="str">
        <f t="shared" si="55"/>
        <v>101현금</v>
      </c>
      <c r="H1186" s="214">
        <v>0</v>
      </c>
      <c r="I1186" s="214">
        <v>191390</v>
      </c>
      <c r="J1186" s="214">
        <f t="shared" si="56"/>
        <v>191390</v>
      </c>
      <c r="K1186" s="212" t="s">
        <v>6213</v>
      </c>
      <c r="L1186" s="213"/>
      <c r="M1186" s="212" t="s">
        <v>6214</v>
      </c>
    </row>
    <row r="1187" spans="1:13" ht="21" customHeight="1">
      <c r="A1187" s="213" t="s">
        <v>6756</v>
      </c>
      <c r="B1187" s="215">
        <f t="shared" si="54"/>
        <v>45737</v>
      </c>
      <c r="C1187" s="213" t="s">
        <v>4373</v>
      </c>
      <c r="D1187" s="213" t="s">
        <v>4369</v>
      </c>
      <c r="E1187" s="213" t="s">
        <v>4499</v>
      </c>
      <c r="F1187" s="212" t="s">
        <v>6517</v>
      </c>
      <c r="G1187" s="212" t="str">
        <f t="shared" si="55"/>
        <v>811복리후생비(판)</v>
      </c>
      <c r="H1187" s="214">
        <v>33000</v>
      </c>
      <c r="I1187" s="214">
        <v>0</v>
      </c>
      <c r="J1187" s="214">
        <f t="shared" si="56"/>
        <v>-33000</v>
      </c>
      <c r="K1187" s="212" t="s">
        <v>6600</v>
      </c>
      <c r="L1187" s="213"/>
      <c r="M1187" s="212"/>
    </row>
    <row r="1188" spans="1:13" ht="21" customHeight="1">
      <c r="A1188" s="213" t="s">
        <v>6756</v>
      </c>
      <c r="B1188" s="215">
        <f t="shared" si="54"/>
        <v>45737</v>
      </c>
      <c r="C1188" s="213" t="s">
        <v>4373</v>
      </c>
      <c r="D1188" s="213" t="s">
        <v>4366</v>
      </c>
      <c r="E1188" s="213" t="s">
        <v>333</v>
      </c>
      <c r="F1188" s="212" t="s">
        <v>4365</v>
      </c>
      <c r="G1188" s="212" t="str">
        <f t="shared" si="55"/>
        <v>101현금</v>
      </c>
      <c r="H1188" s="214">
        <v>0</v>
      </c>
      <c r="I1188" s="214">
        <v>33000</v>
      </c>
      <c r="J1188" s="214">
        <f t="shared" si="56"/>
        <v>33000</v>
      </c>
      <c r="K1188" s="212" t="s">
        <v>6370</v>
      </c>
      <c r="L1188" s="213"/>
      <c r="M1188" s="212"/>
    </row>
    <row r="1189" spans="1:13" ht="21" customHeight="1">
      <c r="A1189" s="213" t="s">
        <v>6756</v>
      </c>
      <c r="B1189" s="215">
        <f t="shared" si="54"/>
        <v>45737</v>
      </c>
      <c r="C1189" s="213" t="s">
        <v>4382</v>
      </c>
      <c r="D1189" s="213" t="s">
        <v>4369</v>
      </c>
      <c r="E1189" s="213" t="s">
        <v>4499</v>
      </c>
      <c r="F1189" s="212" t="s">
        <v>6517</v>
      </c>
      <c r="G1189" s="212" t="str">
        <f t="shared" si="55"/>
        <v>811복리후생비(판)</v>
      </c>
      <c r="H1189" s="214">
        <v>14000</v>
      </c>
      <c r="I1189" s="214">
        <v>0</v>
      </c>
      <c r="J1189" s="214">
        <f t="shared" si="56"/>
        <v>-14000</v>
      </c>
      <c r="K1189" s="212" t="s">
        <v>6516</v>
      </c>
      <c r="L1189" s="213"/>
      <c r="M1189" s="212"/>
    </row>
    <row r="1190" spans="1:13" ht="21" customHeight="1">
      <c r="A1190" s="213" t="s">
        <v>6756</v>
      </c>
      <c r="B1190" s="215">
        <f t="shared" si="54"/>
        <v>45737</v>
      </c>
      <c r="C1190" s="213" t="s">
        <v>4382</v>
      </c>
      <c r="D1190" s="213" t="s">
        <v>4366</v>
      </c>
      <c r="E1190" s="213" t="s">
        <v>333</v>
      </c>
      <c r="F1190" s="212" t="s">
        <v>4365</v>
      </c>
      <c r="G1190" s="212" t="str">
        <f t="shared" si="55"/>
        <v>101현금</v>
      </c>
      <c r="H1190" s="214">
        <v>0</v>
      </c>
      <c r="I1190" s="214">
        <v>14000</v>
      </c>
      <c r="J1190" s="214">
        <f t="shared" si="56"/>
        <v>14000</v>
      </c>
      <c r="K1190" s="212" t="s">
        <v>6369</v>
      </c>
      <c r="L1190" s="213"/>
      <c r="M1190" s="212"/>
    </row>
    <row r="1191" spans="1:13" ht="21" customHeight="1">
      <c r="A1191" s="213" t="s">
        <v>6756</v>
      </c>
      <c r="B1191" s="215">
        <f t="shared" si="54"/>
        <v>45737</v>
      </c>
      <c r="C1191" s="213" t="s">
        <v>4367</v>
      </c>
      <c r="D1191" s="213" t="s">
        <v>4366</v>
      </c>
      <c r="E1191" s="213" t="s">
        <v>6176</v>
      </c>
      <c r="F1191" s="212" t="s">
        <v>6177</v>
      </c>
      <c r="G1191" s="212" t="str">
        <f t="shared" si="55"/>
        <v>255부가세예수금</v>
      </c>
      <c r="H1191" s="214">
        <v>0</v>
      </c>
      <c r="I1191" s="214">
        <v>20000</v>
      </c>
      <c r="J1191" s="214">
        <f t="shared" si="56"/>
        <v>20000</v>
      </c>
      <c r="K1191" s="212" t="s">
        <v>6399</v>
      </c>
      <c r="L1191" s="213"/>
      <c r="M1191" s="212" t="s">
        <v>6231</v>
      </c>
    </row>
    <row r="1192" spans="1:13" ht="21" customHeight="1">
      <c r="A1192" s="213" t="s">
        <v>6756</v>
      </c>
      <c r="B1192" s="215">
        <f t="shared" si="54"/>
        <v>45737</v>
      </c>
      <c r="C1192" s="213" t="s">
        <v>4367</v>
      </c>
      <c r="D1192" s="213" t="s">
        <v>4366</v>
      </c>
      <c r="E1192" s="213" t="s">
        <v>334</v>
      </c>
      <c r="F1192" s="212" t="s">
        <v>6158</v>
      </c>
      <c r="G1192" s="212" t="str">
        <f t="shared" si="55"/>
        <v>401용역매출</v>
      </c>
      <c r="H1192" s="214">
        <v>0</v>
      </c>
      <c r="I1192" s="214">
        <v>200000</v>
      </c>
      <c r="J1192" s="214">
        <f t="shared" si="56"/>
        <v>200000</v>
      </c>
      <c r="K1192" s="212" t="s">
        <v>6399</v>
      </c>
      <c r="L1192" s="213"/>
      <c r="M1192" s="212" t="s">
        <v>6231</v>
      </c>
    </row>
    <row r="1193" spans="1:13" ht="21" customHeight="1">
      <c r="A1193" s="213" t="s">
        <v>6756</v>
      </c>
      <c r="B1193" s="215">
        <f t="shared" si="54"/>
        <v>45737</v>
      </c>
      <c r="C1193" s="213" t="s">
        <v>4367</v>
      </c>
      <c r="D1193" s="213" t="s">
        <v>4369</v>
      </c>
      <c r="E1193" s="213" t="s">
        <v>333</v>
      </c>
      <c r="F1193" s="212" t="s">
        <v>4365</v>
      </c>
      <c r="G1193" s="212" t="str">
        <f t="shared" si="55"/>
        <v>101현금</v>
      </c>
      <c r="H1193" s="214">
        <v>220000</v>
      </c>
      <c r="I1193" s="214">
        <v>0</v>
      </c>
      <c r="J1193" s="214">
        <f t="shared" si="56"/>
        <v>-220000</v>
      </c>
      <c r="K1193" s="212" t="s">
        <v>6399</v>
      </c>
      <c r="L1193" s="213"/>
      <c r="M1193" s="212" t="s">
        <v>6231</v>
      </c>
    </row>
    <row r="1194" spans="1:13" ht="21" customHeight="1">
      <c r="A1194" s="213" t="s">
        <v>6756</v>
      </c>
      <c r="B1194" s="215">
        <f t="shared" si="54"/>
        <v>45737</v>
      </c>
      <c r="C1194" s="213" t="s">
        <v>4374</v>
      </c>
      <c r="D1194" s="213" t="s">
        <v>4366</v>
      </c>
      <c r="E1194" s="213" t="s">
        <v>6176</v>
      </c>
      <c r="F1194" s="212" t="s">
        <v>6177</v>
      </c>
      <c r="G1194" s="212" t="str">
        <f t="shared" si="55"/>
        <v>255부가세예수금</v>
      </c>
      <c r="H1194" s="214">
        <v>0</v>
      </c>
      <c r="I1194" s="214">
        <v>10000</v>
      </c>
      <c r="J1194" s="214">
        <f t="shared" si="56"/>
        <v>10000</v>
      </c>
      <c r="K1194" s="212" t="s">
        <v>6252</v>
      </c>
      <c r="L1194" s="213"/>
      <c r="M1194" s="212" t="s">
        <v>6185</v>
      </c>
    </row>
    <row r="1195" spans="1:13" ht="21" customHeight="1">
      <c r="A1195" s="213" t="s">
        <v>6756</v>
      </c>
      <c r="B1195" s="215">
        <f t="shared" si="54"/>
        <v>45737</v>
      </c>
      <c r="C1195" s="213" t="s">
        <v>4374</v>
      </c>
      <c r="D1195" s="213" t="s">
        <v>4366</v>
      </c>
      <c r="E1195" s="213" t="s">
        <v>334</v>
      </c>
      <c r="F1195" s="212" t="s">
        <v>6158</v>
      </c>
      <c r="G1195" s="212" t="str">
        <f t="shared" si="55"/>
        <v>401용역매출</v>
      </c>
      <c r="H1195" s="214">
        <v>0</v>
      </c>
      <c r="I1195" s="214">
        <v>100000</v>
      </c>
      <c r="J1195" s="214">
        <f t="shared" si="56"/>
        <v>100000</v>
      </c>
      <c r="K1195" s="212" t="s">
        <v>6252</v>
      </c>
      <c r="L1195" s="213"/>
      <c r="M1195" s="212" t="s">
        <v>6185</v>
      </c>
    </row>
    <row r="1196" spans="1:13" ht="21" customHeight="1">
      <c r="A1196" s="213" t="s">
        <v>6756</v>
      </c>
      <c r="B1196" s="215">
        <f t="shared" si="54"/>
        <v>45737</v>
      </c>
      <c r="C1196" s="213" t="s">
        <v>4374</v>
      </c>
      <c r="D1196" s="213" t="s">
        <v>4369</v>
      </c>
      <c r="E1196" s="213" t="s">
        <v>333</v>
      </c>
      <c r="F1196" s="212" t="s">
        <v>4365</v>
      </c>
      <c r="G1196" s="212" t="str">
        <f t="shared" si="55"/>
        <v>101현금</v>
      </c>
      <c r="H1196" s="214">
        <v>110000</v>
      </c>
      <c r="I1196" s="214">
        <v>0</v>
      </c>
      <c r="J1196" s="214">
        <f t="shared" si="56"/>
        <v>-110000</v>
      </c>
      <c r="K1196" s="212" t="s">
        <v>6252</v>
      </c>
      <c r="L1196" s="213"/>
      <c r="M1196" s="212" t="s">
        <v>6185</v>
      </c>
    </row>
    <row r="1197" spans="1:13" ht="21" customHeight="1">
      <c r="A1197" s="213" t="s">
        <v>6756</v>
      </c>
      <c r="B1197" s="215">
        <f t="shared" si="54"/>
        <v>45737</v>
      </c>
      <c r="C1197" s="213" t="s">
        <v>6182</v>
      </c>
      <c r="D1197" s="213" t="s">
        <v>4366</v>
      </c>
      <c r="E1197" s="213" t="s">
        <v>6176</v>
      </c>
      <c r="F1197" s="212" t="s">
        <v>6177</v>
      </c>
      <c r="G1197" s="212" t="str">
        <f t="shared" si="55"/>
        <v>255부가세예수금</v>
      </c>
      <c r="H1197" s="214">
        <v>0</v>
      </c>
      <c r="I1197" s="214">
        <v>10000</v>
      </c>
      <c r="J1197" s="214">
        <f t="shared" si="56"/>
        <v>10000</v>
      </c>
      <c r="K1197" s="212" t="s">
        <v>6255</v>
      </c>
      <c r="L1197" s="213"/>
      <c r="M1197" s="212" t="s">
        <v>6185</v>
      </c>
    </row>
    <row r="1198" spans="1:13" ht="21" customHeight="1">
      <c r="A1198" s="213" t="s">
        <v>6756</v>
      </c>
      <c r="B1198" s="215">
        <f t="shared" si="54"/>
        <v>45737</v>
      </c>
      <c r="C1198" s="213" t="s">
        <v>6182</v>
      </c>
      <c r="D1198" s="213" t="s">
        <v>4366</v>
      </c>
      <c r="E1198" s="213" t="s">
        <v>334</v>
      </c>
      <c r="F1198" s="212" t="s">
        <v>6158</v>
      </c>
      <c r="G1198" s="212" t="str">
        <f t="shared" si="55"/>
        <v>401용역매출</v>
      </c>
      <c r="H1198" s="214">
        <v>0</v>
      </c>
      <c r="I1198" s="214">
        <v>100000</v>
      </c>
      <c r="J1198" s="214">
        <f t="shared" si="56"/>
        <v>100000</v>
      </c>
      <c r="K1198" s="212" t="s">
        <v>6255</v>
      </c>
      <c r="L1198" s="213"/>
      <c r="M1198" s="212" t="s">
        <v>6185</v>
      </c>
    </row>
    <row r="1199" spans="1:13" ht="21" customHeight="1">
      <c r="A1199" s="213" t="s">
        <v>6756</v>
      </c>
      <c r="B1199" s="215">
        <f t="shared" si="54"/>
        <v>45737</v>
      </c>
      <c r="C1199" s="213" t="s">
        <v>6182</v>
      </c>
      <c r="D1199" s="213" t="s">
        <v>4369</v>
      </c>
      <c r="E1199" s="213" t="s">
        <v>333</v>
      </c>
      <c r="F1199" s="212" t="s">
        <v>4365</v>
      </c>
      <c r="G1199" s="212" t="str">
        <f t="shared" si="55"/>
        <v>101현금</v>
      </c>
      <c r="H1199" s="214">
        <v>110000</v>
      </c>
      <c r="I1199" s="214">
        <v>0</v>
      </c>
      <c r="J1199" s="214">
        <f t="shared" si="56"/>
        <v>-110000</v>
      </c>
      <c r="K1199" s="212" t="s">
        <v>6255</v>
      </c>
      <c r="L1199" s="213"/>
      <c r="M1199" s="212" t="s">
        <v>6185</v>
      </c>
    </row>
    <row r="1200" spans="1:13" ht="21" customHeight="1">
      <c r="A1200" s="213" t="s">
        <v>6756</v>
      </c>
      <c r="B1200" s="215">
        <f t="shared" si="54"/>
        <v>45737</v>
      </c>
      <c r="C1200" s="213" t="s">
        <v>6184</v>
      </c>
      <c r="D1200" s="213" t="s">
        <v>4366</v>
      </c>
      <c r="E1200" s="213" t="s">
        <v>6176</v>
      </c>
      <c r="F1200" s="212" t="s">
        <v>6177</v>
      </c>
      <c r="G1200" s="212" t="str">
        <f t="shared" si="55"/>
        <v>255부가세예수금</v>
      </c>
      <c r="H1200" s="214">
        <v>0</v>
      </c>
      <c r="I1200" s="214">
        <v>20000</v>
      </c>
      <c r="J1200" s="214">
        <f t="shared" si="56"/>
        <v>20000</v>
      </c>
      <c r="K1200" s="212" t="s">
        <v>6257</v>
      </c>
      <c r="L1200" s="213"/>
      <c r="M1200" s="212" t="s">
        <v>6231</v>
      </c>
    </row>
    <row r="1201" spans="1:13" ht="21" customHeight="1">
      <c r="A1201" s="213" t="s">
        <v>6756</v>
      </c>
      <c r="B1201" s="215">
        <f t="shared" si="54"/>
        <v>45737</v>
      </c>
      <c r="C1201" s="213" t="s">
        <v>6184</v>
      </c>
      <c r="D1201" s="213" t="s">
        <v>4366</v>
      </c>
      <c r="E1201" s="213" t="s">
        <v>334</v>
      </c>
      <c r="F1201" s="212" t="s">
        <v>6158</v>
      </c>
      <c r="G1201" s="212" t="str">
        <f t="shared" si="55"/>
        <v>401용역매출</v>
      </c>
      <c r="H1201" s="214">
        <v>0</v>
      </c>
      <c r="I1201" s="214">
        <v>200000</v>
      </c>
      <c r="J1201" s="214">
        <f t="shared" si="56"/>
        <v>200000</v>
      </c>
      <c r="K1201" s="212" t="s">
        <v>6257</v>
      </c>
      <c r="L1201" s="213"/>
      <c r="M1201" s="212" t="s">
        <v>6231</v>
      </c>
    </row>
    <row r="1202" spans="1:13" ht="21" customHeight="1">
      <c r="A1202" s="213" t="s">
        <v>6756</v>
      </c>
      <c r="B1202" s="215">
        <f t="shared" si="54"/>
        <v>45737</v>
      </c>
      <c r="C1202" s="213" t="s">
        <v>6184</v>
      </c>
      <c r="D1202" s="213" t="s">
        <v>4369</v>
      </c>
      <c r="E1202" s="213" t="s">
        <v>333</v>
      </c>
      <c r="F1202" s="212" t="s">
        <v>4365</v>
      </c>
      <c r="G1202" s="212" t="str">
        <f t="shared" si="55"/>
        <v>101현금</v>
      </c>
      <c r="H1202" s="214">
        <v>220000</v>
      </c>
      <c r="I1202" s="214">
        <v>0</v>
      </c>
      <c r="J1202" s="214">
        <f t="shared" si="56"/>
        <v>-220000</v>
      </c>
      <c r="K1202" s="212" t="s">
        <v>6257</v>
      </c>
      <c r="L1202" s="213"/>
      <c r="M1202" s="212" t="s">
        <v>6231</v>
      </c>
    </row>
    <row r="1203" spans="1:13" ht="21" customHeight="1">
      <c r="A1203" s="213" t="s">
        <v>6756</v>
      </c>
      <c r="B1203" s="215">
        <f t="shared" si="54"/>
        <v>45737</v>
      </c>
      <c r="C1203" s="213" t="s">
        <v>6186</v>
      </c>
      <c r="D1203" s="213" t="s">
        <v>4366</v>
      </c>
      <c r="E1203" s="213" t="s">
        <v>6176</v>
      </c>
      <c r="F1203" s="212" t="s">
        <v>6177</v>
      </c>
      <c r="G1203" s="212" t="str">
        <f t="shared" si="55"/>
        <v>255부가세예수금</v>
      </c>
      <c r="H1203" s="214">
        <v>0</v>
      </c>
      <c r="I1203" s="214">
        <v>15000</v>
      </c>
      <c r="J1203" s="214">
        <f t="shared" si="56"/>
        <v>15000</v>
      </c>
      <c r="K1203" s="212" t="s">
        <v>6400</v>
      </c>
      <c r="L1203" s="213"/>
      <c r="M1203" s="212" t="s">
        <v>6179</v>
      </c>
    </row>
    <row r="1204" spans="1:13" ht="21" customHeight="1">
      <c r="A1204" s="213" t="s">
        <v>6756</v>
      </c>
      <c r="B1204" s="215">
        <f t="shared" si="54"/>
        <v>45737</v>
      </c>
      <c r="C1204" s="213" t="s">
        <v>6186</v>
      </c>
      <c r="D1204" s="213" t="s">
        <v>4366</v>
      </c>
      <c r="E1204" s="213" t="s">
        <v>334</v>
      </c>
      <c r="F1204" s="212" t="s">
        <v>6158</v>
      </c>
      <c r="G1204" s="212" t="str">
        <f t="shared" si="55"/>
        <v>401용역매출</v>
      </c>
      <c r="H1204" s="214">
        <v>0</v>
      </c>
      <c r="I1204" s="214">
        <v>150000</v>
      </c>
      <c r="J1204" s="214">
        <f t="shared" si="56"/>
        <v>150000</v>
      </c>
      <c r="K1204" s="212" t="s">
        <v>6400</v>
      </c>
      <c r="L1204" s="213"/>
      <c r="M1204" s="212" t="s">
        <v>6179</v>
      </c>
    </row>
    <row r="1205" spans="1:13" ht="21" customHeight="1">
      <c r="A1205" s="213" t="s">
        <v>6756</v>
      </c>
      <c r="B1205" s="215">
        <f t="shared" si="54"/>
        <v>45737</v>
      </c>
      <c r="C1205" s="213" t="s">
        <v>6186</v>
      </c>
      <c r="D1205" s="213" t="s">
        <v>4369</v>
      </c>
      <c r="E1205" s="213" t="s">
        <v>333</v>
      </c>
      <c r="F1205" s="212" t="s">
        <v>4365</v>
      </c>
      <c r="G1205" s="212" t="str">
        <f t="shared" si="55"/>
        <v>101현금</v>
      </c>
      <c r="H1205" s="214">
        <v>165000</v>
      </c>
      <c r="I1205" s="214">
        <v>0</v>
      </c>
      <c r="J1205" s="214">
        <f t="shared" si="56"/>
        <v>-165000</v>
      </c>
      <c r="K1205" s="212" t="s">
        <v>6400</v>
      </c>
      <c r="L1205" s="213"/>
      <c r="M1205" s="212" t="s">
        <v>6179</v>
      </c>
    </row>
    <row r="1206" spans="1:13" ht="21" customHeight="1">
      <c r="A1206" s="213" t="s">
        <v>6756</v>
      </c>
      <c r="B1206" s="215">
        <f t="shared" si="54"/>
        <v>45737</v>
      </c>
      <c r="C1206" s="213" t="s">
        <v>6189</v>
      </c>
      <c r="D1206" s="213" t="s">
        <v>4366</v>
      </c>
      <c r="E1206" s="213" t="s">
        <v>6176</v>
      </c>
      <c r="F1206" s="212" t="s">
        <v>6177</v>
      </c>
      <c r="G1206" s="212" t="str">
        <f t="shared" si="55"/>
        <v>255부가세예수금</v>
      </c>
      <c r="H1206" s="214">
        <v>0</v>
      </c>
      <c r="I1206" s="214">
        <v>10000</v>
      </c>
      <c r="J1206" s="214">
        <f t="shared" si="56"/>
        <v>10000</v>
      </c>
      <c r="K1206" s="212" t="s">
        <v>6280</v>
      </c>
      <c r="L1206" s="213"/>
      <c r="M1206" s="212" t="s">
        <v>6185</v>
      </c>
    </row>
    <row r="1207" spans="1:13" ht="21" customHeight="1">
      <c r="A1207" s="213" t="s">
        <v>6756</v>
      </c>
      <c r="B1207" s="215">
        <f t="shared" si="54"/>
        <v>45737</v>
      </c>
      <c r="C1207" s="213" t="s">
        <v>6189</v>
      </c>
      <c r="D1207" s="213" t="s">
        <v>4366</v>
      </c>
      <c r="E1207" s="213" t="s">
        <v>334</v>
      </c>
      <c r="F1207" s="212" t="s">
        <v>6158</v>
      </c>
      <c r="G1207" s="212" t="str">
        <f t="shared" si="55"/>
        <v>401용역매출</v>
      </c>
      <c r="H1207" s="214">
        <v>0</v>
      </c>
      <c r="I1207" s="214">
        <v>100000</v>
      </c>
      <c r="J1207" s="214">
        <f t="shared" si="56"/>
        <v>100000</v>
      </c>
      <c r="K1207" s="212" t="s">
        <v>6280</v>
      </c>
      <c r="L1207" s="213"/>
      <c r="M1207" s="212" t="s">
        <v>6185</v>
      </c>
    </row>
    <row r="1208" spans="1:13" ht="21" customHeight="1">
      <c r="A1208" s="213" t="s">
        <v>6756</v>
      </c>
      <c r="B1208" s="215">
        <f t="shared" si="54"/>
        <v>45737</v>
      </c>
      <c r="C1208" s="213" t="s">
        <v>6189</v>
      </c>
      <c r="D1208" s="213" t="s">
        <v>4369</v>
      </c>
      <c r="E1208" s="213" t="s">
        <v>333</v>
      </c>
      <c r="F1208" s="212" t="s">
        <v>4365</v>
      </c>
      <c r="G1208" s="212" t="str">
        <f t="shared" si="55"/>
        <v>101현금</v>
      </c>
      <c r="H1208" s="214">
        <v>110000</v>
      </c>
      <c r="I1208" s="214">
        <v>0</v>
      </c>
      <c r="J1208" s="214">
        <f t="shared" si="56"/>
        <v>-110000</v>
      </c>
      <c r="K1208" s="212" t="s">
        <v>6280</v>
      </c>
      <c r="L1208" s="213"/>
      <c r="M1208" s="212" t="s">
        <v>6185</v>
      </c>
    </row>
    <row r="1209" spans="1:13" ht="21" customHeight="1">
      <c r="A1209" s="213" t="s">
        <v>6756</v>
      </c>
      <c r="B1209" s="215">
        <f t="shared" si="54"/>
        <v>45737</v>
      </c>
      <c r="C1209" s="213" t="s">
        <v>6191</v>
      </c>
      <c r="D1209" s="213" t="s">
        <v>4366</v>
      </c>
      <c r="E1209" s="213" t="s">
        <v>6176</v>
      </c>
      <c r="F1209" s="212" t="s">
        <v>6177</v>
      </c>
      <c r="G1209" s="212" t="str">
        <f t="shared" si="55"/>
        <v>255부가세예수금</v>
      </c>
      <c r="H1209" s="214">
        <v>0</v>
      </c>
      <c r="I1209" s="214">
        <v>6000</v>
      </c>
      <c r="J1209" s="214">
        <f t="shared" si="56"/>
        <v>6000</v>
      </c>
      <c r="K1209" s="212" t="s">
        <v>6302</v>
      </c>
      <c r="L1209" s="213"/>
      <c r="M1209" s="212" t="s">
        <v>6303</v>
      </c>
    </row>
    <row r="1210" spans="1:13" ht="21" customHeight="1">
      <c r="A1210" s="213" t="s">
        <v>6756</v>
      </c>
      <c r="B1210" s="215">
        <f t="shared" si="54"/>
        <v>45737</v>
      </c>
      <c r="C1210" s="213" t="s">
        <v>6191</v>
      </c>
      <c r="D1210" s="213" t="s">
        <v>4366</v>
      </c>
      <c r="E1210" s="213" t="s">
        <v>334</v>
      </c>
      <c r="F1210" s="212" t="s">
        <v>6158</v>
      </c>
      <c r="G1210" s="212" t="str">
        <f t="shared" si="55"/>
        <v>401용역매출</v>
      </c>
      <c r="H1210" s="214">
        <v>0</v>
      </c>
      <c r="I1210" s="214">
        <v>60000</v>
      </c>
      <c r="J1210" s="214">
        <f t="shared" si="56"/>
        <v>60000</v>
      </c>
      <c r="K1210" s="212" t="s">
        <v>6302</v>
      </c>
      <c r="L1210" s="213"/>
      <c r="M1210" s="212" t="s">
        <v>6303</v>
      </c>
    </row>
    <row r="1211" spans="1:13" ht="21" customHeight="1">
      <c r="A1211" s="213" t="s">
        <v>6756</v>
      </c>
      <c r="B1211" s="215">
        <f t="shared" si="54"/>
        <v>45737</v>
      </c>
      <c r="C1211" s="213" t="s">
        <v>6191</v>
      </c>
      <c r="D1211" s="213" t="s">
        <v>4369</v>
      </c>
      <c r="E1211" s="213" t="s">
        <v>333</v>
      </c>
      <c r="F1211" s="212" t="s">
        <v>4365</v>
      </c>
      <c r="G1211" s="212" t="str">
        <f t="shared" si="55"/>
        <v>101현금</v>
      </c>
      <c r="H1211" s="214">
        <v>66000</v>
      </c>
      <c r="I1211" s="214">
        <v>0</v>
      </c>
      <c r="J1211" s="214">
        <f t="shared" si="56"/>
        <v>-66000</v>
      </c>
      <c r="K1211" s="212" t="s">
        <v>6302</v>
      </c>
      <c r="L1211" s="213"/>
      <c r="M1211" s="212" t="s">
        <v>6303</v>
      </c>
    </row>
    <row r="1212" spans="1:13" ht="21" customHeight="1">
      <c r="A1212" s="213" t="s">
        <v>6756</v>
      </c>
      <c r="B1212" s="215">
        <f t="shared" si="54"/>
        <v>45737</v>
      </c>
      <c r="C1212" s="213" t="s">
        <v>6216</v>
      </c>
      <c r="D1212" s="213" t="s">
        <v>4366</v>
      </c>
      <c r="E1212" s="213" t="s">
        <v>6176</v>
      </c>
      <c r="F1212" s="212" t="s">
        <v>6177</v>
      </c>
      <c r="G1212" s="212" t="str">
        <f t="shared" si="55"/>
        <v>255부가세예수금</v>
      </c>
      <c r="H1212" s="214">
        <v>0</v>
      </c>
      <c r="I1212" s="214">
        <v>20000</v>
      </c>
      <c r="J1212" s="214">
        <f t="shared" si="56"/>
        <v>20000</v>
      </c>
      <c r="K1212" s="212" t="s">
        <v>6355</v>
      </c>
      <c r="L1212" s="213"/>
      <c r="M1212" s="212" t="s">
        <v>6231</v>
      </c>
    </row>
    <row r="1213" spans="1:13" ht="21" customHeight="1">
      <c r="A1213" s="213" t="s">
        <v>6756</v>
      </c>
      <c r="B1213" s="215">
        <f t="shared" si="54"/>
        <v>45737</v>
      </c>
      <c r="C1213" s="213" t="s">
        <v>6216</v>
      </c>
      <c r="D1213" s="213" t="s">
        <v>4366</v>
      </c>
      <c r="E1213" s="213" t="s">
        <v>334</v>
      </c>
      <c r="F1213" s="212" t="s">
        <v>6158</v>
      </c>
      <c r="G1213" s="212" t="str">
        <f t="shared" si="55"/>
        <v>401용역매출</v>
      </c>
      <c r="H1213" s="214">
        <v>0</v>
      </c>
      <c r="I1213" s="214">
        <v>200000</v>
      </c>
      <c r="J1213" s="214">
        <f t="shared" si="56"/>
        <v>200000</v>
      </c>
      <c r="K1213" s="212" t="s">
        <v>6355</v>
      </c>
      <c r="L1213" s="213"/>
      <c r="M1213" s="212" t="s">
        <v>6231</v>
      </c>
    </row>
    <row r="1214" spans="1:13" ht="21" customHeight="1">
      <c r="A1214" s="213" t="s">
        <v>6756</v>
      </c>
      <c r="B1214" s="215">
        <f t="shared" si="54"/>
        <v>45737</v>
      </c>
      <c r="C1214" s="213" t="s">
        <v>6216</v>
      </c>
      <c r="D1214" s="213" t="s">
        <v>4369</v>
      </c>
      <c r="E1214" s="213" t="s">
        <v>333</v>
      </c>
      <c r="F1214" s="212" t="s">
        <v>4365</v>
      </c>
      <c r="G1214" s="212" t="str">
        <f t="shared" si="55"/>
        <v>101현금</v>
      </c>
      <c r="H1214" s="214">
        <v>220000</v>
      </c>
      <c r="I1214" s="214">
        <v>0</v>
      </c>
      <c r="J1214" s="214">
        <f t="shared" si="56"/>
        <v>-220000</v>
      </c>
      <c r="K1214" s="212" t="s">
        <v>6355</v>
      </c>
      <c r="L1214" s="213"/>
      <c r="M1214" s="212" t="s">
        <v>6231</v>
      </c>
    </row>
    <row r="1215" spans="1:13" ht="21" customHeight="1">
      <c r="A1215" s="213" t="s">
        <v>6756</v>
      </c>
      <c r="B1215" s="215">
        <f t="shared" si="54"/>
        <v>45737</v>
      </c>
      <c r="C1215" s="213" t="s">
        <v>6217</v>
      </c>
      <c r="D1215" s="213" t="s">
        <v>4366</v>
      </c>
      <c r="E1215" s="213" t="s">
        <v>6176</v>
      </c>
      <c r="F1215" s="212" t="s">
        <v>6177</v>
      </c>
      <c r="G1215" s="212" t="str">
        <f t="shared" si="55"/>
        <v>255부가세예수금</v>
      </c>
      <c r="H1215" s="214">
        <v>0</v>
      </c>
      <c r="I1215" s="214">
        <v>100000</v>
      </c>
      <c r="J1215" s="214">
        <f t="shared" si="56"/>
        <v>100000</v>
      </c>
      <c r="K1215" s="212" t="s">
        <v>6279</v>
      </c>
      <c r="L1215" s="213"/>
      <c r="M1215" s="212" t="s">
        <v>6301</v>
      </c>
    </row>
    <row r="1216" spans="1:13" ht="21" customHeight="1">
      <c r="A1216" s="213" t="s">
        <v>6756</v>
      </c>
      <c r="B1216" s="215">
        <f t="shared" si="54"/>
        <v>45737</v>
      </c>
      <c r="C1216" s="213" t="s">
        <v>6217</v>
      </c>
      <c r="D1216" s="213" t="s">
        <v>4366</v>
      </c>
      <c r="E1216" s="213" t="s">
        <v>334</v>
      </c>
      <c r="F1216" s="212" t="s">
        <v>6158</v>
      </c>
      <c r="G1216" s="212" t="str">
        <f t="shared" si="55"/>
        <v>401용역매출</v>
      </c>
      <c r="H1216" s="214">
        <v>0</v>
      </c>
      <c r="I1216" s="214">
        <v>1000000</v>
      </c>
      <c r="J1216" s="214">
        <f t="shared" si="56"/>
        <v>1000000</v>
      </c>
      <c r="K1216" s="212" t="s">
        <v>6279</v>
      </c>
      <c r="L1216" s="213"/>
      <c r="M1216" s="212" t="s">
        <v>6301</v>
      </c>
    </row>
    <row r="1217" spans="1:13" ht="21" customHeight="1">
      <c r="A1217" s="213" t="s">
        <v>6756</v>
      </c>
      <c r="B1217" s="215">
        <f t="shared" si="54"/>
        <v>45737</v>
      </c>
      <c r="C1217" s="213" t="s">
        <v>6217</v>
      </c>
      <c r="D1217" s="213" t="s">
        <v>4369</v>
      </c>
      <c r="E1217" s="213" t="s">
        <v>333</v>
      </c>
      <c r="F1217" s="212" t="s">
        <v>4365</v>
      </c>
      <c r="G1217" s="212" t="str">
        <f t="shared" si="55"/>
        <v>101현금</v>
      </c>
      <c r="H1217" s="214">
        <v>1100000</v>
      </c>
      <c r="I1217" s="214">
        <v>0</v>
      </c>
      <c r="J1217" s="214">
        <f t="shared" si="56"/>
        <v>-1100000</v>
      </c>
      <c r="K1217" s="212" t="s">
        <v>6279</v>
      </c>
      <c r="L1217" s="213"/>
      <c r="M1217" s="212" t="s">
        <v>6301</v>
      </c>
    </row>
    <row r="1218" spans="1:13" ht="21" customHeight="1">
      <c r="A1218" s="213" t="s">
        <v>6756</v>
      </c>
      <c r="B1218" s="215">
        <f t="shared" ref="B1218:B1281" si="57">DATEVALUE(A1218)</f>
        <v>45737</v>
      </c>
      <c r="C1218" s="213" t="s">
        <v>6218</v>
      </c>
      <c r="D1218" s="213" t="s">
        <v>4366</v>
      </c>
      <c r="E1218" s="213" t="s">
        <v>333</v>
      </c>
      <c r="F1218" s="212" t="s">
        <v>4365</v>
      </c>
      <c r="G1218" s="212" t="str">
        <f t="shared" ref="G1218:G1281" si="58">E1218&amp;F1218</f>
        <v>101현금</v>
      </c>
      <c r="H1218" s="214">
        <v>0</v>
      </c>
      <c r="I1218" s="214">
        <v>18970</v>
      </c>
      <c r="J1218" s="214">
        <f t="shared" ref="J1218:J1281" si="59">I1218-H1218</f>
        <v>18970</v>
      </c>
      <c r="K1218" s="212" t="s">
        <v>6370</v>
      </c>
      <c r="L1218" s="213"/>
      <c r="M1218" s="212"/>
    </row>
    <row r="1219" spans="1:13" ht="21" customHeight="1">
      <c r="A1219" s="213" t="s">
        <v>6756</v>
      </c>
      <c r="B1219" s="215">
        <f t="shared" si="57"/>
        <v>45737</v>
      </c>
      <c r="C1219" s="213" t="s">
        <v>6218</v>
      </c>
      <c r="D1219" s="213" t="s">
        <v>4369</v>
      </c>
      <c r="E1219" s="213" t="s">
        <v>4383</v>
      </c>
      <c r="F1219" s="212" t="s">
        <v>6525</v>
      </c>
      <c r="G1219" s="212" t="str">
        <f t="shared" si="58"/>
        <v>830소모품비(판)</v>
      </c>
      <c r="H1219" s="214">
        <v>17246</v>
      </c>
      <c r="I1219" s="214">
        <v>0</v>
      </c>
      <c r="J1219" s="214">
        <f t="shared" si="59"/>
        <v>-17246</v>
      </c>
      <c r="K1219" s="212" t="s">
        <v>6757</v>
      </c>
      <c r="L1219" s="213" t="s">
        <v>6411</v>
      </c>
      <c r="M1219" s="212"/>
    </row>
    <row r="1220" spans="1:13" ht="21" customHeight="1">
      <c r="A1220" s="213" t="s">
        <v>6756</v>
      </c>
      <c r="B1220" s="215">
        <f t="shared" si="57"/>
        <v>45737</v>
      </c>
      <c r="C1220" s="213" t="s">
        <v>6218</v>
      </c>
      <c r="D1220" s="213" t="s">
        <v>4369</v>
      </c>
      <c r="E1220" s="213" t="s">
        <v>4371</v>
      </c>
      <c r="F1220" s="212" t="s">
        <v>4370</v>
      </c>
      <c r="G1220" s="212" t="str">
        <f t="shared" si="58"/>
        <v>135부가세대급금</v>
      </c>
      <c r="H1220" s="214">
        <v>1724</v>
      </c>
      <c r="I1220" s="214">
        <v>0</v>
      </c>
      <c r="J1220" s="214">
        <f t="shared" si="59"/>
        <v>-1724</v>
      </c>
      <c r="K1220" s="212" t="s">
        <v>6757</v>
      </c>
      <c r="L1220" s="213" t="s">
        <v>6411</v>
      </c>
      <c r="M1220" s="212"/>
    </row>
    <row r="1221" spans="1:13" ht="21" customHeight="1">
      <c r="A1221" s="213" t="s">
        <v>6756</v>
      </c>
      <c r="B1221" s="215">
        <f t="shared" si="57"/>
        <v>45737</v>
      </c>
      <c r="C1221" s="213" t="s">
        <v>6238</v>
      </c>
      <c r="D1221" s="213" t="s">
        <v>4369</v>
      </c>
      <c r="E1221" s="213" t="s">
        <v>4371</v>
      </c>
      <c r="F1221" s="212" t="s">
        <v>4370</v>
      </c>
      <c r="G1221" s="212" t="str">
        <f t="shared" si="58"/>
        <v>135부가세대급금</v>
      </c>
      <c r="H1221" s="214">
        <v>11290</v>
      </c>
      <c r="I1221" s="214">
        <v>0</v>
      </c>
      <c r="J1221" s="214">
        <f t="shared" si="59"/>
        <v>-11290</v>
      </c>
      <c r="K1221" s="212" t="s">
        <v>6197</v>
      </c>
      <c r="L1221" s="213"/>
      <c r="M1221" s="212"/>
    </row>
    <row r="1222" spans="1:13" ht="21" customHeight="1">
      <c r="A1222" s="213" t="s">
        <v>6756</v>
      </c>
      <c r="B1222" s="215">
        <f t="shared" si="57"/>
        <v>45737</v>
      </c>
      <c r="C1222" s="213" t="s">
        <v>6238</v>
      </c>
      <c r="D1222" s="213" t="s">
        <v>4369</v>
      </c>
      <c r="E1222" s="213" t="s">
        <v>4383</v>
      </c>
      <c r="F1222" s="212" t="s">
        <v>6525</v>
      </c>
      <c r="G1222" s="212" t="str">
        <f t="shared" si="58"/>
        <v>830소모품비(판)</v>
      </c>
      <c r="H1222" s="214">
        <v>112910</v>
      </c>
      <c r="I1222" s="214">
        <v>0</v>
      </c>
      <c r="J1222" s="214">
        <f t="shared" si="59"/>
        <v>-112910</v>
      </c>
      <c r="K1222" s="212" t="s">
        <v>6197</v>
      </c>
      <c r="L1222" s="213"/>
      <c r="M1222" s="212"/>
    </row>
    <row r="1223" spans="1:13" ht="21" customHeight="1">
      <c r="A1223" s="213" t="s">
        <v>6756</v>
      </c>
      <c r="B1223" s="215">
        <f t="shared" si="57"/>
        <v>45737</v>
      </c>
      <c r="C1223" s="213" t="s">
        <v>6238</v>
      </c>
      <c r="D1223" s="213" t="s">
        <v>4366</v>
      </c>
      <c r="E1223" s="213" t="s">
        <v>333</v>
      </c>
      <c r="F1223" s="212" t="s">
        <v>4365</v>
      </c>
      <c r="G1223" s="212" t="str">
        <f t="shared" si="58"/>
        <v>101현금</v>
      </c>
      <c r="H1223" s="214">
        <v>0</v>
      </c>
      <c r="I1223" s="214">
        <v>124200</v>
      </c>
      <c r="J1223" s="214">
        <f t="shared" si="59"/>
        <v>124200</v>
      </c>
      <c r="K1223" s="212" t="s">
        <v>6370</v>
      </c>
      <c r="L1223" s="213"/>
      <c r="M1223" s="212"/>
    </row>
    <row r="1224" spans="1:13" ht="21" customHeight="1">
      <c r="A1224" s="217" t="s">
        <v>6752</v>
      </c>
      <c r="B1224" s="215">
        <f t="shared" si="57"/>
        <v>45738</v>
      </c>
      <c r="C1224" s="213" t="s">
        <v>4373</v>
      </c>
      <c r="D1224" s="213" t="s">
        <v>4369</v>
      </c>
      <c r="E1224" s="213" t="s">
        <v>4499</v>
      </c>
      <c r="F1224" s="212" t="s">
        <v>6517</v>
      </c>
      <c r="G1224" s="212" t="str">
        <f t="shared" si="58"/>
        <v>811복리후생비(판)</v>
      </c>
      <c r="H1224" s="214">
        <v>5000</v>
      </c>
      <c r="I1224" s="214">
        <v>0</v>
      </c>
      <c r="J1224" s="214">
        <f t="shared" si="59"/>
        <v>-5000</v>
      </c>
      <c r="K1224" s="212" t="s">
        <v>6378</v>
      </c>
      <c r="L1224" s="213"/>
      <c r="M1224" s="212"/>
    </row>
    <row r="1225" spans="1:13" ht="21" customHeight="1">
      <c r="A1225" s="217" t="s">
        <v>6752</v>
      </c>
      <c r="B1225" s="215">
        <f t="shared" si="57"/>
        <v>45738</v>
      </c>
      <c r="C1225" s="213" t="s">
        <v>4373</v>
      </c>
      <c r="D1225" s="213" t="s">
        <v>4366</v>
      </c>
      <c r="E1225" s="213" t="s">
        <v>333</v>
      </c>
      <c r="F1225" s="212" t="s">
        <v>4365</v>
      </c>
      <c r="G1225" s="212" t="str">
        <f t="shared" si="58"/>
        <v>101현금</v>
      </c>
      <c r="H1225" s="214">
        <v>0</v>
      </c>
      <c r="I1225" s="214">
        <v>5000</v>
      </c>
      <c r="J1225" s="214">
        <f t="shared" si="59"/>
        <v>5000</v>
      </c>
      <c r="K1225" s="212" t="s">
        <v>6370</v>
      </c>
      <c r="L1225" s="213"/>
      <c r="M1225" s="212"/>
    </row>
    <row r="1226" spans="1:13" ht="21" customHeight="1">
      <c r="A1226" s="217" t="s">
        <v>6752</v>
      </c>
      <c r="B1226" s="215">
        <f t="shared" si="57"/>
        <v>45738</v>
      </c>
      <c r="C1226" s="213" t="s">
        <v>4382</v>
      </c>
      <c r="D1226" s="213" t="s">
        <v>4369</v>
      </c>
      <c r="E1226" s="213" t="s">
        <v>4504</v>
      </c>
      <c r="F1226" s="212" t="s">
        <v>6545</v>
      </c>
      <c r="G1226" s="212" t="str">
        <f t="shared" si="58"/>
        <v>826도서인쇄비(판)</v>
      </c>
      <c r="H1226" s="214">
        <v>15000</v>
      </c>
      <c r="I1226" s="214">
        <v>0</v>
      </c>
      <c r="J1226" s="214">
        <f t="shared" si="59"/>
        <v>-15000</v>
      </c>
      <c r="K1226" s="212" t="s">
        <v>6289</v>
      </c>
      <c r="L1226" s="213"/>
      <c r="M1226" s="212"/>
    </row>
    <row r="1227" spans="1:13" ht="21" customHeight="1">
      <c r="A1227" s="217" t="s">
        <v>6752</v>
      </c>
      <c r="B1227" s="215">
        <f t="shared" si="57"/>
        <v>45738</v>
      </c>
      <c r="C1227" s="213" t="s">
        <v>4382</v>
      </c>
      <c r="D1227" s="213" t="s">
        <v>4366</v>
      </c>
      <c r="E1227" s="213" t="s">
        <v>333</v>
      </c>
      <c r="F1227" s="212" t="s">
        <v>4365</v>
      </c>
      <c r="G1227" s="212" t="str">
        <f t="shared" si="58"/>
        <v>101현금</v>
      </c>
      <c r="H1227" s="214">
        <v>0</v>
      </c>
      <c r="I1227" s="214">
        <v>15000</v>
      </c>
      <c r="J1227" s="214">
        <f t="shared" si="59"/>
        <v>15000</v>
      </c>
      <c r="K1227" s="212" t="s">
        <v>6370</v>
      </c>
      <c r="L1227" s="213"/>
      <c r="M1227" s="212"/>
    </row>
    <row r="1228" spans="1:13" ht="21" customHeight="1">
      <c r="A1228" s="217" t="s">
        <v>6752</v>
      </c>
      <c r="B1228" s="215">
        <f t="shared" si="57"/>
        <v>45738</v>
      </c>
      <c r="C1228" s="213" t="s">
        <v>4381</v>
      </c>
      <c r="D1228" s="213" t="s">
        <v>4366</v>
      </c>
      <c r="E1228" s="213" t="s">
        <v>333</v>
      </c>
      <c r="F1228" s="212" t="s">
        <v>4365</v>
      </c>
      <c r="G1228" s="212" t="str">
        <f t="shared" si="58"/>
        <v>101현금</v>
      </c>
      <c r="H1228" s="214">
        <v>0</v>
      </c>
      <c r="I1228" s="214">
        <v>1500</v>
      </c>
      <c r="J1228" s="214">
        <f t="shared" si="59"/>
        <v>1500</v>
      </c>
      <c r="K1228" s="212" t="s">
        <v>6371</v>
      </c>
      <c r="L1228" s="213"/>
      <c r="M1228" s="212"/>
    </row>
    <row r="1229" spans="1:13" ht="21" customHeight="1">
      <c r="A1229" s="217" t="s">
        <v>6752</v>
      </c>
      <c r="B1229" s="215">
        <f t="shared" si="57"/>
        <v>45738</v>
      </c>
      <c r="C1229" s="213" t="s">
        <v>4381</v>
      </c>
      <c r="D1229" s="213" t="s">
        <v>4369</v>
      </c>
      <c r="E1229" s="213" t="s">
        <v>4380</v>
      </c>
      <c r="F1229" s="212" t="s">
        <v>6515</v>
      </c>
      <c r="G1229" s="212" t="str">
        <f t="shared" si="58"/>
        <v>812여비교통비(판)</v>
      </c>
      <c r="H1229" s="214">
        <v>1500</v>
      </c>
      <c r="I1229" s="214">
        <v>0</v>
      </c>
      <c r="J1229" s="214">
        <f t="shared" si="59"/>
        <v>-1500</v>
      </c>
      <c r="K1229" s="212" t="s">
        <v>6755</v>
      </c>
      <c r="L1229" s="213"/>
      <c r="M1229" s="212"/>
    </row>
    <row r="1230" spans="1:13" ht="21" customHeight="1">
      <c r="A1230" s="217" t="s">
        <v>6752</v>
      </c>
      <c r="B1230" s="215">
        <f t="shared" si="57"/>
        <v>45738</v>
      </c>
      <c r="C1230" s="213" t="s">
        <v>4379</v>
      </c>
      <c r="D1230" s="213" t="s">
        <v>4369</v>
      </c>
      <c r="E1230" s="213" t="s">
        <v>4380</v>
      </c>
      <c r="F1230" s="212" t="s">
        <v>6515</v>
      </c>
      <c r="G1230" s="212" t="str">
        <f t="shared" si="58"/>
        <v>812여비교통비(판)</v>
      </c>
      <c r="H1230" s="214">
        <v>2500</v>
      </c>
      <c r="I1230" s="214">
        <v>0</v>
      </c>
      <c r="J1230" s="214">
        <f t="shared" si="59"/>
        <v>-2500</v>
      </c>
      <c r="K1230" s="212" t="s">
        <v>6754</v>
      </c>
      <c r="L1230" s="213"/>
      <c r="M1230" s="212"/>
    </row>
    <row r="1231" spans="1:13" ht="21" customHeight="1">
      <c r="A1231" s="217" t="s">
        <v>6752</v>
      </c>
      <c r="B1231" s="215">
        <f t="shared" si="57"/>
        <v>45738</v>
      </c>
      <c r="C1231" s="213" t="s">
        <v>4379</v>
      </c>
      <c r="D1231" s="213" t="s">
        <v>4366</v>
      </c>
      <c r="E1231" s="213" t="s">
        <v>333</v>
      </c>
      <c r="F1231" s="212" t="s">
        <v>4365</v>
      </c>
      <c r="G1231" s="212" t="str">
        <f t="shared" si="58"/>
        <v>101현금</v>
      </c>
      <c r="H1231" s="214">
        <v>0</v>
      </c>
      <c r="I1231" s="214">
        <v>2500</v>
      </c>
      <c r="J1231" s="214">
        <f t="shared" si="59"/>
        <v>2500</v>
      </c>
      <c r="K1231" s="212" t="s">
        <v>6371</v>
      </c>
      <c r="L1231" s="213"/>
      <c r="M1231" s="212"/>
    </row>
    <row r="1232" spans="1:13" ht="21" customHeight="1">
      <c r="A1232" s="217" t="s">
        <v>6752</v>
      </c>
      <c r="B1232" s="215">
        <f t="shared" si="57"/>
        <v>45738</v>
      </c>
      <c r="C1232" s="213" t="s">
        <v>4385</v>
      </c>
      <c r="D1232" s="213" t="s">
        <v>4366</v>
      </c>
      <c r="E1232" s="213" t="s">
        <v>333</v>
      </c>
      <c r="F1232" s="212" t="s">
        <v>4365</v>
      </c>
      <c r="G1232" s="212" t="str">
        <f t="shared" si="58"/>
        <v>101현금</v>
      </c>
      <c r="H1232" s="214">
        <v>0</v>
      </c>
      <c r="I1232" s="214">
        <v>33729</v>
      </c>
      <c r="J1232" s="214">
        <f t="shared" si="59"/>
        <v>33729</v>
      </c>
      <c r="K1232" s="212" t="s">
        <v>6537</v>
      </c>
      <c r="L1232" s="213"/>
      <c r="M1232" s="212"/>
    </row>
    <row r="1233" spans="1:13" ht="21" customHeight="1">
      <c r="A1233" s="217" t="s">
        <v>6752</v>
      </c>
      <c r="B1233" s="215">
        <f t="shared" si="57"/>
        <v>45738</v>
      </c>
      <c r="C1233" s="213" t="s">
        <v>4385</v>
      </c>
      <c r="D1233" s="213" t="s">
        <v>4369</v>
      </c>
      <c r="E1233" s="213" t="s">
        <v>4383</v>
      </c>
      <c r="F1233" s="212" t="s">
        <v>6525</v>
      </c>
      <c r="G1233" s="212" t="str">
        <f t="shared" si="58"/>
        <v>830소모품비(판)</v>
      </c>
      <c r="H1233" s="214">
        <v>33729</v>
      </c>
      <c r="I1233" s="214">
        <v>0</v>
      </c>
      <c r="J1233" s="214">
        <f t="shared" si="59"/>
        <v>-33729</v>
      </c>
      <c r="K1233" s="212" t="s">
        <v>6537</v>
      </c>
      <c r="L1233" s="213"/>
      <c r="M1233" s="212"/>
    </row>
    <row r="1234" spans="1:13" ht="21" customHeight="1">
      <c r="A1234" s="217" t="s">
        <v>6752</v>
      </c>
      <c r="B1234" s="215">
        <f t="shared" si="57"/>
        <v>45738</v>
      </c>
      <c r="C1234" s="213" t="s">
        <v>4501</v>
      </c>
      <c r="D1234" s="213" t="s">
        <v>4366</v>
      </c>
      <c r="E1234" s="213" t="s">
        <v>333</v>
      </c>
      <c r="F1234" s="212" t="s">
        <v>4365</v>
      </c>
      <c r="G1234" s="212" t="str">
        <f t="shared" si="58"/>
        <v>101현금</v>
      </c>
      <c r="H1234" s="214">
        <v>0</v>
      </c>
      <c r="I1234" s="214">
        <v>28812</v>
      </c>
      <c r="J1234" s="214">
        <f t="shared" si="59"/>
        <v>28812</v>
      </c>
      <c r="K1234" s="212" t="s">
        <v>6537</v>
      </c>
      <c r="L1234" s="213"/>
      <c r="M1234" s="212"/>
    </row>
    <row r="1235" spans="1:13" ht="21" customHeight="1">
      <c r="A1235" s="217" t="s">
        <v>6752</v>
      </c>
      <c r="B1235" s="215">
        <f t="shared" si="57"/>
        <v>45738</v>
      </c>
      <c r="C1235" s="213" t="s">
        <v>4501</v>
      </c>
      <c r="D1235" s="213" t="s">
        <v>4369</v>
      </c>
      <c r="E1235" s="213" t="s">
        <v>4383</v>
      </c>
      <c r="F1235" s="212" t="s">
        <v>6525</v>
      </c>
      <c r="G1235" s="212" t="str">
        <f t="shared" si="58"/>
        <v>830소모품비(판)</v>
      </c>
      <c r="H1235" s="214">
        <v>28812</v>
      </c>
      <c r="I1235" s="214">
        <v>0</v>
      </c>
      <c r="J1235" s="214">
        <f t="shared" si="59"/>
        <v>-28812</v>
      </c>
      <c r="K1235" s="212" t="s">
        <v>6537</v>
      </c>
      <c r="L1235" s="213"/>
      <c r="M1235" s="212"/>
    </row>
    <row r="1236" spans="1:13" ht="21" customHeight="1">
      <c r="A1236" s="217" t="s">
        <v>6752</v>
      </c>
      <c r="B1236" s="215">
        <f t="shared" si="57"/>
        <v>45738</v>
      </c>
      <c r="C1236" s="213" t="s">
        <v>4502</v>
      </c>
      <c r="D1236" s="213" t="s">
        <v>4366</v>
      </c>
      <c r="E1236" s="213" t="s">
        <v>333</v>
      </c>
      <c r="F1236" s="212" t="s">
        <v>4365</v>
      </c>
      <c r="G1236" s="212" t="str">
        <f t="shared" si="58"/>
        <v>101현금</v>
      </c>
      <c r="H1236" s="214">
        <v>0</v>
      </c>
      <c r="I1236" s="214">
        <v>25200</v>
      </c>
      <c r="J1236" s="214">
        <f t="shared" si="59"/>
        <v>25200</v>
      </c>
      <c r="K1236" s="212" t="s">
        <v>6753</v>
      </c>
      <c r="L1236" s="213"/>
      <c r="M1236" s="212"/>
    </row>
    <row r="1237" spans="1:13" ht="21" customHeight="1">
      <c r="A1237" s="217" t="s">
        <v>6752</v>
      </c>
      <c r="B1237" s="215">
        <f t="shared" si="57"/>
        <v>45738</v>
      </c>
      <c r="C1237" s="213" t="s">
        <v>4502</v>
      </c>
      <c r="D1237" s="213" t="s">
        <v>4369</v>
      </c>
      <c r="E1237" s="213" t="s">
        <v>4383</v>
      </c>
      <c r="F1237" s="212" t="s">
        <v>6525</v>
      </c>
      <c r="G1237" s="212" t="str">
        <f t="shared" si="58"/>
        <v>830소모품비(판)</v>
      </c>
      <c r="H1237" s="214">
        <v>25200</v>
      </c>
      <c r="I1237" s="214">
        <v>0</v>
      </c>
      <c r="J1237" s="214">
        <f t="shared" si="59"/>
        <v>-25200</v>
      </c>
      <c r="K1237" s="212" t="s">
        <v>6753</v>
      </c>
      <c r="L1237" s="213"/>
      <c r="M1237" s="212"/>
    </row>
    <row r="1238" spans="1:13" ht="21" customHeight="1">
      <c r="A1238" s="217" t="s">
        <v>6752</v>
      </c>
      <c r="B1238" s="215">
        <f t="shared" si="57"/>
        <v>45738</v>
      </c>
      <c r="C1238" s="213" t="s">
        <v>4503</v>
      </c>
      <c r="D1238" s="213" t="s">
        <v>4366</v>
      </c>
      <c r="E1238" s="213" t="s">
        <v>333</v>
      </c>
      <c r="F1238" s="212" t="s">
        <v>4365</v>
      </c>
      <c r="G1238" s="212" t="str">
        <f t="shared" si="58"/>
        <v>101현금</v>
      </c>
      <c r="H1238" s="214">
        <v>0</v>
      </c>
      <c r="I1238" s="214">
        <v>3000</v>
      </c>
      <c r="J1238" s="214">
        <f t="shared" si="59"/>
        <v>3000</v>
      </c>
      <c r="K1238" s="212" t="s">
        <v>6753</v>
      </c>
      <c r="L1238" s="213"/>
      <c r="M1238" s="212"/>
    </row>
    <row r="1239" spans="1:13" ht="21" customHeight="1">
      <c r="A1239" s="217" t="s">
        <v>6752</v>
      </c>
      <c r="B1239" s="215">
        <f t="shared" si="57"/>
        <v>45738</v>
      </c>
      <c r="C1239" s="213" t="s">
        <v>4503</v>
      </c>
      <c r="D1239" s="213" t="s">
        <v>4369</v>
      </c>
      <c r="E1239" s="213" t="s">
        <v>4383</v>
      </c>
      <c r="F1239" s="212" t="s">
        <v>6525</v>
      </c>
      <c r="G1239" s="212" t="str">
        <f t="shared" si="58"/>
        <v>830소모품비(판)</v>
      </c>
      <c r="H1239" s="214">
        <v>3000</v>
      </c>
      <c r="I1239" s="214">
        <v>0</v>
      </c>
      <c r="J1239" s="214">
        <f t="shared" si="59"/>
        <v>-3000</v>
      </c>
      <c r="K1239" s="212" t="s">
        <v>6753</v>
      </c>
      <c r="L1239" s="213"/>
      <c r="M1239" s="212"/>
    </row>
    <row r="1240" spans="1:13" ht="21" customHeight="1">
      <c r="A1240" s="217" t="s">
        <v>6752</v>
      </c>
      <c r="B1240" s="215">
        <f t="shared" si="57"/>
        <v>45738</v>
      </c>
      <c r="C1240" s="213" t="s">
        <v>4367</v>
      </c>
      <c r="D1240" s="213" t="s">
        <v>4366</v>
      </c>
      <c r="E1240" s="213" t="s">
        <v>333</v>
      </c>
      <c r="F1240" s="212" t="s">
        <v>4365</v>
      </c>
      <c r="G1240" s="212" t="str">
        <f t="shared" si="58"/>
        <v>101현금</v>
      </c>
      <c r="H1240" s="214">
        <v>0</v>
      </c>
      <c r="I1240" s="214">
        <v>23000</v>
      </c>
      <c r="J1240" s="214">
        <f t="shared" si="59"/>
        <v>23000</v>
      </c>
      <c r="K1240" s="212" t="s">
        <v>6371</v>
      </c>
      <c r="L1240" s="213"/>
      <c r="M1240" s="212"/>
    </row>
    <row r="1241" spans="1:13" ht="21" customHeight="1">
      <c r="A1241" s="217" t="s">
        <v>6752</v>
      </c>
      <c r="B1241" s="215">
        <f t="shared" si="57"/>
        <v>45738</v>
      </c>
      <c r="C1241" s="213" t="s">
        <v>4367</v>
      </c>
      <c r="D1241" s="213" t="s">
        <v>4369</v>
      </c>
      <c r="E1241" s="213" t="s">
        <v>4383</v>
      </c>
      <c r="F1241" s="212" t="s">
        <v>6525</v>
      </c>
      <c r="G1241" s="212" t="str">
        <f t="shared" si="58"/>
        <v>830소모품비(판)</v>
      </c>
      <c r="H1241" s="214">
        <v>20907</v>
      </c>
      <c r="I1241" s="214">
        <v>0</v>
      </c>
      <c r="J1241" s="214">
        <f t="shared" si="59"/>
        <v>-20907</v>
      </c>
      <c r="K1241" s="212" t="s">
        <v>6202</v>
      </c>
      <c r="L1241" s="213" t="s">
        <v>6411</v>
      </c>
      <c r="M1241" s="212"/>
    </row>
    <row r="1242" spans="1:13" ht="21" customHeight="1">
      <c r="A1242" s="217" t="s">
        <v>6752</v>
      </c>
      <c r="B1242" s="215">
        <f t="shared" si="57"/>
        <v>45738</v>
      </c>
      <c r="C1242" s="213" t="s">
        <v>4367</v>
      </c>
      <c r="D1242" s="213" t="s">
        <v>4369</v>
      </c>
      <c r="E1242" s="213" t="s">
        <v>4371</v>
      </c>
      <c r="F1242" s="212" t="s">
        <v>4370</v>
      </c>
      <c r="G1242" s="212" t="str">
        <f t="shared" si="58"/>
        <v>135부가세대급금</v>
      </c>
      <c r="H1242" s="214">
        <v>2093</v>
      </c>
      <c r="I1242" s="214">
        <v>0</v>
      </c>
      <c r="J1242" s="214">
        <f t="shared" si="59"/>
        <v>-2093</v>
      </c>
      <c r="K1242" s="212" t="s">
        <v>6202</v>
      </c>
      <c r="L1242" s="213" t="s">
        <v>6411</v>
      </c>
      <c r="M1242" s="212"/>
    </row>
    <row r="1243" spans="1:13" ht="21" customHeight="1">
      <c r="A1243" s="217" t="s">
        <v>6752</v>
      </c>
      <c r="B1243" s="215">
        <f t="shared" si="57"/>
        <v>45738</v>
      </c>
      <c r="C1243" s="213" t="s">
        <v>4374</v>
      </c>
      <c r="D1243" s="213" t="s">
        <v>4366</v>
      </c>
      <c r="E1243" s="213" t="s">
        <v>333</v>
      </c>
      <c r="F1243" s="212" t="s">
        <v>4365</v>
      </c>
      <c r="G1243" s="212" t="str">
        <f t="shared" si="58"/>
        <v>101현금</v>
      </c>
      <c r="H1243" s="214">
        <v>0</v>
      </c>
      <c r="I1243" s="214">
        <v>500</v>
      </c>
      <c r="J1243" s="214">
        <f t="shared" si="59"/>
        <v>500</v>
      </c>
      <c r="K1243" s="212" t="s">
        <v>6371</v>
      </c>
      <c r="L1243" s="213"/>
      <c r="M1243" s="212"/>
    </row>
    <row r="1244" spans="1:13" ht="21" customHeight="1">
      <c r="A1244" s="217" t="s">
        <v>6752</v>
      </c>
      <c r="B1244" s="215">
        <f t="shared" si="57"/>
        <v>45738</v>
      </c>
      <c r="C1244" s="213" t="s">
        <v>4374</v>
      </c>
      <c r="D1244" s="213" t="s">
        <v>4369</v>
      </c>
      <c r="E1244" s="213" t="s">
        <v>4383</v>
      </c>
      <c r="F1244" s="212" t="s">
        <v>6525</v>
      </c>
      <c r="G1244" s="212" t="str">
        <f t="shared" si="58"/>
        <v>830소모품비(판)</v>
      </c>
      <c r="H1244" s="214">
        <v>455</v>
      </c>
      <c r="I1244" s="214">
        <v>0</v>
      </c>
      <c r="J1244" s="214">
        <f t="shared" si="59"/>
        <v>-455</v>
      </c>
      <c r="K1244" s="212" t="s">
        <v>6202</v>
      </c>
      <c r="L1244" s="213" t="s">
        <v>6411</v>
      </c>
      <c r="M1244" s="212"/>
    </row>
    <row r="1245" spans="1:13" ht="21" customHeight="1">
      <c r="A1245" s="217" t="s">
        <v>6752</v>
      </c>
      <c r="B1245" s="215">
        <f t="shared" si="57"/>
        <v>45738</v>
      </c>
      <c r="C1245" s="213" t="s">
        <v>4374</v>
      </c>
      <c r="D1245" s="213" t="s">
        <v>4369</v>
      </c>
      <c r="E1245" s="213" t="s">
        <v>4371</v>
      </c>
      <c r="F1245" s="212" t="s">
        <v>4370</v>
      </c>
      <c r="G1245" s="212" t="str">
        <f t="shared" si="58"/>
        <v>135부가세대급금</v>
      </c>
      <c r="H1245" s="214">
        <v>45</v>
      </c>
      <c r="I1245" s="214">
        <v>0</v>
      </c>
      <c r="J1245" s="214">
        <f t="shared" si="59"/>
        <v>-45</v>
      </c>
      <c r="K1245" s="212" t="s">
        <v>6202</v>
      </c>
      <c r="L1245" s="213" t="s">
        <v>6411</v>
      </c>
      <c r="M1245" s="212"/>
    </row>
    <row r="1246" spans="1:13" ht="21" customHeight="1">
      <c r="A1246" s="216" t="s">
        <v>6751</v>
      </c>
      <c r="B1246" s="215">
        <f t="shared" si="57"/>
        <v>45739</v>
      </c>
      <c r="C1246" s="213" t="s">
        <v>4367</v>
      </c>
      <c r="D1246" s="213" t="s">
        <v>4366</v>
      </c>
      <c r="E1246" s="213" t="s">
        <v>333</v>
      </c>
      <c r="F1246" s="212" t="s">
        <v>4365</v>
      </c>
      <c r="G1246" s="212" t="str">
        <f t="shared" si="58"/>
        <v>101현금</v>
      </c>
      <c r="H1246" s="214">
        <v>0</v>
      </c>
      <c r="I1246" s="214">
        <v>7000</v>
      </c>
      <c r="J1246" s="214">
        <f t="shared" si="59"/>
        <v>7000</v>
      </c>
      <c r="K1246" s="212" t="s">
        <v>6371</v>
      </c>
      <c r="L1246" s="213"/>
      <c r="M1246" s="212"/>
    </row>
    <row r="1247" spans="1:13" ht="21" customHeight="1">
      <c r="A1247" s="216" t="s">
        <v>6751</v>
      </c>
      <c r="B1247" s="215">
        <f t="shared" si="57"/>
        <v>45739</v>
      </c>
      <c r="C1247" s="213" t="s">
        <v>4367</v>
      </c>
      <c r="D1247" s="213" t="s">
        <v>4369</v>
      </c>
      <c r="E1247" s="213" t="s">
        <v>4383</v>
      </c>
      <c r="F1247" s="212" t="s">
        <v>6525</v>
      </c>
      <c r="G1247" s="212" t="str">
        <f t="shared" si="58"/>
        <v>830소모품비(판)</v>
      </c>
      <c r="H1247" s="214">
        <v>6363</v>
      </c>
      <c r="I1247" s="214">
        <v>0</v>
      </c>
      <c r="J1247" s="214">
        <f t="shared" si="59"/>
        <v>-6363</v>
      </c>
      <c r="K1247" s="212" t="s">
        <v>6202</v>
      </c>
      <c r="L1247" s="213" t="s">
        <v>6411</v>
      </c>
      <c r="M1247" s="212"/>
    </row>
    <row r="1248" spans="1:13" ht="21" customHeight="1">
      <c r="A1248" s="216" t="s">
        <v>6751</v>
      </c>
      <c r="B1248" s="215">
        <f t="shared" si="57"/>
        <v>45739</v>
      </c>
      <c r="C1248" s="213" t="s">
        <v>4367</v>
      </c>
      <c r="D1248" s="213" t="s">
        <v>4369</v>
      </c>
      <c r="E1248" s="213" t="s">
        <v>4371</v>
      </c>
      <c r="F1248" s="212" t="s">
        <v>4370</v>
      </c>
      <c r="G1248" s="212" t="str">
        <f t="shared" si="58"/>
        <v>135부가세대급금</v>
      </c>
      <c r="H1248" s="214">
        <v>637</v>
      </c>
      <c r="I1248" s="214">
        <v>0</v>
      </c>
      <c r="J1248" s="214">
        <f t="shared" si="59"/>
        <v>-637</v>
      </c>
      <c r="K1248" s="212" t="s">
        <v>6202</v>
      </c>
      <c r="L1248" s="213" t="s">
        <v>6411</v>
      </c>
      <c r="M1248" s="212"/>
    </row>
    <row r="1249" spans="1:13" ht="21" customHeight="1">
      <c r="A1249" s="213" t="s">
        <v>6749</v>
      </c>
      <c r="B1249" s="215">
        <f t="shared" si="57"/>
        <v>45740</v>
      </c>
      <c r="C1249" s="213" t="s">
        <v>4373</v>
      </c>
      <c r="D1249" s="213" t="s">
        <v>4369</v>
      </c>
      <c r="E1249" s="213" t="s">
        <v>4383</v>
      </c>
      <c r="F1249" s="212" t="s">
        <v>6525</v>
      </c>
      <c r="G1249" s="212" t="str">
        <f t="shared" si="58"/>
        <v>830소모품비(판)</v>
      </c>
      <c r="H1249" s="214">
        <v>15420</v>
      </c>
      <c r="I1249" s="214">
        <v>0</v>
      </c>
      <c r="J1249" s="214">
        <f t="shared" si="59"/>
        <v>-15420</v>
      </c>
      <c r="K1249" s="212" t="s">
        <v>6215</v>
      </c>
      <c r="L1249" s="213"/>
      <c r="M1249" s="212"/>
    </row>
    <row r="1250" spans="1:13" ht="21" customHeight="1">
      <c r="A1250" s="213" t="s">
        <v>6749</v>
      </c>
      <c r="B1250" s="215">
        <f t="shared" si="57"/>
        <v>45740</v>
      </c>
      <c r="C1250" s="213" t="s">
        <v>4373</v>
      </c>
      <c r="D1250" s="213" t="s">
        <v>4366</v>
      </c>
      <c r="E1250" s="213" t="s">
        <v>333</v>
      </c>
      <c r="F1250" s="212" t="s">
        <v>4365</v>
      </c>
      <c r="G1250" s="212" t="str">
        <f t="shared" si="58"/>
        <v>101현금</v>
      </c>
      <c r="H1250" s="214">
        <v>0</v>
      </c>
      <c r="I1250" s="214">
        <v>15420</v>
      </c>
      <c r="J1250" s="214">
        <f t="shared" si="59"/>
        <v>15420</v>
      </c>
      <c r="K1250" s="212" t="s">
        <v>6371</v>
      </c>
      <c r="L1250" s="213"/>
      <c r="M1250" s="212"/>
    </row>
    <row r="1251" spans="1:13" ht="21" customHeight="1">
      <c r="A1251" s="213" t="s">
        <v>6749</v>
      </c>
      <c r="B1251" s="215">
        <f t="shared" si="57"/>
        <v>45740</v>
      </c>
      <c r="C1251" s="213" t="s">
        <v>4382</v>
      </c>
      <c r="D1251" s="213" t="s">
        <v>4369</v>
      </c>
      <c r="E1251" s="213" t="s">
        <v>4383</v>
      </c>
      <c r="F1251" s="212" t="s">
        <v>6525</v>
      </c>
      <c r="G1251" s="212" t="str">
        <f t="shared" si="58"/>
        <v>830소모품비(판)</v>
      </c>
      <c r="H1251" s="214">
        <v>18120</v>
      </c>
      <c r="I1251" s="214">
        <v>0</v>
      </c>
      <c r="J1251" s="214">
        <f t="shared" si="59"/>
        <v>-18120</v>
      </c>
      <c r="K1251" s="212" t="s">
        <v>6215</v>
      </c>
      <c r="L1251" s="213"/>
      <c r="M1251" s="212"/>
    </row>
    <row r="1252" spans="1:13" ht="21" customHeight="1">
      <c r="A1252" s="213" t="s">
        <v>6749</v>
      </c>
      <c r="B1252" s="215">
        <f t="shared" si="57"/>
        <v>45740</v>
      </c>
      <c r="C1252" s="213" t="s">
        <v>4382</v>
      </c>
      <c r="D1252" s="213" t="s">
        <v>4366</v>
      </c>
      <c r="E1252" s="213" t="s">
        <v>333</v>
      </c>
      <c r="F1252" s="212" t="s">
        <v>4365</v>
      </c>
      <c r="G1252" s="212" t="str">
        <f t="shared" si="58"/>
        <v>101현금</v>
      </c>
      <c r="H1252" s="214">
        <v>0</v>
      </c>
      <c r="I1252" s="214">
        <v>18120</v>
      </c>
      <c r="J1252" s="214">
        <f t="shared" si="59"/>
        <v>18120</v>
      </c>
      <c r="K1252" s="212" t="s">
        <v>6371</v>
      </c>
      <c r="L1252" s="213"/>
      <c r="M1252" s="212"/>
    </row>
    <row r="1253" spans="1:13" ht="21" customHeight="1">
      <c r="A1253" s="213" t="s">
        <v>6749</v>
      </c>
      <c r="B1253" s="215">
        <f t="shared" si="57"/>
        <v>45740</v>
      </c>
      <c r="C1253" s="213" t="s">
        <v>4381</v>
      </c>
      <c r="D1253" s="213" t="s">
        <v>4369</v>
      </c>
      <c r="E1253" s="213" t="s">
        <v>4383</v>
      </c>
      <c r="F1253" s="212" t="s">
        <v>6525</v>
      </c>
      <c r="G1253" s="212" t="str">
        <f t="shared" si="58"/>
        <v>830소모품비(판)</v>
      </c>
      <c r="H1253" s="214">
        <v>25340</v>
      </c>
      <c r="I1253" s="214">
        <v>0</v>
      </c>
      <c r="J1253" s="214">
        <f t="shared" si="59"/>
        <v>-25340</v>
      </c>
      <c r="K1253" s="212" t="s">
        <v>6215</v>
      </c>
      <c r="L1253" s="213"/>
      <c r="M1253" s="212"/>
    </row>
    <row r="1254" spans="1:13" ht="21" customHeight="1">
      <c r="A1254" s="213" t="s">
        <v>6749</v>
      </c>
      <c r="B1254" s="215">
        <f t="shared" si="57"/>
        <v>45740</v>
      </c>
      <c r="C1254" s="213" t="s">
        <v>4381</v>
      </c>
      <c r="D1254" s="213" t="s">
        <v>4366</v>
      </c>
      <c r="E1254" s="213" t="s">
        <v>333</v>
      </c>
      <c r="F1254" s="212" t="s">
        <v>4365</v>
      </c>
      <c r="G1254" s="212" t="str">
        <f t="shared" si="58"/>
        <v>101현금</v>
      </c>
      <c r="H1254" s="214">
        <v>0</v>
      </c>
      <c r="I1254" s="214">
        <v>25340</v>
      </c>
      <c r="J1254" s="214">
        <f t="shared" si="59"/>
        <v>25340</v>
      </c>
      <c r="K1254" s="212" t="s">
        <v>6371</v>
      </c>
      <c r="L1254" s="213"/>
      <c r="M1254" s="212"/>
    </row>
    <row r="1255" spans="1:13" ht="21" customHeight="1">
      <c r="A1255" s="213" t="s">
        <v>6749</v>
      </c>
      <c r="B1255" s="215">
        <f t="shared" si="57"/>
        <v>45740</v>
      </c>
      <c r="C1255" s="213" t="s">
        <v>4379</v>
      </c>
      <c r="D1255" s="213" t="s">
        <v>4369</v>
      </c>
      <c r="E1255" s="213" t="s">
        <v>4383</v>
      </c>
      <c r="F1255" s="212" t="s">
        <v>6525</v>
      </c>
      <c r="G1255" s="212" t="str">
        <f t="shared" si="58"/>
        <v>830소모품비(판)</v>
      </c>
      <c r="H1255" s="214">
        <v>3000</v>
      </c>
      <c r="I1255" s="214">
        <v>0</v>
      </c>
      <c r="J1255" s="214">
        <f t="shared" si="59"/>
        <v>-3000</v>
      </c>
      <c r="K1255" s="212" t="s">
        <v>6215</v>
      </c>
      <c r="L1255" s="213"/>
      <c r="M1255" s="212"/>
    </row>
    <row r="1256" spans="1:13" ht="21" customHeight="1">
      <c r="A1256" s="213" t="s">
        <v>6749</v>
      </c>
      <c r="B1256" s="215">
        <f t="shared" si="57"/>
        <v>45740</v>
      </c>
      <c r="C1256" s="213" t="s">
        <v>4379</v>
      </c>
      <c r="D1256" s="213" t="s">
        <v>4366</v>
      </c>
      <c r="E1256" s="213" t="s">
        <v>333</v>
      </c>
      <c r="F1256" s="212" t="s">
        <v>4365</v>
      </c>
      <c r="G1256" s="212" t="str">
        <f t="shared" si="58"/>
        <v>101현금</v>
      </c>
      <c r="H1256" s="214">
        <v>0</v>
      </c>
      <c r="I1256" s="214">
        <v>3000</v>
      </c>
      <c r="J1256" s="214">
        <f t="shared" si="59"/>
        <v>3000</v>
      </c>
      <c r="K1256" s="212" t="s">
        <v>6371</v>
      </c>
      <c r="L1256" s="213"/>
      <c r="M1256" s="212"/>
    </row>
    <row r="1257" spans="1:13" ht="21" customHeight="1">
      <c r="A1257" s="213" t="s">
        <v>6749</v>
      </c>
      <c r="B1257" s="215">
        <f t="shared" si="57"/>
        <v>45740</v>
      </c>
      <c r="C1257" s="213" t="s">
        <v>4385</v>
      </c>
      <c r="D1257" s="213" t="s">
        <v>4369</v>
      </c>
      <c r="E1257" s="213" t="s">
        <v>4380</v>
      </c>
      <c r="F1257" s="212" t="s">
        <v>6515</v>
      </c>
      <c r="G1257" s="212" t="str">
        <f t="shared" si="58"/>
        <v>812여비교통비(판)</v>
      </c>
      <c r="H1257" s="214">
        <v>5500</v>
      </c>
      <c r="I1257" s="214">
        <v>0</v>
      </c>
      <c r="J1257" s="214">
        <f t="shared" si="59"/>
        <v>-5500</v>
      </c>
      <c r="K1257" s="212" t="s">
        <v>6750</v>
      </c>
      <c r="L1257" s="213"/>
      <c r="M1257" s="212"/>
    </row>
    <row r="1258" spans="1:13" ht="21" customHeight="1">
      <c r="A1258" s="213" t="s">
        <v>6749</v>
      </c>
      <c r="B1258" s="215">
        <f t="shared" si="57"/>
        <v>45740</v>
      </c>
      <c r="C1258" s="213" t="s">
        <v>4385</v>
      </c>
      <c r="D1258" s="213" t="s">
        <v>4366</v>
      </c>
      <c r="E1258" s="213" t="s">
        <v>333</v>
      </c>
      <c r="F1258" s="212" t="s">
        <v>4365</v>
      </c>
      <c r="G1258" s="212" t="str">
        <f t="shared" si="58"/>
        <v>101현금</v>
      </c>
      <c r="H1258" s="214">
        <v>0</v>
      </c>
      <c r="I1258" s="214">
        <v>5500</v>
      </c>
      <c r="J1258" s="214">
        <f t="shared" si="59"/>
        <v>5500</v>
      </c>
      <c r="K1258" s="212" t="s">
        <v>6371</v>
      </c>
      <c r="L1258" s="213"/>
      <c r="M1258" s="212"/>
    </row>
    <row r="1259" spans="1:13" ht="21" customHeight="1">
      <c r="A1259" s="213" t="s">
        <v>6747</v>
      </c>
      <c r="B1259" s="215">
        <f t="shared" si="57"/>
        <v>45741</v>
      </c>
      <c r="C1259" s="213" t="s">
        <v>4373</v>
      </c>
      <c r="D1259" s="213" t="s">
        <v>4369</v>
      </c>
      <c r="E1259" s="213" t="s">
        <v>4383</v>
      </c>
      <c r="F1259" s="212" t="s">
        <v>6525</v>
      </c>
      <c r="G1259" s="212" t="str">
        <f t="shared" si="58"/>
        <v>830소모품비(판)</v>
      </c>
      <c r="H1259" s="214">
        <v>5200</v>
      </c>
      <c r="I1259" s="214">
        <v>0</v>
      </c>
      <c r="J1259" s="214">
        <f t="shared" si="59"/>
        <v>-5200</v>
      </c>
      <c r="K1259" s="212" t="s">
        <v>6198</v>
      </c>
      <c r="L1259" s="213"/>
      <c r="M1259" s="212"/>
    </row>
    <row r="1260" spans="1:13" ht="21" customHeight="1">
      <c r="A1260" s="213" t="s">
        <v>6747</v>
      </c>
      <c r="B1260" s="215">
        <f t="shared" si="57"/>
        <v>45741</v>
      </c>
      <c r="C1260" s="213" t="s">
        <v>4373</v>
      </c>
      <c r="D1260" s="213" t="s">
        <v>4366</v>
      </c>
      <c r="E1260" s="213" t="s">
        <v>333</v>
      </c>
      <c r="F1260" s="212" t="s">
        <v>4365</v>
      </c>
      <c r="G1260" s="212" t="str">
        <f t="shared" si="58"/>
        <v>101현금</v>
      </c>
      <c r="H1260" s="214">
        <v>0</v>
      </c>
      <c r="I1260" s="214">
        <v>5200</v>
      </c>
      <c r="J1260" s="214">
        <f t="shared" si="59"/>
        <v>5200</v>
      </c>
      <c r="K1260" s="212" t="s">
        <v>6371</v>
      </c>
      <c r="L1260" s="213"/>
      <c r="M1260" s="212"/>
    </row>
    <row r="1261" spans="1:13" ht="21" customHeight="1">
      <c r="A1261" s="213" t="s">
        <v>6747</v>
      </c>
      <c r="B1261" s="215">
        <f t="shared" si="57"/>
        <v>45741</v>
      </c>
      <c r="C1261" s="213" t="s">
        <v>4382</v>
      </c>
      <c r="D1261" s="213" t="s">
        <v>4366</v>
      </c>
      <c r="E1261" s="213" t="s">
        <v>333</v>
      </c>
      <c r="F1261" s="212" t="s">
        <v>4365</v>
      </c>
      <c r="G1261" s="212" t="str">
        <f t="shared" si="58"/>
        <v>101현금</v>
      </c>
      <c r="H1261" s="214">
        <v>0</v>
      </c>
      <c r="I1261" s="214">
        <v>7000</v>
      </c>
      <c r="J1261" s="214">
        <f t="shared" si="59"/>
        <v>7000</v>
      </c>
      <c r="K1261" s="212" t="s">
        <v>6371</v>
      </c>
      <c r="L1261" s="213"/>
      <c r="M1261" s="212"/>
    </row>
    <row r="1262" spans="1:13" ht="21" customHeight="1">
      <c r="A1262" s="213" t="s">
        <v>6747</v>
      </c>
      <c r="B1262" s="215">
        <f t="shared" si="57"/>
        <v>45741</v>
      </c>
      <c r="C1262" s="213" t="s">
        <v>4382</v>
      </c>
      <c r="D1262" s="213" t="s">
        <v>4369</v>
      </c>
      <c r="E1262" s="213" t="s">
        <v>4380</v>
      </c>
      <c r="F1262" s="212" t="s">
        <v>6515</v>
      </c>
      <c r="G1262" s="212" t="str">
        <f t="shared" si="58"/>
        <v>812여비교통비(판)</v>
      </c>
      <c r="H1262" s="214">
        <v>7000</v>
      </c>
      <c r="I1262" s="214">
        <v>0</v>
      </c>
      <c r="J1262" s="214">
        <f t="shared" si="59"/>
        <v>-7000</v>
      </c>
      <c r="K1262" s="212" t="s">
        <v>6359</v>
      </c>
      <c r="L1262" s="213"/>
      <c r="M1262" s="212"/>
    </row>
    <row r="1263" spans="1:13" ht="21" customHeight="1">
      <c r="A1263" s="213" t="s">
        <v>6747</v>
      </c>
      <c r="B1263" s="215">
        <f t="shared" si="57"/>
        <v>45741</v>
      </c>
      <c r="C1263" s="213" t="s">
        <v>4381</v>
      </c>
      <c r="D1263" s="213" t="s">
        <v>4369</v>
      </c>
      <c r="E1263" s="213" t="s">
        <v>4380</v>
      </c>
      <c r="F1263" s="212" t="s">
        <v>6515</v>
      </c>
      <c r="G1263" s="212" t="str">
        <f t="shared" si="58"/>
        <v>812여비교통비(판)</v>
      </c>
      <c r="H1263" s="214">
        <v>3000</v>
      </c>
      <c r="I1263" s="214">
        <v>0</v>
      </c>
      <c r="J1263" s="214">
        <f t="shared" si="59"/>
        <v>-3000</v>
      </c>
      <c r="K1263" s="212" t="s">
        <v>6305</v>
      </c>
      <c r="L1263" s="213"/>
      <c r="M1263" s="212"/>
    </row>
    <row r="1264" spans="1:13" ht="21" customHeight="1">
      <c r="A1264" s="213" t="s">
        <v>6747</v>
      </c>
      <c r="B1264" s="215">
        <f t="shared" si="57"/>
        <v>45741</v>
      </c>
      <c r="C1264" s="213" t="s">
        <v>4381</v>
      </c>
      <c r="D1264" s="213" t="s">
        <v>4366</v>
      </c>
      <c r="E1264" s="213" t="s">
        <v>333</v>
      </c>
      <c r="F1264" s="212" t="s">
        <v>4365</v>
      </c>
      <c r="G1264" s="212" t="str">
        <f t="shared" si="58"/>
        <v>101현금</v>
      </c>
      <c r="H1264" s="214">
        <v>0</v>
      </c>
      <c r="I1264" s="214">
        <v>3000</v>
      </c>
      <c r="J1264" s="214">
        <f t="shared" si="59"/>
        <v>3000</v>
      </c>
      <c r="K1264" s="212" t="s">
        <v>6371</v>
      </c>
      <c r="L1264" s="213"/>
      <c r="M1264" s="212"/>
    </row>
    <row r="1265" spans="1:13" ht="21" customHeight="1">
      <c r="A1265" s="213" t="s">
        <v>6747</v>
      </c>
      <c r="B1265" s="215">
        <f t="shared" si="57"/>
        <v>45741</v>
      </c>
      <c r="C1265" s="213" t="s">
        <v>4379</v>
      </c>
      <c r="D1265" s="213" t="s">
        <v>4369</v>
      </c>
      <c r="E1265" s="213" t="s">
        <v>4380</v>
      </c>
      <c r="F1265" s="212" t="s">
        <v>6515</v>
      </c>
      <c r="G1265" s="212" t="str">
        <f t="shared" si="58"/>
        <v>812여비교통비(판)</v>
      </c>
      <c r="H1265" s="214">
        <v>3800</v>
      </c>
      <c r="I1265" s="214">
        <v>0</v>
      </c>
      <c r="J1265" s="214">
        <f t="shared" si="59"/>
        <v>-3800</v>
      </c>
      <c r="K1265" s="212" t="s">
        <v>6748</v>
      </c>
      <c r="L1265" s="213"/>
      <c r="M1265" s="212"/>
    </row>
    <row r="1266" spans="1:13" ht="21" customHeight="1">
      <c r="A1266" s="213" t="s">
        <v>6747</v>
      </c>
      <c r="B1266" s="215">
        <f t="shared" si="57"/>
        <v>45741</v>
      </c>
      <c r="C1266" s="213" t="s">
        <v>4379</v>
      </c>
      <c r="D1266" s="213" t="s">
        <v>4366</v>
      </c>
      <c r="E1266" s="213" t="s">
        <v>333</v>
      </c>
      <c r="F1266" s="212" t="s">
        <v>4365</v>
      </c>
      <c r="G1266" s="212" t="str">
        <f t="shared" si="58"/>
        <v>101현금</v>
      </c>
      <c r="H1266" s="214">
        <v>0</v>
      </c>
      <c r="I1266" s="214">
        <v>3800</v>
      </c>
      <c r="J1266" s="214">
        <f t="shared" si="59"/>
        <v>3800</v>
      </c>
      <c r="K1266" s="212" t="s">
        <v>6371</v>
      </c>
      <c r="L1266" s="213"/>
      <c r="M1266" s="212"/>
    </row>
    <row r="1267" spans="1:13" ht="21" customHeight="1">
      <c r="A1267" s="213" t="s">
        <v>6747</v>
      </c>
      <c r="B1267" s="215">
        <f t="shared" si="57"/>
        <v>45741</v>
      </c>
      <c r="C1267" s="213" t="s">
        <v>4367</v>
      </c>
      <c r="D1267" s="213" t="s">
        <v>4366</v>
      </c>
      <c r="E1267" s="213" t="s">
        <v>6176</v>
      </c>
      <c r="F1267" s="212" t="s">
        <v>6177</v>
      </c>
      <c r="G1267" s="212" t="str">
        <f t="shared" si="58"/>
        <v>255부가세예수금</v>
      </c>
      <c r="H1267" s="214">
        <v>0</v>
      </c>
      <c r="I1267" s="214">
        <v>7000</v>
      </c>
      <c r="J1267" s="214">
        <f t="shared" si="59"/>
        <v>7000</v>
      </c>
      <c r="K1267" s="212" t="s">
        <v>6247</v>
      </c>
      <c r="L1267" s="213"/>
      <c r="M1267" s="212" t="s">
        <v>6287</v>
      </c>
    </row>
    <row r="1268" spans="1:13" ht="21" customHeight="1">
      <c r="A1268" s="213" t="s">
        <v>6747</v>
      </c>
      <c r="B1268" s="215">
        <f t="shared" si="57"/>
        <v>45741</v>
      </c>
      <c r="C1268" s="213" t="s">
        <v>4367</v>
      </c>
      <c r="D1268" s="213" t="s">
        <v>4366</v>
      </c>
      <c r="E1268" s="213" t="s">
        <v>334</v>
      </c>
      <c r="F1268" s="212" t="s">
        <v>6158</v>
      </c>
      <c r="G1268" s="212" t="str">
        <f t="shared" si="58"/>
        <v>401용역매출</v>
      </c>
      <c r="H1268" s="214">
        <v>0</v>
      </c>
      <c r="I1268" s="214">
        <v>70000</v>
      </c>
      <c r="J1268" s="214">
        <f t="shared" si="59"/>
        <v>70000</v>
      </c>
      <c r="K1268" s="212" t="s">
        <v>6247</v>
      </c>
      <c r="L1268" s="213"/>
      <c r="M1268" s="212" t="s">
        <v>6287</v>
      </c>
    </row>
    <row r="1269" spans="1:13" ht="21" customHeight="1">
      <c r="A1269" s="213" t="s">
        <v>6747</v>
      </c>
      <c r="B1269" s="215">
        <f t="shared" si="57"/>
        <v>45741</v>
      </c>
      <c r="C1269" s="213" t="s">
        <v>4367</v>
      </c>
      <c r="D1269" s="213" t="s">
        <v>4369</v>
      </c>
      <c r="E1269" s="213" t="s">
        <v>333</v>
      </c>
      <c r="F1269" s="212" t="s">
        <v>4365</v>
      </c>
      <c r="G1269" s="212" t="str">
        <f t="shared" si="58"/>
        <v>101현금</v>
      </c>
      <c r="H1269" s="214">
        <v>77000</v>
      </c>
      <c r="I1269" s="214">
        <v>0</v>
      </c>
      <c r="J1269" s="214">
        <f t="shared" si="59"/>
        <v>-77000</v>
      </c>
      <c r="K1269" s="212" t="s">
        <v>6247</v>
      </c>
      <c r="L1269" s="213"/>
      <c r="M1269" s="212" t="s">
        <v>6287</v>
      </c>
    </row>
    <row r="1270" spans="1:13" ht="21" customHeight="1">
      <c r="A1270" s="213" t="s">
        <v>6747</v>
      </c>
      <c r="B1270" s="215">
        <f t="shared" si="57"/>
        <v>45741</v>
      </c>
      <c r="C1270" s="213" t="s">
        <v>4374</v>
      </c>
      <c r="D1270" s="213" t="s">
        <v>4366</v>
      </c>
      <c r="E1270" s="213" t="s">
        <v>6176</v>
      </c>
      <c r="F1270" s="212" t="s">
        <v>6177</v>
      </c>
      <c r="G1270" s="212" t="str">
        <f t="shared" si="58"/>
        <v>255부가세예수금</v>
      </c>
      <c r="H1270" s="214">
        <v>0</v>
      </c>
      <c r="I1270" s="214">
        <v>10000</v>
      </c>
      <c r="J1270" s="214">
        <f t="shared" si="59"/>
        <v>10000</v>
      </c>
      <c r="K1270" s="212" t="s">
        <v>6245</v>
      </c>
      <c r="L1270" s="213"/>
      <c r="M1270" s="212" t="s">
        <v>6185</v>
      </c>
    </row>
    <row r="1271" spans="1:13" ht="21" customHeight="1">
      <c r="A1271" s="213" t="s">
        <v>6747</v>
      </c>
      <c r="B1271" s="215">
        <f t="shared" si="57"/>
        <v>45741</v>
      </c>
      <c r="C1271" s="213" t="s">
        <v>4374</v>
      </c>
      <c r="D1271" s="213" t="s">
        <v>4366</v>
      </c>
      <c r="E1271" s="213" t="s">
        <v>334</v>
      </c>
      <c r="F1271" s="212" t="s">
        <v>6158</v>
      </c>
      <c r="G1271" s="212" t="str">
        <f t="shared" si="58"/>
        <v>401용역매출</v>
      </c>
      <c r="H1271" s="214">
        <v>0</v>
      </c>
      <c r="I1271" s="214">
        <v>100000</v>
      </c>
      <c r="J1271" s="214">
        <f t="shared" si="59"/>
        <v>100000</v>
      </c>
      <c r="K1271" s="212" t="s">
        <v>6245</v>
      </c>
      <c r="L1271" s="213"/>
      <c r="M1271" s="212" t="s">
        <v>6185</v>
      </c>
    </row>
    <row r="1272" spans="1:13" ht="21" customHeight="1">
      <c r="A1272" s="213" t="s">
        <v>6747</v>
      </c>
      <c r="B1272" s="215">
        <f t="shared" si="57"/>
        <v>45741</v>
      </c>
      <c r="C1272" s="213" t="s">
        <v>4374</v>
      </c>
      <c r="D1272" s="213" t="s">
        <v>4369</v>
      </c>
      <c r="E1272" s="213" t="s">
        <v>333</v>
      </c>
      <c r="F1272" s="212" t="s">
        <v>4365</v>
      </c>
      <c r="G1272" s="212" t="str">
        <f t="shared" si="58"/>
        <v>101현금</v>
      </c>
      <c r="H1272" s="214">
        <v>110000</v>
      </c>
      <c r="I1272" s="214">
        <v>0</v>
      </c>
      <c r="J1272" s="214">
        <f t="shared" si="59"/>
        <v>-110000</v>
      </c>
      <c r="K1272" s="212" t="s">
        <v>6245</v>
      </c>
      <c r="L1272" s="213"/>
      <c r="M1272" s="212" t="s">
        <v>6185</v>
      </c>
    </row>
    <row r="1273" spans="1:13" ht="21" customHeight="1">
      <c r="A1273" s="213" t="s">
        <v>6747</v>
      </c>
      <c r="B1273" s="215">
        <f t="shared" si="57"/>
        <v>45741</v>
      </c>
      <c r="C1273" s="213" t="s">
        <v>6182</v>
      </c>
      <c r="D1273" s="213" t="s">
        <v>4366</v>
      </c>
      <c r="E1273" s="213" t="s">
        <v>6176</v>
      </c>
      <c r="F1273" s="212" t="s">
        <v>6177</v>
      </c>
      <c r="G1273" s="212" t="str">
        <f t="shared" si="58"/>
        <v>255부가세예수금</v>
      </c>
      <c r="H1273" s="214">
        <v>0</v>
      </c>
      <c r="I1273" s="214">
        <v>-15000</v>
      </c>
      <c r="J1273" s="214">
        <f t="shared" si="59"/>
        <v>-15000</v>
      </c>
      <c r="K1273" s="212" t="s">
        <v>6360</v>
      </c>
      <c r="L1273" s="213"/>
      <c r="M1273" s="212" t="s">
        <v>6313</v>
      </c>
    </row>
    <row r="1274" spans="1:13" ht="21" customHeight="1">
      <c r="A1274" s="213" t="s">
        <v>6747</v>
      </c>
      <c r="B1274" s="215">
        <f t="shared" si="57"/>
        <v>45741</v>
      </c>
      <c r="C1274" s="213" t="s">
        <v>6182</v>
      </c>
      <c r="D1274" s="213" t="s">
        <v>4366</v>
      </c>
      <c r="E1274" s="213" t="s">
        <v>334</v>
      </c>
      <c r="F1274" s="212" t="s">
        <v>6158</v>
      </c>
      <c r="G1274" s="212" t="str">
        <f t="shared" si="58"/>
        <v>401용역매출</v>
      </c>
      <c r="H1274" s="214">
        <v>0</v>
      </c>
      <c r="I1274" s="214">
        <v>-150000</v>
      </c>
      <c r="J1274" s="214">
        <f t="shared" si="59"/>
        <v>-150000</v>
      </c>
      <c r="K1274" s="212" t="s">
        <v>6360</v>
      </c>
      <c r="L1274" s="213"/>
      <c r="M1274" s="212" t="s">
        <v>6313</v>
      </c>
    </row>
    <row r="1275" spans="1:13" ht="21" customHeight="1">
      <c r="A1275" s="213" t="s">
        <v>6747</v>
      </c>
      <c r="B1275" s="215">
        <f t="shared" si="57"/>
        <v>45741</v>
      </c>
      <c r="C1275" s="213" t="s">
        <v>6182</v>
      </c>
      <c r="D1275" s="213" t="s">
        <v>4369</v>
      </c>
      <c r="E1275" s="213" t="s">
        <v>333</v>
      </c>
      <c r="F1275" s="212" t="s">
        <v>4365</v>
      </c>
      <c r="G1275" s="212" t="str">
        <f t="shared" si="58"/>
        <v>101현금</v>
      </c>
      <c r="H1275" s="214">
        <v>-165000</v>
      </c>
      <c r="I1275" s="214">
        <v>0</v>
      </c>
      <c r="J1275" s="214">
        <f t="shared" si="59"/>
        <v>165000</v>
      </c>
      <c r="K1275" s="212" t="s">
        <v>6360</v>
      </c>
      <c r="L1275" s="213"/>
      <c r="M1275" s="212" t="s">
        <v>6313</v>
      </c>
    </row>
    <row r="1276" spans="1:13" ht="21" customHeight="1">
      <c r="A1276" s="213" t="s">
        <v>6747</v>
      </c>
      <c r="B1276" s="215">
        <f t="shared" si="57"/>
        <v>45741</v>
      </c>
      <c r="C1276" s="213" t="s">
        <v>6184</v>
      </c>
      <c r="D1276" s="213" t="s">
        <v>4366</v>
      </c>
      <c r="E1276" s="213" t="s">
        <v>6176</v>
      </c>
      <c r="F1276" s="212" t="s">
        <v>6177</v>
      </c>
      <c r="G1276" s="212" t="str">
        <f t="shared" si="58"/>
        <v>255부가세예수금</v>
      </c>
      <c r="H1276" s="214">
        <v>0</v>
      </c>
      <c r="I1276" s="214">
        <v>15000</v>
      </c>
      <c r="J1276" s="214">
        <f t="shared" si="59"/>
        <v>15000</v>
      </c>
      <c r="K1276" s="212" t="s">
        <v>6372</v>
      </c>
      <c r="L1276" s="213"/>
      <c r="M1276" s="212" t="s">
        <v>6179</v>
      </c>
    </row>
    <row r="1277" spans="1:13" ht="21" customHeight="1">
      <c r="A1277" s="213" t="s">
        <v>6747</v>
      </c>
      <c r="B1277" s="215">
        <f t="shared" si="57"/>
        <v>45741</v>
      </c>
      <c r="C1277" s="213" t="s">
        <v>6184</v>
      </c>
      <c r="D1277" s="213" t="s">
        <v>4366</v>
      </c>
      <c r="E1277" s="213" t="s">
        <v>334</v>
      </c>
      <c r="F1277" s="212" t="s">
        <v>6158</v>
      </c>
      <c r="G1277" s="212" t="str">
        <f t="shared" si="58"/>
        <v>401용역매출</v>
      </c>
      <c r="H1277" s="214">
        <v>0</v>
      </c>
      <c r="I1277" s="214">
        <v>150000</v>
      </c>
      <c r="J1277" s="214">
        <f t="shared" si="59"/>
        <v>150000</v>
      </c>
      <c r="K1277" s="212" t="s">
        <v>6372</v>
      </c>
      <c r="L1277" s="213"/>
      <c r="M1277" s="212" t="s">
        <v>6179</v>
      </c>
    </row>
    <row r="1278" spans="1:13" ht="21" customHeight="1">
      <c r="A1278" s="213" t="s">
        <v>6747</v>
      </c>
      <c r="B1278" s="215">
        <f t="shared" si="57"/>
        <v>45741</v>
      </c>
      <c r="C1278" s="213" t="s">
        <v>6184</v>
      </c>
      <c r="D1278" s="213" t="s">
        <v>4369</v>
      </c>
      <c r="E1278" s="213" t="s">
        <v>333</v>
      </c>
      <c r="F1278" s="212" t="s">
        <v>4365</v>
      </c>
      <c r="G1278" s="212" t="str">
        <f t="shared" si="58"/>
        <v>101현금</v>
      </c>
      <c r="H1278" s="214">
        <v>165000</v>
      </c>
      <c r="I1278" s="214">
        <v>0</v>
      </c>
      <c r="J1278" s="214">
        <f t="shared" si="59"/>
        <v>-165000</v>
      </c>
      <c r="K1278" s="212" t="s">
        <v>6372</v>
      </c>
      <c r="L1278" s="213"/>
      <c r="M1278" s="212" t="s">
        <v>6179</v>
      </c>
    </row>
    <row r="1279" spans="1:13" ht="21" customHeight="1">
      <c r="A1279" s="213" t="s">
        <v>6747</v>
      </c>
      <c r="B1279" s="215">
        <f t="shared" si="57"/>
        <v>45741</v>
      </c>
      <c r="C1279" s="213" t="s">
        <v>6186</v>
      </c>
      <c r="D1279" s="213" t="s">
        <v>4366</v>
      </c>
      <c r="E1279" s="213" t="s">
        <v>6176</v>
      </c>
      <c r="F1279" s="212" t="s">
        <v>6177</v>
      </c>
      <c r="G1279" s="212" t="str">
        <f t="shared" si="58"/>
        <v>255부가세예수금</v>
      </c>
      <c r="H1279" s="214">
        <v>0</v>
      </c>
      <c r="I1279" s="214">
        <v>15000</v>
      </c>
      <c r="J1279" s="214">
        <f t="shared" si="59"/>
        <v>15000</v>
      </c>
      <c r="K1279" s="212" t="s">
        <v>6360</v>
      </c>
      <c r="L1279" s="213"/>
      <c r="M1279" s="212" t="s">
        <v>6179</v>
      </c>
    </row>
    <row r="1280" spans="1:13" ht="21" customHeight="1">
      <c r="A1280" s="213" t="s">
        <v>6747</v>
      </c>
      <c r="B1280" s="215">
        <f t="shared" si="57"/>
        <v>45741</v>
      </c>
      <c r="C1280" s="213" t="s">
        <v>6186</v>
      </c>
      <c r="D1280" s="213" t="s">
        <v>4366</v>
      </c>
      <c r="E1280" s="213" t="s">
        <v>334</v>
      </c>
      <c r="F1280" s="212" t="s">
        <v>6158</v>
      </c>
      <c r="G1280" s="212" t="str">
        <f t="shared" si="58"/>
        <v>401용역매출</v>
      </c>
      <c r="H1280" s="214">
        <v>0</v>
      </c>
      <c r="I1280" s="214">
        <v>150000</v>
      </c>
      <c r="J1280" s="214">
        <f t="shared" si="59"/>
        <v>150000</v>
      </c>
      <c r="K1280" s="212" t="s">
        <v>6360</v>
      </c>
      <c r="L1280" s="213"/>
      <c r="M1280" s="212" t="s">
        <v>6179</v>
      </c>
    </row>
    <row r="1281" spans="1:13" ht="21" customHeight="1">
      <c r="A1281" s="213" t="s">
        <v>6747</v>
      </c>
      <c r="B1281" s="215">
        <f t="shared" si="57"/>
        <v>45741</v>
      </c>
      <c r="C1281" s="213" t="s">
        <v>6186</v>
      </c>
      <c r="D1281" s="213" t="s">
        <v>4369</v>
      </c>
      <c r="E1281" s="213" t="s">
        <v>333</v>
      </c>
      <c r="F1281" s="212" t="s">
        <v>4365</v>
      </c>
      <c r="G1281" s="212" t="str">
        <f t="shared" si="58"/>
        <v>101현금</v>
      </c>
      <c r="H1281" s="214">
        <v>165000</v>
      </c>
      <c r="I1281" s="214">
        <v>0</v>
      </c>
      <c r="J1281" s="214">
        <f t="shared" si="59"/>
        <v>-165000</v>
      </c>
      <c r="K1281" s="212" t="s">
        <v>6360</v>
      </c>
      <c r="L1281" s="213"/>
      <c r="M1281" s="212" t="s">
        <v>6179</v>
      </c>
    </row>
    <row r="1282" spans="1:13" ht="21" customHeight="1">
      <c r="A1282" s="213" t="s">
        <v>6747</v>
      </c>
      <c r="B1282" s="215">
        <f t="shared" ref="B1282:B1345" si="60">DATEVALUE(A1282)</f>
        <v>45741</v>
      </c>
      <c r="C1282" s="213" t="s">
        <v>6189</v>
      </c>
      <c r="D1282" s="213" t="s">
        <v>4366</v>
      </c>
      <c r="E1282" s="213" t="s">
        <v>6176</v>
      </c>
      <c r="F1282" s="212" t="s">
        <v>6177</v>
      </c>
      <c r="G1282" s="212" t="str">
        <f t="shared" ref="G1282:G1345" si="61">E1282&amp;F1282</f>
        <v>255부가세예수금</v>
      </c>
      <c r="H1282" s="214">
        <v>0</v>
      </c>
      <c r="I1282" s="214">
        <v>10000</v>
      </c>
      <c r="J1282" s="214">
        <f t="shared" ref="J1282:J1345" si="62">I1282-H1282</f>
        <v>10000</v>
      </c>
      <c r="K1282" s="212" t="s">
        <v>6279</v>
      </c>
      <c r="L1282" s="213"/>
      <c r="M1282" s="212" t="s">
        <v>6185</v>
      </c>
    </row>
    <row r="1283" spans="1:13" ht="21" customHeight="1">
      <c r="A1283" s="213" t="s">
        <v>6747</v>
      </c>
      <c r="B1283" s="215">
        <f t="shared" si="60"/>
        <v>45741</v>
      </c>
      <c r="C1283" s="213" t="s">
        <v>6189</v>
      </c>
      <c r="D1283" s="213" t="s">
        <v>4366</v>
      </c>
      <c r="E1283" s="213" t="s">
        <v>334</v>
      </c>
      <c r="F1283" s="212" t="s">
        <v>6158</v>
      </c>
      <c r="G1283" s="212" t="str">
        <f t="shared" si="61"/>
        <v>401용역매출</v>
      </c>
      <c r="H1283" s="214">
        <v>0</v>
      </c>
      <c r="I1283" s="214">
        <v>100000</v>
      </c>
      <c r="J1283" s="214">
        <f t="shared" si="62"/>
        <v>100000</v>
      </c>
      <c r="K1283" s="212" t="s">
        <v>6279</v>
      </c>
      <c r="L1283" s="213"/>
      <c r="M1283" s="212" t="s">
        <v>6185</v>
      </c>
    </row>
    <row r="1284" spans="1:13" ht="21" customHeight="1">
      <c r="A1284" s="213" t="s">
        <v>6747</v>
      </c>
      <c r="B1284" s="215">
        <f t="shared" si="60"/>
        <v>45741</v>
      </c>
      <c r="C1284" s="213" t="s">
        <v>6189</v>
      </c>
      <c r="D1284" s="213" t="s">
        <v>4369</v>
      </c>
      <c r="E1284" s="213" t="s">
        <v>333</v>
      </c>
      <c r="F1284" s="212" t="s">
        <v>4365</v>
      </c>
      <c r="G1284" s="212" t="str">
        <f t="shared" si="61"/>
        <v>101현금</v>
      </c>
      <c r="H1284" s="214">
        <v>110000</v>
      </c>
      <c r="I1284" s="214">
        <v>0</v>
      </c>
      <c r="J1284" s="214">
        <f t="shared" si="62"/>
        <v>-110000</v>
      </c>
      <c r="K1284" s="212" t="s">
        <v>6279</v>
      </c>
      <c r="L1284" s="213"/>
      <c r="M1284" s="212" t="s">
        <v>6185</v>
      </c>
    </row>
    <row r="1285" spans="1:13" ht="21" customHeight="1">
      <c r="A1285" s="213" t="s">
        <v>6745</v>
      </c>
      <c r="B1285" s="215">
        <f t="shared" si="60"/>
        <v>45742</v>
      </c>
      <c r="C1285" s="213" t="s">
        <v>4373</v>
      </c>
      <c r="D1285" s="213" t="s">
        <v>4369</v>
      </c>
      <c r="E1285" s="213" t="s">
        <v>4499</v>
      </c>
      <c r="F1285" s="212" t="s">
        <v>6517</v>
      </c>
      <c r="G1285" s="212" t="str">
        <f t="shared" si="61"/>
        <v>811복리후생비(판)</v>
      </c>
      <c r="H1285" s="214">
        <v>3500</v>
      </c>
      <c r="I1285" s="214">
        <v>0</v>
      </c>
      <c r="J1285" s="214">
        <f t="shared" si="62"/>
        <v>-3500</v>
      </c>
      <c r="K1285" s="212" t="s">
        <v>6539</v>
      </c>
      <c r="L1285" s="213"/>
      <c r="M1285" s="212"/>
    </row>
    <row r="1286" spans="1:13" ht="21" customHeight="1">
      <c r="A1286" s="213" t="s">
        <v>6745</v>
      </c>
      <c r="B1286" s="215">
        <f t="shared" si="60"/>
        <v>45742</v>
      </c>
      <c r="C1286" s="213" t="s">
        <v>4373</v>
      </c>
      <c r="D1286" s="213" t="s">
        <v>4366</v>
      </c>
      <c r="E1286" s="213" t="s">
        <v>333</v>
      </c>
      <c r="F1286" s="212" t="s">
        <v>4365</v>
      </c>
      <c r="G1286" s="212" t="str">
        <f t="shared" si="61"/>
        <v>101현금</v>
      </c>
      <c r="H1286" s="214">
        <v>0</v>
      </c>
      <c r="I1286" s="214">
        <v>3500</v>
      </c>
      <c r="J1286" s="214">
        <f t="shared" si="62"/>
        <v>3500</v>
      </c>
      <c r="K1286" s="212" t="s">
        <v>6369</v>
      </c>
      <c r="L1286" s="213"/>
      <c r="M1286" s="212"/>
    </row>
    <row r="1287" spans="1:13" ht="21" customHeight="1">
      <c r="A1287" s="213" t="s">
        <v>6745</v>
      </c>
      <c r="B1287" s="215">
        <f t="shared" si="60"/>
        <v>45742</v>
      </c>
      <c r="C1287" s="213" t="s">
        <v>4382</v>
      </c>
      <c r="D1287" s="213" t="s">
        <v>4369</v>
      </c>
      <c r="E1287" s="213" t="s">
        <v>4380</v>
      </c>
      <c r="F1287" s="212" t="s">
        <v>6515</v>
      </c>
      <c r="G1287" s="212" t="str">
        <f t="shared" si="61"/>
        <v>812여비교통비(판)</v>
      </c>
      <c r="H1287" s="214">
        <v>8900</v>
      </c>
      <c r="I1287" s="214">
        <v>0</v>
      </c>
      <c r="J1287" s="214">
        <f t="shared" si="62"/>
        <v>-8900</v>
      </c>
      <c r="K1287" s="212" t="s">
        <v>6746</v>
      </c>
      <c r="L1287" s="213"/>
      <c r="M1287" s="212"/>
    </row>
    <row r="1288" spans="1:13" ht="21" customHeight="1">
      <c r="A1288" s="213" t="s">
        <v>6745</v>
      </c>
      <c r="B1288" s="215">
        <f t="shared" si="60"/>
        <v>45742</v>
      </c>
      <c r="C1288" s="213" t="s">
        <v>4382</v>
      </c>
      <c r="D1288" s="213" t="s">
        <v>4366</v>
      </c>
      <c r="E1288" s="213" t="s">
        <v>333</v>
      </c>
      <c r="F1288" s="212" t="s">
        <v>4365</v>
      </c>
      <c r="G1288" s="212" t="str">
        <f t="shared" si="61"/>
        <v>101현금</v>
      </c>
      <c r="H1288" s="214">
        <v>0</v>
      </c>
      <c r="I1288" s="214">
        <v>8900</v>
      </c>
      <c r="J1288" s="214">
        <f t="shared" si="62"/>
        <v>8900</v>
      </c>
      <c r="K1288" s="212" t="s">
        <v>6371</v>
      </c>
      <c r="L1288" s="213"/>
      <c r="M1288" s="212"/>
    </row>
    <row r="1289" spans="1:13" ht="21" customHeight="1">
      <c r="A1289" s="213" t="s">
        <v>6745</v>
      </c>
      <c r="B1289" s="215">
        <f t="shared" si="60"/>
        <v>45742</v>
      </c>
      <c r="C1289" s="213" t="s">
        <v>4367</v>
      </c>
      <c r="D1289" s="213" t="s">
        <v>4366</v>
      </c>
      <c r="E1289" s="213" t="s">
        <v>6176</v>
      </c>
      <c r="F1289" s="212" t="s">
        <v>6177</v>
      </c>
      <c r="G1289" s="212" t="str">
        <f t="shared" si="61"/>
        <v>255부가세예수금</v>
      </c>
      <c r="H1289" s="214">
        <v>0</v>
      </c>
      <c r="I1289" s="214">
        <v>5000</v>
      </c>
      <c r="J1289" s="214">
        <f t="shared" si="62"/>
        <v>5000</v>
      </c>
      <c r="K1289" s="212" t="s">
        <v>6242</v>
      </c>
      <c r="L1289" s="213"/>
      <c r="M1289" s="212" t="s">
        <v>6282</v>
      </c>
    </row>
    <row r="1290" spans="1:13" ht="21" customHeight="1">
      <c r="A1290" s="213" t="s">
        <v>6745</v>
      </c>
      <c r="B1290" s="215">
        <f t="shared" si="60"/>
        <v>45742</v>
      </c>
      <c r="C1290" s="213" t="s">
        <v>4367</v>
      </c>
      <c r="D1290" s="213" t="s">
        <v>4366</v>
      </c>
      <c r="E1290" s="213" t="s">
        <v>334</v>
      </c>
      <c r="F1290" s="212" t="s">
        <v>6158</v>
      </c>
      <c r="G1290" s="212" t="str">
        <f t="shared" si="61"/>
        <v>401용역매출</v>
      </c>
      <c r="H1290" s="214">
        <v>0</v>
      </c>
      <c r="I1290" s="214">
        <v>50000</v>
      </c>
      <c r="J1290" s="214">
        <f t="shared" si="62"/>
        <v>50000</v>
      </c>
      <c r="K1290" s="212" t="s">
        <v>6242</v>
      </c>
      <c r="L1290" s="213"/>
      <c r="M1290" s="212" t="s">
        <v>6282</v>
      </c>
    </row>
    <row r="1291" spans="1:13" ht="21" customHeight="1">
      <c r="A1291" s="213" t="s">
        <v>6745</v>
      </c>
      <c r="B1291" s="215">
        <f t="shared" si="60"/>
        <v>45742</v>
      </c>
      <c r="C1291" s="213" t="s">
        <v>4367</v>
      </c>
      <c r="D1291" s="213" t="s">
        <v>4369</v>
      </c>
      <c r="E1291" s="213" t="s">
        <v>333</v>
      </c>
      <c r="F1291" s="212" t="s">
        <v>4365</v>
      </c>
      <c r="G1291" s="212" t="str">
        <f t="shared" si="61"/>
        <v>101현금</v>
      </c>
      <c r="H1291" s="214">
        <v>55000</v>
      </c>
      <c r="I1291" s="214">
        <v>0</v>
      </c>
      <c r="J1291" s="214">
        <f t="shared" si="62"/>
        <v>-55000</v>
      </c>
      <c r="K1291" s="212" t="s">
        <v>6242</v>
      </c>
      <c r="L1291" s="213"/>
      <c r="M1291" s="212" t="s">
        <v>6282</v>
      </c>
    </row>
    <row r="1292" spans="1:13" ht="21" customHeight="1">
      <c r="A1292" s="213" t="s">
        <v>6745</v>
      </c>
      <c r="B1292" s="215">
        <f t="shared" si="60"/>
        <v>45742</v>
      </c>
      <c r="C1292" s="213" t="s">
        <v>4374</v>
      </c>
      <c r="D1292" s="213" t="s">
        <v>4366</v>
      </c>
      <c r="E1292" s="213" t="s">
        <v>6176</v>
      </c>
      <c r="F1292" s="212" t="s">
        <v>6177</v>
      </c>
      <c r="G1292" s="212" t="str">
        <f t="shared" si="61"/>
        <v>255부가세예수금</v>
      </c>
      <c r="H1292" s="214">
        <v>0</v>
      </c>
      <c r="I1292" s="214">
        <v>20000</v>
      </c>
      <c r="J1292" s="214">
        <f t="shared" si="62"/>
        <v>20000</v>
      </c>
      <c r="K1292" s="212" t="s">
        <v>6236</v>
      </c>
      <c r="L1292" s="213"/>
      <c r="M1292" s="212" t="s">
        <v>6231</v>
      </c>
    </row>
    <row r="1293" spans="1:13" ht="21" customHeight="1">
      <c r="A1293" s="213" t="s">
        <v>6745</v>
      </c>
      <c r="B1293" s="215">
        <f t="shared" si="60"/>
        <v>45742</v>
      </c>
      <c r="C1293" s="213" t="s">
        <v>4374</v>
      </c>
      <c r="D1293" s="213" t="s">
        <v>4366</v>
      </c>
      <c r="E1293" s="213" t="s">
        <v>334</v>
      </c>
      <c r="F1293" s="212" t="s">
        <v>6158</v>
      </c>
      <c r="G1293" s="212" t="str">
        <f t="shared" si="61"/>
        <v>401용역매출</v>
      </c>
      <c r="H1293" s="214">
        <v>0</v>
      </c>
      <c r="I1293" s="214">
        <v>200000</v>
      </c>
      <c r="J1293" s="214">
        <f t="shared" si="62"/>
        <v>200000</v>
      </c>
      <c r="K1293" s="212" t="s">
        <v>6236</v>
      </c>
      <c r="L1293" s="213"/>
      <c r="M1293" s="212" t="s">
        <v>6231</v>
      </c>
    </row>
    <row r="1294" spans="1:13" ht="21" customHeight="1">
      <c r="A1294" s="213" t="s">
        <v>6745</v>
      </c>
      <c r="B1294" s="215">
        <f t="shared" si="60"/>
        <v>45742</v>
      </c>
      <c r="C1294" s="213" t="s">
        <v>4374</v>
      </c>
      <c r="D1294" s="213" t="s">
        <v>4369</v>
      </c>
      <c r="E1294" s="213" t="s">
        <v>333</v>
      </c>
      <c r="F1294" s="212" t="s">
        <v>4365</v>
      </c>
      <c r="G1294" s="212" t="str">
        <f t="shared" si="61"/>
        <v>101현금</v>
      </c>
      <c r="H1294" s="214">
        <v>220000</v>
      </c>
      <c r="I1294" s="214">
        <v>0</v>
      </c>
      <c r="J1294" s="214">
        <f t="shared" si="62"/>
        <v>-220000</v>
      </c>
      <c r="K1294" s="212" t="s">
        <v>6236</v>
      </c>
      <c r="L1294" s="213"/>
      <c r="M1294" s="212" t="s">
        <v>6231</v>
      </c>
    </row>
    <row r="1295" spans="1:13" ht="21" customHeight="1">
      <c r="A1295" s="213" t="s">
        <v>6745</v>
      </c>
      <c r="B1295" s="215">
        <f t="shared" si="60"/>
        <v>45742</v>
      </c>
      <c r="C1295" s="213" t="s">
        <v>6182</v>
      </c>
      <c r="D1295" s="213" t="s">
        <v>4366</v>
      </c>
      <c r="E1295" s="213" t="s">
        <v>6176</v>
      </c>
      <c r="F1295" s="212" t="s">
        <v>6177</v>
      </c>
      <c r="G1295" s="212" t="str">
        <f t="shared" si="61"/>
        <v>255부가세예수금</v>
      </c>
      <c r="H1295" s="214">
        <v>0</v>
      </c>
      <c r="I1295" s="214">
        <v>12000</v>
      </c>
      <c r="J1295" s="214">
        <f t="shared" si="62"/>
        <v>12000</v>
      </c>
      <c r="K1295" s="212" t="s">
        <v>6281</v>
      </c>
      <c r="L1295" s="213"/>
      <c r="M1295" s="212" t="s">
        <v>6225</v>
      </c>
    </row>
    <row r="1296" spans="1:13" ht="21" customHeight="1">
      <c r="A1296" s="213" t="s">
        <v>6745</v>
      </c>
      <c r="B1296" s="215">
        <f t="shared" si="60"/>
        <v>45742</v>
      </c>
      <c r="C1296" s="213" t="s">
        <v>6182</v>
      </c>
      <c r="D1296" s="213" t="s">
        <v>4366</v>
      </c>
      <c r="E1296" s="213" t="s">
        <v>334</v>
      </c>
      <c r="F1296" s="212" t="s">
        <v>6158</v>
      </c>
      <c r="G1296" s="212" t="str">
        <f t="shared" si="61"/>
        <v>401용역매출</v>
      </c>
      <c r="H1296" s="214">
        <v>0</v>
      </c>
      <c r="I1296" s="214">
        <v>120000</v>
      </c>
      <c r="J1296" s="214">
        <f t="shared" si="62"/>
        <v>120000</v>
      </c>
      <c r="K1296" s="212" t="s">
        <v>6281</v>
      </c>
      <c r="L1296" s="213"/>
      <c r="M1296" s="212" t="s">
        <v>6225</v>
      </c>
    </row>
    <row r="1297" spans="1:13" ht="21" customHeight="1">
      <c r="A1297" s="213" t="s">
        <v>6745</v>
      </c>
      <c r="B1297" s="215">
        <f t="shared" si="60"/>
        <v>45742</v>
      </c>
      <c r="C1297" s="213" t="s">
        <v>6182</v>
      </c>
      <c r="D1297" s="213" t="s">
        <v>4369</v>
      </c>
      <c r="E1297" s="213" t="s">
        <v>333</v>
      </c>
      <c r="F1297" s="212" t="s">
        <v>4365</v>
      </c>
      <c r="G1297" s="212" t="str">
        <f t="shared" si="61"/>
        <v>101현금</v>
      </c>
      <c r="H1297" s="214">
        <v>132000</v>
      </c>
      <c r="I1297" s="214">
        <v>0</v>
      </c>
      <c r="J1297" s="214">
        <f t="shared" si="62"/>
        <v>-132000</v>
      </c>
      <c r="K1297" s="212" t="s">
        <v>6281</v>
      </c>
      <c r="L1297" s="213"/>
      <c r="M1297" s="212" t="s">
        <v>6225</v>
      </c>
    </row>
    <row r="1298" spans="1:13" ht="21" customHeight="1">
      <c r="A1298" s="213" t="s">
        <v>6745</v>
      </c>
      <c r="B1298" s="215">
        <f t="shared" si="60"/>
        <v>45742</v>
      </c>
      <c r="C1298" s="213" t="s">
        <v>6184</v>
      </c>
      <c r="D1298" s="213" t="s">
        <v>4366</v>
      </c>
      <c r="E1298" s="213" t="s">
        <v>6176</v>
      </c>
      <c r="F1298" s="212" t="s">
        <v>6177</v>
      </c>
      <c r="G1298" s="212" t="str">
        <f t="shared" si="61"/>
        <v>255부가세예수금</v>
      </c>
      <c r="H1298" s="214">
        <v>0</v>
      </c>
      <c r="I1298" s="214">
        <v>9091</v>
      </c>
      <c r="J1298" s="214">
        <f t="shared" si="62"/>
        <v>9091</v>
      </c>
      <c r="K1298" s="212" t="s">
        <v>6295</v>
      </c>
      <c r="L1298" s="213"/>
      <c r="M1298" s="212" t="s">
        <v>6296</v>
      </c>
    </row>
    <row r="1299" spans="1:13" ht="21" customHeight="1">
      <c r="A1299" s="213" t="s">
        <v>6745</v>
      </c>
      <c r="B1299" s="215">
        <f t="shared" si="60"/>
        <v>45742</v>
      </c>
      <c r="C1299" s="213" t="s">
        <v>6184</v>
      </c>
      <c r="D1299" s="213" t="s">
        <v>4366</v>
      </c>
      <c r="E1299" s="213" t="s">
        <v>334</v>
      </c>
      <c r="F1299" s="212" t="s">
        <v>6158</v>
      </c>
      <c r="G1299" s="212" t="str">
        <f t="shared" si="61"/>
        <v>401용역매출</v>
      </c>
      <c r="H1299" s="214">
        <v>0</v>
      </c>
      <c r="I1299" s="214">
        <v>90909</v>
      </c>
      <c r="J1299" s="214">
        <f t="shared" si="62"/>
        <v>90909</v>
      </c>
      <c r="K1299" s="212" t="s">
        <v>6295</v>
      </c>
      <c r="L1299" s="213"/>
      <c r="M1299" s="212" t="s">
        <v>6296</v>
      </c>
    </row>
    <row r="1300" spans="1:13" ht="21" customHeight="1">
      <c r="A1300" s="213" t="s">
        <v>6745</v>
      </c>
      <c r="B1300" s="215">
        <f t="shared" si="60"/>
        <v>45742</v>
      </c>
      <c r="C1300" s="213" t="s">
        <v>6184</v>
      </c>
      <c r="D1300" s="213" t="s">
        <v>4369</v>
      </c>
      <c r="E1300" s="213" t="s">
        <v>333</v>
      </c>
      <c r="F1300" s="212" t="s">
        <v>4365</v>
      </c>
      <c r="G1300" s="212" t="str">
        <f t="shared" si="61"/>
        <v>101현금</v>
      </c>
      <c r="H1300" s="214">
        <v>100000</v>
      </c>
      <c r="I1300" s="214">
        <v>0</v>
      </c>
      <c r="J1300" s="214">
        <f t="shared" si="62"/>
        <v>-100000</v>
      </c>
      <c r="K1300" s="212" t="s">
        <v>6295</v>
      </c>
      <c r="L1300" s="213"/>
      <c r="M1300" s="212" t="s">
        <v>6296</v>
      </c>
    </row>
    <row r="1301" spans="1:13" ht="21" customHeight="1">
      <c r="A1301" s="213" t="s">
        <v>6745</v>
      </c>
      <c r="B1301" s="215">
        <f t="shared" si="60"/>
        <v>45742</v>
      </c>
      <c r="C1301" s="213" t="s">
        <v>6186</v>
      </c>
      <c r="D1301" s="213" t="s">
        <v>4366</v>
      </c>
      <c r="E1301" s="213" t="s">
        <v>6176</v>
      </c>
      <c r="F1301" s="212" t="s">
        <v>6177</v>
      </c>
      <c r="G1301" s="212" t="str">
        <f t="shared" si="61"/>
        <v>255부가세예수금</v>
      </c>
      <c r="H1301" s="214">
        <v>0</v>
      </c>
      <c r="I1301" s="214">
        <v>-15000</v>
      </c>
      <c r="J1301" s="214">
        <f t="shared" si="62"/>
        <v>-15000</v>
      </c>
      <c r="K1301" s="212" t="s">
        <v>6390</v>
      </c>
      <c r="L1301" s="213"/>
      <c r="M1301" s="212" t="s">
        <v>6313</v>
      </c>
    </row>
    <row r="1302" spans="1:13" ht="21" customHeight="1">
      <c r="A1302" s="213" t="s">
        <v>6745</v>
      </c>
      <c r="B1302" s="215">
        <f t="shared" si="60"/>
        <v>45742</v>
      </c>
      <c r="C1302" s="213" t="s">
        <v>6186</v>
      </c>
      <c r="D1302" s="213" t="s">
        <v>4366</v>
      </c>
      <c r="E1302" s="213" t="s">
        <v>334</v>
      </c>
      <c r="F1302" s="212" t="s">
        <v>6158</v>
      </c>
      <c r="G1302" s="212" t="str">
        <f t="shared" si="61"/>
        <v>401용역매출</v>
      </c>
      <c r="H1302" s="214">
        <v>0</v>
      </c>
      <c r="I1302" s="214">
        <v>-150000</v>
      </c>
      <c r="J1302" s="214">
        <f t="shared" si="62"/>
        <v>-150000</v>
      </c>
      <c r="K1302" s="212" t="s">
        <v>6390</v>
      </c>
      <c r="L1302" s="213"/>
      <c r="M1302" s="212" t="s">
        <v>6313</v>
      </c>
    </row>
    <row r="1303" spans="1:13" ht="21" customHeight="1">
      <c r="A1303" s="213" t="s">
        <v>6745</v>
      </c>
      <c r="B1303" s="215">
        <f t="shared" si="60"/>
        <v>45742</v>
      </c>
      <c r="C1303" s="213" t="s">
        <v>6186</v>
      </c>
      <c r="D1303" s="213" t="s">
        <v>4369</v>
      </c>
      <c r="E1303" s="213" t="s">
        <v>333</v>
      </c>
      <c r="F1303" s="212" t="s">
        <v>4365</v>
      </c>
      <c r="G1303" s="212" t="str">
        <f t="shared" si="61"/>
        <v>101현금</v>
      </c>
      <c r="H1303" s="214">
        <v>-165000</v>
      </c>
      <c r="I1303" s="214">
        <v>0</v>
      </c>
      <c r="J1303" s="214">
        <f t="shared" si="62"/>
        <v>165000</v>
      </c>
      <c r="K1303" s="212" t="s">
        <v>6390</v>
      </c>
      <c r="L1303" s="213"/>
      <c r="M1303" s="212" t="s">
        <v>6313</v>
      </c>
    </row>
    <row r="1304" spans="1:13" ht="21" customHeight="1">
      <c r="A1304" s="213" t="s">
        <v>6745</v>
      </c>
      <c r="B1304" s="215">
        <f t="shared" si="60"/>
        <v>45742</v>
      </c>
      <c r="C1304" s="213" t="s">
        <v>6189</v>
      </c>
      <c r="D1304" s="213" t="s">
        <v>4366</v>
      </c>
      <c r="E1304" s="213" t="s">
        <v>6176</v>
      </c>
      <c r="F1304" s="212" t="s">
        <v>6177</v>
      </c>
      <c r="G1304" s="212" t="str">
        <f t="shared" si="61"/>
        <v>255부가세예수금</v>
      </c>
      <c r="H1304" s="214">
        <v>0</v>
      </c>
      <c r="I1304" s="214">
        <v>15000</v>
      </c>
      <c r="J1304" s="214">
        <f t="shared" si="62"/>
        <v>15000</v>
      </c>
      <c r="K1304" s="212" t="s">
        <v>6390</v>
      </c>
      <c r="L1304" s="213"/>
      <c r="M1304" s="212" t="s">
        <v>6179</v>
      </c>
    </row>
    <row r="1305" spans="1:13" ht="21" customHeight="1">
      <c r="A1305" s="213" t="s">
        <v>6745</v>
      </c>
      <c r="B1305" s="215">
        <f t="shared" si="60"/>
        <v>45742</v>
      </c>
      <c r="C1305" s="213" t="s">
        <v>6189</v>
      </c>
      <c r="D1305" s="213" t="s">
        <v>4366</v>
      </c>
      <c r="E1305" s="213" t="s">
        <v>334</v>
      </c>
      <c r="F1305" s="212" t="s">
        <v>6158</v>
      </c>
      <c r="G1305" s="212" t="str">
        <f t="shared" si="61"/>
        <v>401용역매출</v>
      </c>
      <c r="H1305" s="214">
        <v>0</v>
      </c>
      <c r="I1305" s="214">
        <v>150000</v>
      </c>
      <c r="J1305" s="214">
        <f t="shared" si="62"/>
        <v>150000</v>
      </c>
      <c r="K1305" s="212" t="s">
        <v>6390</v>
      </c>
      <c r="L1305" s="213"/>
      <c r="M1305" s="212" t="s">
        <v>6179</v>
      </c>
    </row>
    <row r="1306" spans="1:13" ht="21" customHeight="1">
      <c r="A1306" s="213" t="s">
        <v>6745</v>
      </c>
      <c r="B1306" s="215">
        <f t="shared" si="60"/>
        <v>45742</v>
      </c>
      <c r="C1306" s="213" t="s">
        <v>6189</v>
      </c>
      <c r="D1306" s="213" t="s">
        <v>4369</v>
      </c>
      <c r="E1306" s="213" t="s">
        <v>333</v>
      </c>
      <c r="F1306" s="212" t="s">
        <v>4365</v>
      </c>
      <c r="G1306" s="212" t="str">
        <f t="shared" si="61"/>
        <v>101현금</v>
      </c>
      <c r="H1306" s="214">
        <v>165000</v>
      </c>
      <c r="I1306" s="214">
        <v>0</v>
      </c>
      <c r="J1306" s="214">
        <f t="shared" si="62"/>
        <v>-165000</v>
      </c>
      <c r="K1306" s="212" t="s">
        <v>6390</v>
      </c>
      <c r="L1306" s="213"/>
      <c r="M1306" s="212" t="s">
        <v>6179</v>
      </c>
    </row>
    <row r="1307" spans="1:13" ht="21" customHeight="1">
      <c r="A1307" s="213" t="s">
        <v>6745</v>
      </c>
      <c r="B1307" s="215">
        <f t="shared" si="60"/>
        <v>45742</v>
      </c>
      <c r="C1307" s="213" t="s">
        <v>6191</v>
      </c>
      <c r="D1307" s="213" t="s">
        <v>4366</v>
      </c>
      <c r="E1307" s="213" t="s">
        <v>6176</v>
      </c>
      <c r="F1307" s="212" t="s">
        <v>6177</v>
      </c>
      <c r="G1307" s="212" t="str">
        <f t="shared" si="61"/>
        <v>255부가세예수금</v>
      </c>
      <c r="H1307" s="214">
        <v>0</v>
      </c>
      <c r="I1307" s="214">
        <v>15000</v>
      </c>
      <c r="J1307" s="214">
        <f t="shared" si="62"/>
        <v>15000</v>
      </c>
      <c r="K1307" s="212" t="s">
        <v>6239</v>
      </c>
      <c r="L1307" s="213"/>
      <c r="M1307" s="212" t="s">
        <v>6179</v>
      </c>
    </row>
    <row r="1308" spans="1:13" ht="21" customHeight="1">
      <c r="A1308" s="213" t="s">
        <v>6745</v>
      </c>
      <c r="B1308" s="215">
        <f t="shared" si="60"/>
        <v>45742</v>
      </c>
      <c r="C1308" s="213" t="s">
        <v>6191</v>
      </c>
      <c r="D1308" s="213" t="s">
        <v>4366</v>
      </c>
      <c r="E1308" s="213" t="s">
        <v>334</v>
      </c>
      <c r="F1308" s="212" t="s">
        <v>6158</v>
      </c>
      <c r="G1308" s="212" t="str">
        <f t="shared" si="61"/>
        <v>401용역매출</v>
      </c>
      <c r="H1308" s="214">
        <v>0</v>
      </c>
      <c r="I1308" s="214">
        <v>150000</v>
      </c>
      <c r="J1308" s="214">
        <f t="shared" si="62"/>
        <v>150000</v>
      </c>
      <c r="K1308" s="212" t="s">
        <v>6239</v>
      </c>
      <c r="L1308" s="213"/>
      <c r="M1308" s="212" t="s">
        <v>6179</v>
      </c>
    </row>
    <row r="1309" spans="1:13" ht="21" customHeight="1">
      <c r="A1309" s="213" t="s">
        <v>6745</v>
      </c>
      <c r="B1309" s="215">
        <f t="shared" si="60"/>
        <v>45742</v>
      </c>
      <c r="C1309" s="213" t="s">
        <v>6191</v>
      </c>
      <c r="D1309" s="213" t="s">
        <v>4369</v>
      </c>
      <c r="E1309" s="213" t="s">
        <v>333</v>
      </c>
      <c r="F1309" s="212" t="s">
        <v>4365</v>
      </c>
      <c r="G1309" s="212" t="str">
        <f t="shared" si="61"/>
        <v>101현금</v>
      </c>
      <c r="H1309" s="214">
        <v>165000</v>
      </c>
      <c r="I1309" s="214">
        <v>0</v>
      </c>
      <c r="J1309" s="214">
        <f t="shared" si="62"/>
        <v>-165000</v>
      </c>
      <c r="K1309" s="212" t="s">
        <v>6239</v>
      </c>
      <c r="L1309" s="213"/>
      <c r="M1309" s="212" t="s">
        <v>6179</v>
      </c>
    </row>
    <row r="1310" spans="1:13" ht="21" customHeight="1">
      <c r="A1310" s="213" t="s">
        <v>6745</v>
      </c>
      <c r="B1310" s="215">
        <f t="shared" si="60"/>
        <v>45742</v>
      </c>
      <c r="C1310" s="213" t="s">
        <v>6216</v>
      </c>
      <c r="D1310" s="213" t="s">
        <v>4366</v>
      </c>
      <c r="E1310" s="213" t="s">
        <v>6176</v>
      </c>
      <c r="F1310" s="212" t="s">
        <v>6177</v>
      </c>
      <c r="G1310" s="212" t="str">
        <f t="shared" si="61"/>
        <v>255부가세예수금</v>
      </c>
      <c r="H1310" s="214">
        <v>0</v>
      </c>
      <c r="I1310" s="214">
        <v>10000</v>
      </c>
      <c r="J1310" s="214">
        <f t="shared" si="62"/>
        <v>10000</v>
      </c>
      <c r="K1310" s="212" t="s">
        <v>6221</v>
      </c>
      <c r="L1310" s="213"/>
      <c r="M1310" s="212" t="s">
        <v>6185</v>
      </c>
    </row>
    <row r="1311" spans="1:13" ht="21" customHeight="1">
      <c r="A1311" s="213" t="s">
        <v>6745</v>
      </c>
      <c r="B1311" s="215">
        <f t="shared" si="60"/>
        <v>45742</v>
      </c>
      <c r="C1311" s="213" t="s">
        <v>6216</v>
      </c>
      <c r="D1311" s="213" t="s">
        <v>4366</v>
      </c>
      <c r="E1311" s="213" t="s">
        <v>334</v>
      </c>
      <c r="F1311" s="212" t="s">
        <v>6158</v>
      </c>
      <c r="G1311" s="212" t="str">
        <f t="shared" si="61"/>
        <v>401용역매출</v>
      </c>
      <c r="H1311" s="214">
        <v>0</v>
      </c>
      <c r="I1311" s="214">
        <v>100000</v>
      </c>
      <c r="J1311" s="214">
        <f t="shared" si="62"/>
        <v>100000</v>
      </c>
      <c r="K1311" s="212" t="s">
        <v>6221</v>
      </c>
      <c r="L1311" s="213"/>
      <c r="M1311" s="212" t="s">
        <v>6185</v>
      </c>
    </row>
    <row r="1312" spans="1:13" ht="21" customHeight="1">
      <c r="A1312" s="213" t="s">
        <v>6745</v>
      </c>
      <c r="B1312" s="215">
        <f t="shared" si="60"/>
        <v>45742</v>
      </c>
      <c r="C1312" s="213" t="s">
        <v>6216</v>
      </c>
      <c r="D1312" s="213" t="s">
        <v>4369</v>
      </c>
      <c r="E1312" s="213" t="s">
        <v>333</v>
      </c>
      <c r="F1312" s="212" t="s">
        <v>4365</v>
      </c>
      <c r="G1312" s="212" t="str">
        <f t="shared" si="61"/>
        <v>101현금</v>
      </c>
      <c r="H1312" s="214">
        <v>110000</v>
      </c>
      <c r="I1312" s="214">
        <v>0</v>
      </c>
      <c r="J1312" s="214">
        <f t="shared" si="62"/>
        <v>-110000</v>
      </c>
      <c r="K1312" s="212" t="s">
        <v>6221</v>
      </c>
      <c r="L1312" s="213"/>
      <c r="M1312" s="212" t="s">
        <v>6185</v>
      </c>
    </row>
    <row r="1313" spans="1:13" ht="21" customHeight="1">
      <c r="A1313" s="213" t="s">
        <v>6745</v>
      </c>
      <c r="B1313" s="215">
        <f t="shared" si="60"/>
        <v>45742</v>
      </c>
      <c r="C1313" s="213" t="s">
        <v>6217</v>
      </c>
      <c r="D1313" s="213" t="s">
        <v>4366</v>
      </c>
      <c r="E1313" s="213" t="s">
        <v>6176</v>
      </c>
      <c r="F1313" s="212" t="s">
        <v>6177</v>
      </c>
      <c r="G1313" s="212" t="str">
        <f t="shared" si="61"/>
        <v>255부가세예수금</v>
      </c>
      <c r="H1313" s="214">
        <v>0</v>
      </c>
      <c r="I1313" s="214">
        <v>11819</v>
      </c>
      <c r="J1313" s="214">
        <f t="shared" si="62"/>
        <v>11819</v>
      </c>
      <c r="K1313" s="212" t="s">
        <v>6220</v>
      </c>
      <c r="L1313" s="213"/>
      <c r="M1313" s="212" t="s">
        <v>6362</v>
      </c>
    </row>
    <row r="1314" spans="1:13" ht="21" customHeight="1">
      <c r="A1314" s="213" t="s">
        <v>6745</v>
      </c>
      <c r="B1314" s="215">
        <f t="shared" si="60"/>
        <v>45742</v>
      </c>
      <c r="C1314" s="213" t="s">
        <v>6217</v>
      </c>
      <c r="D1314" s="213" t="s">
        <v>4366</v>
      </c>
      <c r="E1314" s="213" t="s">
        <v>334</v>
      </c>
      <c r="F1314" s="212" t="s">
        <v>6158</v>
      </c>
      <c r="G1314" s="212" t="str">
        <f t="shared" si="61"/>
        <v>401용역매출</v>
      </c>
      <c r="H1314" s="214">
        <v>0</v>
      </c>
      <c r="I1314" s="214">
        <v>118181</v>
      </c>
      <c r="J1314" s="214">
        <f t="shared" si="62"/>
        <v>118181</v>
      </c>
      <c r="K1314" s="212" t="s">
        <v>6220</v>
      </c>
      <c r="L1314" s="213"/>
      <c r="M1314" s="212" t="s">
        <v>6362</v>
      </c>
    </row>
    <row r="1315" spans="1:13" ht="21" customHeight="1">
      <c r="A1315" s="213" t="s">
        <v>6745</v>
      </c>
      <c r="B1315" s="215">
        <f t="shared" si="60"/>
        <v>45742</v>
      </c>
      <c r="C1315" s="213" t="s">
        <v>6217</v>
      </c>
      <c r="D1315" s="213" t="s">
        <v>4369</v>
      </c>
      <c r="E1315" s="213" t="s">
        <v>333</v>
      </c>
      <c r="F1315" s="212" t="s">
        <v>4365</v>
      </c>
      <c r="G1315" s="212" t="str">
        <f t="shared" si="61"/>
        <v>101현금</v>
      </c>
      <c r="H1315" s="214">
        <v>130000</v>
      </c>
      <c r="I1315" s="214">
        <v>0</v>
      </c>
      <c r="J1315" s="214">
        <f t="shared" si="62"/>
        <v>-130000</v>
      </c>
      <c r="K1315" s="212" t="s">
        <v>6220</v>
      </c>
      <c r="L1315" s="213"/>
      <c r="M1315" s="212" t="s">
        <v>6362</v>
      </c>
    </row>
    <row r="1316" spans="1:13" ht="21" customHeight="1">
      <c r="A1316" s="213" t="s">
        <v>6744</v>
      </c>
      <c r="B1316" s="215">
        <f t="shared" si="60"/>
        <v>45743</v>
      </c>
      <c r="C1316" s="213" t="s">
        <v>4373</v>
      </c>
      <c r="D1316" s="213" t="s">
        <v>4369</v>
      </c>
      <c r="E1316" s="213" t="s">
        <v>4499</v>
      </c>
      <c r="F1316" s="212" t="s">
        <v>6517</v>
      </c>
      <c r="G1316" s="212" t="str">
        <f t="shared" si="61"/>
        <v>811복리후생비(판)</v>
      </c>
      <c r="H1316" s="214">
        <v>10000</v>
      </c>
      <c r="I1316" s="214">
        <v>0</v>
      </c>
      <c r="J1316" s="214">
        <f t="shared" si="62"/>
        <v>-10000</v>
      </c>
      <c r="K1316" s="212" t="s">
        <v>6551</v>
      </c>
      <c r="L1316" s="213"/>
      <c r="M1316" s="212"/>
    </row>
    <row r="1317" spans="1:13" ht="21" customHeight="1">
      <c r="A1317" s="213" t="s">
        <v>6744</v>
      </c>
      <c r="B1317" s="215">
        <f t="shared" si="60"/>
        <v>45743</v>
      </c>
      <c r="C1317" s="213" t="s">
        <v>4373</v>
      </c>
      <c r="D1317" s="213" t="s">
        <v>4366</v>
      </c>
      <c r="E1317" s="213" t="s">
        <v>333</v>
      </c>
      <c r="F1317" s="212" t="s">
        <v>4365</v>
      </c>
      <c r="G1317" s="212" t="str">
        <f t="shared" si="61"/>
        <v>101현금</v>
      </c>
      <c r="H1317" s="214">
        <v>0</v>
      </c>
      <c r="I1317" s="214">
        <v>10000</v>
      </c>
      <c r="J1317" s="214">
        <f t="shared" si="62"/>
        <v>10000</v>
      </c>
      <c r="K1317" s="212" t="s">
        <v>6369</v>
      </c>
      <c r="L1317" s="213"/>
      <c r="M1317" s="212"/>
    </row>
    <row r="1318" spans="1:13" ht="21" customHeight="1">
      <c r="A1318" s="213" t="s">
        <v>6743</v>
      </c>
      <c r="B1318" s="215">
        <f t="shared" si="60"/>
        <v>45744</v>
      </c>
      <c r="C1318" s="213" t="s">
        <v>4373</v>
      </c>
      <c r="D1318" s="213" t="s">
        <v>4369</v>
      </c>
      <c r="E1318" s="213" t="s">
        <v>4380</v>
      </c>
      <c r="F1318" s="212" t="s">
        <v>6515</v>
      </c>
      <c r="G1318" s="212" t="str">
        <f t="shared" si="61"/>
        <v>812여비교통비(판)</v>
      </c>
      <c r="H1318" s="214">
        <v>8400</v>
      </c>
      <c r="I1318" s="214">
        <v>0</v>
      </c>
      <c r="J1318" s="214">
        <f t="shared" si="62"/>
        <v>-8400</v>
      </c>
      <c r="K1318" s="212" t="s">
        <v>6164</v>
      </c>
      <c r="L1318" s="213"/>
      <c r="M1318" s="212"/>
    </row>
    <row r="1319" spans="1:13" ht="21" customHeight="1">
      <c r="A1319" s="213" t="s">
        <v>6743</v>
      </c>
      <c r="B1319" s="215">
        <f t="shared" si="60"/>
        <v>45744</v>
      </c>
      <c r="C1319" s="213" t="s">
        <v>4373</v>
      </c>
      <c r="D1319" s="213" t="s">
        <v>4366</v>
      </c>
      <c r="E1319" s="213" t="s">
        <v>333</v>
      </c>
      <c r="F1319" s="212" t="s">
        <v>4365</v>
      </c>
      <c r="G1319" s="212" t="str">
        <f t="shared" si="61"/>
        <v>101현금</v>
      </c>
      <c r="H1319" s="214">
        <v>0</v>
      </c>
      <c r="I1319" s="214">
        <v>8400</v>
      </c>
      <c r="J1319" s="214">
        <f t="shared" si="62"/>
        <v>8400</v>
      </c>
      <c r="K1319" s="212" t="s">
        <v>6369</v>
      </c>
      <c r="L1319" s="213"/>
      <c r="M1319" s="212"/>
    </row>
    <row r="1320" spans="1:13" ht="21" customHeight="1">
      <c r="A1320" s="213" t="s">
        <v>6743</v>
      </c>
      <c r="B1320" s="215">
        <f t="shared" si="60"/>
        <v>45744</v>
      </c>
      <c r="C1320" s="213" t="s">
        <v>4382</v>
      </c>
      <c r="D1320" s="213" t="s">
        <v>4369</v>
      </c>
      <c r="E1320" s="213" t="s">
        <v>4380</v>
      </c>
      <c r="F1320" s="212" t="s">
        <v>6515</v>
      </c>
      <c r="G1320" s="212" t="str">
        <f t="shared" si="61"/>
        <v>812여비교통비(판)</v>
      </c>
      <c r="H1320" s="214">
        <v>1000</v>
      </c>
      <c r="I1320" s="214">
        <v>0</v>
      </c>
      <c r="J1320" s="214">
        <f t="shared" si="62"/>
        <v>-1000</v>
      </c>
      <c r="K1320" s="212" t="s">
        <v>6164</v>
      </c>
      <c r="L1320" s="213"/>
      <c r="M1320" s="212"/>
    </row>
    <row r="1321" spans="1:13" ht="21" customHeight="1">
      <c r="A1321" s="213" t="s">
        <v>6743</v>
      </c>
      <c r="B1321" s="215">
        <f t="shared" si="60"/>
        <v>45744</v>
      </c>
      <c r="C1321" s="213" t="s">
        <v>4382</v>
      </c>
      <c r="D1321" s="213" t="s">
        <v>4366</v>
      </c>
      <c r="E1321" s="213" t="s">
        <v>333</v>
      </c>
      <c r="F1321" s="212" t="s">
        <v>4365</v>
      </c>
      <c r="G1321" s="212" t="str">
        <f t="shared" si="61"/>
        <v>101현금</v>
      </c>
      <c r="H1321" s="214">
        <v>0</v>
      </c>
      <c r="I1321" s="214">
        <v>1000</v>
      </c>
      <c r="J1321" s="214">
        <f t="shared" si="62"/>
        <v>1000</v>
      </c>
      <c r="K1321" s="212" t="s">
        <v>6369</v>
      </c>
      <c r="L1321" s="213"/>
      <c r="M1321" s="212"/>
    </row>
    <row r="1322" spans="1:13" ht="21" customHeight="1">
      <c r="A1322" s="213" t="s">
        <v>6743</v>
      </c>
      <c r="B1322" s="215">
        <f t="shared" si="60"/>
        <v>45744</v>
      </c>
      <c r="C1322" s="213" t="s">
        <v>4381</v>
      </c>
      <c r="D1322" s="213" t="s">
        <v>4369</v>
      </c>
      <c r="E1322" s="213" t="s">
        <v>4380</v>
      </c>
      <c r="F1322" s="212" t="s">
        <v>6515</v>
      </c>
      <c r="G1322" s="212" t="str">
        <f t="shared" si="61"/>
        <v>812여비교통비(판)</v>
      </c>
      <c r="H1322" s="214">
        <v>3000</v>
      </c>
      <c r="I1322" s="214">
        <v>0</v>
      </c>
      <c r="J1322" s="214">
        <f t="shared" si="62"/>
        <v>-3000</v>
      </c>
      <c r="K1322" s="212" t="s">
        <v>6350</v>
      </c>
      <c r="L1322" s="213"/>
      <c r="M1322" s="212"/>
    </row>
    <row r="1323" spans="1:13" ht="21" customHeight="1">
      <c r="A1323" s="213" t="s">
        <v>6743</v>
      </c>
      <c r="B1323" s="215">
        <f t="shared" si="60"/>
        <v>45744</v>
      </c>
      <c r="C1323" s="213" t="s">
        <v>4381</v>
      </c>
      <c r="D1323" s="213" t="s">
        <v>4366</v>
      </c>
      <c r="E1323" s="213" t="s">
        <v>333</v>
      </c>
      <c r="F1323" s="212" t="s">
        <v>4365</v>
      </c>
      <c r="G1323" s="212" t="str">
        <f t="shared" si="61"/>
        <v>101현금</v>
      </c>
      <c r="H1323" s="214">
        <v>0</v>
      </c>
      <c r="I1323" s="214">
        <v>3000</v>
      </c>
      <c r="J1323" s="214">
        <f t="shared" si="62"/>
        <v>3000</v>
      </c>
      <c r="K1323" s="212" t="s">
        <v>6369</v>
      </c>
      <c r="L1323" s="213"/>
      <c r="M1323" s="212"/>
    </row>
    <row r="1324" spans="1:13" ht="21" customHeight="1">
      <c r="A1324" s="213" t="s">
        <v>6743</v>
      </c>
      <c r="B1324" s="215">
        <f t="shared" si="60"/>
        <v>45744</v>
      </c>
      <c r="C1324" s="213" t="s">
        <v>4379</v>
      </c>
      <c r="D1324" s="213" t="s">
        <v>4369</v>
      </c>
      <c r="E1324" s="213" t="s">
        <v>4380</v>
      </c>
      <c r="F1324" s="212" t="s">
        <v>6515</v>
      </c>
      <c r="G1324" s="212" t="str">
        <f t="shared" si="61"/>
        <v>812여비교통비(판)</v>
      </c>
      <c r="H1324" s="214">
        <v>9300</v>
      </c>
      <c r="I1324" s="214">
        <v>0</v>
      </c>
      <c r="J1324" s="214">
        <f t="shared" si="62"/>
        <v>-9300</v>
      </c>
      <c r="K1324" s="212" t="s">
        <v>6350</v>
      </c>
      <c r="L1324" s="213"/>
      <c r="M1324" s="212"/>
    </row>
    <row r="1325" spans="1:13" ht="21" customHeight="1">
      <c r="A1325" s="213" t="s">
        <v>6743</v>
      </c>
      <c r="B1325" s="215">
        <f t="shared" si="60"/>
        <v>45744</v>
      </c>
      <c r="C1325" s="213" t="s">
        <v>4379</v>
      </c>
      <c r="D1325" s="213" t="s">
        <v>4366</v>
      </c>
      <c r="E1325" s="213" t="s">
        <v>333</v>
      </c>
      <c r="F1325" s="212" t="s">
        <v>4365</v>
      </c>
      <c r="G1325" s="212" t="str">
        <f t="shared" si="61"/>
        <v>101현금</v>
      </c>
      <c r="H1325" s="214">
        <v>0</v>
      </c>
      <c r="I1325" s="214">
        <v>9300</v>
      </c>
      <c r="J1325" s="214">
        <f t="shared" si="62"/>
        <v>9300</v>
      </c>
      <c r="K1325" s="212" t="s">
        <v>6369</v>
      </c>
      <c r="L1325" s="213"/>
      <c r="M1325" s="212"/>
    </row>
    <row r="1326" spans="1:13" ht="21" customHeight="1">
      <c r="A1326" s="213" t="s">
        <v>6743</v>
      </c>
      <c r="B1326" s="215">
        <f t="shared" si="60"/>
        <v>45744</v>
      </c>
      <c r="C1326" s="213" t="s">
        <v>4367</v>
      </c>
      <c r="D1326" s="213" t="s">
        <v>4366</v>
      </c>
      <c r="E1326" s="213" t="s">
        <v>6176</v>
      </c>
      <c r="F1326" s="212" t="s">
        <v>6177</v>
      </c>
      <c r="G1326" s="212" t="str">
        <f t="shared" si="61"/>
        <v>255부가세예수금</v>
      </c>
      <c r="H1326" s="214">
        <v>0</v>
      </c>
      <c r="I1326" s="214">
        <v>15000</v>
      </c>
      <c r="J1326" s="214">
        <f t="shared" si="62"/>
        <v>15000</v>
      </c>
      <c r="K1326" s="212" t="s">
        <v>6237</v>
      </c>
      <c r="L1326" s="213"/>
      <c r="M1326" s="212" t="s">
        <v>6179</v>
      </c>
    </row>
    <row r="1327" spans="1:13" ht="21" customHeight="1">
      <c r="A1327" s="213" t="s">
        <v>6743</v>
      </c>
      <c r="B1327" s="215">
        <f t="shared" si="60"/>
        <v>45744</v>
      </c>
      <c r="C1327" s="213" t="s">
        <v>4367</v>
      </c>
      <c r="D1327" s="213" t="s">
        <v>4366</v>
      </c>
      <c r="E1327" s="213" t="s">
        <v>334</v>
      </c>
      <c r="F1327" s="212" t="s">
        <v>6158</v>
      </c>
      <c r="G1327" s="212" t="str">
        <f t="shared" si="61"/>
        <v>401용역매출</v>
      </c>
      <c r="H1327" s="214">
        <v>0</v>
      </c>
      <c r="I1327" s="214">
        <v>150000</v>
      </c>
      <c r="J1327" s="214">
        <f t="shared" si="62"/>
        <v>150000</v>
      </c>
      <c r="K1327" s="212" t="s">
        <v>6237</v>
      </c>
      <c r="L1327" s="213"/>
      <c r="M1327" s="212" t="s">
        <v>6179</v>
      </c>
    </row>
    <row r="1328" spans="1:13" ht="21" customHeight="1">
      <c r="A1328" s="213" t="s">
        <v>6743</v>
      </c>
      <c r="B1328" s="215">
        <f t="shared" si="60"/>
        <v>45744</v>
      </c>
      <c r="C1328" s="213" t="s">
        <v>4367</v>
      </c>
      <c r="D1328" s="213" t="s">
        <v>4369</v>
      </c>
      <c r="E1328" s="213" t="s">
        <v>333</v>
      </c>
      <c r="F1328" s="212" t="s">
        <v>4365</v>
      </c>
      <c r="G1328" s="212" t="str">
        <f t="shared" si="61"/>
        <v>101현금</v>
      </c>
      <c r="H1328" s="214">
        <v>165000</v>
      </c>
      <c r="I1328" s="214">
        <v>0</v>
      </c>
      <c r="J1328" s="214">
        <f t="shared" si="62"/>
        <v>-165000</v>
      </c>
      <c r="K1328" s="212" t="s">
        <v>6237</v>
      </c>
      <c r="L1328" s="213"/>
      <c r="M1328" s="212" t="s">
        <v>6179</v>
      </c>
    </row>
    <row r="1329" spans="1:13" ht="21" customHeight="1">
      <c r="A1329" s="213" t="s">
        <v>6743</v>
      </c>
      <c r="B1329" s="215">
        <f t="shared" si="60"/>
        <v>45744</v>
      </c>
      <c r="C1329" s="213" t="s">
        <v>4374</v>
      </c>
      <c r="D1329" s="213" t="s">
        <v>4366</v>
      </c>
      <c r="E1329" s="213" t="s">
        <v>6176</v>
      </c>
      <c r="F1329" s="212" t="s">
        <v>6177</v>
      </c>
      <c r="G1329" s="212" t="str">
        <f t="shared" si="61"/>
        <v>255부가세예수금</v>
      </c>
      <c r="H1329" s="214">
        <v>0</v>
      </c>
      <c r="I1329" s="214">
        <v>10000</v>
      </c>
      <c r="J1329" s="214">
        <f t="shared" si="62"/>
        <v>10000</v>
      </c>
      <c r="K1329" s="212" t="s">
        <v>6271</v>
      </c>
      <c r="L1329" s="213"/>
      <c r="M1329" s="212" t="s">
        <v>6185</v>
      </c>
    </row>
    <row r="1330" spans="1:13" ht="21" customHeight="1">
      <c r="A1330" s="213" t="s">
        <v>6743</v>
      </c>
      <c r="B1330" s="215">
        <f t="shared" si="60"/>
        <v>45744</v>
      </c>
      <c r="C1330" s="213" t="s">
        <v>4374</v>
      </c>
      <c r="D1330" s="213" t="s">
        <v>4366</v>
      </c>
      <c r="E1330" s="213" t="s">
        <v>334</v>
      </c>
      <c r="F1330" s="212" t="s">
        <v>6158</v>
      </c>
      <c r="G1330" s="212" t="str">
        <f t="shared" si="61"/>
        <v>401용역매출</v>
      </c>
      <c r="H1330" s="214">
        <v>0</v>
      </c>
      <c r="I1330" s="214">
        <v>100000</v>
      </c>
      <c r="J1330" s="214">
        <f t="shared" si="62"/>
        <v>100000</v>
      </c>
      <c r="K1330" s="212" t="s">
        <v>6271</v>
      </c>
      <c r="L1330" s="213"/>
      <c r="M1330" s="212" t="s">
        <v>6185</v>
      </c>
    </row>
    <row r="1331" spans="1:13" ht="21" customHeight="1">
      <c r="A1331" s="213" t="s">
        <v>6743</v>
      </c>
      <c r="B1331" s="215">
        <f t="shared" si="60"/>
        <v>45744</v>
      </c>
      <c r="C1331" s="213" t="s">
        <v>4374</v>
      </c>
      <c r="D1331" s="213" t="s">
        <v>4369</v>
      </c>
      <c r="E1331" s="213" t="s">
        <v>333</v>
      </c>
      <c r="F1331" s="212" t="s">
        <v>4365</v>
      </c>
      <c r="G1331" s="212" t="str">
        <f t="shared" si="61"/>
        <v>101현금</v>
      </c>
      <c r="H1331" s="214">
        <v>110000</v>
      </c>
      <c r="I1331" s="214">
        <v>0</v>
      </c>
      <c r="J1331" s="214">
        <f t="shared" si="62"/>
        <v>-110000</v>
      </c>
      <c r="K1331" s="212" t="s">
        <v>6271</v>
      </c>
      <c r="L1331" s="213"/>
      <c r="M1331" s="212" t="s">
        <v>6185</v>
      </c>
    </row>
    <row r="1332" spans="1:13" ht="21" customHeight="1">
      <c r="A1332" s="213" t="s">
        <v>6743</v>
      </c>
      <c r="B1332" s="215">
        <f t="shared" si="60"/>
        <v>45744</v>
      </c>
      <c r="C1332" s="213" t="s">
        <v>6182</v>
      </c>
      <c r="D1332" s="213" t="s">
        <v>4366</v>
      </c>
      <c r="E1332" s="213" t="s">
        <v>6176</v>
      </c>
      <c r="F1332" s="212" t="s">
        <v>6177</v>
      </c>
      <c r="G1332" s="212" t="str">
        <f t="shared" si="61"/>
        <v>255부가세예수금</v>
      </c>
      <c r="H1332" s="214">
        <v>0</v>
      </c>
      <c r="I1332" s="214">
        <v>10000</v>
      </c>
      <c r="J1332" s="214">
        <f t="shared" si="62"/>
        <v>10000</v>
      </c>
      <c r="K1332" s="212" t="s">
        <v>6317</v>
      </c>
      <c r="L1332" s="213"/>
      <c r="M1332" s="212" t="s">
        <v>6185</v>
      </c>
    </row>
    <row r="1333" spans="1:13" ht="21" customHeight="1">
      <c r="A1333" s="213" t="s">
        <v>6743</v>
      </c>
      <c r="B1333" s="215">
        <f t="shared" si="60"/>
        <v>45744</v>
      </c>
      <c r="C1333" s="213" t="s">
        <v>6182</v>
      </c>
      <c r="D1333" s="213" t="s">
        <v>4366</v>
      </c>
      <c r="E1333" s="213" t="s">
        <v>334</v>
      </c>
      <c r="F1333" s="212" t="s">
        <v>6158</v>
      </c>
      <c r="G1333" s="212" t="str">
        <f t="shared" si="61"/>
        <v>401용역매출</v>
      </c>
      <c r="H1333" s="214">
        <v>0</v>
      </c>
      <c r="I1333" s="214">
        <v>100000</v>
      </c>
      <c r="J1333" s="214">
        <f t="shared" si="62"/>
        <v>100000</v>
      </c>
      <c r="K1333" s="212" t="s">
        <v>6317</v>
      </c>
      <c r="L1333" s="213"/>
      <c r="M1333" s="212" t="s">
        <v>6185</v>
      </c>
    </row>
    <row r="1334" spans="1:13" ht="21" customHeight="1">
      <c r="A1334" s="213" t="s">
        <v>6743</v>
      </c>
      <c r="B1334" s="215">
        <f t="shared" si="60"/>
        <v>45744</v>
      </c>
      <c r="C1334" s="213" t="s">
        <v>6182</v>
      </c>
      <c r="D1334" s="213" t="s">
        <v>4369</v>
      </c>
      <c r="E1334" s="213" t="s">
        <v>333</v>
      </c>
      <c r="F1334" s="212" t="s">
        <v>4365</v>
      </c>
      <c r="G1334" s="212" t="str">
        <f t="shared" si="61"/>
        <v>101현금</v>
      </c>
      <c r="H1334" s="214">
        <v>110000</v>
      </c>
      <c r="I1334" s="214">
        <v>0</v>
      </c>
      <c r="J1334" s="214">
        <f t="shared" si="62"/>
        <v>-110000</v>
      </c>
      <c r="K1334" s="212" t="s">
        <v>6317</v>
      </c>
      <c r="L1334" s="213"/>
      <c r="M1334" s="212" t="s">
        <v>6185</v>
      </c>
    </row>
    <row r="1335" spans="1:13" ht="21" customHeight="1">
      <c r="A1335" s="217" t="s">
        <v>6733</v>
      </c>
      <c r="B1335" s="215">
        <f t="shared" si="60"/>
        <v>45745</v>
      </c>
      <c r="C1335" s="213" t="s">
        <v>4373</v>
      </c>
      <c r="D1335" s="213" t="s">
        <v>4369</v>
      </c>
      <c r="E1335" s="213" t="s">
        <v>4499</v>
      </c>
      <c r="F1335" s="212" t="s">
        <v>6517</v>
      </c>
      <c r="G1335" s="212" t="str">
        <f t="shared" si="61"/>
        <v>811복리후생비(판)</v>
      </c>
      <c r="H1335" s="214">
        <v>12000</v>
      </c>
      <c r="I1335" s="214">
        <v>0</v>
      </c>
      <c r="J1335" s="214">
        <f t="shared" si="62"/>
        <v>-12000</v>
      </c>
      <c r="K1335" s="212" t="s">
        <v>6288</v>
      </c>
      <c r="L1335" s="213"/>
      <c r="M1335" s="212"/>
    </row>
    <row r="1336" spans="1:13" ht="21" customHeight="1">
      <c r="A1336" s="217" t="s">
        <v>6733</v>
      </c>
      <c r="B1336" s="215">
        <f t="shared" si="60"/>
        <v>45745</v>
      </c>
      <c r="C1336" s="213" t="s">
        <v>4373</v>
      </c>
      <c r="D1336" s="213" t="s">
        <v>4366</v>
      </c>
      <c r="E1336" s="213" t="s">
        <v>333</v>
      </c>
      <c r="F1336" s="212" t="s">
        <v>4365</v>
      </c>
      <c r="G1336" s="212" t="str">
        <f t="shared" si="61"/>
        <v>101현금</v>
      </c>
      <c r="H1336" s="214">
        <v>0</v>
      </c>
      <c r="I1336" s="214">
        <v>12000</v>
      </c>
      <c r="J1336" s="214">
        <f t="shared" si="62"/>
        <v>12000</v>
      </c>
      <c r="K1336" s="212" t="s">
        <v>6371</v>
      </c>
      <c r="L1336" s="213"/>
      <c r="M1336" s="212"/>
    </row>
    <row r="1337" spans="1:13" ht="21" customHeight="1">
      <c r="A1337" s="217" t="s">
        <v>6733</v>
      </c>
      <c r="B1337" s="215">
        <f t="shared" si="60"/>
        <v>45745</v>
      </c>
      <c r="C1337" s="213" t="s">
        <v>4382</v>
      </c>
      <c r="D1337" s="213" t="s">
        <v>4369</v>
      </c>
      <c r="E1337" s="213" t="s">
        <v>4383</v>
      </c>
      <c r="F1337" s="212" t="s">
        <v>6525</v>
      </c>
      <c r="G1337" s="212" t="str">
        <f t="shared" si="61"/>
        <v>830소모품비(판)</v>
      </c>
      <c r="H1337" s="214">
        <v>2000</v>
      </c>
      <c r="I1337" s="214">
        <v>0</v>
      </c>
      <c r="J1337" s="214">
        <f t="shared" si="62"/>
        <v>-2000</v>
      </c>
      <c r="K1337" s="212" t="s">
        <v>6742</v>
      </c>
      <c r="L1337" s="213"/>
      <c r="M1337" s="212"/>
    </row>
    <row r="1338" spans="1:13" ht="21" customHeight="1">
      <c r="A1338" s="217" t="s">
        <v>6733</v>
      </c>
      <c r="B1338" s="215">
        <f t="shared" si="60"/>
        <v>45745</v>
      </c>
      <c r="C1338" s="213" t="s">
        <v>4382</v>
      </c>
      <c r="D1338" s="213" t="s">
        <v>4366</v>
      </c>
      <c r="E1338" s="213" t="s">
        <v>333</v>
      </c>
      <c r="F1338" s="212" t="s">
        <v>4365</v>
      </c>
      <c r="G1338" s="212" t="str">
        <f t="shared" si="61"/>
        <v>101현금</v>
      </c>
      <c r="H1338" s="214">
        <v>0</v>
      </c>
      <c r="I1338" s="214">
        <v>2000</v>
      </c>
      <c r="J1338" s="214">
        <f t="shared" si="62"/>
        <v>2000</v>
      </c>
      <c r="K1338" s="212" t="s">
        <v>6371</v>
      </c>
      <c r="L1338" s="213"/>
      <c r="M1338" s="212"/>
    </row>
    <row r="1339" spans="1:13" ht="21" customHeight="1">
      <c r="A1339" s="217" t="s">
        <v>6733</v>
      </c>
      <c r="B1339" s="215">
        <f t="shared" si="60"/>
        <v>45745</v>
      </c>
      <c r="C1339" s="213" t="s">
        <v>4381</v>
      </c>
      <c r="D1339" s="213" t="s">
        <v>4369</v>
      </c>
      <c r="E1339" s="213" t="s">
        <v>4383</v>
      </c>
      <c r="F1339" s="212" t="s">
        <v>6525</v>
      </c>
      <c r="G1339" s="212" t="str">
        <f t="shared" si="61"/>
        <v>830소모품비(판)</v>
      </c>
      <c r="H1339" s="214">
        <v>25800</v>
      </c>
      <c r="I1339" s="214">
        <v>0</v>
      </c>
      <c r="J1339" s="214">
        <f t="shared" si="62"/>
        <v>-25800</v>
      </c>
      <c r="K1339" s="212" t="s">
        <v>6742</v>
      </c>
      <c r="L1339" s="213"/>
      <c r="M1339" s="212"/>
    </row>
    <row r="1340" spans="1:13" ht="21" customHeight="1">
      <c r="A1340" s="217" t="s">
        <v>6733</v>
      </c>
      <c r="B1340" s="215">
        <f t="shared" si="60"/>
        <v>45745</v>
      </c>
      <c r="C1340" s="213" t="s">
        <v>4381</v>
      </c>
      <c r="D1340" s="213" t="s">
        <v>4366</v>
      </c>
      <c r="E1340" s="213" t="s">
        <v>333</v>
      </c>
      <c r="F1340" s="212" t="s">
        <v>4365</v>
      </c>
      <c r="G1340" s="212" t="str">
        <f t="shared" si="61"/>
        <v>101현금</v>
      </c>
      <c r="H1340" s="214">
        <v>0</v>
      </c>
      <c r="I1340" s="214">
        <v>25800</v>
      </c>
      <c r="J1340" s="214">
        <f t="shared" si="62"/>
        <v>25800</v>
      </c>
      <c r="K1340" s="212" t="s">
        <v>6371</v>
      </c>
      <c r="L1340" s="213"/>
      <c r="M1340" s="212"/>
    </row>
    <row r="1341" spans="1:13" ht="21" customHeight="1">
      <c r="A1341" s="217" t="s">
        <v>6733</v>
      </c>
      <c r="B1341" s="215">
        <f t="shared" si="60"/>
        <v>45745</v>
      </c>
      <c r="C1341" s="213" t="s">
        <v>4379</v>
      </c>
      <c r="D1341" s="213" t="s">
        <v>4369</v>
      </c>
      <c r="E1341" s="213" t="s">
        <v>4383</v>
      </c>
      <c r="F1341" s="212" t="s">
        <v>6525</v>
      </c>
      <c r="G1341" s="212" t="str">
        <f t="shared" si="61"/>
        <v>830소모품비(판)</v>
      </c>
      <c r="H1341" s="214">
        <v>4200</v>
      </c>
      <c r="I1341" s="214">
        <v>0</v>
      </c>
      <c r="J1341" s="214">
        <f t="shared" si="62"/>
        <v>-4200</v>
      </c>
      <c r="K1341" s="212" t="s">
        <v>6742</v>
      </c>
      <c r="L1341" s="213"/>
      <c r="M1341" s="212"/>
    </row>
    <row r="1342" spans="1:13" ht="21" customHeight="1">
      <c r="A1342" s="217" t="s">
        <v>6733</v>
      </c>
      <c r="B1342" s="215">
        <f t="shared" si="60"/>
        <v>45745</v>
      </c>
      <c r="C1342" s="213" t="s">
        <v>4379</v>
      </c>
      <c r="D1342" s="213" t="s">
        <v>4366</v>
      </c>
      <c r="E1342" s="213" t="s">
        <v>333</v>
      </c>
      <c r="F1342" s="212" t="s">
        <v>4365</v>
      </c>
      <c r="G1342" s="212" t="str">
        <f t="shared" si="61"/>
        <v>101현금</v>
      </c>
      <c r="H1342" s="214">
        <v>0</v>
      </c>
      <c r="I1342" s="214">
        <v>4200</v>
      </c>
      <c r="J1342" s="214">
        <f t="shared" si="62"/>
        <v>4200</v>
      </c>
      <c r="K1342" s="212" t="s">
        <v>6371</v>
      </c>
      <c r="L1342" s="213"/>
      <c r="M1342" s="212"/>
    </row>
    <row r="1343" spans="1:13" ht="21" customHeight="1">
      <c r="A1343" s="217" t="s">
        <v>6733</v>
      </c>
      <c r="B1343" s="215">
        <f t="shared" si="60"/>
        <v>45745</v>
      </c>
      <c r="C1343" s="213" t="s">
        <v>4385</v>
      </c>
      <c r="D1343" s="213" t="s">
        <v>4369</v>
      </c>
      <c r="E1343" s="213" t="s">
        <v>4383</v>
      </c>
      <c r="F1343" s="212" t="s">
        <v>6525</v>
      </c>
      <c r="G1343" s="212" t="str">
        <f t="shared" si="61"/>
        <v>830소모품비(판)</v>
      </c>
      <c r="H1343" s="214">
        <v>8900</v>
      </c>
      <c r="I1343" s="214">
        <v>0</v>
      </c>
      <c r="J1343" s="214">
        <f t="shared" si="62"/>
        <v>-8900</v>
      </c>
      <c r="K1343" s="212" t="s">
        <v>6563</v>
      </c>
      <c r="L1343" s="213"/>
      <c r="M1343" s="212"/>
    </row>
    <row r="1344" spans="1:13" ht="21" customHeight="1">
      <c r="A1344" s="217" t="s">
        <v>6733</v>
      </c>
      <c r="B1344" s="215">
        <f t="shared" si="60"/>
        <v>45745</v>
      </c>
      <c r="C1344" s="213" t="s">
        <v>4385</v>
      </c>
      <c r="D1344" s="213" t="s">
        <v>4366</v>
      </c>
      <c r="E1344" s="213" t="s">
        <v>333</v>
      </c>
      <c r="F1344" s="212" t="s">
        <v>4365</v>
      </c>
      <c r="G1344" s="212" t="str">
        <f t="shared" si="61"/>
        <v>101현금</v>
      </c>
      <c r="H1344" s="214">
        <v>0</v>
      </c>
      <c r="I1344" s="214">
        <v>8900</v>
      </c>
      <c r="J1344" s="214">
        <f t="shared" si="62"/>
        <v>8900</v>
      </c>
      <c r="K1344" s="212" t="s">
        <v>6371</v>
      </c>
      <c r="L1344" s="213"/>
      <c r="M1344" s="212"/>
    </row>
    <row r="1345" spans="1:13" ht="21" customHeight="1">
      <c r="A1345" s="217" t="s">
        <v>6733</v>
      </c>
      <c r="B1345" s="215">
        <f t="shared" si="60"/>
        <v>45745</v>
      </c>
      <c r="C1345" s="213" t="s">
        <v>4501</v>
      </c>
      <c r="D1345" s="213" t="s">
        <v>4369</v>
      </c>
      <c r="E1345" s="213" t="s">
        <v>4383</v>
      </c>
      <c r="F1345" s="212" t="s">
        <v>6525</v>
      </c>
      <c r="G1345" s="212" t="str">
        <f t="shared" si="61"/>
        <v>830소모품비(판)</v>
      </c>
      <c r="H1345" s="214">
        <v>14400</v>
      </c>
      <c r="I1345" s="214">
        <v>0</v>
      </c>
      <c r="J1345" s="214">
        <f t="shared" si="62"/>
        <v>-14400</v>
      </c>
      <c r="K1345" s="212" t="s">
        <v>6358</v>
      </c>
      <c r="L1345" s="213"/>
      <c r="M1345" s="212"/>
    </row>
    <row r="1346" spans="1:13" ht="21" customHeight="1">
      <c r="A1346" s="217" t="s">
        <v>6733</v>
      </c>
      <c r="B1346" s="215">
        <f t="shared" ref="B1346:B1409" si="63">DATEVALUE(A1346)</f>
        <v>45745</v>
      </c>
      <c r="C1346" s="213" t="s">
        <v>4501</v>
      </c>
      <c r="D1346" s="213" t="s">
        <v>4366</v>
      </c>
      <c r="E1346" s="213" t="s">
        <v>333</v>
      </c>
      <c r="F1346" s="212" t="s">
        <v>4365</v>
      </c>
      <c r="G1346" s="212" t="str">
        <f t="shared" ref="G1346:G1409" si="64">E1346&amp;F1346</f>
        <v>101현금</v>
      </c>
      <c r="H1346" s="214">
        <v>0</v>
      </c>
      <c r="I1346" s="214">
        <v>14400</v>
      </c>
      <c r="J1346" s="214">
        <f t="shared" ref="J1346:J1409" si="65">I1346-H1346</f>
        <v>14400</v>
      </c>
      <c r="K1346" s="212" t="s">
        <v>6371</v>
      </c>
      <c r="L1346" s="213"/>
      <c r="M1346" s="212"/>
    </row>
    <row r="1347" spans="1:13" ht="21" customHeight="1">
      <c r="A1347" s="217" t="s">
        <v>6733</v>
      </c>
      <c r="B1347" s="215">
        <f t="shared" si="63"/>
        <v>45745</v>
      </c>
      <c r="C1347" s="213" t="s">
        <v>4502</v>
      </c>
      <c r="D1347" s="213" t="s">
        <v>4369</v>
      </c>
      <c r="E1347" s="213" t="s">
        <v>4380</v>
      </c>
      <c r="F1347" s="212" t="s">
        <v>6515</v>
      </c>
      <c r="G1347" s="212" t="str">
        <f t="shared" si="64"/>
        <v>812여비교통비(판)</v>
      </c>
      <c r="H1347" s="214">
        <v>12500</v>
      </c>
      <c r="I1347" s="214">
        <v>0</v>
      </c>
      <c r="J1347" s="214">
        <f t="shared" si="65"/>
        <v>-12500</v>
      </c>
      <c r="K1347" s="212" t="s">
        <v>6741</v>
      </c>
      <c r="L1347" s="213"/>
      <c r="M1347" s="212"/>
    </row>
    <row r="1348" spans="1:13" ht="21" customHeight="1">
      <c r="A1348" s="217" t="s">
        <v>6733</v>
      </c>
      <c r="B1348" s="215">
        <f t="shared" si="63"/>
        <v>45745</v>
      </c>
      <c r="C1348" s="213" t="s">
        <v>4502</v>
      </c>
      <c r="D1348" s="213" t="s">
        <v>4366</v>
      </c>
      <c r="E1348" s="213" t="s">
        <v>333</v>
      </c>
      <c r="F1348" s="212" t="s">
        <v>4365</v>
      </c>
      <c r="G1348" s="212" t="str">
        <f t="shared" si="64"/>
        <v>101현금</v>
      </c>
      <c r="H1348" s="214">
        <v>0</v>
      </c>
      <c r="I1348" s="214">
        <v>12500</v>
      </c>
      <c r="J1348" s="214">
        <f t="shared" si="65"/>
        <v>12500</v>
      </c>
      <c r="K1348" s="212" t="s">
        <v>6371</v>
      </c>
      <c r="L1348" s="213"/>
      <c r="M1348" s="212"/>
    </row>
    <row r="1349" spans="1:13" ht="21" customHeight="1">
      <c r="A1349" s="217" t="s">
        <v>6733</v>
      </c>
      <c r="B1349" s="215">
        <f t="shared" si="63"/>
        <v>45745</v>
      </c>
      <c r="C1349" s="213" t="s">
        <v>4503</v>
      </c>
      <c r="D1349" s="213" t="s">
        <v>4369</v>
      </c>
      <c r="E1349" s="213" t="s">
        <v>4380</v>
      </c>
      <c r="F1349" s="212" t="s">
        <v>6515</v>
      </c>
      <c r="G1349" s="212" t="str">
        <f t="shared" si="64"/>
        <v>812여비교통비(판)</v>
      </c>
      <c r="H1349" s="214">
        <v>15400</v>
      </c>
      <c r="I1349" s="214">
        <v>0</v>
      </c>
      <c r="J1349" s="214">
        <f t="shared" si="65"/>
        <v>-15400</v>
      </c>
      <c r="K1349" s="212" t="s">
        <v>6164</v>
      </c>
      <c r="L1349" s="213"/>
      <c r="M1349" s="212"/>
    </row>
    <row r="1350" spans="1:13" ht="21" customHeight="1">
      <c r="A1350" s="217" t="s">
        <v>6733</v>
      </c>
      <c r="B1350" s="215">
        <f t="shared" si="63"/>
        <v>45745</v>
      </c>
      <c r="C1350" s="213" t="s">
        <v>4503</v>
      </c>
      <c r="D1350" s="213" t="s">
        <v>4366</v>
      </c>
      <c r="E1350" s="213" t="s">
        <v>333</v>
      </c>
      <c r="F1350" s="212" t="s">
        <v>4365</v>
      </c>
      <c r="G1350" s="212" t="str">
        <f t="shared" si="64"/>
        <v>101현금</v>
      </c>
      <c r="H1350" s="214">
        <v>0</v>
      </c>
      <c r="I1350" s="214">
        <v>15400</v>
      </c>
      <c r="J1350" s="214">
        <f t="shared" si="65"/>
        <v>15400</v>
      </c>
      <c r="K1350" s="212" t="s">
        <v>6369</v>
      </c>
      <c r="L1350" s="213"/>
      <c r="M1350" s="212"/>
    </row>
    <row r="1351" spans="1:13" ht="21" customHeight="1">
      <c r="A1351" s="217" t="s">
        <v>6733</v>
      </c>
      <c r="B1351" s="215">
        <f t="shared" si="63"/>
        <v>45745</v>
      </c>
      <c r="C1351" s="213" t="s">
        <v>4511</v>
      </c>
      <c r="D1351" s="213" t="s">
        <v>4369</v>
      </c>
      <c r="E1351" s="213" t="s">
        <v>4380</v>
      </c>
      <c r="F1351" s="212" t="s">
        <v>6515</v>
      </c>
      <c r="G1351" s="212" t="str">
        <f t="shared" si="64"/>
        <v>812여비교통비(판)</v>
      </c>
      <c r="H1351" s="214">
        <v>1000</v>
      </c>
      <c r="I1351" s="214">
        <v>0</v>
      </c>
      <c r="J1351" s="214">
        <f t="shared" si="65"/>
        <v>-1000</v>
      </c>
      <c r="K1351" s="212" t="s">
        <v>6164</v>
      </c>
      <c r="L1351" s="213"/>
      <c r="M1351" s="212"/>
    </row>
    <row r="1352" spans="1:13" ht="21" customHeight="1">
      <c r="A1352" s="217" t="s">
        <v>6733</v>
      </c>
      <c r="B1352" s="215">
        <f t="shared" si="63"/>
        <v>45745</v>
      </c>
      <c r="C1352" s="213" t="s">
        <v>4511</v>
      </c>
      <c r="D1352" s="213" t="s">
        <v>4366</v>
      </c>
      <c r="E1352" s="213" t="s">
        <v>333</v>
      </c>
      <c r="F1352" s="212" t="s">
        <v>4365</v>
      </c>
      <c r="G1352" s="212" t="str">
        <f t="shared" si="64"/>
        <v>101현금</v>
      </c>
      <c r="H1352" s="214">
        <v>0</v>
      </c>
      <c r="I1352" s="214">
        <v>1000</v>
      </c>
      <c r="J1352" s="214">
        <f t="shared" si="65"/>
        <v>1000</v>
      </c>
      <c r="K1352" s="212" t="s">
        <v>6369</v>
      </c>
      <c r="L1352" s="213"/>
      <c r="M1352" s="212"/>
    </row>
    <row r="1353" spans="1:13" ht="21" customHeight="1">
      <c r="A1353" s="217" t="s">
        <v>6733</v>
      </c>
      <c r="B1353" s="215">
        <f t="shared" si="63"/>
        <v>45745</v>
      </c>
      <c r="C1353" s="213" t="s">
        <v>4512</v>
      </c>
      <c r="D1353" s="213" t="s">
        <v>4369</v>
      </c>
      <c r="E1353" s="213" t="s">
        <v>4380</v>
      </c>
      <c r="F1353" s="212" t="s">
        <v>6515</v>
      </c>
      <c r="G1353" s="212" t="str">
        <f t="shared" si="64"/>
        <v>812여비교통비(판)</v>
      </c>
      <c r="H1353" s="214">
        <v>15000</v>
      </c>
      <c r="I1353" s="214">
        <v>0</v>
      </c>
      <c r="J1353" s="214">
        <f t="shared" si="65"/>
        <v>-15000</v>
      </c>
      <c r="K1353" s="212" t="s">
        <v>6741</v>
      </c>
      <c r="L1353" s="213"/>
      <c r="M1353" s="212"/>
    </row>
    <row r="1354" spans="1:13" ht="21" customHeight="1">
      <c r="A1354" s="217" t="s">
        <v>6733</v>
      </c>
      <c r="B1354" s="215">
        <f t="shared" si="63"/>
        <v>45745</v>
      </c>
      <c r="C1354" s="213" t="s">
        <v>4512</v>
      </c>
      <c r="D1354" s="213" t="s">
        <v>4366</v>
      </c>
      <c r="E1354" s="213" t="s">
        <v>333</v>
      </c>
      <c r="F1354" s="212" t="s">
        <v>4365</v>
      </c>
      <c r="G1354" s="212" t="str">
        <f t="shared" si="64"/>
        <v>101현금</v>
      </c>
      <c r="H1354" s="214">
        <v>0</v>
      </c>
      <c r="I1354" s="214">
        <v>15000</v>
      </c>
      <c r="J1354" s="214">
        <f t="shared" si="65"/>
        <v>15000</v>
      </c>
      <c r="K1354" s="212" t="s">
        <v>6369</v>
      </c>
      <c r="L1354" s="213"/>
      <c r="M1354" s="212"/>
    </row>
    <row r="1355" spans="1:13" ht="21" customHeight="1">
      <c r="A1355" s="217" t="s">
        <v>6733</v>
      </c>
      <c r="B1355" s="215">
        <f t="shared" si="63"/>
        <v>45745</v>
      </c>
      <c r="C1355" s="213" t="s">
        <v>4518</v>
      </c>
      <c r="D1355" s="213" t="s">
        <v>4369</v>
      </c>
      <c r="E1355" s="213" t="s">
        <v>4380</v>
      </c>
      <c r="F1355" s="212" t="s">
        <v>6515</v>
      </c>
      <c r="G1355" s="212" t="str">
        <f t="shared" si="64"/>
        <v>812여비교통비(판)</v>
      </c>
      <c r="H1355" s="214">
        <v>3400</v>
      </c>
      <c r="I1355" s="214">
        <v>0</v>
      </c>
      <c r="J1355" s="214">
        <f t="shared" si="65"/>
        <v>-3400</v>
      </c>
      <c r="K1355" s="212" t="s">
        <v>6740</v>
      </c>
      <c r="L1355" s="213"/>
      <c r="M1355" s="212"/>
    </row>
    <row r="1356" spans="1:13" ht="21" customHeight="1">
      <c r="A1356" s="217" t="s">
        <v>6733</v>
      </c>
      <c r="B1356" s="215">
        <f t="shared" si="63"/>
        <v>45745</v>
      </c>
      <c r="C1356" s="213" t="s">
        <v>4518</v>
      </c>
      <c r="D1356" s="213" t="s">
        <v>4366</v>
      </c>
      <c r="E1356" s="213" t="s">
        <v>333</v>
      </c>
      <c r="F1356" s="212" t="s">
        <v>4365</v>
      </c>
      <c r="G1356" s="212" t="str">
        <f t="shared" si="64"/>
        <v>101현금</v>
      </c>
      <c r="H1356" s="214">
        <v>0</v>
      </c>
      <c r="I1356" s="214">
        <v>3400</v>
      </c>
      <c r="J1356" s="214">
        <f t="shared" si="65"/>
        <v>3400</v>
      </c>
      <c r="K1356" s="212" t="s">
        <v>6369</v>
      </c>
      <c r="L1356" s="213"/>
      <c r="M1356" s="212"/>
    </row>
    <row r="1357" spans="1:13" ht="21" customHeight="1">
      <c r="A1357" s="217" t="s">
        <v>6733</v>
      </c>
      <c r="B1357" s="215">
        <f t="shared" si="63"/>
        <v>45745</v>
      </c>
      <c r="C1357" s="213" t="s">
        <v>4519</v>
      </c>
      <c r="D1357" s="213" t="s">
        <v>4369</v>
      </c>
      <c r="E1357" s="213" t="s">
        <v>4380</v>
      </c>
      <c r="F1357" s="212" t="s">
        <v>6515</v>
      </c>
      <c r="G1357" s="212" t="str">
        <f t="shared" si="64"/>
        <v>812여비교통비(판)</v>
      </c>
      <c r="H1357" s="214">
        <v>8100</v>
      </c>
      <c r="I1357" s="214">
        <v>0</v>
      </c>
      <c r="J1357" s="214">
        <f t="shared" si="65"/>
        <v>-8100</v>
      </c>
      <c r="K1357" s="212" t="s">
        <v>6739</v>
      </c>
      <c r="L1357" s="213"/>
      <c r="M1357" s="212"/>
    </row>
    <row r="1358" spans="1:13" ht="21" customHeight="1">
      <c r="A1358" s="217" t="s">
        <v>6733</v>
      </c>
      <c r="B1358" s="215">
        <f t="shared" si="63"/>
        <v>45745</v>
      </c>
      <c r="C1358" s="213" t="s">
        <v>4519</v>
      </c>
      <c r="D1358" s="213" t="s">
        <v>4366</v>
      </c>
      <c r="E1358" s="213" t="s">
        <v>333</v>
      </c>
      <c r="F1358" s="212" t="s">
        <v>4365</v>
      </c>
      <c r="G1358" s="212" t="str">
        <f t="shared" si="64"/>
        <v>101현금</v>
      </c>
      <c r="H1358" s="214">
        <v>0</v>
      </c>
      <c r="I1358" s="214">
        <v>8100</v>
      </c>
      <c r="J1358" s="214">
        <f t="shared" si="65"/>
        <v>8100</v>
      </c>
      <c r="K1358" s="212" t="s">
        <v>6369</v>
      </c>
      <c r="L1358" s="213"/>
      <c r="M1358" s="212"/>
    </row>
    <row r="1359" spans="1:13" ht="21" customHeight="1">
      <c r="A1359" s="217" t="s">
        <v>6733</v>
      </c>
      <c r="B1359" s="215">
        <f t="shared" si="63"/>
        <v>45745</v>
      </c>
      <c r="C1359" s="213" t="s">
        <v>6737</v>
      </c>
      <c r="D1359" s="213" t="s">
        <v>4369</v>
      </c>
      <c r="E1359" s="213" t="s">
        <v>4380</v>
      </c>
      <c r="F1359" s="212" t="s">
        <v>6515</v>
      </c>
      <c r="G1359" s="212" t="str">
        <f t="shared" si="64"/>
        <v>812여비교통비(판)</v>
      </c>
      <c r="H1359" s="214">
        <v>21400</v>
      </c>
      <c r="I1359" s="214">
        <v>0</v>
      </c>
      <c r="J1359" s="214">
        <f t="shared" si="65"/>
        <v>-21400</v>
      </c>
      <c r="K1359" s="212" t="s">
        <v>6738</v>
      </c>
      <c r="L1359" s="213" t="s">
        <v>1327</v>
      </c>
      <c r="M1359" s="212" t="s">
        <v>6356</v>
      </c>
    </row>
    <row r="1360" spans="1:13" ht="21" customHeight="1">
      <c r="A1360" s="217" t="s">
        <v>6733</v>
      </c>
      <c r="B1360" s="215">
        <f t="shared" si="63"/>
        <v>45745</v>
      </c>
      <c r="C1360" s="213" t="s">
        <v>6737</v>
      </c>
      <c r="D1360" s="213" t="s">
        <v>4366</v>
      </c>
      <c r="E1360" s="213" t="s">
        <v>333</v>
      </c>
      <c r="F1360" s="212" t="s">
        <v>4365</v>
      </c>
      <c r="G1360" s="212" t="str">
        <f t="shared" si="64"/>
        <v>101현금</v>
      </c>
      <c r="H1360" s="214">
        <v>0</v>
      </c>
      <c r="I1360" s="214">
        <v>21400</v>
      </c>
      <c r="J1360" s="214">
        <f t="shared" si="65"/>
        <v>21400</v>
      </c>
      <c r="K1360" s="212" t="s">
        <v>6369</v>
      </c>
      <c r="L1360" s="213"/>
      <c r="M1360" s="212"/>
    </row>
    <row r="1361" spans="1:13" ht="21" customHeight="1">
      <c r="A1361" s="217" t="s">
        <v>6733</v>
      </c>
      <c r="B1361" s="215">
        <f t="shared" si="63"/>
        <v>45745</v>
      </c>
      <c r="C1361" s="213" t="s">
        <v>6735</v>
      </c>
      <c r="D1361" s="213" t="s">
        <v>4369</v>
      </c>
      <c r="E1361" s="213" t="s">
        <v>6157</v>
      </c>
      <c r="F1361" s="212" t="s">
        <v>6524</v>
      </c>
      <c r="G1361" s="212" t="str">
        <f t="shared" si="64"/>
        <v>813접대비(기업업무추진비)(판)</v>
      </c>
      <c r="H1361" s="214">
        <v>36000</v>
      </c>
      <c r="I1361" s="214">
        <v>0</v>
      </c>
      <c r="J1361" s="214">
        <f t="shared" si="65"/>
        <v>-36000</v>
      </c>
      <c r="K1361" s="212" t="s">
        <v>6736</v>
      </c>
      <c r="L1361" s="213"/>
      <c r="M1361" s="212"/>
    </row>
    <row r="1362" spans="1:13" ht="21" customHeight="1">
      <c r="A1362" s="217" t="s">
        <v>6733</v>
      </c>
      <c r="B1362" s="215">
        <f t="shared" si="63"/>
        <v>45745</v>
      </c>
      <c r="C1362" s="213" t="s">
        <v>6735</v>
      </c>
      <c r="D1362" s="213" t="s">
        <v>4366</v>
      </c>
      <c r="E1362" s="213" t="s">
        <v>333</v>
      </c>
      <c r="F1362" s="212" t="s">
        <v>4365</v>
      </c>
      <c r="G1362" s="212" t="str">
        <f t="shared" si="64"/>
        <v>101현금</v>
      </c>
      <c r="H1362" s="214">
        <v>0</v>
      </c>
      <c r="I1362" s="214">
        <v>36000</v>
      </c>
      <c r="J1362" s="214">
        <f t="shared" si="65"/>
        <v>36000</v>
      </c>
      <c r="K1362" s="212" t="s">
        <v>6371</v>
      </c>
      <c r="L1362" s="213"/>
      <c r="M1362" s="212"/>
    </row>
    <row r="1363" spans="1:13" ht="21" customHeight="1">
      <c r="A1363" s="217" t="s">
        <v>6733</v>
      </c>
      <c r="B1363" s="215">
        <f t="shared" si="63"/>
        <v>45745</v>
      </c>
      <c r="C1363" s="213" t="s">
        <v>6734</v>
      </c>
      <c r="D1363" s="213" t="s">
        <v>4369</v>
      </c>
      <c r="E1363" s="213" t="s">
        <v>4500</v>
      </c>
      <c r="F1363" s="212" t="s">
        <v>6418</v>
      </c>
      <c r="G1363" s="212" t="str">
        <f t="shared" si="64"/>
        <v>822차량유지비(판)</v>
      </c>
      <c r="H1363" s="214">
        <v>50000</v>
      </c>
      <c r="I1363" s="214">
        <v>0</v>
      </c>
      <c r="J1363" s="214">
        <f t="shared" si="65"/>
        <v>-50000</v>
      </c>
      <c r="K1363" s="212" t="s">
        <v>6311</v>
      </c>
      <c r="L1363" s="213"/>
      <c r="M1363" s="212"/>
    </row>
    <row r="1364" spans="1:13" ht="21" customHeight="1">
      <c r="A1364" s="217" t="s">
        <v>6733</v>
      </c>
      <c r="B1364" s="215">
        <f t="shared" si="63"/>
        <v>45745</v>
      </c>
      <c r="C1364" s="213" t="s">
        <v>6734</v>
      </c>
      <c r="D1364" s="213" t="s">
        <v>4366</v>
      </c>
      <c r="E1364" s="213" t="s">
        <v>333</v>
      </c>
      <c r="F1364" s="212" t="s">
        <v>4365</v>
      </c>
      <c r="G1364" s="212" t="str">
        <f t="shared" si="64"/>
        <v>101현금</v>
      </c>
      <c r="H1364" s="214">
        <v>0</v>
      </c>
      <c r="I1364" s="214">
        <v>50000</v>
      </c>
      <c r="J1364" s="214">
        <f t="shared" si="65"/>
        <v>50000</v>
      </c>
      <c r="K1364" s="212" t="s">
        <v>6200</v>
      </c>
      <c r="L1364" s="213"/>
      <c r="M1364" s="212"/>
    </row>
    <row r="1365" spans="1:13" ht="21" customHeight="1">
      <c r="A1365" s="217" t="s">
        <v>6733</v>
      </c>
      <c r="B1365" s="215">
        <f t="shared" si="63"/>
        <v>45745</v>
      </c>
      <c r="C1365" s="213" t="s">
        <v>4367</v>
      </c>
      <c r="D1365" s="213" t="s">
        <v>4366</v>
      </c>
      <c r="E1365" s="213" t="s">
        <v>6176</v>
      </c>
      <c r="F1365" s="212" t="s">
        <v>6177</v>
      </c>
      <c r="G1365" s="212" t="str">
        <f t="shared" si="64"/>
        <v>255부가세예수금</v>
      </c>
      <c r="H1365" s="214">
        <v>0</v>
      </c>
      <c r="I1365" s="214">
        <v>9091</v>
      </c>
      <c r="J1365" s="214">
        <f t="shared" si="65"/>
        <v>9091</v>
      </c>
      <c r="K1365" s="212" t="s">
        <v>6300</v>
      </c>
      <c r="L1365" s="213"/>
      <c r="M1365" s="212" t="s">
        <v>6296</v>
      </c>
    </row>
    <row r="1366" spans="1:13" ht="21" customHeight="1">
      <c r="A1366" s="217" t="s">
        <v>6733</v>
      </c>
      <c r="B1366" s="215">
        <f t="shared" si="63"/>
        <v>45745</v>
      </c>
      <c r="C1366" s="213" t="s">
        <v>4367</v>
      </c>
      <c r="D1366" s="213" t="s">
        <v>4366</v>
      </c>
      <c r="E1366" s="213" t="s">
        <v>334</v>
      </c>
      <c r="F1366" s="212" t="s">
        <v>6158</v>
      </c>
      <c r="G1366" s="212" t="str">
        <f t="shared" si="64"/>
        <v>401용역매출</v>
      </c>
      <c r="H1366" s="214">
        <v>0</v>
      </c>
      <c r="I1366" s="214">
        <v>90909</v>
      </c>
      <c r="J1366" s="214">
        <f t="shared" si="65"/>
        <v>90909</v>
      </c>
      <c r="K1366" s="212" t="s">
        <v>6300</v>
      </c>
      <c r="L1366" s="213"/>
      <c r="M1366" s="212" t="s">
        <v>6296</v>
      </c>
    </row>
    <row r="1367" spans="1:13" ht="21" customHeight="1">
      <c r="A1367" s="217" t="s">
        <v>6733</v>
      </c>
      <c r="B1367" s="215">
        <f t="shared" si="63"/>
        <v>45745</v>
      </c>
      <c r="C1367" s="213" t="s">
        <v>4367</v>
      </c>
      <c r="D1367" s="213" t="s">
        <v>4369</v>
      </c>
      <c r="E1367" s="213" t="s">
        <v>333</v>
      </c>
      <c r="F1367" s="212" t="s">
        <v>4365</v>
      </c>
      <c r="G1367" s="212" t="str">
        <f t="shared" si="64"/>
        <v>101현금</v>
      </c>
      <c r="H1367" s="214">
        <v>100000</v>
      </c>
      <c r="I1367" s="214">
        <v>0</v>
      </c>
      <c r="J1367" s="214">
        <f t="shared" si="65"/>
        <v>-100000</v>
      </c>
      <c r="K1367" s="212" t="s">
        <v>6300</v>
      </c>
      <c r="L1367" s="213"/>
      <c r="M1367" s="212" t="s">
        <v>6296</v>
      </c>
    </row>
    <row r="1368" spans="1:13" ht="21" customHeight="1">
      <c r="A1368" s="216" t="s">
        <v>6731</v>
      </c>
      <c r="B1368" s="215">
        <f t="shared" si="63"/>
        <v>45746</v>
      </c>
      <c r="C1368" s="213" t="s">
        <v>4373</v>
      </c>
      <c r="D1368" s="213" t="s">
        <v>4369</v>
      </c>
      <c r="E1368" s="213" t="s">
        <v>4499</v>
      </c>
      <c r="F1368" s="212" t="s">
        <v>6517</v>
      </c>
      <c r="G1368" s="212" t="str">
        <f t="shared" si="64"/>
        <v>811복리후생비(판)</v>
      </c>
      <c r="H1368" s="214">
        <v>5640</v>
      </c>
      <c r="I1368" s="214">
        <v>0</v>
      </c>
      <c r="J1368" s="214">
        <f t="shared" si="65"/>
        <v>-5640</v>
      </c>
      <c r="K1368" s="212" t="s">
        <v>6312</v>
      </c>
      <c r="L1368" s="213"/>
      <c r="M1368" s="212"/>
    </row>
    <row r="1369" spans="1:13" ht="21" customHeight="1">
      <c r="A1369" s="216" t="s">
        <v>6731</v>
      </c>
      <c r="B1369" s="215">
        <f t="shared" si="63"/>
        <v>45746</v>
      </c>
      <c r="C1369" s="213" t="s">
        <v>4373</v>
      </c>
      <c r="D1369" s="213" t="s">
        <v>4366</v>
      </c>
      <c r="E1369" s="213" t="s">
        <v>333</v>
      </c>
      <c r="F1369" s="212" t="s">
        <v>4365</v>
      </c>
      <c r="G1369" s="212" t="str">
        <f t="shared" si="64"/>
        <v>101현금</v>
      </c>
      <c r="H1369" s="214">
        <v>0</v>
      </c>
      <c r="I1369" s="214">
        <v>5640</v>
      </c>
      <c r="J1369" s="214">
        <f t="shared" si="65"/>
        <v>5640</v>
      </c>
      <c r="K1369" s="212" t="s">
        <v>6371</v>
      </c>
      <c r="L1369" s="213"/>
      <c r="M1369" s="212"/>
    </row>
    <row r="1370" spans="1:13" ht="21" customHeight="1">
      <c r="A1370" s="216" t="s">
        <v>6731</v>
      </c>
      <c r="B1370" s="215">
        <f t="shared" si="63"/>
        <v>45746</v>
      </c>
      <c r="C1370" s="213" t="s">
        <v>4382</v>
      </c>
      <c r="D1370" s="213" t="s">
        <v>4369</v>
      </c>
      <c r="E1370" s="213" t="s">
        <v>4380</v>
      </c>
      <c r="F1370" s="212" t="s">
        <v>6515</v>
      </c>
      <c r="G1370" s="212" t="str">
        <f t="shared" si="64"/>
        <v>812여비교통비(판)</v>
      </c>
      <c r="H1370" s="214">
        <v>17900</v>
      </c>
      <c r="I1370" s="214">
        <v>0</v>
      </c>
      <c r="J1370" s="214">
        <f t="shared" si="65"/>
        <v>-17900</v>
      </c>
      <c r="K1370" s="212" t="s">
        <v>6732</v>
      </c>
      <c r="L1370" s="213"/>
      <c r="M1370" s="212"/>
    </row>
    <row r="1371" spans="1:13" ht="21" customHeight="1">
      <c r="A1371" s="216" t="s">
        <v>6731</v>
      </c>
      <c r="B1371" s="215">
        <f t="shared" si="63"/>
        <v>45746</v>
      </c>
      <c r="C1371" s="213" t="s">
        <v>4382</v>
      </c>
      <c r="D1371" s="213" t="s">
        <v>4366</v>
      </c>
      <c r="E1371" s="213" t="s">
        <v>333</v>
      </c>
      <c r="F1371" s="212" t="s">
        <v>4365</v>
      </c>
      <c r="G1371" s="212" t="str">
        <f t="shared" si="64"/>
        <v>101현금</v>
      </c>
      <c r="H1371" s="214">
        <v>0</v>
      </c>
      <c r="I1371" s="214">
        <v>17900</v>
      </c>
      <c r="J1371" s="214">
        <f t="shared" si="65"/>
        <v>17900</v>
      </c>
      <c r="K1371" s="212" t="s">
        <v>6371</v>
      </c>
      <c r="L1371" s="213"/>
      <c r="M1371" s="212"/>
    </row>
    <row r="1372" spans="1:13" ht="21" customHeight="1">
      <c r="A1372" s="213" t="s">
        <v>6727</v>
      </c>
      <c r="B1372" s="215">
        <f t="shared" si="63"/>
        <v>45747</v>
      </c>
      <c r="C1372" s="213" t="s">
        <v>4373</v>
      </c>
      <c r="D1372" s="213" t="s">
        <v>4369</v>
      </c>
      <c r="E1372" s="213" t="s">
        <v>4513</v>
      </c>
      <c r="F1372" s="212" t="s">
        <v>6519</v>
      </c>
      <c r="G1372" s="212" t="str">
        <f t="shared" si="64"/>
        <v>802직원급여(판)</v>
      </c>
      <c r="H1372" s="214">
        <v>1700000</v>
      </c>
      <c r="I1372" s="214">
        <v>0</v>
      </c>
      <c r="J1372" s="214">
        <f t="shared" si="65"/>
        <v>-1700000</v>
      </c>
      <c r="K1372" s="212"/>
      <c r="L1372" s="213" t="s">
        <v>6411</v>
      </c>
      <c r="M1372" s="212" t="s">
        <v>4514</v>
      </c>
    </row>
    <row r="1373" spans="1:13" ht="21" customHeight="1">
      <c r="A1373" s="213" t="s">
        <v>6727</v>
      </c>
      <c r="B1373" s="215">
        <f t="shared" si="63"/>
        <v>45747</v>
      </c>
      <c r="C1373" s="213" t="s">
        <v>4373</v>
      </c>
      <c r="D1373" s="213" t="s">
        <v>4366</v>
      </c>
      <c r="E1373" s="213" t="s">
        <v>333</v>
      </c>
      <c r="F1373" s="212" t="s">
        <v>4365</v>
      </c>
      <c r="G1373" s="212" t="str">
        <f t="shared" si="64"/>
        <v>101현금</v>
      </c>
      <c r="H1373" s="214">
        <v>0</v>
      </c>
      <c r="I1373" s="214">
        <v>1476240</v>
      </c>
      <c r="J1373" s="214">
        <f t="shared" si="65"/>
        <v>1476240</v>
      </c>
      <c r="K1373" s="212"/>
      <c r="L1373" s="213" t="s">
        <v>6411</v>
      </c>
      <c r="M1373" s="212" t="s">
        <v>4514</v>
      </c>
    </row>
    <row r="1374" spans="1:13" ht="21" customHeight="1">
      <c r="A1374" s="213" t="s">
        <v>6727</v>
      </c>
      <c r="B1374" s="215">
        <f t="shared" si="63"/>
        <v>45747</v>
      </c>
      <c r="C1374" s="213" t="s">
        <v>4373</v>
      </c>
      <c r="D1374" s="213" t="s">
        <v>4366</v>
      </c>
      <c r="E1374" s="213" t="s">
        <v>4505</v>
      </c>
      <c r="F1374" s="212" t="s">
        <v>4506</v>
      </c>
      <c r="G1374" s="212" t="str">
        <f t="shared" si="64"/>
        <v>254예수금</v>
      </c>
      <c r="H1374" s="214">
        <v>0</v>
      </c>
      <c r="I1374" s="214">
        <v>149400</v>
      </c>
      <c r="J1374" s="214">
        <f t="shared" si="65"/>
        <v>149400</v>
      </c>
      <c r="K1374" s="212" t="s">
        <v>4523</v>
      </c>
      <c r="L1374" s="213" t="s">
        <v>6411</v>
      </c>
      <c r="M1374" s="212" t="s">
        <v>4515</v>
      </c>
    </row>
    <row r="1375" spans="1:13" ht="21" customHeight="1">
      <c r="A1375" s="213" t="s">
        <v>6727</v>
      </c>
      <c r="B1375" s="215">
        <f t="shared" si="63"/>
        <v>45747</v>
      </c>
      <c r="C1375" s="213" t="s">
        <v>4373</v>
      </c>
      <c r="D1375" s="213" t="s">
        <v>4366</v>
      </c>
      <c r="E1375" s="213" t="s">
        <v>4505</v>
      </c>
      <c r="F1375" s="212" t="s">
        <v>4506</v>
      </c>
      <c r="G1375" s="212" t="str">
        <f t="shared" si="64"/>
        <v>254예수금</v>
      </c>
      <c r="H1375" s="214">
        <v>0</v>
      </c>
      <c r="I1375" s="214">
        <v>60260</v>
      </c>
      <c r="J1375" s="214">
        <f t="shared" si="65"/>
        <v>60260</v>
      </c>
      <c r="K1375" s="212" t="s">
        <v>4522</v>
      </c>
      <c r="L1375" s="213" t="s">
        <v>6411</v>
      </c>
      <c r="M1375" s="212" t="s">
        <v>6518</v>
      </c>
    </row>
    <row r="1376" spans="1:13" ht="21" customHeight="1">
      <c r="A1376" s="213" t="s">
        <v>6727</v>
      </c>
      <c r="B1376" s="215">
        <f t="shared" si="63"/>
        <v>45747</v>
      </c>
      <c r="C1376" s="213" t="s">
        <v>4373</v>
      </c>
      <c r="D1376" s="213" t="s">
        <v>4366</v>
      </c>
      <c r="E1376" s="213" t="s">
        <v>4505</v>
      </c>
      <c r="F1376" s="212" t="s">
        <v>4506</v>
      </c>
      <c r="G1376" s="212" t="str">
        <f t="shared" si="64"/>
        <v>254예수금</v>
      </c>
      <c r="H1376" s="214">
        <v>0</v>
      </c>
      <c r="I1376" s="214">
        <v>6300</v>
      </c>
      <c r="J1376" s="214">
        <f t="shared" si="65"/>
        <v>6300</v>
      </c>
      <c r="K1376" s="212" t="s">
        <v>4508</v>
      </c>
      <c r="L1376" s="213" t="s">
        <v>6411</v>
      </c>
      <c r="M1376" s="212" t="s">
        <v>4516</v>
      </c>
    </row>
    <row r="1377" spans="1:13" ht="21" customHeight="1">
      <c r="A1377" s="213" t="s">
        <v>6727</v>
      </c>
      <c r="B1377" s="215">
        <f t="shared" si="63"/>
        <v>45747</v>
      </c>
      <c r="C1377" s="213" t="s">
        <v>4373</v>
      </c>
      <c r="D1377" s="213" t="s">
        <v>4366</v>
      </c>
      <c r="E1377" s="213" t="s">
        <v>4505</v>
      </c>
      <c r="F1377" s="212" t="s">
        <v>4506</v>
      </c>
      <c r="G1377" s="212" t="str">
        <f t="shared" si="64"/>
        <v>254예수금</v>
      </c>
      <c r="H1377" s="214">
        <v>0</v>
      </c>
      <c r="I1377" s="214">
        <v>7800</v>
      </c>
      <c r="J1377" s="214">
        <f t="shared" si="65"/>
        <v>7800</v>
      </c>
      <c r="K1377" s="212" t="s">
        <v>4522</v>
      </c>
      <c r="L1377" s="213" t="s">
        <v>6411</v>
      </c>
      <c r="M1377" s="212" t="s">
        <v>4517</v>
      </c>
    </row>
    <row r="1378" spans="1:13" ht="21" customHeight="1">
      <c r="A1378" s="213" t="s">
        <v>6727</v>
      </c>
      <c r="B1378" s="215">
        <f t="shared" si="63"/>
        <v>45747</v>
      </c>
      <c r="C1378" s="213" t="s">
        <v>4382</v>
      </c>
      <c r="D1378" s="213" t="s">
        <v>4369</v>
      </c>
      <c r="E1378" s="213" t="s">
        <v>4499</v>
      </c>
      <c r="F1378" s="212" t="s">
        <v>6517</v>
      </c>
      <c r="G1378" s="212" t="str">
        <f t="shared" si="64"/>
        <v>811복리후생비(판)</v>
      </c>
      <c r="H1378" s="214">
        <v>14000</v>
      </c>
      <c r="I1378" s="214">
        <v>0</v>
      </c>
      <c r="J1378" s="214">
        <f t="shared" si="65"/>
        <v>-14000</v>
      </c>
      <c r="K1378" s="212" t="s">
        <v>6516</v>
      </c>
      <c r="L1378" s="213"/>
      <c r="M1378" s="212"/>
    </row>
    <row r="1379" spans="1:13" ht="21" customHeight="1">
      <c r="A1379" s="213" t="s">
        <v>6727</v>
      </c>
      <c r="B1379" s="215">
        <f t="shared" si="63"/>
        <v>45747</v>
      </c>
      <c r="C1379" s="213" t="s">
        <v>4382</v>
      </c>
      <c r="D1379" s="213" t="s">
        <v>4366</v>
      </c>
      <c r="E1379" s="213" t="s">
        <v>333</v>
      </c>
      <c r="F1379" s="212" t="s">
        <v>4365</v>
      </c>
      <c r="G1379" s="212" t="str">
        <f t="shared" si="64"/>
        <v>101현금</v>
      </c>
      <c r="H1379" s="214">
        <v>0</v>
      </c>
      <c r="I1379" s="214">
        <v>14000</v>
      </c>
      <c r="J1379" s="214">
        <f t="shared" si="65"/>
        <v>14000</v>
      </c>
      <c r="K1379" s="212" t="s">
        <v>6371</v>
      </c>
      <c r="L1379" s="213"/>
      <c r="M1379" s="212"/>
    </row>
    <row r="1380" spans="1:13" ht="21" customHeight="1">
      <c r="A1380" s="213" t="s">
        <v>6727</v>
      </c>
      <c r="B1380" s="215">
        <f t="shared" si="63"/>
        <v>45747</v>
      </c>
      <c r="C1380" s="213" t="s">
        <v>4381</v>
      </c>
      <c r="D1380" s="213" t="s">
        <v>4369</v>
      </c>
      <c r="E1380" s="213" t="s">
        <v>4383</v>
      </c>
      <c r="F1380" s="212" t="s">
        <v>6525</v>
      </c>
      <c r="G1380" s="212" t="str">
        <f t="shared" si="64"/>
        <v>830소모품비(판)</v>
      </c>
      <c r="H1380" s="214">
        <v>7700</v>
      </c>
      <c r="I1380" s="214">
        <v>0</v>
      </c>
      <c r="J1380" s="214">
        <f t="shared" si="65"/>
        <v>-7700</v>
      </c>
      <c r="K1380" s="212" t="s">
        <v>6198</v>
      </c>
      <c r="L1380" s="213"/>
      <c r="M1380" s="212"/>
    </row>
    <row r="1381" spans="1:13" ht="21" customHeight="1">
      <c r="A1381" s="213" t="s">
        <v>6727</v>
      </c>
      <c r="B1381" s="215">
        <f t="shared" si="63"/>
        <v>45747</v>
      </c>
      <c r="C1381" s="213" t="s">
        <v>4381</v>
      </c>
      <c r="D1381" s="213" t="s">
        <v>4366</v>
      </c>
      <c r="E1381" s="213" t="s">
        <v>333</v>
      </c>
      <c r="F1381" s="212" t="s">
        <v>4365</v>
      </c>
      <c r="G1381" s="212" t="str">
        <f t="shared" si="64"/>
        <v>101현금</v>
      </c>
      <c r="H1381" s="214">
        <v>0</v>
      </c>
      <c r="I1381" s="214">
        <v>7700</v>
      </c>
      <c r="J1381" s="214">
        <f t="shared" si="65"/>
        <v>7700</v>
      </c>
      <c r="K1381" s="212" t="s">
        <v>6371</v>
      </c>
      <c r="L1381" s="213"/>
      <c r="M1381" s="212"/>
    </row>
    <row r="1382" spans="1:13" ht="21" customHeight="1">
      <c r="A1382" s="213" t="s">
        <v>6727</v>
      </c>
      <c r="B1382" s="215">
        <f t="shared" si="63"/>
        <v>45747</v>
      </c>
      <c r="C1382" s="213" t="s">
        <v>4379</v>
      </c>
      <c r="D1382" s="213" t="s">
        <v>4369</v>
      </c>
      <c r="E1382" s="213" t="s">
        <v>4380</v>
      </c>
      <c r="F1382" s="212" t="s">
        <v>6515</v>
      </c>
      <c r="G1382" s="212" t="str">
        <f t="shared" si="64"/>
        <v>812여비교통비(판)</v>
      </c>
      <c r="H1382" s="214">
        <v>1250</v>
      </c>
      <c r="I1382" s="214">
        <v>0</v>
      </c>
      <c r="J1382" s="214">
        <f t="shared" si="65"/>
        <v>-1250</v>
      </c>
      <c r="K1382" s="212" t="s">
        <v>6164</v>
      </c>
      <c r="L1382" s="213"/>
      <c r="M1382" s="212"/>
    </row>
    <row r="1383" spans="1:13" ht="21" customHeight="1">
      <c r="A1383" s="213" t="s">
        <v>6727</v>
      </c>
      <c r="B1383" s="215">
        <f t="shared" si="63"/>
        <v>45747</v>
      </c>
      <c r="C1383" s="213" t="s">
        <v>4379</v>
      </c>
      <c r="D1383" s="213" t="s">
        <v>4366</v>
      </c>
      <c r="E1383" s="213" t="s">
        <v>333</v>
      </c>
      <c r="F1383" s="212" t="s">
        <v>4365</v>
      </c>
      <c r="G1383" s="212" t="str">
        <f t="shared" si="64"/>
        <v>101현금</v>
      </c>
      <c r="H1383" s="214">
        <v>0</v>
      </c>
      <c r="I1383" s="214">
        <v>1250</v>
      </c>
      <c r="J1383" s="214">
        <f t="shared" si="65"/>
        <v>1250</v>
      </c>
      <c r="K1383" s="212" t="s">
        <v>6371</v>
      </c>
      <c r="L1383" s="213"/>
      <c r="M1383" s="212"/>
    </row>
    <row r="1384" spans="1:13" ht="21" customHeight="1">
      <c r="A1384" s="213" t="s">
        <v>6727</v>
      </c>
      <c r="B1384" s="215">
        <f t="shared" si="63"/>
        <v>45747</v>
      </c>
      <c r="C1384" s="213" t="s">
        <v>4367</v>
      </c>
      <c r="D1384" s="213" t="s">
        <v>4369</v>
      </c>
      <c r="E1384" s="213" t="s">
        <v>4371</v>
      </c>
      <c r="F1384" s="212" t="s">
        <v>4370</v>
      </c>
      <c r="G1384" s="212" t="str">
        <f t="shared" si="64"/>
        <v>135부가세대급금</v>
      </c>
      <c r="H1384" s="214">
        <v>111</v>
      </c>
      <c r="I1384" s="214">
        <v>0</v>
      </c>
      <c r="J1384" s="214">
        <f t="shared" si="65"/>
        <v>-111</v>
      </c>
      <c r="K1384" s="212" t="s">
        <v>6381</v>
      </c>
      <c r="L1384" s="213"/>
      <c r="M1384" s="212" t="s">
        <v>6382</v>
      </c>
    </row>
    <row r="1385" spans="1:13" ht="21" customHeight="1">
      <c r="A1385" s="213" t="s">
        <v>6727</v>
      </c>
      <c r="B1385" s="215">
        <f t="shared" si="63"/>
        <v>45747</v>
      </c>
      <c r="C1385" s="213" t="s">
        <v>4367</v>
      </c>
      <c r="D1385" s="213" t="s">
        <v>4369</v>
      </c>
      <c r="E1385" s="213" t="s">
        <v>6730</v>
      </c>
      <c r="F1385" s="212" t="s">
        <v>6729</v>
      </c>
      <c r="G1385" s="212" t="str">
        <f t="shared" si="64"/>
        <v>833광고선전비(판)</v>
      </c>
      <c r="H1385" s="214">
        <v>1110</v>
      </c>
      <c r="I1385" s="214">
        <v>0</v>
      </c>
      <c r="J1385" s="214">
        <f t="shared" si="65"/>
        <v>-1110</v>
      </c>
      <c r="K1385" s="212" t="s">
        <v>6381</v>
      </c>
      <c r="L1385" s="213"/>
      <c r="M1385" s="212" t="s">
        <v>6382</v>
      </c>
    </row>
    <row r="1386" spans="1:13" ht="21" customHeight="1">
      <c r="A1386" s="213" t="s">
        <v>6727</v>
      </c>
      <c r="B1386" s="215">
        <f t="shared" si="63"/>
        <v>45747</v>
      </c>
      <c r="C1386" s="213" t="s">
        <v>4367</v>
      </c>
      <c r="D1386" s="213" t="s">
        <v>4366</v>
      </c>
      <c r="E1386" s="213" t="s">
        <v>333</v>
      </c>
      <c r="F1386" s="212" t="s">
        <v>4365</v>
      </c>
      <c r="G1386" s="212" t="str">
        <f t="shared" si="64"/>
        <v>101현금</v>
      </c>
      <c r="H1386" s="214">
        <v>0</v>
      </c>
      <c r="I1386" s="214">
        <v>1221</v>
      </c>
      <c r="J1386" s="214">
        <f t="shared" si="65"/>
        <v>1221</v>
      </c>
      <c r="K1386" s="212" t="s">
        <v>6381</v>
      </c>
      <c r="L1386" s="213"/>
      <c r="M1386" s="212" t="s">
        <v>6382</v>
      </c>
    </row>
    <row r="1387" spans="1:13" ht="21" customHeight="1">
      <c r="A1387" s="213" t="s">
        <v>6727</v>
      </c>
      <c r="B1387" s="215">
        <f t="shared" si="63"/>
        <v>45747</v>
      </c>
      <c r="C1387" s="213" t="s">
        <v>4374</v>
      </c>
      <c r="D1387" s="213" t="s">
        <v>4369</v>
      </c>
      <c r="E1387" s="213" t="s">
        <v>4371</v>
      </c>
      <c r="F1387" s="212" t="s">
        <v>4370</v>
      </c>
      <c r="G1387" s="212" t="str">
        <f t="shared" si="64"/>
        <v>135부가세대급금</v>
      </c>
      <c r="H1387" s="214">
        <v>10000</v>
      </c>
      <c r="I1387" s="214">
        <v>0</v>
      </c>
      <c r="J1387" s="214">
        <f t="shared" si="65"/>
        <v>-10000</v>
      </c>
      <c r="K1387" s="212" t="s">
        <v>6159</v>
      </c>
      <c r="L1387" s="213"/>
      <c r="M1387" s="212" t="s">
        <v>4364</v>
      </c>
    </row>
    <row r="1388" spans="1:13" ht="21" customHeight="1">
      <c r="A1388" s="213" t="s">
        <v>6727</v>
      </c>
      <c r="B1388" s="215">
        <f t="shared" si="63"/>
        <v>45747</v>
      </c>
      <c r="C1388" s="213" t="s">
        <v>4374</v>
      </c>
      <c r="D1388" s="213" t="s">
        <v>4369</v>
      </c>
      <c r="E1388" s="213" t="s">
        <v>4368</v>
      </c>
      <c r="F1388" s="212" t="s">
        <v>6388</v>
      </c>
      <c r="G1388" s="212" t="str">
        <f t="shared" si="64"/>
        <v>831지급수수료(판)</v>
      </c>
      <c r="H1388" s="214">
        <v>100000</v>
      </c>
      <c r="I1388" s="214">
        <v>0</v>
      </c>
      <c r="J1388" s="214">
        <f t="shared" si="65"/>
        <v>-100000</v>
      </c>
      <c r="K1388" s="212" t="s">
        <v>6159</v>
      </c>
      <c r="L1388" s="213"/>
      <c r="M1388" s="212" t="s">
        <v>4364</v>
      </c>
    </row>
    <row r="1389" spans="1:13" ht="21" customHeight="1">
      <c r="A1389" s="213" t="s">
        <v>6727</v>
      </c>
      <c r="B1389" s="215">
        <f t="shared" si="63"/>
        <v>45747</v>
      </c>
      <c r="C1389" s="213" t="s">
        <v>4374</v>
      </c>
      <c r="D1389" s="213" t="s">
        <v>4366</v>
      </c>
      <c r="E1389" s="213" t="s">
        <v>333</v>
      </c>
      <c r="F1389" s="212" t="s">
        <v>4365</v>
      </c>
      <c r="G1389" s="212" t="str">
        <f t="shared" si="64"/>
        <v>101현금</v>
      </c>
      <c r="H1389" s="214">
        <v>0</v>
      </c>
      <c r="I1389" s="214">
        <v>110000</v>
      </c>
      <c r="J1389" s="214">
        <f t="shared" si="65"/>
        <v>110000</v>
      </c>
      <c r="K1389" s="212" t="s">
        <v>6159</v>
      </c>
      <c r="L1389" s="213"/>
      <c r="M1389" s="212" t="s">
        <v>4364</v>
      </c>
    </row>
    <row r="1390" spans="1:13" ht="21" customHeight="1">
      <c r="A1390" s="213" t="s">
        <v>6727</v>
      </c>
      <c r="B1390" s="215">
        <f t="shared" si="63"/>
        <v>45747</v>
      </c>
      <c r="C1390" s="213" t="s">
        <v>6182</v>
      </c>
      <c r="D1390" s="213" t="s">
        <v>4369</v>
      </c>
      <c r="E1390" s="213" t="s">
        <v>4371</v>
      </c>
      <c r="F1390" s="212" t="s">
        <v>4370</v>
      </c>
      <c r="G1390" s="212" t="str">
        <f t="shared" si="64"/>
        <v>135부가세대급금</v>
      </c>
      <c r="H1390" s="214">
        <v>768</v>
      </c>
      <c r="I1390" s="214">
        <v>0</v>
      </c>
      <c r="J1390" s="214">
        <f t="shared" si="65"/>
        <v>-768</v>
      </c>
      <c r="K1390" s="212" t="s">
        <v>6274</v>
      </c>
      <c r="L1390" s="213"/>
      <c r="M1390" s="212" t="s">
        <v>6728</v>
      </c>
    </row>
    <row r="1391" spans="1:13" ht="21" customHeight="1">
      <c r="A1391" s="213" t="s">
        <v>6727</v>
      </c>
      <c r="B1391" s="215">
        <f t="shared" si="63"/>
        <v>45747</v>
      </c>
      <c r="C1391" s="213" t="s">
        <v>6182</v>
      </c>
      <c r="D1391" s="213" t="s">
        <v>4369</v>
      </c>
      <c r="E1391" s="213" t="s">
        <v>4368</v>
      </c>
      <c r="F1391" s="212" t="s">
        <v>6388</v>
      </c>
      <c r="G1391" s="212" t="str">
        <f t="shared" si="64"/>
        <v>831지급수수료(판)</v>
      </c>
      <c r="H1391" s="214">
        <v>7682</v>
      </c>
      <c r="I1391" s="214">
        <v>0</v>
      </c>
      <c r="J1391" s="214">
        <f t="shared" si="65"/>
        <v>-7682</v>
      </c>
      <c r="K1391" s="212" t="s">
        <v>6274</v>
      </c>
      <c r="L1391" s="213"/>
      <c r="M1391" s="212" t="s">
        <v>6728</v>
      </c>
    </row>
    <row r="1392" spans="1:13" ht="21" customHeight="1">
      <c r="A1392" s="213" t="s">
        <v>6727</v>
      </c>
      <c r="B1392" s="215">
        <f t="shared" si="63"/>
        <v>45747</v>
      </c>
      <c r="C1392" s="213" t="s">
        <v>6182</v>
      </c>
      <c r="D1392" s="213" t="s">
        <v>4366</v>
      </c>
      <c r="E1392" s="213" t="s">
        <v>333</v>
      </c>
      <c r="F1392" s="212" t="s">
        <v>4365</v>
      </c>
      <c r="G1392" s="212" t="str">
        <f t="shared" si="64"/>
        <v>101현금</v>
      </c>
      <c r="H1392" s="214">
        <v>0</v>
      </c>
      <c r="I1392" s="214">
        <v>8450</v>
      </c>
      <c r="J1392" s="214">
        <f t="shared" si="65"/>
        <v>8450</v>
      </c>
      <c r="K1392" s="212" t="s">
        <v>6274</v>
      </c>
      <c r="L1392" s="213"/>
      <c r="M1392" s="212" t="s">
        <v>6728</v>
      </c>
    </row>
    <row r="1393" spans="1:13" ht="21" customHeight="1">
      <c r="A1393" s="213" t="s">
        <v>6727</v>
      </c>
      <c r="B1393" s="215">
        <f t="shared" si="63"/>
        <v>45747</v>
      </c>
      <c r="C1393" s="213" t="s">
        <v>6184</v>
      </c>
      <c r="D1393" s="213" t="s">
        <v>4369</v>
      </c>
      <c r="E1393" s="213" t="s">
        <v>4371</v>
      </c>
      <c r="F1393" s="212" t="s">
        <v>4370</v>
      </c>
      <c r="G1393" s="212" t="str">
        <f t="shared" si="64"/>
        <v>135부가세대급금</v>
      </c>
      <c r="H1393" s="214">
        <v>4000</v>
      </c>
      <c r="I1393" s="214">
        <v>0</v>
      </c>
      <c r="J1393" s="214">
        <f t="shared" si="65"/>
        <v>-4000</v>
      </c>
      <c r="K1393" s="212" t="s">
        <v>6227</v>
      </c>
      <c r="L1393" s="213"/>
      <c r="M1393" s="212" t="s">
        <v>6293</v>
      </c>
    </row>
    <row r="1394" spans="1:13" ht="21" customHeight="1">
      <c r="A1394" s="213" t="s">
        <v>6727</v>
      </c>
      <c r="B1394" s="215">
        <f t="shared" si="63"/>
        <v>45747</v>
      </c>
      <c r="C1394" s="213" t="s">
        <v>6184</v>
      </c>
      <c r="D1394" s="213" t="s">
        <v>4369</v>
      </c>
      <c r="E1394" s="213" t="s">
        <v>4368</v>
      </c>
      <c r="F1394" s="212" t="s">
        <v>6388</v>
      </c>
      <c r="G1394" s="212" t="str">
        <f t="shared" si="64"/>
        <v>831지급수수료(판)</v>
      </c>
      <c r="H1394" s="214">
        <v>40000</v>
      </c>
      <c r="I1394" s="214">
        <v>0</v>
      </c>
      <c r="J1394" s="214">
        <f t="shared" si="65"/>
        <v>-40000</v>
      </c>
      <c r="K1394" s="212" t="s">
        <v>6227</v>
      </c>
      <c r="L1394" s="213"/>
      <c r="M1394" s="212" t="s">
        <v>6293</v>
      </c>
    </row>
    <row r="1395" spans="1:13" ht="21" customHeight="1">
      <c r="A1395" s="213" t="s">
        <v>6727</v>
      </c>
      <c r="B1395" s="215">
        <f t="shared" si="63"/>
        <v>45747</v>
      </c>
      <c r="C1395" s="213" t="s">
        <v>6184</v>
      </c>
      <c r="D1395" s="213" t="s">
        <v>4366</v>
      </c>
      <c r="E1395" s="213" t="s">
        <v>333</v>
      </c>
      <c r="F1395" s="212" t="s">
        <v>4365</v>
      </c>
      <c r="G1395" s="212" t="str">
        <f t="shared" si="64"/>
        <v>101현금</v>
      </c>
      <c r="H1395" s="214">
        <v>0</v>
      </c>
      <c r="I1395" s="214">
        <v>44000</v>
      </c>
      <c r="J1395" s="214">
        <f t="shared" si="65"/>
        <v>44000</v>
      </c>
      <c r="K1395" s="212" t="s">
        <v>6227</v>
      </c>
      <c r="L1395" s="213"/>
      <c r="M1395" s="212" t="s">
        <v>6293</v>
      </c>
    </row>
    <row r="1396" spans="1:13" ht="21" customHeight="1">
      <c r="A1396" s="213" t="s">
        <v>6727</v>
      </c>
      <c r="B1396" s="215">
        <f t="shared" si="63"/>
        <v>45747</v>
      </c>
      <c r="C1396" s="213" t="s">
        <v>6186</v>
      </c>
      <c r="D1396" s="213" t="s">
        <v>4369</v>
      </c>
      <c r="E1396" s="213" t="s">
        <v>4371</v>
      </c>
      <c r="F1396" s="212" t="s">
        <v>4370</v>
      </c>
      <c r="G1396" s="212" t="str">
        <f t="shared" si="64"/>
        <v>135부가세대급금</v>
      </c>
      <c r="H1396" s="214">
        <v>1145</v>
      </c>
      <c r="I1396" s="214">
        <v>0</v>
      </c>
      <c r="J1396" s="214">
        <f t="shared" si="65"/>
        <v>-1145</v>
      </c>
      <c r="K1396" s="212" t="s">
        <v>6227</v>
      </c>
      <c r="L1396" s="213"/>
      <c r="M1396" s="212" t="s">
        <v>6294</v>
      </c>
    </row>
    <row r="1397" spans="1:13" ht="21" customHeight="1">
      <c r="A1397" s="213" t="s">
        <v>6727</v>
      </c>
      <c r="B1397" s="215">
        <f t="shared" si="63"/>
        <v>45747</v>
      </c>
      <c r="C1397" s="213" t="s">
        <v>6186</v>
      </c>
      <c r="D1397" s="213" t="s">
        <v>4369</v>
      </c>
      <c r="E1397" s="213" t="s">
        <v>4368</v>
      </c>
      <c r="F1397" s="212" t="s">
        <v>6388</v>
      </c>
      <c r="G1397" s="212" t="str">
        <f t="shared" si="64"/>
        <v>831지급수수료(판)</v>
      </c>
      <c r="H1397" s="214">
        <v>11450</v>
      </c>
      <c r="I1397" s="214">
        <v>0</v>
      </c>
      <c r="J1397" s="214">
        <f t="shared" si="65"/>
        <v>-11450</v>
      </c>
      <c r="K1397" s="212" t="s">
        <v>6227</v>
      </c>
      <c r="L1397" s="213"/>
      <c r="M1397" s="212" t="s">
        <v>6294</v>
      </c>
    </row>
    <row r="1398" spans="1:13" ht="21" customHeight="1">
      <c r="A1398" s="213" t="s">
        <v>6727</v>
      </c>
      <c r="B1398" s="215">
        <f t="shared" si="63"/>
        <v>45747</v>
      </c>
      <c r="C1398" s="213" t="s">
        <v>6186</v>
      </c>
      <c r="D1398" s="213" t="s">
        <v>4366</v>
      </c>
      <c r="E1398" s="213" t="s">
        <v>333</v>
      </c>
      <c r="F1398" s="212" t="s">
        <v>4365</v>
      </c>
      <c r="G1398" s="212" t="str">
        <f t="shared" si="64"/>
        <v>101현금</v>
      </c>
      <c r="H1398" s="214">
        <v>0</v>
      </c>
      <c r="I1398" s="214">
        <v>12595</v>
      </c>
      <c r="J1398" s="214">
        <f t="shared" si="65"/>
        <v>12595</v>
      </c>
      <c r="K1398" s="212" t="s">
        <v>6227</v>
      </c>
      <c r="L1398" s="213"/>
      <c r="M1398" s="212" t="s">
        <v>6294</v>
      </c>
    </row>
    <row r="1399" spans="1:13" ht="21" customHeight="1">
      <c r="A1399" s="213" t="s">
        <v>6727</v>
      </c>
      <c r="B1399" s="215">
        <f t="shared" si="63"/>
        <v>45747</v>
      </c>
      <c r="C1399" s="213" t="s">
        <v>6189</v>
      </c>
      <c r="D1399" s="213" t="s">
        <v>4366</v>
      </c>
      <c r="E1399" s="213" t="s">
        <v>6176</v>
      </c>
      <c r="F1399" s="212" t="s">
        <v>6177</v>
      </c>
      <c r="G1399" s="212" t="str">
        <f t="shared" si="64"/>
        <v>255부가세예수금</v>
      </c>
      <c r="H1399" s="214">
        <v>0</v>
      </c>
      <c r="I1399" s="214">
        <v>15000</v>
      </c>
      <c r="J1399" s="214">
        <f t="shared" si="65"/>
        <v>15000</v>
      </c>
      <c r="K1399" s="212" t="s">
        <v>6233</v>
      </c>
      <c r="L1399" s="213"/>
      <c r="M1399" s="212" t="s">
        <v>6179</v>
      </c>
    </row>
    <row r="1400" spans="1:13" ht="21" customHeight="1">
      <c r="A1400" s="213" t="s">
        <v>6727</v>
      </c>
      <c r="B1400" s="215">
        <f t="shared" si="63"/>
        <v>45747</v>
      </c>
      <c r="C1400" s="213" t="s">
        <v>6189</v>
      </c>
      <c r="D1400" s="213" t="s">
        <v>4366</v>
      </c>
      <c r="E1400" s="213" t="s">
        <v>334</v>
      </c>
      <c r="F1400" s="212" t="s">
        <v>6158</v>
      </c>
      <c r="G1400" s="212" t="str">
        <f t="shared" si="64"/>
        <v>401용역매출</v>
      </c>
      <c r="H1400" s="214">
        <v>0</v>
      </c>
      <c r="I1400" s="214">
        <v>150000</v>
      </c>
      <c r="J1400" s="214">
        <f t="shared" si="65"/>
        <v>150000</v>
      </c>
      <c r="K1400" s="212" t="s">
        <v>6233</v>
      </c>
      <c r="L1400" s="213"/>
      <c r="M1400" s="212" t="s">
        <v>6179</v>
      </c>
    </row>
    <row r="1401" spans="1:13" ht="21" customHeight="1">
      <c r="A1401" s="213" t="s">
        <v>6727</v>
      </c>
      <c r="B1401" s="215">
        <f t="shared" si="63"/>
        <v>45747</v>
      </c>
      <c r="C1401" s="213" t="s">
        <v>6189</v>
      </c>
      <c r="D1401" s="213" t="s">
        <v>4369</v>
      </c>
      <c r="E1401" s="213" t="s">
        <v>333</v>
      </c>
      <c r="F1401" s="212" t="s">
        <v>4365</v>
      </c>
      <c r="G1401" s="212" t="str">
        <f t="shared" si="64"/>
        <v>101현금</v>
      </c>
      <c r="H1401" s="214">
        <v>165000</v>
      </c>
      <c r="I1401" s="214">
        <v>0</v>
      </c>
      <c r="J1401" s="214">
        <f t="shared" si="65"/>
        <v>-165000</v>
      </c>
      <c r="K1401" s="212" t="s">
        <v>6233</v>
      </c>
      <c r="L1401" s="213"/>
      <c r="M1401" s="212" t="s">
        <v>6179</v>
      </c>
    </row>
    <row r="1402" spans="1:13" ht="21" customHeight="1">
      <c r="A1402" s="213" t="s">
        <v>6727</v>
      </c>
      <c r="B1402" s="215">
        <f t="shared" si="63"/>
        <v>45747</v>
      </c>
      <c r="C1402" s="213" t="s">
        <v>6191</v>
      </c>
      <c r="D1402" s="213" t="s">
        <v>4366</v>
      </c>
      <c r="E1402" s="213" t="s">
        <v>6176</v>
      </c>
      <c r="F1402" s="212" t="s">
        <v>6177</v>
      </c>
      <c r="G1402" s="212" t="str">
        <f t="shared" si="64"/>
        <v>255부가세예수금</v>
      </c>
      <c r="H1402" s="214">
        <v>0</v>
      </c>
      <c r="I1402" s="214">
        <v>20000</v>
      </c>
      <c r="J1402" s="214">
        <f t="shared" si="65"/>
        <v>20000</v>
      </c>
      <c r="K1402" s="212" t="s">
        <v>6230</v>
      </c>
      <c r="L1402" s="213"/>
      <c r="M1402" s="212" t="s">
        <v>6231</v>
      </c>
    </row>
    <row r="1403" spans="1:13" ht="21" customHeight="1">
      <c r="A1403" s="213" t="s">
        <v>6727</v>
      </c>
      <c r="B1403" s="215">
        <f t="shared" si="63"/>
        <v>45747</v>
      </c>
      <c r="C1403" s="213" t="s">
        <v>6191</v>
      </c>
      <c r="D1403" s="213" t="s">
        <v>4366</v>
      </c>
      <c r="E1403" s="213" t="s">
        <v>334</v>
      </c>
      <c r="F1403" s="212" t="s">
        <v>6158</v>
      </c>
      <c r="G1403" s="212" t="str">
        <f t="shared" si="64"/>
        <v>401용역매출</v>
      </c>
      <c r="H1403" s="214">
        <v>0</v>
      </c>
      <c r="I1403" s="214">
        <v>200000</v>
      </c>
      <c r="J1403" s="214">
        <f t="shared" si="65"/>
        <v>200000</v>
      </c>
      <c r="K1403" s="212" t="s">
        <v>6230</v>
      </c>
      <c r="L1403" s="213"/>
      <c r="M1403" s="212" t="s">
        <v>6231</v>
      </c>
    </row>
    <row r="1404" spans="1:13" ht="21" customHeight="1">
      <c r="A1404" s="213" t="s">
        <v>6727</v>
      </c>
      <c r="B1404" s="215">
        <f t="shared" si="63"/>
        <v>45747</v>
      </c>
      <c r="C1404" s="213" t="s">
        <v>6191</v>
      </c>
      <c r="D1404" s="213" t="s">
        <v>4369</v>
      </c>
      <c r="E1404" s="213" t="s">
        <v>333</v>
      </c>
      <c r="F1404" s="212" t="s">
        <v>4365</v>
      </c>
      <c r="G1404" s="212" t="str">
        <f t="shared" si="64"/>
        <v>101현금</v>
      </c>
      <c r="H1404" s="214">
        <v>220000</v>
      </c>
      <c r="I1404" s="214">
        <v>0</v>
      </c>
      <c r="J1404" s="214">
        <f t="shared" si="65"/>
        <v>-220000</v>
      </c>
      <c r="K1404" s="212" t="s">
        <v>6230</v>
      </c>
      <c r="L1404" s="213"/>
      <c r="M1404" s="212" t="s">
        <v>6231</v>
      </c>
    </row>
    <row r="1405" spans="1:13" ht="21" customHeight="1">
      <c r="A1405" s="213" t="s">
        <v>6727</v>
      </c>
      <c r="B1405" s="215">
        <f t="shared" si="63"/>
        <v>45747</v>
      </c>
      <c r="C1405" s="213" t="s">
        <v>6216</v>
      </c>
      <c r="D1405" s="213" t="s">
        <v>4366</v>
      </c>
      <c r="E1405" s="213" t="s">
        <v>6176</v>
      </c>
      <c r="F1405" s="212" t="s">
        <v>6177</v>
      </c>
      <c r="G1405" s="212" t="str">
        <f t="shared" si="64"/>
        <v>255부가세예수금</v>
      </c>
      <c r="H1405" s="214">
        <v>0</v>
      </c>
      <c r="I1405" s="214">
        <v>15000</v>
      </c>
      <c r="J1405" s="214">
        <f t="shared" si="65"/>
        <v>15000</v>
      </c>
      <c r="K1405" s="212" t="s">
        <v>6390</v>
      </c>
      <c r="L1405" s="213"/>
      <c r="M1405" s="212" t="s">
        <v>6179</v>
      </c>
    </row>
    <row r="1406" spans="1:13" ht="21" customHeight="1">
      <c r="A1406" s="213" t="s">
        <v>6727</v>
      </c>
      <c r="B1406" s="215">
        <f t="shared" si="63"/>
        <v>45747</v>
      </c>
      <c r="C1406" s="213" t="s">
        <v>6216</v>
      </c>
      <c r="D1406" s="213" t="s">
        <v>4366</v>
      </c>
      <c r="E1406" s="213" t="s">
        <v>334</v>
      </c>
      <c r="F1406" s="212" t="s">
        <v>6158</v>
      </c>
      <c r="G1406" s="212" t="str">
        <f t="shared" si="64"/>
        <v>401용역매출</v>
      </c>
      <c r="H1406" s="214">
        <v>0</v>
      </c>
      <c r="I1406" s="214">
        <v>150000</v>
      </c>
      <c r="J1406" s="214">
        <f t="shared" si="65"/>
        <v>150000</v>
      </c>
      <c r="K1406" s="212" t="s">
        <v>6390</v>
      </c>
      <c r="L1406" s="213"/>
      <c r="M1406" s="212" t="s">
        <v>6179</v>
      </c>
    </row>
    <row r="1407" spans="1:13" ht="21" customHeight="1">
      <c r="A1407" s="213" t="s">
        <v>6727</v>
      </c>
      <c r="B1407" s="215">
        <f t="shared" si="63"/>
        <v>45747</v>
      </c>
      <c r="C1407" s="213" t="s">
        <v>6216</v>
      </c>
      <c r="D1407" s="213" t="s">
        <v>4369</v>
      </c>
      <c r="E1407" s="213" t="s">
        <v>333</v>
      </c>
      <c r="F1407" s="212" t="s">
        <v>4365</v>
      </c>
      <c r="G1407" s="212" t="str">
        <f t="shared" si="64"/>
        <v>101현금</v>
      </c>
      <c r="H1407" s="214">
        <v>165000</v>
      </c>
      <c r="I1407" s="214">
        <v>0</v>
      </c>
      <c r="J1407" s="214">
        <f t="shared" si="65"/>
        <v>-165000</v>
      </c>
      <c r="K1407" s="212" t="s">
        <v>6390</v>
      </c>
      <c r="L1407" s="213"/>
      <c r="M1407" s="212" t="s">
        <v>6179</v>
      </c>
    </row>
    <row r="1408" spans="1:13" ht="21" customHeight="1">
      <c r="A1408" s="213" t="s">
        <v>6727</v>
      </c>
      <c r="B1408" s="215">
        <f t="shared" si="63"/>
        <v>45747</v>
      </c>
      <c r="C1408" s="213" t="s">
        <v>6217</v>
      </c>
      <c r="D1408" s="213" t="s">
        <v>4366</v>
      </c>
      <c r="E1408" s="213" t="s">
        <v>6176</v>
      </c>
      <c r="F1408" s="212" t="s">
        <v>6177</v>
      </c>
      <c r="G1408" s="212" t="str">
        <f t="shared" si="64"/>
        <v>255부가세예수금</v>
      </c>
      <c r="H1408" s="214">
        <v>0</v>
      </c>
      <c r="I1408" s="214">
        <v>30000</v>
      </c>
      <c r="J1408" s="214">
        <f t="shared" si="65"/>
        <v>30000</v>
      </c>
      <c r="K1408" s="212" t="s">
        <v>6180</v>
      </c>
      <c r="L1408" s="213"/>
      <c r="M1408" s="212" t="s">
        <v>6190</v>
      </c>
    </row>
    <row r="1409" spans="1:13" ht="21" customHeight="1">
      <c r="A1409" s="213" t="s">
        <v>6727</v>
      </c>
      <c r="B1409" s="215">
        <f t="shared" si="63"/>
        <v>45747</v>
      </c>
      <c r="C1409" s="213" t="s">
        <v>6217</v>
      </c>
      <c r="D1409" s="213" t="s">
        <v>4366</v>
      </c>
      <c r="E1409" s="213" t="s">
        <v>334</v>
      </c>
      <c r="F1409" s="212" t="s">
        <v>6158</v>
      </c>
      <c r="G1409" s="212" t="str">
        <f t="shared" si="64"/>
        <v>401용역매출</v>
      </c>
      <c r="H1409" s="214">
        <v>0</v>
      </c>
      <c r="I1409" s="214">
        <v>300000</v>
      </c>
      <c r="J1409" s="214">
        <f t="shared" si="65"/>
        <v>300000</v>
      </c>
      <c r="K1409" s="212" t="s">
        <v>6180</v>
      </c>
      <c r="L1409" s="213"/>
      <c r="M1409" s="212" t="s">
        <v>6190</v>
      </c>
    </row>
    <row r="1410" spans="1:13" ht="21" customHeight="1">
      <c r="A1410" s="213" t="s">
        <v>6727</v>
      </c>
      <c r="B1410" s="215">
        <f t="shared" ref="B1410:B1473" si="66">DATEVALUE(A1410)</f>
        <v>45747</v>
      </c>
      <c r="C1410" s="213" t="s">
        <v>6217</v>
      </c>
      <c r="D1410" s="213" t="s">
        <v>4369</v>
      </c>
      <c r="E1410" s="213" t="s">
        <v>333</v>
      </c>
      <c r="F1410" s="212" t="s">
        <v>4365</v>
      </c>
      <c r="G1410" s="212" t="str">
        <f t="shared" ref="G1410:G1473" si="67">E1410&amp;F1410</f>
        <v>101현금</v>
      </c>
      <c r="H1410" s="214">
        <v>330000</v>
      </c>
      <c r="I1410" s="214">
        <v>0</v>
      </c>
      <c r="J1410" s="214">
        <f t="shared" ref="J1410:J1473" si="68">I1410-H1410</f>
        <v>-330000</v>
      </c>
      <c r="K1410" s="212" t="s">
        <v>6180</v>
      </c>
      <c r="L1410" s="213"/>
      <c r="M1410" s="212" t="s">
        <v>6190</v>
      </c>
    </row>
    <row r="1411" spans="1:13" ht="21" customHeight="1">
      <c r="A1411" s="213" t="s">
        <v>6727</v>
      </c>
      <c r="B1411" s="215">
        <f t="shared" si="66"/>
        <v>45747</v>
      </c>
      <c r="C1411" s="213" t="s">
        <v>6218</v>
      </c>
      <c r="D1411" s="213" t="s">
        <v>4366</v>
      </c>
      <c r="E1411" s="213" t="s">
        <v>6176</v>
      </c>
      <c r="F1411" s="212" t="s">
        <v>6177</v>
      </c>
      <c r="G1411" s="212" t="str">
        <f t="shared" si="67"/>
        <v>255부가세예수금</v>
      </c>
      <c r="H1411" s="214">
        <v>0</v>
      </c>
      <c r="I1411" s="214">
        <v>12000</v>
      </c>
      <c r="J1411" s="214">
        <f t="shared" si="68"/>
        <v>12000</v>
      </c>
      <c r="K1411" s="212" t="s">
        <v>6224</v>
      </c>
      <c r="L1411" s="213"/>
      <c r="M1411" s="212" t="s">
        <v>6225</v>
      </c>
    </row>
    <row r="1412" spans="1:13" ht="21" customHeight="1">
      <c r="A1412" s="213" t="s">
        <v>6727</v>
      </c>
      <c r="B1412" s="215">
        <f t="shared" si="66"/>
        <v>45747</v>
      </c>
      <c r="C1412" s="213" t="s">
        <v>6218</v>
      </c>
      <c r="D1412" s="213" t="s">
        <v>4366</v>
      </c>
      <c r="E1412" s="213" t="s">
        <v>334</v>
      </c>
      <c r="F1412" s="212" t="s">
        <v>6158</v>
      </c>
      <c r="G1412" s="212" t="str">
        <f t="shared" si="67"/>
        <v>401용역매출</v>
      </c>
      <c r="H1412" s="214">
        <v>0</v>
      </c>
      <c r="I1412" s="214">
        <v>120000</v>
      </c>
      <c r="J1412" s="214">
        <f t="shared" si="68"/>
        <v>120000</v>
      </c>
      <c r="K1412" s="212" t="s">
        <v>6224</v>
      </c>
      <c r="L1412" s="213"/>
      <c r="M1412" s="212" t="s">
        <v>6225</v>
      </c>
    </row>
    <row r="1413" spans="1:13" ht="21" customHeight="1">
      <c r="A1413" s="213" t="s">
        <v>6727</v>
      </c>
      <c r="B1413" s="215">
        <f t="shared" si="66"/>
        <v>45747</v>
      </c>
      <c r="C1413" s="213" t="s">
        <v>6218</v>
      </c>
      <c r="D1413" s="213" t="s">
        <v>4369</v>
      </c>
      <c r="E1413" s="213" t="s">
        <v>333</v>
      </c>
      <c r="F1413" s="212" t="s">
        <v>4365</v>
      </c>
      <c r="G1413" s="212" t="str">
        <f t="shared" si="67"/>
        <v>101현금</v>
      </c>
      <c r="H1413" s="214">
        <v>132000</v>
      </c>
      <c r="I1413" s="214">
        <v>0</v>
      </c>
      <c r="J1413" s="214">
        <f t="shared" si="68"/>
        <v>-132000</v>
      </c>
      <c r="K1413" s="212" t="s">
        <v>6224</v>
      </c>
      <c r="L1413" s="213"/>
      <c r="M1413" s="212" t="s">
        <v>6225</v>
      </c>
    </row>
    <row r="1414" spans="1:13" ht="21" customHeight="1">
      <c r="A1414" s="213" t="s">
        <v>6727</v>
      </c>
      <c r="B1414" s="215">
        <f t="shared" si="66"/>
        <v>45747</v>
      </c>
      <c r="C1414" s="213" t="s">
        <v>6238</v>
      </c>
      <c r="D1414" s="213" t="s">
        <v>4366</v>
      </c>
      <c r="E1414" s="213" t="s">
        <v>6176</v>
      </c>
      <c r="F1414" s="212" t="s">
        <v>6177</v>
      </c>
      <c r="G1414" s="212" t="str">
        <f t="shared" si="67"/>
        <v>255부가세예수금</v>
      </c>
      <c r="H1414" s="214">
        <v>0</v>
      </c>
      <c r="I1414" s="214">
        <v>7000</v>
      </c>
      <c r="J1414" s="214">
        <f t="shared" si="68"/>
        <v>7000</v>
      </c>
      <c r="K1414" s="212" t="s">
        <v>6336</v>
      </c>
      <c r="L1414" s="213"/>
      <c r="M1414" s="212" t="s">
        <v>6287</v>
      </c>
    </row>
    <row r="1415" spans="1:13" ht="21" customHeight="1">
      <c r="A1415" s="213" t="s">
        <v>6727</v>
      </c>
      <c r="B1415" s="215">
        <f t="shared" si="66"/>
        <v>45747</v>
      </c>
      <c r="C1415" s="213" t="s">
        <v>6238</v>
      </c>
      <c r="D1415" s="213" t="s">
        <v>4366</v>
      </c>
      <c r="E1415" s="213" t="s">
        <v>334</v>
      </c>
      <c r="F1415" s="212" t="s">
        <v>6158</v>
      </c>
      <c r="G1415" s="212" t="str">
        <f t="shared" si="67"/>
        <v>401용역매출</v>
      </c>
      <c r="H1415" s="214">
        <v>0</v>
      </c>
      <c r="I1415" s="214">
        <v>70000</v>
      </c>
      <c r="J1415" s="214">
        <f t="shared" si="68"/>
        <v>70000</v>
      </c>
      <c r="K1415" s="212" t="s">
        <v>6336</v>
      </c>
      <c r="L1415" s="213"/>
      <c r="M1415" s="212" t="s">
        <v>6287</v>
      </c>
    </row>
    <row r="1416" spans="1:13" ht="21" customHeight="1">
      <c r="A1416" s="213" t="s">
        <v>6727</v>
      </c>
      <c r="B1416" s="215">
        <f t="shared" si="66"/>
        <v>45747</v>
      </c>
      <c r="C1416" s="213" t="s">
        <v>6238</v>
      </c>
      <c r="D1416" s="213" t="s">
        <v>4369</v>
      </c>
      <c r="E1416" s="213" t="s">
        <v>333</v>
      </c>
      <c r="F1416" s="212" t="s">
        <v>4365</v>
      </c>
      <c r="G1416" s="212" t="str">
        <f t="shared" si="67"/>
        <v>101현금</v>
      </c>
      <c r="H1416" s="214">
        <v>77000</v>
      </c>
      <c r="I1416" s="214">
        <v>0</v>
      </c>
      <c r="J1416" s="214">
        <f t="shared" si="68"/>
        <v>-77000</v>
      </c>
      <c r="K1416" s="212" t="s">
        <v>6336</v>
      </c>
      <c r="L1416" s="213"/>
      <c r="M1416" s="212" t="s">
        <v>6287</v>
      </c>
    </row>
    <row r="1417" spans="1:13" ht="21" customHeight="1">
      <c r="A1417" s="213" t="s">
        <v>6727</v>
      </c>
      <c r="B1417" s="215">
        <f t="shared" si="66"/>
        <v>45747</v>
      </c>
      <c r="C1417" s="213" t="s">
        <v>6240</v>
      </c>
      <c r="D1417" s="213" t="s">
        <v>4366</v>
      </c>
      <c r="E1417" s="213" t="s">
        <v>6176</v>
      </c>
      <c r="F1417" s="212" t="s">
        <v>6177</v>
      </c>
      <c r="G1417" s="212" t="str">
        <f t="shared" si="67"/>
        <v>255부가세예수금</v>
      </c>
      <c r="H1417" s="214">
        <v>0</v>
      </c>
      <c r="I1417" s="214">
        <v>15000</v>
      </c>
      <c r="J1417" s="214">
        <f t="shared" si="68"/>
        <v>15000</v>
      </c>
      <c r="K1417" s="212" t="s">
        <v>6223</v>
      </c>
      <c r="L1417" s="213"/>
      <c r="M1417" s="212" t="s">
        <v>6179</v>
      </c>
    </row>
    <row r="1418" spans="1:13" ht="21" customHeight="1">
      <c r="A1418" s="213" t="s">
        <v>6727</v>
      </c>
      <c r="B1418" s="215">
        <f t="shared" si="66"/>
        <v>45747</v>
      </c>
      <c r="C1418" s="213" t="s">
        <v>6240</v>
      </c>
      <c r="D1418" s="213" t="s">
        <v>4366</v>
      </c>
      <c r="E1418" s="213" t="s">
        <v>334</v>
      </c>
      <c r="F1418" s="212" t="s">
        <v>6158</v>
      </c>
      <c r="G1418" s="212" t="str">
        <f t="shared" si="67"/>
        <v>401용역매출</v>
      </c>
      <c r="H1418" s="214">
        <v>0</v>
      </c>
      <c r="I1418" s="214">
        <v>150000</v>
      </c>
      <c r="J1418" s="214">
        <f t="shared" si="68"/>
        <v>150000</v>
      </c>
      <c r="K1418" s="212" t="s">
        <v>6223</v>
      </c>
      <c r="L1418" s="213"/>
      <c r="M1418" s="212" t="s">
        <v>6179</v>
      </c>
    </row>
    <row r="1419" spans="1:13" ht="21" customHeight="1">
      <c r="A1419" s="213" t="s">
        <v>6727</v>
      </c>
      <c r="B1419" s="215">
        <f t="shared" si="66"/>
        <v>45747</v>
      </c>
      <c r="C1419" s="213" t="s">
        <v>6240</v>
      </c>
      <c r="D1419" s="213" t="s">
        <v>4369</v>
      </c>
      <c r="E1419" s="213" t="s">
        <v>333</v>
      </c>
      <c r="F1419" s="212" t="s">
        <v>4365</v>
      </c>
      <c r="G1419" s="212" t="str">
        <f t="shared" si="67"/>
        <v>101현금</v>
      </c>
      <c r="H1419" s="214">
        <v>165000</v>
      </c>
      <c r="I1419" s="214">
        <v>0</v>
      </c>
      <c r="J1419" s="214">
        <f t="shared" si="68"/>
        <v>-165000</v>
      </c>
      <c r="K1419" s="212" t="s">
        <v>6223</v>
      </c>
      <c r="L1419" s="213"/>
      <c r="M1419" s="212" t="s">
        <v>6179</v>
      </c>
    </row>
    <row r="1420" spans="1:13" ht="21" customHeight="1">
      <c r="A1420" s="213" t="s">
        <v>6727</v>
      </c>
      <c r="B1420" s="215">
        <f t="shared" si="66"/>
        <v>45747</v>
      </c>
      <c r="C1420" s="213" t="s">
        <v>6241</v>
      </c>
      <c r="D1420" s="213" t="s">
        <v>4366</v>
      </c>
      <c r="E1420" s="213" t="s">
        <v>6176</v>
      </c>
      <c r="F1420" s="212" t="s">
        <v>6177</v>
      </c>
      <c r="G1420" s="212" t="str">
        <f t="shared" si="67"/>
        <v>255부가세예수금</v>
      </c>
      <c r="H1420" s="214">
        <v>0</v>
      </c>
      <c r="I1420" s="214">
        <v>10000</v>
      </c>
      <c r="J1420" s="214">
        <f t="shared" si="68"/>
        <v>10000</v>
      </c>
      <c r="K1420" s="212" t="s">
        <v>6226</v>
      </c>
      <c r="L1420" s="213"/>
      <c r="M1420" s="212" t="s">
        <v>6185</v>
      </c>
    </row>
    <row r="1421" spans="1:13" ht="21" customHeight="1">
      <c r="A1421" s="213" t="s">
        <v>6727</v>
      </c>
      <c r="B1421" s="215">
        <f t="shared" si="66"/>
        <v>45747</v>
      </c>
      <c r="C1421" s="213" t="s">
        <v>6241</v>
      </c>
      <c r="D1421" s="213" t="s">
        <v>4366</v>
      </c>
      <c r="E1421" s="213" t="s">
        <v>334</v>
      </c>
      <c r="F1421" s="212" t="s">
        <v>6158</v>
      </c>
      <c r="G1421" s="212" t="str">
        <f t="shared" si="67"/>
        <v>401용역매출</v>
      </c>
      <c r="H1421" s="214">
        <v>0</v>
      </c>
      <c r="I1421" s="214">
        <v>100000</v>
      </c>
      <c r="J1421" s="214">
        <f t="shared" si="68"/>
        <v>100000</v>
      </c>
      <c r="K1421" s="212" t="s">
        <v>6226</v>
      </c>
      <c r="L1421" s="213"/>
      <c r="M1421" s="212" t="s">
        <v>6185</v>
      </c>
    </row>
    <row r="1422" spans="1:13" ht="21" customHeight="1">
      <c r="A1422" s="213" t="s">
        <v>6727</v>
      </c>
      <c r="B1422" s="215">
        <f t="shared" si="66"/>
        <v>45747</v>
      </c>
      <c r="C1422" s="213" t="s">
        <v>6241</v>
      </c>
      <c r="D1422" s="213" t="s">
        <v>4369</v>
      </c>
      <c r="E1422" s="213" t="s">
        <v>333</v>
      </c>
      <c r="F1422" s="212" t="s">
        <v>4365</v>
      </c>
      <c r="G1422" s="212" t="str">
        <f t="shared" si="67"/>
        <v>101현금</v>
      </c>
      <c r="H1422" s="214">
        <v>110000</v>
      </c>
      <c r="I1422" s="214">
        <v>0</v>
      </c>
      <c r="J1422" s="214">
        <f t="shared" si="68"/>
        <v>-110000</v>
      </c>
      <c r="K1422" s="212" t="s">
        <v>6226</v>
      </c>
      <c r="L1422" s="213"/>
      <c r="M1422" s="212" t="s">
        <v>6185</v>
      </c>
    </row>
    <row r="1423" spans="1:13" ht="21" customHeight="1">
      <c r="A1423" s="213" t="s">
        <v>6727</v>
      </c>
      <c r="B1423" s="215">
        <f t="shared" si="66"/>
        <v>45747</v>
      </c>
      <c r="C1423" s="213" t="s">
        <v>6243</v>
      </c>
      <c r="D1423" s="216" t="s">
        <v>4372</v>
      </c>
      <c r="E1423" s="213" t="s">
        <v>6176</v>
      </c>
      <c r="F1423" s="212" t="s">
        <v>6177</v>
      </c>
      <c r="G1423" s="212" t="str">
        <f t="shared" si="67"/>
        <v>255부가세예수금</v>
      </c>
      <c r="H1423" s="214">
        <v>0</v>
      </c>
      <c r="I1423" s="214">
        <v>959090</v>
      </c>
      <c r="J1423" s="214">
        <f t="shared" si="68"/>
        <v>959090</v>
      </c>
      <c r="K1423" s="212" t="s">
        <v>6277</v>
      </c>
      <c r="L1423" s="213" t="s">
        <v>6411</v>
      </c>
      <c r="M1423" s="212" t="s">
        <v>6512</v>
      </c>
    </row>
    <row r="1424" spans="1:13" ht="21" customHeight="1">
      <c r="A1424" s="213" t="s">
        <v>6727</v>
      </c>
      <c r="B1424" s="215">
        <f t="shared" si="66"/>
        <v>45747</v>
      </c>
      <c r="C1424" s="213" t="s">
        <v>6243</v>
      </c>
      <c r="D1424" s="216" t="s">
        <v>4372</v>
      </c>
      <c r="E1424" s="213" t="s">
        <v>333</v>
      </c>
      <c r="F1424" s="212" t="s">
        <v>4365</v>
      </c>
      <c r="G1424" s="212" t="str">
        <f t="shared" si="67"/>
        <v>101현금</v>
      </c>
      <c r="H1424" s="214">
        <v>959090</v>
      </c>
      <c r="I1424" s="214">
        <v>0</v>
      </c>
      <c r="J1424" s="214">
        <f t="shared" si="68"/>
        <v>-959090</v>
      </c>
      <c r="K1424" s="212" t="s">
        <v>6277</v>
      </c>
      <c r="L1424" s="213" t="s">
        <v>6411</v>
      </c>
      <c r="M1424" s="212" t="s">
        <v>6512</v>
      </c>
    </row>
    <row r="1425" spans="1:13" ht="21" customHeight="1">
      <c r="A1425" s="213" t="s">
        <v>6727</v>
      </c>
      <c r="B1425" s="215">
        <f t="shared" si="66"/>
        <v>45747</v>
      </c>
      <c r="C1425" s="213" t="s">
        <v>6243</v>
      </c>
      <c r="D1425" s="216" t="s">
        <v>4372</v>
      </c>
      <c r="E1425" s="213" t="s">
        <v>334</v>
      </c>
      <c r="F1425" s="212" t="s">
        <v>6158</v>
      </c>
      <c r="G1425" s="212" t="str">
        <f t="shared" si="67"/>
        <v>401용역매출</v>
      </c>
      <c r="H1425" s="214">
        <v>0</v>
      </c>
      <c r="I1425" s="214">
        <v>9590910</v>
      </c>
      <c r="J1425" s="214">
        <f t="shared" si="68"/>
        <v>9590910</v>
      </c>
      <c r="K1425" s="212" t="s">
        <v>6277</v>
      </c>
      <c r="L1425" s="213" t="s">
        <v>6411</v>
      </c>
      <c r="M1425" s="212" t="s">
        <v>6512</v>
      </c>
    </row>
    <row r="1426" spans="1:13" ht="21" customHeight="1">
      <c r="A1426" s="213" t="s">
        <v>6727</v>
      </c>
      <c r="B1426" s="215">
        <f t="shared" si="66"/>
        <v>45747</v>
      </c>
      <c r="C1426" s="213" t="s">
        <v>6243</v>
      </c>
      <c r="D1426" s="216" t="s">
        <v>4372</v>
      </c>
      <c r="E1426" s="213" t="s">
        <v>333</v>
      </c>
      <c r="F1426" s="212" t="s">
        <v>4365</v>
      </c>
      <c r="G1426" s="212" t="str">
        <f t="shared" si="67"/>
        <v>101현금</v>
      </c>
      <c r="H1426" s="214">
        <v>9590910</v>
      </c>
      <c r="I1426" s="214">
        <v>0</v>
      </c>
      <c r="J1426" s="214">
        <f t="shared" si="68"/>
        <v>-9590910</v>
      </c>
      <c r="K1426" s="212" t="s">
        <v>6277</v>
      </c>
      <c r="L1426" s="213" t="s">
        <v>6411</v>
      </c>
      <c r="M1426" s="212" t="s">
        <v>6512</v>
      </c>
    </row>
    <row r="1427" spans="1:13" ht="21" customHeight="1">
      <c r="A1427" s="213" t="s">
        <v>6726</v>
      </c>
      <c r="B1427" s="215">
        <f t="shared" si="66"/>
        <v>45748</v>
      </c>
      <c r="C1427" s="213" t="s">
        <v>4373</v>
      </c>
      <c r="D1427" s="213" t="s">
        <v>4369</v>
      </c>
      <c r="E1427" s="213" t="s">
        <v>4499</v>
      </c>
      <c r="F1427" s="212" t="s">
        <v>6517</v>
      </c>
      <c r="G1427" s="212" t="str">
        <f t="shared" si="67"/>
        <v>811복리후생비(판)</v>
      </c>
      <c r="H1427" s="214">
        <v>5100</v>
      </c>
      <c r="I1427" s="214">
        <v>0</v>
      </c>
      <c r="J1427" s="214">
        <f t="shared" si="68"/>
        <v>-5100</v>
      </c>
      <c r="K1427" s="212" t="s">
        <v>6352</v>
      </c>
      <c r="L1427" s="213"/>
      <c r="M1427" s="212"/>
    </row>
    <row r="1428" spans="1:13" ht="21" customHeight="1">
      <c r="A1428" s="213" t="s">
        <v>6726</v>
      </c>
      <c r="B1428" s="215">
        <f t="shared" si="66"/>
        <v>45748</v>
      </c>
      <c r="C1428" s="213" t="s">
        <v>4373</v>
      </c>
      <c r="D1428" s="213" t="s">
        <v>4366</v>
      </c>
      <c r="E1428" s="213" t="s">
        <v>333</v>
      </c>
      <c r="F1428" s="212" t="s">
        <v>4365</v>
      </c>
      <c r="G1428" s="212" t="str">
        <f t="shared" si="67"/>
        <v>101현금</v>
      </c>
      <c r="H1428" s="214">
        <v>0</v>
      </c>
      <c r="I1428" s="214">
        <v>5100</v>
      </c>
      <c r="J1428" s="214">
        <f t="shared" si="68"/>
        <v>5100</v>
      </c>
      <c r="K1428" s="212" t="s">
        <v>6371</v>
      </c>
      <c r="L1428" s="213"/>
      <c r="M1428" s="212"/>
    </row>
    <row r="1429" spans="1:13" ht="21" customHeight="1">
      <c r="A1429" s="213" t="s">
        <v>6726</v>
      </c>
      <c r="B1429" s="215">
        <f t="shared" si="66"/>
        <v>45748</v>
      </c>
      <c r="C1429" s="213" t="s">
        <v>4382</v>
      </c>
      <c r="D1429" s="213" t="s">
        <v>4369</v>
      </c>
      <c r="E1429" s="213" t="s">
        <v>4499</v>
      </c>
      <c r="F1429" s="212" t="s">
        <v>6517</v>
      </c>
      <c r="G1429" s="212" t="str">
        <f t="shared" si="67"/>
        <v>811복리후생비(판)</v>
      </c>
      <c r="H1429" s="214">
        <v>16000</v>
      </c>
      <c r="I1429" s="214">
        <v>0</v>
      </c>
      <c r="J1429" s="214">
        <f t="shared" si="68"/>
        <v>-16000</v>
      </c>
      <c r="K1429" s="212" t="s">
        <v>6516</v>
      </c>
      <c r="L1429" s="213"/>
      <c r="M1429" s="212"/>
    </row>
    <row r="1430" spans="1:13" ht="21" customHeight="1">
      <c r="A1430" s="213" t="s">
        <v>6726</v>
      </c>
      <c r="B1430" s="215">
        <f t="shared" si="66"/>
        <v>45748</v>
      </c>
      <c r="C1430" s="213" t="s">
        <v>4382</v>
      </c>
      <c r="D1430" s="213" t="s">
        <v>4366</v>
      </c>
      <c r="E1430" s="213" t="s">
        <v>333</v>
      </c>
      <c r="F1430" s="212" t="s">
        <v>4365</v>
      </c>
      <c r="G1430" s="212" t="str">
        <f t="shared" si="67"/>
        <v>101현금</v>
      </c>
      <c r="H1430" s="214">
        <v>0</v>
      </c>
      <c r="I1430" s="214">
        <v>16000</v>
      </c>
      <c r="J1430" s="214">
        <f t="shared" si="68"/>
        <v>16000</v>
      </c>
      <c r="K1430" s="212" t="s">
        <v>6371</v>
      </c>
      <c r="L1430" s="213"/>
      <c r="M1430" s="212"/>
    </row>
    <row r="1431" spans="1:13" ht="21" customHeight="1">
      <c r="A1431" s="213" t="s">
        <v>6726</v>
      </c>
      <c r="B1431" s="215">
        <f t="shared" si="66"/>
        <v>45748</v>
      </c>
      <c r="C1431" s="213" t="s">
        <v>4381</v>
      </c>
      <c r="D1431" s="213" t="s">
        <v>4366</v>
      </c>
      <c r="E1431" s="213" t="s">
        <v>333</v>
      </c>
      <c r="F1431" s="212" t="s">
        <v>4365</v>
      </c>
      <c r="G1431" s="212" t="str">
        <f t="shared" si="67"/>
        <v>101현금</v>
      </c>
      <c r="H1431" s="214">
        <v>0</v>
      </c>
      <c r="I1431" s="214">
        <v>1000</v>
      </c>
      <c r="J1431" s="214">
        <f t="shared" si="68"/>
        <v>1000</v>
      </c>
      <c r="K1431" s="212" t="s">
        <v>6371</v>
      </c>
      <c r="L1431" s="213"/>
      <c r="M1431" s="212"/>
    </row>
    <row r="1432" spans="1:13" ht="21" customHeight="1">
      <c r="A1432" s="213" t="s">
        <v>6726</v>
      </c>
      <c r="B1432" s="215">
        <f t="shared" si="66"/>
        <v>45748</v>
      </c>
      <c r="C1432" s="213" t="s">
        <v>4381</v>
      </c>
      <c r="D1432" s="213" t="s">
        <v>4369</v>
      </c>
      <c r="E1432" s="213" t="s">
        <v>4380</v>
      </c>
      <c r="F1432" s="212" t="s">
        <v>6515</v>
      </c>
      <c r="G1432" s="212" t="str">
        <f t="shared" si="67"/>
        <v>812여비교통비(판)</v>
      </c>
      <c r="H1432" s="214">
        <v>1000</v>
      </c>
      <c r="I1432" s="214">
        <v>0</v>
      </c>
      <c r="J1432" s="214">
        <f t="shared" si="68"/>
        <v>-1000</v>
      </c>
      <c r="K1432" s="212" t="s">
        <v>6701</v>
      </c>
      <c r="L1432" s="213"/>
      <c r="M1432" s="212"/>
    </row>
    <row r="1433" spans="1:13" ht="21" customHeight="1">
      <c r="A1433" s="213" t="s">
        <v>6726</v>
      </c>
      <c r="B1433" s="215">
        <f t="shared" si="66"/>
        <v>45748</v>
      </c>
      <c r="C1433" s="213" t="s">
        <v>4379</v>
      </c>
      <c r="D1433" s="213" t="s">
        <v>4366</v>
      </c>
      <c r="E1433" s="213" t="s">
        <v>333</v>
      </c>
      <c r="F1433" s="212" t="s">
        <v>4365</v>
      </c>
      <c r="G1433" s="212" t="str">
        <f t="shared" si="67"/>
        <v>101현금</v>
      </c>
      <c r="H1433" s="214">
        <v>0</v>
      </c>
      <c r="I1433" s="214">
        <v>1000</v>
      </c>
      <c r="J1433" s="214">
        <f t="shared" si="68"/>
        <v>1000</v>
      </c>
      <c r="K1433" s="212" t="s">
        <v>6371</v>
      </c>
      <c r="L1433" s="213"/>
      <c r="M1433" s="212"/>
    </row>
    <row r="1434" spans="1:13" ht="21" customHeight="1">
      <c r="A1434" s="213" t="s">
        <v>6726</v>
      </c>
      <c r="B1434" s="215">
        <f t="shared" si="66"/>
        <v>45748</v>
      </c>
      <c r="C1434" s="213" t="s">
        <v>4379</v>
      </c>
      <c r="D1434" s="213" t="s">
        <v>4369</v>
      </c>
      <c r="E1434" s="213" t="s">
        <v>4380</v>
      </c>
      <c r="F1434" s="212" t="s">
        <v>6515</v>
      </c>
      <c r="G1434" s="212" t="str">
        <f t="shared" si="67"/>
        <v>812여비교통비(판)</v>
      </c>
      <c r="H1434" s="214">
        <v>1000</v>
      </c>
      <c r="I1434" s="214">
        <v>0</v>
      </c>
      <c r="J1434" s="214">
        <f t="shared" si="68"/>
        <v>-1000</v>
      </c>
      <c r="K1434" s="212" t="s">
        <v>6701</v>
      </c>
      <c r="L1434" s="213"/>
      <c r="M1434" s="212"/>
    </row>
    <row r="1435" spans="1:13" ht="21" customHeight="1">
      <c r="A1435" s="213" t="s">
        <v>6726</v>
      </c>
      <c r="B1435" s="215">
        <f t="shared" si="66"/>
        <v>45748</v>
      </c>
      <c r="C1435" s="213" t="s">
        <v>4385</v>
      </c>
      <c r="D1435" s="213" t="s">
        <v>4366</v>
      </c>
      <c r="E1435" s="213" t="s">
        <v>333</v>
      </c>
      <c r="F1435" s="212" t="s">
        <v>4365</v>
      </c>
      <c r="G1435" s="212" t="str">
        <f t="shared" si="67"/>
        <v>101현금</v>
      </c>
      <c r="H1435" s="214">
        <v>0</v>
      </c>
      <c r="I1435" s="214">
        <v>3980</v>
      </c>
      <c r="J1435" s="214">
        <f t="shared" si="68"/>
        <v>3980</v>
      </c>
      <c r="K1435" s="212" t="s">
        <v>6371</v>
      </c>
      <c r="L1435" s="213"/>
      <c r="M1435" s="212"/>
    </row>
    <row r="1436" spans="1:13" ht="21" customHeight="1">
      <c r="A1436" s="213" t="s">
        <v>6726</v>
      </c>
      <c r="B1436" s="215">
        <f t="shared" si="66"/>
        <v>45748</v>
      </c>
      <c r="C1436" s="213" t="s">
        <v>4385</v>
      </c>
      <c r="D1436" s="213" t="s">
        <v>4369</v>
      </c>
      <c r="E1436" s="213" t="s">
        <v>6290</v>
      </c>
      <c r="F1436" s="212" t="s">
        <v>6570</v>
      </c>
      <c r="G1436" s="212" t="str">
        <f t="shared" si="67"/>
        <v>824운반비(판)</v>
      </c>
      <c r="H1436" s="214">
        <v>3980</v>
      </c>
      <c r="I1436" s="214">
        <v>0</v>
      </c>
      <c r="J1436" s="214">
        <f t="shared" si="68"/>
        <v>-3980</v>
      </c>
      <c r="K1436" s="212" t="s">
        <v>6291</v>
      </c>
      <c r="L1436" s="213"/>
      <c r="M1436" s="212"/>
    </row>
    <row r="1437" spans="1:13" ht="21" customHeight="1">
      <c r="A1437" s="213" t="s">
        <v>6726</v>
      </c>
      <c r="B1437" s="215">
        <f t="shared" si="66"/>
        <v>45748</v>
      </c>
      <c r="C1437" s="213" t="s">
        <v>4501</v>
      </c>
      <c r="D1437" s="213" t="s">
        <v>4366</v>
      </c>
      <c r="E1437" s="213" t="s">
        <v>333</v>
      </c>
      <c r="F1437" s="212" t="s">
        <v>4365</v>
      </c>
      <c r="G1437" s="212" t="str">
        <f t="shared" si="67"/>
        <v>101현금</v>
      </c>
      <c r="H1437" s="214">
        <v>0</v>
      </c>
      <c r="I1437" s="214">
        <v>6020</v>
      </c>
      <c r="J1437" s="214">
        <f t="shared" si="68"/>
        <v>6020</v>
      </c>
      <c r="K1437" s="212" t="s">
        <v>6371</v>
      </c>
      <c r="L1437" s="213"/>
      <c r="M1437" s="212"/>
    </row>
    <row r="1438" spans="1:13" ht="21" customHeight="1">
      <c r="A1438" s="213" t="s">
        <v>6726</v>
      </c>
      <c r="B1438" s="215">
        <f t="shared" si="66"/>
        <v>45748</v>
      </c>
      <c r="C1438" s="213" t="s">
        <v>4501</v>
      </c>
      <c r="D1438" s="213" t="s">
        <v>4369</v>
      </c>
      <c r="E1438" s="213" t="s">
        <v>6290</v>
      </c>
      <c r="F1438" s="212" t="s">
        <v>6570</v>
      </c>
      <c r="G1438" s="212" t="str">
        <f t="shared" si="67"/>
        <v>824운반비(판)</v>
      </c>
      <c r="H1438" s="214">
        <v>6020</v>
      </c>
      <c r="I1438" s="214">
        <v>0</v>
      </c>
      <c r="J1438" s="214">
        <f t="shared" si="68"/>
        <v>-6020</v>
      </c>
      <c r="K1438" s="212" t="s">
        <v>6291</v>
      </c>
      <c r="L1438" s="213"/>
      <c r="M1438" s="212"/>
    </row>
    <row r="1439" spans="1:13" ht="21" customHeight="1">
      <c r="A1439" s="213" t="s">
        <v>6726</v>
      </c>
      <c r="B1439" s="215">
        <f t="shared" si="66"/>
        <v>45748</v>
      </c>
      <c r="C1439" s="213" t="s">
        <v>4367</v>
      </c>
      <c r="D1439" s="213" t="s">
        <v>4366</v>
      </c>
      <c r="E1439" s="213" t="s">
        <v>6176</v>
      </c>
      <c r="F1439" s="212" t="s">
        <v>6177</v>
      </c>
      <c r="G1439" s="212" t="str">
        <f t="shared" si="67"/>
        <v>255부가세예수금</v>
      </c>
      <c r="H1439" s="214">
        <v>0</v>
      </c>
      <c r="I1439" s="214">
        <v>10000</v>
      </c>
      <c r="J1439" s="214">
        <f t="shared" si="68"/>
        <v>10000</v>
      </c>
      <c r="K1439" s="212" t="s">
        <v>6304</v>
      </c>
      <c r="L1439" s="213"/>
      <c r="M1439" s="212" t="s">
        <v>6185</v>
      </c>
    </row>
    <row r="1440" spans="1:13" ht="21" customHeight="1">
      <c r="A1440" s="213" t="s">
        <v>6726</v>
      </c>
      <c r="B1440" s="215">
        <f t="shared" si="66"/>
        <v>45748</v>
      </c>
      <c r="C1440" s="213" t="s">
        <v>4367</v>
      </c>
      <c r="D1440" s="213" t="s">
        <v>4366</v>
      </c>
      <c r="E1440" s="213" t="s">
        <v>334</v>
      </c>
      <c r="F1440" s="212" t="s">
        <v>6158</v>
      </c>
      <c r="G1440" s="212" t="str">
        <f t="shared" si="67"/>
        <v>401용역매출</v>
      </c>
      <c r="H1440" s="214">
        <v>0</v>
      </c>
      <c r="I1440" s="214">
        <v>100000</v>
      </c>
      <c r="J1440" s="214">
        <f t="shared" si="68"/>
        <v>100000</v>
      </c>
      <c r="K1440" s="212" t="s">
        <v>6304</v>
      </c>
      <c r="L1440" s="213"/>
      <c r="M1440" s="212" t="s">
        <v>6185</v>
      </c>
    </row>
    <row r="1441" spans="1:13" ht="21" customHeight="1">
      <c r="A1441" s="213" t="s">
        <v>6726</v>
      </c>
      <c r="B1441" s="215">
        <f t="shared" si="66"/>
        <v>45748</v>
      </c>
      <c r="C1441" s="213" t="s">
        <v>4367</v>
      </c>
      <c r="D1441" s="213" t="s">
        <v>4369</v>
      </c>
      <c r="E1441" s="213" t="s">
        <v>333</v>
      </c>
      <c r="F1441" s="212" t="s">
        <v>4365</v>
      </c>
      <c r="G1441" s="212" t="str">
        <f t="shared" si="67"/>
        <v>101현금</v>
      </c>
      <c r="H1441" s="214">
        <v>110000</v>
      </c>
      <c r="I1441" s="214">
        <v>0</v>
      </c>
      <c r="J1441" s="214">
        <f t="shared" si="68"/>
        <v>-110000</v>
      </c>
      <c r="K1441" s="212" t="s">
        <v>6304</v>
      </c>
      <c r="L1441" s="213"/>
      <c r="M1441" s="212" t="s">
        <v>6185</v>
      </c>
    </row>
    <row r="1442" spans="1:13" ht="21" customHeight="1">
      <c r="A1442" s="213" t="s">
        <v>6726</v>
      </c>
      <c r="B1442" s="215">
        <f t="shared" si="66"/>
        <v>45748</v>
      </c>
      <c r="C1442" s="213" t="s">
        <v>4374</v>
      </c>
      <c r="D1442" s="213" t="s">
        <v>4366</v>
      </c>
      <c r="E1442" s="213" t="s">
        <v>6176</v>
      </c>
      <c r="F1442" s="212" t="s">
        <v>6177</v>
      </c>
      <c r="G1442" s="212" t="str">
        <f t="shared" si="67"/>
        <v>255부가세예수금</v>
      </c>
      <c r="H1442" s="214">
        <v>0</v>
      </c>
      <c r="I1442" s="214">
        <v>12000</v>
      </c>
      <c r="J1442" s="214">
        <f t="shared" si="68"/>
        <v>12000</v>
      </c>
      <c r="K1442" s="212" t="s">
        <v>6270</v>
      </c>
      <c r="L1442" s="213"/>
      <c r="M1442" s="212" t="s">
        <v>6225</v>
      </c>
    </row>
    <row r="1443" spans="1:13" ht="21" customHeight="1">
      <c r="A1443" s="213" t="s">
        <v>6726</v>
      </c>
      <c r="B1443" s="215">
        <f t="shared" si="66"/>
        <v>45748</v>
      </c>
      <c r="C1443" s="213" t="s">
        <v>4374</v>
      </c>
      <c r="D1443" s="213" t="s">
        <v>4366</v>
      </c>
      <c r="E1443" s="213" t="s">
        <v>334</v>
      </c>
      <c r="F1443" s="212" t="s">
        <v>6158</v>
      </c>
      <c r="G1443" s="212" t="str">
        <f t="shared" si="67"/>
        <v>401용역매출</v>
      </c>
      <c r="H1443" s="214">
        <v>0</v>
      </c>
      <c r="I1443" s="214">
        <v>120000</v>
      </c>
      <c r="J1443" s="214">
        <f t="shared" si="68"/>
        <v>120000</v>
      </c>
      <c r="K1443" s="212" t="s">
        <v>6270</v>
      </c>
      <c r="L1443" s="213"/>
      <c r="M1443" s="212" t="s">
        <v>6225</v>
      </c>
    </row>
    <row r="1444" spans="1:13" ht="21" customHeight="1">
      <c r="A1444" s="213" t="s">
        <v>6726</v>
      </c>
      <c r="B1444" s="215">
        <f t="shared" si="66"/>
        <v>45748</v>
      </c>
      <c r="C1444" s="213" t="s">
        <v>4374</v>
      </c>
      <c r="D1444" s="213" t="s">
        <v>4369</v>
      </c>
      <c r="E1444" s="213" t="s">
        <v>333</v>
      </c>
      <c r="F1444" s="212" t="s">
        <v>4365</v>
      </c>
      <c r="G1444" s="212" t="str">
        <f t="shared" si="67"/>
        <v>101현금</v>
      </c>
      <c r="H1444" s="214">
        <v>132000</v>
      </c>
      <c r="I1444" s="214">
        <v>0</v>
      </c>
      <c r="J1444" s="214">
        <f t="shared" si="68"/>
        <v>-132000</v>
      </c>
      <c r="K1444" s="212" t="s">
        <v>6270</v>
      </c>
      <c r="L1444" s="213"/>
      <c r="M1444" s="212" t="s">
        <v>6225</v>
      </c>
    </row>
    <row r="1445" spans="1:13" ht="21" customHeight="1">
      <c r="A1445" s="213" t="s">
        <v>6726</v>
      </c>
      <c r="B1445" s="215">
        <f t="shared" si="66"/>
        <v>45748</v>
      </c>
      <c r="C1445" s="213" t="s">
        <v>6182</v>
      </c>
      <c r="D1445" s="213" t="s">
        <v>4366</v>
      </c>
      <c r="E1445" s="213" t="s">
        <v>6176</v>
      </c>
      <c r="F1445" s="212" t="s">
        <v>6177</v>
      </c>
      <c r="G1445" s="212" t="str">
        <f t="shared" si="67"/>
        <v>255부가세예수금</v>
      </c>
      <c r="H1445" s="214">
        <v>0</v>
      </c>
      <c r="I1445" s="214">
        <v>15000</v>
      </c>
      <c r="J1445" s="214">
        <f t="shared" si="68"/>
        <v>15000</v>
      </c>
      <c r="K1445" s="212" t="s">
        <v>6178</v>
      </c>
      <c r="L1445" s="213"/>
      <c r="M1445" s="212" t="s">
        <v>6179</v>
      </c>
    </row>
    <row r="1446" spans="1:13" ht="21" customHeight="1">
      <c r="A1446" s="213" t="s">
        <v>6726</v>
      </c>
      <c r="B1446" s="215">
        <f t="shared" si="66"/>
        <v>45748</v>
      </c>
      <c r="C1446" s="213" t="s">
        <v>6182</v>
      </c>
      <c r="D1446" s="213" t="s">
        <v>4366</v>
      </c>
      <c r="E1446" s="213" t="s">
        <v>334</v>
      </c>
      <c r="F1446" s="212" t="s">
        <v>6158</v>
      </c>
      <c r="G1446" s="212" t="str">
        <f t="shared" si="67"/>
        <v>401용역매출</v>
      </c>
      <c r="H1446" s="214">
        <v>0</v>
      </c>
      <c r="I1446" s="214">
        <v>150000</v>
      </c>
      <c r="J1446" s="214">
        <f t="shared" si="68"/>
        <v>150000</v>
      </c>
      <c r="K1446" s="212" t="s">
        <v>6178</v>
      </c>
      <c r="L1446" s="213"/>
      <c r="M1446" s="212" t="s">
        <v>6179</v>
      </c>
    </row>
    <row r="1447" spans="1:13" ht="21" customHeight="1">
      <c r="A1447" s="213" t="s">
        <v>6726</v>
      </c>
      <c r="B1447" s="215">
        <f t="shared" si="66"/>
        <v>45748</v>
      </c>
      <c r="C1447" s="213" t="s">
        <v>6182</v>
      </c>
      <c r="D1447" s="213" t="s">
        <v>4369</v>
      </c>
      <c r="E1447" s="213" t="s">
        <v>333</v>
      </c>
      <c r="F1447" s="212" t="s">
        <v>4365</v>
      </c>
      <c r="G1447" s="212" t="str">
        <f t="shared" si="67"/>
        <v>101현금</v>
      </c>
      <c r="H1447" s="214">
        <v>165000</v>
      </c>
      <c r="I1447" s="214">
        <v>0</v>
      </c>
      <c r="J1447" s="214">
        <f t="shared" si="68"/>
        <v>-165000</v>
      </c>
      <c r="K1447" s="212" t="s">
        <v>6178</v>
      </c>
      <c r="L1447" s="213"/>
      <c r="M1447" s="212" t="s">
        <v>6179</v>
      </c>
    </row>
    <row r="1448" spans="1:13" ht="21" customHeight="1">
      <c r="A1448" s="213" t="s">
        <v>6726</v>
      </c>
      <c r="B1448" s="215">
        <f t="shared" si="66"/>
        <v>45748</v>
      </c>
      <c r="C1448" s="213" t="s">
        <v>6184</v>
      </c>
      <c r="D1448" s="213" t="s">
        <v>4366</v>
      </c>
      <c r="E1448" s="213" t="s">
        <v>6176</v>
      </c>
      <c r="F1448" s="212" t="s">
        <v>6177</v>
      </c>
      <c r="G1448" s="212" t="str">
        <f t="shared" si="67"/>
        <v>255부가세예수금</v>
      </c>
      <c r="H1448" s="214">
        <v>0</v>
      </c>
      <c r="I1448" s="214">
        <v>15000</v>
      </c>
      <c r="J1448" s="214">
        <f t="shared" si="68"/>
        <v>15000</v>
      </c>
      <c r="K1448" s="212" t="s">
        <v>6232</v>
      </c>
      <c r="L1448" s="213"/>
      <c r="M1448" s="212" t="s">
        <v>6179</v>
      </c>
    </row>
    <row r="1449" spans="1:13" ht="21" customHeight="1">
      <c r="A1449" s="213" t="s">
        <v>6726</v>
      </c>
      <c r="B1449" s="215">
        <f t="shared" si="66"/>
        <v>45748</v>
      </c>
      <c r="C1449" s="213" t="s">
        <v>6184</v>
      </c>
      <c r="D1449" s="213" t="s">
        <v>4366</v>
      </c>
      <c r="E1449" s="213" t="s">
        <v>334</v>
      </c>
      <c r="F1449" s="212" t="s">
        <v>6158</v>
      </c>
      <c r="G1449" s="212" t="str">
        <f t="shared" si="67"/>
        <v>401용역매출</v>
      </c>
      <c r="H1449" s="214">
        <v>0</v>
      </c>
      <c r="I1449" s="214">
        <v>150000</v>
      </c>
      <c r="J1449" s="214">
        <f t="shared" si="68"/>
        <v>150000</v>
      </c>
      <c r="K1449" s="212" t="s">
        <v>6232</v>
      </c>
      <c r="L1449" s="213"/>
      <c r="M1449" s="212" t="s">
        <v>6179</v>
      </c>
    </row>
    <row r="1450" spans="1:13" ht="21" customHeight="1">
      <c r="A1450" s="213" t="s">
        <v>6726</v>
      </c>
      <c r="B1450" s="215">
        <f t="shared" si="66"/>
        <v>45748</v>
      </c>
      <c r="C1450" s="213" t="s">
        <v>6184</v>
      </c>
      <c r="D1450" s="213" t="s">
        <v>4369</v>
      </c>
      <c r="E1450" s="213" t="s">
        <v>333</v>
      </c>
      <c r="F1450" s="212" t="s">
        <v>4365</v>
      </c>
      <c r="G1450" s="212" t="str">
        <f t="shared" si="67"/>
        <v>101현금</v>
      </c>
      <c r="H1450" s="214">
        <v>165000</v>
      </c>
      <c r="I1450" s="214">
        <v>0</v>
      </c>
      <c r="J1450" s="214">
        <f t="shared" si="68"/>
        <v>-165000</v>
      </c>
      <c r="K1450" s="212" t="s">
        <v>6232</v>
      </c>
      <c r="L1450" s="213"/>
      <c r="M1450" s="212" t="s">
        <v>6179</v>
      </c>
    </row>
    <row r="1451" spans="1:13" ht="21" customHeight="1">
      <c r="A1451" s="213" t="s">
        <v>6726</v>
      </c>
      <c r="B1451" s="215">
        <f t="shared" si="66"/>
        <v>45748</v>
      </c>
      <c r="C1451" s="213" t="s">
        <v>6186</v>
      </c>
      <c r="D1451" s="213" t="s">
        <v>4366</v>
      </c>
      <c r="E1451" s="213" t="s">
        <v>6176</v>
      </c>
      <c r="F1451" s="212" t="s">
        <v>6177</v>
      </c>
      <c r="G1451" s="212" t="str">
        <f t="shared" si="67"/>
        <v>255부가세예수금</v>
      </c>
      <c r="H1451" s="214">
        <v>0</v>
      </c>
      <c r="I1451" s="214">
        <v>10000</v>
      </c>
      <c r="J1451" s="214">
        <f t="shared" si="68"/>
        <v>10000</v>
      </c>
      <c r="K1451" s="212" t="s">
        <v>6269</v>
      </c>
      <c r="L1451" s="213"/>
      <c r="M1451" s="212" t="s">
        <v>6185</v>
      </c>
    </row>
    <row r="1452" spans="1:13" ht="21" customHeight="1">
      <c r="A1452" s="213" t="s">
        <v>6726</v>
      </c>
      <c r="B1452" s="215">
        <f t="shared" si="66"/>
        <v>45748</v>
      </c>
      <c r="C1452" s="213" t="s">
        <v>6186</v>
      </c>
      <c r="D1452" s="213" t="s">
        <v>4366</v>
      </c>
      <c r="E1452" s="213" t="s">
        <v>334</v>
      </c>
      <c r="F1452" s="212" t="s">
        <v>6158</v>
      </c>
      <c r="G1452" s="212" t="str">
        <f t="shared" si="67"/>
        <v>401용역매출</v>
      </c>
      <c r="H1452" s="214">
        <v>0</v>
      </c>
      <c r="I1452" s="214">
        <v>100000</v>
      </c>
      <c r="J1452" s="214">
        <f t="shared" si="68"/>
        <v>100000</v>
      </c>
      <c r="K1452" s="212" t="s">
        <v>6269</v>
      </c>
      <c r="L1452" s="213"/>
      <c r="M1452" s="212" t="s">
        <v>6185</v>
      </c>
    </row>
    <row r="1453" spans="1:13" ht="21" customHeight="1">
      <c r="A1453" s="213" t="s">
        <v>6726</v>
      </c>
      <c r="B1453" s="215">
        <f t="shared" si="66"/>
        <v>45748</v>
      </c>
      <c r="C1453" s="213" t="s">
        <v>6186</v>
      </c>
      <c r="D1453" s="213" t="s">
        <v>4369</v>
      </c>
      <c r="E1453" s="213" t="s">
        <v>333</v>
      </c>
      <c r="F1453" s="212" t="s">
        <v>4365</v>
      </c>
      <c r="G1453" s="212" t="str">
        <f t="shared" si="67"/>
        <v>101현금</v>
      </c>
      <c r="H1453" s="214">
        <v>110000</v>
      </c>
      <c r="I1453" s="214">
        <v>0</v>
      </c>
      <c r="J1453" s="214">
        <f t="shared" si="68"/>
        <v>-110000</v>
      </c>
      <c r="K1453" s="212" t="s">
        <v>6269</v>
      </c>
      <c r="L1453" s="213"/>
      <c r="M1453" s="212" t="s">
        <v>6185</v>
      </c>
    </row>
    <row r="1454" spans="1:13" ht="21" customHeight="1">
      <c r="A1454" s="213" t="s">
        <v>6726</v>
      </c>
      <c r="B1454" s="215">
        <f t="shared" si="66"/>
        <v>45748</v>
      </c>
      <c r="C1454" s="213" t="s">
        <v>6189</v>
      </c>
      <c r="D1454" s="213" t="s">
        <v>4366</v>
      </c>
      <c r="E1454" s="213" t="s">
        <v>6176</v>
      </c>
      <c r="F1454" s="212" t="s">
        <v>6177</v>
      </c>
      <c r="G1454" s="212" t="str">
        <f t="shared" si="67"/>
        <v>255부가세예수금</v>
      </c>
      <c r="H1454" s="214">
        <v>0</v>
      </c>
      <c r="I1454" s="214">
        <v>10000</v>
      </c>
      <c r="J1454" s="214">
        <f t="shared" si="68"/>
        <v>10000</v>
      </c>
      <c r="K1454" s="212" t="s">
        <v>6279</v>
      </c>
      <c r="L1454" s="213"/>
      <c r="M1454" s="212" t="s">
        <v>6185</v>
      </c>
    </row>
    <row r="1455" spans="1:13" ht="21" customHeight="1">
      <c r="A1455" s="213" t="s">
        <v>6726</v>
      </c>
      <c r="B1455" s="215">
        <f t="shared" si="66"/>
        <v>45748</v>
      </c>
      <c r="C1455" s="213" t="s">
        <v>6189</v>
      </c>
      <c r="D1455" s="213" t="s">
        <v>4366</v>
      </c>
      <c r="E1455" s="213" t="s">
        <v>334</v>
      </c>
      <c r="F1455" s="212" t="s">
        <v>6158</v>
      </c>
      <c r="G1455" s="212" t="str">
        <f t="shared" si="67"/>
        <v>401용역매출</v>
      </c>
      <c r="H1455" s="214">
        <v>0</v>
      </c>
      <c r="I1455" s="214">
        <v>100000</v>
      </c>
      <c r="J1455" s="214">
        <f t="shared" si="68"/>
        <v>100000</v>
      </c>
      <c r="K1455" s="212" t="s">
        <v>6279</v>
      </c>
      <c r="L1455" s="213"/>
      <c r="M1455" s="212" t="s">
        <v>6185</v>
      </c>
    </row>
    <row r="1456" spans="1:13" ht="21" customHeight="1">
      <c r="A1456" s="213" t="s">
        <v>6726</v>
      </c>
      <c r="B1456" s="215">
        <f t="shared" si="66"/>
        <v>45748</v>
      </c>
      <c r="C1456" s="213" t="s">
        <v>6189</v>
      </c>
      <c r="D1456" s="213" t="s">
        <v>4369</v>
      </c>
      <c r="E1456" s="213" t="s">
        <v>333</v>
      </c>
      <c r="F1456" s="212" t="s">
        <v>4365</v>
      </c>
      <c r="G1456" s="212" t="str">
        <f t="shared" si="67"/>
        <v>101현금</v>
      </c>
      <c r="H1456" s="214">
        <v>110000</v>
      </c>
      <c r="I1456" s="214">
        <v>0</v>
      </c>
      <c r="J1456" s="214">
        <f t="shared" si="68"/>
        <v>-110000</v>
      </c>
      <c r="K1456" s="212" t="s">
        <v>6279</v>
      </c>
      <c r="L1456" s="213"/>
      <c r="M1456" s="212" t="s">
        <v>6185</v>
      </c>
    </row>
    <row r="1457" spans="1:13" ht="21" customHeight="1">
      <c r="A1457" s="213" t="s">
        <v>6726</v>
      </c>
      <c r="B1457" s="215">
        <f t="shared" si="66"/>
        <v>45748</v>
      </c>
      <c r="C1457" s="213" t="s">
        <v>6191</v>
      </c>
      <c r="D1457" s="213" t="s">
        <v>4366</v>
      </c>
      <c r="E1457" s="213" t="s">
        <v>6176</v>
      </c>
      <c r="F1457" s="212" t="s">
        <v>6177</v>
      </c>
      <c r="G1457" s="212" t="str">
        <f t="shared" si="67"/>
        <v>255부가세예수금</v>
      </c>
      <c r="H1457" s="214">
        <v>0</v>
      </c>
      <c r="I1457" s="214">
        <v>15000</v>
      </c>
      <c r="J1457" s="214">
        <f t="shared" si="68"/>
        <v>15000</v>
      </c>
      <c r="K1457" s="212" t="s">
        <v>6310</v>
      </c>
      <c r="L1457" s="213"/>
      <c r="M1457" s="212" t="s">
        <v>6179</v>
      </c>
    </row>
    <row r="1458" spans="1:13" ht="21" customHeight="1">
      <c r="A1458" s="213" t="s">
        <v>6726</v>
      </c>
      <c r="B1458" s="215">
        <f t="shared" si="66"/>
        <v>45748</v>
      </c>
      <c r="C1458" s="213" t="s">
        <v>6191</v>
      </c>
      <c r="D1458" s="213" t="s">
        <v>4366</v>
      </c>
      <c r="E1458" s="213" t="s">
        <v>334</v>
      </c>
      <c r="F1458" s="212" t="s">
        <v>6158</v>
      </c>
      <c r="G1458" s="212" t="str">
        <f t="shared" si="67"/>
        <v>401용역매출</v>
      </c>
      <c r="H1458" s="214">
        <v>0</v>
      </c>
      <c r="I1458" s="214">
        <v>150000</v>
      </c>
      <c r="J1458" s="214">
        <f t="shared" si="68"/>
        <v>150000</v>
      </c>
      <c r="K1458" s="212" t="s">
        <v>6310</v>
      </c>
      <c r="L1458" s="213"/>
      <c r="M1458" s="212" t="s">
        <v>6179</v>
      </c>
    </row>
    <row r="1459" spans="1:13" ht="21" customHeight="1">
      <c r="A1459" s="213" t="s">
        <v>6726</v>
      </c>
      <c r="B1459" s="215">
        <f t="shared" si="66"/>
        <v>45748</v>
      </c>
      <c r="C1459" s="213" t="s">
        <v>6191</v>
      </c>
      <c r="D1459" s="213" t="s">
        <v>4369</v>
      </c>
      <c r="E1459" s="213" t="s">
        <v>333</v>
      </c>
      <c r="F1459" s="212" t="s">
        <v>4365</v>
      </c>
      <c r="G1459" s="212" t="str">
        <f t="shared" si="67"/>
        <v>101현금</v>
      </c>
      <c r="H1459" s="214">
        <v>165000</v>
      </c>
      <c r="I1459" s="214">
        <v>0</v>
      </c>
      <c r="J1459" s="214">
        <f t="shared" si="68"/>
        <v>-165000</v>
      </c>
      <c r="K1459" s="212" t="s">
        <v>6310</v>
      </c>
      <c r="L1459" s="213"/>
      <c r="M1459" s="212" t="s">
        <v>6179</v>
      </c>
    </row>
    <row r="1460" spans="1:13" ht="21" customHeight="1">
      <c r="A1460" s="213" t="s">
        <v>6725</v>
      </c>
      <c r="B1460" s="215">
        <f t="shared" si="66"/>
        <v>45749</v>
      </c>
      <c r="C1460" s="213" t="s">
        <v>4373</v>
      </c>
      <c r="D1460" s="213" t="s">
        <v>4369</v>
      </c>
      <c r="E1460" s="213" t="s">
        <v>4499</v>
      </c>
      <c r="F1460" s="212" t="s">
        <v>6517</v>
      </c>
      <c r="G1460" s="212" t="str">
        <f t="shared" si="67"/>
        <v>811복리후생비(판)</v>
      </c>
      <c r="H1460" s="214">
        <v>2000</v>
      </c>
      <c r="I1460" s="214">
        <v>0</v>
      </c>
      <c r="J1460" s="214">
        <f t="shared" si="68"/>
        <v>-2000</v>
      </c>
      <c r="K1460" s="212" t="s">
        <v>6696</v>
      </c>
      <c r="L1460" s="213"/>
      <c r="M1460" s="212"/>
    </row>
    <row r="1461" spans="1:13" ht="21" customHeight="1">
      <c r="A1461" s="213" t="s">
        <v>6725</v>
      </c>
      <c r="B1461" s="215">
        <f t="shared" si="66"/>
        <v>45749</v>
      </c>
      <c r="C1461" s="213" t="s">
        <v>4373</v>
      </c>
      <c r="D1461" s="213" t="s">
        <v>4366</v>
      </c>
      <c r="E1461" s="213" t="s">
        <v>333</v>
      </c>
      <c r="F1461" s="212" t="s">
        <v>4365</v>
      </c>
      <c r="G1461" s="212" t="str">
        <f t="shared" si="67"/>
        <v>101현금</v>
      </c>
      <c r="H1461" s="214">
        <v>0</v>
      </c>
      <c r="I1461" s="214">
        <v>2000</v>
      </c>
      <c r="J1461" s="214">
        <f t="shared" si="68"/>
        <v>2000</v>
      </c>
      <c r="K1461" s="212" t="s">
        <v>6371</v>
      </c>
      <c r="L1461" s="213"/>
      <c r="M1461" s="212"/>
    </row>
    <row r="1462" spans="1:13" ht="21" customHeight="1">
      <c r="A1462" s="213" t="s">
        <v>6725</v>
      </c>
      <c r="B1462" s="215">
        <f t="shared" si="66"/>
        <v>45749</v>
      </c>
      <c r="C1462" s="213" t="s">
        <v>4382</v>
      </c>
      <c r="D1462" s="213" t="s">
        <v>4369</v>
      </c>
      <c r="E1462" s="213" t="s">
        <v>4499</v>
      </c>
      <c r="F1462" s="212" t="s">
        <v>6517</v>
      </c>
      <c r="G1462" s="212" t="str">
        <f t="shared" si="67"/>
        <v>811복리후생비(판)</v>
      </c>
      <c r="H1462" s="214">
        <v>6600</v>
      </c>
      <c r="I1462" s="214">
        <v>0</v>
      </c>
      <c r="J1462" s="214">
        <f t="shared" si="68"/>
        <v>-6600</v>
      </c>
      <c r="K1462" s="212" t="s">
        <v>6696</v>
      </c>
      <c r="L1462" s="213"/>
      <c r="M1462" s="212"/>
    </row>
    <row r="1463" spans="1:13" ht="21" customHeight="1">
      <c r="A1463" s="213" t="s">
        <v>6725</v>
      </c>
      <c r="B1463" s="215">
        <f t="shared" si="66"/>
        <v>45749</v>
      </c>
      <c r="C1463" s="213" t="s">
        <v>4382</v>
      </c>
      <c r="D1463" s="213" t="s">
        <v>4366</v>
      </c>
      <c r="E1463" s="213" t="s">
        <v>333</v>
      </c>
      <c r="F1463" s="212" t="s">
        <v>4365</v>
      </c>
      <c r="G1463" s="212" t="str">
        <f t="shared" si="67"/>
        <v>101현금</v>
      </c>
      <c r="H1463" s="214">
        <v>0</v>
      </c>
      <c r="I1463" s="214">
        <v>6600</v>
      </c>
      <c r="J1463" s="214">
        <f t="shared" si="68"/>
        <v>6600</v>
      </c>
      <c r="K1463" s="212" t="s">
        <v>6369</v>
      </c>
      <c r="L1463" s="213"/>
      <c r="M1463" s="212"/>
    </row>
    <row r="1464" spans="1:13" ht="21" customHeight="1">
      <c r="A1464" s="213" t="s">
        <v>6725</v>
      </c>
      <c r="B1464" s="215">
        <f t="shared" si="66"/>
        <v>45749</v>
      </c>
      <c r="C1464" s="213" t="s">
        <v>4381</v>
      </c>
      <c r="D1464" s="213" t="s">
        <v>4369</v>
      </c>
      <c r="E1464" s="213" t="s">
        <v>4383</v>
      </c>
      <c r="F1464" s="212" t="s">
        <v>6525</v>
      </c>
      <c r="G1464" s="212" t="str">
        <f t="shared" si="67"/>
        <v>830소모품비(판)</v>
      </c>
      <c r="H1464" s="214">
        <v>4400</v>
      </c>
      <c r="I1464" s="214">
        <v>0</v>
      </c>
      <c r="J1464" s="214">
        <f t="shared" si="68"/>
        <v>-4400</v>
      </c>
      <c r="K1464" s="212" t="s">
        <v>6215</v>
      </c>
      <c r="L1464" s="213"/>
      <c r="M1464" s="212"/>
    </row>
    <row r="1465" spans="1:13" ht="21" customHeight="1">
      <c r="A1465" s="213" t="s">
        <v>6725</v>
      </c>
      <c r="B1465" s="215">
        <f t="shared" si="66"/>
        <v>45749</v>
      </c>
      <c r="C1465" s="213" t="s">
        <v>4381</v>
      </c>
      <c r="D1465" s="213" t="s">
        <v>4366</v>
      </c>
      <c r="E1465" s="213" t="s">
        <v>333</v>
      </c>
      <c r="F1465" s="212" t="s">
        <v>4365</v>
      </c>
      <c r="G1465" s="212" t="str">
        <f t="shared" si="67"/>
        <v>101현금</v>
      </c>
      <c r="H1465" s="214">
        <v>0</v>
      </c>
      <c r="I1465" s="214">
        <v>4400</v>
      </c>
      <c r="J1465" s="214">
        <f t="shared" si="68"/>
        <v>4400</v>
      </c>
      <c r="K1465" s="212" t="s">
        <v>6369</v>
      </c>
      <c r="L1465" s="213"/>
      <c r="M1465" s="212"/>
    </row>
    <row r="1466" spans="1:13" ht="21" customHeight="1">
      <c r="A1466" s="213" t="s">
        <v>6725</v>
      </c>
      <c r="B1466" s="215">
        <f t="shared" si="66"/>
        <v>45749</v>
      </c>
      <c r="C1466" s="213" t="s">
        <v>4367</v>
      </c>
      <c r="D1466" s="213" t="s">
        <v>4366</v>
      </c>
      <c r="E1466" s="213" t="s">
        <v>6176</v>
      </c>
      <c r="F1466" s="212" t="s">
        <v>6177</v>
      </c>
      <c r="G1466" s="212" t="str">
        <f t="shared" si="67"/>
        <v>255부가세예수금</v>
      </c>
      <c r="H1466" s="214">
        <v>0</v>
      </c>
      <c r="I1466" s="214">
        <v>10000</v>
      </c>
      <c r="J1466" s="214">
        <f t="shared" si="68"/>
        <v>10000</v>
      </c>
      <c r="K1466" s="212" t="s">
        <v>6266</v>
      </c>
      <c r="L1466" s="213"/>
      <c r="M1466" s="212" t="s">
        <v>6185</v>
      </c>
    </row>
    <row r="1467" spans="1:13" ht="21" customHeight="1">
      <c r="A1467" s="213" t="s">
        <v>6725</v>
      </c>
      <c r="B1467" s="215">
        <f t="shared" si="66"/>
        <v>45749</v>
      </c>
      <c r="C1467" s="213" t="s">
        <v>4367</v>
      </c>
      <c r="D1467" s="213" t="s">
        <v>4366</v>
      </c>
      <c r="E1467" s="213" t="s">
        <v>334</v>
      </c>
      <c r="F1467" s="212" t="s">
        <v>6158</v>
      </c>
      <c r="G1467" s="212" t="str">
        <f t="shared" si="67"/>
        <v>401용역매출</v>
      </c>
      <c r="H1467" s="214">
        <v>0</v>
      </c>
      <c r="I1467" s="214">
        <v>100000</v>
      </c>
      <c r="J1467" s="214">
        <f t="shared" si="68"/>
        <v>100000</v>
      </c>
      <c r="K1467" s="212" t="s">
        <v>6266</v>
      </c>
      <c r="L1467" s="213"/>
      <c r="M1467" s="212" t="s">
        <v>6185</v>
      </c>
    </row>
    <row r="1468" spans="1:13" ht="21" customHeight="1">
      <c r="A1468" s="213" t="s">
        <v>6725</v>
      </c>
      <c r="B1468" s="215">
        <f t="shared" si="66"/>
        <v>45749</v>
      </c>
      <c r="C1468" s="213" t="s">
        <v>4367</v>
      </c>
      <c r="D1468" s="213" t="s">
        <v>4369</v>
      </c>
      <c r="E1468" s="213" t="s">
        <v>333</v>
      </c>
      <c r="F1468" s="212" t="s">
        <v>4365</v>
      </c>
      <c r="G1468" s="212" t="str">
        <f t="shared" si="67"/>
        <v>101현금</v>
      </c>
      <c r="H1468" s="214">
        <v>110000</v>
      </c>
      <c r="I1468" s="214">
        <v>0</v>
      </c>
      <c r="J1468" s="214">
        <f t="shared" si="68"/>
        <v>-110000</v>
      </c>
      <c r="K1468" s="212" t="s">
        <v>6266</v>
      </c>
      <c r="L1468" s="213"/>
      <c r="M1468" s="212" t="s">
        <v>6185</v>
      </c>
    </row>
    <row r="1469" spans="1:13" ht="21" customHeight="1">
      <c r="A1469" s="213" t="s">
        <v>6725</v>
      </c>
      <c r="B1469" s="215">
        <f t="shared" si="66"/>
        <v>45749</v>
      </c>
      <c r="C1469" s="213" t="s">
        <v>4374</v>
      </c>
      <c r="D1469" s="213" t="s">
        <v>4366</v>
      </c>
      <c r="E1469" s="213" t="s">
        <v>6176</v>
      </c>
      <c r="F1469" s="212" t="s">
        <v>6177</v>
      </c>
      <c r="G1469" s="212" t="str">
        <f t="shared" si="67"/>
        <v>255부가세예수금</v>
      </c>
      <c r="H1469" s="214">
        <v>0</v>
      </c>
      <c r="I1469" s="214">
        <v>10000</v>
      </c>
      <c r="J1469" s="214">
        <f t="shared" si="68"/>
        <v>10000</v>
      </c>
      <c r="K1469" s="212" t="s">
        <v>6268</v>
      </c>
      <c r="L1469" s="213"/>
      <c r="M1469" s="212" t="s">
        <v>6185</v>
      </c>
    </row>
    <row r="1470" spans="1:13" ht="21" customHeight="1">
      <c r="A1470" s="213" t="s">
        <v>6725</v>
      </c>
      <c r="B1470" s="215">
        <f t="shared" si="66"/>
        <v>45749</v>
      </c>
      <c r="C1470" s="213" t="s">
        <v>4374</v>
      </c>
      <c r="D1470" s="213" t="s">
        <v>4366</v>
      </c>
      <c r="E1470" s="213" t="s">
        <v>334</v>
      </c>
      <c r="F1470" s="212" t="s">
        <v>6158</v>
      </c>
      <c r="G1470" s="212" t="str">
        <f t="shared" si="67"/>
        <v>401용역매출</v>
      </c>
      <c r="H1470" s="214">
        <v>0</v>
      </c>
      <c r="I1470" s="214">
        <v>100000</v>
      </c>
      <c r="J1470" s="214">
        <f t="shared" si="68"/>
        <v>100000</v>
      </c>
      <c r="K1470" s="212" t="s">
        <v>6268</v>
      </c>
      <c r="L1470" s="213"/>
      <c r="M1470" s="212" t="s">
        <v>6185</v>
      </c>
    </row>
    <row r="1471" spans="1:13" ht="21" customHeight="1">
      <c r="A1471" s="213" t="s">
        <v>6725</v>
      </c>
      <c r="B1471" s="215">
        <f t="shared" si="66"/>
        <v>45749</v>
      </c>
      <c r="C1471" s="213" t="s">
        <v>4374</v>
      </c>
      <c r="D1471" s="213" t="s">
        <v>4369</v>
      </c>
      <c r="E1471" s="213" t="s">
        <v>333</v>
      </c>
      <c r="F1471" s="212" t="s">
        <v>4365</v>
      </c>
      <c r="G1471" s="212" t="str">
        <f t="shared" si="67"/>
        <v>101현금</v>
      </c>
      <c r="H1471" s="214">
        <v>110000</v>
      </c>
      <c r="I1471" s="214">
        <v>0</v>
      </c>
      <c r="J1471" s="214">
        <f t="shared" si="68"/>
        <v>-110000</v>
      </c>
      <c r="K1471" s="212" t="s">
        <v>6268</v>
      </c>
      <c r="L1471" s="213"/>
      <c r="M1471" s="212" t="s">
        <v>6185</v>
      </c>
    </row>
    <row r="1472" spans="1:13" ht="21" customHeight="1">
      <c r="A1472" s="213" t="s">
        <v>6725</v>
      </c>
      <c r="B1472" s="215">
        <f t="shared" si="66"/>
        <v>45749</v>
      </c>
      <c r="C1472" s="213" t="s">
        <v>6182</v>
      </c>
      <c r="D1472" s="213" t="s">
        <v>4366</v>
      </c>
      <c r="E1472" s="213" t="s">
        <v>6176</v>
      </c>
      <c r="F1472" s="212" t="s">
        <v>6177</v>
      </c>
      <c r="G1472" s="212" t="str">
        <f t="shared" si="67"/>
        <v>255부가세예수금</v>
      </c>
      <c r="H1472" s="214">
        <v>0</v>
      </c>
      <c r="I1472" s="214">
        <v>15000</v>
      </c>
      <c r="J1472" s="214">
        <f t="shared" si="68"/>
        <v>15000</v>
      </c>
      <c r="K1472" s="212" t="s">
        <v>6267</v>
      </c>
      <c r="L1472" s="213"/>
      <c r="M1472" s="212" t="s">
        <v>6179</v>
      </c>
    </row>
    <row r="1473" spans="1:13" ht="21" customHeight="1">
      <c r="A1473" s="213" t="s">
        <v>6725</v>
      </c>
      <c r="B1473" s="215">
        <f t="shared" si="66"/>
        <v>45749</v>
      </c>
      <c r="C1473" s="213" t="s">
        <v>6182</v>
      </c>
      <c r="D1473" s="213" t="s">
        <v>4366</v>
      </c>
      <c r="E1473" s="213" t="s">
        <v>334</v>
      </c>
      <c r="F1473" s="212" t="s">
        <v>6158</v>
      </c>
      <c r="G1473" s="212" t="str">
        <f t="shared" si="67"/>
        <v>401용역매출</v>
      </c>
      <c r="H1473" s="214">
        <v>0</v>
      </c>
      <c r="I1473" s="214">
        <v>150000</v>
      </c>
      <c r="J1473" s="214">
        <f t="shared" si="68"/>
        <v>150000</v>
      </c>
      <c r="K1473" s="212" t="s">
        <v>6267</v>
      </c>
      <c r="L1473" s="213"/>
      <c r="M1473" s="212" t="s">
        <v>6179</v>
      </c>
    </row>
    <row r="1474" spans="1:13" ht="21" customHeight="1">
      <c r="A1474" s="213" t="s">
        <v>6725</v>
      </c>
      <c r="B1474" s="215">
        <f t="shared" ref="B1474:B1537" si="69">DATEVALUE(A1474)</f>
        <v>45749</v>
      </c>
      <c r="C1474" s="213" t="s">
        <v>6182</v>
      </c>
      <c r="D1474" s="213" t="s">
        <v>4369</v>
      </c>
      <c r="E1474" s="213" t="s">
        <v>333</v>
      </c>
      <c r="F1474" s="212" t="s">
        <v>4365</v>
      </c>
      <c r="G1474" s="212" t="str">
        <f t="shared" ref="G1474:G1537" si="70">E1474&amp;F1474</f>
        <v>101현금</v>
      </c>
      <c r="H1474" s="214">
        <v>165000</v>
      </c>
      <c r="I1474" s="214">
        <v>0</v>
      </c>
      <c r="J1474" s="214">
        <f t="shared" ref="J1474:J1537" si="71">I1474-H1474</f>
        <v>-165000</v>
      </c>
      <c r="K1474" s="212" t="s">
        <v>6267</v>
      </c>
      <c r="L1474" s="213"/>
      <c r="M1474" s="212" t="s">
        <v>6179</v>
      </c>
    </row>
    <row r="1475" spans="1:13" ht="21" customHeight="1">
      <c r="A1475" s="213" t="s">
        <v>6724</v>
      </c>
      <c r="B1475" s="215">
        <f t="shared" si="69"/>
        <v>45750</v>
      </c>
      <c r="C1475" s="213" t="s">
        <v>4373</v>
      </c>
      <c r="D1475" s="213" t="s">
        <v>4369</v>
      </c>
      <c r="E1475" s="213" t="s">
        <v>4499</v>
      </c>
      <c r="F1475" s="212" t="s">
        <v>6517</v>
      </c>
      <c r="G1475" s="212" t="str">
        <f t="shared" si="70"/>
        <v>811복리후생비(판)</v>
      </c>
      <c r="H1475" s="214">
        <v>16000</v>
      </c>
      <c r="I1475" s="214">
        <v>0</v>
      </c>
      <c r="J1475" s="214">
        <f t="shared" si="71"/>
        <v>-16000</v>
      </c>
      <c r="K1475" s="212" t="s">
        <v>6516</v>
      </c>
      <c r="L1475" s="213"/>
      <c r="M1475" s="212"/>
    </row>
    <row r="1476" spans="1:13" ht="21" customHeight="1">
      <c r="A1476" s="213" t="s">
        <v>6724</v>
      </c>
      <c r="B1476" s="215">
        <f t="shared" si="69"/>
        <v>45750</v>
      </c>
      <c r="C1476" s="213" t="s">
        <v>4373</v>
      </c>
      <c r="D1476" s="213" t="s">
        <v>4366</v>
      </c>
      <c r="E1476" s="213" t="s">
        <v>333</v>
      </c>
      <c r="F1476" s="212" t="s">
        <v>4365</v>
      </c>
      <c r="G1476" s="212" t="str">
        <f t="shared" si="70"/>
        <v>101현금</v>
      </c>
      <c r="H1476" s="214">
        <v>0</v>
      </c>
      <c r="I1476" s="214">
        <v>16000</v>
      </c>
      <c r="J1476" s="214">
        <f t="shared" si="71"/>
        <v>16000</v>
      </c>
      <c r="K1476" s="212" t="s">
        <v>6369</v>
      </c>
      <c r="L1476" s="213"/>
      <c r="M1476" s="212"/>
    </row>
    <row r="1477" spans="1:13" ht="21" customHeight="1">
      <c r="A1477" s="213" t="s">
        <v>6724</v>
      </c>
      <c r="B1477" s="215">
        <f t="shared" si="69"/>
        <v>45750</v>
      </c>
      <c r="C1477" s="213" t="s">
        <v>4367</v>
      </c>
      <c r="D1477" s="213" t="s">
        <v>4366</v>
      </c>
      <c r="E1477" s="213" t="s">
        <v>6176</v>
      </c>
      <c r="F1477" s="212" t="s">
        <v>6177</v>
      </c>
      <c r="G1477" s="212" t="str">
        <f t="shared" si="70"/>
        <v>255부가세예수금</v>
      </c>
      <c r="H1477" s="214">
        <v>0</v>
      </c>
      <c r="I1477" s="214">
        <v>12000</v>
      </c>
      <c r="J1477" s="214">
        <f t="shared" si="71"/>
        <v>12000</v>
      </c>
      <c r="K1477" s="212" t="s">
        <v>6308</v>
      </c>
      <c r="L1477" s="213"/>
      <c r="M1477" s="212" t="s">
        <v>6225</v>
      </c>
    </row>
    <row r="1478" spans="1:13" ht="21" customHeight="1">
      <c r="A1478" s="213" t="s">
        <v>6724</v>
      </c>
      <c r="B1478" s="215">
        <f t="shared" si="69"/>
        <v>45750</v>
      </c>
      <c r="C1478" s="213" t="s">
        <v>4367</v>
      </c>
      <c r="D1478" s="213" t="s">
        <v>4366</v>
      </c>
      <c r="E1478" s="213" t="s">
        <v>334</v>
      </c>
      <c r="F1478" s="212" t="s">
        <v>6158</v>
      </c>
      <c r="G1478" s="212" t="str">
        <f t="shared" si="70"/>
        <v>401용역매출</v>
      </c>
      <c r="H1478" s="214">
        <v>0</v>
      </c>
      <c r="I1478" s="214">
        <v>120000</v>
      </c>
      <c r="J1478" s="214">
        <f t="shared" si="71"/>
        <v>120000</v>
      </c>
      <c r="K1478" s="212" t="s">
        <v>6308</v>
      </c>
      <c r="L1478" s="213"/>
      <c r="M1478" s="212" t="s">
        <v>6225</v>
      </c>
    </row>
    <row r="1479" spans="1:13" ht="21" customHeight="1">
      <c r="A1479" s="213" t="s">
        <v>6724</v>
      </c>
      <c r="B1479" s="215">
        <f t="shared" si="69"/>
        <v>45750</v>
      </c>
      <c r="C1479" s="213" t="s">
        <v>4367</v>
      </c>
      <c r="D1479" s="213" t="s">
        <v>4369</v>
      </c>
      <c r="E1479" s="213" t="s">
        <v>333</v>
      </c>
      <c r="F1479" s="212" t="s">
        <v>4365</v>
      </c>
      <c r="G1479" s="212" t="str">
        <f t="shared" si="70"/>
        <v>101현금</v>
      </c>
      <c r="H1479" s="214">
        <v>132000</v>
      </c>
      <c r="I1479" s="214">
        <v>0</v>
      </c>
      <c r="J1479" s="214">
        <f t="shared" si="71"/>
        <v>-132000</v>
      </c>
      <c r="K1479" s="212" t="s">
        <v>6308</v>
      </c>
      <c r="L1479" s="213"/>
      <c r="M1479" s="212" t="s">
        <v>6225</v>
      </c>
    </row>
    <row r="1480" spans="1:13" ht="21" customHeight="1">
      <c r="A1480" s="213" t="s">
        <v>6724</v>
      </c>
      <c r="B1480" s="215">
        <f t="shared" si="69"/>
        <v>45750</v>
      </c>
      <c r="C1480" s="213" t="s">
        <v>4374</v>
      </c>
      <c r="D1480" s="213" t="s">
        <v>4366</v>
      </c>
      <c r="E1480" s="213" t="s">
        <v>6176</v>
      </c>
      <c r="F1480" s="212" t="s">
        <v>6177</v>
      </c>
      <c r="G1480" s="212" t="str">
        <f t="shared" si="70"/>
        <v>255부가세예수금</v>
      </c>
      <c r="H1480" s="214">
        <v>0</v>
      </c>
      <c r="I1480" s="214">
        <v>15000</v>
      </c>
      <c r="J1480" s="214">
        <f t="shared" si="71"/>
        <v>15000</v>
      </c>
      <c r="K1480" s="212" t="s">
        <v>6181</v>
      </c>
      <c r="L1480" s="213"/>
      <c r="M1480" s="212" t="s">
        <v>6179</v>
      </c>
    </row>
    <row r="1481" spans="1:13" ht="21" customHeight="1">
      <c r="A1481" s="213" t="s">
        <v>6724</v>
      </c>
      <c r="B1481" s="215">
        <f t="shared" si="69"/>
        <v>45750</v>
      </c>
      <c r="C1481" s="213" t="s">
        <v>4374</v>
      </c>
      <c r="D1481" s="213" t="s">
        <v>4366</v>
      </c>
      <c r="E1481" s="213" t="s">
        <v>334</v>
      </c>
      <c r="F1481" s="212" t="s">
        <v>6158</v>
      </c>
      <c r="G1481" s="212" t="str">
        <f t="shared" si="70"/>
        <v>401용역매출</v>
      </c>
      <c r="H1481" s="214">
        <v>0</v>
      </c>
      <c r="I1481" s="214">
        <v>150000</v>
      </c>
      <c r="J1481" s="214">
        <f t="shared" si="71"/>
        <v>150000</v>
      </c>
      <c r="K1481" s="212" t="s">
        <v>6181</v>
      </c>
      <c r="L1481" s="213"/>
      <c r="M1481" s="212" t="s">
        <v>6179</v>
      </c>
    </row>
    <row r="1482" spans="1:13" ht="21" customHeight="1">
      <c r="A1482" s="213" t="s">
        <v>6724</v>
      </c>
      <c r="B1482" s="215">
        <f t="shared" si="69"/>
        <v>45750</v>
      </c>
      <c r="C1482" s="213" t="s">
        <v>4374</v>
      </c>
      <c r="D1482" s="213" t="s">
        <v>4369</v>
      </c>
      <c r="E1482" s="213" t="s">
        <v>333</v>
      </c>
      <c r="F1482" s="212" t="s">
        <v>4365</v>
      </c>
      <c r="G1482" s="212" t="str">
        <f t="shared" si="70"/>
        <v>101현금</v>
      </c>
      <c r="H1482" s="214">
        <v>165000</v>
      </c>
      <c r="I1482" s="214">
        <v>0</v>
      </c>
      <c r="J1482" s="214">
        <f t="shared" si="71"/>
        <v>-165000</v>
      </c>
      <c r="K1482" s="212" t="s">
        <v>6181</v>
      </c>
      <c r="L1482" s="213"/>
      <c r="M1482" s="212" t="s">
        <v>6179</v>
      </c>
    </row>
    <row r="1483" spans="1:13" ht="21" customHeight="1">
      <c r="A1483" s="213" t="s">
        <v>6724</v>
      </c>
      <c r="B1483" s="215">
        <f t="shared" si="69"/>
        <v>45750</v>
      </c>
      <c r="C1483" s="213" t="s">
        <v>6182</v>
      </c>
      <c r="D1483" s="213" t="s">
        <v>4366</v>
      </c>
      <c r="E1483" s="213" t="s">
        <v>6176</v>
      </c>
      <c r="F1483" s="212" t="s">
        <v>6177</v>
      </c>
      <c r="G1483" s="212" t="str">
        <f t="shared" si="70"/>
        <v>255부가세예수금</v>
      </c>
      <c r="H1483" s="214">
        <v>0</v>
      </c>
      <c r="I1483" s="214">
        <v>15000</v>
      </c>
      <c r="J1483" s="214">
        <f t="shared" si="71"/>
        <v>15000</v>
      </c>
      <c r="K1483" s="212" t="s">
        <v>6183</v>
      </c>
      <c r="L1483" s="213"/>
      <c r="M1483" s="212" t="s">
        <v>6179</v>
      </c>
    </row>
    <row r="1484" spans="1:13" ht="21" customHeight="1">
      <c r="A1484" s="213" t="s">
        <v>6724</v>
      </c>
      <c r="B1484" s="215">
        <f t="shared" si="69"/>
        <v>45750</v>
      </c>
      <c r="C1484" s="213" t="s">
        <v>6182</v>
      </c>
      <c r="D1484" s="213" t="s">
        <v>4366</v>
      </c>
      <c r="E1484" s="213" t="s">
        <v>334</v>
      </c>
      <c r="F1484" s="212" t="s">
        <v>6158</v>
      </c>
      <c r="G1484" s="212" t="str">
        <f t="shared" si="70"/>
        <v>401용역매출</v>
      </c>
      <c r="H1484" s="214">
        <v>0</v>
      </c>
      <c r="I1484" s="214">
        <v>150000</v>
      </c>
      <c r="J1484" s="214">
        <f t="shared" si="71"/>
        <v>150000</v>
      </c>
      <c r="K1484" s="212" t="s">
        <v>6183</v>
      </c>
      <c r="L1484" s="213"/>
      <c r="M1484" s="212" t="s">
        <v>6179</v>
      </c>
    </row>
    <row r="1485" spans="1:13" ht="21" customHeight="1">
      <c r="A1485" s="213" t="s">
        <v>6724</v>
      </c>
      <c r="B1485" s="215">
        <f t="shared" si="69"/>
        <v>45750</v>
      </c>
      <c r="C1485" s="213" t="s">
        <v>6182</v>
      </c>
      <c r="D1485" s="213" t="s">
        <v>4369</v>
      </c>
      <c r="E1485" s="213" t="s">
        <v>333</v>
      </c>
      <c r="F1485" s="212" t="s">
        <v>4365</v>
      </c>
      <c r="G1485" s="212" t="str">
        <f t="shared" si="70"/>
        <v>101현금</v>
      </c>
      <c r="H1485" s="214">
        <v>165000</v>
      </c>
      <c r="I1485" s="214">
        <v>0</v>
      </c>
      <c r="J1485" s="214">
        <f t="shared" si="71"/>
        <v>-165000</v>
      </c>
      <c r="K1485" s="212" t="s">
        <v>6183</v>
      </c>
      <c r="L1485" s="213"/>
      <c r="M1485" s="212" t="s">
        <v>6179</v>
      </c>
    </row>
    <row r="1486" spans="1:13" ht="21" customHeight="1">
      <c r="A1486" s="213" t="s">
        <v>6724</v>
      </c>
      <c r="B1486" s="215">
        <f t="shared" si="69"/>
        <v>45750</v>
      </c>
      <c r="C1486" s="213" t="s">
        <v>6184</v>
      </c>
      <c r="D1486" s="213" t="s">
        <v>4366</v>
      </c>
      <c r="E1486" s="213" t="s">
        <v>6176</v>
      </c>
      <c r="F1486" s="212" t="s">
        <v>6177</v>
      </c>
      <c r="G1486" s="212" t="str">
        <f t="shared" si="70"/>
        <v>255부가세예수금</v>
      </c>
      <c r="H1486" s="214">
        <v>0</v>
      </c>
      <c r="I1486" s="214">
        <v>370000</v>
      </c>
      <c r="J1486" s="214">
        <f t="shared" si="71"/>
        <v>370000</v>
      </c>
      <c r="K1486" s="212" t="s">
        <v>6283</v>
      </c>
      <c r="L1486" s="213"/>
      <c r="M1486" s="212" t="s">
        <v>6723</v>
      </c>
    </row>
    <row r="1487" spans="1:13" ht="21" customHeight="1">
      <c r="A1487" s="213" t="s">
        <v>6724</v>
      </c>
      <c r="B1487" s="215">
        <f t="shared" si="69"/>
        <v>45750</v>
      </c>
      <c r="C1487" s="213" t="s">
        <v>6184</v>
      </c>
      <c r="D1487" s="213" t="s">
        <v>4366</v>
      </c>
      <c r="E1487" s="213" t="s">
        <v>334</v>
      </c>
      <c r="F1487" s="212" t="s">
        <v>6158</v>
      </c>
      <c r="G1487" s="212" t="str">
        <f t="shared" si="70"/>
        <v>401용역매출</v>
      </c>
      <c r="H1487" s="214">
        <v>0</v>
      </c>
      <c r="I1487" s="214">
        <v>3700000</v>
      </c>
      <c r="J1487" s="214">
        <f t="shared" si="71"/>
        <v>3700000</v>
      </c>
      <c r="K1487" s="212" t="s">
        <v>6283</v>
      </c>
      <c r="L1487" s="213"/>
      <c r="M1487" s="212" t="s">
        <v>6723</v>
      </c>
    </row>
    <row r="1488" spans="1:13" ht="21" customHeight="1">
      <c r="A1488" s="213" t="s">
        <v>6724</v>
      </c>
      <c r="B1488" s="215">
        <f t="shared" si="69"/>
        <v>45750</v>
      </c>
      <c r="C1488" s="213" t="s">
        <v>6184</v>
      </c>
      <c r="D1488" s="213" t="s">
        <v>4369</v>
      </c>
      <c r="E1488" s="213" t="s">
        <v>333</v>
      </c>
      <c r="F1488" s="212" t="s">
        <v>4365</v>
      </c>
      <c r="G1488" s="212" t="str">
        <f t="shared" si="70"/>
        <v>101현금</v>
      </c>
      <c r="H1488" s="214">
        <v>4070000</v>
      </c>
      <c r="I1488" s="214">
        <v>0</v>
      </c>
      <c r="J1488" s="214">
        <f t="shared" si="71"/>
        <v>-4070000</v>
      </c>
      <c r="K1488" s="212" t="s">
        <v>6283</v>
      </c>
      <c r="L1488" s="213"/>
      <c r="M1488" s="212" t="s">
        <v>6723</v>
      </c>
    </row>
    <row r="1489" spans="1:13" ht="21" customHeight="1">
      <c r="A1489" s="213" t="s">
        <v>6722</v>
      </c>
      <c r="B1489" s="215">
        <f t="shared" si="69"/>
        <v>45751</v>
      </c>
      <c r="C1489" s="213" t="s">
        <v>4373</v>
      </c>
      <c r="D1489" s="213" t="s">
        <v>4369</v>
      </c>
      <c r="E1489" s="213" t="s">
        <v>4499</v>
      </c>
      <c r="F1489" s="212" t="s">
        <v>6517</v>
      </c>
      <c r="G1489" s="212" t="str">
        <f t="shared" si="70"/>
        <v>811복리후생비(판)</v>
      </c>
      <c r="H1489" s="214">
        <v>3500</v>
      </c>
      <c r="I1489" s="214">
        <v>0</v>
      </c>
      <c r="J1489" s="214">
        <f t="shared" si="71"/>
        <v>-3500</v>
      </c>
      <c r="K1489" s="212" t="s">
        <v>6539</v>
      </c>
      <c r="L1489" s="213"/>
      <c r="M1489" s="212"/>
    </row>
    <row r="1490" spans="1:13" ht="21" customHeight="1">
      <c r="A1490" s="213" t="s">
        <v>6722</v>
      </c>
      <c r="B1490" s="215">
        <f t="shared" si="69"/>
        <v>45751</v>
      </c>
      <c r="C1490" s="213" t="s">
        <v>4373</v>
      </c>
      <c r="D1490" s="213" t="s">
        <v>4366</v>
      </c>
      <c r="E1490" s="213" t="s">
        <v>333</v>
      </c>
      <c r="F1490" s="212" t="s">
        <v>4365</v>
      </c>
      <c r="G1490" s="212" t="str">
        <f t="shared" si="70"/>
        <v>101현금</v>
      </c>
      <c r="H1490" s="214">
        <v>0</v>
      </c>
      <c r="I1490" s="214">
        <v>3500</v>
      </c>
      <c r="J1490" s="214">
        <f t="shared" si="71"/>
        <v>3500</v>
      </c>
      <c r="K1490" s="212" t="s">
        <v>6369</v>
      </c>
      <c r="L1490" s="213"/>
      <c r="M1490" s="212"/>
    </row>
    <row r="1491" spans="1:13" ht="21" customHeight="1">
      <c r="A1491" s="213" t="s">
        <v>6722</v>
      </c>
      <c r="B1491" s="215">
        <f t="shared" si="69"/>
        <v>45751</v>
      </c>
      <c r="C1491" s="213" t="s">
        <v>4382</v>
      </c>
      <c r="D1491" s="213" t="s">
        <v>4369</v>
      </c>
      <c r="E1491" s="213" t="s">
        <v>4500</v>
      </c>
      <c r="F1491" s="212" t="s">
        <v>6418</v>
      </c>
      <c r="G1491" s="212" t="str">
        <f t="shared" si="70"/>
        <v>822차량유지비(판)</v>
      </c>
      <c r="H1491" s="214">
        <v>50000</v>
      </c>
      <c r="I1491" s="214">
        <v>0</v>
      </c>
      <c r="J1491" s="214">
        <f t="shared" si="71"/>
        <v>-50000</v>
      </c>
      <c r="K1491" s="212" t="s">
        <v>6273</v>
      </c>
      <c r="L1491" s="213"/>
      <c r="M1491" s="212"/>
    </row>
    <row r="1492" spans="1:13" ht="21" customHeight="1">
      <c r="A1492" s="213" t="s">
        <v>6722</v>
      </c>
      <c r="B1492" s="215">
        <f t="shared" si="69"/>
        <v>45751</v>
      </c>
      <c r="C1492" s="213" t="s">
        <v>4382</v>
      </c>
      <c r="D1492" s="213" t="s">
        <v>4366</v>
      </c>
      <c r="E1492" s="213" t="s">
        <v>333</v>
      </c>
      <c r="F1492" s="212" t="s">
        <v>4365</v>
      </c>
      <c r="G1492" s="212" t="str">
        <f t="shared" si="70"/>
        <v>101현금</v>
      </c>
      <c r="H1492" s="214">
        <v>0</v>
      </c>
      <c r="I1492" s="214">
        <v>50000</v>
      </c>
      <c r="J1492" s="214">
        <f t="shared" si="71"/>
        <v>50000</v>
      </c>
      <c r="K1492" s="212" t="s">
        <v>6371</v>
      </c>
      <c r="L1492" s="213"/>
      <c r="M1492" s="212"/>
    </row>
    <row r="1493" spans="1:13" ht="21" customHeight="1">
      <c r="A1493" s="213" t="s">
        <v>6722</v>
      </c>
      <c r="B1493" s="215">
        <f t="shared" si="69"/>
        <v>45751</v>
      </c>
      <c r="C1493" s="213" t="s">
        <v>4381</v>
      </c>
      <c r="D1493" s="213" t="s">
        <v>4369</v>
      </c>
      <c r="E1493" s="213" t="s">
        <v>6157</v>
      </c>
      <c r="F1493" s="212" t="s">
        <v>6524</v>
      </c>
      <c r="G1493" s="212" t="str">
        <f t="shared" si="70"/>
        <v>813접대비(기업업무추진비)(판)</v>
      </c>
      <c r="H1493" s="214">
        <v>75700</v>
      </c>
      <c r="I1493" s="214">
        <v>0</v>
      </c>
      <c r="J1493" s="214">
        <f t="shared" si="71"/>
        <v>-75700</v>
      </c>
      <c r="K1493" s="212" t="s">
        <v>6393</v>
      </c>
      <c r="L1493" s="213" t="s">
        <v>1327</v>
      </c>
      <c r="M1493" s="212" t="s">
        <v>6356</v>
      </c>
    </row>
    <row r="1494" spans="1:13" ht="21" customHeight="1">
      <c r="A1494" s="213" t="s">
        <v>6722</v>
      </c>
      <c r="B1494" s="215">
        <f t="shared" si="69"/>
        <v>45751</v>
      </c>
      <c r="C1494" s="213" t="s">
        <v>4381</v>
      </c>
      <c r="D1494" s="213" t="s">
        <v>4366</v>
      </c>
      <c r="E1494" s="213" t="s">
        <v>333</v>
      </c>
      <c r="F1494" s="212" t="s">
        <v>4365</v>
      </c>
      <c r="G1494" s="212" t="str">
        <f t="shared" si="70"/>
        <v>101현금</v>
      </c>
      <c r="H1494" s="214">
        <v>0</v>
      </c>
      <c r="I1494" s="214">
        <v>75700</v>
      </c>
      <c r="J1494" s="214">
        <f t="shared" si="71"/>
        <v>75700</v>
      </c>
      <c r="K1494" s="212" t="s">
        <v>6371</v>
      </c>
      <c r="L1494" s="213"/>
      <c r="M1494" s="212"/>
    </row>
    <row r="1495" spans="1:13" ht="21" customHeight="1">
      <c r="A1495" s="213" t="s">
        <v>6722</v>
      </c>
      <c r="B1495" s="215">
        <f t="shared" si="69"/>
        <v>45751</v>
      </c>
      <c r="C1495" s="213" t="s">
        <v>4367</v>
      </c>
      <c r="D1495" s="213" t="s">
        <v>4369</v>
      </c>
      <c r="E1495" s="213" t="s">
        <v>4371</v>
      </c>
      <c r="F1495" s="212" t="s">
        <v>4370</v>
      </c>
      <c r="G1495" s="212" t="str">
        <f t="shared" si="70"/>
        <v>135부가세대급금</v>
      </c>
      <c r="H1495" s="214">
        <v>1499</v>
      </c>
      <c r="I1495" s="214">
        <v>0</v>
      </c>
      <c r="J1495" s="214">
        <f t="shared" si="71"/>
        <v>-1499</v>
      </c>
      <c r="K1495" s="212" t="s">
        <v>6193</v>
      </c>
      <c r="L1495" s="213"/>
      <c r="M1495" s="212" t="s">
        <v>6721</v>
      </c>
    </row>
    <row r="1496" spans="1:13" ht="21" customHeight="1">
      <c r="A1496" s="213" t="s">
        <v>6722</v>
      </c>
      <c r="B1496" s="215">
        <f t="shared" si="69"/>
        <v>45751</v>
      </c>
      <c r="C1496" s="213" t="s">
        <v>4367</v>
      </c>
      <c r="D1496" s="213" t="s">
        <v>4369</v>
      </c>
      <c r="E1496" s="213" t="s">
        <v>4386</v>
      </c>
      <c r="F1496" s="212" t="s">
        <v>6420</v>
      </c>
      <c r="G1496" s="212" t="str">
        <f t="shared" si="70"/>
        <v>814통신비(판)</v>
      </c>
      <c r="H1496" s="214">
        <v>14991</v>
      </c>
      <c r="I1496" s="214">
        <v>0</v>
      </c>
      <c r="J1496" s="214">
        <f t="shared" si="71"/>
        <v>-14991</v>
      </c>
      <c r="K1496" s="212" t="s">
        <v>6193</v>
      </c>
      <c r="L1496" s="213"/>
      <c r="M1496" s="212" t="s">
        <v>6721</v>
      </c>
    </row>
    <row r="1497" spans="1:13" ht="21" customHeight="1">
      <c r="A1497" s="213" t="s">
        <v>6722</v>
      </c>
      <c r="B1497" s="215">
        <f t="shared" si="69"/>
        <v>45751</v>
      </c>
      <c r="C1497" s="213" t="s">
        <v>4367</v>
      </c>
      <c r="D1497" s="213" t="s">
        <v>4366</v>
      </c>
      <c r="E1497" s="213" t="s">
        <v>333</v>
      </c>
      <c r="F1497" s="212" t="s">
        <v>4365</v>
      </c>
      <c r="G1497" s="212" t="str">
        <f t="shared" si="70"/>
        <v>101현금</v>
      </c>
      <c r="H1497" s="214">
        <v>0</v>
      </c>
      <c r="I1497" s="214">
        <v>16490</v>
      </c>
      <c r="J1497" s="214">
        <f t="shared" si="71"/>
        <v>16490</v>
      </c>
      <c r="K1497" s="212" t="s">
        <v>6193</v>
      </c>
      <c r="L1497" s="213"/>
      <c r="M1497" s="212" t="s">
        <v>6721</v>
      </c>
    </row>
    <row r="1498" spans="1:13" ht="21" customHeight="1">
      <c r="A1498" s="217" t="s">
        <v>6719</v>
      </c>
      <c r="B1498" s="215">
        <f t="shared" si="69"/>
        <v>45752</v>
      </c>
      <c r="C1498" s="213" t="s">
        <v>4373</v>
      </c>
      <c r="D1498" s="213" t="s">
        <v>4369</v>
      </c>
      <c r="E1498" s="213" t="s">
        <v>4383</v>
      </c>
      <c r="F1498" s="212" t="s">
        <v>6525</v>
      </c>
      <c r="G1498" s="212" t="str">
        <f t="shared" si="70"/>
        <v>830소모품비(판)</v>
      </c>
      <c r="H1498" s="214">
        <v>36640</v>
      </c>
      <c r="I1498" s="214">
        <v>0</v>
      </c>
      <c r="J1498" s="214">
        <f t="shared" si="71"/>
        <v>-36640</v>
      </c>
      <c r="K1498" s="212" t="s">
        <v>6198</v>
      </c>
      <c r="L1498" s="213"/>
      <c r="M1498" s="212"/>
    </row>
    <row r="1499" spans="1:13" ht="21" customHeight="1">
      <c r="A1499" s="217" t="s">
        <v>6719</v>
      </c>
      <c r="B1499" s="215">
        <f t="shared" si="69"/>
        <v>45752</v>
      </c>
      <c r="C1499" s="213" t="s">
        <v>4373</v>
      </c>
      <c r="D1499" s="213" t="s">
        <v>4366</v>
      </c>
      <c r="E1499" s="213" t="s">
        <v>333</v>
      </c>
      <c r="F1499" s="212" t="s">
        <v>4365</v>
      </c>
      <c r="G1499" s="212" t="str">
        <f t="shared" si="70"/>
        <v>101현금</v>
      </c>
      <c r="H1499" s="214">
        <v>0</v>
      </c>
      <c r="I1499" s="214">
        <v>36640</v>
      </c>
      <c r="J1499" s="214">
        <f t="shared" si="71"/>
        <v>36640</v>
      </c>
      <c r="K1499" s="212" t="s">
        <v>6371</v>
      </c>
      <c r="L1499" s="213"/>
      <c r="M1499" s="212"/>
    </row>
    <row r="1500" spans="1:13" ht="21" customHeight="1">
      <c r="A1500" s="217" t="s">
        <v>6719</v>
      </c>
      <c r="B1500" s="215">
        <f t="shared" si="69"/>
        <v>45752</v>
      </c>
      <c r="C1500" s="213" t="s">
        <v>4382</v>
      </c>
      <c r="D1500" s="213" t="s">
        <v>4369</v>
      </c>
      <c r="E1500" s="213" t="s">
        <v>4383</v>
      </c>
      <c r="F1500" s="212" t="s">
        <v>6525</v>
      </c>
      <c r="G1500" s="212" t="str">
        <f t="shared" si="70"/>
        <v>830소모품비(판)</v>
      </c>
      <c r="H1500" s="214">
        <v>4194</v>
      </c>
      <c r="I1500" s="214">
        <v>0</v>
      </c>
      <c r="J1500" s="214">
        <f t="shared" si="71"/>
        <v>-4194</v>
      </c>
      <c r="K1500" s="212" t="s">
        <v>6720</v>
      </c>
      <c r="L1500" s="213"/>
      <c r="M1500" s="212"/>
    </row>
    <row r="1501" spans="1:13" ht="21" customHeight="1">
      <c r="A1501" s="217" t="s">
        <v>6719</v>
      </c>
      <c r="B1501" s="215">
        <f t="shared" si="69"/>
        <v>45752</v>
      </c>
      <c r="C1501" s="213" t="s">
        <v>4382</v>
      </c>
      <c r="D1501" s="213" t="s">
        <v>4366</v>
      </c>
      <c r="E1501" s="213" t="s">
        <v>333</v>
      </c>
      <c r="F1501" s="212" t="s">
        <v>4365</v>
      </c>
      <c r="G1501" s="212" t="str">
        <f t="shared" si="70"/>
        <v>101현금</v>
      </c>
      <c r="H1501" s="214">
        <v>0</v>
      </c>
      <c r="I1501" s="214">
        <v>4194</v>
      </c>
      <c r="J1501" s="214">
        <f t="shared" si="71"/>
        <v>4194</v>
      </c>
      <c r="K1501" s="212" t="s">
        <v>6720</v>
      </c>
      <c r="L1501" s="213"/>
      <c r="M1501" s="212"/>
    </row>
    <row r="1502" spans="1:13" ht="21" customHeight="1">
      <c r="A1502" s="217" t="s">
        <v>6719</v>
      </c>
      <c r="B1502" s="215">
        <f t="shared" si="69"/>
        <v>45752</v>
      </c>
      <c r="C1502" s="213" t="s">
        <v>4381</v>
      </c>
      <c r="D1502" s="213" t="s">
        <v>4369</v>
      </c>
      <c r="E1502" s="213" t="s">
        <v>4383</v>
      </c>
      <c r="F1502" s="212" t="s">
        <v>6525</v>
      </c>
      <c r="G1502" s="212" t="str">
        <f t="shared" si="70"/>
        <v>830소모품비(판)</v>
      </c>
      <c r="H1502" s="214">
        <v>5059</v>
      </c>
      <c r="I1502" s="214">
        <v>0</v>
      </c>
      <c r="J1502" s="214">
        <f t="shared" si="71"/>
        <v>-5059</v>
      </c>
      <c r="K1502" s="212" t="s">
        <v>6720</v>
      </c>
      <c r="L1502" s="213"/>
      <c r="M1502" s="212"/>
    </row>
    <row r="1503" spans="1:13" ht="21" customHeight="1">
      <c r="A1503" s="217" t="s">
        <v>6719</v>
      </c>
      <c r="B1503" s="215">
        <f t="shared" si="69"/>
        <v>45752</v>
      </c>
      <c r="C1503" s="213" t="s">
        <v>4381</v>
      </c>
      <c r="D1503" s="213" t="s">
        <v>4366</v>
      </c>
      <c r="E1503" s="213" t="s">
        <v>333</v>
      </c>
      <c r="F1503" s="212" t="s">
        <v>4365</v>
      </c>
      <c r="G1503" s="212" t="str">
        <f t="shared" si="70"/>
        <v>101현금</v>
      </c>
      <c r="H1503" s="214">
        <v>0</v>
      </c>
      <c r="I1503" s="214">
        <v>5059</v>
      </c>
      <c r="J1503" s="214">
        <f t="shared" si="71"/>
        <v>5059</v>
      </c>
      <c r="K1503" s="212" t="s">
        <v>6720</v>
      </c>
      <c r="L1503" s="213"/>
      <c r="M1503" s="212"/>
    </row>
    <row r="1504" spans="1:13" ht="21" customHeight="1">
      <c r="A1504" s="217" t="s">
        <v>6719</v>
      </c>
      <c r="B1504" s="215">
        <f t="shared" si="69"/>
        <v>45752</v>
      </c>
      <c r="C1504" s="213" t="s">
        <v>4367</v>
      </c>
      <c r="D1504" s="213" t="s">
        <v>4366</v>
      </c>
      <c r="E1504" s="213" t="s">
        <v>6176</v>
      </c>
      <c r="F1504" s="212" t="s">
        <v>6177</v>
      </c>
      <c r="G1504" s="212" t="str">
        <f t="shared" si="70"/>
        <v>255부가세예수금</v>
      </c>
      <c r="H1504" s="214">
        <v>0</v>
      </c>
      <c r="I1504" s="214">
        <v>40000</v>
      </c>
      <c r="J1504" s="214">
        <f t="shared" si="71"/>
        <v>40000</v>
      </c>
      <c r="K1504" s="212" t="s">
        <v>6187</v>
      </c>
      <c r="L1504" s="213"/>
      <c r="M1504" s="212" t="s">
        <v>6188</v>
      </c>
    </row>
    <row r="1505" spans="1:13" ht="21" customHeight="1">
      <c r="A1505" s="217" t="s">
        <v>6719</v>
      </c>
      <c r="B1505" s="215">
        <f t="shared" si="69"/>
        <v>45752</v>
      </c>
      <c r="C1505" s="213" t="s">
        <v>4367</v>
      </c>
      <c r="D1505" s="213" t="s">
        <v>4366</v>
      </c>
      <c r="E1505" s="213" t="s">
        <v>334</v>
      </c>
      <c r="F1505" s="212" t="s">
        <v>6158</v>
      </c>
      <c r="G1505" s="212" t="str">
        <f t="shared" si="70"/>
        <v>401용역매출</v>
      </c>
      <c r="H1505" s="214">
        <v>0</v>
      </c>
      <c r="I1505" s="214">
        <v>400000</v>
      </c>
      <c r="J1505" s="214">
        <f t="shared" si="71"/>
        <v>400000</v>
      </c>
      <c r="K1505" s="212" t="s">
        <v>6187</v>
      </c>
      <c r="L1505" s="213"/>
      <c r="M1505" s="212" t="s">
        <v>6188</v>
      </c>
    </row>
    <row r="1506" spans="1:13" ht="21" customHeight="1">
      <c r="A1506" s="217" t="s">
        <v>6719</v>
      </c>
      <c r="B1506" s="215">
        <f t="shared" si="69"/>
        <v>45752</v>
      </c>
      <c r="C1506" s="213" t="s">
        <v>4367</v>
      </c>
      <c r="D1506" s="213" t="s">
        <v>4369</v>
      </c>
      <c r="E1506" s="213" t="s">
        <v>333</v>
      </c>
      <c r="F1506" s="212" t="s">
        <v>4365</v>
      </c>
      <c r="G1506" s="212" t="str">
        <f t="shared" si="70"/>
        <v>101현금</v>
      </c>
      <c r="H1506" s="214">
        <v>440000</v>
      </c>
      <c r="I1506" s="214">
        <v>0</v>
      </c>
      <c r="J1506" s="214">
        <f t="shared" si="71"/>
        <v>-440000</v>
      </c>
      <c r="K1506" s="212" t="s">
        <v>6187</v>
      </c>
      <c r="L1506" s="213"/>
      <c r="M1506" s="212" t="s">
        <v>6188</v>
      </c>
    </row>
    <row r="1507" spans="1:13" ht="21" customHeight="1">
      <c r="A1507" s="216" t="s">
        <v>6718</v>
      </c>
      <c r="B1507" s="215">
        <f t="shared" si="69"/>
        <v>45753</v>
      </c>
      <c r="C1507" s="213" t="s">
        <v>4373</v>
      </c>
      <c r="D1507" s="213" t="s">
        <v>4369</v>
      </c>
      <c r="E1507" s="213" t="s">
        <v>4368</v>
      </c>
      <c r="F1507" s="212" t="s">
        <v>6388</v>
      </c>
      <c r="G1507" s="212" t="str">
        <f t="shared" si="70"/>
        <v>831지급수수료(판)</v>
      </c>
      <c r="H1507" s="214">
        <v>2990</v>
      </c>
      <c r="I1507" s="214">
        <v>0</v>
      </c>
      <c r="J1507" s="214">
        <f t="shared" si="71"/>
        <v>-2990</v>
      </c>
      <c r="K1507" s="212" t="s">
        <v>4384</v>
      </c>
      <c r="L1507" s="213"/>
      <c r="M1507" s="212"/>
    </row>
    <row r="1508" spans="1:13" ht="21" customHeight="1">
      <c r="A1508" s="216" t="s">
        <v>6718</v>
      </c>
      <c r="B1508" s="215">
        <f t="shared" si="69"/>
        <v>45753</v>
      </c>
      <c r="C1508" s="213" t="s">
        <v>4373</v>
      </c>
      <c r="D1508" s="213" t="s">
        <v>4366</v>
      </c>
      <c r="E1508" s="213" t="s">
        <v>333</v>
      </c>
      <c r="F1508" s="212" t="s">
        <v>4365</v>
      </c>
      <c r="G1508" s="212" t="str">
        <f t="shared" si="70"/>
        <v>101현금</v>
      </c>
      <c r="H1508" s="214">
        <v>0</v>
      </c>
      <c r="I1508" s="214">
        <v>2990</v>
      </c>
      <c r="J1508" s="214">
        <f t="shared" si="71"/>
        <v>2990</v>
      </c>
      <c r="K1508" s="212" t="s">
        <v>6371</v>
      </c>
      <c r="L1508" s="213"/>
      <c r="M1508" s="212"/>
    </row>
    <row r="1509" spans="1:13" ht="21" customHeight="1">
      <c r="A1509" s="216" t="s">
        <v>6718</v>
      </c>
      <c r="B1509" s="215">
        <f t="shared" si="69"/>
        <v>45753</v>
      </c>
      <c r="C1509" s="213" t="s">
        <v>4382</v>
      </c>
      <c r="D1509" s="213" t="s">
        <v>4369</v>
      </c>
      <c r="E1509" s="213" t="s">
        <v>4499</v>
      </c>
      <c r="F1509" s="212" t="s">
        <v>6517</v>
      </c>
      <c r="G1509" s="212" t="str">
        <f t="shared" si="70"/>
        <v>811복리후생비(판)</v>
      </c>
      <c r="H1509" s="214">
        <v>23311</v>
      </c>
      <c r="I1509" s="214">
        <v>0</v>
      </c>
      <c r="J1509" s="214">
        <f t="shared" si="71"/>
        <v>-23311</v>
      </c>
      <c r="K1509" s="212" t="s">
        <v>6373</v>
      </c>
      <c r="L1509" s="213"/>
      <c r="M1509" s="212"/>
    </row>
    <row r="1510" spans="1:13" ht="21" customHeight="1">
      <c r="A1510" s="216" t="s">
        <v>6718</v>
      </c>
      <c r="B1510" s="215">
        <f t="shared" si="69"/>
        <v>45753</v>
      </c>
      <c r="C1510" s="213" t="s">
        <v>4382</v>
      </c>
      <c r="D1510" s="213" t="s">
        <v>4366</v>
      </c>
      <c r="E1510" s="213" t="s">
        <v>333</v>
      </c>
      <c r="F1510" s="212" t="s">
        <v>4365</v>
      </c>
      <c r="G1510" s="212" t="str">
        <f t="shared" si="70"/>
        <v>101현금</v>
      </c>
      <c r="H1510" s="214">
        <v>0</v>
      </c>
      <c r="I1510" s="214">
        <v>23311</v>
      </c>
      <c r="J1510" s="214">
        <f t="shared" si="71"/>
        <v>23311</v>
      </c>
      <c r="K1510" s="212" t="s">
        <v>6373</v>
      </c>
      <c r="L1510" s="213"/>
      <c r="M1510" s="212"/>
    </row>
    <row r="1511" spans="1:13" ht="21" customHeight="1">
      <c r="A1511" s="213" t="s">
        <v>6717</v>
      </c>
      <c r="B1511" s="215">
        <f t="shared" si="69"/>
        <v>45754</v>
      </c>
      <c r="C1511" s="213" t="s">
        <v>4373</v>
      </c>
      <c r="D1511" s="213" t="s">
        <v>4369</v>
      </c>
      <c r="E1511" s="213" t="s">
        <v>4383</v>
      </c>
      <c r="F1511" s="212" t="s">
        <v>6525</v>
      </c>
      <c r="G1511" s="212" t="str">
        <f t="shared" si="70"/>
        <v>830소모품비(판)</v>
      </c>
      <c r="H1511" s="214">
        <v>15000</v>
      </c>
      <c r="I1511" s="214">
        <v>0</v>
      </c>
      <c r="J1511" s="214">
        <f t="shared" si="71"/>
        <v>-15000</v>
      </c>
      <c r="K1511" s="212" t="s">
        <v>6215</v>
      </c>
      <c r="L1511" s="213"/>
      <c r="M1511" s="212"/>
    </row>
    <row r="1512" spans="1:13" ht="21" customHeight="1">
      <c r="A1512" s="213" t="s">
        <v>6717</v>
      </c>
      <c r="B1512" s="215">
        <f t="shared" si="69"/>
        <v>45754</v>
      </c>
      <c r="C1512" s="213" t="s">
        <v>4373</v>
      </c>
      <c r="D1512" s="213" t="s">
        <v>4366</v>
      </c>
      <c r="E1512" s="213" t="s">
        <v>333</v>
      </c>
      <c r="F1512" s="212" t="s">
        <v>4365</v>
      </c>
      <c r="G1512" s="212" t="str">
        <f t="shared" si="70"/>
        <v>101현금</v>
      </c>
      <c r="H1512" s="214">
        <v>0</v>
      </c>
      <c r="I1512" s="214">
        <v>15000</v>
      </c>
      <c r="J1512" s="214">
        <f t="shared" si="71"/>
        <v>15000</v>
      </c>
      <c r="K1512" s="212" t="s">
        <v>6371</v>
      </c>
      <c r="L1512" s="213"/>
      <c r="M1512" s="212"/>
    </row>
    <row r="1513" spans="1:13" ht="21" customHeight="1">
      <c r="A1513" s="213" t="s">
        <v>6717</v>
      </c>
      <c r="B1513" s="215">
        <f t="shared" si="69"/>
        <v>45754</v>
      </c>
      <c r="C1513" s="213" t="s">
        <v>4367</v>
      </c>
      <c r="D1513" s="213" t="s">
        <v>4369</v>
      </c>
      <c r="E1513" s="213" t="s">
        <v>4371</v>
      </c>
      <c r="F1513" s="212" t="s">
        <v>4370</v>
      </c>
      <c r="G1513" s="212" t="str">
        <f t="shared" si="70"/>
        <v>135부가세대급금</v>
      </c>
      <c r="H1513" s="214">
        <v>1920</v>
      </c>
      <c r="I1513" s="214">
        <v>0</v>
      </c>
      <c r="J1513" s="214">
        <f t="shared" si="71"/>
        <v>-1920</v>
      </c>
      <c r="K1513" s="212" t="s">
        <v>4524</v>
      </c>
      <c r="L1513" s="213"/>
      <c r="M1513" s="212" t="s">
        <v>6199</v>
      </c>
    </row>
    <row r="1514" spans="1:13" ht="21" customHeight="1">
      <c r="A1514" s="213" t="s">
        <v>6717</v>
      </c>
      <c r="B1514" s="215">
        <f t="shared" si="69"/>
        <v>45754</v>
      </c>
      <c r="C1514" s="213" t="s">
        <v>4367</v>
      </c>
      <c r="D1514" s="213" t="s">
        <v>4369</v>
      </c>
      <c r="E1514" s="213" t="s">
        <v>4386</v>
      </c>
      <c r="F1514" s="212" t="s">
        <v>6420</v>
      </c>
      <c r="G1514" s="212" t="str">
        <f t="shared" si="70"/>
        <v>814통신비(판)</v>
      </c>
      <c r="H1514" s="214">
        <v>19200</v>
      </c>
      <c r="I1514" s="214">
        <v>0</v>
      </c>
      <c r="J1514" s="214">
        <f t="shared" si="71"/>
        <v>-19200</v>
      </c>
      <c r="K1514" s="212" t="s">
        <v>4524</v>
      </c>
      <c r="L1514" s="213"/>
      <c r="M1514" s="212" t="s">
        <v>6199</v>
      </c>
    </row>
    <row r="1515" spans="1:13" ht="21" customHeight="1">
      <c r="A1515" s="213" t="s">
        <v>6717</v>
      </c>
      <c r="B1515" s="215">
        <f t="shared" si="69"/>
        <v>45754</v>
      </c>
      <c r="C1515" s="213" t="s">
        <v>4367</v>
      </c>
      <c r="D1515" s="213" t="s">
        <v>4366</v>
      </c>
      <c r="E1515" s="213" t="s">
        <v>333</v>
      </c>
      <c r="F1515" s="212" t="s">
        <v>4365</v>
      </c>
      <c r="G1515" s="212" t="str">
        <f t="shared" si="70"/>
        <v>101현금</v>
      </c>
      <c r="H1515" s="214">
        <v>0</v>
      </c>
      <c r="I1515" s="214">
        <v>21120</v>
      </c>
      <c r="J1515" s="214">
        <f t="shared" si="71"/>
        <v>21120</v>
      </c>
      <c r="K1515" s="212" t="s">
        <v>4524</v>
      </c>
      <c r="L1515" s="213"/>
      <c r="M1515" s="212" t="s">
        <v>6199</v>
      </c>
    </row>
    <row r="1516" spans="1:13" ht="21" customHeight="1">
      <c r="A1516" s="213" t="s">
        <v>6717</v>
      </c>
      <c r="B1516" s="215">
        <f t="shared" si="69"/>
        <v>45754</v>
      </c>
      <c r="C1516" s="213" t="s">
        <v>4374</v>
      </c>
      <c r="D1516" s="213" t="s">
        <v>4369</v>
      </c>
      <c r="E1516" s="213" t="s">
        <v>4500</v>
      </c>
      <c r="F1516" s="212" t="s">
        <v>6418</v>
      </c>
      <c r="G1516" s="212" t="str">
        <f t="shared" si="70"/>
        <v>822차량유지비(판)</v>
      </c>
      <c r="H1516" s="214">
        <v>5500</v>
      </c>
      <c r="I1516" s="214">
        <v>0</v>
      </c>
      <c r="J1516" s="214">
        <f t="shared" si="71"/>
        <v>-5500</v>
      </c>
      <c r="K1516" s="212" t="s">
        <v>6284</v>
      </c>
      <c r="L1516" s="213"/>
      <c r="M1516" s="212" t="s">
        <v>6285</v>
      </c>
    </row>
    <row r="1517" spans="1:13" ht="21" customHeight="1">
      <c r="A1517" s="213" t="s">
        <v>6717</v>
      </c>
      <c r="B1517" s="215">
        <f t="shared" si="69"/>
        <v>45754</v>
      </c>
      <c r="C1517" s="213" t="s">
        <v>4374</v>
      </c>
      <c r="D1517" s="213" t="s">
        <v>4366</v>
      </c>
      <c r="E1517" s="213" t="s">
        <v>333</v>
      </c>
      <c r="F1517" s="212" t="s">
        <v>4365</v>
      </c>
      <c r="G1517" s="212" t="str">
        <f t="shared" si="70"/>
        <v>101현금</v>
      </c>
      <c r="H1517" s="214">
        <v>0</v>
      </c>
      <c r="I1517" s="214">
        <v>5500</v>
      </c>
      <c r="J1517" s="214">
        <f t="shared" si="71"/>
        <v>5500</v>
      </c>
      <c r="K1517" s="212" t="s">
        <v>6284</v>
      </c>
      <c r="L1517" s="213"/>
      <c r="M1517" s="212" t="s">
        <v>6285</v>
      </c>
    </row>
    <row r="1518" spans="1:13" ht="21" customHeight="1">
      <c r="A1518" s="213" t="s">
        <v>6716</v>
      </c>
      <c r="B1518" s="215">
        <f t="shared" si="69"/>
        <v>45755</v>
      </c>
      <c r="C1518" s="213" t="s">
        <v>4373</v>
      </c>
      <c r="D1518" s="213" t="s">
        <v>4369</v>
      </c>
      <c r="E1518" s="213" t="s">
        <v>4499</v>
      </c>
      <c r="F1518" s="212" t="s">
        <v>6517</v>
      </c>
      <c r="G1518" s="212" t="str">
        <f t="shared" si="70"/>
        <v>811복리후생비(판)</v>
      </c>
      <c r="H1518" s="214">
        <v>5100</v>
      </c>
      <c r="I1518" s="214">
        <v>0</v>
      </c>
      <c r="J1518" s="214">
        <f t="shared" si="71"/>
        <v>-5100</v>
      </c>
      <c r="K1518" s="212" t="s">
        <v>6352</v>
      </c>
      <c r="L1518" s="213"/>
      <c r="M1518" s="212"/>
    </row>
    <row r="1519" spans="1:13" ht="21" customHeight="1">
      <c r="A1519" s="213" t="s">
        <v>6716</v>
      </c>
      <c r="B1519" s="215">
        <f t="shared" si="69"/>
        <v>45755</v>
      </c>
      <c r="C1519" s="213" t="s">
        <v>4373</v>
      </c>
      <c r="D1519" s="213" t="s">
        <v>4366</v>
      </c>
      <c r="E1519" s="213" t="s">
        <v>333</v>
      </c>
      <c r="F1519" s="212" t="s">
        <v>4365</v>
      </c>
      <c r="G1519" s="212" t="str">
        <f t="shared" si="70"/>
        <v>101현금</v>
      </c>
      <c r="H1519" s="214">
        <v>0</v>
      </c>
      <c r="I1519" s="214">
        <v>5100</v>
      </c>
      <c r="J1519" s="214">
        <f t="shared" si="71"/>
        <v>5100</v>
      </c>
      <c r="K1519" s="212" t="s">
        <v>6369</v>
      </c>
      <c r="L1519" s="213"/>
      <c r="M1519" s="212"/>
    </row>
    <row r="1520" spans="1:13" ht="21" customHeight="1">
      <c r="A1520" s="213" t="s">
        <v>6716</v>
      </c>
      <c r="B1520" s="215">
        <f t="shared" si="69"/>
        <v>45755</v>
      </c>
      <c r="C1520" s="213" t="s">
        <v>4382</v>
      </c>
      <c r="D1520" s="213" t="s">
        <v>4369</v>
      </c>
      <c r="E1520" s="213" t="s">
        <v>4380</v>
      </c>
      <c r="F1520" s="212" t="s">
        <v>6515</v>
      </c>
      <c r="G1520" s="212" t="str">
        <f t="shared" si="70"/>
        <v>812여비교통비(판)</v>
      </c>
      <c r="H1520" s="214">
        <v>1700</v>
      </c>
      <c r="I1520" s="214">
        <v>0</v>
      </c>
      <c r="J1520" s="214">
        <f t="shared" si="71"/>
        <v>-1700</v>
      </c>
      <c r="K1520" s="212" t="s">
        <v>6316</v>
      </c>
      <c r="L1520" s="213"/>
      <c r="M1520" s="212"/>
    </row>
    <row r="1521" spans="1:13" ht="21" customHeight="1">
      <c r="A1521" s="213" t="s">
        <v>6716</v>
      </c>
      <c r="B1521" s="215">
        <f t="shared" si="69"/>
        <v>45755</v>
      </c>
      <c r="C1521" s="213" t="s">
        <v>4382</v>
      </c>
      <c r="D1521" s="213" t="s">
        <v>4366</v>
      </c>
      <c r="E1521" s="213" t="s">
        <v>333</v>
      </c>
      <c r="F1521" s="212" t="s">
        <v>4365</v>
      </c>
      <c r="G1521" s="212" t="str">
        <f t="shared" si="70"/>
        <v>101현금</v>
      </c>
      <c r="H1521" s="214">
        <v>0</v>
      </c>
      <c r="I1521" s="214">
        <v>1700</v>
      </c>
      <c r="J1521" s="214">
        <f t="shared" si="71"/>
        <v>1700</v>
      </c>
      <c r="K1521" s="212" t="s">
        <v>6369</v>
      </c>
      <c r="L1521" s="213"/>
      <c r="M1521" s="212"/>
    </row>
    <row r="1522" spans="1:13" ht="21" customHeight="1">
      <c r="A1522" s="213" t="s">
        <v>6716</v>
      </c>
      <c r="B1522" s="215">
        <f t="shared" si="69"/>
        <v>45755</v>
      </c>
      <c r="C1522" s="213" t="s">
        <v>4381</v>
      </c>
      <c r="D1522" s="213" t="s">
        <v>4369</v>
      </c>
      <c r="E1522" s="213" t="s">
        <v>4380</v>
      </c>
      <c r="F1522" s="212" t="s">
        <v>6515</v>
      </c>
      <c r="G1522" s="212" t="str">
        <f t="shared" si="70"/>
        <v>812여비교통비(판)</v>
      </c>
      <c r="H1522" s="214">
        <v>4000</v>
      </c>
      <c r="I1522" s="214">
        <v>0</v>
      </c>
      <c r="J1522" s="214">
        <f t="shared" si="71"/>
        <v>-4000</v>
      </c>
      <c r="K1522" s="212" t="s">
        <v>6316</v>
      </c>
      <c r="L1522" s="213"/>
      <c r="M1522" s="212"/>
    </row>
    <row r="1523" spans="1:13" ht="21" customHeight="1">
      <c r="A1523" s="213" t="s">
        <v>6716</v>
      </c>
      <c r="B1523" s="215">
        <f t="shared" si="69"/>
        <v>45755</v>
      </c>
      <c r="C1523" s="213" t="s">
        <v>4381</v>
      </c>
      <c r="D1523" s="213" t="s">
        <v>4366</v>
      </c>
      <c r="E1523" s="213" t="s">
        <v>333</v>
      </c>
      <c r="F1523" s="212" t="s">
        <v>4365</v>
      </c>
      <c r="G1523" s="212" t="str">
        <f t="shared" si="70"/>
        <v>101현금</v>
      </c>
      <c r="H1523" s="214">
        <v>0</v>
      </c>
      <c r="I1523" s="214">
        <v>4000</v>
      </c>
      <c r="J1523" s="214">
        <f t="shared" si="71"/>
        <v>4000</v>
      </c>
      <c r="K1523" s="212" t="s">
        <v>6369</v>
      </c>
      <c r="L1523" s="213"/>
      <c r="M1523" s="212"/>
    </row>
    <row r="1524" spans="1:13" ht="21" customHeight="1">
      <c r="A1524" s="213" t="s">
        <v>6716</v>
      </c>
      <c r="B1524" s="215">
        <f t="shared" si="69"/>
        <v>45755</v>
      </c>
      <c r="C1524" s="213" t="s">
        <v>4379</v>
      </c>
      <c r="D1524" s="213" t="s">
        <v>4369</v>
      </c>
      <c r="E1524" s="213" t="s">
        <v>4380</v>
      </c>
      <c r="F1524" s="212" t="s">
        <v>6515</v>
      </c>
      <c r="G1524" s="212" t="str">
        <f t="shared" si="70"/>
        <v>812여비교통비(판)</v>
      </c>
      <c r="H1524" s="214">
        <v>1800</v>
      </c>
      <c r="I1524" s="214">
        <v>0</v>
      </c>
      <c r="J1524" s="214">
        <f t="shared" si="71"/>
        <v>-1800</v>
      </c>
      <c r="K1524" s="212" t="s">
        <v>6305</v>
      </c>
      <c r="L1524" s="213"/>
      <c r="M1524" s="212"/>
    </row>
    <row r="1525" spans="1:13" ht="21" customHeight="1">
      <c r="A1525" s="213" t="s">
        <v>6716</v>
      </c>
      <c r="B1525" s="215">
        <f t="shared" si="69"/>
        <v>45755</v>
      </c>
      <c r="C1525" s="213" t="s">
        <v>4379</v>
      </c>
      <c r="D1525" s="213" t="s">
        <v>4366</v>
      </c>
      <c r="E1525" s="213" t="s">
        <v>333</v>
      </c>
      <c r="F1525" s="212" t="s">
        <v>4365</v>
      </c>
      <c r="G1525" s="212" t="str">
        <f t="shared" si="70"/>
        <v>101현금</v>
      </c>
      <c r="H1525" s="214">
        <v>0</v>
      </c>
      <c r="I1525" s="214">
        <v>1800</v>
      </c>
      <c r="J1525" s="214">
        <f t="shared" si="71"/>
        <v>1800</v>
      </c>
      <c r="K1525" s="212" t="s">
        <v>6369</v>
      </c>
      <c r="L1525" s="213"/>
      <c r="M1525" s="212"/>
    </row>
    <row r="1526" spans="1:13" ht="21" customHeight="1">
      <c r="A1526" s="213" t="s">
        <v>6716</v>
      </c>
      <c r="B1526" s="215">
        <f t="shared" si="69"/>
        <v>45755</v>
      </c>
      <c r="C1526" s="213" t="s">
        <v>4385</v>
      </c>
      <c r="D1526" s="213" t="s">
        <v>4369</v>
      </c>
      <c r="E1526" s="213" t="s">
        <v>4368</v>
      </c>
      <c r="F1526" s="212" t="s">
        <v>6388</v>
      </c>
      <c r="G1526" s="212" t="str">
        <f t="shared" si="70"/>
        <v>831지급수수료(판)</v>
      </c>
      <c r="H1526" s="214">
        <v>4000</v>
      </c>
      <c r="I1526" s="214">
        <v>0</v>
      </c>
      <c r="J1526" s="214">
        <f t="shared" si="71"/>
        <v>-4000</v>
      </c>
      <c r="K1526" s="212" t="s">
        <v>4384</v>
      </c>
      <c r="L1526" s="213"/>
      <c r="M1526" s="212"/>
    </row>
    <row r="1527" spans="1:13" ht="21" customHeight="1">
      <c r="A1527" s="213" t="s">
        <v>6716</v>
      </c>
      <c r="B1527" s="215">
        <f t="shared" si="69"/>
        <v>45755</v>
      </c>
      <c r="C1527" s="213" t="s">
        <v>4385</v>
      </c>
      <c r="D1527" s="213" t="s">
        <v>4366</v>
      </c>
      <c r="E1527" s="213" t="s">
        <v>333</v>
      </c>
      <c r="F1527" s="212" t="s">
        <v>4365</v>
      </c>
      <c r="G1527" s="212" t="str">
        <f t="shared" si="70"/>
        <v>101현금</v>
      </c>
      <c r="H1527" s="214">
        <v>0</v>
      </c>
      <c r="I1527" s="214">
        <v>4000</v>
      </c>
      <c r="J1527" s="214">
        <f t="shared" si="71"/>
        <v>4000</v>
      </c>
      <c r="K1527" s="212" t="s">
        <v>6369</v>
      </c>
      <c r="L1527" s="213"/>
      <c r="M1527" s="212"/>
    </row>
    <row r="1528" spans="1:13" ht="21" customHeight="1">
      <c r="A1528" s="213" t="s">
        <v>6716</v>
      </c>
      <c r="B1528" s="215">
        <f t="shared" si="69"/>
        <v>45755</v>
      </c>
      <c r="C1528" s="213" t="s">
        <v>4367</v>
      </c>
      <c r="D1528" s="213" t="s">
        <v>4366</v>
      </c>
      <c r="E1528" s="213" t="s">
        <v>6176</v>
      </c>
      <c r="F1528" s="212" t="s">
        <v>6177</v>
      </c>
      <c r="G1528" s="212" t="str">
        <f t="shared" si="70"/>
        <v>255부가세예수금</v>
      </c>
      <c r="H1528" s="214">
        <v>0</v>
      </c>
      <c r="I1528" s="214">
        <v>20000</v>
      </c>
      <c r="J1528" s="214">
        <f t="shared" si="71"/>
        <v>20000</v>
      </c>
      <c r="K1528" s="212" t="s">
        <v>6414</v>
      </c>
      <c r="L1528" s="213"/>
      <c r="M1528" s="212" t="s">
        <v>6231</v>
      </c>
    </row>
    <row r="1529" spans="1:13" ht="21" customHeight="1">
      <c r="A1529" s="213" t="s">
        <v>6716</v>
      </c>
      <c r="B1529" s="215">
        <f t="shared" si="69"/>
        <v>45755</v>
      </c>
      <c r="C1529" s="213" t="s">
        <v>4367</v>
      </c>
      <c r="D1529" s="213" t="s">
        <v>4366</v>
      </c>
      <c r="E1529" s="213" t="s">
        <v>334</v>
      </c>
      <c r="F1529" s="212" t="s">
        <v>6158</v>
      </c>
      <c r="G1529" s="212" t="str">
        <f t="shared" si="70"/>
        <v>401용역매출</v>
      </c>
      <c r="H1529" s="214">
        <v>0</v>
      </c>
      <c r="I1529" s="214">
        <v>200000</v>
      </c>
      <c r="J1529" s="214">
        <f t="shared" si="71"/>
        <v>200000</v>
      </c>
      <c r="K1529" s="212" t="s">
        <v>6414</v>
      </c>
      <c r="L1529" s="213"/>
      <c r="M1529" s="212" t="s">
        <v>6231</v>
      </c>
    </row>
    <row r="1530" spans="1:13" ht="21" customHeight="1">
      <c r="A1530" s="213" t="s">
        <v>6716</v>
      </c>
      <c r="B1530" s="215">
        <f t="shared" si="69"/>
        <v>45755</v>
      </c>
      <c r="C1530" s="213" t="s">
        <v>4367</v>
      </c>
      <c r="D1530" s="213" t="s">
        <v>4369</v>
      </c>
      <c r="E1530" s="213" t="s">
        <v>333</v>
      </c>
      <c r="F1530" s="212" t="s">
        <v>4365</v>
      </c>
      <c r="G1530" s="212" t="str">
        <f t="shared" si="70"/>
        <v>101현금</v>
      </c>
      <c r="H1530" s="214">
        <v>220000</v>
      </c>
      <c r="I1530" s="214">
        <v>0</v>
      </c>
      <c r="J1530" s="214">
        <f t="shared" si="71"/>
        <v>-220000</v>
      </c>
      <c r="K1530" s="212" t="s">
        <v>6414</v>
      </c>
      <c r="L1530" s="213"/>
      <c r="M1530" s="212" t="s">
        <v>6231</v>
      </c>
    </row>
    <row r="1531" spans="1:13" ht="21" customHeight="1">
      <c r="A1531" s="213" t="s">
        <v>6716</v>
      </c>
      <c r="B1531" s="215">
        <f t="shared" si="69"/>
        <v>45755</v>
      </c>
      <c r="C1531" s="213" t="s">
        <v>4374</v>
      </c>
      <c r="D1531" s="213" t="s">
        <v>4366</v>
      </c>
      <c r="E1531" s="213" t="s">
        <v>6176</v>
      </c>
      <c r="F1531" s="212" t="s">
        <v>6177</v>
      </c>
      <c r="G1531" s="212" t="str">
        <f t="shared" si="70"/>
        <v>255부가세예수금</v>
      </c>
      <c r="H1531" s="214">
        <v>0</v>
      </c>
      <c r="I1531" s="214">
        <v>-20000</v>
      </c>
      <c r="J1531" s="214">
        <f t="shared" si="71"/>
        <v>-20000</v>
      </c>
      <c r="K1531" s="212" t="s">
        <v>6414</v>
      </c>
      <c r="L1531" s="213"/>
      <c r="M1531" s="212" t="s">
        <v>6361</v>
      </c>
    </row>
    <row r="1532" spans="1:13" ht="21" customHeight="1">
      <c r="A1532" s="213" t="s">
        <v>6716</v>
      </c>
      <c r="B1532" s="215">
        <f t="shared" si="69"/>
        <v>45755</v>
      </c>
      <c r="C1532" s="213" t="s">
        <v>4374</v>
      </c>
      <c r="D1532" s="213" t="s">
        <v>4366</v>
      </c>
      <c r="E1532" s="213" t="s">
        <v>334</v>
      </c>
      <c r="F1532" s="212" t="s">
        <v>6158</v>
      </c>
      <c r="G1532" s="212" t="str">
        <f t="shared" si="70"/>
        <v>401용역매출</v>
      </c>
      <c r="H1532" s="214">
        <v>0</v>
      </c>
      <c r="I1532" s="214">
        <v>-200000</v>
      </c>
      <c r="J1532" s="214">
        <f t="shared" si="71"/>
        <v>-200000</v>
      </c>
      <c r="K1532" s="212" t="s">
        <v>6414</v>
      </c>
      <c r="L1532" s="213"/>
      <c r="M1532" s="212" t="s">
        <v>6361</v>
      </c>
    </row>
    <row r="1533" spans="1:13" ht="21" customHeight="1">
      <c r="A1533" s="213" t="s">
        <v>6716</v>
      </c>
      <c r="B1533" s="215">
        <f t="shared" si="69"/>
        <v>45755</v>
      </c>
      <c r="C1533" s="213" t="s">
        <v>4374</v>
      </c>
      <c r="D1533" s="213" t="s">
        <v>4369</v>
      </c>
      <c r="E1533" s="213" t="s">
        <v>333</v>
      </c>
      <c r="F1533" s="212" t="s">
        <v>4365</v>
      </c>
      <c r="G1533" s="212" t="str">
        <f t="shared" si="70"/>
        <v>101현금</v>
      </c>
      <c r="H1533" s="214">
        <v>-220000</v>
      </c>
      <c r="I1533" s="214">
        <v>0</v>
      </c>
      <c r="J1533" s="214">
        <f t="shared" si="71"/>
        <v>220000</v>
      </c>
      <c r="K1533" s="212" t="s">
        <v>6414</v>
      </c>
      <c r="L1533" s="213"/>
      <c r="M1533" s="212" t="s">
        <v>6361</v>
      </c>
    </row>
    <row r="1534" spans="1:13" ht="21" customHeight="1">
      <c r="A1534" s="213" t="s">
        <v>6716</v>
      </c>
      <c r="B1534" s="215">
        <f t="shared" si="69"/>
        <v>45755</v>
      </c>
      <c r="C1534" s="213" t="s">
        <v>6182</v>
      </c>
      <c r="D1534" s="213" t="s">
        <v>4366</v>
      </c>
      <c r="E1534" s="213" t="s">
        <v>6176</v>
      </c>
      <c r="F1534" s="212" t="s">
        <v>6177</v>
      </c>
      <c r="G1534" s="212" t="str">
        <f t="shared" si="70"/>
        <v>255부가세예수금</v>
      </c>
      <c r="H1534" s="214">
        <v>0</v>
      </c>
      <c r="I1534" s="214">
        <v>20000</v>
      </c>
      <c r="J1534" s="214">
        <f t="shared" si="71"/>
        <v>20000</v>
      </c>
      <c r="K1534" s="212" t="s">
        <v>6414</v>
      </c>
      <c r="L1534" s="213"/>
      <c r="M1534" s="212" t="s">
        <v>6231</v>
      </c>
    </row>
    <row r="1535" spans="1:13" ht="21" customHeight="1">
      <c r="A1535" s="213" t="s">
        <v>6716</v>
      </c>
      <c r="B1535" s="215">
        <f t="shared" si="69"/>
        <v>45755</v>
      </c>
      <c r="C1535" s="213" t="s">
        <v>6182</v>
      </c>
      <c r="D1535" s="213" t="s">
        <v>4366</v>
      </c>
      <c r="E1535" s="213" t="s">
        <v>334</v>
      </c>
      <c r="F1535" s="212" t="s">
        <v>6158</v>
      </c>
      <c r="G1535" s="212" t="str">
        <f t="shared" si="70"/>
        <v>401용역매출</v>
      </c>
      <c r="H1535" s="214">
        <v>0</v>
      </c>
      <c r="I1535" s="214">
        <v>200000</v>
      </c>
      <c r="J1535" s="214">
        <f t="shared" si="71"/>
        <v>200000</v>
      </c>
      <c r="K1535" s="212" t="s">
        <v>6414</v>
      </c>
      <c r="L1535" s="213"/>
      <c r="M1535" s="212" t="s">
        <v>6231</v>
      </c>
    </row>
    <row r="1536" spans="1:13" ht="21" customHeight="1">
      <c r="A1536" s="213" t="s">
        <v>6716</v>
      </c>
      <c r="B1536" s="215">
        <f t="shared" si="69"/>
        <v>45755</v>
      </c>
      <c r="C1536" s="213" t="s">
        <v>6182</v>
      </c>
      <c r="D1536" s="213" t="s">
        <v>4369</v>
      </c>
      <c r="E1536" s="213" t="s">
        <v>333</v>
      </c>
      <c r="F1536" s="212" t="s">
        <v>4365</v>
      </c>
      <c r="G1536" s="212" t="str">
        <f t="shared" si="70"/>
        <v>101현금</v>
      </c>
      <c r="H1536" s="214">
        <v>220000</v>
      </c>
      <c r="I1536" s="214">
        <v>0</v>
      </c>
      <c r="J1536" s="214">
        <f t="shared" si="71"/>
        <v>-220000</v>
      </c>
      <c r="K1536" s="212" t="s">
        <v>6414</v>
      </c>
      <c r="L1536" s="213"/>
      <c r="M1536" s="212" t="s">
        <v>6231</v>
      </c>
    </row>
    <row r="1537" spans="1:13" ht="21" customHeight="1">
      <c r="A1537" s="213" t="s">
        <v>6716</v>
      </c>
      <c r="B1537" s="215">
        <f t="shared" si="69"/>
        <v>45755</v>
      </c>
      <c r="C1537" s="213" t="s">
        <v>6184</v>
      </c>
      <c r="D1537" s="213" t="s">
        <v>4366</v>
      </c>
      <c r="E1537" s="213" t="s">
        <v>6176</v>
      </c>
      <c r="F1537" s="212" t="s">
        <v>6177</v>
      </c>
      <c r="G1537" s="212" t="str">
        <f t="shared" si="70"/>
        <v>255부가세예수금</v>
      </c>
      <c r="H1537" s="214">
        <v>0</v>
      </c>
      <c r="I1537" s="214">
        <v>15000</v>
      </c>
      <c r="J1537" s="214">
        <f t="shared" si="71"/>
        <v>15000</v>
      </c>
      <c r="K1537" s="212" t="s">
        <v>6265</v>
      </c>
      <c r="L1537" s="213"/>
      <c r="M1537" s="212" t="s">
        <v>6179</v>
      </c>
    </row>
    <row r="1538" spans="1:13" ht="21" customHeight="1">
      <c r="A1538" s="213" t="s">
        <v>6716</v>
      </c>
      <c r="B1538" s="215">
        <f t="shared" ref="B1538:B1601" si="72">DATEVALUE(A1538)</f>
        <v>45755</v>
      </c>
      <c r="C1538" s="213" t="s">
        <v>6184</v>
      </c>
      <c r="D1538" s="213" t="s">
        <v>4366</v>
      </c>
      <c r="E1538" s="213" t="s">
        <v>334</v>
      </c>
      <c r="F1538" s="212" t="s">
        <v>6158</v>
      </c>
      <c r="G1538" s="212" t="str">
        <f t="shared" ref="G1538:G1601" si="73">E1538&amp;F1538</f>
        <v>401용역매출</v>
      </c>
      <c r="H1538" s="214">
        <v>0</v>
      </c>
      <c r="I1538" s="214">
        <v>150000</v>
      </c>
      <c r="J1538" s="214">
        <f t="shared" ref="J1538:J1601" si="74">I1538-H1538</f>
        <v>150000</v>
      </c>
      <c r="K1538" s="212" t="s">
        <v>6265</v>
      </c>
      <c r="L1538" s="213"/>
      <c r="M1538" s="212" t="s">
        <v>6179</v>
      </c>
    </row>
    <row r="1539" spans="1:13" ht="21" customHeight="1">
      <c r="A1539" s="213" t="s">
        <v>6716</v>
      </c>
      <c r="B1539" s="215">
        <f t="shared" si="72"/>
        <v>45755</v>
      </c>
      <c r="C1539" s="213" t="s">
        <v>6184</v>
      </c>
      <c r="D1539" s="213" t="s">
        <v>4369</v>
      </c>
      <c r="E1539" s="213" t="s">
        <v>333</v>
      </c>
      <c r="F1539" s="212" t="s">
        <v>4365</v>
      </c>
      <c r="G1539" s="212" t="str">
        <f t="shared" si="73"/>
        <v>101현금</v>
      </c>
      <c r="H1539" s="214">
        <v>165000</v>
      </c>
      <c r="I1539" s="214">
        <v>0</v>
      </c>
      <c r="J1539" s="214">
        <f t="shared" si="74"/>
        <v>-165000</v>
      </c>
      <c r="K1539" s="212" t="s">
        <v>6265</v>
      </c>
      <c r="L1539" s="213"/>
      <c r="M1539" s="212" t="s">
        <v>6179</v>
      </c>
    </row>
    <row r="1540" spans="1:13" ht="21" customHeight="1">
      <c r="A1540" s="213" t="s">
        <v>6715</v>
      </c>
      <c r="B1540" s="215">
        <f t="shared" si="72"/>
        <v>45756</v>
      </c>
      <c r="C1540" s="213" t="s">
        <v>4373</v>
      </c>
      <c r="D1540" s="213" t="s">
        <v>4369</v>
      </c>
      <c r="E1540" s="213" t="s">
        <v>4383</v>
      </c>
      <c r="F1540" s="212" t="s">
        <v>6525</v>
      </c>
      <c r="G1540" s="212" t="str">
        <f t="shared" si="73"/>
        <v>830소모품비(판)</v>
      </c>
      <c r="H1540" s="214">
        <v>5267</v>
      </c>
      <c r="I1540" s="214">
        <v>0</v>
      </c>
      <c r="J1540" s="214">
        <f t="shared" si="74"/>
        <v>-5267</v>
      </c>
      <c r="K1540" s="212" t="s">
        <v>6576</v>
      </c>
      <c r="L1540" s="213"/>
      <c r="M1540" s="212"/>
    </row>
    <row r="1541" spans="1:13" ht="21" customHeight="1">
      <c r="A1541" s="213" t="s">
        <v>6715</v>
      </c>
      <c r="B1541" s="215">
        <f t="shared" si="72"/>
        <v>45756</v>
      </c>
      <c r="C1541" s="213" t="s">
        <v>4373</v>
      </c>
      <c r="D1541" s="213" t="s">
        <v>4366</v>
      </c>
      <c r="E1541" s="213" t="s">
        <v>333</v>
      </c>
      <c r="F1541" s="212" t="s">
        <v>4365</v>
      </c>
      <c r="G1541" s="212" t="str">
        <f t="shared" si="73"/>
        <v>101현금</v>
      </c>
      <c r="H1541" s="214">
        <v>0</v>
      </c>
      <c r="I1541" s="214">
        <v>5267</v>
      </c>
      <c r="J1541" s="214">
        <f t="shared" si="74"/>
        <v>5267</v>
      </c>
      <c r="K1541" s="212" t="s">
        <v>6371</v>
      </c>
      <c r="L1541" s="213"/>
      <c r="M1541" s="212"/>
    </row>
    <row r="1542" spans="1:13" ht="21" customHeight="1">
      <c r="A1542" s="213" t="s">
        <v>6715</v>
      </c>
      <c r="B1542" s="215">
        <f t="shared" si="72"/>
        <v>45756</v>
      </c>
      <c r="C1542" s="213" t="s">
        <v>4382</v>
      </c>
      <c r="D1542" s="213" t="s">
        <v>4369</v>
      </c>
      <c r="E1542" s="213" t="s">
        <v>4380</v>
      </c>
      <c r="F1542" s="212" t="s">
        <v>6515</v>
      </c>
      <c r="G1542" s="212" t="str">
        <f t="shared" si="73"/>
        <v>812여비교통비(판)</v>
      </c>
      <c r="H1542" s="214">
        <v>11400</v>
      </c>
      <c r="I1542" s="214">
        <v>0</v>
      </c>
      <c r="J1542" s="214">
        <f t="shared" si="74"/>
        <v>-11400</v>
      </c>
      <c r="K1542" s="212" t="s">
        <v>6164</v>
      </c>
      <c r="L1542" s="213"/>
      <c r="M1542" s="212"/>
    </row>
    <row r="1543" spans="1:13" ht="21" customHeight="1">
      <c r="A1543" s="213" t="s">
        <v>6715</v>
      </c>
      <c r="B1543" s="215">
        <f t="shared" si="72"/>
        <v>45756</v>
      </c>
      <c r="C1543" s="213" t="s">
        <v>4382</v>
      </c>
      <c r="D1543" s="213" t="s">
        <v>4366</v>
      </c>
      <c r="E1543" s="213" t="s">
        <v>333</v>
      </c>
      <c r="F1543" s="212" t="s">
        <v>4365</v>
      </c>
      <c r="G1543" s="212" t="str">
        <f t="shared" si="73"/>
        <v>101현금</v>
      </c>
      <c r="H1543" s="214">
        <v>0</v>
      </c>
      <c r="I1543" s="214">
        <v>11400</v>
      </c>
      <c r="J1543" s="214">
        <f t="shared" si="74"/>
        <v>11400</v>
      </c>
      <c r="K1543" s="212" t="s">
        <v>6369</v>
      </c>
      <c r="L1543" s="213"/>
      <c r="M1543" s="212"/>
    </row>
    <row r="1544" spans="1:13" ht="21" customHeight="1">
      <c r="A1544" s="213" t="s">
        <v>6715</v>
      </c>
      <c r="B1544" s="215">
        <f t="shared" si="72"/>
        <v>45756</v>
      </c>
      <c r="C1544" s="213" t="s">
        <v>4381</v>
      </c>
      <c r="D1544" s="213" t="s">
        <v>4369</v>
      </c>
      <c r="E1544" s="213" t="s">
        <v>4380</v>
      </c>
      <c r="F1544" s="212" t="s">
        <v>6515</v>
      </c>
      <c r="G1544" s="212" t="str">
        <f t="shared" si="73"/>
        <v>812여비교통비(판)</v>
      </c>
      <c r="H1544" s="214">
        <v>12100</v>
      </c>
      <c r="I1544" s="214">
        <v>0</v>
      </c>
      <c r="J1544" s="214">
        <f t="shared" si="74"/>
        <v>-12100</v>
      </c>
      <c r="K1544" s="212" t="s">
        <v>6164</v>
      </c>
      <c r="L1544" s="213"/>
      <c r="M1544" s="212"/>
    </row>
    <row r="1545" spans="1:13" ht="21" customHeight="1">
      <c r="A1545" s="213" t="s">
        <v>6715</v>
      </c>
      <c r="B1545" s="215">
        <f t="shared" si="72"/>
        <v>45756</v>
      </c>
      <c r="C1545" s="213" t="s">
        <v>4381</v>
      </c>
      <c r="D1545" s="213" t="s">
        <v>4366</v>
      </c>
      <c r="E1545" s="213" t="s">
        <v>333</v>
      </c>
      <c r="F1545" s="212" t="s">
        <v>4365</v>
      </c>
      <c r="G1545" s="212" t="str">
        <f t="shared" si="73"/>
        <v>101현금</v>
      </c>
      <c r="H1545" s="214">
        <v>0</v>
      </c>
      <c r="I1545" s="214">
        <v>12100</v>
      </c>
      <c r="J1545" s="214">
        <f t="shared" si="74"/>
        <v>12100</v>
      </c>
      <c r="K1545" s="212" t="s">
        <v>6369</v>
      </c>
      <c r="L1545" s="213"/>
      <c r="M1545" s="212"/>
    </row>
    <row r="1546" spans="1:13" ht="21" customHeight="1">
      <c r="A1546" s="213" t="s">
        <v>6715</v>
      </c>
      <c r="B1546" s="215">
        <f t="shared" si="72"/>
        <v>45756</v>
      </c>
      <c r="C1546" s="213" t="s">
        <v>4379</v>
      </c>
      <c r="D1546" s="213" t="s">
        <v>4369</v>
      </c>
      <c r="E1546" s="213" t="s">
        <v>4499</v>
      </c>
      <c r="F1546" s="212" t="s">
        <v>6517</v>
      </c>
      <c r="G1546" s="212" t="str">
        <f t="shared" si="73"/>
        <v>811복리후생비(판)</v>
      </c>
      <c r="H1546" s="214">
        <v>38000</v>
      </c>
      <c r="I1546" s="214">
        <v>0</v>
      </c>
      <c r="J1546" s="214">
        <f t="shared" si="74"/>
        <v>-38000</v>
      </c>
      <c r="K1546" s="212" t="s">
        <v>6365</v>
      </c>
      <c r="L1546" s="213"/>
      <c r="M1546" s="212"/>
    </row>
    <row r="1547" spans="1:13" ht="21" customHeight="1">
      <c r="A1547" s="213" t="s">
        <v>6715</v>
      </c>
      <c r="B1547" s="215">
        <f t="shared" si="72"/>
        <v>45756</v>
      </c>
      <c r="C1547" s="213" t="s">
        <v>4379</v>
      </c>
      <c r="D1547" s="213" t="s">
        <v>4366</v>
      </c>
      <c r="E1547" s="213" t="s">
        <v>333</v>
      </c>
      <c r="F1547" s="212" t="s">
        <v>4365</v>
      </c>
      <c r="G1547" s="212" t="str">
        <f t="shared" si="73"/>
        <v>101현금</v>
      </c>
      <c r="H1547" s="214">
        <v>0</v>
      </c>
      <c r="I1547" s="214">
        <v>38000</v>
      </c>
      <c r="J1547" s="214">
        <f t="shared" si="74"/>
        <v>38000</v>
      </c>
      <c r="K1547" s="212" t="s">
        <v>6365</v>
      </c>
      <c r="L1547" s="213"/>
      <c r="M1547" s="212"/>
    </row>
    <row r="1548" spans="1:13" ht="21" customHeight="1">
      <c r="A1548" s="213" t="s">
        <v>6710</v>
      </c>
      <c r="B1548" s="215">
        <f t="shared" si="72"/>
        <v>45757</v>
      </c>
      <c r="C1548" s="213" t="s">
        <v>4373</v>
      </c>
      <c r="D1548" s="217" t="s">
        <v>4510</v>
      </c>
      <c r="E1548" s="213" t="s">
        <v>6297</v>
      </c>
      <c r="F1548" s="212" t="s">
        <v>6298</v>
      </c>
      <c r="G1548" s="212" t="str">
        <f t="shared" si="73"/>
        <v>136선납세금</v>
      </c>
      <c r="H1548" s="214">
        <v>3743000</v>
      </c>
      <c r="I1548" s="214">
        <v>0</v>
      </c>
      <c r="J1548" s="214">
        <f t="shared" si="74"/>
        <v>-3743000</v>
      </c>
      <c r="K1548" s="212" t="s">
        <v>6299</v>
      </c>
      <c r="L1548" s="213" t="s">
        <v>6411</v>
      </c>
      <c r="M1548" s="212" t="s">
        <v>6714</v>
      </c>
    </row>
    <row r="1549" spans="1:13" ht="21" customHeight="1">
      <c r="A1549" s="213" t="s">
        <v>6710</v>
      </c>
      <c r="B1549" s="215">
        <f t="shared" si="72"/>
        <v>45757</v>
      </c>
      <c r="C1549" s="213" t="s">
        <v>4373</v>
      </c>
      <c r="D1549" s="217" t="s">
        <v>4510</v>
      </c>
      <c r="E1549" s="213" t="s">
        <v>333</v>
      </c>
      <c r="F1549" s="212" t="s">
        <v>4365</v>
      </c>
      <c r="G1549" s="212" t="str">
        <f t="shared" si="73"/>
        <v>101현금</v>
      </c>
      <c r="H1549" s="214">
        <v>0</v>
      </c>
      <c r="I1549" s="214">
        <v>3743000</v>
      </c>
      <c r="J1549" s="214">
        <f t="shared" si="74"/>
        <v>3743000</v>
      </c>
      <c r="K1549" s="212" t="s">
        <v>6299</v>
      </c>
      <c r="L1549" s="213" t="s">
        <v>6411</v>
      </c>
      <c r="M1549" s="212" t="s">
        <v>6714</v>
      </c>
    </row>
    <row r="1550" spans="1:13" ht="21" customHeight="1">
      <c r="A1550" s="213" t="s">
        <v>6710</v>
      </c>
      <c r="B1550" s="215">
        <f t="shared" si="72"/>
        <v>45757</v>
      </c>
      <c r="C1550" s="213" t="s">
        <v>4382</v>
      </c>
      <c r="D1550" s="213" t="s">
        <v>4369</v>
      </c>
      <c r="E1550" s="213" t="s">
        <v>4505</v>
      </c>
      <c r="F1550" s="212" t="s">
        <v>4506</v>
      </c>
      <c r="G1550" s="212" t="str">
        <f t="shared" si="73"/>
        <v>254예수금</v>
      </c>
      <c r="H1550" s="214">
        <v>68060</v>
      </c>
      <c r="I1550" s="214">
        <v>0</v>
      </c>
      <c r="J1550" s="214">
        <f t="shared" si="74"/>
        <v>-68060</v>
      </c>
      <c r="K1550" s="212" t="s">
        <v>4522</v>
      </c>
      <c r="L1550" s="213" t="s">
        <v>6411</v>
      </c>
      <c r="M1550" s="212" t="s">
        <v>6713</v>
      </c>
    </row>
    <row r="1551" spans="1:13" ht="21" customHeight="1">
      <c r="A1551" s="213" t="s">
        <v>6710</v>
      </c>
      <c r="B1551" s="215">
        <f t="shared" si="72"/>
        <v>45757</v>
      </c>
      <c r="C1551" s="213" t="s">
        <v>4382</v>
      </c>
      <c r="D1551" s="213" t="s">
        <v>4366</v>
      </c>
      <c r="E1551" s="213" t="s">
        <v>333</v>
      </c>
      <c r="F1551" s="212" t="s">
        <v>4365</v>
      </c>
      <c r="G1551" s="212" t="str">
        <f t="shared" si="73"/>
        <v>101현금</v>
      </c>
      <c r="H1551" s="214">
        <v>0</v>
      </c>
      <c r="I1551" s="214">
        <v>723720</v>
      </c>
      <c r="J1551" s="214">
        <f t="shared" si="74"/>
        <v>723720</v>
      </c>
      <c r="K1551" s="212" t="s">
        <v>4522</v>
      </c>
      <c r="L1551" s="213" t="s">
        <v>6411</v>
      </c>
      <c r="M1551" s="212" t="s">
        <v>6713</v>
      </c>
    </row>
    <row r="1552" spans="1:13" ht="21" customHeight="1">
      <c r="A1552" s="213" t="s">
        <v>6710</v>
      </c>
      <c r="B1552" s="215">
        <f t="shared" si="72"/>
        <v>45757</v>
      </c>
      <c r="C1552" s="213" t="s">
        <v>4382</v>
      </c>
      <c r="D1552" s="213" t="s">
        <v>4369</v>
      </c>
      <c r="E1552" s="213" t="s">
        <v>4509</v>
      </c>
      <c r="F1552" s="212" t="s">
        <v>6491</v>
      </c>
      <c r="G1552" s="212" t="str">
        <f t="shared" si="73"/>
        <v>821보험료(판)</v>
      </c>
      <c r="H1552" s="214">
        <v>655660</v>
      </c>
      <c r="I1552" s="214">
        <v>0</v>
      </c>
      <c r="J1552" s="214">
        <f t="shared" si="74"/>
        <v>-655660</v>
      </c>
      <c r="K1552" s="212" t="s">
        <v>4522</v>
      </c>
      <c r="L1552" s="213" t="s">
        <v>6411</v>
      </c>
      <c r="M1552" s="212" t="s">
        <v>6713</v>
      </c>
    </row>
    <row r="1553" spans="1:13" ht="21" customHeight="1">
      <c r="A1553" s="213" t="s">
        <v>6710</v>
      </c>
      <c r="B1553" s="215">
        <f t="shared" si="72"/>
        <v>45757</v>
      </c>
      <c r="C1553" s="213" t="s">
        <v>4381</v>
      </c>
      <c r="D1553" s="213" t="s">
        <v>4369</v>
      </c>
      <c r="E1553" s="213" t="s">
        <v>4505</v>
      </c>
      <c r="F1553" s="212" t="s">
        <v>4506</v>
      </c>
      <c r="G1553" s="212" t="str">
        <f t="shared" si="73"/>
        <v>254예수금</v>
      </c>
      <c r="H1553" s="214">
        <v>149400</v>
      </c>
      <c r="I1553" s="214">
        <v>0</v>
      </c>
      <c r="J1553" s="214">
        <f t="shared" si="74"/>
        <v>-149400</v>
      </c>
      <c r="K1553" s="212" t="s">
        <v>4523</v>
      </c>
      <c r="L1553" s="213" t="s">
        <v>6411</v>
      </c>
      <c r="M1553" s="212" t="s">
        <v>6712</v>
      </c>
    </row>
    <row r="1554" spans="1:13" ht="21" customHeight="1">
      <c r="A1554" s="213" t="s">
        <v>6710</v>
      </c>
      <c r="B1554" s="215">
        <f t="shared" si="72"/>
        <v>45757</v>
      </c>
      <c r="C1554" s="213" t="s">
        <v>4381</v>
      </c>
      <c r="D1554" s="213" t="s">
        <v>4366</v>
      </c>
      <c r="E1554" s="213" t="s">
        <v>333</v>
      </c>
      <c r="F1554" s="212" t="s">
        <v>4365</v>
      </c>
      <c r="G1554" s="212" t="str">
        <f t="shared" si="73"/>
        <v>101현금</v>
      </c>
      <c r="H1554" s="214">
        <v>0</v>
      </c>
      <c r="I1554" s="214">
        <v>298800</v>
      </c>
      <c r="J1554" s="214">
        <f t="shared" si="74"/>
        <v>298800</v>
      </c>
      <c r="K1554" s="212" t="s">
        <v>4523</v>
      </c>
      <c r="L1554" s="213" t="s">
        <v>6411</v>
      </c>
      <c r="M1554" s="212" t="s">
        <v>6712</v>
      </c>
    </row>
    <row r="1555" spans="1:13" ht="21" customHeight="1">
      <c r="A1555" s="213" t="s">
        <v>6710</v>
      </c>
      <c r="B1555" s="215">
        <f t="shared" si="72"/>
        <v>45757</v>
      </c>
      <c r="C1555" s="213" t="s">
        <v>4381</v>
      </c>
      <c r="D1555" s="213" t="s">
        <v>4369</v>
      </c>
      <c r="E1555" s="213" t="s">
        <v>4507</v>
      </c>
      <c r="F1555" s="212" t="s">
        <v>6468</v>
      </c>
      <c r="G1555" s="212" t="str">
        <f t="shared" si="73"/>
        <v>817세금과공과금(판)</v>
      </c>
      <c r="H1555" s="214">
        <v>149400</v>
      </c>
      <c r="I1555" s="214">
        <v>0</v>
      </c>
      <c r="J1555" s="214">
        <f t="shared" si="74"/>
        <v>-149400</v>
      </c>
      <c r="K1555" s="212" t="s">
        <v>4523</v>
      </c>
      <c r="L1555" s="213" t="s">
        <v>6411</v>
      </c>
      <c r="M1555" s="212" t="s">
        <v>6712</v>
      </c>
    </row>
    <row r="1556" spans="1:13" ht="21" customHeight="1">
      <c r="A1556" s="213" t="s">
        <v>6710</v>
      </c>
      <c r="B1556" s="215">
        <f t="shared" si="72"/>
        <v>45757</v>
      </c>
      <c r="C1556" s="213" t="s">
        <v>4379</v>
      </c>
      <c r="D1556" s="213" t="s">
        <v>4369</v>
      </c>
      <c r="E1556" s="213" t="s">
        <v>4505</v>
      </c>
      <c r="F1556" s="212" t="s">
        <v>4506</v>
      </c>
      <c r="G1556" s="212" t="str">
        <f t="shared" si="73"/>
        <v>254예수금</v>
      </c>
      <c r="H1556" s="214">
        <v>6300</v>
      </c>
      <c r="I1556" s="214">
        <v>0</v>
      </c>
      <c r="J1556" s="214">
        <f t="shared" si="74"/>
        <v>-6300</v>
      </c>
      <c r="K1556" s="212" t="s">
        <v>4508</v>
      </c>
      <c r="L1556" s="213" t="s">
        <v>6411</v>
      </c>
      <c r="M1556" s="212" t="s">
        <v>6711</v>
      </c>
    </row>
    <row r="1557" spans="1:13" ht="21" customHeight="1">
      <c r="A1557" s="213" t="s">
        <v>6710</v>
      </c>
      <c r="B1557" s="215">
        <f t="shared" si="72"/>
        <v>45757</v>
      </c>
      <c r="C1557" s="213" t="s">
        <v>4379</v>
      </c>
      <c r="D1557" s="213" t="s">
        <v>4366</v>
      </c>
      <c r="E1557" s="213" t="s">
        <v>333</v>
      </c>
      <c r="F1557" s="212" t="s">
        <v>4365</v>
      </c>
      <c r="G1557" s="212" t="str">
        <f t="shared" si="73"/>
        <v>101현금</v>
      </c>
      <c r="H1557" s="214">
        <v>0</v>
      </c>
      <c r="I1557" s="214">
        <v>14350</v>
      </c>
      <c r="J1557" s="214">
        <f t="shared" si="74"/>
        <v>14350</v>
      </c>
      <c r="K1557" s="212" t="s">
        <v>4508</v>
      </c>
      <c r="L1557" s="213" t="s">
        <v>6411</v>
      </c>
      <c r="M1557" s="212" t="s">
        <v>6711</v>
      </c>
    </row>
    <row r="1558" spans="1:13" ht="21" customHeight="1">
      <c r="A1558" s="213" t="s">
        <v>6710</v>
      </c>
      <c r="B1558" s="215">
        <f t="shared" si="72"/>
        <v>45757</v>
      </c>
      <c r="C1558" s="213" t="s">
        <v>4379</v>
      </c>
      <c r="D1558" s="213" t="s">
        <v>4369</v>
      </c>
      <c r="E1558" s="213" t="s">
        <v>4509</v>
      </c>
      <c r="F1558" s="212" t="s">
        <v>6491</v>
      </c>
      <c r="G1558" s="212" t="str">
        <f t="shared" si="73"/>
        <v>821보험료(판)</v>
      </c>
      <c r="H1558" s="214">
        <v>8050</v>
      </c>
      <c r="I1558" s="214">
        <v>0</v>
      </c>
      <c r="J1558" s="214">
        <f t="shared" si="74"/>
        <v>-8050</v>
      </c>
      <c r="K1558" s="212" t="s">
        <v>4508</v>
      </c>
      <c r="L1558" s="213" t="s">
        <v>6411</v>
      </c>
      <c r="M1558" s="212" t="s">
        <v>6711</v>
      </c>
    </row>
    <row r="1559" spans="1:13" ht="21" customHeight="1">
      <c r="A1559" s="213" t="s">
        <v>6710</v>
      </c>
      <c r="B1559" s="215">
        <f t="shared" si="72"/>
        <v>45757</v>
      </c>
      <c r="C1559" s="213" t="s">
        <v>4385</v>
      </c>
      <c r="D1559" s="213" t="s">
        <v>4369</v>
      </c>
      <c r="E1559" s="213" t="s">
        <v>4499</v>
      </c>
      <c r="F1559" s="212" t="s">
        <v>6517</v>
      </c>
      <c r="G1559" s="212" t="str">
        <f t="shared" si="73"/>
        <v>811복리후생비(판)</v>
      </c>
      <c r="H1559" s="214">
        <v>16000</v>
      </c>
      <c r="I1559" s="214">
        <v>0</v>
      </c>
      <c r="J1559" s="214">
        <f t="shared" si="74"/>
        <v>-16000</v>
      </c>
      <c r="K1559" s="212" t="s">
        <v>6516</v>
      </c>
      <c r="L1559" s="213"/>
      <c r="M1559" s="212"/>
    </row>
    <row r="1560" spans="1:13" ht="21" customHeight="1">
      <c r="A1560" s="213" t="s">
        <v>6710</v>
      </c>
      <c r="B1560" s="215">
        <f t="shared" si="72"/>
        <v>45757</v>
      </c>
      <c r="C1560" s="213" t="s">
        <v>4385</v>
      </c>
      <c r="D1560" s="213" t="s">
        <v>4366</v>
      </c>
      <c r="E1560" s="213" t="s">
        <v>333</v>
      </c>
      <c r="F1560" s="212" t="s">
        <v>4365</v>
      </c>
      <c r="G1560" s="212" t="str">
        <f t="shared" si="73"/>
        <v>101현금</v>
      </c>
      <c r="H1560" s="214">
        <v>0</v>
      </c>
      <c r="I1560" s="214">
        <v>16000</v>
      </c>
      <c r="J1560" s="214">
        <f t="shared" si="74"/>
        <v>16000</v>
      </c>
      <c r="K1560" s="212" t="s">
        <v>6369</v>
      </c>
      <c r="L1560" s="213"/>
      <c r="M1560" s="212"/>
    </row>
    <row r="1561" spans="1:13" ht="21" customHeight="1">
      <c r="A1561" s="213" t="s">
        <v>6710</v>
      </c>
      <c r="B1561" s="215">
        <f t="shared" si="72"/>
        <v>45757</v>
      </c>
      <c r="C1561" s="213" t="s">
        <v>4501</v>
      </c>
      <c r="D1561" s="213" t="s">
        <v>4369</v>
      </c>
      <c r="E1561" s="213" t="s">
        <v>4383</v>
      </c>
      <c r="F1561" s="212" t="s">
        <v>6525</v>
      </c>
      <c r="G1561" s="212" t="str">
        <f t="shared" si="73"/>
        <v>830소모품비(판)</v>
      </c>
      <c r="H1561" s="214">
        <v>9900</v>
      </c>
      <c r="I1561" s="214">
        <v>0</v>
      </c>
      <c r="J1561" s="214">
        <f t="shared" si="74"/>
        <v>-9900</v>
      </c>
      <c r="K1561" s="212" t="s">
        <v>6576</v>
      </c>
      <c r="L1561" s="213"/>
      <c r="M1561" s="212"/>
    </row>
    <row r="1562" spans="1:13" ht="21" customHeight="1">
      <c r="A1562" s="213" t="s">
        <v>6710</v>
      </c>
      <c r="B1562" s="215">
        <f t="shared" si="72"/>
        <v>45757</v>
      </c>
      <c r="C1562" s="213" t="s">
        <v>4501</v>
      </c>
      <c r="D1562" s="213" t="s">
        <v>4366</v>
      </c>
      <c r="E1562" s="213" t="s">
        <v>333</v>
      </c>
      <c r="F1562" s="212" t="s">
        <v>4365</v>
      </c>
      <c r="G1562" s="212" t="str">
        <f t="shared" si="73"/>
        <v>101현금</v>
      </c>
      <c r="H1562" s="214">
        <v>0</v>
      </c>
      <c r="I1562" s="214">
        <v>9900</v>
      </c>
      <c r="J1562" s="214">
        <f t="shared" si="74"/>
        <v>9900</v>
      </c>
      <c r="K1562" s="212" t="s">
        <v>6371</v>
      </c>
      <c r="L1562" s="213"/>
      <c r="M1562" s="212"/>
    </row>
    <row r="1563" spans="1:13" ht="21" customHeight="1">
      <c r="A1563" s="213" t="s">
        <v>6710</v>
      </c>
      <c r="B1563" s="215">
        <f t="shared" si="72"/>
        <v>45757</v>
      </c>
      <c r="C1563" s="213" t="s">
        <v>4502</v>
      </c>
      <c r="D1563" s="213" t="s">
        <v>4369</v>
      </c>
      <c r="E1563" s="213" t="s">
        <v>4383</v>
      </c>
      <c r="F1563" s="212" t="s">
        <v>6525</v>
      </c>
      <c r="G1563" s="212" t="str">
        <f t="shared" si="73"/>
        <v>830소모품비(판)</v>
      </c>
      <c r="H1563" s="214">
        <v>13400</v>
      </c>
      <c r="I1563" s="214">
        <v>0</v>
      </c>
      <c r="J1563" s="214">
        <f t="shared" si="74"/>
        <v>-13400</v>
      </c>
      <c r="K1563" s="212" t="s">
        <v>6198</v>
      </c>
      <c r="L1563" s="213"/>
      <c r="M1563" s="212"/>
    </row>
    <row r="1564" spans="1:13" ht="21" customHeight="1">
      <c r="A1564" s="213" t="s">
        <v>6710</v>
      </c>
      <c r="B1564" s="215">
        <f t="shared" si="72"/>
        <v>45757</v>
      </c>
      <c r="C1564" s="213" t="s">
        <v>4502</v>
      </c>
      <c r="D1564" s="213" t="s">
        <v>4366</v>
      </c>
      <c r="E1564" s="213" t="s">
        <v>333</v>
      </c>
      <c r="F1564" s="212" t="s">
        <v>4365</v>
      </c>
      <c r="G1564" s="212" t="str">
        <f t="shared" si="73"/>
        <v>101현금</v>
      </c>
      <c r="H1564" s="214">
        <v>0</v>
      </c>
      <c r="I1564" s="214">
        <v>13400</v>
      </c>
      <c r="J1564" s="214">
        <f t="shared" si="74"/>
        <v>13400</v>
      </c>
      <c r="K1564" s="212" t="s">
        <v>6369</v>
      </c>
      <c r="L1564" s="213"/>
      <c r="M1564" s="212"/>
    </row>
    <row r="1565" spans="1:13" ht="21" customHeight="1">
      <c r="A1565" s="213" t="s">
        <v>6710</v>
      </c>
      <c r="B1565" s="215">
        <f t="shared" si="72"/>
        <v>45757</v>
      </c>
      <c r="C1565" s="213" t="s">
        <v>4503</v>
      </c>
      <c r="D1565" s="213" t="s">
        <v>4369</v>
      </c>
      <c r="E1565" s="213" t="s">
        <v>4383</v>
      </c>
      <c r="F1565" s="212" t="s">
        <v>6525</v>
      </c>
      <c r="G1565" s="212" t="str">
        <f t="shared" si="73"/>
        <v>830소모품비(판)</v>
      </c>
      <c r="H1565" s="214">
        <v>4200</v>
      </c>
      <c r="I1565" s="214">
        <v>0</v>
      </c>
      <c r="J1565" s="214">
        <f t="shared" si="74"/>
        <v>-4200</v>
      </c>
      <c r="K1565" s="212" t="s">
        <v>6198</v>
      </c>
      <c r="L1565" s="213"/>
      <c r="M1565" s="212"/>
    </row>
    <row r="1566" spans="1:13" ht="21" customHeight="1">
      <c r="A1566" s="213" t="s">
        <v>6710</v>
      </c>
      <c r="B1566" s="215">
        <f t="shared" si="72"/>
        <v>45757</v>
      </c>
      <c r="C1566" s="213" t="s">
        <v>4503</v>
      </c>
      <c r="D1566" s="213" t="s">
        <v>4366</v>
      </c>
      <c r="E1566" s="213" t="s">
        <v>333</v>
      </c>
      <c r="F1566" s="212" t="s">
        <v>4365</v>
      </c>
      <c r="G1566" s="212" t="str">
        <f t="shared" si="73"/>
        <v>101현금</v>
      </c>
      <c r="H1566" s="214">
        <v>0</v>
      </c>
      <c r="I1566" s="214">
        <v>4200</v>
      </c>
      <c r="J1566" s="214">
        <f t="shared" si="74"/>
        <v>4200</v>
      </c>
      <c r="K1566" s="212" t="s">
        <v>6369</v>
      </c>
      <c r="L1566" s="213"/>
      <c r="M1566" s="212"/>
    </row>
    <row r="1567" spans="1:13" ht="21" customHeight="1">
      <c r="A1567" s="213" t="s">
        <v>6710</v>
      </c>
      <c r="B1567" s="215">
        <f t="shared" si="72"/>
        <v>45757</v>
      </c>
      <c r="C1567" s="213" t="s">
        <v>4511</v>
      </c>
      <c r="D1567" s="213" t="s">
        <v>4369</v>
      </c>
      <c r="E1567" s="213" t="s">
        <v>4500</v>
      </c>
      <c r="F1567" s="212" t="s">
        <v>6418</v>
      </c>
      <c r="G1567" s="212" t="str">
        <f t="shared" si="73"/>
        <v>822차량유지비(판)</v>
      </c>
      <c r="H1567" s="214">
        <v>50000</v>
      </c>
      <c r="I1567" s="214">
        <v>0</v>
      </c>
      <c r="J1567" s="214">
        <f t="shared" si="74"/>
        <v>-50000</v>
      </c>
      <c r="K1567" s="212" t="s">
        <v>6272</v>
      </c>
      <c r="L1567" s="213"/>
      <c r="M1567" s="212"/>
    </row>
    <row r="1568" spans="1:13" ht="21" customHeight="1">
      <c r="A1568" s="213" t="s">
        <v>6710</v>
      </c>
      <c r="B1568" s="215">
        <f t="shared" si="72"/>
        <v>45757</v>
      </c>
      <c r="C1568" s="213" t="s">
        <v>4511</v>
      </c>
      <c r="D1568" s="213" t="s">
        <v>4366</v>
      </c>
      <c r="E1568" s="213" t="s">
        <v>333</v>
      </c>
      <c r="F1568" s="212" t="s">
        <v>4365</v>
      </c>
      <c r="G1568" s="212" t="str">
        <f t="shared" si="73"/>
        <v>101현금</v>
      </c>
      <c r="H1568" s="214">
        <v>0</v>
      </c>
      <c r="I1568" s="214">
        <v>50000</v>
      </c>
      <c r="J1568" s="214">
        <f t="shared" si="74"/>
        <v>50000</v>
      </c>
      <c r="K1568" s="212" t="s">
        <v>6371</v>
      </c>
      <c r="L1568" s="213"/>
      <c r="M1568" s="212"/>
    </row>
    <row r="1569" spans="1:13" ht="21" customHeight="1">
      <c r="A1569" s="213" t="s">
        <v>6710</v>
      </c>
      <c r="B1569" s="215">
        <f t="shared" si="72"/>
        <v>45757</v>
      </c>
      <c r="C1569" s="213" t="s">
        <v>4512</v>
      </c>
      <c r="D1569" s="213" t="s">
        <v>4369</v>
      </c>
      <c r="E1569" s="213" t="s">
        <v>4386</v>
      </c>
      <c r="F1569" s="212" t="s">
        <v>6420</v>
      </c>
      <c r="G1569" s="212" t="str">
        <f t="shared" si="73"/>
        <v>814통신비(판)</v>
      </c>
      <c r="H1569" s="214">
        <v>5500</v>
      </c>
      <c r="I1569" s="214">
        <v>0</v>
      </c>
      <c r="J1569" s="214">
        <f t="shared" si="74"/>
        <v>-5500</v>
      </c>
      <c r="K1569" s="212" t="s">
        <v>4524</v>
      </c>
      <c r="L1569" s="213"/>
      <c r="M1569" s="212"/>
    </row>
    <row r="1570" spans="1:13" ht="21" customHeight="1">
      <c r="A1570" s="213" t="s">
        <v>6710</v>
      </c>
      <c r="B1570" s="215">
        <f t="shared" si="72"/>
        <v>45757</v>
      </c>
      <c r="C1570" s="213" t="s">
        <v>4512</v>
      </c>
      <c r="D1570" s="213" t="s">
        <v>4366</v>
      </c>
      <c r="E1570" s="213" t="s">
        <v>333</v>
      </c>
      <c r="F1570" s="212" t="s">
        <v>4365</v>
      </c>
      <c r="G1570" s="212" t="str">
        <f t="shared" si="73"/>
        <v>101현금</v>
      </c>
      <c r="H1570" s="214">
        <v>0</v>
      </c>
      <c r="I1570" s="214">
        <v>5500</v>
      </c>
      <c r="J1570" s="214">
        <f t="shared" si="74"/>
        <v>5500</v>
      </c>
      <c r="K1570" s="212" t="s">
        <v>6369</v>
      </c>
      <c r="L1570" s="213"/>
      <c r="M1570" s="212"/>
    </row>
    <row r="1571" spans="1:13" ht="21" customHeight="1">
      <c r="A1571" s="213" t="s">
        <v>6709</v>
      </c>
      <c r="B1571" s="215">
        <f t="shared" si="72"/>
        <v>45758</v>
      </c>
      <c r="C1571" s="213" t="s">
        <v>4373</v>
      </c>
      <c r="D1571" s="213" t="s">
        <v>4369</v>
      </c>
      <c r="E1571" s="213" t="s">
        <v>4380</v>
      </c>
      <c r="F1571" s="212" t="s">
        <v>6515</v>
      </c>
      <c r="G1571" s="212" t="str">
        <f t="shared" si="73"/>
        <v>812여비교통비(판)</v>
      </c>
      <c r="H1571" s="214">
        <v>1800</v>
      </c>
      <c r="I1571" s="214">
        <v>0</v>
      </c>
      <c r="J1571" s="214">
        <f t="shared" si="74"/>
        <v>-1800</v>
      </c>
      <c r="K1571" s="212" t="s">
        <v>6335</v>
      </c>
      <c r="L1571" s="213"/>
      <c r="M1571" s="212"/>
    </row>
    <row r="1572" spans="1:13" ht="21" customHeight="1">
      <c r="A1572" s="213" t="s">
        <v>6709</v>
      </c>
      <c r="B1572" s="215">
        <f t="shared" si="72"/>
        <v>45758</v>
      </c>
      <c r="C1572" s="213" t="s">
        <v>4373</v>
      </c>
      <c r="D1572" s="213" t="s">
        <v>4366</v>
      </c>
      <c r="E1572" s="213" t="s">
        <v>333</v>
      </c>
      <c r="F1572" s="212" t="s">
        <v>4365</v>
      </c>
      <c r="G1572" s="212" t="str">
        <f t="shared" si="73"/>
        <v>101현금</v>
      </c>
      <c r="H1572" s="214">
        <v>0</v>
      </c>
      <c r="I1572" s="214">
        <v>1800</v>
      </c>
      <c r="J1572" s="214">
        <f t="shared" si="74"/>
        <v>1800</v>
      </c>
      <c r="K1572" s="212" t="s">
        <v>6369</v>
      </c>
      <c r="L1572" s="213"/>
      <c r="M1572" s="212"/>
    </row>
    <row r="1573" spans="1:13" ht="21" customHeight="1">
      <c r="A1573" s="213" t="s">
        <v>6709</v>
      </c>
      <c r="B1573" s="215">
        <f t="shared" si="72"/>
        <v>45758</v>
      </c>
      <c r="C1573" s="213" t="s">
        <v>4367</v>
      </c>
      <c r="D1573" s="213" t="s">
        <v>4366</v>
      </c>
      <c r="E1573" s="213" t="s">
        <v>6176</v>
      </c>
      <c r="F1573" s="212" t="s">
        <v>6177</v>
      </c>
      <c r="G1573" s="212" t="str">
        <f t="shared" si="73"/>
        <v>255부가세예수금</v>
      </c>
      <c r="H1573" s="214">
        <v>0</v>
      </c>
      <c r="I1573" s="214">
        <v>10000</v>
      </c>
      <c r="J1573" s="214">
        <f t="shared" si="74"/>
        <v>10000</v>
      </c>
      <c r="K1573" s="212" t="s">
        <v>6262</v>
      </c>
      <c r="L1573" s="213"/>
      <c r="M1573" s="212" t="s">
        <v>6185</v>
      </c>
    </row>
    <row r="1574" spans="1:13" ht="21" customHeight="1">
      <c r="A1574" s="213" t="s">
        <v>6709</v>
      </c>
      <c r="B1574" s="215">
        <f t="shared" si="72"/>
        <v>45758</v>
      </c>
      <c r="C1574" s="213" t="s">
        <v>4367</v>
      </c>
      <c r="D1574" s="213" t="s">
        <v>4366</v>
      </c>
      <c r="E1574" s="213" t="s">
        <v>334</v>
      </c>
      <c r="F1574" s="212" t="s">
        <v>6158</v>
      </c>
      <c r="G1574" s="212" t="str">
        <f t="shared" si="73"/>
        <v>401용역매출</v>
      </c>
      <c r="H1574" s="214">
        <v>0</v>
      </c>
      <c r="I1574" s="214">
        <v>100000</v>
      </c>
      <c r="J1574" s="214">
        <f t="shared" si="74"/>
        <v>100000</v>
      </c>
      <c r="K1574" s="212" t="s">
        <v>6262</v>
      </c>
      <c r="L1574" s="213"/>
      <c r="M1574" s="212" t="s">
        <v>6185</v>
      </c>
    </row>
    <row r="1575" spans="1:13" ht="21" customHeight="1">
      <c r="A1575" s="213" t="s">
        <v>6709</v>
      </c>
      <c r="B1575" s="215">
        <f t="shared" si="72"/>
        <v>45758</v>
      </c>
      <c r="C1575" s="213" t="s">
        <v>4367</v>
      </c>
      <c r="D1575" s="213" t="s">
        <v>4369</v>
      </c>
      <c r="E1575" s="213" t="s">
        <v>333</v>
      </c>
      <c r="F1575" s="212" t="s">
        <v>4365</v>
      </c>
      <c r="G1575" s="212" t="str">
        <f t="shared" si="73"/>
        <v>101현금</v>
      </c>
      <c r="H1575" s="214">
        <v>110000</v>
      </c>
      <c r="I1575" s="214">
        <v>0</v>
      </c>
      <c r="J1575" s="214">
        <f t="shared" si="74"/>
        <v>-110000</v>
      </c>
      <c r="K1575" s="212" t="s">
        <v>6262</v>
      </c>
      <c r="L1575" s="213"/>
      <c r="M1575" s="212" t="s">
        <v>6185</v>
      </c>
    </row>
    <row r="1576" spans="1:13" ht="21" customHeight="1">
      <c r="A1576" s="213" t="s">
        <v>6709</v>
      </c>
      <c r="B1576" s="215">
        <f t="shared" si="72"/>
        <v>45758</v>
      </c>
      <c r="C1576" s="213" t="s">
        <v>4374</v>
      </c>
      <c r="D1576" s="213" t="s">
        <v>4366</v>
      </c>
      <c r="E1576" s="213" t="s">
        <v>6176</v>
      </c>
      <c r="F1576" s="212" t="s">
        <v>6177</v>
      </c>
      <c r="G1576" s="212" t="str">
        <f t="shared" si="73"/>
        <v>255부가세예수금</v>
      </c>
      <c r="H1576" s="214">
        <v>0</v>
      </c>
      <c r="I1576" s="214">
        <v>7000</v>
      </c>
      <c r="J1576" s="214">
        <f t="shared" si="74"/>
        <v>7000</v>
      </c>
      <c r="K1576" s="212" t="s">
        <v>6259</v>
      </c>
      <c r="L1576" s="213"/>
      <c r="M1576" s="212" t="s">
        <v>6287</v>
      </c>
    </row>
    <row r="1577" spans="1:13" ht="21" customHeight="1">
      <c r="A1577" s="213" t="s">
        <v>6709</v>
      </c>
      <c r="B1577" s="215">
        <f t="shared" si="72"/>
        <v>45758</v>
      </c>
      <c r="C1577" s="213" t="s">
        <v>4374</v>
      </c>
      <c r="D1577" s="213" t="s">
        <v>4366</v>
      </c>
      <c r="E1577" s="213" t="s">
        <v>334</v>
      </c>
      <c r="F1577" s="212" t="s">
        <v>6158</v>
      </c>
      <c r="G1577" s="212" t="str">
        <f t="shared" si="73"/>
        <v>401용역매출</v>
      </c>
      <c r="H1577" s="214">
        <v>0</v>
      </c>
      <c r="I1577" s="214">
        <v>70000</v>
      </c>
      <c r="J1577" s="214">
        <f t="shared" si="74"/>
        <v>70000</v>
      </c>
      <c r="K1577" s="212" t="s">
        <v>6259</v>
      </c>
      <c r="L1577" s="213"/>
      <c r="M1577" s="212" t="s">
        <v>6287</v>
      </c>
    </row>
    <row r="1578" spans="1:13" ht="21" customHeight="1">
      <c r="A1578" s="213" t="s">
        <v>6709</v>
      </c>
      <c r="B1578" s="215">
        <f t="shared" si="72"/>
        <v>45758</v>
      </c>
      <c r="C1578" s="213" t="s">
        <v>4374</v>
      </c>
      <c r="D1578" s="213" t="s">
        <v>4369</v>
      </c>
      <c r="E1578" s="213" t="s">
        <v>333</v>
      </c>
      <c r="F1578" s="212" t="s">
        <v>4365</v>
      </c>
      <c r="G1578" s="212" t="str">
        <f t="shared" si="73"/>
        <v>101현금</v>
      </c>
      <c r="H1578" s="214">
        <v>77000</v>
      </c>
      <c r="I1578" s="214">
        <v>0</v>
      </c>
      <c r="J1578" s="214">
        <f t="shared" si="74"/>
        <v>-77000</v>
      </c>
      <c r="K1578" s="212" t="s">
        <v>6259</v>
      </c>
      <c r="L1578" s="213"/>
      <c r="M1578" s="212" t="s">
        <v>6287</v>
      </c>
    </row>
    <row r="1579" spans="1:13" ht="21" customHeight="1">
      <c r="A1579" s="213" t="s">
        <v>6709</v>
      </c>
      <c r="B1579" s="215">
        <f t="shared" si="72"/>
        <v>45758</v>
      </c>
      <c r="C1579" s="213" t="s">
        <v>6182</v>
      </c>
      <c r="D1579" s="213" t="s">
        <v>4366</v>
      </c>
      <c r="E1579" s="213" t="s">
        <v>6176</v>
      </c>
      <c r="F1579" s="212" t="s">
        <v>6177</v>
      </c>
      <c r="G1579" s="212" t="str">
        <f t="shared" si="73"/>
        <v>255부가세예수금</v>
      </c>
      <c r="H1579" s="214">
        <v>0</v>
      </c>
      <c r="I1579" s="214">
        <v>10000</v>
      </c>
      <c r="J1579" s="214">
        <f t="shared" si="74"/>
        <v>10000</v>
      </c>
      <c r="K1579" s="212" t="s">
        <v>6408</v>
      </c>
      <c r="L1579" s="213"/>
      <c r="M1579" s="212" t="s">
        <v>6185</v>
      </c>
    </row>
    <row r="1580" spans="1:13" ht="21" customHeight="1">
      <c r="A1580" s="213" t="s">
        <v>6709</v>
      </c>
      <c r="B1580" s="215">
        <f t="shared" si="72"/>
        <v>45758</v>
      </c>
      <c r="C1580" s="213" t="s">
        <v>6182</v>
      </c>
      <c r="D1580" s="213" t="s">
        <v>4366</v>
      </c>
      <c r="E1580" s="213" t="s">
        <v>334</v>
      </c>
      <c r="F1580" s="212" t="s">
        <v>6158</v>
      </c>
      <c r="G1580" s="212" t="str">
        <f t="shared" si="73"/>
        <v>401용역매출</v>
      </c>
      <c r="H1580" s="214">
        <v>0</v>
      </c>
      <c r="I1580" s="214">
        <v>100000</v>
      </c>
      <c r="J1580" s="214">
        <f t="shared" si="74"/>
        <v>100000</v>
      </c>
      <c r="K1580" s="212" t="s">
        <v>6408</v>
      </c>
      <c r="L1580" s="213"/>
      <c r="M1580" s="212" t="s">
        <v>6185</v>
      </c>
    </row>
    <row r="1581" spans="1:13" ht="21" customHeight="1">
      <c r="A1581" s="213" t="s">
        <v>6709</v>
      </c>
      <c r="B1581" s="215">
        <f t="shared" si="72"/>
        <v>45758</v>
      </c>
      <c r="C1581" s="213" t="s">
        <v>6182</v>
      </c>
      <c r="D1581" s="213" t="s">
        <v>4369</v>
      </c>
      <c r="E1581" s="213" t="s">
        <v>333</v>
      </c>
      <c r="F1581" s="212" t="s">
        <v>4365</v>
      </c>
      <c r="G1581" s="212" t="str">
        <f t="shared" si="73"/>
        <v>101현금</v>
      </c>
      <c r="H1581" s="214">
        <v>110000</v>
      </c>
      <c r="I1581" s="214">
        <v>0</v>
      </c>
      <c r="J1581" s="214">
        <f t="shared" si="74"/>
        <v>-110000</v>
      </c>
      <c r="K1581" s="212" t="s">
        <v>6408</v>
      </c>
      <c r="L1581" s="213"/>
      <c r="M1581" s="212" t="s">
        <v>6185</v>
      </c>
    </row>
    <row r="1582" spans="1:13" ht="21" customHeight="1">
      <c r="A1582" s="213" t="s">
        <v>6709</v>
      </c>
      <c r="B1582" s="215">
        <f t="shared" si="72"/>
        <v>45758</v>
      </c>
      <c r="C1582" s="213" t="s">
        <v>6184</v>
      </c>
      <c r="D1582" s="213" t="s">
        <v>4366</v>
      </c>
      <c r="E1582" s="213" t="s">
        <v>6176</v>
      </c>
      <c r="F1582" s="212" t="s">
        <v>6177</v>
      </c>
      <c r="G1582" s="212" t="str">
        <f t="shared" si="73"/>
        <v>255부가세예수금</v>
      </c>
      <c r="H1582" s="214">
        <v>0</v>
      </c>
      <c r="I1582" s="214">
        <v>10000</v>
      </c>
      <c r="J1582" s="214">
        <f t="shared" si="74"/>
        <v>10000</v>
      </c>
      <c r="K1582" s="212" t="s">
        <v>6261</v>
      </c>
      <c r="L1582" s="213"/>
      <c r="M1582" s="212" t="s">
        <v>6185</v>
      </c>
    </row>
    <row r="1583" spans="1:13" ht="21" customHeight="1">
      <c r="A1583" s="213" t="s">
        <v>6709</v>
      </c>
      <c r="B1583" s="215">
        <f t="shared" si="72"/>
        <v>45758</v>
      </c>
      <c r="C1583" s="213" t="s">
        <v>6184</v>
      </c>
      <c r="D1583" s="213" t="s">
        <v>4366</v>
      </c>
      <c r="E1583" s="213" t="s">
        <v>334</v>
      </c>
      <c r="F1583" s="212" t="s">
        <v>6158</v>
      </c>
      <c r="G1583" s="212" t="str">
        <f t="shared" si="73"/>
        <v>401용역매출</v>
      </c>
      <c r="H1583" s="214">
        <v>0</v>
      </c>
      <c r="I1583" s="214">
        <v>100000</v>
      </c>
      <c r="J1583" s="214">
        <f t="shared" si="74"/>
        <v>100000</v>
      </c>
      <c r="K1583" s="212" t="s">
        <v>6261</v>
      </c>
      <c r="L1583" s="213"/>
      <c r="M1583" s="212" t="s">
        <v>6185</v>
      </c>
    </row>
    <row r="1584" spans="1:13" ht="21" customHeight="1">
      <c r="A1584" s="213" t="s">
        <v>6709</v>
      </c>
      <c r="B1584" s="215">
        <f t="shared" si="72"/>
        <v>45758</v>
      </c>
      <c r="C1584" s="213" t="s">
        <v>6184</v>
      </c>
      <c r="D1584" s="213" t="s">
        <v>4369</v>
      </c>
      <c r="E1584" s="213" t="s">
        <v>333</v>
      </c>
      <c r="F1584" s="212" t="s">
        <v>4365</v>
      </c>
      <c r="G1584" s="212" t="str">
        <f t="shared" si="73"/>
        <v>101현금</v>
      </c>
      <c r="H1584" s="214">
        <v>110000</v>
      </c>
      <c r="I1584" s="214">
        <v>0</v>
      </c>
      <c r="J1584" s="214">
        <f t="shared" si="74"/>
        <v>-110000</v>
      </c>
      <c r="K1584" s="212" t="s">
        <v>6261</v>
      </c>
      <c r="L1584" s="213"/>
      <c r="M1584" s="212" t="s">
        <v>6185</v>
      </c>
    </row>
    <row r="1585" spans="1:13" ht="21" customHeight="1">
      <c r="A1585" s="213" t="s">
        <v>6709</v>
      </c>
      <c r="B1585" s="215">
        <f t="shared" si="72"/>
        <v>45758</v>
      </c>
      <c r="C1585" s="213" t="s">
        <v>6186</v>
      </c>
      <c r="D1585" s="213" t="s">
        <v>4366</v>
      </c>
      <c r="E1585" s="213" t="s">
        <v>6176</v>
      </c>
      <c r="F1585" s="212" t="s">
        <v>6177</v>
      </c>
      <c r="G1585" s="212" t="str">
        <f t="shared" si="73"/>
        <v>255부가세예수금</v>
      </c>
      <c r="H1585" s="214">
        <v>0</v>
      </c>
      <c r="I1585" s="214">
        <v>15000</v>
      </c>
      <c r="J1585" s="214">
        <f t="shared" si="74"/>
        <v>15000</v>
      </c>
      <c r="K1585" s="212" t="s">
        <v>6260</v>
      </c>
      <c r="L1585" s="213"/>
      <c r="M1585" s="212" t="s">
        <v>6179</v>
      </c>
    </row>
    <row r="1586" spans="1:13" ht="21" customHeight="1">
      <c r="A1586" s="213" t="s">
        <v>6709</v>
      </c>
      <c r="B1586" s="215">
        <f t="shared" si="72"/>
        <v>45758</v>
      </c>
      <c r="C1586" s="213" t="s">
        <v>6186</v>
      </c>
      <c r="D1586" s="213" t="s">
        <v>4366</v>
      </c>
      <c r="E1586" s="213" t="s">
        <v>334</v>
      </c>
      <c r="F1586" s="212" t="s">
        <v>6158</v>
      </c>
      <c r="G1586" s="212" t="str">
        <f t="shared" si="73"/>
        <v>401용역매출</v>
      </c>
      <c r="H1586" s="214">
        <v>0</v>
      </c>
      <c r="I1586" s="214">
        <v>150000</v>
      </c>
      <c r="J1586" s="214">
        <f t="shared" si="74"/>
        <v>150000</v>
      </c>
      <c r="K1586" s="212" t="s">
        <v>6260</v>
      </c>
      <c r="L1586" s="213"/>
      <c r="M1586" s="212" t="s">
        <v>6179</v>
      </c>
    </row>
    <row r="1587" spans="1:13" ht="21" customHeight="1">
      <c r="A1587" s="213" t="s">
        <v>6709</v>
      </c>
      <c r="B1587" s="215">
        <f t="shared" si="72"/>
        <v>45758</v>
      </c>
      <c r="C1587" s="213" t="s">
        <v>6186</v>
      </c>
      <c r="D1587" s="213" t="s">
        <v>4369</v>
      </c>
      <c r="E1587" s="213" t="s">
        <v>333</v>
      </c>
      <c r="F1587" s="212" t="s">
        <v>4365</v>
      </c>
      <c r="G1587" s="212" t="str">
        <f t="shared" si="73"/>
        <v>101현금</v>
      </c>
      <c r="H1587" s="214">
        <v>165000</v>
      </c>
      <c r="I1587" s="214">
        <v>0</v>
      </c>
      <c r="J1587" s="214">
        <f t="shared" si="74"/>
        <v>-165000</v>
      </c>
      <c r="K1587" s="212" t="s">
        <v>6260</v>
      </c>
      <c r="L1587" s="213"/>
      <c r="M1587" s="212" t="s">
        <v>6179</v>
      </c>
    </row>
    <row r="1588" spans="1:13" ht="21" customHeight="1">
      <c r="A1588" s="213" t="s">
        <v>6709</v>
      </c>
      <c r="B1588" s="215">
        <f t="shared" si="72"/>
        <v>45758</v>
      </c>
      <c r="C1588" s="213" t="s">
        <v>6189</v>
      </c>
      <c r="D1588" s="213" t="s">
        <v>4366</v>
      </c>
      <c r="E1588" s="213" t="s">
        <v>6176</v>
      </c>
      <c r="F1588" s="212" t="s">
        <v>6177</v>
      </c>
      <c r="G1588" s="212" t="str">
        <f t="shared" si="73"/>
        <v>255부가세예수금</v>
      </c>
      <c r="H1588" s="214">
        <v>0</v>
      </c>
      <c r="I1588" s="214">
        <v>20000</v>
      </c>
      <c r="J1588" s="214">
        <f t="shared" si="74"/>
        <v>20000</v>
      </c>
      <c r="K1588" s="212" t="s">
        <v>6263</v>
      </c>
      <c r="L1588" s="213"/>
      <c r="M1588" s="212" t="s">
        <v>6231</v>
      </c>
    </row>
    <row r="1589" spans="1:13" ht="21" customHeight="1">
      <c r="A1589" s="213" t="s">
        <v>6709</v>
      </c>
      <c r="B1589" s="215">
        <f t="shared" si="72"/>
        <v>45758</v>
      </c>
      <c r="C1589" s="213" t="s">
        <v>6189</v>
      </c>
      <c r="D1589" s="213" t="s">
        <v>4366</v>
      </c>
      <c r="E1589" s="213" t="s">
        <v>334</v>
      </c>
      <c r="F1589" s="212" t="s">
        <v>6158</v>
      </c>
      <c r="G1589" s="212" t="str">
        <f t="shared" si="73"/>
        <v>401용역매출</v>
      </c>
      <c r="H1589" s="214">
        <v>0</v>
      </c>
      <c r="I1589" s="214">
        <v>200000</v>
      </c>
      <c r="J1589" s="214">
        <f t="shared" si="74"/>
        <v>200000</v>
      </c>
      <c r="K1589" s="212" t="s">
        <v>6263</v>
      </c>
      <c r="L1589" s="213"/>
      <c r="M1589" s="212" t="s">
        <v>6231</v>
      </c>
    </row>
    <row r="1590" spans="1:13" ht="21" customHeight="1">
      <c r="A1590" s="213" t="s">
        <v>6709</v>
      </c>
      <c r="B1590" s="215">
        <f t="shared" si="72"/>
        <v>45758</v>
      </c>
      <c r="C1590" s="213" t="s">
        <v>6189</v>
      </c>
      <c r="D1590" s="213" t="s">
        <v>4369</v>
      </c>
      <c r="E1590" s="213" t="s">
        <v>333</v>
      </c>
      <c r="F1590" s="212" t="s">
        <v>4365</v>
      </c>
      <c r="G1590" s="212" t="str">
        <f t="shared" si="73"/>
        <v>101현금</v>
      </c>
      <c r="H1590" s="214">
        <v>220000</v>
      </c>
      <c r="I1590" s="214">
        <v>0</v>
      </c>
      <c r="J1590" s="214">
        <f t="shared" si="74"/>
        <v>-220000</v>
      </c>
      <c r="K1590" s="212" t="s">
        <v>6263</v>
      </c>
      <c r="L1590" s="213"/>
      <c r="M1590" s="212" t="s">
        <v>6231</v>
      </c>
    </row>
    <row r="1591" spans="1:13" ht="21" customHeight="1">
      <c r="A1591" s="213" t="s">
        <v>6709</v>
      </c>
      <c r="B1591" s="215">
        <f t="shared" si="72"/>
        <v>45758</v>
      </c>
      <c r="C1591" s="213" t="s">
        <v>6191</v>
      </c>
      <c r="D1591" s="213" t="s">
        <v>4366</v>
      </c>
      <c r="E1591" s="213" t="s">
        <v>6176</v>
      </c>
      <c r="F1591" s="212" t="s">
        <v>6177</v>
      </c>
      <c r="G1591" s="212" t="str">
        <f t="shared" si="73"/>
        <v>255부가세예수금</v>
      </c>
      <c r="H1591" s="214">
        <v>0</v>
      </c>
      <c r="I1591" s="214">
        <v>12000</v>
      </c>
      <c r="J1591" s="214">
        <f t="shared" si="74"/>
        <v>12000</v>
      </c>
      <c r="K1591" s="212" t="s">
        <v>6309</v>
      </c>
      <c r="L1591" s="213"/>
      <c r="M1591" s="212" t="s">
        <v>6225</v>
      </c>
    </row>
    <row r="1592" spans="1:13" ht="21" customHeight="1">
      <c r="A1592" s="213" t="s">
        <v>6709</v>
      </c>
      <c r="B1592" s="215">
        <f t="shared" si="72"/>
        <v>45758</v>
      </c>
      <c r="C1592" s="213" t="s">
        <v>6191</v>
      </c>
      <c r="D1592" s="213" t="s">
        <v>4366</v>
      </c>
      <c r="E1592" s="213" t="s">
        <v>334</v>
      </c>
      <c r="F1592" s="212" t="s">
        <v>6158</v>
      </c>
      <c r="G1592" s="212" t="str">
        <f t="shared" si="73"/>
        <v>401용역매출</v>
      </c>
      <c r="H1592" s="214">
        <v>0</v>
      </c>
      <c r="I1592" s="214">
        <v>120000</v>
      </c>
      <c r="J1592" s="214">
        <f t="shared" si="74"/>
        <v>120000</v>
      </c>
      <c r="K1592" s="212" t="s">
        <v>6309</v>
      </c>
      <c r="L1592" s="213"/>
      <c r="M1592" s="212" t="s">
        <v>6225</v>
      </c>
    </row>
    <row r="1593" spans="1:13" ht="21" customHeight="1">
      <c r="A1593" s="213" t="s">
        <v>6709</v>
      </c>
      <c r="B1593" s="215">
        <f t="shared" si="72"/>
        <v>45758</v>
      </c>
      <c r="C1593" s="213" t="s">
        <v>6191</v>
      </c>
      <c r="D1593" s="213" t="s">
        <v>4369</v>
      </c>
      <c r="E1593" s="213" t="s">
        <v>333</v>
      </c>
      <c r="F1593" s="212" t="s">
        <v>4365</v>
      </c>
      <c r="G1593" s="212" t="str">
        <f t="shared" si="73"/>
        <v>101현금</v>
      </c>
      <c r="H1593" s="214">
        <v>132000</v>
      </c>
      <c r="I1593" s="214">
        <v>0</v>
      </c>
      <c r="J1593" s="214">
        <f t="shared" si="74"/>
        <v>-132000</v>
      </c>
      <c r="K1593" s="212" t="s">
        <v>6309</v>
      </c>
      <c r="L1593" s="213"/>
      <c r="M1593" s="212" t="s">
        <v>6225</v>
      </c>
    </row>
    <row r="1594" spans="1:13" ht="21" customHeight="1">
      <c r="A1594" s="213" t="s">
        <v>6709</v>
      </c>
      <c r="B1594" s="215">
        <f t="shared" si="72"/>
        <v>45758</v>
      </c>
      <c r="C1594" s="213" t="s">
        <v>6216</v>
      </c>
      <c r="D1594" s="213" t="s">
        <v>4366</v>
      </c>
      <c r="E1594" s="213" t="s">
        <v>6176</v>
      </c>
      <c r="F1594" s="212" t="s">
        <v>6177</v>
      </c>
      <c r="G1594" s="212" t="str">
        <f t="shared" si="73"/>
        <v>255부가세예수금</v>
      </c>
      <c r="H1594" s="214">
        <v>0</v>
      </c>
      <c r="I1594" s="214">
        <v>10000</v>
      </c>
      <c r="J1594" s="214">
        <f t="shared" si="74"/>
        <v>10000</v>
      </c>
      <c r="K1594" s="212" t="s">
        <v>6264</v>
      </c>
      <c r="L1594" s="213"/>
      <c r="M1594" s="212" t="s">
        <v>6185</v>
      </c>
    </row>
    <row r="1595" spans="1:13" ht="21" customHeight="1">
      <c r="A1595" s="213" t="s">
        <v>6709</v>
      </c>
      <c r="B1595" s="215">
        <f t="shared" si="72"/>
        <v>45758</v>
      </c>
      <c r="C1595" s="213" t="s">
        <v>6216</v>
      </c>
      <c r="D1595" s="213" t="s">
        <v>4366</v>
      </c>
      <c r="E1595" s="213" t="s">
        <v>334</v>
      </c>
      <c r="F1595" s="212" t="s">
        <v>6158</v>
      </c>
      <c r="G1595" s="212" t="str">
        <f t="shared" si="73"/>
        <v>401용역매출</v>
      </c>
      <c r="H1595" s="214">
        <v>0</v>
      </c>
      <c r="I1595" s="214">
        <v>100000</v>
      </c>
      <c r="J1595" s="214">
        <f t="shared" si="74"/>
        <v>100000</v>
      </c>
      <c r="K1595" s="212" t="s">
        <v>6264</v>
      </c>
      <c r="L1595" s="213"/>
      <c r="M1595" s="212" t="s">
        <v>6185</v>
      </c>
    </row>
    <row r="1596" spans="1:13" ht="21" customHeight="1">
      <c r="A1596" s="213" t="s">
        <v>6709</v>
      </c>
      <c r="B1596" s="215">
        <f t="shared" si="72"/>
        <v>45758</v>
      </c>
      <c r="C1596" s="213" t="s">
        <v>6216</v>
      </c>
      <c r="D1596" s="213" t="s">
        <v>4369</v>
      </c>
      <c r="E1596" s="213" t="s">
        <v>333</v>
      </c>
      <c r="F1596" s="212" t="s">
        <v>4365</v>
      </c>
      <c r="G1596" s="212" t="str">
        <f t="shared" si="73"/>
        <v>101현금</v>
      </c>
      <c r="H1596" s="214">
        <v>110000</v>
      </c>
      <c r="I1596" s="214">
        <v>0</v>
      </c>
      <c r="J1596" s="214">
        <f t="shared" si="74"/>
        <v>-110000</v>
      </c>
      <c r="K1596" s="212" t="s">
        <v>6264</v>
      </c>
      <c r="L1596" s="213"/>
      <c r="M1596" s="212" t="s">
        <v>6185</v>
      </c>
    </row>
    <row r="1597" spans="1:13" ht="21" customHeight="1">
      <c r="A1597" s="217" t="s">
        <v>6708</v>
      </c>
      <c r="B1597" s="215">
        <f t="shared" si="72"/>
        <v>45759</v>
      </c>
      <c r="C1597" s="213" t="s">
        <v>4373</v>
      </c>
      <c r="D1597" s="213" t="s">
        <v>4369</v>
      </c>
      <c r="E1597" s="213" t="s">
        <v>4499</v>
      </c>
      <c r="F1597" s="212" t="s">
        <v>6517</v>
      </c>
      <c r="G1597" s="212" t="str">
        <f t="shared" si="73"/>
        <v>811복리후생비(판)</v>
      </c>
      <c r="H1597" s="214">
        <v>3000</v>
      </c>
      <c r="I1597" s="214">
        <v>0</v>
      </c>
      <c r="J1597" s="214">
        <f t="shared" si="74"/>
        <v>-3000</v>
      </c>
      <c r="K1597" s="212" t="s">
        <v>6378</v>
      </c>
      <c r="L1597" s="213"/>
      <c r="M1597" s="212"/>
    </row>
    <row r="1598" spans="1:13" ht="21" customHeight="1">
      <c r="A1598" s="217" t="s">
        <v>6708</v>
      </c>
      <c r="B1598" s="215">
        <f t="shared" si="72"/>
        <v>45759</v>
      </c>
      <c r="C1598" s="213" t="s">
        <v>4373</v>
      </c>
      <c r="D1598" s="213" t="s">
        <v>4366</v>
      </c>
      <c r="E1598" s="213" t="s">
        <v>333</v>
      </c>
      <c r="F1598" s="212" t="s">
        <v>4365</v>
      </c>
      <c r="G1598" s="212" t="str">
        <f t="shared" si="73"/>
        <v>101현금</v>
      </c>
      <c r="H1598" s="214">
        <v>0</v>
      </c>
      <c r="I1598" s="214">
        <v>3000</v>
      </c>
      <c r="J1598" s="214">
        <f t="shared" si="74"/>
        <v>3000</v>
      </c>
      <c r="K1598" s="212" t="s">
        <v>6369</v>
      </c>
      <c r="L1598" s="213"/>
      <c r="M1598" s="212"/>
    </row>
    <row r="1599" spans="1:13" ht="21" customHeight="1">
      <c r="A1599" s="217" t="s">
        <v>6708</v>
      </c>
      <c r="B1599" s="215">
        <f t="shared" si="72"/>
        <v>45759</v>
      </c>
      <c r="C1599" s="213" t="s">
        <v>4382</v>
      </c>
      <c r="D1599" s="213" t="s">
        <v>4369</v>
      </c>
      <c r="E1599" s="213" t="s">
        <v>4368</v>
      </c>
      <c r="F1599" s="212" t="s">
        <v>6388</v>
      </c>
      <c r="G1599" s="212" t="str">
        <f t="shared" si="73"/>
        <v>831지급수수료(판)</v>
      </c>
      <c r="H1599" s="214">
        <v>1990</v>
      </c>
      <c r="I1599" s="214">
        <v>0</v>
      </c>
      <c r="J1599" s="214">
        <f t="shared" si="74"/>
        <v>-1990</v>
      </c>
      <c r="K1599" s="212" t="s">
        <v>4384</v>
      </c>
      <c r="L1599" s="213"/>
      <c r="M1599" s="212"/>
    </row>
    <row r="1600" spans="1:13" ht="21" customHeight="1">
      <c r="A1600" s="217" t="s">
        <v>6708</v>
      </c>
      <c r="B1600" s="215">
        <f t="shared" si="72"/>
        <v>45759</v>
      </c>
      <c r="C1600" s="213" t="s">
        <v>4382</v>
      </c>
      <c r="D1600" s="213" t="s">
        <v>4366</v>
      </c>
      <c r="E1600" s="213" t="s">
        <v>333</v>
      </c>
      <c r="F1600" s="212" t="s">
        <v>4365</v>
      </c>
      <c r="G1600" s="212" t="str">
        <f t="shared" si="73"/>
        <v>101현금</v>
      </c>
      <c r="H1600" s="214">
        <v>0</v>
      </c>
      <c r="I1600" s="214">
        <v>1990</v>
      </c>
      <c r="J1600" s="214">
        <f t="shared" si="74"/>
        <v>1990</v>
      </c>
      <c r="K1600" s="212" t="s">
        <v>6369</v>
      </c>
      <c r="L1600" s="213"/>
      <c r="M1600" s="212"/>
    </row>
    <row r="1601" spans="1:13" ht="21" customHeight="1">
      <c r="A1601" s="217" t="s">
        <v>6708</v>
      </c>
      <c r="B1601" s="215">
        <f t="shared" si="72"/>
        <v>45759</v>
      </c>
      <c r="C1601" s="213" t="s">
        <v>4367</v>
      </c>
      <c r="D1601" s="213" t="s">
        <v>4366</v>
      </c>
      <c r="E1601" s="213" t="s">
        <v>6176</v>
      </c>
      <c r="F1601" s="212" t="s">
        <v>6177</v>
      </c>
      <c r="G1601" s="212" t="str">
        <f t="shared" si="73"/>
        <v>255부가세예수금</v>
      </c>
      <c r="H1601" s="214">
        <v>0</v>
      </c>
      <c r="I1601" s="214">
        <v>15000</v>
      </c>
      <c r="J1601" s="214">
        <f t="shared" si="74"/>
        <v>15000</v>
      </c>
      <c r="K1601" s="212" t="s">
        <v>6201</v>
      </c>
      <c r="L1601" s="213"/>
      <c r="M1601" s="212" t="s">
        <v>6179</v>
      </c>
    </row>
    <row r="1602" spans="1:13" ht="21" customHeight="1">
      <c r="A1602" s="217" t="s">
        <v>6708</v>
      </c>
      <c r="B1602" s="215">
        <f t="shared" ref="B1602:B1665" si="75">DATEVALUE(A1602)</f>
        <v>45759</v>
      </c>
      <c r="C1602" s="213" t="s">
        <v>4367</v>
      </c>
      <c r="D1602" s="213" t="s">
        <v>4366</v>
      </c>
      <c r="E1602" s="213" t="s">
        <v>334</v>
      </c>
      <c r="F1602" s="212" t="s">
        <v>6158</v>
      </c>
      <c r="G1602" s="212" t="str">
        <f t="shared" ref="G1602:G1665" si="76">E1602&amp;F1602</f>
        <v>401용역매출</v>
      </c>
      <c r="H1602" s="214">
        <v>0</v>
      </c>
      <c r="I1602" s="214">
        <v>150000</v>
      </c>
      <c r="J1602" s="214">
        <f t="shared" ref="J1602:J1665" si="77">I1602-H1602</f>
        <v>150000</v>
      </c>
      <c r="K1602" s="212" t="s">
        <v>6201</v>
      </c>
      <c r="L1602" s="213"/>
      <c r="M1602" s="212" t="s">
        <v>6179</v>
      </c>
    </row>
    <row r="1603" spans="1:13" ht="21" customHeight="1">
      <c r="A1603" s="217" t="s">
        <v>6708</v>
      </c>
      <c r="B1603" s="215">
        <f t="shared" si="75"/>
        <v>45759</v>
      </c>
      <c r="C1603" s="213" t="s">
        <v>4367</v>
      </c>
      <c r="D1603" s="213" t="s">
        <v>4369</v>
      </c>
      <c r="E1603" s="213" t="s">
        <v>333</v>
      </c>
      <c r="F1603" s="212" t="s">
        <v>4365</v>
      </c>
      <c r="G1603" s="212" t="str">
        <f t="shared" si="76"/>
        <v>101현금</v>
      </c>
      <c r="H1603" s="214">
        <v>165000</v>
      </c>
      <c r="I1603" s="214">
        <v>0</v>
      </c>
      <c r="J1603" s="214">
        <f t="shared" si="77"/>
        <v>-165000</v>
      </c>
      <c r="K1603" s="212" t="s">
        <v>6201</v>
      </c>
      <c r="L1603" s="213"/>
      <c r="M1603" s="212" t="s">
        <v>6179</v>
      </c>
    </row>
    <row r="1604" spans="1:13" ht="21" customHeight="1">
      <c r="A1604" s="216" t="s">
        <v>6705</v>
      </c>
      <c r="B1604" s="215">
        <f t="shared" si="75"/>
        <v>45760</v>
      </c>
      <c r="C1604" s="213" t="s">
        <v>4373</v>
      </c>
      <c r="D1604" s="213" t="s">
        <v>4369</v>
      </c>
      <c r="E1604" s="213" t="s">
        <v>4380</v>
      </c>
      <c r="F1604" s="212" t="s">
        <v>6515</v>
      </c>
      <c r="G1604" s="212" t="str">
        <f t="shared" si="76"/>
        <v>812여비교통비(판)</v>
      </c>
      <c r="H1604" s="214">
        <v>10000</v>
      </c>
      <c r="I1604" s="214">
        <v>0</v>
      </c>
      <c r="J1604" s="214">
        <f t="shared" si="77"/>
        <v>-10000</v>
      </c>
      <c r="K1604" s="212" t="s">
        <v>6707</v>
      </c>
      <c r="L1604" s="213"/>
      <c r="M1604" s="212"/>
    </row>
    <row r="1605" spans="1:13" ht="21" customHeight="1">
      <c r="A1605" s="216" t="s">
        <v>6705</v>
      </c>
      <c r="B1605" s="215">
        <f t="shared" si="75"/>
        <v>45760</v>
      </c>
      <c r="C1605" s="213" t="s">
        <v>4373</v>
      </c>
      <c r="D1605" s="213" t="s">
        <v>4366</v>
      </c>
      <c r="E1605" s="213" t="s">
        <v>333</v>
      </c>
      <c r="F1605" s="212" t="s">
        <v>4365</v>
      </c>
      <c r="G1605" s="212" t="str">
        <f t="shared" si="76"/>
        <v>101현금</v>
      </c>
      <c r="H1605" s="214">
        <v>0</v>
      </c>
      <c r="I1605" s="214">
        <v>10000</v>
      </c>
      <c r="J1605" s="214">
        <f t="shared" si="77"/>
        <v>10000</v>
      </c>
      <c r="K1605" s="212" t="s">
        <v>6369</v>
      </c>
      <c r="L1605" s="213"/>
      <c r="M1605" s="212"/>
    </row>
    <row r="1606" spans="1:13" ht="21" customHeight="1">
      <c r="A1606" s="216" t="s">
        <v>6705</v>
      </c>
      <c r="B1606" s="215">
        <f t="shared" si="75"/>
        <v>45760</v>
      </c>
      <c r="C1606" s="213" t="s">
        <v>4382</v>
      </c>
      <c r="D1606" s="213" t="s">
        <v>4366</v>
      </c>
      <c r="E1606" s="213" t="s">
        <v>333</v>
      </c>
      <c r="F1606" s="212" t="s">
        <v>4365</v>
      </c>
      <c r="G1606" s="212" t="str">
        <f t="shared" si="76"/>
        <v>101현금</v>
      </c>
      <c r="H1606" s="214">
        <v>0</v>
      </c>
      <c r="I1606" s="214">
        <v>2500</v>
      </c>
      <c r="J1606" s="214">
        <f t="shared" si="77"/>
        <v>2500</v>
      </c>
      <c r="K1606" s="212" t="s">
        <v>6369</v>
      </c>
      <c r="L1606" s="213"/>
      <c r="M1606" s="212"/>
    </row>
    <row r="1607" spans="1:13" ht="21" customHeight="1">
      <c r="A1607" s="216" t="s">
        <v>6705</v>
      </c>
      <c r="B1607" s="215">
        <f t="shared" si="75"/>
        <v>45760</v>
      </c>
      <c r="C1607" s="213" t="s">
        <v>4382</v>
      </c>
      <c r="D1607" s="213" t="s">
        <v>4369</v>
      </c>
      <c r="E1607" s="213" t="s">
        <v>4380</v>
      </c>
      <c r="F1607" s="212" t="s">
        <v>6515</v>
      </c>
      <c r="G1607" s="212" t="str">
        <f t="shared" si="76"/>
        <v>812여비교통비(판)</v>
      </c>
      <c r="H1607" s="214">
        <v>2500</v>
      </c>
      <c r="I1607" s="214">
        <v>0</v>
      </c>
      <c r="J1607" s="214">
        <f t="shared" si="77"/>
        <v>-2500</v>
      </c>
      <c r="K1607" s="212" t="s">
        <v>6374</v>
      </c>
      <c r="L1607" s="213"/>
      <c r="M1607" s="212"/>
    </row>
    <row r="1608" spans="1:13" ht="21" customHeight="1">
      <c r="A1608" s="216" t="s">
        <v>6705</v>
      </c>
      <c r="B1608" s="215">
        <f t="shared" si="75"/>
        <v>45760</v>
      </c>
      <c r="C1608" s="213" t="s">
        <v>4381</v>
      </c>
      <c r="D1608" s="213" t="s">
        <v>4369</v>
      </c>
      <c r="E1608" s="213" t="s">
        <v>4380</v>
      </c>
      <c r="F1608" s="212" t="s">
        <v>6515</v>
      </c>
      <c r="G1608" s="212" t="str">
        <f t="shared" si="76"/>
        <v>812여비교통비(판)</v>
      </c>
      <c r="H1608" s="214">
        <v>1100</v>
      </c>
      <c r="I1608" s="214">
        <v>0</v>
      </c>
      <c r="J1608" s="214">
        <f t="shared" si="77"/>
        <v>-1100</v>
      </c>
      <c r="K1608" s="212" t="s">
        <v>6706</v>
      </c>
      <c r="L1608" s="213"/>
      <c r="M1608" s="212"/>
    </row>
    <row r="1609" spans="1:13" ht="21" customHeight="1">
      <c r="A1609" s="216" t="s">
        <v>6705</v>
      </c>
      <c r="B1609" s="215">
        <f t="shared" si="75"/>
        <v>45760</v>
      </c>
      <c r="C1609" s="213" t="s">
        <v>4381</v>
      </c>
      <c r="D1609" s="213" t="s">
        <v>4366</v>
      </c>
      <c r="E1609" s="213" t="s">
        <v>333</v>
      </c>
      <c r="F1609" s="212" t="s">
        <v>4365</v>
      </c>
      <c r="G1609" s="212" t="str">
        <f t="shared" si="76"/>
        <v>101현금</v>
      </c>
      <c r="H1609" s="214">
        <v>0</v>
      </c>
      <c r="I1609" s="214">
        <v>1100</v>
      </c>
      <c r="J1609" s="214">
        <f t="shared" si="77"/>
        <v>1100</v>
      </c>
      <c r="K1609" s="212" t="s">
        <v>6369</v>
      </c>
      <c r="L1609" s="213"/>
      <c r="M1609" s="212"/>
    </row>
    <row r="1610" spans="1:13" ht="21" customHeight="1">
      <c r="A1610" s="216" t="s">
        <v>6705</v>
      </c>
      <c r="B1610" s="215">
        <f t="shared" si="75"/>
        <v>45760</v>
      </c>
      <c r="C1610" s="213" t="s">
        <v>4379</v>
      </c>
      <c r="D1610" s="213" t="s">
        <v>4369</v>
      </c>
      <c r="E1610" s="213" t="s">
        <v>4380</v>
      </c>
      <c r="F1610" s="212" t="s">
        <v>6515</v>
      </c>
      <c r="G1610" s="212" t="str">
        <f t="shared" si="76"/>
        <v>812여비교통비(판)</v>
      </c>
      <c r="H1610" s="214">
        <v>1800</v>
      </c>
      <c r="I1610" s="214">
        <v>0</v>
      </c>
      <c r="J1610" s="214">
        <f t="shared" si="77"/>
        <v>-1800</v>
      </c>
      <c r="K1610" s="212" t="s">
        <v>6706</v>
      </c>
      <c r="L1610" s="213"/>
      <c r="M1610" s="212"/>
    </row>
    <row r="1611" spans="1:13" ht="21" customHeight="1">
      <c r="A1611" s="216" t="s">
        <v>6705</v>
      </c>
      <c r="B1611" s="215">
        <f t="shared" si="75"/>
        <v>45760</v>
      </c>
      <c r="C1611" s="213" t="s">
        <v>4379</v>
      </c>
      <c r="D1611" s="213" t="s">
        <v>4366</v>
      </c>
      <c r="E1611" s="213" t="s">
        <v>333</v>
      </c>
      <c r="F1611" s="212" t="s">
        <v>4365</v>
      </c>
      <c r="G1611" s="212" t="str">
        <f t="shared" si="76"/>
        <v>101현금</v>
      </c>
      <c r="H1611" s="214">
        <v>0</v>
      </c>
      <c r="I1611" s="214">
        <v>1800</v>
      </c>
      <c r="J1611" s="214">
        <f t="shared" si="77"/>
        <v>1800</v>
      </c>
      <c r="K1611" s="212" t="s">
        <v>6369</v>
      </c>
      <c r="L1611" s="213"/>
      <c r="M1611" s="212"/>
    </row>
    <row r="1612" spans="1:13" ht="21" customHeight="1">
      <c r="A1612" s="216" t="s">
        <v>6705</v>
      </c>
      <c r="B1612" s="215">
        <f t="shared" si="75"/>
        <v>45760</v>
      </c>
      <c r="C1612" s="213" t="s">
        <v>4367</v>
      </c>
      <c r="D1612" s="213" t="s">
        <v>4366</v>
      </c>
      <c r="E1612" s="213" t="s">
        <v>333</v>
      </c>
      <c r="F1612" s="212" t="s">
        <v>4365</v>
      </c>
      <c r="G1612" s="212" t="str">
        <f t="shared" si="76"/>
        <v>101현금</v>
      </c>
      <c r="H1612" s="214">
        <v>0</v>
      </c>
      <c r="I1612" s="214">
        <v>14000</v>
      </c>
      <c r="J1612" s="214">
        <f t="shared" si="77"/>
        <v>14000</v>
      </c>
      <c r="K1612" s="212" t="s">
        <v>6371</v>
      </c>
      <c r="L1612" s="213"/>
      <c r="M1612" s="212"/>
    </row>
    <row r="1613" spans="1:13" ht="21" customHeight="1">
      <c r="A1613" s="216" t="s">
        <v>6705</v>
      </c>
      <c r="B1613" s="215">
        <f t="shared" si="75"/>
        <v>45760</v>
      </c>
      <c r="C1613" s="213" t="s">
        <v>4367</v>
      </c>
      <c r="D1613" s="213" t="s">
        <v>4369</v>
      </c>
      <c r="E1613" s="213" t="s">
        <v>4383</v>
      </c>
      <c r="F1613" s="212" t="s">
        <v>6525</v>
      </c>
      <c r="G1613" s="212" t="str">
        <f t="shared" si="76"/>
        <v>830소모품비(판)</v>
      </c>
      <c r="H1613" s="214">
        <v>12726</v>
      </c>
      <c r="I1613" s="214">
        <v>0</v>
      </c>
      <c r="J1613" s="214">
        <f t="shared" si="77"/>
        <v>-12726</v>
      </c>
      <c r="K1613" s="212" t="s">
        <v>6202</v>
      </c>
      <c r="L1613" s="213" t="s">
        <v>6411</v>
      </c>
      <c r="M1613" s="212"/>
    </row>
    <row r="1614" spans="1:13" ht="21" customHeight="1">
      <c r="A1614" s="216" t="s">
        <v>6705</v>
      </c>
      <c r="B1614" s="215">
        <f t="shared" si="75"/>
        <v>45760</v>
      </c>
      <c r="C1614" s="213" t="s">
        <v>4367</v>
      </c>
      <c r="D1614" s="213" t="s">
        <v>4369</v>
      </c>
      <c r="E1614" s="213" t="s">
        <v>4371</v>
      </c>
      <c r="F1614" s="212" t="s">
        <v>4370</v>
      </c>
      <c r="G1614" s="212" t="str">
        <f t="shared" si="76"/>
        <v>135부가세대급금</v>
      </c>
      <c r="H1614" s="214">
        <v>1274</v>
      </c>
      <c r="I1614" s="214">
        <v>0</v>
      </c>
      <c r="J1614" s="214">
        <f t="shared" si="77"/>
        <v>-1274</v>
      </c>
      <c r="K1614" s="212" t="s">
        <v>6202</v>
      </c>
      <c r="L1614" s="213" t="s">
        <v>6411</v>
      </c>
      <c r="M1614" s="212"/>
    </row>
    <row r="1615" spans="1:13" ht="21" customHeight="1">
      <c r="A1615" s="213" t="s">
        <v>6702</v>
      </c>
      <c r="B1615" s="215">
        <f t="shared" si="75"/>
        <v>45761</v>
      </c>
      <c r="C1615" s="213" t="s">
        <v>4373</v>
      </c>
      <c r="D1615" s="213" t="s">
        <v>4369</v>
      </c>
      <c r="E1615" s="213" t="s">
        <v>4499</v>
      </c>
      <c r="F1615" s="212" t="s">
        <v>6517</v>
      </c>
      <c r="G1615" s="212" t="str">
        <f t="shared" si="76"/>
        <v>811복리후생비(판)</v>
      </c>
      <c r="H1615" s="214">
        <v>3500</v>
      </c>
      <c r="I1615" s="214">
        <v>0</v>
      </c>
      <c r="J1615" s="214">
        <f t="shared" si="77"/>
        <v>-3500</v>
      </c>
      <c r="K1615" s="212" t="s">
        <v>6539</v>
      </c>
      <c r="L1615" s="213"/>
      <c r="M1615" s="212"/>
    </row>
    <row r="1616" spans="1:13" ht="21" customHeight="1">
      <c r="A1616" s="213" t="s">
        <v>6702</v>
      </c>
      <c r="B1616" s="215">
        <f t="shared" si="75"/>
        <v>45761</v>
      </c>
      <c r="C1616" s="213" t="s">
        <v>4373</v>
      </c>
      <c r="D1616" s="213" t="s">
        <v>4366</v>
      </c>
      <c r="E1616" s="213" t="s">
        <v>333</v>
      </c>
      <c r="F1616" s="212" t="s">
        <v>4365</v>
      </c>
      <c r="G1616" s="212" t="str">
        <f t="shared" si="76"/>
        <v>101현금</v>
      </c>
      <c r="H1616" s="214">
        <v>0</v>
      </c>
      <c r="I1616" s="214">
        <v>3500</v>
      </c>
      <c r="J1616" s="214">
        <f t="shared" si="77"/>
        <v>3500</v>
      </c>
      <c r="K1616" s="212" t="s">
        <v>6369</v>
      </c>
      <c r="L1616" s="213"/>
      <c r="M1616" s="212"/>
    </row>
    <row r="1617" spans="1:13" ht="21" customHeight="1">
      <c r="A1617" s="213" t="s">
        <v>6702</v>
      </c>
      <c r="B1617" s="215">
        <f t="shared" si="75"/>
        <v>45761</v>
      </c>
      <c r="C1617" s="213" t="s">
        <v>4382</v>
      </c>
      <c r="D1617" s="213" t="s">
        <v>4369</v>
      </c>
      <c r="E1617" s="213" t="s">
        <v>4499</v>
      </c>
      <c r="F1617" s="212" t="s">
        <v>6517</v>
      </c>
      <c r="G1617" s="212" t="str">
        <f t="shared" si="76"/>
        <v>811복리후생비(판)</v>
      </c>
      <c r="H1617" s="214">
        <v>37000</v>
      </c>
      <c r="I1617" s="214">
        <v>0</v>
      </c>
      <c r="J1617" s="214">
        <f t="shared" si="77"/>
        <v>-37000</v>
      </c>
      <c r="K1617" s="212" t="s">
        <v>6704</v>
      </c>
      <c r="L1617" s="213"/>
      <c r="M1617" s="212"/>
    </row>
    <row r="1618" spans="1:13" ht="21" customHeight="1">
      <c r="A1618" s="213" t="s">
        <v>6702</v>
      </c>
      <c r="B1618" s="215">
        <f t="shared" si="75"/>
        <v>45761</v>
      </c>
      <c r="C1618" s="213" t="s">
        <v>4382</v>
      </c>
      <c r="D1618" s="213" t="s">
        <v>4366</v>
      </c>
      <c r="E1618" s="213" t="s">
        <v>333</v>
      </c>
      <c r="F1618" s="212" t="s">
        <v>4365</v>
      </c>
      <c r="G1618" s="212" t="str">
        <f t="shared" si="76"/>
        <v>101현금</v>
      </c>
      <c r="H1618" s="214">
        <v>0</v>
      </c>
      <c r="I1618" s="214">
        <v>37000</v>
      </c>
      <c r="J1618" s="214">
        <f t="shared" si="77"/>
        <v>37000</v>
      </c>
      <c r="K1618" s="212" t="s">
        <v>6370</v>
      </c>
      <c r="L1618" s="213"/>
      <c r="M1618" s="212"/>
    </row>
    <row r="1619" spans="1:13" ht="21" customHeight="1">
      <c r="A1619" s="213" t="s">
        <v>6702</v>
      </c>
      <c r="B1619" s="215">
        <f t="shared" si="75"/>
        <v>45761</v>
      </c>
      <c r="C1619" s="213" t="s">
        <v>4381</v>
      </c>
      <c r="D1619" s="213" t="s">
        <v>4369</v>
      </c>
      <c r="E1619" s="213" t="s">
        <v>4383</v>
      </c>
      <c r="F1619" s="212" t="s">
        <v>6525</v>
      </c>
      <c r="G1619" s="212" t="str">
        <f t="shared" si="76"/>
        <v>830소모품비(판)</v>
      </c>
      <c r="H1619" s="214">
        <v>5350</v>
      </c>
      <c r="I1619" s="214">
        <v>0</v>
      </c>
      <c r="J1619" s="214">
        <f t="shared" si="77"/>
        <v>-5350</v>
      </c>
      <c r="K1619" s="212" t="s">
        <v>6324</v>
      </c>
      <c r="L1619" s="213"/>
      <c r="M1619" s="212"/>
    </row>
    <row r="1620" spans="1:13" ht="21" customHeight="1">
      <c r="A1620" s="213" t="s">
        <v>6702</v>
      </c>
      <c r="B1620" s="215">
        <f t="shared" si="75"/>
        <v>45761</v>
      </c>
      <c r="C1620" s="213" t="s">
        <v>4381</v>
      </c>
      <c r="D1620" s="213" t="s">
        <v>4366</v>
      </c>
      <c r="E1620" s="213" t="s">
        <v>333</v>
      </c>
      <c r="F1620" s="212" t="s">
        <v>4365</v>
      </c>
      <c r="G1620" s="212" t="str">
        <f t="shared" si="76"/>
        <v>101현금</v>
      </c>
      <c r="H1620" s="214">
        <v>0</v>
      </c>
      <c r="I1620" s="214">
        <v>5350</v>
      </c>
      <c r="J1620" s="214">
        <f t="shared" si="77"/>
        <v>5350</v>
      </c>
      <c r="K1620" s="212" t="s">
        <v>6369</v>
      </c>
      <c r="L1620" s="213"/>
      <c r="M1620" s="212"/>
    </row>
    <row r="1621" spans="1:13" ht="21" customHeight="1">
      <c r="A1621" s="213" t="s">
        <v>6702</v>
      </c>
      <c r="B1621" s="215">
        <f t="shared" si="75"/>
        <v>45761</v>
      </c>
      <c r="C1621" s="213" t="s">
        <v>4379</v>
      </c>
      <c r="D1621" s="213" t="s">
        <v>4366</v>
      </c>
      <c r="E1621" s="213" t="s">
        <v>333</v>
      </c>
      <c r="F1621" s="212" t="s">
        <v>4365</v>
      </c>
      <c r="G1621" s="212" t="str">
        <f t="shared" si="76"/>
        <v>101현금</v>
      </c>
      <c r="H1621" s="214">
        <v>0</v>
      </c>
      <c r="I1621" s="214">
        <v>5400</v>
      </c>
      <c r="J1621" s="214">
        <f t="shared" si="77"/>
        <v>5400</v>
      </c>
      <c r="K1621" s="212" t="s">
        <v>6369</v>
      </c>
      <c r="L1621" s="213"/>
      <c r="M1621" s="212"/>
    </row>
    <row r="1622" spans="1:13" ht="21" customHeight="1">
      <c r="A1622" s="213" t="s">
        <v>6702</v>
      </c>
      <c r="B1622" s="215">
        <f t="shared" si="75"/>
        <v>45761</v>
      </c>
      <c r="C1622" s="213" t="s">
        <v>4379</v>
      </c>
      <c r="D1622" s="213" t="s">
        <v>4369</v>
      </c>
      <c r="E1622" s="213" t="s">
        <v>4380</v>
      </c>
      <c r="F1622" s="212" t="s">
        <v>6515</v>
      </c>
      <c r="G1622" s="212" t="str">
        <f t="shared" si="76"/>
        <v>812여비교통비(판)</v>
      </c>
      <c r="H1622" s="214">
        <v>5400</v>
      </c>
      <c r="I1622" s="214">
        <v>0</v>
      </c>
      <c r="J1622" s="214">
        <f t="shared" si="77"/>
        <v>-5400</v>
      </c>
      <c r="K1622" s="212" t="s">
        <v>6292</v>
      </c>
      <c r="L1622" s="213"/>
      <c r="M1622" s="212"/>
    </row>
    <row r="1623" spans="1:13" ht="21" customHeight="1">
      <c r="A1623" s="213" t="s">
        <v>6702</v>
      </c>
      <c r="B1623" s="215">
        <f t="shared" si="75"/>
        <v>45761</v>
      </c>
      <c r="C1623" s="213" t="s">
        <v>4385</v>
      </c>
      <c r="D1623" s="213" t="s">
        <v>4369</v>
      </c>
      <c r="E1623" s="213" t="s">
        <v>6157</v>
      </c>
      <c r="F1623" s="212" t="s">
        <v>6524</v>
      </c>
      <c r="G1623" s="212" t="str">
        <f t="shared" si="76"/>
        <v>813접대비(기업업무추진비)(판)</v>
      </c>
      <c r="H1623" s="214">
        <v>33000</v>
      </c>
      <c r="I1623" s="214">
        <v>0</v>
      </c>
      <c r="J1623" s="214">
        <f t="shared" si="77"/>
        <v>-33000</v>
      </c>
      <c r="K1623" s="212" t="s">
        <v>6703</v>
      </c>
      <c r="L1623" s="213" t="s">
        <v>1327</v>
      </c>
      <c r="M1623" s="212" t="s">
        <v>6356</v>
      </c>
    </row>
    <row r="1624" spans="1:13" ht="21" customHeight="1">
      <c r="A1624" s="213" t="s">
        <v>6702</v>
      </c>
      <c r="B1624" s="215">
        <f t="shared" si="75"/>
        <v>45761</v>
      </c>
      <c r="C1624" s="213" t="s">
        <v>4385</v>
      </c>
      <c r="D1624" s="213" t="s">
        <v>4366</v>
      </c>
      <c r="E1624" s="213" t="s">
        <v>333</v>
      </c>
      <c r="F1624" s="212" t="s">
        <v>4365</v>
      </c>
      <c r="G1624" s="212" t="str">
        <f t="shared" si="76"/>
        <v>101현금</v>
      </c>
      <c r="H1624" s="214">
        <v>0</v>
      </c>
      <c r="I1624" s="214">
        <v>33000</v>
      </c>
      <c r="J1624" s="214">
        <f t="shared" si="77"/>
        <v>33000</v>
      </c>
      <c r="K1624" s="212" t="s">
        <v>6370</v>
      </c>
      <c r="L1624" s="213"/>
      <c r="M1624" s="212"/>
    </row>
    <row r="1625" spans="1:13" ht="21" customHeight="1">
      <c r="A1625" s="213" t="s">
        <v>6702</v>
      </c>
      <c r="B1625" s="215">
        <f t="shared" si="75"/>
        <v>45761</v>
      </c>
      <c r="C1625" s="213" t="s">
        <v>4501</v>
      </c>
      <c r="D1625" s="213" t="s">
        <v>4369</v>
      </c>
      <c r="E1625" s="213" t="s">
        <v>4383</v>
      </c>
      <c r="F1625" s="212" t="s">
        <v>6525</v>
      </c>
      <c r="G1625" s="212" t="str">
        <f t="shared" si="76"/>
        <v>830소모품비(판)</v>
      </c>
      <c r="H1625" s="214">
        <v>12540</v>
      </c>
      <c r="I1625" s="214">
        <v>0</v>
      </c>
      <c r="J1625" s="214">
        <f t="shared" si="77"/>
        <v>-12540</v>
      </c>
      <c r="K1625" s="212" t="s">
        <v>6676</v>
      </c>
      <c r="L1625" s="213"/>
      <c r="M1625" s="212"/>
    </row>
    <row r="1626" spans="1:13" ht="21" customHeight="1">
      <c r="A1626" s="213" t="s">
        <v>6702</v>
      </c>
      <c r="B1626" s="215">
        <f t="shared" si="75"/>
        <v>45761</v>
      </c>
      <c r="C1626" s="213" t="s">
        <v>4501</v>
      </c>
      <c r="D1626" s="213" t="s">
        <v>4366</v>
      </c>
      <c r="E1626" s="213" t="s">
        <v>333</v>
      </c>
      <c r="F1626" s="212" t="s">
        <v>4365</v>
      </c>
      <c r="G1626" s="212" t="str">
        <f t="shared" si="76"/>
        <v>101현금</v>
      </c>
      <c r="H1626" s="214">
        <v>0</v>
      </c>
      <c r="I1626" s="214">
        <v>12540</v>
      </c>
      <c r="J1626" s="214">
        <f t="shared" si="77"/>
        <v>12540</v>
      </c>
      <c r="K1626" s="212" t="s">
        <v>6676</v>
      </c>
      <c r="L1626" s="213"/>
      <c r="M1626" s="212"/>
    </row>
    <row r="1627" spans="1:13" ht="21" customHeight="1">
      <c r="A1627" s="213" t="s">
        <v>6702</v>
      </c>
      <c r="B1627" s="215">
        <f t="shared" si="75"/>
        <v>45761</v>
      </c>
      <c r="C1627" s="213" t="s">
        <v>4502</v>
      </c>
      <c r="D1627" s="213" t="s">
        <v>4369</v>
      </c>
      <c r="E1627" s="213" t="s">
        <v>4383</v>
      </c>
      <c r="F1627" s="212" t="s">
        <v>6525</v>
      </c>
      <c r="G1627" s="212" t="str">
        <f t="shared" si="76"/>
        <v>830소모품비(판)</v>
      </c>
      <c r="H1627" s="214">
        <v>4190</v>
      </c>
      <c r="I1627" s="214">
        <v>0</v>
      </c>
      <c r="J1627" s="214">
        <f t="shared" si="77"/>
        <v>-4190</v>
      </c>
      <c r="K1627" s="212" t="s">
        <v>6676</v>
      </c>
      <c r="L1627" s="213"/>
      <c r="M1627" s="212"/>
    </row>
    <row r="1628" spans="1:13" ht="21" customHeight="1">
      <c r="A1628" s="213" t="s">
        <v>6702</v>
      </c>
      <c r="B1628" s="215">
        <f t="shared" si="75"/>
        <v>45761</v>
      </c>
      <c r="C1628" s="213" t="s">
        <v>4502</v>
      </c>
      <c r="D1628" s="213" t="s">
        <v>4366</v>
      </c>
      <c r="E1628" s="213" t="s">
        <v>333</v>
      </c>
      <c r="F1628" s="212" t="s">
        <v>4365</v>
      </c>
      <c r="G1628" s="212" t="str">
        <f t="shared" si="76"/>
        <v>101현금</v>
      </c>
      <c r="H1628" s="214">
        <v>0</v>
      </c>
      <c r="I1628" s="214">
        <v>4190</v>
      </c>
      <c r="J1628" s="214">
        <f t="shared" si="77"/>
        <v>4190</v>
      </c>
      <c r="K1628" s="212" t="s">
        <v>6676</v>
      </c>
      <c r="L1628" s="213"/>
      <c r="M1628" s="212"/>
    </row>
    <row r="1629" spans="1:13" ht="21" customHeight="1">
      <c r="A1629" s="213" t="s">
        <v>6702</v>
      </c>
      <c r="B1629" s="215">
        <f t="shared" si="75"/>
        <v>45761</v>
      </c>
      <c r="C1629" s="213" t="s">
        <v>4503</v>
      </c>
      <c r="D1629" s="213" t="s">
        <v>4369</v>
      </c>
      <c r="E1629" s="213" t="s">
        <v>4383</v>
      </c>
      <c r="F1629" s="212" t="s">
        <v>6525</v>
      </c>
      <c r="G1629" s="212" t="str">
        <f t="shared" si="76"/>
        <v>830소모품비(판)</v>
      </c>
      <c r="H1629" s="214">
        <v>4190</v>
      </c>
      <c r="I1629" s="214">
        <v>0</v>
      </c>
      <c r="J1629" s="214">
        <f t="shared" si="77"/>
        <v>-4190</v>
      </c>
      <c r="K1629" s="212" t="s">
        <v>6676</v>
      </c>
      <c r="L1629" s="213"/>
      <c r="M1629" s="212"/>
    </row>
    <row r="1630" spans="1:13" ht="21" customHeight="1">
      <c r="A1630" s="213" t="s">
        <v>6702</v>
      </c>
      <c r="B1630" s="215">
        <f t="shared" si="75"/>
        <v>45761</v>
      </c>
      <c r="C1630" s="213" t="s">
        <v>4503</v>
      </c>
      <c r="D1630" s="213" t="s">
        <v>4366</v>
      </c>
      <c r="E1630" s="213" t="s">
        <v>333</v>
      </c>
      <c r="F1630" s="212" t="s">
        <v>4365</v>
      </c>
      <c r="G1630" s="212" t="str">
        <f t="shared" si="76"/>
        <v>101현금</v>
      </c>
      <c r="H1630" s="214">
        <v>0</v>
      </c>
      <c r="I1630" s="214">
        <v>4190</v>
      </c>
      <c r="J1630" s="214">
        <f t="shared" si="77"/>
        <v>4190</v>
      </c>
      <c r="K1630" s="212" t="s">
        <v>6676</v>
      </c>
      <c r="L1630" s="213"/>
      <c r="M1630" s="212"/>
    </row>
    <row r="1631" spans="1:13" ht="21" customHeight="1">
      <c r="A1631" s="213" t="s">
        <v>6702</v>
      </c>
      <c r="B1631" s="215">
        <f t="shared" si="75"/>
        <v>45761</v>
      </c>
      <c r="C1631" s="213" t="s">
        <v>4511</v>
      </c>
      <c r="D1631" s="213" t="s">
        <v>4369</v>
      </c>
      <c r="E1631" s="213" t="s">
        <v>4383</v>
      </c>
      <c r="F1631" s="212" t="s">
        <v>6525</v>
      </c>
      <c r="G1631" s="212" t="str">
        <f t="shared" si="76"/>
        <v>830소모품비(판)</v>
      </c>
      <c r="H1631" s="214">
        <v>3000</v>
      </c>
      <c r="I1631" s="214">
        <v>0</v>
      </c>
      <c r="J1631" s="214">
        <f t="shared" si="77"/>
        <v>-3000</v>
      </c>
      <c r="K1631" s="212" t="s">
        <v>6676</v>
      </c>
      <c r="L1631" s="213"/>
      <c r="M1631" s="212"/>
    </row>
    <row r="1632" spans="1:13" ht="21" customHeight="1">
      <c r="A1632" s="213" t="s">
        <v>6702</v>
      </c>
      <c r="B1632" s="215">
        <f t="shared" si="75"/>
        <v>45761</v>
      </c>
      <c r="C1632" s="213" t="s">
        <v>4511</v>
      </c>
      <c r="D1632" s="213" t="s">
        <v>4366</v>
      </c>
      <c r="E1632" s="213" t="s">
        <v>333</v>
      </c>
      <c r="F1632" s="212" t="s">
        <v>4365</v>
      </c>
      <c r="G1632" s="212" t="str">
        <f t="shared" si="76"/>
        <v>101현금</v>
      </c>
      <c r="H1632" s="214">
        <v>0</v>
      </c>
      <c r="I1632" s="214">
        <v>3000</v>
      </c>
      <c r="J1632" s="214">
        <f t="shared" si="77"/>
        <v>3000</v>
      </c>
      <c r="K1632" s="212" t="s">
        <v>6676</v>
      </c>
      <c r="L1632" s="213"/>
      <c r="M1632" s="212"/>
    </row>
    <row r="1633" spans="1:13" ht="21" customHeight="1">
      <c r="A1633" s="213" t="s">
        <v>6700</v>
      </c>
      <c r="B1633" s="215">
        <f t="shared" si="75"/>
        <v>45762</v>
      </c>
      <c r="C1633" s="213" t="s">
        <v>4373</v>
      </c>
      <c r="D1633" s="213" t="s">
        <v>4369</v>
      </c>
      <c r="E1633" s="213" t="s">
        <v>4499</v>
      </c>
      <c r="F1633" s="212" t="s">
        <v>6517</v>
      </c>
      <c r="G1633" s="212" t="str">
        <f t="shared" si="76"/>
        <v>811복리후생비(판)</v>
      </c>
      <c r="H1633" s="214">
        <v>5100</v>
      </c>
      <c r="I1633" s="214">
        <v>0</v>
      </c>
      <c r="J1633" s="214">
        <f t="shared" si="77"/>
        <v>-5100</v>
      </c>
      <c r="K1633" s="212" t="s">
        <v>6352</v>
      </c>
      <c r="L1633" s="213"/>
      <c r="M1633" s="212"/>
    </row>
    <row r="1634" spans="1:13" ht="21" customHeight="1">
      <c r="A1634" s="213" t="s">
        <v>6700</v>
      </c>
      <c r="B1634" s="215">
        <f t="shared" si="75"/>
        <v>45762</v>
      </c>
      <c r="C1634" s="213" t="s">
        <v>4373</v>
      </c>
      <c r="D1634" s="213" t="s">
        <v>4366</v>
      </c>
      <c r="E1634" s="213" t="s">
        <v>333</v>
      </c>
      <c r="F1634" s="212" t="s">
        <v>4365</v>
      </c>
      <c r="G1634" s="212" t="str">
        <f t="shared" si="76"/>
        <v>101현금</v>
      </c>
      <c r="H1634" s="214">
        <v>0</v>
      </c>
      <c r="I1634" s="214">
        <v>5100</v>
      </c>
      <c r="J1634" s="214">
        <f t="shared" si="77"/>
        <v>5100</v>
      </c>
      <c r="K1634" s="212" t="s">
        <v>6370</v>
      </c>
      <c r="L1634" s="213"/>
      <c r="M1634" s="212"/>
    </row>
    <row r="1635" spans="1:13" ht="21" customHeight="1">
      <c r="A1635" s="213" t="s">
        <v>6700</v>
      </c>
      <c r="B1635" s="215">
        <f t="shared" si="75"/>
        <v>45762</v>
      </c>
      <c r="C1635" s="213" t="s">
        <v>4382</v>
      </c>
      <c r="D1635" s="213" t="s">
        <v>4369</v>
      </c>
      <c r="E1635" s="213" t="s">
        <v>4499</v>
      </c>
      <c r="F1635" s="212" t="s">
        <v>6517</v>
      </c>
      <c r="G1635" s="212" t="str">
        <f t="shared" si="76"/>
        <v>811복리후생비(판)</v>
      </c>
      <c r="H1635" s="214">
        <v>16000</v>
      </c>
      <c r="I1635" s="214">
        <v>0</v>
      </c>
      <c r="J1635" s="214">
        <f t="shared" si="77"/>
        <v>-16000</v>
      </c>
      <c r="K1635" s="212" t="s">
        <v>6516</v>
      </c>
      <c r="L1635" s="213"/>
      <c r="M1635" s="212"/>
    </row>
    <row r="1636" spans="1:13" ht="21" customHeight="1">
      <c r="A1636" s="213" t="s">
        <v>6700</v>
      </c>
      <c r="B1636" s="215">
        <f t="shared" si="75"/>
        <v>45762</v>
      </c>
      <c r="C1636" s="213" t="s">
        <v>4382</v>
      </c>
      <c r="D1636" s="213" t="s">
        <v>4366</v>
      </c>
      <c r="E1636" s="213" t="s">
        <v>333</v>
      </c>
      <c r="F1636" s="212" t="s">
        <v>4365</v>
      </c>
      <c r="G1636" s="212" t="str">
        <f t="shared" si="76"/>
        <v>101현금</v>
      </c>
      <c r="H1636" s="214">
        <v>0</v>
      </c>
      <c r="I1636" s="214">
        <v>16000</v>
      </c>
      <c r="J1636" s="214">
        <f t="shared" si="77"/>
        <v>16000</v>
      </c>
      <c r="K1636" s="212" t="s">
        <v>6369</v>
      </c>
      <c r="L1636" s="213"/>
      <c r="M1636" s="212"/>
    </row>
    <row r="1637" spans="1:13" ht="21" customHeight="1">
      <c r="A1637" s="213" t="s">
        <v>6700</v>
      </c>
      <c r="B1637" s="215">
        <f t="shared" si="75"/>
        <v>45762</v>
      </c>
      <c r="C1637" s="213" t="s">
        <v>4381</v>
      </c>
      <c r="D1637" s="213" t="s">
        <v>4369</v>
      </c>
      <c r="E1637" s="213" t="s">
        <v>4383</v>
      </c>
      <c r="F1637" s="212" t="s">
        <v>6525</v>
      </c>
      <c r="G1637" s="212" t="str">
        <f t="shared" si="76"/>
        <v>830소모품비(판)</v>
      </c>
      <c r="H1637" s="214">
        <v>10000</v>
      </c>
      <c r="I1637" s="214">
        <v>0</v>
      </c>
      <c r="J1637" s="214">
        <f t="shared" si="77"/>
        <v>-10000</v>
      </c>
      <c r="K1637" s="212" t="s">
        <v>6198</v>
      </c>
      <c r="L1637" s="213"/>
      <c r="M1637" s="212"/>
    </row>
    <row r="1638" spans="1:13" ht="21" customHeight="1">
      <c r="A1638" s="213" t="s">
        <v>6700</v>
      </c>
      <c r="B1638" s="215">
        <f t="shared" si="75"/>
        <v>45762</v>
      </c>
      <c r="C1638" s="213" t="s">
        <v>4381</v>
      </c>
      <c r="D1638" s="213" t="s">
        <v>4366</v>
      </c>
      <c r="E1638" s="213" t="s">
        <v>333</v>
      </c>
      <c r="F1638" s="212" t="s">
        <v>4365</v>
      </c>
      <c r="G1638" s="212" t="str">
        <f t="shared" si="76"/>
        <v>101현금</v>
      </c>
      <c r="H1638" s="214">
        <v>0</v>
      </c>
      <c r="I1638" s="214">
        <v>10000</v>
      </c>
      <c r="J1638" s="214">
        <f t="shared" si="77"/>
        <v>10000</v>
      </c>
      <c r="K1638" s="212" t="s">
        <v>6370</v>
      </c>
      <c r="L1638" s="213"/>
      <c r="M1638" s="212"/>
    </row>
    <row r="1639" spans="1:13" ht="21" customHeight="1">
      <c r="A1639" s="213" t="s">
        <v>6700</v>
      </c>
      <c r="B1639" s="215">
        <f t="shared" si="75"/>
        <v>45762</v>
      </c>
      <c r="C1639" s="213" t="s">
        <v>4379</v>
      </c>
      <c r="D1639" s="213" t="s">
        <v>4366</v>
      </c>
      <c r="E1639" s="213" t="s">
        <v>333</v>
      </c>
      <c r="F1639" s="212" t="s">
        <v>4365</v>
      </c>
      <c r="G1639" s="212" t="str">
        <f t="shared" si="76"/>
        <v>101현금</v>
      </c>
      <c r="H1639" s="214">
        <v>0</v>
      </c>
      <c r="I1639" s="214">
        <v>1000</v>
      </c>
      <c r="J1639" s="214">
        <f t="shared" si="77"/>
        <v>1000</v>
      </c>
      <c r="K1639" s="212" t="s">
        <v>6370</v>
      </c>
      <c r="L1639" s="213"/>
      <c r="M1639" s="212"/>
    </row>
    <row r="1640" spans="1:13" ht="21" customHeight="1">
      <c r="A1640" s="213" t="s">
        <v>6700</v>
      </c>
      <c r="B1640" s="215">
        <f t="shared" si="75"/>
        <v>45762</v>
      </c>
      <c r="C1640" s="213" t="s">
        <v>4379</v>
      </c>
      <c r="D1640" s="213" t="s">
        <v>4369</v>
      </c>
      <c r="E1640" s="213" t="s">
        <v>4380</v>
      </c>
      <c r="F1640" s="212" t="s">
        <v>6515</v>
      </c>
      <c r="G1640" s="212" t="str">
        <f t="shared" si="76"/>
        <v>812여비교통비(판)</v>
      </c>
      <c r="H1640" s="214">
        <v>1000</v>
      </c>
      <c r="I1640" s="214">
        <v>0</v>
      </c>
      <c r="J1640" s="214">
        <f t="shared" si="77"/>
        <v>-1000</v>
      </c>
      <c r="K1640" s="212" t="s">
        <v>6701</v>
      </c>
      <c r="L1640" s="213"/>
      <c r="M1640" s="212"/>
    </row>
    <row r="1641" spans="1:13" ht="21" customHeight="1">
      <c r="A1641" s="213" t="s">
        <v>6700</v>
      </c>
      <c r="B1641" s="215">
        <f t="shared" si="75"/>
        <v>45762</v>
      </c>
      <c r="C1641" s="213" t="s">
        <v>4367</v>
      </c>
      <c r="D1641" s="213" t="s">
        <v>4366</v>
      </c>
      <c r="E1641" s="213" t="s">
        <v>6176</v>
      </c>
      <c r="F1641" s="212" t="s">
        <v>6177</v>
      </c>
      <c r="G1641" s="212" t="str">
        <f t="shared" si="76"/>
        <v>255부가세예수금</v>
      </c>
      <c r="H1641" s="214">
        <v>0</v>
      </c>
      <c r="I1641" s="214">
        <v>10000</v>
      </c>
      <c r="J1641" s="214">
        <f t="shared" si="77"/>
        <v>10000</v>
      </c>
      <c r="K1641" s="212" t="s">
        <v>6304</v>
      </c>
      <c r="L1641" s="213"/>
      <c r="M1641" s="212" t="s">
        <v>6185</v>
      </c>
    </row>
    <row r="1642" spans="1:13" ht="21" customHeight="1">
      <c r="A1642" s="213" t="s">
        <v>6700</v>
      </c>
      <c r="B1642" s="215">
        <f t="shared" si="75"/>
        <v>45762</v>
      </c>
      <c r="C1642" s="213" t="s">
        <v>4367</v>
      </c>
      <c r="D1642" s="213" t="s">
        <v>4366</v>
      </c>
      <c r="E1642" s="213" t="s">
        <v>334</v>
      </c>
      <c r="F1642" s="212" t="s">
        <v>6158</v>
      </c>
      <c r="G1642" s="212" t="str">
        <f t="shared" si="76"/>
        <v>401용역매출</v>
      </c>
      <c r="H1642" s="214">
        <v>0</v>
      </c>
      <c r="I1642" s="214">
        <v>100000</v>
      </c>
      <c r="J1642" s="214">
        <f t="shared" si="77"/>
        <v>100000</v>
      </c>
      <c r="K1642" s="212" t="s">
        <v>6304</v>
      </c>
      <c r="L1642" s="213"/>
      <c r="M1642" s="212" t="s">
        <v>6185</v>
      </c>
    </row>
    <row r="1643" spans="1:13" ht="21" customHeight="1">
      <c r="A1643" s="213" t="s">
        <v>6700</v>
      </c>
      <c r="B1643" s="215">
        <f t="shared" si="75"/>
        <v>45762</v>
      </c>
      <c r="C1643" s="213" t="s">
        <v>4367</v>
      </c>
      <c r="D1643" s="213" t="s">
        <v>4369</v>
      </c>
      <c r="E1643" s="213" t="s">
        <v>333</v>
      </c>
      <c r="F1643" s="212" t="s">
        <v>4365</v>
      </c>
      <c r="G1643" s="212" t="str">
        <f t="shared" si="76"/>
        <v>101현금</v>
      </c>
      <c r="H1643" s="214">
        <v>110000</v>
      </c>
      <c r="I1643" s="214">
        <v>0</v>
      </c>
      <c r="J1643" s="214">
        <f t="shared" si="77"/>
        <v>-110000</v>
      </c>
      <c r="K1643" s="212" t="s">
        <v>6304</v>
      </c>
      <c r="L1643" s="213"/>
      <c r="M1643" s="212" t="s">
        <v>6185</v>
      </c>
    </row>
    <row r="1644" spans="1:13" ht="21" customHeight="1">
      <c r="A1644" s="213" t="s">
        <v>6700</v>
      </c>
      <c r="B1644" s="215">
        <f t="shared" si="75"/>
        <v>45762</v>
      </c>
      <c r="C1644" s="213" t="s">
        <v>4374</v>
      </c>
      <c r="D1644" s="213" t="s">
        <v>4366</v>
      </c>
      <c r="E1644" s="213" t="s">
        <v>6176</v>
      </c>
      <c r="F1644" s="212" t="s">
        <v>6177</v>
      </c>
      <c r="G1644" s="212" t="str">
        <f t="shared" si="76"/>
        <v>255부가세예수금</v>
      </c>
      <c r="H1644" s="214">
        <v>0</v>
      </c>
      <c r="I1644" s="214">
        <v>13637</v>
      </c>
      <c r="J1644" s="214">
        <f t="shared" si="77"/>
        <v>13637</v>
      </c>
      <c r="K1644" s="212" t="s">
        <v>6204</v>
      </c>
      <c r="L1644" s="213"/>
      <c r="M1644" s="212" t="s">
        <v>6380</v>
      </c>
    </row>
    <row r="1645" spans="1:13" ht="21" customHeight="1">
      <c r="A1645" s="213" t="s">
        <v>6700</v>
      </c>
      <c r="B1645" s="215">
        <f t="shared" si="75"/>
        <v>45762</v>
      </c>
      <c r="C1645" s="213" t="s">
        <v>4374</v>
      </c>
      <c r="D1645" s="213" t="s">
        <v>4366</v>
      </c>
      <c r="E1645" s="213" t="s">
        <v>334</v>
      </c>
      <c r="F1645" s="212" t="s">
        <v>6158</v>
      </c>
      <c r="G1645" s="212" t="str">
        <f t="shared" si="76"/>
        <v>401용역매출</v>
      </c>
      <c r="H1645" s="214">
        <v>0</v>
      </c>
      <c r="I1645" s="214">
        <v>136363</v>
      </c>
      <c r="J1645" s="214">
        <f t="shared" si="77"/>
        <v>136363</v>
      </c>
      <c r="K1645" s="212" t="s">
        <v>6204</v>
      </c>
      <c r="L1645" s="213"/>
      <c r="M1645" s="212" t="s">
        <v>6380</v>
      </c>
    </row>
    <row r="1646" spans="1:13" ht="21" customHeight="1">
      <c r="A1646" s="213" t="s">
        <v>6700</v>
      </c>
      <c r="B1646" s="215">
        <f t="shared" si="75"/>
        <v>45762</v>
      </c>
      <c r="C1646" s="213" t="s">
        <v>4374</v>
      </c>
      <c r="D1646" s="213" t="s">
        <v>4369</v>
      </c>
      <c r="E1646" s="213" t="s">
        <v>333</v>
      </c>
      <c r="F1646" s="212" t="s">
        <v>4365</v>
      </c>
      <c r="G1646" s="212" t="str">
        <f t="shared" si="76"/>
        <v>101현금</v>
      </c>
      <c r="H1646" s="214">
        <v>150000</v>
      </c>
      <c r="I1646" s="214">
        <v>0</v>
      </c>
      <c r="J1646" s="214">
        <f t="shared" si="77"/>
        <v>-150000</v>
      </c>
      <c r="K1646" s="212" t="s">
        <v>6204</v>
      </c>
      <c r="L1646" s="213"/>
      <c r="M1646" s="212" t="s">
        <v>6380</v>
      </c>
    </row>
    <row r="1647" spans="1:13" ht="21" customHeight="1">
      <c r="A1647" s="213" t="s">
        <v>6698</v>
      </c>
      <c r="B1647" s="215">
        <f t="shared" si="75"/>
        <v>45763</v>
      </c>
      <c r="C1647" s="213" t="s">
        <v>4373</v>
      </c>
      <c r="D1647" s="213" t="s">
        <v>4369</v>
      </c>
      <c r="E1647" s="213" t="s">
        <v>4499</v>
      </c>
      <c r="F1647" s="212" t="s">
        <v>6517</v>
      </c>
      <c r="G1647" s="212" t="str">
        <f t="shared" si="76"/>
        <v>811복리후생비(판)</v>
      </c>
      <c r="H1647" s="214">
        <v>14000</v>
      </c>
      <c r="I1647" s="214">
        <v>0</v>
      </c>
      <c r="J1647" s="214">
        <f t="shared" si="77"/>
        <v>-14000</v>
      </c>
      <c r="K1647" s="212" t="s">
        <v>6699</v>
      </c>
      <c r="L1647" s="213"/>
      <c r="M1647" s="212"/>
    </row>
    <row r="1648" spans="1:13" ht="21" customHeight="1">
      <c r="A1648" s="213" t="s">
        <v>6698</v>
      </c>
      <c r="B1648" s="215">
        <f t="shared" si="75"/>
        <v>45763</v>
      </c>
      <c r="C1648" s="213" t="s">
        <v>4373</v>
      </c>
      <c r="D1648" s="213" t="s">
        <v>4366</v>
      </c>
      <c r="E1648" s="213" t="s">
        <v>333</v>
      </c>
      <c r="F1648" s="212" t="s">
        <v>4365</v>
      </c>
      <c r="G1648" s="212" t="str">
        <f t="shared" si="76"/>
        <v>101현금</v>
      </c>
      <c r="H1648" s="214">
        <v>0</v>
      </c>
      <c r="I1648" s="214">
        <v>14000</v>
      </c>
      <c r="J1648" s="214">
        <f t="shared" si="77"/>
        <v>14000</v>
      </c>
      <c r="K1648" s="212" t="s">
        <v>6369</v>
      </c>
      <c r="L1648" s="213"/>
      <c r="M1648" s="212"/>
    </row>
    <row r="1649" spans="1:13" ht="21" customHeight="1">
      <c r="A1649" s="213" t="s">
        <v>6698</v>
      </c>
      <c r="B1649" s="215">
        <f t="shared" si="75"/>
        <v>45763</v>
      </c>
      <c r="C1649" s="213" t="s">
        <v>4382</v>
      </c>
      <c r="D1649" s="213" t="s">
        <v>4369</v>
      </c>
      <c r="E1649" s="213" t="s">
        <v>4380</v>
      </c>
      <c r="F1649" s="212" t="s">
        <v>6515</v>
      </c>
      <c r="G1649" s="212" t="str">
        <f t="shared" si="76"/>
        <v>812여비교통비(판)</v>
      </c>
      <c r="H1649" s="214">
        <v>900</v>
      </c>
      <c r="I1649" s="214">
        <v>0</v>
      </c>
      <c r="J1649" s="214">
        <f t="shared" si="77"/>
        <v>-900</v>
      </c>
      <c r="K1649" s="212" t="s">
        <v>6631</v>
      </c>
      <c r="L1649" s="213"/>
      <c r="M1649" s="212"/>
    </row>
    <row r="1650" spans="1:13" ht="21" customHeight="1">
      <c r="A1650" s="213" t="s">
        <v>6698</v>
      </c>
      <c r="B1650" s="215">
        <f t="shared" si="75"/>
        <v>45763</v>
      </c>
      <c r="C1650" s="213" t="s">
        <v>4382</v>
      </c>
      <c r="D1650" s="213" t="s">
        <v>4366</v>
      </c>
      <c r="E1650" s="213" t="s">
        <v>333</v>
      </c>
      <c r="F1650" s="212" t="s">
        <v>4365</v>
      </c>
      <c r="G1650" s="212" t="str">
        <f t="shared" si="76"/>
        <v>101현금</v>
      </c>
      <c r="H1650" s="214">
        <v>0</v>
      </c>
      <c r="I1650" s="214">
        <v>900</v>
      </c>
      <c r="J1650" s="214">
        <f t="shared" si="77"/>
        <v>900</v>
      </c>
      <c r="K1650" s="212" t="s">
        <v>6369</v>
      </c>
      <c r="L1650" s="213"/>
      <c r="M1650" s="212"/>
    </row>
    <row r="1651" spans="1:13" ht="21" customHeight="1">
      <c r="A1651" s="213" t="s">
        <v>6698</v>
      </c>
      <c r="B1651" s="215">
        <f t="shared" si="75"/>
        <v>45763</v>
      </c>
      <c r="C1651" s="213" t="s">
        <v>4381</v>
      </c>
      <c r="D1651" s="213" t="s">
        <v>4366</v>
      </c>
      <c r="E1651" s="213" t="s">
        <v>333</v>
      </c>
      <c r="F1651" s="212" t="s">
        <v>4365</v>
      </c>
      <c r="G1651" s="212" t="str">
        <f t="shared" si="76"/>
        <v>101현금</v>
      </c>
      <c r="H1651" s="214">
        <v>0</v>
      </c>
      <c r="I1651" s="214">
        <v>4940</v>
      </c>
      <c r="J1651" s="214">
        <f t="shared" si="77"/>
        <v>4940</v>
      </c>
      <c r="K1651" s="212" t="s">
        <v>6369</v>
      </c>
      <c r="L1651" s="213"/>
      <c r="M1651" s="212"/>
    </row>
    <row r="1652" spans="1:13" ht="21" customHeight="1">
      <c r="A1652" s="213" t="s">
        <v>6698</v>
      </c>
      <c r="B1652" s="215">
        <f t="shared" si="75"/>
        <v>45763</v>
      </c>
      <c r="C1652" s="213" t="s">
        <v>4381</v>
      </c>
      <c r="D1652" s="213" t="s">
        <v>4369</v>
      </c>
      <c r="E1652" s="213" t="s">
        <v>6290</v>
      </c>
      <c r="F1652" s="212" t="s">
        <v>6570</v>
      </c>
      <c r="G1652" s="212" t="str">
        <f t="shared" si="76"/>
        <v>824운반비(판)</v>
      </c>
      <c r="H1652" s="214">
        <v>4940</v>
      </c>
      <c r="I1652" s="214">
        <v>0</v>
      </c>
      <c r="J1652" s="214">
        <f t="shared" si="77"/>
        <v>-4940</v>
      </c>
      <c r="K1652" s="212" t="s">
        <v>6291</v>
      </c>
      <c r="L1652" s="213"/>
      <c r="M1652" s="212"/>
    </row>
    <row r="1653" spans="1:13" ht="21" customHeight="1">
      <c r="A1653" s="213" t="s">
        <v>6698</v>
      </c>
      <c r="B1653" s="215">
        <f t="shared" si="75"/>
        <v>45763</v>
      </c>
      <c r="C1653" s="213" t="s">
        <v>4367</v>
      </c>
      <c r="D1653" s="213" t="s">
        <v>4366</v>
      </c>
      <c r="E1653" s="213" t="s">
        <v>6176</v>
      </c>
      <c r="F1653" s="212" t="s">
        <v>6177</v>
      </c>
      <c r="G1653" s="212" t="str">
        <f t="shared" si="76"/>
        <v>255부가세예수금</v>
      </c>
      <c r="H1653" s="214">
        <v>0</v>
      </c>
      <c r="I1653" s="214">
        <v>6000</v>
      </c>
      <c r="J1653" s="214">
        <f t="shared" si="77"/>
        <v>6000</v>
      </c>
      <c r="K1653" s="212" t="s">
        <v>6302</v>
      </c>
      <c r="L1653" s="213"/>
      <c r="M1653" s="212" t="s">
        <v>6303</v>
      </c>
    </row>
    <row r="1654" spans="1:13" ht="21" customHeight="1">
      <c r="A1654" s="213" t="s">
        <v>6698</v>
      </c>
      <c r="B1654" s="215">
        <f t="shared" si="75"/>
        <v>45763</v>
      </c>
      <c r="C1654" s="213" t="s">
        <v>4367</v>
      </c>
      <c r="D1654" s="213" t="s">
        <v>4366</v>
      </c>
      <c r="E1654" s="213" t="s">
        <v>334</v>
      </c>
      <c r="F1654" s="212" t="s">
        <v>6158</v>
      </c>
      <c r="G1654" s="212" t="str">
        <f t="shared" si="76"/>
        <v>401용역매출</v>
      </c>
      <c r="H1654" s="214">
        <v>0</v>
      </c>
      <c r="I1654" s="214">
        <v>60000</v>
      </c>
      <c r="J1654" s="214">
        <f t="shared" si="77"/>
        <v>60000</v>
      </c>
      <c r="K1654" s="212" t="s">
        <v>6302</v>
      </c>
      <c r="L1654" s="213"/>
      <c r="M1654" s="212" t="s">
        <v>6303</v>
      </c>
    </row>
    <row r="1655" spans="1:13" ht="21" customHeight="1">
      <c r="A1655" s="213" t="s">
        <v>6698</v>
      </c>
      <c r="B1655" s="215">
        <f t="shared" si="75"/>
        <v>45763</v>
      </c>
      <c r="C1655" s="213" t="s">
        <v>4367</v>
      </c>
      <c r="D1655" s="213" t="s">
        <v>4369</v>
      </c>
      <c r="E1655" s="213" t="s">
        <v>333</v>
      </c>
      <c r="F1655" s="212" t="s">
        <v>4365</v>
      </c>
      <c r="G1655" s="212" t="str">
        <f t="shared" si="76"/>
        <v>101현금</v>
      </c>
      <c r="H1655" s="214">
        <v>66000</v>
      </c>
      <c r="I1655" s="214">
        <v>0</v>
      </c>
      <c r="J1655" s="214">
        <f t="shared" si="77"/>
        <v>-66000</v>
      </c>
      <c r="K1655" s="212" t="s">
        <v>6302</v>
      </c>
      <c r="L1655" s="213"/>
      <c r="M1655" s="212" t="s">
        <v>6303</v>
      </c>
    </row>
    <row r="1656" spans="1:13" ht="21" customHeight="1">
      <c r="A1656" s="213" t="s">
        <v>6698</v>
      </c>
      <c r="B1656" s="215">
        <f t="shared" si="75"/>
        <v>45763</v>
      </c>
      <c r="C1656" s="213" t="s">
        <v>4374</v>
      </c>
      <c r="D1656" s="213" t="s">
        <v>4366</v>
      </c>
      <c r="E1656" s="213" t="s">
        <v>6176</v>
      </c>
      <c r="F1656" s="212" t="s">
        <v>6177</v>
      </c>
      <c r="G1656" s="212" t="str">
        <f t="shared" si="76"/>
        <v>255부가세예수금</v>
      </c>
      <c r="H1656" s="214">
        <v>0</v>
      </c>
      <c r="I1656" s="214">
        <v>10000</v>
      </c>
      <c r="J1656" s="214">
        <f t="shared" si="77"/>
        <v>10000</v>
      </c>
      <c r="K1656" s="212" t="s">
        <v>6280</v>
      </c>
      <c r="L1656" s="213"/>
      <c r="M1656" s="212" t="s">
        <v>6185</v>
      </c>
    </row>
    <row r="1657" spans="1:13" ht="21" customHeight="1">
      <c r="A1657" s="213" t="s">
        <v>6698</v>
      </c>
      <c r="B1657" s="215">
        <f t="shared" si="75"/>
        <v>45763</v>
      </c>
      <c r="C1657" s="213" t="s">
        <v>4374</v>
      </c>
      <c r="D1657" s="213" t="s">
        <v>4366</v>
      </c>
      <c r="E1657" s="213" t="s">
        <v>334</v>
      </c>
      <c r="F1657" s="212" t="s">
        <v>6158</v>
      </c>
      <c r="G1657" s="212" t="str">
        <f t="shared" si="76"/>
        <v>401용역매출</v>
      </c>
      <c r="H1657" s="214">
        <v>0</v>
      </c>
      <c r="I1657" s="214">
        <v>100000</v>
      </c>
      <c r="J1657" s="214">
        <f t="shared" si="77"/>
        <v>100000</v>
      </c>
      <c r="K1657" s="212" t="s">
        <v>6280</v>
      </c>
      <c r="L1657" s="213"/>
      <c r="M1657" s="212" t="s">
        <v>6185</v>
      </c>
    </row>
    <row r="1658" spans="1:13" ht="21" customHeight="1">
      <c r="A1658" s="213" t="s">
        <v>6698</v>
      </c>
      <c r="B1658" s="215">
        <f t="shared" si="75"/>
        <v>45763</v>
      </c>
      <c r="C1658" s="213" t="s">
        <v>4374</v>
      </c>
      <c r="D1658" s="213" t="s">
        <v>4369</v>
      </c>
      <c r="E1658" s="213" t="s">
        <v>333</v>
      </c>
      <c r="F1658" s="212" t="s">
        <v>4365</v>
      </c>
      <c r="G1658" s="212" t="str">
        <f t="shared" si="76"/>
        <v>101현금</v>
      </c>
      <c r="H1658" s="214">
        <v>110000</v>
      </c>
      <c r="I1658" s="214">
        <v>0</v>
      </c>
      <c r="J1658" s="214">
        <f t="shared" si="77"/>
        <v>-110000</v>
      </c>
      <c r="K1658" s="212" t="s">
        <v>6280</v>
      </c>
      <c r="L1658" s="213"/>
      <c r="M1658" s="212" t="s">
        <v>6185</v>
      </c>
    </row>
    <row r="1659" spans="1:13" ht="21" customHeight="1">
      <c r="A1659" s="213" t="s">
        <v>6698</v>
      </c>
      <c r="B1659" s="215">
        <f t="shared" si="75"/>
        <v>45763</v>
      </c>
      <c r="C1659" s="213" t="s">
        <v>6182</v>
      </c>
      <c r="D1659" s="213" t="s">
        <v>4366</v>
      </c>
      <c r="E1659" s="213" t="s">
        <v>6176</v>
      </c>
      <c r="F1659" s="212" t="s">
        <v>6177</v>
      </c>
      <c r="G1659" s="212" t="str">
        <f t="shared" si="76"/>
        <v>255부가세예수금</v>
      </c>
      <c r="H1659" s="214">
        <v>0</v>
      </c>
      <c r="I1659" s="214">
        <v>15000</v>
      </c>
      <c r="J1659" s="214">
        <f t="shared" si="77"/>
        <v>15000</v>
      </c>
      <c r="K1659" s="212" t="s">
        <v>6178</v>
      </c>
      <c r="L1659" s="213"/>
      <c r="M1659" s="212" t="s">
        <v>6697</v>
      </c>
    </row>
    <row r="1660" spans="1:13" ht="21" customHeight="1">
      <c r="A1660" s="213" t="s">
        <v>6698</v>
      </c>
      <c r="B1660" s="215">
        <f t="shared" si="75"/>
        <v>45763</v>
      </c>
      <c r="C1660" s="213" t="s">
        <v>6182</v>
      </c>
      <c r="D1660" s="213" t="s">
        <v>4366</v>
      </c>
      <c r="E1660" s="213" t="s">
        <v>334</v>
      </c>
      <c r="F1660" s="212" t="s">
        <v>6158</v>
      </c>
      <c r="G1660" s="212" t="str">
        <f t="shared" si="76"/>
        <v>401용역매출</v>
      </c>
      <c r="H1660" s="214">
        <v>0</v>
      </c>
      <c r="I1660" s="214">
        <v>150000</v>
      </c>
      <c r="J1660" s="214">
        <f t="shared" si="77"/>
        <v>150000</v>
      </c>
      <c r="K1660" s="212" t="s">
        <v>6178</v>
      </c>
      <c r="L1660" s="213"/>
      <c r="M1660" s="212" t="s">
        <v>6697</v>
      </c>
    </row>
    <row r="1661" spans="1:13" ht="21" customHeight="1">
      <c r="A1661" s="213" t="s">
        <v>6698</v>
      </c>
      <c r="B1661" s="215">
        <f t="shared" si="75"/>
        <v>45763</v>
      </c>
      <c r="C1661" s="213" t="s">
        <v>6182</v>
      </c>
      <c r="D1661" s="213" t="s">
        <v>4369</v>
      </c>
      <c r="E1661" s="213" t="s">
        <v>333</v>
      </c>
      <c r="F1661" s="212" t="s">
        <v>4365</v>
      </c>
      <c r="G1661" s="212" t="str">
        <f t="shared" si="76"/>
        <v>101현금</v>
      </c>
      <c r="H1661" s="214">
        <v>165000</v>
      </c>
      <c r="I1661" s="214">
        <v>0</v>
      </c>
      <c r="J1661" s="214">
        <f t="shared" si="77"/>
        <v>-165000</v>
      </c>
      <c r="K1661" s="212" t="s">
        <v>6178</v>
      </c>
      <c r="L1661" s="213"/>
      <c r="M1661" s="212" t="s">
        <v>6697</v>
      </c>
    </row>
    <row r="1662" spans="1:13" ht="21" customHeight="1">
      <c r="A1662" s="213" t="s">
        <v>6692</v>
      </c>
      <c r="B1662" s="215">
        <f t="shared" si="75"/>
        <v>45764</v>
      </c>
      <c r="C1662" s="213" t="s">
        <v>4373</v>
      </c>
      <c r="D1662" s="213" t="s">
        <v>4369</v>
      </c>
      <c r="E1662" s="213" t="s">
        <v>4499</v>
      </c>
      <c r="F1662" s="212" t="s">
        <v>6517</v>
      </c>
      <c r="G1662" s="212" t="str">
        <f t="shared" si="76"/>
        <v>811복리후생비(판)</v>
      </c>
      <c r="H1662" s="214">
        <v>2900</v>
      </c>
      <c r="I1662" s="214">
        <v>0</v>
      </c>
      <c r="J1662" s="214">
        <f t="shared" si="77"/>
        <v>-2900</v>
      </c>
      <c r="K1662" s="212" t="s">
        <v>6696</v>
      </c>
      <c r="L1662" s="213"/>
      <c r="M1662" s="212"/>
    </row>
    <row r="1663" spans="1:13" ht="21" customHeight="1">
      <c r="A1663" s="213" t="s">
        <v>6692</v>
      </c>
      <c r="B1663" s="215">
        <f t="shared" si="75"/>
        <v>45764</v>
      </c>
      <c r="C1663" s="213" t="s">
        <v>4373</v>
      </c>
      <c r="D1663" s="213" t="s">
        <v>4366</v>
      </c>
      <c r="E1663" s="213" t="s">
        <v>333</v>
      </c>
      <c r="F1663" s="212" t="s">
        <v>4365</v>
      </c>
      <c r="G1663" s="212" t="str">
        <f t="shared" si="76"/>
        <v>101현금</v>
      </c>
      <c r="H1663" s="214">
        <v>0</v>
      </c>
      <c r="I1663" s="214">
        <v>2900</v>
      </c>
      <c r="J1663" s="214">
        <f t="shared" si="77"/>
        <v>2900</v>
      </c>
      <c r="K1663" s="212" t="s">
        <v>6369</v>
      </c>
      <c r="L1663" s="213"/>
      <c r="M1663" s="212"/>
    </row>
    <row r="1664" spans="1:13" ht="21" customHeight="1">
      <c r="A1664" s="213" t="s">
        <v>6692</v>
      </c>
      <c r="B1664" s="215">
        <f t="shared" si="75"/>
        <v>45764</v>
      </c>
      <c r="C1664" s="213" t="s">
        <v>4382</v>
      </c>
      <c r="D1664" s="213" t="s">
        <v>4369</v>
      </c>
      <c r="E1664" s="213" t="s">
        <v>4499</v>
      </c>
      <c r="F1664" s="212" t="s">
        <v>6517</v>
      </c>
      <c r="G1664" s="212" t="str">
        <f t="shared" si="76"/>
        <v>811복리후생비(판)</v>
      </c>
      <c r="H1664" s="214">
        <v>6600</v>
      </c>
      <c r="I1664" s="214">
        <v>0</v>
      </c>
      <c r="J1664" s="214">
        <f t="shared" si="77"/>
        <v>-6600</v>
      </c>
      <c r="K1664" s="212" t="s">
        <v>6696</v>
      </c>
      <c r="L1664" s="213"/>
      <c r="M1664" s="212"/>
    </row>
    <row r="1665" spans="1:13" ht="21" customHeight="1">
      <c r="A1665" s="213" t="s">
        <v>6692</v>
      </c>
      <c r="B1665" s="215">
        <f t="shared" si="75"/>
        <v>45764</v>
      </c>
      <c r="C1665" s="213" t="s">
        <v>4382</v>
      </c>
      <c r="D1665" s="213" t="s">
        <v>4366</v>
      </c>
      <c r="E1665" s="213" t="s">
        <v>333</v>
      </c>
      <c r="F1665" s="212" t="s">
        <v>4365</v>
      </c>
      <c r="G1665" s="212" t="str">
        <f t="shared" si="76"/>
        <v>101현금</v>
      </c>
      <c r="H1665" s="214">
        <v>0</v>
      </c>
      <c r="I1665" s="214">
        <v>6600</v>
      </c>
      <c r="J1665" s="214">
        <f t="shared" si="77"/>
        <v>6600</v>
      </c>
      <c r="K1665" s="212" t="s">
        <v>6369</v>
      </c>
      <c r="L1665" s="213"/>
      <c r="M1665" s="212"/>
    </row>
    <row r="1666" spans="1:13" ht="21" customHeight="1">
      <c r="A1666" s="213" t="s">
        <v>6692</v>
      </c>
      <c r="B1666" s="215">
        <f t="shared" ref="B1666:B1729" si="78">DATEVALUE(A1666)</f>
        <v>45764</v>
      </c>
      <c r="C1666" s="213" t="s">
        <v>4381</v>
      </c>
      <c r="D1666" s="213" t="s">
        <v>4369</v>
      </c>
      <c r="E1666" s="213" t="s">
        <v>4383</v>
      </c>
      <c r="F1666" s="212" t="s">
        <v>6525</v>
      </c>
      <c r="G1666" s="212" t="str">
        <f t="shared" ref="G1666:G1729" si="79">E1666&amp;F1666</f>
        <v>830소모품비(판)</v>
      </c>
      <c r="H1666" s="214">
        <v>2200</v>
      </c>
      <c r="I1666" s="214">
        <v>0</v>
      </c>
      <c r="J1666" s="214">
        <f t="shared" ref="J1666:J1729" si="80">I1666-H1666</f>
        <v>-2200</v>
      </c>
      <c r="K1666" s="212" t="s">
        <v>6215</v>
      </c>
      <c r="L1666" s="213"/>
      <c r="M1666" s="212"/>
    </row>
    <row r="1667" spans="1:13" ht="21" customHeight="1">
      <c r="A1667" s="213" t="s">
        <v>6692</v>
      </c>
      <c r="B1667" s="215">
        <f t="shared" si="78"/>
        <v>45764</v>
      </c>
      <c r="C1667" s="213" t="s">
        <v>4381</v>
      </c>
      <c r="D1667" s="213" t="s">
        <v>4366</v>
      </c>
      <c r="E1667" s="213" t="s">
        <v>333</v>
      </c>
      <c r="F1667" s="212" t="s">
        <v>4365</v>
      </c>
      <c r="G1667" s="212" t="str">
        <f t="shared" si="79"/>
        <v>101현금</v>
      </c>
      <c r="H1667" s="214">
        <v>0</v>
      </c>
      <c r="I1667" s="214">
        <v>2200</v>
      </c>
      <c r="J1667" s="214">
        <f t="shared" si="80"/>
        <v>2200</v>
      </c>
      <c r="K1667" s="212" t="s">
        <v>6369</v>
      </c>
      <c r="L1667" s="213"/>
      <c r="M1667" s="212"/>
    </row>
    <row r="1668" spans="1:13" ht="21" customHeight="1">
      <c r="A1668" s="213" t="s">
        <v>6692</v>
      </c>
      <c r="B1668" s="215">
        <f t="shared" si="78"/>
        <v>45764</v>
      </c>
      <c r="C1668" s="213" t="s">
        <v>4379</v>
      </c>
      <c r="D1668" s="213" t="s">
        <v>4369</v>
      </c>
      <c r="E1668" s="213" t="s">
        <v>4380</v>
      </c>
      <c r="F1668" s="212" t="s">
        <v>6515</v>
      </c>
      <c r="G1668" s="212" t="str">
        <f t="shared" si="79"/>
        <v>812여비교통비(판)</v>
      </c>
      <c r="H1668" s="214">
        <v>7500</v>
      </c>
      <c r="I1668" s="214">
        <v>0</v>
      </c>
      <c r="J1668" s="214">
        <f t="shared" si="80"/>
        <v>-7500</v>
      </c>
      <c r="K1668" s="212" t="s">
        <v>6695</v>
      </c>
      <c r="L1668" s="213"/>
      <c r="M1668" s="212"/>
    </row>
    <row r="1669" spans="1:13" ht="21" customHeight="1">
      <c r="A1669" s="213" t="s">
        <v>6692</v>
      </c>
      <c r="B1669" s="215">
        <f t="shared" si="78"/>
        <v>45764</v>
      </c>
      <c r="C1669" s="213" t="s">
        <v>4379</v>
      </c>
      <c r="D1669" s="213" t="s">
        <v>4366</v>
      </c>
      <c r="E1669" s="213" t="s">
        <v>333</v>
      </c>
      <c r="F1669" s="212" t="s">
        <v>4365</v>
      </c>
      <c r="G1669" s="212" t="str">
        <f t="shared" si="79"/>
        <v>101현금</v>
      </c>
      <c r="H1669" s="214">
        <v>0</v>
      </c>
      <c r="I1669" s="214">
        <v>7500</v>
      </c>
      <c r="J1669" s="214">
        <f t="shared" si="80"/>
        <v>7500</v>
      </c>
      <c r="K1669" s="212" t="s">
        <v>6369</v>
      </c>
      <c r="L1669" s="213"/>
      <c r="M1669" s="212"/>
    </row>
    <row r="1670" spans="1:13" ht="21" customHeight="1">
      <c r="A1670" s="213" t="s">
        <v>6692</v>
      </c>
      <c r="B1670" s="215">
        <f t="shared" si="78"/>
        <v>45764</v>
      </c>
      <c r="C1670" s="213" t="s">
        <v>4385</v>
      </c>
      <c r="D1670" s="213" t="s">
        <v>4369</v>
      </c>
      <c r="E1670" s="213" t="s">
        <v>4380</v>
      </c>
      <c r="F1670" s="212" t="s">
        <v>6515</v>
      </c>
      <c r="G1670" s="212" t="str">
        <f t="shared" si="79"/>
        <v>812여비교통비(판)</v>
      </c>
      <c r="H1670" s="214">
        <v>1800</v>
      </c>
      <c r="I1670" s="214">
        <v>0</v>
      </c>
      <c r="J1670" s="214">
        <f t="shared" si="80"/>
        <v>-1800</v>
      </c>
      <c r="K1670" s="212" t="s">
        <v>6305</v>
      </c>
      <c r="L1670" s="213"/>
      <c r="M1670" s="212"/>
    </row>
    <row r="1671" spans="1:13" ht="21" customHeight="1">
      <c r="A1671" s="213" t="s">
        <v>6692</v>
      </c>
      <c r="B1671" s="215">
        <f t="shared" si="78"/>
        <v>45764</v>
      </c>
      <c r="C1671" s="213" t="s">
        <v>4385</v>
      </c>
      <c r="D1671" s="213" t="s">
        <v>4366</v>
      </c>
      <c r="E1671" s="213" t="s">
        <v>333</v>
      </c>
      <c r="F1671" s="212" t="s">
        <v>4365</v>
      </c>
      <c r="G1671" s="212" t="str">
        <f t="shared" si="79"/>
        <v>101현금</v>
      </c>
      <c r="H1671" s="214">
        <v>0</v>
      </c>
      <c r="I1671" s="214">
        <v>1800</v>
      </c>
      <c r="J1671" s="214">
        <f t="shared" si="80"/>
        <v>1800</v>
      </c>
      <c r="K1671" s="212" t="s">
        <v>6369</v>
      </c>
      <c r="L1671" s="213"/>
      <c r="M1671" s="212"/>
    </row>
    <row r="1672" spans="1:13" ht="21" customHeight="1">
      <c r="A1672" s="213" t="s">
        <v>6692</v>
      </c>
      <c r="B1672" s="215">
        <f t="shared" si="78"/>
        <v>45764</v>
      </c>
      <c r="C1672" s="213" t="s">
        <v>4501</v>
      </c>
      <c r="D1672" s="213" t="s">
        <v>4369</v>
      </c>
      <c r="E1672" s="213" t="s">
        <v>4380</v>
      </c>
      <c r="F1672" s="212" t="s">
        <v>6515</v>
      </c>
      <c r="G1672" s="212" t="str">
        <f t="shared" si="79"/>
        <v>812여비교통비(판)</v>
      </c>
      <c r="H1672" s="214">
        <v>4400</v>
      </c>
      <c r="I1672" s="214">
        <v>0</v>
      </c>
      <c r="J1672" s="214">
        <f t="shared" si="80"/>
        <v>-4400</v>
      </c>
      <c r="K1672" s="212" t="s">
        <v>6694</v>
      </c>
      <c r="L1672" s="213"/>
      <c r="M1672" s="212"/>
    </row>
    <row r="1673" spans="1:13" ht="21" customHeight="1">
      <c r="A1673" s="213" t="s">
        <v>6692</v>
      </c>
      <c r="B1673" s="215">
        <f t="shared" si="78"/>
        <v>45764</v>
      </c>
      <c r="C1673" s="213" t="s">
        <v>4501</v>
      </c>
      <c r="D1673" s="213" t="s">
        <v>4366</v>
      </c>
      <c r="E1673" s="213" t="s">
        <v>333</v>
      </c>
      <c r="F1673" s="212" t="s">
        <v>4365</v>
      </c>
      <c r="G1673" s="212" t="str">
        <f t="shared" si="79"/>
        <v>101현금</v>
      </c>
      <c r="H1673" s="214">
        <v>0</v>
      </c>
      <c r="I1673" s="214">
        <v>4400</v>
      </c>
      <c r="J1673" s="214">
        <f t="shared" si="80"/>
        <v>4400</v>
      </c>
      <c r="K1673" s="212" t="s">
        <v>6369</v>
      </c>
      <c r="L1673" s="213"/>
      <c r="M1673" s="212"/>
    </row>
    <row r="1674" spans="1:13" ht="21" customHeight="1">
      <c r="A1674" s="213" t="s">
        <v>6692</v>
      </c>
      <c r="B1674" s="215">
        <f t="shared" si="78"/>
        <v>45764</v>
      </c>
      <c r="C1674" s="213" t="s">
        <v>4502</v>
      </c>
      <c r="D1674" s="213" t="s">
        <v>4369</v>
      </c>
      <c r="E1674" s="213" t="s">
        <v>4380</v>
      </c>
      <c r="F1674" s="212" t="s">
        <v>6515</v>
      </c>
      <c r="G1674" s="212" t="str">
        <f t="shared" si="79"/>
        <v>812여비교통비(판)</v>
      </c>
      <c r="H1674" s="214">
        <v>2000</v>
      </c>
      <c r="I1674" s="214">
        <v>0</v>
      </c>
      <c r="J1674" s="214">
        <f t="shared" si="80"/>
        <v>-2000</v>
      </c>
      <c r="K1674" s="212" t="s">
        <v>6366</v>
      </c>
      <c r="L1674" s="213"/>
      <c r="M1674" s="212"/>
    </row>
    <row r="1675" spans="1:13" ht="21" customHeight="1">
      <c r="A1675" s="213" t="s">
        <v>6692</v>
      </c>
      <c r="B1675" s="215">
        <f t="shared" si="78"/>
        <v>45764</v>
      </c>
      <c r="C1675" s="213" t="s">
        <v>4502</v>
      </c>
      <c r="D1675" s="213" t="s">
        <v>4366</v>
      </c>
      <c r="E1675" s="213" t="s">
        <v>333</v>
      </c>
      <c r="F1675" s="212" t="s">
        <v>4365</v>
      </c>
      <c r="G1675" s="212" t="str">
        <f t="shared" si="79"/>
        <v>101현금</v>
      </c>
      <c r="H1675" s="214">
        <v>0</v>
      </c>
      <c r="I1675" s="214">
        <v>2000</v>
      </c>
      <c r="J1675" s="214">
        <f t="shared" si="80"/>
        <v>2000</v>
      </c>
      <c r="K1675" s="212" t="s">
        <v>6369</v>
      </c>
      <c r="L1675" s="213"/>
      <c r="M1675" s="212"/>
    </row>
    <row r="1676" spans="1:13" ht="21" customHeight="1">
      <c r="A1676" s="213" t="s">
        <v>6692</v>
      </c>
      <c r="B1676" s="215">
        <f t="shared" si="78"/>
        <v>45764</v>
      </c>
      <c r="C1676" s="213" t="s">
        <v>4503</v>
      </c>
      <c r="D1676" s="213" t="s">
        <v>4369</v>
      </c>
      <c r="E1676" s="213" t="s">
        <v>4380</v>
      </c>
      <c r="F1676" s="212" t="s">
        <v>6515</v>
      </c>
      <c r="G1676" s="212" t="str">
        <f t="shared" si="79"/>
        <v>812여비교통비(판)</v>
      </c>
      <c r="H1676" s="214">
        <v>1800</v>
      </c>
      <c r="I1676" s="214">
        <v>0</v>
      </c>
      <c r="J1676" s="214">
        <f t="shared" si="80"/>
        <v>-1800</v>
      </c>
      <c r="K1676" s="212" t="s">
        <v>6693</v>
      </c>
      <c r="L1676" s="213"/>
      <c r="M1676" s="212"/>
    </row>
    <row r="1677" spans="1:13" ht="21" customHeight="1">
      <c r="A1677" s="213" t="s">
        <v>6692</v>
      </c>
      <c r="B1677" s="215">
        <f t="shared" si="78"/>
        <v>45764</v>
      </c>
      <c r="C1677" s="213" t="s">
        <v>4503</v>
      </c>
      <c r="D1677" s="213" t="s">
        <v>4366</v>
      </c>
      <c r="E1677" s="213" t="s">
        <v>333</v>
      </c>
      <c r="F1677" s="212" t="s">
        <v>4365</v>
      </c>
      <c r="G1677" s="212" t="str">
        <f t="shared" si="79"/>
        <v>101현금</v>
      </c>
      <c r="H1677" s="214">
        <v>0</v>
      </c>
      <c r="I1677" s="214">
        <v>1800</v>
      </c>
      <c r="J1677" s="214">
        <f t="shared" si="80"/>
        <v>1800</v>
      </c>
      <c r="K1677" s="212" t="s">
        <v>6369</v>
      </c>
      <c r="L1677" s="213"/>
      <c r="M1677" s="212"/>
    </row>
    <row r="1678" spans="1:13" ht="21" customHeight="1">
      <c r="A1678" s="213" t="s">
        <v>6688</v>
      </c>
      <c r="B1678" s="215">
        <f t="shared" si="78"/>
        <v>45765</v>
      </c>
      <c r="C1678" s="213" t="s">
        <v>4373</v>
      </c>
      <c r="D1678" s="213" t="s">
        <v>4369</v>
      </c>
      <c r="E1678" s="213" t="s">
        <v>4499</v>
      </c>
      <c r="F1678" s="212" t="s">
        <v>6517</v>
      </c>
      <c r="G1678" s="212" t="str">
        <f t="shared" si="79"/>
        <v>811복리후생비(판)</v>
      </c>
      <c r="H1678" s="214">
        <v>10500</v>
      </c>
      <c r="I1678" s="214">
        <v>0</v>
      </c>
      <c r="J1678" s="214">
        <f t="shared" si="80"/>
        <v>-10500</v>
      </c>
      <c r="K1678" s="212" t="s">
        <v>6691</v>
      </c>
      <c r="L1678" s="213"/>
      <c r="M1678" s="212"/>
    </row>
    <row r="1679" spans="1:13" ht="21" customHeight="1">
      <c r="A1679" s="213" t="s">
        <v>6688</v>
      </c>
      <c r="B1679" s="215">
        <f t="shared" si="78"/>
        <v>45765</v>
      </c>
      <c r="C1679" s="213" t="s">
        <v>4373</v>
      </c>
      <c r="D1679" s="213" t="s">
        <v>4366</v>
      </c>
      <c r="E1679" s="213" t="s">
        <v>333</v>
      </c>
      <c r="F1679" s="212" t="s">
        <v>4365</v>
      </c>
      <c r="G1679" s="212" t="str">
        <f t="shared" si="79"/>
        <v>101현금</v>
      </c>
      <c r="H1679" s="214">
        <v>0</v>
      </c>
      <c r="I1679" s="214">
        <v>10500</v>
      </c>
      <c r="J1679" s="214">
        <f t="shared" si="80"/>
        <v>10500</v>
      </c>
      <c r="K1679" s="212" t="s">
        <v>6369</v>
      </c>
      <c r="L1679" s="213"/>
      <c r="M1679" s="212"/>
    </row>
    <row r="1680" spans="1:13" ht="21" customHeight="1">
      <c r="A1680" s="213" t="s">
        <v>6688</v>
      </c>
      <c r="B1680" s="215">
        <f t="shared" si="78"/>
        <v>45765</v>
      </c>
      <c r="C1680" s="213" t="s">
        <v>4382</v>
      </c>
      <c r="D1680" s="213" t="s">
        <v>4369</v>
      </c>
      <c r="E1680" s="213" t="s">
        <v>4380</v>
      </c>
      <c r="F1680" s="212" t="s">
        <v>6515</v>
      </c>
      <c r="G1680" s="212" t="str">
        <f t="shared" si="79"/>
        <v>812여비교통비(판)</v>
      </c>
      <c r="H1680" s="214">
        <v>7500</v>
      </c>
      <c r="I1680" s="214">
        <v>0</v>
      </c>
      <c r="J1680" s="214">
        <f t="shared" si="80"/>
        <v>-7500</v>
      </c>
      <c r="K1680" s="212" t="s">
        <v>6690</v>
      </c>
      <c r="L1680" s="213"/>
      <c r="M1680" s="212"/>
    </row>
    <row r="1681" spans="1:13" ht="21" customHeight="1">
      <c r="A1681" s="213" t="s">
        <v>6688</v>
      </c>
      <c r="B1681" s="215">
        <f t="shared" si="78"/>
        <v>45765</v>
      </c>
      <c r="C1681" s="213" t="s">
        <v>4382</v>
      </c>
      <c r="D1681" s="213" t="s">
        <v>4366</v>
      </c>
      <c r="E1681" s="213" t="s">
        <v>333</v>
      </c>
      <c r="F1681" s="212" t="s">
        <v>4365</v>
      </c>
      <c r="G1681" s="212" t="str">
        <f t="shared" si="79"/>
        <v>101현금</v>
      </c>
      <c r="H1681" s="214">
        <v>0</v>
      </c>
      <c r="I1681" s="214">
        <v>7500</v>
      </c>
      <c r="J1681" s="214">
        <f t="shared" si="80"/>
        <v>7500</v>
      </c>
      <c r="K1681" s="212" t="s">
        <v>6369</v>
      </c>
      <c r="L1681" s="213"/>
      <c r="M1681" s="212"/>
    </row>
    <row r="1682" spans="1:13" ht="21" customHeight="1">
      <c r="A1682" s="213" t="s">
        <v>6688</v>
      </c>
      <c r="B1682" s="215">
        <f t="shared" si="78"/>
        <v>45765</v>
      </c>
      <c r="C1682" s="213" t="s">
        <v>4381</v>
      </c>
      <c r="D1682" s="213" t="s">
        <v>4369</v>
      </c>
      <c r="E1682" s="213" t="s">
        <v>6157</v>
      </c>
      <c r="F1682" s="212" t="s">
        <v>6524</v>
      </c>
      <c r="G1682" s="212" t="str">
        <f t="shared" si="79"/>
        <v>813접대비(기업업무추진비)(판)</v>
      </c>
      <c r="H1682" s="214">
        <v>106000</v>
      </c>
      <c r="I1682" s="214">
        <v>0</v>
      </c>
      <c r="J1682" s="214">
        <f t="shared" si="80"/>
        <v>-106000</v>
      </c>
      <c r="K1682" s="212" t="s">
        <v>6689</v>
      </c>
      <c r="L1682" s="213" t="s">
        <v>1327</v>
      </c>
      <c r="M1682" s="212" t="s">
        <v>6356</v>
      </c>
    </row>
    <row r="1683" spans="1:13" ht="21" customHeight="1">
      <c r="A1683" s="213" t="s">
        <v>6688</v>
      </c>
      <c r="B1683" s="215">
        <f t="shared" si="78"/>
        <v>45765</v>
      </c>
      <c r="C1683" s="213" t="s">
        <v>4381</v>
      </c>
      <c r="D1683" s="213" t="s">
        <v>4366</v>
      </c>
      <c r="E1683" s="213" t="s">
        <v>333</v>
      </c>
      <c r="F1683" s="212" t="s">
        <v>4365</v>
      </c>
      <c r="G1683" s="212" t="str">
        <f t="shared" si="79"/>
        <v>101현금</v>
      </c>
      <c r="H1683" s="214">
        <v>0</v>
      </c>
      <c r="I1683" s="214">
        <v>106000</v>
      </c>
      <c r="J1683" s="214">
        <f t="shared" si="80"/>
        <v>106000</v>
      </c>
      <c r="K1683" s="212" t="s">
        <v>6369</v>
      </c>
      <c r="L1683" s="213"/>
      <c r="M1683" s="212"/>
    </row>
    <row r="1684" spans="1:13" ht="21" customHeight="1">
      <c r="A1684" s="213" t="s">
        <v>6688</v>
      </c>
      <c r="B1684" s="215">
        <f t="shared" si="78"/>
        <v>45765</v>
      </c>
      <c r="C1684" s="213" t="s">
        <v>4367</v>
      </c>
      <c r="D1684" s="213" t="s">
        <v>4369</v>
      </c>
      <c r="E1684" s="213" t="s">
        <v>6212</v>
      </c>
      <c r="F1684" s="212" t="s">
        <v>6402</v>
      </c>
      <c r="G1684" s="212" t="str">
        <f t="shared" si="79"/>
        <v>837건물관리비(판)</v>
      </c>
      <c r="H1684" s="214">
        <v>171770</v>
      </c>
      <c r="I1684" s="214">
        <v>0</v>
      </c>
      <c r="J1684" s="214">
        <f t="shared" si="80"/>
        <v>-171770</v>
      </c>
      <c r="K1684" s="212" t="s">
        <v>6213</v>
      </c>
      <c r="L1684" s="213"/>
      <c r="M1684" s="212" t="s">
        <v>6214</v>
      </c>
    </row>
    <row r="1685" spans="1:13" ht="21" customHeight="1">
      <c r="A1685" s="213" t="s">
        <v>6688</v>
      </c>
      <c r="B1685" s="215">
        <f t="shared" si="78"/>
        <v>45765</v>
      </c>
      <c r="C1685" s="213" t="s">
        <v>4367</v>
      </c>
      <c r="D1685" s="213" t="s">
        <v>4366</v>
      </c>
      <c r="E1685" s="213" t="s">
        <v>333</v>
      </c>
      <c r="F1685" s="212" t="s">
        <v>4365</v>
      </c>
      <c r="G1685" s="212" t="str">
        <f t="shared" si="79"/>
        <v>101현금</v>
      </c>
      <c r="H1685" s="214">
        <v>0</v>
      </c>
      <c r="I1685" s="214">
        <v>171770</v>
      </c>
      <c r="J1685" s="214">
        <f t="shared" si="80"/>
        <v>171770</v>
      </c>
      <c r="K1685" s="212" t="s">
        <v>6213</v>
      </c>
      <c r="L1685" s="213"/>
      <c r="M1685" s="212" t="s">
        <v>6214</v>
      </c>
    </row>
    <row r="1686" spans="1:13" ht="21" customHeight="1">
      <c r="A1686" s="217" t="s">
        <v>6686</v>
      </c>
      <c r="B1686" s="215">
        <f t="shared" si="78"/>
        <v>45766</v>
      </c>
      <c r="C1686" s="213" t="s">
        <v>4373</v>
      </c>
      <c r="D1686" s="213" t="s">
        <v>4369</v>
      </c>
      <c r="E1686" s="213" t="s">
        <v>4499</v>
      </c>
      <c r="F1686" s="212" t="s">
        <v>6517</v>
      </c>
      <c r="G1686" s="212" t="str">
        <f t="shared" si="79"/>
        <v>811복리후생비(판)</v>
      </c>
      <c r="H1686" s="214">
        <v>9500</v>
      </c>
      <c r="I1686" s="214">
        <v>0</v>
      </c>
      <c r="J1686" s="214">
        <f t="shared" si="80"/>
        <v>-9500</v>
      </c>
      <c r="K1686" s="212" t="s">
        <v>6288</v>
      </c>
      <c r="L1686" s="213"/>
      <c r="M1686" s="212"/>
    </row>
    <row r="1687" spans="1:13" ht="21" customHeight="1">
      <c r="A1687" s="217" t="s">
        <v>6686</v>
      </c>
      <c r="B1687" s="215">
        <f t="shared" si="78"/>
        <v>45766</v>
      </c>
      <c r="C1687" s="213" t="s">
        <v>4373</v>
      </c>
      <c r="D1687" s="213" t="s">
        <v>4366</v>
      </c>
      <c r="E1687" s="213" t="s">
        <v>333</v>
      </c>
      <c r="F1687" s="212" t="s">
        <v>4365</v>
      </c>
      <c r="G1687" s="212" t="str">
        <f t="shared" si="79"/>
        <v>101현금</v>
      </c>
      <c r="H1687" s="214">
        <v>0</v>
      </c>
      <c r="I1687" s="214">
        <v>9500</v>
      </c>
      <c r="J1687" s="214">
        <f t="shared" si="80"/>
        <v>9500</v>
      </c>
      <c r="K1687" s="212" t="s">
        <v>6369</v>
      </c>
      <c r="L1687" s="213"/>
      <c r="M1687" s="212"/>
    </row>
    <row r="1688" spans="1:13" ht="21" customHeight="1">
      <c r="A1688" s="217" t="s">
        <v>6686</v>
      </c>
      <c r="B1688" s="215">
        <f t="shared" si="78"/>
        <v>45766</v>
      </c>
      <c r="C1688" s="213" t="s">
        <v>4382</v>
      </c>
      <c r="D1688" s="213" t="s">
        <v>4366</v>
      </c>
      <c r="E1688" s="213" t="s">
        <v>333</v>
      </c>
      <c r="F1688" s="212" t="s">
        <v>4365</v>
      </c>
      <c r="G1688" s="212" t="str">
        <f t="shared" si="79"/>
        <v>101현금</v>
      </c>
      <c r="H1688" s="214">
        <v>0</v>
      </c>
      <c r="I1688" s="214">
        <v>6200</v>
      </c>
      <c r="J1688" s="214">
        <f t="shared" si="80"/>
        <v>6200</v>
      </c>
      <c r="K1688" s="212" t="s">
        <v>6369</v>
      </c>
      <c r="L1688" s="213"/>
      <c r="M1688" s="212"/>
    </row>
    <row r="1689" spans="1:13" ht="21" customHeight="1">
      <c r="A1689" s="217" t="s">
        <v>6686</v>
      </c>
      <c r="B1689" s="215">
        <f t="shared" si="78"/>
        <v>45766</v>
      </c>
      <c r="C1689" s="213" t="s">
        <v>4382</v>
      </c>
      <c r="D1689" s="213" t="s">
        <v>4369</v>
      </c>
      <c r="E1689" s="213" t="s">
        <v>4380</v>
      </c>
      <c r="F1689" s="212" t="s">
        <v>6515</v>
      </c>
      <c r="G1689" s="212" t="str">
        <f t="shared" si="79"/>
        <v>812여비교통비(판)</v>
      </c>
      <c r="H1689" s="214">
        <v>6200</v>
      </c>
      <c r="I1689" s="214">
        <v>0</v>
      </c>
      <c r="J1689" s="214">
        <f t="shared" si="80"/>
        <v>-6200</v>
      </c>
      <c r="K1689" s="212" t="s">
        <v>6687</v>
      </c>
      <c r="L1689" s="213"/>
      <c r="M1689" s="212"/>
    </row>
    <row r="1690" spans="1:13" ht="21" customHeight="1">
      <c r="A1690" s="217" t="s">
        <v>6686</v>
      </c>
      <c r="B1690" s="215">
        <f t="shared" si="78"/>
        <v>45766</v>
      </c>
      <c r="C1690" s="213" t="s">
        <v>4381</v>
      </c>
      <c r="D1690" s="213" t="s">
        <v>4369</v>
      </c>
      <c r="E1690" s="213" t="s">
        <v>4380</v>
      </c>
      <c r="F1690" s="212" t="s">
        <v>6515</v>
      </c>
      <c r="G1690" s="212" t="str">
        <f t="shared" si="79"/>
        <v>812여비교통비(판)</v>
      </c>
      <c r="H1690" s="214">
        <v>1800</v>
      </c>
      <c r="I1690" s="214">
        <v>0</v>
      </c>
      <c r="J1690" s="214">
        <f t="shared" si="80"/>
        <v>-1800</v>
      </c>
      <c r="K1690" s="212" t="s">
        <v>6305</v>
      </c>
      <c r="L1690" s="213"/>
      <c r="M1690" s="212"/>
    </row>
    <row r="1691" spans="1:13" ht="21" customHeight="1">
      <c r="A1691" s="217" t="s">
        <v>6686</v>
      </c>
      <c r="B1691" s="215">
        <f t="shared" si="78"/>
        <v>45766</v>
      </c>
      <c r="C1691" s="213" t="s">
        <v>4381</v>
      </c>
      <c r="D1691" s="213" t="s">
        <v>4366</v>
      </c>
      <c r="E1691" s="213" t="s">
        <v>333</v>
      </c>
      <c r="F1691" s="212" t="s">
        <v>4365</v>
      </c>
      <c r="G1691" s="212" t="str">
        <f t="shared" si="79"/>
        <v>101현금</v>
      </c>
      <c r="H1691" s="214">
        <v>0</v>
      </c>
      <c r="I1691" s="214">
        <v>1800</v>
      </c>
      <c r="J1691" s="214">
        <f t="shared" si="80"/>
        <v>1800</v>
      </c>
      <c r="K1691" s="212" t="s">
        <v>6369</v>
      </c>
      <c r="L1691" s="213"/>
      <c r="M1691" s="212"/>
    </row>
    <row r="1692" spans="1:13" ht="21" customHeight="1">
      <c r="A1692" s="217" t="s">
        <v>6686</v>
      </c>
      <c r="B1692" s="215">
        <f t="shared" si="78"/>
        <v>45766</v>
      </c>
      <c r="C1692" s="213" t="s">
        <v>4379</v>
      </c>
      <c r="D1692" s="213" t="s">
        <v>4369</v>
      </c>
      <c r="E1692" s="213" t="s">
        <v>4380</v>
      </c>
      <c r="F1692" s="212" t="s">
        <v>6515</v>
      </c>
      <c r="G1692" s="212" t="str">
        <f t="shared" si="79"/>
        <v>812여비교통비(판)</v>
      </c>
      <c r="H1692" s="214">
        <v>3600</v>
      </c>
      <c r="I1692" s="214">
        <v>0</v>
      </c>
      <c r="J1692" s="214">
        <f t="shared" si="80"/>
        <v>-3600</v>
      </c>
      <c r="K1692" s="212" t="s">
        <v>6305</v>
      </c>
      <c r="L1692" s="213"/>
      <c r="M1692" s="212"/>
    </row>
    <row r="1693" spans="1:13" ht="21" customHeight="1">
      <c r="A1693" s="217" t="s">
        <v>6686</v>
      </c>
      <c r="B1693" s="215">
        <f t="shared" si="78"/>
        <v>45766</v>
      </c>
      <c r="C1693" s="213" t="s">
        <v>4379</v>
      </c>
      <c r="D1693" s="213" t="s">
        <v>4366</v>
      </c>
      <c r="E1693" s="213" t="s">
        <v>333</v>
      </c>
      <c r="F1693" s="212" t="s">
        <v>4365</v>
      </c>
      <c r="G1693" s="212" t="str">
        <f t="shared" si="79"/>
        <v>101현금</v>
      </c>
      <c r="H1693" s="214">
        <v>0</v>
      </c>
      <c r="I1693" s="214">
        <v>3600</v>
      </c>
      <c r="J1693" s="214">
        <f t="shared" si="80"/>
        <v>3600</v>
      </c>
      <c r="K1693" s="212" t="s">
        <v>6369</v>
      </c>
      <c r="L1693" s="213"/>
      <c r="M1693" s="212"/>
    </row>
    <row r="1694" spans="1:13" ht="21" customHeight="1">
      <c r="A1694" s="216" t="s">
        <v>6685</v>
      </c>
      <c r="B1694" s="215">
        <f t="shared" si="78"/>
        <v>45767</v>
      </c>
      <c r="C1694" s="213" t="s">
        <v>4373</v>
      </c>
      <c r="D1694" s="213" t="s">
        <v>4369</v>
      </c>
      <c r="E1694" s="213" t="s">
        <v>4380</v>
      </c>
      <c r="F1694" s="212" t="s">
        <v>6515</v>
      </c>
      <c r="G1694" s="212" t="str">
        <f t="shared" si="79"/>
        <v>812여비교통비(판)</v>
      </c>
      <c r="H1694" s="214">
        <v>1800</v>
      </c>
      <c r="I1694" s="214">
        <v>0</v>
      </c>
      <c r="J1694" s="214">
        <f t="shared" si="80"/>
        <v>-1800</v>
      </c>
      <c r="K1694" s="212" t="s">
        <v>6305</v>
      </c>
      <c r="L1694" s="213"/>
      <c r="M1694" s="212"/>
    </row>
    <row r="1695" spans="1:13" ht="21" customHeight="1">
      <c r="A1695" s="216" t="s">
        <v>6685</v>
      </c>
      <c r="B1695" s="215">
        <f t="shared" si="78"/>
        <v>45767</v>
      </c>
      <c r="C1695" s="213" t="s">
        <v>4373</v>
      </c>
      <c r="D1695" s="213" t="s">
        <v>4366</v>
      </c>
      <c r="E1695" s="213" t="s">
        <v>333</v>
      </c>
      <c r="F1695" s="212" t="s">
        <v>4365</v>
      </c>
      <c r="G1695" s="212" t="str">
        <f t="shared" si="79"/>
        <v>101현금</v>
      </c>
      <c r="H1695" s="214">
        <v>0</v>
      </c>
      <c r="I1695" s="214">
        <v>1800</v>
      </c>
      <c r="J1695" s="214">
        <f t="shared" si="80"/>
        <v>1800</v>
      </c>
      <c r="K1695" s="212" t="s">
        <v>6369</v>
      </c>
      <c r="L1695" s="213"/>
      <c r="M1695" s="212"/>
    </row>
    <row r="1696" spans="1:13" ht="21" customHeight="1">
      <c r="A1696" s="216" t="s">
        <v>6685</v>
      </c>
      <c r="B1696" s="215">
        <f t="shared" si="78"/>
        <v>45767</v>
      </c>
      <c r="C1696" s="213" t="s">
        <v>4382</v>
      </c>
      <c r="D1696" s="213" t="s">
        <v>4369</v>
      </c>
      <c r="E1696" s="213" t="s">
        <v>4499</v>
      </c>
      <c r="F1696" s="212" t="s">
        <v>6517</v>
      </c>
      <c r="G1696" s="212" t="str">
        <f t="shared" si="79"/>
        <v>811복리후생비(판)</v>
      </c>
      <c r="H1696" s="214">
        <v>22900</v>
      </c>
      <c r="I1696" s="214">
        <v>0</v>
      </c>
      <c r="J1696" s="214">
        <f t="shared" si="80"/>
        <v>-22900</v>
      </c>
      <c r="K1696" s="212" t="s">
        <v>6548</v>
      </c>
      <c r="L1696" s="213"/>
      <c r="M1696" s="212"/>
    </row>
    <row r="1697" spans="1:13" ht="21" customHeight="1">
      <c r="A1697" s="216" t="s">
        <v>6685</v>
      </c>
      <c r="B1697" s="215">
        <f t="shared" si="78"/>
        <v>45767</v>
      </c>
      <c r="C1697" s="213" t="s">
        <v>4382</v>
      </c>
      <c r="D1697" s="213" t="s">
        <v>4366</v>
      </c>
      <c r="E1697" s="213" t="s">
        <v>333</v>
      </c>
      <c r="F1697" s="212" t="s">
        <v>4365</v>
      </c>
      <c r="G1697" s="212" t="str">
        <f t="shared" si="79"/>
        <v>101현금</v>
      </c>
      <c r="H1697" s="214">
        <v>0</v>
      </c>
      <c r="I1697" s="214">
        <v>22900</v>
      </c>
      <c r="J1697" s="214">
        <f t="shared" si="80"/>
        <v>22900</v>
      </c>
      <c r="K1697" s="212" t="s">
        <v>6548</v>
      </c>
      <c r="L1697" s="213"/>
      <c r="M1697" s="212"/>
    </row>
    <row r="1698" spans="1:13" ht="21" customHeight="1">
      <c r="A1698" s="213" t="s">
        <v>6684</v>
      </c>
      <c r="B1698" s="215">
        <f t="shared" si="78"/>
        <v>45768</v>
      </c>
      <c r="C1698" s="213" t="s">
        <v>4373</v>
      </c>
      <c r="D1698" s="213" t="s">
        <v>4366</v>
      </c>
      <c r="E1698" s="213" t="s">
        <v>333</v>
      </c>
      <c r="F1698" s="212" t="s">
        <v>4365</v>
      </c>
      <c r="G1698" s="212" t="str">
        <f t="shared" si="79"/>
        <v>101현금</v>
      </c>
      <c r="H1698" s="214">
        <v>0</v>
      </c>
      <c r="I1698" s="214">
        <v>40430</v>
      </c>
      <c r="J1698" s="214">
        <f t="shared" si="80"/>
        <v>40430</v>
      </c>
      <c r="K1698" s="212" t="s">
        <v>6371</v>
      </c>
      <c r="L1698" s="213"/>
      <c r="M1698" s="212"/>
    </row>
    <row r="1699" spans="1:13" ht="21" customHeight="1">
      <c r="A1699" s="213" t="s">
        <v>6684</v>
      </c>
      <c r="B1699" s="215">
        <f t="shared" si="78"/>
        <v>45768</v>
      </c>
      <c r="C1699" s="213" t="s">
        <v>4373</v>
      </c>
      <c r="D1699" s="213" t="s">
        <v>4369</v>
      </c>
      <c r="E1699" s="213" t="s">
        <v>4499</v>
      </c>
      <c r="F1699" s="212" t="s">
        <v>6517</v>
      </c>
      <c r="G1699" s="212" t="str">
        <f t="shared" si="79"/>
        <v>811복리후생비(판)</v>
      </c>
      <c r="H1699" s="214">
        <v>40430</v>
      </c>
      <c r="I1699" s="214">
        <v>0</v>
      </c>
      <c r="J1699" s="214">
        <f t="shared" si="80"/>
        <v>-40430</v>
      </c>
      <c r="K1699" s="212" t="s">
        <v>6658</v>
      </c>
      <c r="L1699" s="213"/>
      <c r="M1699" s="212"/>
    </row>
    <row r="1700" spans="1:13" ht="21" customHeight="1">
      <c r="A1700" s="213" t="s">
        <v>6684</v>
      </c>
      <c r="B1700" s="215">
        <f t="shared" si="78"/>
        <v>45768</v>
      </c>
      <c r="C1700" s="213" t="s">
        <v>4382</v>
      </c>
      <c r="D1700" s="213" t="s">
        <v>4366</v>
      </c>
      <c r="E1700" s="213" t="s">
        <v>333</v>
      </c>
      <c r="F1700" s="212" t="s">
        <v>4365</v>
      </c>
      <c r="G1700" s="212" t="str">
        <f t="shared" si="79"/>
        <v>101현금</v>
      </c>
      <c r="H1700" s="214">
        <v>0</v>
      </c>
      <c r="I1700" s="214">
        <v>24130</v>
      </c>
      <c r="J1700" s="214">
        <f t="shared" si="80"/>
        <v>24130</v>
      </c>
      <c r="K1700" s="212" t="s">
        <v>6370</v>
      </c>
      <c r="L1700" s="213"/>
      <c r="M1700" s="212"/>
    </row>
    <row r="1701" spans="1:13" ht="21" customHeight="1">
      <c r="A1701" s="213" t="s">
        <v>6684</v>
      </c>
      <c r="B1701" s="215">
        <f t="shared" si="78"/>
        <v>45768</v>
      </c>
      <c r="C1701" s="213" t="s">
        <v>4382</v>
      </c>
      <c r="D1701" s="213" t="s">
        <v>4369</v>
      </c>
      <c r="E1701" s="213" t="s">
        <v>4368</v>
      </c>
      <c r="F1701" s="212" t="s">
        <v>6388</v>
      </c>
      <c r="G1701" s="212" t="str">
        <f t="shared" si="79"/>
        <v>831지급수수료(판)</v>
      </c>
      <c r="H1701" s="214">
        <v>24130</v>
      </c>
      <c r="I1701" s="214">
        <v>0</v>
      </c>
      <c r="J1701" s="214">
        <f t="shared" si="80"/>
        <v>-24130</v>
      </c>
      <c r="K1701" s="212" t="s">
        <v>6549</v>
      </c>
      <c r="L1701" s="213"/>
      <c r="M1701" s="212"/>
    </row>
    <row r="1702" spans="1:13" ht="21" customHeight="1">
      <c r="A1702" s="213" t="s">
        <v>6684</v>
      </c>
      <c r="B1702" s="215">
        <f t="shared" si="78"/>
        <v>45768</v>
      </c>
      <c r="C1702" s="213" t="s">
        <v>4381</v>
      </c>
      <c r="D1702" s="213" t="s">
        <v>4366</v>
      </c>
      <c r="E1702" s="213" t="s">
        <v>333</v>
      </c>
      <c r="F1702" s="212" t="s">
        <v>4365</v>
      </c>
      <c r="G1702" s="212" t="str">
        <f t="shared" si="79"/>
        <v>101현금</v>
      </c>
      <c r="H1702" s="214">
        <v>0</v>
      </c>
      <c r="I1702" s="214">
        <v>42650</v>
      </c>
      <c r="J1702" s="214">
        <f t="shared" si="80"/>
        <v>42650</v>
      </c>
      <c r="K1702" s="212" t="s">
        <v>6370</v>
      </c>
      <c r="L1702" s="213"/>
      <c r="M1702" s="212"/>
    </row>
    <row r="1703" spans="1:13" ht="21" customHeight="1">
      <c r="A1703" s="213" t="s">
        <v>6684</v>
      </c>
      <c r="B1703" s="215">
        <f t="shared" si="78"/>
        <v>45768</v>
      </c>
      <c r="C1703" s="213" t="s">
        <v>4381</v>
      </c>
      <c r="D1703" s="213" t="s">
        <v>4369</v>
      </c>
      <c r="E1703" s="213" t="s">
        <v>4368</v>
      </c>
      <c r="F1703" s="212" t="s">
        <v>6388</v>
      </c>
      <c r="G1703" s="212" t="str">
        <f t="shared" si="79"/>
        <v>831지급수수료(판)</v>
      </c>
      <c r="H1703" s="214">
        <v>42650</v>
      </c>
      <c r="I1703" s="214">
        <v>0</v>
      </c>
      <c r="J1703" s="214">
        <f t="shared" si="80"/>
        <v>-42650</v>
      </c>
      <c r="K1703" s="212" t="s">
        <v>6549</v>
      </c>
      <c r="L1703" s="213"/>
      <c r="M1703" s="212"/>
    </row>
    <row r="1704" spans="1:13" ht="21" customHeight="1">
      <c r="A1704" s="213" t="s">
        <v>6683</v>
      </c>
      <c r="B1704" s="215">
        <f t="shared" si="78"/>
        <v>45769</v>
      </c>
      <c r="C1704" s="213" t="s">
        <v>4373</v>
      </c>
      <c r="D1704" s="213" t="s">
        <v>4369</v>
      </c>
      <c r="E1704" s="213" t="s">
        <v>4499</v>
      </c>
      <c r="F1704" s="212" t="s">
        <v>6517</v>
      </c>
      <c r="G1704" s="212" t="str">
        <f t="shared" si="79"/>
        <v>811복리후생비(판)</v>
      </c>
      <c r="H1704" s="214">
        <v>5100</v>
      </c>
      <c r="I1704" s="214">
        <v>0</v>
      </c>
      <c r="J1704" s="214">
        <f t="shared" si="80"/>
        <v>-5100</v>
      </c>
      <c r="K1704" s="212" t="s">
        <v>6352</v>
      </c>
      <c r="L1704" s="213"/>
      <c r="M1704" s="212"/>
    </row>
    <row r="1705" spans="1:13" ht="21" customHeight="1">
      <c r="A1705" s="213" t="s">
        <v>6683</v>
      </c>
      <c r="B1705" s="215">
        <f t="shared" si="78"/>
        <v>45769</v>
      </c>
      <c r="C1705" s="213" t="s">
        <v>4373</v>
      </c>
      <c r="D1705" s="213" t="s">
        <v>4366</v>
      </c>
      <c r="E1705" s="213" t="s">
        <v>333</v>
      </c>
      <c r="F1705" s="212" t="s">
        <v>4365</v>
      </c>
      <c r="G1705" s="212" t="str">
        <f t="shared" si="79"/>
        <v>101현금</v>
      </c>
      <c r="H1705" s="214">
        <v>0</v>
      </c>
      <c r="I1705" s="214">
        <v>5100</v>
      </c>
      <c r="J1705" s="214">
        <f t="shared" si="80"/>
        <v>5100</v>
      </c>
      <c r="K1705" s="212" t="s">
        <v>6371</v>
      </c>
      <c r="L1705" s="213"/>
      <c r="M1705" s="212"/>
    </row>
    <row r="1706" spans="1:13" ht="21" customHeight="1">
      <c r="A1706" s="213" t="s">
        <v>6683</v>
      </c>
      <c r="B1706" s="215">
        <f t="shared" si="78"/>
        <v>45769</v>
      </c>
      <c r="C1706" s="213" t="s">
        <v>4382</v>
      </c>
      <c r="D1706" s="213" t="s">
        <v>4369</v>
      </c>
      <c r="E1706" s="213" t="s">
        <v>4383</v>
      </c>
      <c r="F1706" s="212" t="s">
        <v>6525</v>
      </c>
      <c r="G1706" s="212" t="str">
        <f t="shared" si="79"/>
        <v>830소모품비(판)</v>
      </c>
      <c r="H1706" s="214">
        <v>15420</v>
      </c>
      <c r="I1706" s="214">
        <v>0</v>
      </c>
      <c r="J1706" s="214">
        <f t="shared" si="80"/>
        <v>-15420</v>
      </c>
      <c r="K1706" s="212" t="s">
        <v>6215</v>
      </c>
      <c r="L1706" s="213"/>
      <c r="M1706" s="212"/>
    </row>
    <row r="1707" spans="1:13" ht="21" customHeight="1">
      <c r="A1707" s="213" t="s">
        <v>6683</v>
      </c>
      <c r="B1707" s="215">
        <f t="shared" si="78"/>
        <v>45769</v>
      </c>
      <c r="C1707" s="213" t="s">
        <v>4382</v>
      </c>
      <c r="D1707" s="213" t="s">
        <v>4366</v>
      </c>
      <c r="E1707" s="213" t="s">
        <v>333</v>
      </c>
      <c r="F1707" s="212" t="s">
        <v>4365</v>
      </c>
      <c r="G1707" s="212" t="str">
        <f t="shared" si="79"/>
        <v>101현금</v>
      </c>
      <c r="H1707" s="214">
        <v>0</v>
      </c>
      <c r="I1707" s="214">
        <v>15420</v>
      </c>
      <c r="J1707" s="214">
        <f t="shared" si="80"/>
        <v>15420</v>
      </c>
      <c r="K1707" s="212" t="s">
        <v>6371</v>
      </c>
      <c r="L1707" s="213"/>
      <c r="M1707" s="212"/>
    </row>
    <row r="1708" spans="1:13" ht="21" customHeight="1">
      <c r="A1708" s="213" t="s">
        <v>6683</v>
      </c>
      <c r="B1708" s="215">
        <f t="shared" si="78"/>
        <v>45769</v>
      </c>
      <c r="C1708" s="213" t="s">
        <v>4381</v>
      </c>
      <c r="D1708" s="213" t="s">
        <v>4369</v>
      </c>
      <c r="E1708" s="213" t="s">
        <v>4383</v>
      </c>
      <c r="F1708" s="212" t="s">
        <v>6525</v>
      </c>
      <c r="G1708" s="212" t="str">
        <f t="shared" si="79"/>
        <v>830소모품비(판)</v>
      </c>
      <c r="H1708" s="214">
        <v>18120</v>
      </c>
      <c r="I1708" s="214">
        <v>0</v>
      </c>
      <c r="J1708" s="214">
        <f t="shared" si="80"/>
        <v>-18120</v>
      </c>
      <c r="K1708" s="212" t="s">
        <v>6215</v>
      </c>
      <c r="L1708" s="213"/>
      <c r="M1708" s="212"/>
    </row>
    <row r="1709" spans="1:13" ht="21" customHeight="1">
      <c r="A1709" s="213" t="s">
        <v>6683</v>
      </c>
      <c r="B1709" s="215">
        <f t="shared" si="78"/>
        <v>45769</v>
      </c>
      <c r="C1709" s="213" t="s">
        <v>4381</v>
      </c>
      <c r="D1709" s="213" t="s">
        <v>4366</v>
      </c>
      <c r="E1709" s="213" t="s">
        <v>333</v>
      </c>
      <c r="F1709" s="212" t="s">
        <v>4365</v>
      </c>
      <c r="G1709" s="212" t="str">
        <f t="shared" si="79"/>
        <v>101현금</v>
      </c>
      <c r="H1709" s="214">
        <v>0</v>
      </c>
      <c r="I1709" s="214">
        <v>18120</v>
      </c>
      <c r="J1709" s="214">
        <f t="shared" si="80"/>
        <v>18120</v>
      </c>
      <c r="K1709" s="212" t="s">
        <v>6371</v>
      </c>
      <c r="L1709" s="213"/>
      <c r="M1709" s="212"/>
    </row>
    <row r="1710" spans="1:13" ht="21" customHeight="1">
      <c r="A1710" s="213" t="s">
        <v>6683</v>
      </c>
      <c r="B1710" s="215">
        <f t="shared" si="78"/>
        <v>45769</v>
      </c>
      <c r="C1710" s="213" t="s">
        <v>4379</v>
      </c>
      <c r="D1710" s="213" t="s">
        <v>4369</v>
      </c>
      <c r="E1710" s="213" t="s">
        <v>4383</v>
      </c>
      <c r="F1710" s="212" t="s">
        <v>6525</v>
      </c>
      <c r="G1710" s="212" t="str">
        <f t="shared" si="79"/>
        <v>830소모품비(판)</v>
      </c>
      <c r="H1710" s="214">
        <v>25340</v>
      </c>
      <c r="I1710" s="214">
        <v>0</v>
      </c>
      <c r="J1710" s="214">
        <f t="shared" si="80"/>
        <v>-25340</v>
      </c>
      <c r="K1710" s="212" t="s">
        <v>6215</v>
      </c>
      <c r="L1710" s="213"/>
      <c r="M1710" s="212"/>
    </row>
    <row r="1711" spans="1:13" ht="21" customHeight="1">
      <c r="A1711" s="213" t="s">
        <v>6683</v>
      </c>
      <c r="B1711" s="215">
        <f t="shared" si="78"/>
        <v>45769</v>
      </c>
      <c r="C1711" s="213" t="s">
        <v>4379</v>
      </c>
      <c r="D1711" s="213" t="s">
        <v>4366</v>
      </c>
      <c r="E1711" s="213" t="s">
        <v>333</v>
      </c>
      <c r="F1711" s="212" t="s">
        <v>4365</v>
      </c>
      <c r="G1711" s="212" t="str">
        <f t="shared" si="79"/>
        <v>101현금</v>
      </c>
      <c r="H1711" s="214">
        <v>0</v>
      </c>
      <c r="I1711" s="214">
        <v>25340</v>
      </c>
      <c r="J1711" s="214">
        <f t="shared" si="80"/>
        <v>25340</v>
      </c>
      <c r="K1711" s="212" t="s">
        <v>6371</v>
      </c>
      <c r="L1711" s="213"/>
      <c r="M1711" s="212"/>
    </row>
    <row r="1712" spans="1:13" ht="21" customHeight="1">
      <c r="A1712" s="213" t="s">
        <v>6683</v>
      </c>
      <c r="B1712" s="215">
        <f t="shared" si="78"/>
        <v>45769</v>
      </c>
      <c r="C1712" s="213" t="s">
        <v>4385</v>
      </c>
      <c r="D1712" s="213" t="s">
        <v>4366</v>
      </c>
      <c r="E1712" s="213" t="s">
        <v>333</v>
      </c>
      <c r="F1712" s="212" t="s">
        <v>4365</v>
      </c>
      <c r="G1712" s="212" t="str">
        <f t="shared" si="79"/>
        <v>101현금</v>
      </c>
      <c r="H1712" s="214">
        <v>0</v>
      </c>
      <c r="I1712" s="214">
        <v>8800</v>
      </c>
      <c r="J1712" s="214">
        <f t="shared" si="80"/>
        <v>8800</v>
      </c>
      <c r="K1712" s="212" t="s">
        <v>6371</v>
      </c>
      <c r="L1712" s="213"/>
      <c r="M1712" s="212"/>
    </row>
    <row r="1713" spans="1:13" ht="21" customHeight="1">
      <c r="A1713" s="213" t="s">
        <v>6683</v>
      </c>
      <c r="B1713" s="215">
        <f t="shared" si="78"/>
        <v>45769</v>
      </c>
      <c r="C1713" s="213" t="s">
        <v>4385</v>
      </c>
      <c r="D1713" s="213" t="s">
        <v>4369</v>
      </c>
      <c r="E1713" s="213" t="s">
        <v>6290</v>
      </c>
      <c r="F1713" s="212" t="s">
        <v>6570</v>
      </c>
      <c r="G1713" s="212" t="str">
        <f t="shared" si="79"/>
        <v>824운반비(판)</v>
      </c>
      <c r="H1713" s="214">
        <v>8800</v>
      </c>
      <c r="I1713" s="214">
        <v>0</v>
      </c>
      <c r="J1713" s="214">
        <f t="shared" si="80"/>
        <v>-8800</v>
      </c>
      <c r="K1713" s="212" t="s">
        <v>6291</v>
      </c>
      <c r="L1713" s="213"/>
      <c r="M1713" s="212"/>
    </row>
    <row r="1714" spans="1:13" ht="21" customHeight="1">
      <c r="A1714" s="213" t="s">
        <v>6683</v>
      </c>
      <c r="B1714" s="215">
        <f t="shared" si="78"/>
        <v>45769</v>
      </c>
      <c r="C1714" s="213" t="s">
        <v>4367</v>
      </c>
      <c r="D1714" s="213" t="s">
        <v>4366</v>
      </c>
      <c r="E1714" s="213" t="s">
        <v>6176</v>
      </c>
      <c r="F1714" s="212" t="s">
        <v>6177</v>
      </c>
      <c r="G1714" s="212" t="str">
        <f t="shared" si="79"/>
        <v>255부가세예수금</v>
      </c>
      <c r="H1714" s="214">
        <v>0</v>
      </c>
      <c r="I1714" s="214">
        <v>10000</v>
      </c>
      <c r="J1714" s="214">
        <f t="shared" si="80"/>
        <v>10000</v>
      </c>
      <c r="K1714" s="212" t="s">
        <v>6252</v>
      </c>
      <c r="L1714" s="213"/>
      <c r="M1714" s="212" t="s">
        <v>6185</v>
      </c>
    </row>
    <row r="1715" spans="1:13" ht="21" customHeight="1">
      <c r="A1715" s="213" t="s">
        <v>6683</v>
      </c>
      <c r="B1715" s="215">
        <f t="shared" si="78"/>
        <v>45769</v>
      </c>
      <c r="C1715" s="213" t="s">
        <v>4367</v>
      </c>
      <c r="D1715" s="213" t="s">
        <v>4366</v>
      </c>
      <c r="E1715" s="213" t="s">
        <v>334</v>
      </c>
      <c r="F1715" s="212" t="s">
        <v>6158</v>
      </c>
      <c r="G1715" s="212" t="str">
        <f t="shared" si="79"/>
        <v>401용역매출</v>
      </c>
      <c r="H1715" s="214">
        <v>0</v>
      </c>
      <c r="I1715" s="214">
        <v>100000</v>
      </c>
      <c r="J1715" s="214">
        <f t="shared" si="80"/>
        <v>100000</v>
      </c>
      <c r="K1715" s="212" t="s">
        <v>6252</v>
      </c>
      <c r="L1715" s="213"/>
      <c r="M1715" s="212" t="s">
        <v>6185</v>
      </c>
    </row>
    <row r="1716" spans="1:13" ht="21" customHeight="1">
      <c r="A1716" s="213" t="s">
        <v>6683</v>
      </c>
      <c r="B1716" s="215">
        <f t="shared" si="78"/>
        <v>45769</v>
      </c>
      <c r="C1716" s="213" t="s">
        <v>4367</v>
      </c>
      <c r="D1716" s="213" t="s">
        <v>4369</v>
      </c>
      <c r="E1716" s="213" t="s">
        <v>333</v>
      </c>
      <c r="F1716" s="212" t="s">
        <v>4365</v>
      </c>
      <c r="G1716" s="212" t="str">
        <f t="shared" si="79"/>
        <v>101현금</v>
      </c>
      <c r="H1716" s="214">
        <v>110000</v>
      </c>
      <c r="I1716" s="214">
        <v>0</v>
      </c>
      <c r="J1716" s="214">
        <f t="shared" si="80"/>
        <v>-110000</v>
      </c>
      <c r="K1716" s="212" t="s">
        <v>6252</v>
      </c>
      <c r="L1716" s="213"/>
      <c r="M1716" s="212" t="s">
        <v>6185</v>
      </c>
    </row>
    <row r="1717" spans="1:13" ht="21" customHeight="1">
      <c r="A1717" s="213" t="s">
        <v>6683</v>
      </c>
      <c r="B1717" s="215">
        <f t="shared" si="78"/>
        <v>45769</v>
      </c>
      <c r="C1717" s="213" t="s">
        <v>4374</v>
      </c>
      <c r="D1717" s="213" t="s">
        <v>4366</v>
      </c>
      <c r="E1717" s="213" t="s">
        <v>6176</v>
      </c>
      <c r="F1717" s="212" t="s">
        <v>6177</v>
      </c>
      <c r="G1717" s="212" t="str">
        <f t="shared" si="79"/>
        <v>255부가세예수금</v>
      </c>
      <c r="H1717" s="214">
        <v>0</v>
      </c>
      <c r="I1717" s="214">
        <v>-20000</v>
      </c>
      <c r="J1717" s="214">
        <f t="shared" si="80"/>
        <v>-20000</v>
      </c>
      <c r="K1717" s="212" t="s">
        <v>6252</v>
      </c>
      <c r="L1717" s="213"/>
      <c r="M1717" s="212" t="s">
        <v>6361</v>
      </c>
    </row>
    <row r="1718" spans="1:13" ht="21" customHeight="1">
      <c r="A1718" s="213" t="s">
        <v>6683</v>
      </c>
      <c r="B1718" s="215">
        <f t="shared" si="78"/>
        <v>45769</v>
      </c>
      <c r="C1718" s="213" t="s">
        <v>4374</v>
      </c>
      <c r="D1718" s="213" t="s">
        <v>4366</v>
      </c>
      <c r="E1718" s="213" t="s">
        <v>334</v>
      </c>
      <c r="F1718" s="212" t="s">
        <v>6158</v>
      </c>
      <c r="G1718" s="212" t="str">
        <f t="shared" si="79"/>
        <v>401용역매출</v>
      </c>
      <c r="H1718" s="214">
        <v>0</v>
      </c>
      <c r="I1718" s="214">
        <v>-200000</v>
      </c>
      <c r="J1718" s="214">
        <f t="shared" si="80"/>
        <v>-200000</v>
      </c>
      <c r="K1718" s="212" t="s">
        <v>6252</v>
      </c>
      <c r="L1718" s="213"/>
      <c r="M1718" s="212" t="s">
        <v>6361</v>
      </c>
    </row>
    <row r="1719" spans="1:13" ht="21" customHeight="1">
      <c r="A1719" s="213" t="s">
        <v>6683</v>
      </c>
      <c r="B1719" s="215">
        <f t="shared" si="78"/>
        <v>45769</v>
      </c>
      <c r="C1719" s="213" t="s">
        <v>4374</v>
      </c>
      <c r="D1719" s="213" t="s">
        <v>4369</v>
      </c>
      <c r="E1719" s="213" t="s">
        <v>333</v>
      </c>
      <c r="F1719" s="212" t="s">
        <v>4365</v>
      </c>
      <c r="G1719" s="212" t="str">
        <f t="shared" si="79"/>
        <v>101현금</v>
      </c>
      <c r="H1719" s="214">
        <v>-220000</v>
      </c>
      <c r="I1719" s="214">
        <v>0</v>
      </c>
      <c r="J1719" s="214">
        <f t="shared" si="80"/>
        <v>220000</v>
      </c>
      <c r="K1719" s="212" t="s">
        <v>6252</v>
      </c>
      <c r="L1719" s="213"/>
      <c r="M1719" s="212" t="s">
        <v>6361</v>
      </c>
    </row>
    <row r="1720" spans="1:13" ht="21" customHeight="1">
      <c r="A1720" s="213" t="s">
        <v>6683</v>
      </c>
      <c r="B1720" s="215">
        <f t="shared" si="78"/>
        <v>45769</v>
      </c>
      <c r="C1720" s="213" t="s">
        <v>6182</v>
      </c>
      <c r="D1720" s="213" t="s">
        <v>4366</v>
      </c>
      <c r="E1720" s="213" t="s">
        <v>6176</v>
      </c>
      <c r="F1720" s="212" t="s">
        <v>6177</v>
      </c>
      <c r="G1720" s="212" t="str">
        <f t="shared" si="79"/>
        <v>255부가세예수금</v>
      </c>
      <c r="H1720" s="214">
        <v>0</v>
      </c>
      <c r="I1720" s="214">
        <v>10000</v>
      </c>
      <c r="J1720" s="214">
        <f t="shared" si="80"/>
        <v>10000</v>
      </c>
      <c r="K1720" s="212" t="s">
        <v>6255</v>
      </c>
      <c r="L1720" s="213"/>
      <c r="M1720" s="212" t="s">
        <v>6185</v>
      </c>
    </row>
    <row r="1721" spans="1:13" ht="21" customHeight="1">
      <c r="A1721" s="213" t="s">
        <v>6683</v>
      </c>
      <c r="B1721" s="215">
        <f t="shared" si="78"/>
        <v>45769</v>
      </c>
      <c r="C1721" s="213" t="s">
        <v>6182</v>
      </c>
      <c r="D1721" s="213" t="s">
        <v>4366</v>
      </c>
      <c r="E1721" s="213" t="s">
        <v>334</v>
      </c>
      <c r="F1721" s="212" t="s">
        <v>6158</v>
      </c>
      <c r="G1721" s="212" t="str">
        <f t="shared" si="79"/>
        <v>401용역매출</v>
      </c>
      <c r="H1721" s="214">
        <v>0</v>
      </c>
      <c r="I1721" s="214">
        <v>100000</v>
      </c>
      <c r="J1721" s="214">
        <f t="shared" si="80"/>
        <v>100000</v>
      </c>
      <c r="K1721" s="212" t="s">
        <v>6255</v>
      </c>
      <c r="L1721" s="213"/>
      <c r="M1721" s="212" t="s">
        <v>6185</v>
      </c>
    </row>
    <row r="1722" spans="1:13" ht="21" customHeight="1">
      <c r="A1722" s="213" t="s">
        <v>6683</v>
      </c>
      <c r="B1722" s="215">
        <f t="shared" si="78"/>
        <v>45769</v>
      </c>
      <c r="C1722" s="213" t="s">
        <v>6182</v>
      </c>
      <c r="D1722" s="213" t="s">
        <v>4369</v>
      </c>
      <c r="E1722" s="213" t="s">
        <v>333</v>
      </c>
      <c r="F1722" s="212" t="s">
        <v>4365</v>
      </c>
      <c r="G1722" s="212" t="str">
        <f t="shared" si="79"/>
        <v>101현금</v>
      </c>
      <c r="H1722" s="214">
        <v>110000</v>
      </c>
      <c r="I1722" s="214">
        <v>0</v>
      </c>
      <c r="J1722" s="214">
        <f t="shared" si="80"/>
        <v>-110000</v>
      </c>
      <c r="K1722" s="212" t="s">
        <v>6255</v>
      </c>
      <c r="L1722" s="213"/>
      <c r="M1722" s="212" t="s">
        <v>6185</v>
      </c>
    </row>
    <row r="1723" spans="1:13" ht="21" customHeight="1">
      <c r="A1723" s="213" t="s">
        <v>6683</v>
      </c>
      <c r="B1723" s="215">
        <f t="shared" si="78"/>
        <v>45769</v>
      </c>
      <c r="C1723" s="213" t="s">
        <v>6184</v>
      </c>
      <c r="D1723" s="213" t="s">
        <v>4366</v>
      </c>
      <c r="E1723" s="213" t="s">
        <v>6176</v>
      </c>
      <c r="F1723" s="212" t="s">
        <v>6177</v>
      </c>
      <c r="G1723" s="212" t="str">
        <f t="shared" si="79"/>
        <v>255부가세예수금</v>
      </c>
      <c r="H1723" s="214">
        <v>0</v>
      </c>
      <c r="I1723" s="214">
        <v>20000</v>
      </c>
      <c r="J1723" s="214">
        <f t="shared" si="80"/>
        <v>20000</v>
      </c>
      <c r="K1723" s="212" t="s">
        <v>6257</v>
      </c>
      <c r="L1723" s="213"/>
      <c r="M1723" s="212" t="s">
        <v>6231</v>
      </c>
    </row>
    <row r="1724" spans="1:13" ht="21" customHeight="1">
      <c r="A1724" s="213" t="s">
        <v>6683</v>
      </c>
      <c r="B1724" s="215">
        <f t="shared" si="78"/>
        <v>45769</v>
      </c>
      <c r="C1724" s="213" t="s">
        <v>6184</v>
      </c>
      <c r="D1724" s="213" t="s">
        <v>4366</v>
      </c>
      <c r="E1724" s="213" t="s">
        <v>334</v>
      </c>
      <c r="F1724" s="212" t="s">
        <v>6158</v>
      </c>
      <c r="G1724" s="212" t="str">
        <f t="shared" si="79"/>
        <v>401용역매출</v>
      </c>
      <c r="H1724" s="214">
        <v>0</v>
      </c>
      <c r="I1724" s="214">
        <v>200000</v>
      </c>
      <c r="J1724" s="214">
        <f t="shared" si="80"/>
        <v>200000</v>
      </c>
      <c r="K1724" s="212" t="s">
        <v>6257</v>
      </c>
      <c r="L1724" s="213"/>
      <c r="M1724" s="212" t="s">
        <v>6231</v>
      </c>
    </row>
    <row r="1725" spans="1:13" ht="21" customHeight="1">
      <c r="A1725" s="213" t="s">
        <v>6683</v>
      </c>
      <c r="B1725" s="215">
        <f t="shared" si="78"/>
        <v>45769</v>
      </c>
      <c r="C1725" s="213" t="s">
        <v>6184</v>
      </c>
      <c r="D1725" s="213" t="s">
        <v>4369</v>
      </c>
      <c r="E1725" s="213" t="s">
        <v>333</v>
      </c>
      <c r="F1725" s="212" t="s">
        <v>4365</v>
      </c>
      <c r="G1725" s="212" t="str">
        <f t="shared" si="79"/>
        <v>101현금</v>
      </c>
      <c r="H1725" s="214">
        <v>220000</v>
      </c>
      <c r="I1725" s="214">
        <v>0</v>
      </c>
      <c r="J1725" s="214">
        <f t="shared" si="80"/>
        <v>-220000</v>
      </c>
      <c r="K1725" s="212" t="s">
        <v>6257</v>
      </c>
      <c r="L1725" s="213"/>
      <c r="M1725" s="212" t="s">
        <v>6231</v>
      </c>
    </row>
    <row r="1726" spans="1:13" ht="21" customHeight="1">
      <c r="A1726" s="213" t="s">
        <v>6683</v>
      </c>
      <c r="B1726" s="215">
        <f t="shared" si="78"/>
        <v>45769</v>
      </c>
      <c r="C1726" s="213" t="s">
        <v>6186</v>
      </c>
      <c r="D1726" s="213" t="s">
        <v>4366</v>
      </c>
      <c r="E1726" s="213" t="s">
        <v>6176</v>
      </c>
      <c r="F1726" s="212" t="s">
        <v>6177</v>
      </c>
      <c r="G1726" s="212" t="str">
        <f t="shared" si="79"/>
        <v>255부가세예수금</v>
      </c>
      <c r="H1726" s="214">
        <v>0</v>
      </c>
      <c r="I1726" s="214">
        <v>11819</v>
      </c>
      <c r="J1726" s="214">
        <f t="shared" si="80"/>
        <v>11819</v>
      </c>
      <c r="K1726" s="212" t="s">
        <v>6220</v>
      </c>
      <c r="L1726" s="213"/>
      <c r="M1726" s="212" t="s">
        <v>6362</v>
      </c>
    </row>
    <row r="1727" spans="1:13" ht="21" customHeight="1">
      <c r="A1727" s="213" t="s">
        <v>6683</v>
      </c>
      <c r="B1727" s="215">
        <f t="shared" si="78"/>
        <v>45769</v>
      </c>
      <c r="C1727" s="213" t="s">
        <v>6186</v>
      </c>
      <c r="D1727" s="213" t="s">
        <v>4366</v>
      </c>
      <c r="E1727" s="213" t="s">
        <v>334</v>
      </c>
      <c r="F1727" s="212" t="s">
        <v>6158</v>
      </c>
      <c r="G1727" s="212" t="str">
        <f t="shared" si="79"/>
        <v>401용역매출</v>
      </c>
      <c r="H1727" s="214">
        <v>0</v>
      </c>
      <c r="I1727" s="214">
        <v>118181</v>
      </c>
      <c r="J1727" s="214">
        <f t="shared" si="80"/>
        <v>118181</v>
      </c>
      <c r="K1727" s="212" t="s">
        <v>6220</v>
      </c>
      <c r="L1727" s="213"/>
      <c r="M1727" s="212" t="s">
        <v>6362</v>
      </c>
    </row>
    <row r="1728" spans="1:13" ht="21" customHeight="1">
      <c r="A1728" s="213" t="s">
        <v>6683</v>
      </c>
      <c r="B1728" s="215">
        <f t="shared" si="78"/>
        <v>45769</v>
      </c>
      <c r="C1728" s="213" t="s">
        <v>6186</v>
      </c>
      <c r="D1728" s="213" t="s">
        <v>4369</v>
      </c>
      <c r="E1728" s="213" t="s">
        <v>333</v>
      </c>
      <c r="F1728" s="212" t="s">
        <v>4365</v>
      </c>
      <c r="G1728" s="212" t="str">
        <f t="shared" si="79"/>
        <v>101현금</v>
      </c>
      <c r="H1728" s="214">
        <v>130000</v>
      </c>
      <c r="I1728" s="214">
        <v>0</v>
      </c>
      <c r="J1728" s="214">
        <f t="shared" si="80"/>
        <v>-130000</v>
      </c>
      <c r="K1728" s="212" t="s">
        <v>6220</v>
      </c>
      <c r="L1728" s="213"/>
      <c r="M1728" s="212" t="s">
        <v>6362</v>
      </c>
    </row>
    <row r="1729" spans="1:13" ht="21" customHeight="1">
      <c r="A1729" s="213" t="s">
        <v>6683</v>
      </c>
      <c r="B1729" s="215">
        <f t="shared" si="78"/>
        <v>45769</v>
      </c>
      <c r="C1729" s="213" t="s">
        <v>6189</v>
      </c>
      <c r="D1729" s="213" t="s">
        <v>4366</v>
      </c>
      <c r="E1729" s="213" t="s">
        <v>6176</v>
      </c>
      <c r="F1729" s="212" t="s">
        <v>6177</v>
      </c>
      <c r="G1729" s="212" t="str">
        <f t="shared" si="79"/>
        <v>255부가세예수금</v>
      </c>
      <c r="H1729" s="214">
        <v>0</v>
      </c>
      <c r="I1729" s="214">
        <v>-15000</v>
      </c>
      <c r="J1729" s="214">
        <f t="shared" si="80"/>
        <v>-15000</v>
      </c>
      <c r="K1729" s="212" t="s">
        <v>6224</v>
      </c>
      <c r="L1729" s="213"/>
      <c r="M1729" s="212" t="s">
        <v>6313</v>
      </c>
    </row>
    <row r="1730" spans="1:13" ht="21" customHeight="1">
      <c r="A1730" s="213" t="s">
        <v>6683</v>
      </c>
      <c r="B1730" s="215">
        <f t="shared" ref="B1730:B1793" si="81">DATEVALUE(A1730)</f>
        <v>45769</v>
      </c>
      <c r="C1730" s="213" t="s">
        <v>6189</v>
      </c>
      <c r="D1730" s="213" t="s">
        <v>4366</v>
      </c>
      <c r="E1730" s="213" t="s">
        <v>334</v>
      </c>
      <c r="F1730" s="212" t="s">
        <v>6158</v>
      </c>
      <c r="G1730" s="212" t="str">
        <f t="shared" ref="G1730:G1793" si="82">E1730&amp;F1730</f>
        <v>401용역매출</v>
      </c>
      <c r="H1730" s="214">
        <v>0</v>
      </c>
      <c r="I1730" s="214">
        <v>-150000</v>
      </c>
      <c r="J1730" s="214">
        <f t="shared" ref="J1730:J1793" si="83">I1730-H1730</f>
        <v>-150000</v>
      </c>
      <c r="K1730" s="212" t="s">
        <v>6224</v>
      </c>
      <c r="L1730" s="213"/>
      <c r="M1730" s="212" t="s">
        <v>6313</v>
      </c>
    </row>
    <row r="1731" spans="1:13" ht="21" customHeight="1">
      <c r="A1731" s="213" t="s">
        <v>6683</v>
      </c>
      <c r="B1731" s="215">
        <f t="shared" si="81"/>
        <v>45769</v>
      </c>
      <c r="C1731" s="213" t="s">
        <v>6189</v>
      </c>
      <c r="D1731" s="213" t="s">
        <v>4369</v>
      </c>
      <c r="E1731" s="213" t="s">
        <v>333</v>
      </c>
      <c r="F1731" s="212" t="s">
        <v>4365</v>
      </c>
      <c r="G1731" s="212" t="str">
        <f t="shared" si="82"/>
        <v>101현금</v>
      </c>
      <c r="H1731" s="214">
        <v>-165000</v>
      </c>
      <c r="I1731" s="214">
        <v>0</v>
      </c>
      <c r="J1731" s="214">
        <f t="shared" si="83"/>
        <v>165000</v>
      </c>
      <c r="K1731" s="212" t="s">
        <v>6224</v>
      </c>
      <c r="L1731" s="213"/>
      <c r="M1731" s="212" t="s">
        <v>6313</v>
      </c>
    </row>
    <row r="1732" spans="1:13" ht="21" customHeight="1">
      <c r="A1732" s="213" t="s">
        <v>6683</v>
      </c>
      <c r="B1732" s="215">
        <f t="shared" si="81"/>
        <v>45769</v>
      </c>
      <c r="C1732" s="213" t="s">
        <v>6191</v>
      </c>
      <c r="D1732" s="213" t="s">
        <v>4366</v>
      </c>
      <c r="E1732" s="213" t="s">
        <v>6176</v>
      </c>
      <c r="F1732" s="212" t="s">
        <v>6177</v>
      </c>
      <c r="G1732" s="212" t="str">
        <f t="shared" si="82"/>
        <v>255부가세예수금</v>
      </c>
      <c r="H1732" s="214">
        <v>0</v>
      </c>
      <c r="I1732" s="214">
        <v>15000</v>
      </c>
      <c r="J1732" s="214">
        <f t="shared" si="83"/>
        <v>15000</v>
      </c>
      <c r="K1732" s="212" t="s">
        <v>6400</v>
      </c>
      <c r="L1732" s="213"/>
      <c r="M1732" s="212" t="s">
        <v>6179</v>
      </c>
    </row>
    <row r="1733" spans="1:13" ht="21" customHeight="1">
      <c r="A1733" s="213" t="s">
        <v>6683</v>
      </c>
      <c r="B1733" s="215">
        <f t="shared" si="81"/>
        <v>45769</v>
      </c>
      <c r="C1733" s="213" t="s">
        <v>6191</v>
      </c>
      <c r="D1733" s="213" t="s">
        <v>4366</v>
      </c>
      <c r="E1733" s="213" t="s">
        <v>334</v>
      </c>
      <c r="F1733" s="212" t="s">
        <v>6158</v>
      </c>
      <c r="G1733" s="212" t="str">
        <f t="shared" si="82"/>
        <v>401용역매출</v>
      </c>
      <c r="H1733" s="214">
        <v>0</v>
      </c>
      <c r="I1733" s="214">
        <v>150000</v>
      </c>
      <c r="J1733" s="214">
        <f t="shared" si="83"/>
        <v>150000</v>
      </c>
      <c r="K1733" s="212" t="s">
        <v>6400</v>
      </c>
      <c r="L1733" s="213"/>
      <c r="M1733" s="212" t="s">
        <v>6179</v>
      </c>
    </row>
    <row r="1734" spans="1:13" ht="21" customHeight="1">
      <c r="A1734" s="213" t="s">
        <v>6683</v>
      </c>
      <c r="B1734" s="215">
        <f t="shared" si="81"/>
        <v>45769</v>
      </c>
      <c r="C1734" s="213" t="s">
        <v>6191</v>
      </c>
      <c r="D1734" s="213" t="s">
        <v>4369</v>
      </c>
      <c r="E1734" s="213" t="s">
        <v>333</v>
      </c>
      <c r="F1734" s="212" t="s">
        <v>4365</v>
      </c>
      <c r="G1734" s="212" t="str">
        <f t="shared" si="82"/>
        <v>101현금</v>
      </c>
      <c r="H1734" s="214">
        <v>165000</v>
      </c>
      <c r="I1734" s="214">
        <v>0</v>
      </c>
      <c r="J1734" s="214">
        <f t="shared" si="83"/>
        <v>-165000</v>
      </c>
      <c r="K1734" s="212" t="s">
        <v>6400</v>
      </c>
      <c r="L1734" s="213"/>
      <c r="M1734" s="212" t="s">
        <v>6179</v>
      </c>
    </row>
    <row r="1735" spans="1:13" ht="21" customHeight="1">
      <c r="A1735" s="213" t="s">
        <v>6683</v>
      </c>
      <c r="B1735" s="215">
        <f t="shared" si="81"/>
        <v>45769</v>
      </c>
      <c r="C1735" s="213" t="s">
        <v>6216</v>
      </c>
      <c r="D1735" s="213" t="s">
        <v>4366</v>
      </c>
      <c r="E1735" s="213" t="s">
        <v>6176</v>
      </c>
      <c r="F1735" s="212" t="s">
        <v>6177</v>
      </c>
      <c r="G1735" s="212" t="str">
        <f t="shared" si="82"/>
        <v>255부가세예수금</v>
      </c>
      <c r="H1735" s="214">
        <v>0</v>
      </c>
      <c r="I1735" s="214">
        <v>-20000</v>
      </c>
      <c r="J1735" s="214">
        <f t="shared" si="83"/>
        <v>-20000</v>
      </c>
      <c r="K1735" s="212" t="s">
        <v>6400</v>
      </c>
      <c r="L1735" s="213"/>
      <c r="M1735" s="212" t="s">
        <v>6361</v>
      </c>
    </row>
    <row r="1736" spans="1:13" ht="21" customHeight="1">
      <c r="A1736" s="213" t="s">
        <v>6683</v>
      </c>
      <c r="B1736" s="215">
        <f t="shared" si="81"/>
        <v>45769</v>
      </c>
      <c r="C1736" s="213" t="s">
        <v>6216</v>
      </c>
      <c r="D1736" s="213" t="s">
        <v>4366</v>
      </c>
      <c r="E1736" s="213" t="s">
        <v>334</v>
      </c>
      <c r="F1736" s="212" t="s">
        <v>6158</v>
      </c>
      <c r="G1736" s="212" t="str">
        <f t="shared" si="82"/>
        <v>401용역매출</v>
      </c>
      <c r="H1736" s="214">
        <v>0</v>
      </c>
      <c r="I1736" s="214">
        <v>-200000</v>
      </c>
      <c r="J1736" s="214">
        <f t="shared" si="83"/>
        <v>-200000</v>
      </c>
      <c r="K1736" s="212" t="s">
        <v>6400</v>
      </c>
      <c r="L1736" s="213"/>
      <c r="M1736" s="212" t="s">
        <v>6361</v>
      </c>
    </row>
    <row r="1737" spans="1:13" ht="21" customHeight="1">
      <c r="A1737" s="213" t="s">
        <v>6683</v>
      </c>
      <c r="B1737" s="215">
        <f t="shared" si="81"/>
        <v>45769</v>
      </c>
      <c r="C1737" s="213" t="s">
        <v>6216</v>
      </c>
      <c r="D1737" s="213" t="s">
        <v>4369</v>
      </c>
      <c r="E1737" s="213" t="s">
        <v>333</v>
      </c>
      <c r="F1737" s="212" t="s">
        <v>4365</v>
      </c>
      <c r="G1737" s="212" t="str">
        <f t="shared" si="82"/>
        <v>101현금</v>
      </c>
      <c r="H1737" s="214">
        <v>-220000</v>
      </c>
      <c r="I1737" s="214">
        <v>0</v>
      </c>
      <c r="J1737" s="214">
        <f t="shared" si="83"/>
        <v>220000</v>
      </c>
      <c r="K1737" s="212" t="s">
        <v>6400</v>
      </c>
      <c r="L1737" s="213"/>
      <c r="M1737" s="212" t="s">
        <v>6361</v>
      </c>
    </row>
    <row r="1738" spans="1:13" ht="21" customHeight="1">
      <c r="A1738" s="213" t="s">
        <v>6683</v>
      </c>
      <c r="B1738" s="215">
        <f t="shared" si="81"/>
        <v>45769</v>
      </c>
      <c r="C1738" s="213" t="s">
        <v>6217</v>
      </c>
      <c r="D1738" s="213" t="s">
        <v>4366</v>
      </c>
      <c r="E1738" s="213" t="s">
        <v>6176</v>
      </c>
      <c r="F1738" s="212" t="s">
        <v>6177</v>
      </c>
      <c r="G1738" s="212" t="str">
        <f t="shared" si="82"/>
        <v>255부가세예수금</v>
      </c>
      <c r="H1738" s="214">
        <v>0</v>
      </c>
      <c r="I1738" s="214">
        <v>15000</v>
      </c>
      <c r="J1738" s="214">
        <f t="shared" si="83"/>
        <v>15000</v>
      </c>
      <c r="K1738" s="212" t="s">
        <v>6224</v>
      </c>
      <c r="L1738" s="213"/>
      <c r="M1738" s="212" t="s">
        <v>6179</v>
      </c>
    </row>
    <row r="1739" spans="1:13" ht="21" customHeight="1">
      <c r="A1739" s="213" t="s">
        <v>6683</v>
      </c>
      <c r="B1739" s="215">
        <f t="shared" si="81"/>
        <v>45769</v>
      </c>
      <c r="C1739" s="213" t="s">
        <v>6217</v>
      </c>
      <c r="D1739" s="213" t="s">
        <v>4366</v>
      </c>
      <c r="E1739" s="213" t="s">
        <v>334</v>
      </c>
      <c r="F1739" s="212" t="s">
        <v>6158</v>
      </c>
      <c r="G1739" s="212" t="str">
        <f t="shared" si="82"/>
        <v>401용역매출</v>
      </c>
      <c r="H1739" s="214">
        <v>0</v>
      </c>
      <c r="I1739" s="214">
        <v>150000</v>
      </c>
      <c r="J1739" s="214">
        <f t="shared" si="83"/>
        <v>150000</v>
      </c>
      <c r="K1739" s="212" t="s">
        <v>6224</v>
      </c>
      <c r="L1739" s="213"/>
      <c r="M1739" s="212" t="s">
        <v>6179</v>
      </c>
    </row>
    <row r="1740" spans="1:13" ht="21" customHeight="1">
      <c r="A1740" s="213" t="s">
        <v>6683</v>
      </c>
      <c r="B1740" s="215">
        <f t="shared" si="81"/>
        <v>45769</v>
      </c>
      <c r="C1740" s="213" t="s">
        <v>6217</v>
      </c>
      <c r="D1740" s="213" t="s">
        <v>4369</v>
      </c>
      <c r="E1740" s="213" t="s">
        <v>333</v>
      </c>
      <c r="F1740" s="212" t="s">
        <v>4365</v>
      </c>
      <c r="G1740" s="212" t="str">
        <f t="shared" si="82"/>
        <v>101현금</v>
      </c>
      <c r="H1740" s="214">
        <v>165000</v>
      </c>
      <c r="I1740" s="214">
        <v>0</v>
      </c>
      <c r="J1740" s="214">
        <f t="shared" si="83"/>
        <v>-165000</v>
      </c>
      <c r="K1740" s="212" t="s">
        <v>6224</v>
      </c>
      <c r="L1740" s="213"/>
      <c r="M1740" s="212" t="s">
        <v>6179</v>
      </c>
    </row>
    <row r="1741" spans="1:13" ht="21" customHeight="1">
      <c r="A1741" s="213" t="s">
        <v>6683</v>
      </c>
      <c r="B1741" s="215">
        <f t="shared" si="81"/>
        <v>45769</v>
      </c>
      <c r="C1741" s="213" t="s">
        <v>6218</v>
      </c>
      <c r="D1741" s="213" t="s">
        <v>4366</v>
      </c>
      <c r="E1741" s="213" t="s">
        <v>6176</v>
      </c>
      <c r="F1741" s="212" t="s">
        <v>6177</v>
      </c>
      <c r="G1741" s="212" t="str">
        <f t="shared" si="82"/>
        <v>255부가세예수금</v>
      </c>
      <c r="H1741" s="214">
        <v>0</v>
      </c>
      <c r="I1741" s="214">
        <v>20000</v>
      </c>
      <c r="J1741" s="214">
        <f t="shared" si="83"/>
        <v>20000</v>
      </c>
      <c r="K1741" s="212" t="s">
        <v>6400</v>
      </c>
      <c r="L1741" s="213"/>
      <c r="M1741" s="212" t="s">
        <v>6231</v>
      </c>
    </row>
    <row r="1742" spans="1:13" ht="21" customHeight="1">
      <c r="A1742" s="213" t="s">
        <v>6683</v>
      </c>
      <c r="B1742" s="215">
        <f t="shared" si="81"/>
        <v>45769</v>
      </c>
      <c r="C1742" s="213" t="s">
        <v>6218</v>
      </c>
      <c r="D1742" s="213" t="s">
        <v>4366</v>
      </c>
      <c r="E1742" s="213" t="s">
        <v>334</v>
      </c>
      <c r="F1742" s="212" t="s">
        <v>6158</v>
      </c>
      <c r="G1742" s="212" t="str">
        <f t="shared" si="82"/>
        <v>401용역매출</v>
      </c>
      <c r="H1742" s="214">
        <v>0</v>
      </c>
      <c r="I1742" s="214">
        <v>200000</v>
      </c>
      <c r="J1742" s="214">
        <f t="shared" si="83"/>
        <v>200000</v>
      </c>
      <c r="K1742" s="212" t="s">
        <v>6400</v>
      </c>
      <c r="L1742" s="213"/>
      <c r="M1742" s="212" t="s">
        <v>6231</v>
      </c>
    </row>
    <row r="1743" spans="1:13" ht="21" customHeight="1">
      <c r="A1743" s="213" t="s">
        <v>6683</v>
      </c>
      <c r="B1743" s="215">
        <f t="shared" si="81"/>
        <v>45769</v>
      </c>
      <c r="C1743" s="213" t="s">
        <v>6218</v>
      </c>
      <c r="D1743" s="213" t="s">
        <v>4369</v>
      </c>
      <c r="E1743" s="213" t="s">
        <v>333</v>
      </c>
      <c r="F1743" s="212" t="s">
        <v>4365</v>
      </c>
      <c r="G1743" s="212" t="str">
        <f t="shared" si="82"/>
        <v>101현금</v>
      </c>
      <c r="H1743" s="214">
        <v>220000</v>
      </c>
      <c r="I1743" s="214">
        <v>0</v>
      </c>
      <c r="J1743" s="214">
        <f t="shared" si="83"/>
        <v>-220000</v>
      </c>
      <c r="K1743" s="212" t="s">
        <v>6400</v>
      </c>
      <c r="L1743" s="213"/>
      <c r="M1743" s="212" t="s">
        <v>6231</v>
      </c>
    </row>
    <row r="1744" spans="1:13" ht="21" customHeight="1">
      <c r="A1744" s="213" t="s">
        <v>6683</v>
      </c>
      <c r="B1744" s="215">
        <f t="shared" si="81"/>
        <v>45769</v>
      </c>
      <c r="C1744" s="213" t="s">
        <v>6238</v>
      </c>
      <c r="D1744" s="213" t="s">
        <v>4366</v>
      </c>
      <c r="E1744" s="213" t="s">
        <v>6176</v>
      </c>
      <c r="F1744" s="212" t="s">
        <v>6177</v>
      </c>
      <c r="G1744" s="212" t="str">
        <f t="shared" si="82"/>
        <v>255부가세예수금</v>
      </c>
      <c r="H1744" s="214">
        <v>0</v>
      </c>
      <c r="I1744" s="214">
        <v>20000</v>
      </c>
      <c r="J1744" s="214">
        <f t="shared" si="83"/>
        <v>20000</v>
      </c>
      <c r="K1744" s="212" t="s">
        <v>6399</v>
      </c>
      <c r="L1744" s="213"/>
      <c r="M1744" s="212" t="s">
        <v>6231</v>
      </c>
    </row>
    <row r="1745" spans="1:13" ht="21" customHeight="1">
      <c r="A1745" s="213" t="s">
        <v>6683</v>
      </c>
      <c r="B1745" s="215">
        <f t="shared" si="81"/>
        <v>45769</v>
      </c>
      <c r="C1745" s="213" t="s">
        <v>6238</v>
      </c>
      <c r="D1745" s="213" t="s">
        <v>4366</v>
      </c>
      <c r="E1745" s="213" t="s">
        <v>334</v>
      </c>
      <c r="F1745" s="212" t="s">
        <v>6158</v>
      </c>
      <c r="G1745" s="212" t="str">
        <f t="shared" si="82"/>
        <v>401용역매출</v>
      </c>
      <c r="H1745" s="214">
        <v>0</v>
      </c>
      <c r="I1745" s="214">
        <v>200000</v>
      </c>
      <c r="J1745" s="214">
        <f t="shared" si="83"/>
        <v>200000</v>
      </c>
      <c r="K1745" s="212" t="s">
        <v>6399</v>
      </c>
      <c r="L1745" s="213"/>
      <c r="M1745" s="212" t="s">
        <v>6231</v>
      </c>
    </row>
    <row r="1746" spans="1:13" ht="21" customHeight="1">
      <c r="A1746" s="213" t="s">
        <v>6683</v>
      </c>
      <c r="B1746" s="215">
        <f t="shared" si="81"/>
        <v>45769</v>
      </c>
      <c r="C1746" s="213" t="s">
        <v>6238</v>
      </c>
      <c r="D1746" s="213" t="s">
        <v>4369</v>
      </c>
      <c r="E1746" s="213" t="s">
        <v>333</v>
      </c>
      <c r="F1746" s="212" t="s">
        <v>4365</v>
      </c>
      <c r="G1746" s="212" t="str">
        <f t="shared" si="82"/>
        <v>101현금</v>
      </c>
      <c r="H1746" s="214">
        <v>220000</v>
      </c>
      <c r="I1746" s="214">
        <v>0</v>
      </c>
      <c r="J1746" s="214">
        <f t="shared" si="83"/>
        <v>-220000</v>
      </c>
      <c r="K1746" s="212" t="s">
        <v>6399</v>
      </c>
      <c r="L1746" s="213"/>
      <c r="M1746" s="212" t="s">
        <v>6231</v>
      </c>
    </row>
    <row r="1747" spans="1:13" ht="21" customHeight="1">
      <c r="A1747" s="213" t="s">
        <v>6683</v>
      </c>
      <c r="B1747" s="215">
        <f t="shared" si="81"/>
        <v>45769</v>
      </c>
      <c r="C1747" s="213" t="s">
        <v>6240</v>
      </c>
      <c r="D1747" s="213" t="s">
        <v>4366</v>
      </c>
      <c r="E1747" s="213" t="s">
        <v>6176</v>
      </c>
      <c r="F1747" s="212" t="s">
        <v>6177</v>
      </c>
      <c r="G1747" s="212" t="str">
        <f t="shared" si="82"/>
        <v>255부가세예수금</v>
      </c>
      <c r="H1747" s="214">
        <v>0</v>
      </c>
      <c r="I1747" s="214">
        <v>20000</v>
      </c>
      <c r="J1747" s="214">
        <f t="shared" si="83"/>
        <v>20000</v>
      </c>
      <c r="K1747" s="212" t="s">
        <v>6252</v>
      </c>
      <c r="L1747" s="213"/>
      <c r="M1747" s="212" t="s">
        <v>6231</v>
      </c>
    </row>
    <row r="1748" spans="1:13" ht="21" customHeight="1">
      <c r="A1748" s="213" t="s">
        <v>6683</v>
      </c>
      <c r="B1748" s="215">
        <f t="shared" si="81"/>
        <v>45769</v>
      </c>
      <c r="C1748" s="213" t="s">
        <v>6240</v>
      </c>
      <c r="D1748" s="213" t="s">
        <v>4366</v>
      </c>
      <c r="E1748" s="213" t="s">
        <v>334</v>
      </c>
      <c r="F1748" s="212" t="s">
        <v>6158</v>
      </c>
      <c r="G1748" s="212" t="str">
        <f t="shared" si="82"/>
        <v>401용역매출</v>
      </c>
      <c r="H1748" s="214">
        <v>0</v>
      </c>
      <c r="I1748" s="214">
        <v>200000</v>
      </c>
      <c r="J1748" s="214">
        <f t="shared" si="83"/>
        <v>200000</v>
      </c>
      <c r="K1748" s="212" t="s">
        <v>6252</v>
      </c>
      <c r="L1748" s="213"/>
      <c r="M1748" s="212" t="s">
        <v>6231</v>
      </c>
    </row>
    <row r="1749" spans="1:13" ht="21" customHeight="1">
      <c r="A1749" s="213" t="s">
        <v>6683</v>
      </c>
      <c r="B1749" s="215">
        <f t="shared" si="81"/>
        <v>45769</v>
      </c>
      <c r="C1749" s="213" t="s">
        <v>6240</v>
      </c>
      <c r="D1749" s="213" t="s">
        <v>4369</v>
      </c>
      <c r="E1749" s="213" t="s">
        <v>333</v>
      </c>
      <c r="F1749" s="212" t="s">
        <v>4365</v>
      </c>
      <c r="G1749" s="212" t="str">
        <f t="shared" si="82"/>
        <v>101현금</v>
      </c>
      <c r="H1749" s="214">
        <v>220000</v>
      </c>
      <c r="I1749" s="214">
        <v>0</v>
      </c>
      <c r="J1749" s="214">
        <f t="shared" si="83"/>
        <v>-220000</v>
      </c>
      <c r="K1749" s="212" t="s">
        <v>6252</v>
      </c>
      <c r="L1749" s="213"/>
      <c r="M1749" s="212" t="s">
        <v>6231</v>
      </c>
    </row>
    <row r="1750" spans="1:13" ht="21" customHeight="1">
      <c r="A1750" s="213" t="s">
        <v>6682</v>
      </c>
      <c r="B1750" s="215">
        <f t="shared" si="81"/>
        <v>45770</v>
      </c>
      <c r="C1750" s="213" t="s">
        <v>4373</v>
      </c>
      <c r="D1750" s="213" t="s">
        <v>4369</v>
      </c>
      <c r="E1750" s="213" t="s">
        <v>4499</v>
      </c>
      <c r="F1750" s="212" t="s">
        <v>6517</v>
      </c>
      <c r="G1750" s="212" t="str">
        <f t="shared" si="82"/>
        <v>811복리후생비(판)</v>
      </c>
      <c r="H1750" s="214">
        <v>16000</v>
      </c>
      <c r="I1750" s="214">
        <v>0</v>
      </c>
      <c r="J1750" s="214">
        <f t="shared" si="83"/>
        <v>-16000</v>
      </c>
      <c r="K1750" s="212" t="s">
        <v>6516</v>
      </c>
      <c r="L1750" s="213"/>
      <c r="M1750" s="212"/>
    </row>
    <row r="1751" spans="1:13" ht="21" customHeight="1">
      <c r="A1751" s="213" t="s">
        <v>6682</v>
      </c>
      <c r="B1751" s="215">
        <f t="shared" si="81"/>
        <v>45770</v>
      </c>
      <c r="C1751" s="213" t="s">
        <v>4373</v>
      </c>
      <c r="D1751" s="213" t="s">
        <v>4366</v>
      </c>
      <c r="E1751" s="213" t="s">
        <v>333</v>
      </c>
      <c r="F1751" s="212" t="s">
        <v>4365</v>
      </c>
      <c r="G1751" s="212" t="str">
        <f t="shared" si="82"/>
        <v>101현금</v>
      </c>
      <c r="H1751" s="214">
        <v>0</v>
      </c>
      <c r="I1751" s="214">
        <v>16000</v>
      </c>
      <c r="J1751" s="214">
        <f t="shared" si="83"/>
        <v>16000</v>
      </c>
      <c r="K1751" s="212" t="s">
        <v>6369</v>
      </c>
      <c r="L1751" s="213"/>
      <c r="M1751" s="212"/>
    </row>
    <row r="1752" spans="1:13" ht="21" customHeight="1">
      <c r="A1752" s="213" t="s">
        <v>6682</v>
      </c>
      <c r="B1752" s="215">
        <f t="shared" si="81"/>
        <v>45770</v>
      </c>
      <c r="C1752" s="213" t="s">
        <v>4382</v>
      </c>
      <c r="D1752" s="213" t="s">
        <v>4369</v>
      </c>
      <c r="E1752" s="213" t="s">
        <v>4500</v>
      </c>
      <c r="F1752" s="212" t="s">
        <v>6418</v>
      </c>
      <c r="G1752" s="212" t="str">
        <f t="shared" si="82"/>
        <v>822차량유지비(판)</v>
      </c>
      <c r="H1752" s="214">
        <v>50000</v>
      </c>
      <c r="I1752" s="214">
        <v>0</v>
      </c>
      <c r="J1752" s="214">
        <f t="shared" si="83"/>
        <v>-50000</v>
      </c>
      <c r="K1752" s="212" t="s">
        <v>6195</v>
      </c>
      <c r="L1752" s="213"/>
      <c r="M1752" s="212"/>
    </row>
    <row r="1753" spans="1:13" ht="21" customHeight="1">
      <c r="A1753" s="213" t="s">
        <v>6682</v>
      </c>
      <c r="B1753" s="215">
        <f t="shared" si="81"/>
        <v>45770</v>
      </c>
      <c r="C1753" s="213" t="s">
        <v>4382</v>
      </c>
      <c r="D1753" s="213" t="s">
        <v>4366</v>
      </c>
      <c r="E1753" s="213" t="s">
        <v>333</v>
      </c>
      <c r="F1753" s="212" t="s">
        <v>4365</v>
      </c>
      <c r="G1753" s="212" t="str">
        <f t="shared" si="82"/>
        <v>101현금</v>
      </c>
      <c r="H1753" s="214">
        <v>0</v>
      </c>
      <c r="I1753" s="214">
        <v>50000</v>
      </c>
      <c r="J1753" s="214">
        <f t="shared" si="83"/>
        <v>50000</v>
      </c>
      <c r="K1753" s="212" t="s">
        <v>6370</v>
      </c>
      <c r="L1753" s="213"/>
      <c r="M1753" s="212"/>
    </row>
    <row r="1754" spans="1:13" ht="21" customHeight="1">
      <c r="A1754" s="213" t="s">
        <v>6682</v>
      </c>
      <c r="B1754" s="215">
        <f t="shared" si="81"/>
        <v>45770</v>
      </c>
      <c r="C1754" s="213" t="s">
        <v>4381</v>
      </c>
      <c r="D1754" s="213" t="s">
        <v>4369</v>
      </c>
      <c r="E1754" s="213" t="s">
        <v>4500</v>
      </c>
      <c r="F1754" s="212" t="s">
        <v>6418</v>
      </c>
      <c r="G1754" s="212" t="str">
        <f t="shared" si="82"/>
        <v>822차량유지비(판)</v>
      </c>
      <c r="H1754" s="214">
        <v>5000</v>
      </c>
      <c r="I1754" s="214">
        <v>0</v>
      </c>
      <c r="J1754" s="214">
        <f t="shared" si="83"/>
        <v>-5000</v>
      </c>
      <c r="K1754" s="212" t="s">
        <v>6195</v>
      </c>
      <c r="L1754" s="213"/>
      <c r="M1754" s="212"/>
    </row>
    <row r="1755" spans="1:13" ht="21" customHeight="1">
      <c r="A1755" s="213" t="s">
        <v>6682</v>
      </c>
      <c r="B1755" s="215">
        <f t="shared" si="81"/>
        <v>45770</v>
      </c>
      <c r="C1755" s="213" t="s">
        <v>4381</v>
      </c>
      <c r="D1755" s="213" t="s">
        <v>4366</v>
      </c>
      <c r="E1755" s="213" t="s">
        <v>333</v>
      </c>
      <c r="F1755" s="212" t="s">
        <v>4365</v>
      </c>
      <c r="G1755" s="212" t="str">
        <f t="shared" si="82"/>
        <v>101현금</v>
      </c>
      <c r="H1755" s="214">
        <v>0</v>
      </c>
      <c r="I1755" s="214">
        <v>5000</v>
      </c>
      <c r="J1755" s="214">
        <f t="shared" si="83"/>
        <v>5000</v>
      </c>
      <c r="K1755" s="212" t="s">
        <v>6370</v>
      </c>
      <c r="L1755" s="213"/>
      <c r="M1755" s="212"/>
    </row>
    <row r="1756" spans="1:13" ht="21" customHeight="1">
      <c r="A1756" s="213" t="s">
        <v>6682</v>
      </c>
      <c r="B1756" s="215">
        <f t="shared" si="81"/>
        <v>45770</v>
      </c>
      <c r="C1756" s="213" t="s">
        <v>4379</v>
      </c>
      <c r="D1756" s="213" t="s">
        <v>4369</v>
      </c>
      <c r="E1756" s="213" t="s">
        <v>4499</v>
      </c>
      <c r="F1756" s="212" t="s">
        <v>6517</v>
      </c>
      <c r="G1756" s="212" t="str">
        <f t="shared" si="82"/>
        <v>811복리후생비(판)</v>
      </c>
      <c r="H1756" s="214">
        <v>34771</v>
      </c>
      <c r="I1756" s="214">
        <v>0</v>
      </c>
      <c r="J1756" s="214">
        <f t="shared" si="83"/>
        <v>-34771</v>
      </c>
      <c r="K1756" s="212" t="s">
        <v>6365</v>
      </c>
      <c r="L1756" s="213"/>
      <c r="M1756" s="212"/>
    </row>
    <row r="1757" spans="1:13" ht="21" customHeight="1">
      <c r="A1757" s="213" t="s">
        <v>6682</v>
      </c>
      <c r="B1757" s="215">
        <f t="shared" si="81"/>
        <v>45770</v>
      </c>
      <c r="C1757" s="213" t="s">
        <v>4379</v>
      </c>
      <c r="D1757" s="213" t="s">
        <v>4366</v>
      </c>
      <c r="E1757" s="213" t="s">
        <v>333</v>
      </c>
      <c r="F1757" s="212" t="s">
        <v>4365</v>
      </c>
      <c r="G1757" s="212" t="str">
        <f t="shared" si="82"/>
        <v>101현금</v>
      </c>
      <c r="H1757" s="214">
        <v>0</v>
      </c>
      <c r="I1757" s="214">
        <v>34771</v>
      </c>
      <c r="J1757" s="214">
        <f t="shared" si="83"/>
        <v>34771</v>
      </c>
      <c r="K1757" s="212" t="s">
        <v>6365</v>
      </c>
      <c r="L1757" s="213"/>
      <c r="M1757" s="212"/>
    </row>
    <row r="1758" spans="1:13" ht="21" customHeight="1">
      <c r="A1758" s="213" t="s">
        <v>6682</v>
      </c>
      <c r="B1758" s="215">
        <f t="shared" si="81"/>
        <v>45770</v>
      </c>
      <c r="C1758" s="213" t="s">
        <v>4367</v>
      </c>
      <c r="D1758" s="213" t="s">
        <v>4366</v>
      </c>
      <c r="E1758" s="213" t="s">
        <v>6176</v>
      </c>
      <c r="F1758" s="212" t="s">
        <v>6177</v>
      </c>
      <c r="G1758" s="212" t="str">
        <f t="shared" si="82"/>
        <v>255부가세예수금</v>
      </c>
      <c r="H1758" s="214">
        <v>0</v>
      </c>
      <c r="I1758" s="214">
        <v>7000</v>
      </c>
      <c r="J1758" s="214">
        <f t="shared" si="83"/>
        <v>7000</v>
      </c>
      <c r="K1758" s="212" t="s">
        <v>6247</v>
      </c>
      <c r="L1758" s="213"/>
      <c r="M1758" s="212" t="s">
        <v>6287</v>
      </c>
    </row>
    <row r="1759" spans="1:13" ht="21" customHeight="1">
      <c r="A1759" s="213" t="s">
        <v>6682</v>
      </c>
      <c r="B1759" s="215">
        <f t="shared" si="81"/>
        <v>45770</v>
      </c>
      <c r="C1759" s="213" t="s">
        <v>4367</v>
      </c>
      <c r="D1759" s="213" t="s">
        <v>4366</v>
      </c>
      <c r="E1759" s="213" t="s">
        <v>334</v>
      </c>
      <c r="F1759" s="212" t="s">
        <v>6158</v>
      </c>
      <c r="G1759" s="212" t="str">
        <f t="shared" si="82"/>
        <v>401용역매출</v>
      </c>
      <c r="H1759" s="214">
        <v>0</v>
      </c>
      <c r="I1759" s="214">
        <v>70000</v>
      </c>
      <c r="J1759" s="214">
        <f t="shared" si="83"/>
        <v>70000</v>
      </c>
      <c r="K1759" s="212" t="s">
        <v>6247</v>
      </c>
      <c r="L1759" s="213"/>
      <c r="M1759" s="212" t="s">
        <v>6287</v>
      </c>
    </row>
    <row r="1760" spans="1:13" ht="21" customHeight="1">
      <c r="A1760" s="213" t="s">
        <v>6682</v>
      </c>
      <c r="B1760" s="215">
        <f t="shared" si="81"/>
        <v>45770</v>
      </c>
      <c r="C1760" s="213" t="s">
        <v>4367</v>
      </c>
      <c r="D1760" s="213" t="s">
        <v>4369</v>
      </c>
      <c r="E1760" s="213" t="s">
        <v>333</v>
      </c>
      <c r="F1760" s="212" t="s">
        <v>4365</v>
      </c>
      <c r="G1760" s="212" t="str">
        <f t="shared" si="82"/>
        <v>101현금</v>
      </c>
      <c r="H1760" s="214">
        <v>77000</v>
      </c>
      <c r="I1760" s="214">
        <v>0</v>
      </c>
      <c r="J1760" s="214">
        <f t="shared" si="83"/>
        <v>-77000</v>
      </c>
      <c r="K1760" s="212" t="s">
        <v>6247</v>
      </c>
      <c r="L1760" s="213"/>
      <c r="M1760" s="212" t="s">
        <v>6287</v>
      </c>
    </row>
    <row r="1761" spans="1:13" ht="21" customHeight="1">
      <c r="A1761" s="213" t="s">
        <v>6682</v>
      </c>
      <c r="B1761" s="215">
        <f t="shared" si="81"/>
        <v>45770</v>
      </c>
      <c r="C1761" s="213" t="s">
        <v>4374</v>
      </c>
      <c r="D1761" s="213" t="s">
        <v>4366</v>
      </c>
      <c r="E1761" s="213" t="s">
        <v>6176</v>
      </c>
      <c r="F1761" s="212" t="s">
        <v>6177</v>
      </c>
      <c r="G1761" s="212" t="str">
        <f t="shared" si="82"/>
        <v>255부가세예수금</v>
      </c>
      <c r="H1761" s="214">
        <v>0</v>
      </c>
      <c r="I1761" s="214">
        <v>20000</v>
      </c>
      <c r="J1761" s="214">
        <f t="shared" si="83"/>
        <v>20000</v>
      </c>
      <c r="K1761" s="212" t="s">
        <v>6355</v>
      </c>
      <c r="L1761" s="213"/>
      <c r="M1761" s="212" t="s">
        <v>6231</v>
      </c>
    </row>
    <row r="1762" spans="1:13" ht="21" customHeight="1">
      <c r="A1762" s="213" t="s">
        <v>6682</v>
      </c>
      <c r="B1762" s="215">
        <f t="shared" si="81"/>
        <v>45770</v>
      </c>
      <c r="C1762" s="213" t="s">
        <v>4374</v>
      </c>
      <c r="D1762" s="213" t="s">
        <v>4366</v>
      </c>
      <c r="E1762" s="213" t="s">
        <v>334</v>
      </c>
      <c r="F1762" s="212" t="s">
        <v>6158</v>
      </c>
      <c r="G1762" s="212" t="str">
        <f t="shared" si="82"/>
        <v>401용역매출</v>
      </c>
      <c r="H1762" s="214">
        <v>0</v>
      </c>
      <c r="I1762" s="214">
        <v>200000</v>
      </c>
      <c r="J1762" s="214">
        <f t="shared" si="83"/>
        <v>200000</v>
      </c>
      <c r="K1762" s="212" t="s">
        <v>6355</v>
      </c>
      <c r="L1762" s="213"/>
      <c r="M1762" s="212" t="s">
        <v>6231</v>
      </c>
    </row>
    <row r="1763" spans="1:13" ht="21" customHeight="1">
      <c r="A1763" s="213" t="s">
        <v>6682</v>
      </c>
      <c r="B1763" s="215">
        <f t="shared" si="81"/>
        <v>45770</v>
      </c>
      <c r="C1763" s="213" t="s">
        <v>4374</v>
      </c>
      <c r="D1763" s="213" t="s">
        <v>4369</v>
      </c>
      <c r="E1763" s="213" t="s">
        <v>333</v>
      </c>
      <c r="F1763" s="212" t="s">
        <v>4365</v>
      </c>
      <c r="G1763" s="212" t="str">
        <f t="shared" si="82"/>
        <v>101현금</v>
      </c>
      <c r="H1763" s="214">
        <v>220000</v>
      </c>
      <c r="I1763" s="214">
        <v>0</v>
      </c>
      <c r="J1763" s="214">
        <f t="shared" si="83"/>
        <v>-220000</v>
      </c>
      <c r="K1763" s="212" t="s">
        <v>6355</v>
      </c>
      <c r="L1763" s="213"/>
      <c r="M1763" s="212" t="s">
        <v>6231</v>
      </c>
    </row>
    <row r="1764" spans="1:13" ht="21" customHeight="1">
      <c r="A1764" s="213" t="s">
        <v>6682</v>
      </c>
      <c r="B1764" s="215">
        <f t="shared" si="81"/>
        <v>45770</v>
      </c>
      <c r="C1764" s="213" t="s">
        <v>6182</v>
      </c>
      <c r="D1764" s="213" t="s">
        <v>4366</v>
      </c>
      <c r="E1764" s="213" t="s">
        <v>6176</v>
      </c>
      <c r="F1764" s="212" t="s">
        <v>6177</v>
      </c>
      <c r="G1764" s="212" t="str">
        <f t="shared" si="82"/>
        <v>255부가세예수금</v>
      </c>
      <c r="H1764" s="214">
        <v>0</v>
      </c>
      <c r="I1764" s="214">
        <v>10000</v>
      </c>
      <c r="J1764" s="214">
        <f t="shared" si="83"/>
        <v>10000</v>
      </c>
      <c r="K1764" s="212" t="s">
        <v>6209</v>
      </c>
      <c r="L1764" s="213"/>
      <c r="M1764" s="212" t="s">
        <v>6185</v>
      </c>
    </row>
    <row r="1765" spans="1:13" ht="21" customHeight="1">
      <c r="A1765" s="213" t="s">
        <v>6682</v>
      </c>
      <c r="B1765" s="215">
        <f t="shared" si="81"/>
        <v>45770</v>
      </c>
      <c r="C1765" s="213" t="s">
        <v>6182</v>
      </c>
      <c r="D1765" s="213" t="s">
        <v>4366</v>
      </c>
      <c r="E1765" s="213" t="s">
        <v>334</v>
      </c>
      <c r="F1765" s="212" t="s">
        <v>6158</v>
      </c>
      <c r="G1765" s="212" t="str">
        <f t="shared" si="82"/>
        <v>401용역매출</v>
      </c>
      <c r="H1765" s="214">
        <v>0</v>
      </c>
      <c r="I1765" s="214">
        <v>100000</v>
      </c>
      <c r="J1765" s="214">
        <f t="shared" si="83"/>
        <v>100000</v>
      </c>
      <c r="K1765" s="212" t="s">
        <v>6209</v>
      </c>
      <c r="L1765" s="213"/>
      <c r="M1765" s="212" t="s">
        <v>6185</v>
      </c>
    </row>
    <row r="1766" spans="1:13" ht="21" customHeight="1">
      <c r="A1766" s="213" t="s">
        <v>6682</v>
      </c>
      <c r="B1766" s="215">
        <f t="shared" si="81"/>
        <v>45770</v>
      </c>
      <c r="C1766" s="213" t="s">
        <v>6182</v>
      </c>
      <c r="D1766" s="213" t="s">
        <v>4369</v>
      </c>
      <c r="E1766" s="213" t="s">
        <v>333</v>
      </c>
      <c r="F1766" s="212" t="s">
        <v>4365</v>
      </c>
      <c r="G1766" s="212" t="str">
        <f t="shared" si="82"/>
        <v>101현금</v>
      </c>
      <c r="H1766" s="214">
        <v>110000</v>
      </c>
      <c r="I1766" s="214">
        <v>0</v>
      </c>
      <c r="J1766" s="214">
        <f t="shared" si="83"/>
        <v>-110000</v>
      </c>
      <c r="K1766" s="212" t="s">
        <v>6209</v>
      </c>
      <c r="L1766" s="213"/>
      <c r="M1766" s="212" t="s">
        <v>6185</v>
      </c>
    </row>
    <row r="1767" spans="1:13" ht="21" customHeight="1">
      <c r="A1767" s="213" t="s">
        <v>6682</v>
      </c>
      <c r="B1767" s="215">
        <f t="shared" si="81"/>
        <v>45770</v>
      </c>
      <c r="C1767" s="213" t="s">
        <v>6184</v>
      </c>
      <c r="D1767" s="213" t="s">
        <v>4366</v>
      </c>
      <c r="E1767" s="213" t="s">
        <v>6176</v>
      </c>
      <c r="F1767" s="212" t="s">
        <v>6177</v>
      </c>
      <c r="G1767" s="212" t="str">
        <f t="shared" si="82"/>
        <v>255부가세예수금</v>
      </c>
      <c r="H1767" s="214">
        <v>0</v>
      </c>
      <c r="I1767" s="214">
        <v>10000</v>
      </c>
      <c r="J1767" s="214">
        <f t="shared" si="83"/>
        <v>10000</v>
      </c>
      <c r="K1767" s="212" t="s">
        <v>6210</v>
      </c>
      <c r="L1767" s="213"/>
      <c r="M1767" s="212" t="s">
        <v>6185</v>
      </c>
    </row>
    <row r="1768" spans="1:13" ht="21" customHeight="1">
      <c r="A1768" s="213" t="s">
        <v>6682</v>
      </c>
      <c r="B1768" s="215">
        <f t="shared" si="81"/>
        <v>45770</v>
      </c>
      <c r="C1768" s="213" t="s">
        <v>6184</v>
      </c>
      <c r="D1768" s="213" t="s">
        <v>4366</v>
      </c>
      <c r="E1768" s="213" t="s">
        <v>334</v>
      </c>
      <c r="F1768" s="212" t="s">
        <v>6158</v>
      </c>
      <c r="G1768" s="212" t="str">
        <f t="shared" si="82"/>
        <v>401용역매출</v>
      </c>
      <c r="H1768" s="214">
        <v>0</v>
      </c>
      <c r="I1768" s="214">
        <v>100000</v>
      </c>
      <c r="J1768" s="214">
        <f t="shared" si="83"/>
        <v>100000</v>
      </c>
      <c r="K1768" s="212" t="s">
        <v>6210</v>
      </c>
      <c r="L1768" s="213"/>
      <c r="M1768" s="212" t="s">
        <v>6185</v>
      </c>
    </row>
    <row r="1769" spans="1:13" ht="21" customHeight="1">
      <c r="A1769" s="213" t="s">
        <v>6682</v>
      </c>
      <c r="B1769" s="215">
        <f t="shared" si="81"/>
        <v>45770</v>
      </c>
      <c r="C1769" s="213" t="s">
        <v>6184</v>
      </c>
      <c r="D1769" s="213" t="s">
        <v>4369</v>
      </c>
      <c r="E1769" s="213" t="s">
        <v>333</v>
      </c>
      <c r="F1769" s="212" t="s">
        <v>4365</v>
      </c>
      <c r="G1769" s="212" t="str">
        <f t="shared" si="82"/>
        <v>101현금</v>
      </c>
      <c r="H1769" s="214">
        <v>110000</v>
      </c>
      <c r="I1769" s="214">
        <v>0</v>
      </c>
      <c r="J1769" s="214">
        <f t="shared" si="83"/>
        <v>-110000</v>
      </c>
      <c r="K1769" s="212" t="s">
        <v>6210</v>
      </c>
      <c r="L1769" s="213"/>
      <c r="M1769" s="212" t="s">
        <v>6185</v>
      </c>
    </row>
    <row r="1770" spans="1:13" ht="21" customHeight="1">
      <c r="A1770" s="213" t="s">
        <v>6682</v>
      </c>
      <c r="B1770" s="215">
        <f t="shared" si="81"/>
        <v>45770</v>
      </c>
      <c r="C1770" s="213" t="s">
        <v>6186</v>
      </c>
      <c r="D1770" s="213" t="s">
        <v>4366</v>
      </c>
      <c r="E1770" s="213" t="s">
        <v>6176</v>
      </c>
      <c r="F1770" s="212" t="s">
        <v>6177</v>
      </c>
      <c r="G1770" s="212" t="str">
        <f t="shared" si="82"/>
        <v>255부가세예수금</v>
      </c>
      <c r="H1770" s="214">
        <v>0</v>
      </c>
      <c r="I1770" s="214">
        <v>15000</v>
      </c>
      <c r="J1770" s="214">
        <f t="shared" si="83"/>
        <v>15000</v>
      </c>
      <c r="K1770" s="212" t="s">
        <v>6211</v>
      </c>
      <c r="L1770" s="213"/>
      <c r="M1770" s="212" t="s">
        <v>6179</v>
      </c>
    </row>
    <row r="1771" spans="1:13" ht="21" customHeight="1">
      <c r="A1771" s="213" t="s">
        <v>6682</v>
      </c>
      <c r="B1771" s="215">
        <f t="shared" si="81"/>
        <v>45770</v>
      </c>
      <c r="C1771" s="213" t="s">
        <v>6186</v>
      </c>
      <c r="D1771" s="213" t="s">
        <v>4366</v>
      </c>
      <c r="E1771" s="213" t="s">
        <v>334</v>
      </c>
      <c r="F1771" s="212" t="s">
        <v>6158</v>
      </c>
      <c r="G1771" s="212" t="str">
        <f t="shared" si="82"/>
        <v>401용역매출</v>
      </c>
      <c r="H1771" s="214">
        <v>0</v>
      </c>
      <c r="I1771" s="214">
        <v>150000</v>
      </c>
      <c r="J1771" s="214">
        <f t="shared" si="83"/>
        <v>150000</v>
      </c>
      <c r="K1771" s="212" t="s">
        <v>6211</v>
      </c>
      <c r="L1771" s="213"/>
      <c r="M1771" s="212" t="s">
        <v>6179</v>
      </c>
    </row>
    <row r="1772" spans="1:13" ht="21" customHeight="1">
      <c r="A1772" s="213" t="s">
        <v>6682</v>
      </c>
      <c r="B1772" s="215">
        <f t="shared" si="81"/>
        <v>45770</v>
      </c>
      <c r="C1772" s="213" t="s">
        <v>6186</v>
      </c>
      <c r="D1772" s="213" t="s">
        <v>4369</v>
      </c>
      <c r="E1772" s="213" t="s">
        <v>333</v>
      </c>
      <c r="F1772" s="212" t="s">
        <v>4365</v>
      </c>
      <c r="G1772" s="212" t="str">
        <f t="shared" si="82"/>
        <v>101현금</v>
      </c>
      <c r="H1772" s="214">
        <v>165000</v>
      </c>
      <c r="I1772" s="214">
        <v>0</v>
      </c>
      <c r="J1772" s="214">
        <f t="shared" si="83"/>
        <v>-165000</v>
      </c>
      <c r="K1772" s="212" t="s">
        <v>6211</v>
      </c>
      <c r="L1772" s="213"/>
      <c r="M1772" s="212" t="s">
        <v>6179</v>
      </c>
    </row>
    <row r="1773" spans="1:13" ht="21" customHeight="1">
      <c r="A1773" s="213" t="s">
        <v>6679</v>
      </c>
      <c r="B1773" s="215">
        <f t="shared" si="81"/>
        <v>45771</v>
      </c>
      <c r="C1773" s="213" t="s">
        <v>4373</v>
      </c>
      <c r="D1773" s="213" t="s">
        <v>4369</v>
      </c>
      <c r="E1773" s="213" t="s">
        <v>4499</v>
      </c>
      <c r="F1773" s="212" t="s">
        <v>6517</v>
      </c>
      <c r="G1773" s="212" t="str">
        <f t="shared" si="82"/>
        <v>811복리후생비(판)</v>
      </c>
      <c r="H1773" s="214">
        <v>21000</v>
      </c>
      <c r="I1773" s="214">
        <v>0</v>
      </c>
      <c r="J1773" s="214">
        <f t="shared" si="83"/>
        <v>-21000</v>
      </c>
      <c r="K1773" s="212" t="s">
        <v>6675</v>
      </c>
      <c r="L1773" s="213"/>
      <c r="M1773" s="212"/>
    </row>
    <row r="1774" spans="1:13" ht="21" customHeight="1">
      <c r="A1774" s="213" t="s">
        <v>6679</v>
      </c>
      <c r="B1774" s="215">
        <f t="shared" si="81"/>
        <v>45771</v>
      </c>
      <c r="C1774" s="213" t="s">
        <v>4373</v>
      </c>
      <c r="D1774" s="213" t="s">
        <v>4366</v>
      </c>
      <c r="E1774" s="213" t="s">
        <v>333</v>
      </c>
      <c r="F1774" s="212" t="s">
        <v>4365</v>
      </c>
      <c r="G1774" s="212" t="str">
        <f t="shared" si="82"/>
        <v>101현금</v>
      </c>
      <c r="H1774" s="214">
        <v>0</v>
      </c>
      <c r="I1774" s="214">
        <v>21000</v>
      </c>
      <c r="J1774" s="214">
        <f t="shared" si="83"/>
        <v>21000</v>
      </c>
      <c r="K1774" s="212" t="s">
        <v>6369</v>
      </c>
      <c r="L1774" s="213"/>
      <c r="M1774" s="212"/>
    </row>
    <row r="1775" spans="1:13" ht="21" customHeight="1">
      <c r="A1775" s="213" t="s">
        <v>6679</v>
      </c>
      <c r="B1775" s="215">
        <f t="shared" si="81"/>
        <v>45771</v>
      </c>
      <c r="C1775" s="213" t="s">
        <v>4382</v>
      </c>
      <c r="D1775" s="213" t="s">
        <v>4369</v>
      </c>
      <c r="E1775" s="213" t="s">
        <v>4380</v>
      </c>
      <c r="F1775" s="212" t="s">
        <v>6515</v>
      </c>
      <c r="G1775" s="212" t="str">
        <f t="shared" si="82"/>
        <v>812여비교통비(판)</v>
      </c>
      <c r="H1775" s="214">
        <v>2700</v>
      </c>
      <c r="I1775" s="214">
        <v>0</v>
      </c>
      <c r="J1775" s="214">
        <f t="shared" si="83"/>
        <v>-2700</v>
      </c>
      <c r="K1775" s="212" t="s">
        <v>6681</v>
      </c>
      <c r="L1775" s="213"/>
      <c r="M1775" s="212"/>
    </row>
    <row r="1776" spans="1:13" ht="21" customHeight="1">
      <c r="A1776" s="213" t="s">
        <v>6679</v>
      </c>
      <c r="B1776" s="215">
        <f t="shared" si="81"/>
        <v>45771</v>
      </c>
      <c r="C1776" s="213" t="s">
        <v>4382</v>
      </c>
      <c r="D1776" s="213" t="s">
        <v>4366</v>
      </c>
      <c r="E1776" s="213" t="s">
        <v>333</v>
      </c>
      <c r="F1776" s="212" t="s">
        <v>4365</v>
      </c>
      <c r="G1776" s="212" t="str">
        <f t="shared" si="82"/>
        <v>101현금</v>
      </c>
      <c r="H1776" s="214">
        <v>0</v>
      </c>
      <c r="I1776" s="214">
        <v>2700</v>
      </c>
      <c r="J1776" s="214">
        <f t="shared" si="83"/>
        <v>2700</v>
      </c>
      <c r="K1776" s="212" t="s">
        <v>6369</v>
      </c>
      <c r="L1776" s="213"/>
      <c r="M1776" s="212"/>
    </row>
    <row r="1777" spans="1:13" ht="21" customHeight="1">
      <c r="A1777" s="213" t="s">
        <v>6679</v>
      </c>
      <c r="B1777" s="215">
        <f t="shared" si="81"/>
        <v>45771</v>
      </c>
      <c r="C1777" s="213" t="s">
        <v>4381</v>
      </c>
      <c r="D1777" s="213" t="s">
        <v>4369</v>
      </c>
      <c r="E1777" s="213" t="s">
        <v>4380</v>
      </c>
      <c r="F1777" s="212" t="s">
        <v>6515</v>
      </c>
      <c r="G1777" s="212" t="str">
        <f t="shared" si="82"/>
        <v>812여비교통비(판)</v>
      </c>
      <c r="H1777" s="214">
        <v>8200</v>
      </c>
      <c r="I1777" s="214">
        <v>0</v>
      </c>
      <c r="J1777" s="214">
        <f t="shared" si="83"/>
        <v>-8200</v>
      </c>
      <c r="K1777" s="212" t="s">
        <v>6681</v>
      </c>
      <c r="L1777" s="213"/>
      <c r="M1777" s="212"/>
    </row>
    <row r="1778" spans="1:13" ht="21" customHeight="1">
      <c r="A1778" s="213" t="s">
        <v>6679</v>
      </c>
      <c r="B1778" s="215">
        <f t="shared" si="81"/>
        <v>45771</v>
      </c>
      <c r="C1778" s="213" t="s">
        <v>4381</v>
      </c>
      <c r="D1778" s="213" t="s">
        <v>4366</v>
      </c>
      <c r="E1778" s="213" t="s">
        <v>333</v>
      </c>
      <c r="F1778" s="212" t="s">
        <v>4365</v>
      </c>
      <c r="G1778" s="212" t="str">
        <f t="shared" si="82"/>
        <v>101현금</v>
      </c>
      <c r="H1778" s="214">
        <v>0</v>
      </c>
      <c r="I1778" s="214">
        <v>8200</v>
      </c>
      <c r="J1778" s="214">
        <f t="shared" si="83"/>
        <v>8200</v>
      </c>
      <c r="K1778" s="212" t="s">
        <v>6369</v>
      </c>
      <c r="L1778" s="213"/>
      <c r="M1778" s="212"/>
    </row>
    <row r="1779" spans="1:13" ht="21" customHeight="1">
      <c r="A1779" s="213" t="s">
        <v>6679</v>
      </c>
      <c r="B1779" s="215">
        <f t="shared" si="81"/>
        <v>45771</v>
      </c>
      <c r="C1779" s="213" t="s">
        <v>4379</v>
      </c>
      <c r="D1779" s="213" t="s">
        <v>4366</v>
      </c>
      <c r="E1779" s="213" t="s">
        <v>333</v>
      </c>
      <c r="F1779" s="212" t="s">
        <v>4365</v>
      </c>
      <c r="G1779" s="212" t="str">
        <f t="shared" si="82"/>
        <v>101현금</v>
      </c>
      <c r="H1779" s="214">
        <v>0</v>
      </c>
      <c r="I1779" s="214">
        <v>1200</v>
      </c>
      <c r="J1779" s="214">
        <f t="shared" si="83"/>
        <v>1200</v>
      </c>
      <c r="K1779" s="212" t="s">
        <v>6369</v>
      </c>
      <c r="L1779" s="213"/>
      <c r="M1779" s="212"/>
    </row>
    <row r="1780" spans="1:13" ht="21" customHeight="1">
      <c r="A1780" s="213" t="s">
        <v>6679</v>
      </c>
      <c r="B1780" s="215">
        <f t="shared" si="81"/>
        <v>45771</v>
      </c>
      <c r="C1780" s="213" t="s">
        <v>4379</v>
      </c>
      <c r="D1780" s="213" t="s">
        <v>4369</v>
      </c>
      <c r="E1780" s="213" t="s">
        <v>4380</v>
      </c>
      <c r="F1780" s="212" t="s">
        <v>6515</v>
      </c>
      <c r="G1780" s="212" t="str">
        <f t="shared" si="82"/>
        <v>812여비교통비(판)</v>
      </c>
      <c r="H1780" s="214">
        <v>1200</v>
      </c>
      <c r="I1780" s="214">
        <v>0</v>
      </c>
      <c r="J1780" s="214">
        <f t="shared" si="83"/>
        <v>-1200</v>
      </c>
      <c r="K1780" s="212" t="s">
        <v>6292</v>
      </c>
      <c r="L1780" s="213"/>
      <c r="M1780" s="212"/>
    </row>
    <row r="1781" spans="1:13" ht="21" customHeight="1">
      <c r="A1781" s="213" t="s">
        <v>6679</v>
      </c>
      <c r="B1781" s="215">
        <f t="shared" si="81"/>
        <v>45771</v>
      </c>
      <c r="C1781" s="213" t="s">
        <v>4385</v>
      </c>
      <c r="D1781" s="213" t="s">
        <v>4369</v>
      </c>
      <c r="E1781" s="213" t="s">
        <v>4380</v>
      </c>
      <c r="F1781" s="212" t="s">
        <v>6515</v>
      </c>
      <c r="G1781" s="212" t="str">
        <f t="shared" si="82"/>
        <v>812여비교통비(판)</v>
      </c>
      <c r="H1781" s="214">
        <v>105653</v>
      </c>
      <c r="I1781" s="214">
        <v>0</v>
      </c>
      <c r="J1781" s="214">
        <f t="shared" si="83"/>
        <v>-105653</v>
      </c>
      <c r="K1781" s="212" t="s">
        <v>6680</v>
      </c>
      <c r="L1781" s="213"/>
      <c r="M1781" s="212"/>
    </row>
    <row r="1782" spans="1:13" ht="21" customHeight="1">
      <c r="A1782" s="213" t="s">
        <v>6679</v>
      </c>
      <c r="B1782" s="215">
        <f t="shared" si="81"/>
        <v>45771</v>
      </c>
      <c r="C1782" s="213" t="s">
        <v>4385</v>
      </c>
      <c r="D1782" s="213" t="s">
        <v>4366</v>
      </c>
      <c r="E1782" s="213" t="s">
        <v>333</v>
      </c>
      <c r="F1782" s="212" t="s">
        <v>4365</v>
      </c>
      <c r="G1782" s="212" t="str">
        <f t="shared" si="82"/>
        <v>101현금</v>
      </c>
      <c r="H1782" s="214">
        <v>0</v>
      </c>
      <c r="I1782" s="214">
        <v>105653</v>
      </c>
      <c r="J1782" s="214">
        <f t="shared" si="83"/>
        <v>105653</v>
      </c>
      <c r="K1782" s="212" t="s">
        <v>6680</v>
      </c>
      <c r="L1782" s="213"/>
      <c r="M1782" s="212"/>
    </row>
    <row r="1783" spans="1:13" ht="21" customHeight="1">
      <c r="A1783" s="213" t="s">
        <v>6679</v>
      </c>
      <c r="B1783" s="215">
        <f t="shared" si="81"/>
        <v>45771</v>
      </c>
      <c r="C1783" s="213" t="s">
        <v>4367</v>
      </c>
      <c r="D1783" s="213" t="s">
        <v>4366</v>
      </c>
      <c r="E1783" s="213" t="s">
        <v>6176</v>
      </c>
      <c r="F1783" s="212" t="s">
        <v>6177</v>
      </c>
      <c r="G1783" s="212" t="str">
        <f t="shared" si="82"/>
        <v>255부가세예수금</v>
      </c>
      <c r="H1783" s="214">
        <v>0</v>
      </c>
      <c r="I1783" s="214">
        <v>10000</v>
      </c>
      <c r="J1783" s="214">
        <f t="shared" si="83"/>
        <v>10000</v>
      </c>
      <c r="K1783" s="212" t="s">
        <v>6245</v>
      </c>
      <c r="L1783" s="213"/>
      <c r="M1783" s="212" t="s">
        <v>6185</v>
      </c>
    </row>
    <row r="1784" spans="1:13" ht="21" customHeight="1">
      <c r="A1784" s="213" t="s">
        <v>6679</v>
      </c>
      <c r="B1784" s="215">
        <f t="shared" si="81"/>
        <v>45771</v>
      </c>
      <c r="C1784" s="213" t="s">
        <v>4367</v>
      </c>
      <c r="D1784" s="213" t="s">
        <v>4366</v>
      </c>
      <c r="E1784" s="213" t="s">
        <v>334</v>
      </c>
      <c r="F1784" s="212" t="s">
        <v>6158</v>
      </c>
      <c r="G1784" s="212" t="str">
        <f t="shared" si="82"/>
        <v>401용역매출</v>
      </c>
      <c r="H1784" s="214">
        <v>0</v>
      </c>
      <c r="I1784" s="214">
        <v>100000</v>
      </c>
      <c r="J1784" s="214">
        <f t="shared" si="83"/>
        <v>100000</v>
      </c>
      <c r="K1784" s="212" t="s">
        <v>6245</v>
      </c>
      <c r="L1784" s="213"/>
      <c r="M1784" s="212" t="s">
        <v>6185</v>
      </c>
    </row>
    <row r="1785" spans="1:13" ht="21" customHeight="1">
      <c r="A1785" s="213" t="s">
        <v>6679</v>
      </c>
      <c r="B1785" s="215">
        <f t="shared" si="81"/>
        <v>45771</v>
      </c>
      <c r="C1785" s="213" t="s">
        <v>4367</v>
      </c>
      <c r="D1785" s="213" t="s">
        <v>4369</v>
      </c>
      <c r="E1785" s="213" t="s">
        <v>333</v>
      </c>
      <c r="F1785" s="212" t="s">
        <v>4365</v>
      </c>
      <c r="G1785" s="212" t="str">
        <f t="shared" si="82"/>
        <v>101현금</v>
      </c>
      <c r="H1785" s="214">
        <v>110000</v>
      </c>
      <c r="I1785" s="214">
        <v>0</v>
      </c>
      <c r="J1785" s="214">
        <f t="shared" si="83"/>
        <v>-110000</v>
      </c>
      <c r="K1785" s="212" t="s">
        <v>6245</v>
      </c>
      <c r="L1785" s="213"/>
      <c r="M1785" s="212" t="s">
        <v>6185</v>
      </c>
    </row>
    <row r="1786" spans="1:13" ht="21" customHeight="1">
      <c r="A1786" s="213" t="s">
        <v>6677</v>
      </c>
      <c r="B1786" s="215">
        <f t="shared" si="81"/>
        <v>45772</v>
      </c>
      <c r="C1786" s="213" t="s">
        <v>4373</v>
      </c>
      <c r="D1786" s="213" t="s">
        <v>4369</v>
      </c>
      <c r="E1786" s="213" t="s">
        <v>4499</v>
      </c>
      <c r="F1786" s="212" t="s">
        <v>6517</v>
      </c>
      <c r="G1786" s="212" t="str">
        <f t="shared" si="82"/>
        <v>811복리후생비(판)</v>
      </c>
      <c r="H1786" s="214">
        <v>14033</v>
      </c>
      <c r="I1786" s="214">
        <v>0</v>
      </c>
      <c r="J1786" s="214">
        <f t="shared" si="83"/>
        <v>-14033</v>
      </c>
      <c r="K1786" s="212" t="s">
        <v>6678</v>
      </c>
      <c r="L1786" s="213"/>
      <c r="M1786" s="212"/>
    </row>
    <row r="1787" spans="1:13" ht="21" customHeight="1">
      <c r="A1787" s="213" t="s">
        <v>6677</v>
      </c>
      <c r="B1787" s="215">
        <f t="shared" si="81"/>
        <v>45772</v>
      </c>
      <c r="C1787" s="213" t="s">
        <v>4373</v>
      </c>
      <c r="D1787" s="213" t="s">
        <v>4366</v>
      </c>
      <c r="E1787" s="213" t="s">
        <v>333</v>
      </c>
      <c r="F1787" s="212" t="s">
        <v>4365</v>
      </c>
      <c r="G1787" s="212" t="str">
        <f t="shared" si="82"/>
        <v>101현금</v>
      </c>
      <c r="H1787" s="214">
        <v>0</v>
      </c>
      <c r="I1787" s="214">
        <v>14033</v>
      </c>
      <c r="J1787" s="214">
        <f t="shared" si="83"/>
        <v>14033</v>
      </c>
      <c r="K1787" s="212" t="s">
        <v>6678</v>
      </c>
      <c r="L1787" s="213"/>
      <c r="M1787" s="212"/>
    </row>
    <row r="1788" spans="1:13" ht="21" customHeight="1">
      <c r="A1788" s="213" t="s">
        <v>6677</v>
      </c>
      <c r="B1788" s="215">
        <f t="shared" si="81"/>
        <v>45772</v>
      </c>
      <c r="C1788" s="213" t="s">
        <v>4382</v>
      </c>
      <c r="D1788" s="213" t="s">
        <v>4369</v>
      </c>
      <c r="E1788" s="213" t="s">
        <v>4383</v>
      </c>
      <c r="F1788" s="212" t="s">
        <v>6525</v>
      </c>
      <c r="G1788" s="212" t="str">
        <f t="shared" si="82"/>
        <v>830소모품비(판)</v>
      </c>
      <c r="H1788" s="214">
        <v>18156</v>
      </c>
      <c r="I1788" s="214">
        <v>0</v>
      </c>
      <c r="J1788" s="214">
        <f t="shared" si="83"/>
        <v>-18156</v>
      </c>
      <c r="K1788" s="212" t="s">
        <v>6676</v>
      </c>
      <c r="L1788" s="213"/>
      <c r="M1788" s="212"/>
    </row>
    <row r="1789" spans="1:13" ht="21" customHeight="1">
      <c r="A1789" s="213" t="s">
        <v>6677</v>
      </c>
      <c r="B1789" s="215">
        <f t="shared" si="81"/>
        <v>45772</v>
      </c>
      <c r="C1789" s="213" t="s">
        <v>4382</v>
      </c>
      <c r="D1789" s="213" t="s">
        <v>4366</v>
      </c>
      <c r="E1789" s="213" t="s">
        <v>333</v>
      </c>
      <c r="F1789" s="212" t="s">
        <v>4365</v>
      </c>
      <c r="G1789" s="212" t="str">
        <f t="shared" si="82"/>
        <v>101현금</v>
      </c>
      <c r="H1789" s="214">
        <v>0</v>
      </c>
      <c r="I1789" s="214">
        <v>18156</v>
      </c>
      <c r="J1789" s="214">
        <f t="shared" si="83"/>
        <v>18156</v>
      </c>
      <c r="K1789" s="212" t="s">
        <v>6676</v>
      </c>
      <c r="L1789" s="213"/>
      <c r="M1789" s="212"/>
    </row>
    <row r="1790" spans="1:13" ht="21" customHeight="1">
      <c r="A1790" s="213" t="s">
        <v>6677</v>
      </c>
      <c r="B1790" s="215">
        <f t="shared" si="81"/>
        <v>45772</v>
      </c>
      <c r="C1790" s="213" t="s">
        <v>4381</v>
      </c>
      <c r="D1790" s="213" t="s">
        <v>4369</v>
      </c>
      <c r="E1790" s="213" t="s">
        <v>4383</v>
      </c>
      <c r="F1790" s="212" t="s">
        <v>6525</v>
      </c>
      <c r="G1790" s="212" t="str">
        <f t="shared" si="82"/>
        <v>830소모품비(판)</v>
      </c>
      <c r="H1790" s="214">
        <v>2764</v>
      </c>
      <c r="I1790" s="214">
        <v>0</v>
      </c>
      <c r="J1790" s="214">
        <f t="shared" si="83"/>
        <v>-2764</v>
      </c>
      <c r="K1790" s="212" t="s">
        <v>6676</v>
      </c>
      <c r="L1790" s="213"/>
      <c r="M1790" s="212"/>
    </row>
    <row r="1791" spans="1:13" ht="21" customHeight="1">
      <c r="A1791" s="213" t="s">
        <v>6677</v>
      </c>
      <c r="B1791" s="215">
        <f t="shared" si="81"/>
        <v>45772</v>
      </c>
      <c r="C1791" s="213" t="s">
        <v>4381</v>
      </c>
      <c r="D1791" s="213" t="s">
        <v>4366</v>
      </c>
      <c r="E1791" s="213" t="s">
        <v>333</v>
      </c>
      <c r="F1791" s="212" t="s">
        <v>4365</v>
      </c>
      <c r="G1791" s="212" t="str">
        <f t="shared" si="82"/>
        <v>101현금</v>
      </c>
      <c r="H1791" s="214">
        <v>0</v>
      </c>
      <c r="I1791" s="214">
        <v>2764</v>
      </c>
      <c r="J1791" s="214">
        <f t="shared" si="83"/>
        <v>2764</v>
      </c>
      <c r="K1791" s="212" t="s">
        <v>6676</v>
      </c>
      <c r="L1791" s="213"/>
      <c r="M1791" s="212"/>
    </row>
    <row r="1792" spans="1:13" ht="21" customHeight="1">
      <c r="A1792" s="217" t="s">
        <v>6672</v>
      </c>
      <c r="B1792" s="215">
        <f t="shared" si="81"/>
        <v>45773</v>
      </c>
      <c r="C1792" s="213" t="s">
        <v>4373</v>
      </c>
      <c r="D1792" s="213" t="s">
        <v>4369</v>
      </c>
      <c r="E1792" s="213" t="s">
        <v>4499</v>
      </c>
      <c r="F1792" s="212" t="s">
        <v>6517</v>
      </c>
      <c r="G1792" s="212" t="str">
        <f t="shared" si="82"/>
        <v>811복리후생비(판)</v>
      </c>
      <c r="H1792" s="214">
        <v>27500</v>
      </c>
      <c r="I1792" s="214">
        <v>0</v>
      </c>
      <c r="J1792" s="214">
        <f t="shared" si="83"/>
        <v>-27500</v>
      </c>
      <c r="K1792" s="212" t="s">
        <v>6675</v>
      </c>
      <c r="L1792" s="213"/>
      <c r="M1792" s="212"/>
    </row>
    <row r="1793" spans="1:13" ht="21" customHeight="1">
      <c r="A1793" s="217" t="s">
        <v>6672</v>
      </c>
      <c r="B1793" s="215">
        <f t="shared" si="81"/>
        <v>45773</v>
      </c>
      <c r="C1793" s="213" t="s">
        <v>4373</v>
      </c>
      <c r="D1793" s="213" t="s">
        <v>4366</v>
      </c>
      <c r="E1793" s="213" t="s">
        <v>333</v>
      </c>
      <c r="F1793" s="212" t="s">
        <v>4365</v>
      </c>
      <c r="G1793" s="212" t="str">
        <f t="shared" si="82"/>
        <v>101현금</v>
      </c>
      <c r="H1793" s="214">
        <v>0</v>
      </c>
      <c r="I1793" s="214">
        <v>27500</v>
      </c>
      <c r="J1793" s="214">
        <f t="shared" si="83"/>
        <v>27500</v>
      </c>
      <c r="K1793" s="212" t="s">
        <v>6200</v>
      </c>
      <c r="L1793" s="213"/>
      <c r="M1793" s="212"/>
    </row>
    <row r="1794" spans="1:13" ht="21" customHeight="1">
      <c r="A1794" s="217" t="s">
        <v>6672</v>
      </c>
      <c r="B1794" s="215">
        <f t="shared" ref="B1794:B1857" si="84">DATEVALUE(A1794)</f>
        <v>45773</v>
      </c>
      <c r="C1794" s="213" t="s">
        <v>4382</v>
      </c>
      <c r="D1794" s="213" t="s">
        <v>4369</v>
      </c>
      <c r="E1794" s="213" t="s">
        <v>4380</v>
      </c>
      <c r="F1794" s="212" t="s">
        <v>6515</v>
      </c>
      <c r="G1794" s="212" t="str">
        <f t="shared" ref="G1794:G1857" si="85">E1794&amp;F1794</f>
        <v>812여비교통비(판)</v>
      </c>
      <c r="H1794" s="214">
        <v>1800</v>
      </c>
      <c r="I1794" s="214">
        <v>0</v>
      </c>
      <c r="J1794" s="214">
        <f t="shared" ref="J1794:J1857" si="86">I1794-H1794</f>
        <v>-1800</v>
      </c>
      <c r="K1794" s="212" t="s">
        <v>6305</v>
      </c>
      <c r="L1794" s="213"/>
      <c r="M1794" s="212"/>
    </row>
    <row r="1795" spans="1:13" ht="21" customHeight="1">
      <c r="A1795" s="217" t="s">
        <v>6672</v>
      </c>
      <c r="B1795" s="215">
        <f t="shared" si="84"/>
        <v>45773</v>
      </c>
      <c r="C1795" s="213" t="s">
        <v>4382</v>
      </c>
      <c r="D1795" s="213" t="s">
        <v>4366</v>
      </c>
      <c r="E1795" s="213" t="s">
        <v>333</v>
      </c>
      <c r="F1795" s="212" t="s">
        <v>4365</v>
      </c>
      <c r="G1795" s="212" t="str">
        <f t="shared" si="85"/>
        <v>101현금</v>
      </c>
      <c r="H1795" s="214">
        <v>0</v>
      </c>
      <c r="I1795" s="214">
        <v>1800</v>
      </c>
      <c r="J1795" s="214">
        <f t="shared" si="86"/>
        <v>1800</v>
      </c>
      <c r="K1795" s="212" t="s">
        <v>6369</v>
      </c>
      <c r="L1795" s="213"/>
      <c r="M1795" s="212"/>
    </row>
    <row r="1796" spans="1:13" ht="21" customHeight="1">
      <c r="A1796" s="217" t="s">
        <v>6672</v>
      </c>
      <c r="B1796" s="215">
        <f t="shared" si="84"/>
        <v>45773</v>
      </c>
      <c r="C1796" s="213" t="s">
        <v>4381</v>
      </c>
      <c r="D1796" s="213" t="s">
        <v>4366</v>
      </c>
      <c r="E1796" s="213" t="s">
        <v>333</v>
      </c>
      <c r="F1796" s="212" t="s">
        <v>4365</v>
      </c>
      <c r="G1796" s="212" t="str">
        <f t="shared" si="85"/>
        <v>101현금</v>
      </c>
      <c r="H1796" s="214">
        <v>0</v>
      </c>
      <c r="I1796" s="214">
        <v>1000</v>
      </c>
      <c r="J1796" s="214">
        <f t="shared" si="86"/>
        <v>1000</v>
      </c>
      <c r="K1796" s="212" t="s">
        <v>6369</v>
      </c>
      <c r="L1796" s="213"/>
      <c r="M1796" s="212"/>
    </row>
    <row r="1797" spans="1:13" ht="21" customHeight="1">
      <c r="A1797" s="217" t="s">
        <v>6672</v>
      </c>
      <c r="B1797" s="215">
        <f t="shared" si="84"/>
        <v>45773</v>
      </c>
      <c r="C1797" s="213" t="s">
        <v>4381</v>
      </c>
      <c r="D1797" s="213" t="s">
        <v>4369</v>
      </c>
      <c r="E1797" s="213" t="s">
        <v>4380</v>
      </c>
      <c r="F1797" s="212" t="s">
        <v>6515</v>
      </c>
      <c r="G1797" s="212" t="str">
        <f t="shared" si="85"/>
        <v>812여비교통비(판)</v>
      </c>
      <c r="H1797" s="214">
        <v>1000</v>
      </c>
      <c r="I1797" s="214">
        <v>0</v>
      </c>
      <c r="J1797" s="214">
        <f t="shared" si="86"/>
        <v>-1000</v>
      </c>
      <c r="K1797" s="212" t="s">
        <v>6292</v>
      </c>
      <c r="L1797" s="213"/>
      <c r="M1797" s="212"/>
    </row>
    <row r="1798" spans="1:13" ht="21" customHeight="1">
      <c r="A1798" s="217" t="s">
        <v>6672</v>
      </c>
      <c r="B1798" s="215">
        <f t="shared" si="84"/>
        <v>45773</v>
      </c>
      <c r="C1798" s="213" t="s">
        <v>4379</v>
      </c>
      <c r="D1798" s="213" t="s">
        <v>4369</v>
      </c>
      <c r="E1798" s="213" t="s">
        <v>4380</v>
      </c>
      <c r="F1798" s="212" t="s">
        <v>6515</v>
      </c>
      <c r="G1798" s="212" t="str">
        <f t="shared" si="85"/>
        <v>812여비교통비(판)</v>
      </c>
      <c r="H1798" s="214">
        <v>1800</v>
      </c>
      <c r="I1798" s="214">
        <v>0</v>
      </c>
      <c r="J1798" s="214">
        <f t="shared" si="86"/>
        <v>-1800</v>
      </c>
      <c r="K1798" s="212" t="s">
        <v>6674</v>
      </c>
      <c r="L1798" s="213"/>
      <c r="M1798" s="212"/>
    </row>
    <row r="1799" spans="1:13" ht="21" customHeight="1">
      <c r="A1799" s="217" t="s">
        <v>6672</v>
      </c>
      <c r="B1799" s="215">
        <f t="shared" si="84"/>
        <v>45773</v>
      </c>
      <c r="C1799" s="213" t="s">
        <v>4379</v>
      </c>
      <c r="D1799" s="213" t="s">
        <v>4366</v>
      </c>
      <c r="E1799" s="213" t="s">
        <v>333</v>
      </c>
      <c r="F1799" s="212" t="s">
        <v>4365</v>
      </c>
      <c r="G1799" s="212" t="str">
        <f t="shared" si="85"/>
        <v>101현금</v>
      </c>
      <c r="H1799" s="214">
        <v>0</v>
      </c>
      <c r="I1799" s="214">
        <v>1800</v>
      </c>
      <c r="J1799" s="214">
        <f t="shared" si="86"/>
        <v>1800</v>
      </c>
      <c r="K1799" s="212" t="s">
        <v>6200</v>
      </c>
      <c r="L1799" s="213"/>
      <c r="M1799" s="212"/>
    </row>
    <row r="1800" spans="1:13" ht="21" customHeight="1">
      <c r="A1800" s="217" t="s">
        <v>6672</v>
      </c>
      <c r="B1800" s="215">
        <f t="shared" si="84"/>
        <v>45773</v>
      </c>
      <c r="C1800" s="213" t="s">
        <v>4367</v>
      </c>
      <c r="D1800" s="213" t="s">
        <v>4366</v>
      </c>
      <c r="E1800" s="213" t="s">
        <v>6176</v>
      </c>
      <c r="F1800" s="212" t="s">
        <v>6177</v>
      </c>
      <c r="G1800" s="212" t="str">
        <f t="shared" si="85"/>
        <v>255부가세예수금</v>
      </c>
      <c r="H1800" s="214">
        <v>0</v>
      </c>
      <c r="I1800" s="214">
        <v>10000</v>
      </c>
      <c r="J1800" s="214">
        <f t="shared" si="86"/>
        <v>10000</v>
      </c>
      <c r="K1800" s="212" t="s">
        <v>6394</v>
      </c>
      <c r="L1800" s="213"/>
      <c r="M1800" s="212" t="s">
        <v>6185</v>
      </c>
    </row>
    <row r="1801" spans="1:13" ht="21" customHeight="1">
      <c r="A1801" s="217" t="s">
        <v>6672</v>
      </c>
      <c r="B1801" s="215">
        <f t="shared" si="84"/>
        <v>45773</v>
      </c>
      <c r="C1801" s="213" t="s">
        <v>4367</v>
      </c>
      <c r="D1801" s="213" t="s">
        <v>4366</v>
      </c>
      <c r="E1801" s="213" t="s">
        <v>334</v>
      </c>
      <c r="F1801" s="212" t="s">
        <v>6158</v>
      </c>
      <c r="G1801" s="212" t="str">
        <f t="shared" si="85"/>
        <v>401용역매출</v>
      </c>
      <c r="H1801" s="214">
        <v>0</v>
      </c>
      <c r="I1801" s="214">
        <v>100000</v>
      </c>
      <c r="J1801" s="214">
        <f t="shared" si="86"/>
        <v>100000</v>
      </c>
      <c r="K1801" s="212" t="s">
        <v>6394</v>
      </c>
      <c r="L1801" s="213"/>
      <c r="M1801" s="212" t="s">
        <v>6185</v>
      </c>
    </row>
    <row r="1802" spans="1:13" ht="21" customHeight="1">
      <c r="A1802" s="217" t="s">
        <v>6672</v>
      </c>
      <c r="B1802" s="215">
        <f t="shared" si="84"/>
        <v>45773</v>
      </c>
      <c r="C1802" s="213" t="s">
        <v>4367</v>
      </c>
      <c r="D1802" s="213" t="s">
        <v>4369</v>
      </c>
      <c r="E1802" s="213" t="s">
        <v>333</v>
      </c>
      <c r="F1802" s="212" t="s">
        <v>4365</v>
      </c>
      <c r="G1802" s="212" t="str">
        <f t="shared" si="85"/>
        <v>101현금</v>
      </c>
      <c r="H1802" s="214">
        <v>110000</v>
      </c>
      <c r="I1802" s="214">
        <v>0</v>
      </c>
      <c r="J1802" s="214">
        <f t="shared" si="86"/>
        <v>-110000</v>
      </c>
      <c r="K1802" s="212" t="s">
        <v>6394</v>
      </c>
      <c r="L1802" s="213"/>
      <c r="M1802" s="212" t="s">
        <v>6185</v>
      </c>
    </row>
    <row r="1803" spans="1:13" ht="21" customHeight="1">
      <c r="A1803" s="217" t="s">
        <v>6672</v>
      </c>
      <c r="B1803" s="215">
        <f t="shared" si="84"/>
        <v>45773</v>
      </c>
      <c r="C1803" s="213" t="s">
        <v>4374</v>
      </c>
      <c r="D1803" s="213" t="s">
        <v>4366</v>
      </c>
      <c r="E1803" s="213" t="s">
        <v>6176</v>
      </c>
      <c r="F1803" s="212" t="s">
        <v>6177</v>
      </c>
      <c r="G1803" s="212" t="str">
        <f t="shared" si="85"/>
        <v>255부가세예수금</v>
      </c>
      <c r="H1803" s="214">
        <v>0</v>
      </c>
      <c r="I1803" s="214">
        <v>15000</v>
      </c>
      <c r="J1803" s="214">
        <f t="shared" si="86"/>
        <v>15000</v>
      </c>
      <c r="K1803" s="212" t="s">
        <v>6239</v>
      </c>
      <c r="L1803" s="213"/>
      <c r="M1803" s="212" t="s">
        <v>6179</v>
      </c>
    </row>
    <row r="1804" spans="1:13" ht="21" customHeight="1">
      <c r="A1804" s="217" t="s">
        <v>6672</v>
      </c>
      <c r="B1804" s="215">
        <f t="shared" si="84"/>
        <v>45773</v>
      </c>
      <c r="C1804" s="213" t="s">
        <v>4374</v>
      </c>
      <c r="D1804" s="213" t="s">
        <v>4366</v>
      </c>
      <c r="E1804" s="213" t="s">
        <v>334</v>
      </c>
      <c r="F1804" s="212" t="s">
        <v>6158</v>
      </c>
      <c r="G1804" s="212" t="str">
        <f t="shared" si="85"/>
        <v>401용역매출</v>
      </c>
      <c r="H1804" s="214">
        <v>0</v>
      </c>
      <c r="I1804" s="214">
        <v>150000</v>
      </c>
      <c r="J1804" s="214">
        <f t="shared" si="86"/>
        <v>150000</v>
      </c>
      <c r="K1804" s="212" t="s">
        <v>6239</v>
      </c>
      <c r="L1804" s="213"/>
      <c r="M1804" s="212" t="s">
        <v>6179</v>
      </c>
    </row>
    <row r="1805" spans="1:13" ht="21" customHeight="1">
      <c r="A1805" s="217" t="s">
        <v>6672</v>
      </c>
      <c r="B1805" s="215">
        <f t="shared" si="84"/>
        <v>45773</v>
      </c>
      <c r="C1805" s="213" t="s">
        <v>4374</v>
      </c>
      <c r="D1805" s="213" t="s">
        <v>4369</v>
      </c>
      <c r="E1805" s="213" t="s">
        <v>333</v>
      </c>
      <c r="F1805" s="212" t="s">
        <v>4365</v>
      </c>
      <c r="G1805" s="212" t="str">
        <f t="shared" si="85"/>
        <v>101현금</v>
      </c>
      <c r="H1805" s="214">
        <v>165000</v>
      </c>
      <c r="I1805" s="214">
        <v>0</v>
      </c>
      <c r="J1805" s="214">
        <f t="shared" si="86"/>
        <v>-165000</v>
      </c>
      <c r="K1805" s="212" t="s">
        <v>6239</v>
      </c>
      <c r="L1805" s="213"/>
      <c r="M1805" s="212" t="s">
        <v>6179</v>
      </c>
    </row>
    <row r="1806" spans="1:13" ht="21" customHeight="1">
      <c r="A1806" s="217" t="s">
        <v>6672</v>
      </c>
      <c r="B1806" s="215">
        <f t="shared" si="84"/>
        <v>45773</v>
      </c>
      <c r="C1806" s="213" t="s">
        <v>6182</v>
      </c>
      <c r="D1806" s="213" t="s">
        <v>4366</v>
      </c>
      <c r="E1806" s="213" t="s">
        <v>6176</v>
      </c>
      <c r="F1806" s="212" t="s">
        <v>6177</v>
      </c>
      <c r="G1806" s="212" t="str">
        <f t="shared" si="85"/>
        <v>255부가세예수금</v>
      </c>
      <c r="H1806" s="214">
        <v>0</v>
      </c>
      <c r="I1806" s="214">
        <v>20000</v>
      </c>
      <c r="J1806" s="214">
        <f t="shared" si="86"/>
        <v>20000</v>
      </c>
      <c r="K1806" s="212" t="s">
        <v>6236</v>
      </c>
      <c r="L1806" s="213"/>
      <c r="M1806" s="212" t="s">
        <v>6231</v>
      </c>
    </row>
    <row r="1807" spans="1:13" ht="21" customHeight="1">
      <c r="A1807" s="217" t="s">
        <v>6672</v>
      </c>
      <c r="B1807" s="215">
        <f t="shared" si="84"/>
        <v>45773</v>
      </c>
      <c r="C1807" s="213" t="s">
        <v>6182</v>
      </c>
      <c r="D1807" s="213" t="s">
        <v>4366</v>
      </c>
      <c r="E1807" s="213" t="s">
        <v>334</v>
      </c>
      <c r="F1807" s="212" t="s">
        <v>6158</v>
      </c>
      <c r="G1807" s="212" t="str">
        <f t="shared" si="85"/>
        <v>401용역매출</v>
      </c>
      <c r="H1807" s="214">
        <v>0</v>
      </c>
      <c r="I1807" s="214">
        <v>200000</v>
      </c>
      <c r="J1807" s="214">
        <f t="shared" si="86"/>
        <v>200000</v>
      </c>
      <c r="K1807" s="212" t="s">
        <v>6236</v>
      </c>
      <c r="L1807" s="213"/>
      <c r="M1807" s="212" t="s">
        <v>6231</v>
      </c>
    </row>
    <row r="1808" spans="1:13" ht="21" customHeight="1">
      <c r="A1808" s="217" t="s">
        <v>6672</v>
      </c>
      <c r="B1808" s="215">
        <f t="shared" si="84"/>
        <v>45773</v>
      </c>
      <c r="C1808" s="213" t="s">
        <v>6182</v>
      </c>
      <c r="D1808" s="213" t="s">
        <v>4369</v>
      </c>
      <c r="E1808" s="213" t="s">
        <v>333</v>
      </c>
      <c r="F1808" s="212" t="s">
        <v>4365</v>
      </c>
      <c r="G1808" s="212" t="str">
        <f t="shared" si="85"/>
        <v>101현금</v>
      </c>
      <c r="H1808" s="214">
        <v>220000</v>
      </c>
      <c r="I1808" s="214">
        <v>0</v>
      </c>
      <c r="J1808" s="214">
        <f t="shared" si="86"/>
        <v>-220000</v>
      </c>
      <c r="K1808" s="212" t="s">
        <v>6236</v>
      </c>
      <c r="L1808" s="213"/>
      <c r="M1808" s="212" t="s">
        <v>6231</v>
      </c>
    </row>
    <row r="1809" spans="1:13" ht="21" customHeight="1">
      <c r="A1809" s="217" t="s">
        <v>6672</v>
      </c>
      <c r="B1809" s="215">
        <f t="shared" si="84"/>
        <v>45773</v>
      </c>
      <c r="C1809" s="213" t="s">
        <v>6184</v>
      </c>
      <c r="D1809" s="213" t="s">
        <v>4369</v>
      </c>
      <c r="E1809" s="213" t="s">
        <v>4371</v>
      </c>
      <c r="F1809" s="212" t="s">
        <v>4370</v>
      </c>
      <c r="G1809" s="212" t="str">
        <f t="shared" si="85"/>
        <v>135부가세대급금</v>
      </c>
      <c r="H1809" s="214">
        <v>6100</v>
      </c>
      <c r="I1809" s="214">
        <v>0</v>
      </c>
      <c r="J1809" s="214">
        <f t="shared" si="86"/>
        <v>-6100</v>
      </c>
      <c r="K1809" s="212" t="s">
        <v>6673</v>
      </c>
      <c r="L1809" s="213"/>
      <c r="M1809" s="212"/>
    </row>
    <row r="1810" spans="1:13" ht="21" customHeight="1">
      <c r="A1810" s="217" t="s">
        <v>6672</v>
      </c>
      <c r="B1810" s="215">
        <f t="shared" si="84"/>
        <v>45773</v>
      </c>
      <c r="C1810" s="213" t="s">
        <v>6184</v>
      </c>
      <c r="D1810" s="213" t="s">
        <v>4369</v>
      </c>
      <c r="E1810" s="213" t="s">
        <v>4383</v>
      </c>
      <c r="F1810" s="212" t="s">
        <v>6525</v>
      </c>
      <c r="G1810" s="212" t="str">
        <f t="shared" si="85"/>
        <v>830소모품비(판)</v>
      </c>
      <c r="H1810" s="214">
        <v>61000</v>
      </c>
      <c r="I1810" s="214">
        <v>0</v>
      </c>
      <c r="J1810" s="214">
        <f t="shared" si="86"/>
        <v>-61000</v>
      </c>
      <c r="K1810" s="212" t="s">
        <v>6673</v>
      </c>
      <c r="L1810" s="213"/>
      <c r="M1810" s="212"/>
    </row>
    <row r="1811" spans="1:13" ht="21" customHeight="1">
      <c r="A1811" s="217" t="s">
        <v>6672</v>
      </c>
      <c r="B1811" s="215">
        <f t="shared" si="84"/>
        <v>45773</v>
      </c>
      <c r="C1811" s="213" t="s">
        <v>6184</v>
      </c>
      <c r="D1811" s="213" t="s">
        <v>4366</v>
      </c>
      <c r="E1811" s="213" t="s">
        <v>333</v>
      </c>
      <c r="F1811" s="212" t="s">
        <v>4365</v>
      </c>
      <c r="G1811" s="212" t="str">
        <f t="shared" si="85"/>
        <v>101현금</v>
      </c>
      <c r="H1811" s="214">
        <v>0</v>
      </c>
      <c r="I1811" s="214">
        <v>67100</v>
      </c>
      <c r="J1811" s="214">
        <f t="shared" si="86"/>
        <v>67100</v>
      </c>
      <c r="K1811" s="212" t="s">
        <v>6200</v>
      </c>
      <c r="L1811" s="213"/>
      <c r="M1811" s="212"/>
    </row>
    <row r="1812" spans="1:13" ht="21" customHeight="1">
      <c r="A1812" s="213" t="s">
        <v>6670</v>
      </c>
      <c r="B1812" s="215">
        <f t="shared" si="84"/>
        <v>45775</v>
      </c>
      <c r="C1812" s="213" t="s">
        <v>4373</v>
      </c>
      <c r="D1812" s="213" t="s">
        <v>4369</v>
      </c>
      <c r="E1812" s="213" t="s">
        <v>4504</v>
      </c>
      <c r="F1812" s="212" t="s">
        <v>6545</v>
      </c>
      <c r="G1812" s="212" t="str">
        <f t="shared" si="85"/>
        <v>826도서인쇄비(판)</v>
      </c>
      <c r="H1812" s="214">
        <v>18800</v>
      </c>
      <c r="I1812" s="214">
        <v>0</v>
      </c>
      <c r="J1812" s="214">
        <f t="shared" si="86"/>
        <v>-18800</v>
      </c>
      <c r="K1812" s="212" t="s">
        <v>6289</v>
      </c>
      <c r="L1812" s="213"/>
      <c r="M1812" s="212"/>
    </row>
    <row r="1813" spans="1:13" ht="21" customHeight="1">
      <c r="A1813" s="213" t="s">
        <v>6670</v>
      </c>
      <c r="B1813" s="215">
        <f t="shared" si="84"/>
        <v>45775</v>
      </c>
      <c r="C1813" s="213" t="s">
        <v>4373</v>
      </c>
      <c r="D1813" s="213" t="s">
        <v>4366</v>
      </c>
      <c r="E1813" s="213" t="s">
        <v>333</v>
      </c>
      <c r="F1813" s="212" t="s">
        <v>4365</v>
      </c>
      <c r="G1813" s="212" t="str">
        <f t="shared" si="85"/>
        <v>101현금</v>
      </c>
      <c r="H1813" s="214">
        <v>0</v>
      </c>
      <c r="I1813" s="214">
        <v>18800</v>
      </c>
      <c r="J1813" s="214">
        <f t="shared" si="86"/>
        <v>18800</v>
      </c>
      <c r="K1813" s="212" t="s">
        <v>6200</v>
      </c>
      <c r="L1813" s="213"/>
      <c r="M1813" s="212"/>
    </row>
    <row r="1814" spans="1:13" ht="21" customHeight="1">
      <c r="A1814" s="213" t="s">
        <v>6670</v>
      </c>
      <c r="B1814" s="215">
        <f t="shared" si="84"/>
        <v>45775</v>
      </c>
      <c r="C1814" s="213" t="s">
        <v>4382</v>
      </c>
      <c r="D1814" s="213" t="s">
        <v>4369</v>
      </c>
      <c r="E1814" s="213" t="s">
        <v>4499</v>
      </c>
      <c r="F1814" s="212" t="s">
        <v>6517</v>
      </c>
      <c r="G1814" s="212" t="str">
        <f t="shared" si="85"/>
        <v>811복리후생비(판)</v>
      </c>
      <c r="H1814" s="214">
        <v>16000</v>
      </c>
      <c r="I1814" s="214">
        <v>0</v>
      </c>
      <c r="J1814" s="214">
        <f t="shared" si="86"/>
        <v>-16000</v>
      </c>
      <c r="K1814" s="212" t="s">
        <v>6516</v>
      </c>
      <c r="L1814" s="213"/>
      <c r="M1814" s="212"/>
    </row>
    <row r="1815" spans="1:13" ht="21" customHeight="1">
      <c r="A1815" s="213" t="s">
        <v>6670</v>
      </c>
      <c r="B1815" s="215">
        <f t="shared" si="84"/>
        <v>45775</v>
      </c>
      <c r="C1815" s="213" t="s">
        <v>4382</v>
      </c>
      <c r="D1815" s="213" t="s">
        <v>4366</v>
      </c>
      <c r="E1815" s="213" t="s">
        <v>333</v>
      </c>
      <c r="F1815" s="212" t="s">
        <v>4365</v>
      </c>
      <c r="G1815" s="212" t="str">
        <f t="shared" si="85"/>
        <v>101현금</v>
      </c>
      <c r="H1815" s="214">
        <v>0</v>
      </c>
      <c r="I1815" s="214">
        <v>16000</v>
      </c>
      <c r="J1815" s="214">
        <f t="shared" si="86"/>
        <v>16000</v>
      </c>
      <c r="K1815" s="212" t="s">
        <v>6369</v>
      </c>
      <c r="L1815" s="213"/>
      <c r="M1815" s="212"/>
    </row>
    <row r="1816" spans="1:13" ht="21" customHeight="1">
      <c r="A1816" s="213" t="s">
        <v>6670</v>
      </c>
      <c r="B1816" s="215">
        <f t="shared" si="84"/>
        <v>45775</v>
      </c>
      <c r="C1816" s="213" t="s">
        <v>4381</v>
      </c>
      <c r="D1816" s="213" t="s">
        <v>4369</v>
      </c>
      <c r="E1816" s="213" t="s">
        <v>4380</v>
      </c>
      <c r="F1816" s="212" t="s">
        <v>6515</v>
      </c>
      <c r="G1816" s="212" t="str">
        <f t="shared" si="85"/>
        <v>812여비교통비(판)</v>
      </c>
      <c r="H1816" s="214">
        <v>2500</v>
      </c>
      <c r="I1816" s="214">
        <v>0</v>
      </c>
      <c r="J1816" s="214">
        <f t="shared" si="86"/>
        <v>-2500</v>
      </c>
      <c r="K1816" s="212" t="s">
        <v>6671</v>
      </c>
      <c r="L1816" s="213"/>
      <c r="M1816" s="212"/>
    </row>
    <row r="1817" spans="1:13" ht="21" customHeight="1">
      <c r="A1817" s="213" t="s">
        <v>6670</v>
      </c>
      <c r="B1817" s="215">
        <f t="shared" si="84"/>
        <v>45775</v>
      </c>
      <c r="C1817" s="213" t="s">
        <v>4381</v>
      </c>
      <c r="D1817" s="213" t="s">
        <v>4366</v>
      </c>
      <c r="E1817" s="213" t="s">
        <v>333</v>
      </c>
      <c r="F1817" s="212" t="s">
        <v>4365</v>
      </c>
      <c r="G1817" s="212" t="str">
        <f t="shared" si="85"/>
        <v>101현금</v>
      </c>
      <c r="H1817" s="214">
        <v>0</v>
      </c>
      <c r="I1817" s="214">
        <v>2500</v>
      </c>
      <c r="J1817" s="214">
        <f t="shared" si="86"/>
        <v>2500</v>
      </c>
      <c r="K1817" s="212" t="s">
        <v>6369</v>
      </c>
      <c r="L1817" s="213"/>
      <c r="M1817" s="212"/>
    </row>
    <row r="1818" spans="1:13" ht="21" customHeight="1">
      <c r="A1818" s="213" t="s">
        <v>6670</v>
      </c>
      <c r="B1818" s="215">
        <f t="shared" si="84"/>
        <v>45775</v>
      </c>
      <c r="C1818" s="213" t="s">
        <v>4379</v>
      </c>
      <c r="D1818" s="213" t="s">
        <v>4369</v>
      </c>
      <c r="E1818" s="213" t="s">
        <v>4380</v>
      </c>
      <c r="F1818" s="212" t="s">
        <v>6515</v>
      </c>
      <c r="G1818" s="212" t="str">
        <f t="shared" si="85"/>
        <v>812여비교통비(판)</v>
      </c>
      <c r="H1818" s="214">
        <v>68200</v>
      </c>
      <c r="I1818" s="214">
        <v>0</v>
      </c>
      <c r="J1818" s="214">
        <f t="shared" si="86"/>
        <v>-68200</v>
      </c>
      <c r="K1818" s="212" t="s">
        <v>6668</v>
      </c>
      <c r="L1818" s="213"/>
      <c r="M1818" s="212"/>
    </row>
    <row r="1819" spans="1:13" ht="21" customHeight="1">
      <c r="A1819" s="213" t="s">
        <v>6670</v>
      </c>
      <c r="B1819" s="215">
        <f t="shared" si="84"/>
        <v>45775</v>
      </c>
      <c r="C1819" s="213" t="s">
        <v>4379</v>
      </c>
      <c r="D1819" s="213" t="s">
        <v>4366</v>
      </c>
      <c r="E1819" s="213" t="s">
        <v>333</v>
      </c>
      <c r="F1819" s="212" t="s">
        <v>4365</v>
      </c>
      <c r="G1819" s="212" t="str">
        <f t="shared" si="85"/>
        <v>101현금</v>
      </c>
      <c r="H1819" s="214">
        <v>0</v>
      </c>
      <c r="I1819" s="214">
        <v>68200</v>
      </c>
      <c r="J1819" s="214">
        <f t="shared" si="86"/>
        <v>68200</v>
      </c>
      <c r="K1819" s="212" t="s">
        <v>6371</v>
      </c>
      <c r="L1819" s="213"/>
      <c r="M1819" s="212"/>
    </row>
    <row r="1820" spans="1:13" ht="21" customHeight="1">
      <c r="A1820" s="213" t="s">
        <v>6670</v>
      </c>
      <c r="B1820" s="215">
        <f t="shared" si="84"/>
        <v>45775</v>
      </c>
      <c r="C1820" s="213" t="s">
        <v>4385</v>
      </c>
      <c r="D1820" s="213" t="s">
        <v>4369</v>
      </c>
      <c r="E1820" s="213" t="s">
        <v>4380</v>
      </c>
      <c r="F1820" s="212" t="s">
        <v>6515</v>
      </c>
      <c r="G1820" s="212" t="str">
        <f t="shared" si="85"/>
        <v>812여비교통비(판)</v>
      </c>
      <c r="H1820" s="214">
        <v>68500</v>
      </c>
      <c r="I1820" s="214">
        <v>0</v>
      </c>
      <c r="J1820" s="214">
        <f t="shared" si="86"/>
        <v>-68500</v>
      </c>
      <c r="K1820" s="212" t="s">
        <v>6668</v>
      </c>
      <c r="L1820" s="213"/>
      <c r="M1820" s="212"/>
    </row>
    <row r="1821" spans="1:13" ht="21" customHeight="1">
      <c r="A1821" s="213" t="s">
        <v>6670</v>
      </c>
      <c r="B1821" s="215">
        <f t="shared" si="84"/>
        <v>45775</v>
      </c>
      <c r="C1821" s="213" t="s">
        <v>4385</v>
      </c>
      <c r="D1821" s="213" t="s">
        <v>4366</v>
      </c>
      <c r="E1821" s="213" t="s">
        <v>333</v>
      </c>
      <c r="F1821" s="212" t="s">
        <v>4365</v>
      </c>
      <c r="G1821" s="212" t="str">
        <f t="shared" si="85"/>
        <v>101현금</v>
      </c>
      <c r="H1821" s="214">
        <v>0</v>
      </c>
      <c r="I1821" s="214">
        <v>68500</v>
      </c>
      <c r="J1821" s="214">
        <f t="shared" si="86"/>
        <v>68500</v>
      </c>
      <c r="K1821" s="212" t="s">
        <v>6371</v>
      </c>
      <c r="L1821" s="213"/>
      <c r="M1821" s="212"/>
    </row>
    <row r="1822" spans="1:13" ht="21" customHeight="1">
      <c r="A1822" s="213" t="s">
        <v>6670</v>
      </c>
      <c r="B1822" s="215">
        <f t="shared" si="84"/>
        <v>45775</v>
      </c>
      <c r="C1822" s="213" t="s">
        <v>4501</v>
      </c>
      <c r="D1822" s="213" t="s">
        <v>4369</v>
      </c>
      <c r="E1822" s="213" t="s">
        <v>4380</v>
      </c>
      <c r="F1822" s="212" t="s">
        <v>6515</v>
      </c>
      <c r="G1822" s="212" t="str">
        <f t="shared" si="85"/>
        <v>812여비교통비(판)</v>
      </c>
      <c r="H1822" s="214">
        <v>-68500</v>
      </c>
      <c r="I1822" s="214">
        <v>0</v>
      </c>
      <c r="J1822" s="214">
        <f t="shared" si="86"/>
        <v>68500</v>
      </c>
      <c r="K1822" s="212" t="s">
        <v>6668</v>
      </c>
      <c r="L1822" s="213"/>
      <c r="M1822" s="212"/>
    </row>
    <row r="1823" spans="1:13" ht="21" customHeight="1">
      <c r="A1823" s="213" t="s">
        <v>6670</v>
      </c>
      <c r="B1823" s="215">
        <f t="shared" si="84"/>
        <v>45775</v>
      </c>
      <c r="C1823" s="213" t="s">
        <v>4501</v>
      </c>
      <c r="D1823" s="213" t="s">
        <v>4366</v>
      </c>
      <c r="E1823" s="213" t="s">
        <v>333</v>
      </c>
      <c r="F1823" s="212" t="s">
        <v>4365</v>
      </c>
      <c r="G1823" s="212" t="str">
        <f t="shared" si="85"/>
        <v>101현금</v>
      </c>
      <c r="H1823" s="214">
        <v>0</v>
      </c>
      <c r="I1823" s="214">
        <v>-68500</v>
      </c>
      <c r="J1823" s="214">
        <f t="shared" si="86"/>
        <v>-68500</v>
      </c>
      <c r="K1823" s="212" t="s">
        <v>6371</v>
      </c>
      <c r="L1823" s="213"/>
      <c r="M1823" s="212"/>
    </row>
    <row r="1824" spans="1:13" ht="21" customHeight="1">
      <c r="A1824" s="213" t="s">
        <v>6670</v>
      </c>
      <c r="B1824" s="215">
        <f t="shared" si="84"/>
        <v>45775</v>
      </c>
      <c r="C1824" s="213" t="s">
        <v>4367</v>
      </c>
      <c r="D1824" s="213" t="s">
        <v>4366</v>
      </c>
      <c r="E1824" s="213" t="s">
        <v>6176</v>
      </c>
      <c r="F1824" s="212" t="s">
        <v>6177</v>
      </c>
      <c r="G1824" s="212" t="str">
        <f t="shared" si="85"/>
        <v>255부가세예수금</v>
      </c>
      <c r="H1824" s="214">
        <v>0</v>
      </c>
      <c r="I1824" s="214">
        <v>10000</v>
      </c>
      <c r="J1824" s="214">
        <f t="shared" si="86"/>
        <v>10000</v>
      </c>
      <c r="K1824" s="212" t="s">
        <v>6221</v>
      </c>
      <c r="L1824" s="213"/>
      <c r="M1824" s="212" t="s">
        <v>6185</v>
      </c>
    </row>
    <row r="1825" spans="1:13" ht="21" customHeight="1">
      <c r="A1825" s="213" t="s">
        <v>6670</v>
      </c>
      <c r="B1825" s="215">
        <f t="shared" si="84"/>
        <v>45775</v>
      </c>
      <c r="C1825" s="213" t="s">
        <v>4367</v>
      </c>
      <c r="D1825" s="213" t="s">
        <v>4366</v>
      </c>
      <c r="E1825" s="213" t="s">
        <v>334</v>
      </c>
      <c r="F1825" s="212" t="s">
        <v>6158</v>
      </c>
      <c r="G1825" s="212" t="str">
        <f t="shared" si="85"/>
        <v>401용역매출</v>
      </c>
      <c r="H1825" s="214">
        <v>0</v>
      </c>
      <c r="I1825" s="214">
        <v>100000</v>
      </c>
      <c r="J1825" s="214">
        <f t="shared" si="86"/>
        <v>100000</v>
      </c>
      <c r="K1825" s="212" t="s">
        <v>6221</v>
      </c>
      <c r="L1825" s="213"/>
      <c r="M1825" s="212" t="s">
        <v>6185</v>
      </c>
    </row>
    <row r="1826" spans="1:13" ht="21" customHeight="1">
      <c r="A1826" s="213" t="s">
        <v>6670</v>
      </c>
      <c r="B1826" s="215">
        <f t="shared" si="84"/>
        <v>45775</v>
      </c>
      <c r="C1826" s="213" t="s">
        <v>4367</v>
      </c>
      <c r="D1826" s="213" t="s">
        <v>4369</v>
      </c>
      <c r="E1826" s="213" t="s">
        <v>333</v>
      </c>
      <c r="F1826" s="212" t="s">
        <v>4365</v>
      </c>
      <c r="G1826" s="212" t="str">
        <f t="shared" si="85"/>
        <v>101현금</v>
      </c>
      <c r="H1826" s="214">
        <v>110000</v>
      </c>
      <c r="I1826" s="214">
        <v>0</v>
      </c>
      <c r="J1826" s="214">
        <f t="shared" si="86"/>
        <v>-110000</v>
      </c>
      <c r="K1826" s="212" t="s">
        <v>6221</v>
      </c>
      <c r="L1826" s="213"/>
      <c r="M1826" s="212" t="s">
        <v>6185</v>
      </c>
    </row>
    <row r="1827" spans="1:13" ht="21" customHeight="1">
      <c r="A1827" s="213" t="s">
        <v>6670</v>
      </c>
      <c r="B1827" s="215">
        <f t="shared" si="84"/>
        <v>45775</v>
      </c>
      <c r="C1827" s="213" t="s">
        <v>4374</v>
      </c>
      <c r="D1827" s="213" t="s">
        <v>4366</v>
      </c>
      <c r="E1827" s="213" t="s">
        <v>6176</v>
      </c>
      <c r="F1827" s="212" t="s">
        <v>6177</v>
      </c>
      <c r="G1827" s="212" t="str">
        <f t="shared" si="85"/>
        <v>255부가세예수금</v>
      </c>
      <c r="H1827" s="214">
        <v>0</v>
      </c>
      <c r="I1827" s="214">
        <v>5000</v>
      </c>
      <c r="J1827" s="214">
        <f t="shared" si="86"/>
        <v>5000</v>
      </c>
      <c r="K1827" s="212" t="s">
        <v>6242</v>
      </c>
      <c r="L1827" s="213"/>
      <c r="M1827" s="212" t="s">
        <v>6282</v>
      </c>
    </row>
    <row r="1828" spans="1:13" ht="21" customHeight="1">
      <c r="A1828" s="213" t="s">
        <v>6670</v>
      </c>
      <c r="B1828" s="215">
        <f t="shared" si="84"/>
        <v>45775</v>
      </c>
      <c r="C1828" s="213" t="s">
        <v>4374</v>
      </c>
      <c r="D1828" s="213" t="s">
        <v>4366</v>
      </c>
      <c r="E1828" s="213" t="s">
        <v>334</v>
      </c>
      <c r="F1828" s="212" t="s">
        <v>6158</v>
      </c>
      <c r="G1828" s="212" t="str">
        <f t="shared" si="85"/>
        <v>401용역매출</v>
      </c>
      <c r="H1828" s="214">
        <v>0</v>
      </c>
      <c r="I1828" s="214">
        <v>50000</v>
      </c>
      <c r="J1828" s="214">
        <f t="shared" si="86"/>
        <v>50000</v>
      </c>
      <c r="K1828" s="212" t="s">
        <v>6242</v>
      </c>
      <c r="L1828" s="213"/>
      <c r="M1828" s="212" t="s">
        <v>6282</v>
      </c>
    </row>
    <row r="1829" spans="1:13" ht="21" customHeight="1">
      <c r="A1829" s="213" t="s">
        <v>6670</v>
      </c>
      <c r="B1829" s="215">
        <f t="shared" si="84"/>
        <v>45775</v>
      </c>
      <c r="C1829" s="213" t="s">
        <v>4374</v>
      </c>
      <c r="D1829" s="213" t="s">
        <v>4369</v>
      </c>
      <c r="E1829" s="213" t="s">
        <v>333</v>
      </c>
      <c r="F1829" s="212" t="s">
        <v>4365</v>
      </c>
      <c r="G1829" s="212" t="str">
        <f t="shared" si="85"/>
        <v>101현금</v>
      </c>
      <c r="H1829" s="214">
        <v>55000</v>
      </c>
      <c r="I1829" s="214">
        <v>0</v>
      </c>
      <c r="J1829" s="214">
        <f t="shared" si="86"/>
        <v>-55000</v>
      </c>
      <c r="K1829" s="212" t="s">
        <v>6242</v>
      </c>
      <c r="L1829" s="213"/>
      <c r="M1829" s="212" t="s">
        <v>6282</v>
      </c>
    </row>
    <row r="1830" spans="1:13" ht="21" customHeight="1">
      <c r="A1830" s="213" t="s">
        <v>6670</v>
      </c>
      <c r="B1830" s="215">
        <f t="shared" si="84"/>
        <v>45775</v>
      </c>
      <c r="C1830" s="213" t="s">
        <v>6182</v>
      </c>
      <c r="D1830" s="213" t="s">
        <v>4366</v>
      </c>
      <c r="E1830" s="213" t="s">
        <v>6176</v>
      </c>
      <c r="F1830" s="212" t="s">
        <v>6177</v>
      </c>
      <c r="G1830" s="212" t="str">
        <f t="shared" si="85"/>
        <v>255부가세예수금</v>
      </c>
      <c r="H1830" s="214">
        <v>0</v>
      </c>
      <c r="I1830" s="214">
        <v>12000</v>
      </c>
      <c r="J1830" s="214">
        <f t="shared" si="86"/>
        <v>12000</v>
      </c>
      <c r="K1830" s="212" t="s">
        <v>6281</v>
      </c>
      <c r="L1830" s="213"/>
      <c r="M1830" s="212" t="s">
        <v>6225</v>
      </c>
    </row>
    <row r="1831" spans="1:13" ht="21" customHeight="1">
      <c r="A1831" s="213" t="s">
        <v>6670</v>
      </c>
      <c r="B1831" s="215">
        <f t="shared" si="84"/>
        <v>45775</v>
      </c>
      <c r="C1831" s="213" t="s">
        <v>6182</v>
      </c>
      <c r="D1831" s="213" t="s">
        <v>4366</v>
      </c>
      <c r="E1831" s="213" t="s">
        <v>334</v>
      </c>
      <c r="F1831" s="212" t="s">
        <v>6158</v>
      </c>
      <c r="G1831" s="212" t="str">
        <f t="shared" si="85"/>
        <v>401용역매출</v>
      </c>
      <c r="H1831" s="214">
        <v>0</v>
      </c>
      <c r="I1831" s="214">
        <v>120000</v>
      </c>
      <c r="J1831" s="214">
        <f t="shared" si="86"/>
        <v>120000</v>
      </c>
      <c r="K1831" s="212" t="s">
        <v>6281</v>
      </c>
      <c r="L1831" s="213"/>
      <c r="M1831" s="212" t="s">
        <v>6225</v>
      </c>
    </row>
    <row r="1832" spans="1:13" ht="21" customHeight="1">
      <c r="A1832" s="213" t="s">
        <v>6670</v>
      </c>
      <c r="B1832" s="215">
        <f t="shared" si="84"/>
        <v>45775</v>
      </c>
      <c r="C1832" s="213" t="s">
        <v>6182</v>
      </c>
      <c r="D1832" s="213" t="s">
        <v>4369</v>
      </c>
      <c r="E1832" s="213" t="s">
        <v>333</v>
      </c>
      <c r="F1832" s="212" t="s">
        <v>4365</v>
      </c>
      <c r="G1832" s="212" t="str">
        <f t="shared" si="85"/>
        <v>101현금</v>
      </c>
      <c r="H1832" s="214">
        <v>132000</v>
      </c>
      <c r="I1832" s="214">
        <v>0</v>
      </c>
      <c r="J1832" s="214">
        <f t="shared" si="86"/>
        <v>-132000</v>
      </c>
      <c r="K1832" s="212" t="s">
        <v>6281</v>
      </c>
      <c r="L1832" s="213"/>
      <c r="M1832" s="212" t="s">
        <v>6225</v>
      </c>
    </row>
    <row r="1833" spans="1:13" ht="21" customHeight="1">
      <c r="A1833" s="213" t="s">
        <v>6670</v>
      </c>
      <c r="B1833" s="215">
        <f t="shared" si="84"/>
        <v>45775</v>
      </c>
      <c r="C1833" s="213" t="s">
        <v>6184</v>
      </c>
      <c r="D1833" s="213" t="s">
        <v>4366</v>
      </c>
      <c r="E1833" s="213" t="s">
        <v>6176</v>
      </c>
      <c r="F1833" s="212" t="s">
        <v>6177</v>
      </c>
      <c r="G1833" s="212" t="str">
        <f t="shared" si="85"/>
        <v>255부가세예수금</v>
      </c>
      <c r="H1833" s="214">
        <v>0</v>
      </c>
      <c r="I1833" s="214">
        <v>9091</v>
      </c>
      <c r="J1833" s="214">
        <f t="shared" si="86"/>
        <v>9091</v>
      </c>
      <c r="K1833" s="212" t="s">
        <v>6295</v>
      </c>
      <c r="L1833" s="213"/>
      <c r="M1833" s="212" t="s">
        <v>6296</v>
      </c>
    </row>
    <row r="1834" spans="1:13" ht="21" customHeight="1">
      <c r="A1834" s="213" t="s">
        <v>6670</v>
      </c>
      <c r="B1834" s="215">
        <f t="shared" si="84"/>
        <v>45775</v>
      </c>
      <c r="C1834" s="213" t="s">
        <v>6184</v>
      </c>
      <c r="D1834" s="213" t="s">
        <v>4366</v>
      </c>
      <c r="E1834" s="213" t="s">
        <v>334</v>
      </c>
      <c r="F1834" s="212" t="s">
        <v>6158</v>
      </c>
      <c r="G1834" s="212" t="str">
        <f t="shared" si="85"/>
        <v>401용역매출</v>
      </c>
      <c r="H1834" s="214">
        <v>0</v>
      </c>
      <c r="I1834" s="214">
        <v>90909</v>
      </c>
      <c r="J1834" s="214">
        <f t="shared" si="86"/>
        <v>90909</v>
      </c>
      <c r="K1834" s="212" t="s">
        <v>6295</v>
      </c>
      <c r="L1834" s="213"/>
      <c r="M1834" s="212" t="s">
        <v>6296</v>
      </c>
    </row>
    <row r="1835" spans="1:13" ht="21" customHeight="1">
      <c r="A1835" s="213" t="s">
        <v>6670</v>
      </c>
      <c r="B1835" s="215">
        <f t="shared" si="84"/>
        <v>45775</v>
      </c>
      <c r="C1835" s="213" t="s">
        <v>6184</v>
      </c>
      <c r="D1835" s="213" t="s">
        <v>4369</v>
      </c>
      <c r="E1835" s="213" t="s">
        <v>333</v>
      </c>
      <c r="F1835" s="212" t="s">
        <v>4365</v>
      </c>
      <c r="G1835" s="212" t="str">
        <f t="shared" si="85"/>
        <v>101현금</v>
      </c>
      <c r="H1835" s="214">
        <v>100000</v>
      </c>
      <c r="I1835" s="214">
        <v>0</v>
      </c>
      <c r="J1835" s="214">
        <f t="shared" si="86"/>
        <v>-100000</v>
      </c>
      <c r="K1835" s="212" t="s">
        <v>6295</v>
      </c>
      <c r="L1835" s="213"/>
      <c r="M1835" s="212" t="s">
        <v>6296</v>
      </c>
    </row>
    <row r="1836" spans="1:13" ht="21" customHeight="1">
      <c r="A1836" s="213" t="s">
        <v>6667</v>
      </c>
      <c r="B1836" s="215">
        <f t="shared" si="84"/>
        <v>45776</v>
      </c>
      <c r="C1836" s="213" t="s">
        <v>4373</v>
      </c>
      <c r="D1836" s="213" t="s">
        <v>4366</v>
      </c>
      <c r="E1836" s="213" t="s">
        <v>333</v>
      </c>
      <c r="F1836" s="212" t="s">
        <v>4365</v>
      </c>
      <c r="G1836" s="212" t="str">
        <f t="shared" si="85"/>
        <v>101현금</v>
      </c>
      <c r="H1836" s="214">
        <v>0</v>
      </c>
      <c r="I1836" s="214">
        <v>3000</v>
      </c>
      <c r="J1836" s="214">
        <f t="shared" si="86"/>
        <v>3000</v>
      </c>
      <c r="K1836" s="212" t="s">
        <v>6369</v>
      </c>
      <c r="L1836" s="213"/>
      <c r="M1836" s="212"/>
    </row>
    <row r="1837" spans="1:13" ht="21" customHeight="1">
      <c r="A1837" s="213" t="s">
        <v>6667</v>
      </c>
      <c r="B1837" s="215">
        <f t="shared" si="84"/>
        <v>45776</v>
      </c>
      <c r="C1837" s="213" t="s">
        <v>4373</v>
      </c>
      <c r="D1837" s="213" t="s">
        <v>4369</v>
      </c>
      <c r="E1837" s="213" t="s">
        <v>4383</v>
      </c>
      <c r="F1837" s="212" t="s">
        <v>6525</v>
      </c>
      <c r="G1837" s="212" t="str">
        <f t="shared" si="85"/>
        <v>830소모품비(판)</v>
      </c>
      <c r="H1837" s="214">
        <v>3000</v>
      </c>
      <c r="I1837" s="214">
        <v>0</v>
      </c>
      <c r="J1837" s="214">
        <f t="shared" si="86"/>
        <v>-3000</v>
      </c>
      <c r="K1837" s="212" t="s">
        <v>6669</v>
      </c>
      <c r="L1837" s="213"/>
      <c r="M1837" s="212"/>
    </row>
    <row r="1838" spans="1:13" ht="21" customHeight="1">
      <c r="A1838" s="213" t="s">
        <v>6667</v>
      </c>
      <c r="B1838" s="215">
        <f t="shared" si="84"/>
        <v>45776</v>
      </c>
      <c r="C1838" s="213" t="s">
        <v>4382</v>
      </c>
      <c r="D1838" s="213" t="s">
        <v>4369</v>
      </c>
      <c r="E1838" s="213" t="s">
        <v>4380</v>
      </c>
      <c r="F1838" s="212" t="s">
        <v>6515</v>
      </c>
      <c r="G1838" s="212" t="str">
        <f t="shared" si="85"/>
        <v>812여비교통비(판)</v>
      </c>
      <c r="H1838" s="214">
        <v>68300</v>
      </c>
      <c r="I1838" s="214">
        <v>0</v>
      </c>
      <c r="J1838" s="214">
        <f t="shared" si="86"/>
        <v>-68300</v>
      </c>
      <c r="K1838" s="212" t="s">
        <v>6668</v>
      </c>
      <c r="L1838" s="213"/>
      <c r="M1838" s="212"/>
    </row>
    <row r="1839" spans="1:13" ht="21" customHeight="1">
      <c r="A1839" s="213" t="s">
        <v>6667</v>
      </c>
      <c r="B1839" s="215">
        <f t="shared" si="84"/>
        <v>45776</v>
      </c>
      <c r="C1839" s="213" t="s">
        <v>4382</v>
      </c>
      <c r="D1839" s="213" t="s">
        <v>4366</v>
      </c>
      <c r="E1839" s="213" t="s">
        <v>333</v>
      </c>
      <c r="F1839" s="212" t="s">
        <v>4365</v>
      </c>
      <c r="G1839" s="212" t="str">
        <f t="shared" si="85"/>
        <v>101현금</v>
      </c>
      <c r="H1839" s="214">
        <v>0</v>
      </c>
      <c r="I1839" s="214">
        <v>68300</v>
      </c>
      <c r="J1839" s="214">
        <f t="shared" si="86"/>
        <v>68300</v>
      </c>
      <c r="K1839" s="212" t="s">
        <v>6371</v>
      </c>
      <c r="L1839" s="213"/>
      <c r="M1839" s="212"/>
    </row>
    <row r="1840" spans="1:13" ht="21" customHeight="1">
      <c r="A1840" s="213" t="s">
        <v>6667</v>
      </c>
      <c r="B1840" s="215">
        <f t="shared" si="84"/>
        <v>45776</v>
      </c>
      <c r="C1840" s="213" t="s">
        <v>4381</v>
      </c>
      <c r="D1840" s="213" t="s">
        <v>4369</v>
      </c>
      <c r="E1840" s="213" t="s">
        <v>4500</v>
      </c>
      <c r="F1840" s="212" t="s">
        <v>6418</v>
      </c>
      <c r="G1840" s="212" t="str">
        <f t="shared" si="85"/>
        <v>822차량유지비(판)</v>
      </c>
      <c r="H1840" s="214">
        <v>50000</v>
      </c>
      <c r="I1840" s="214">
        <v>0</v>
      </c>
      <c r="J1840" s="214">
        <f t="shared" si="86"/>
        <v>-50000</v>
      </c>
      <c r="K1840" s="212" t="s">
        <v>6272</v>
      </c>
      <c r="L1840" s="213"/>
      <c r="M1840" s="212"/>
    </row>
    <row r="1841" spans="1:13" ht="21" customHeight="1">
      <c r="A1841" s="213" t="s">
        <v>6667</v>
      </c>
      <c r="B1841" s="215">
        <f t="shared" si="84"/>
        <v>45776</v>
      </c>
      <c r="C1841" s="213" t="s">
        <v>4381</v>
      </c>
      <c r="D1841" s="213" t="s">
        <v>4366</v>
      </c>
      <c r="E1841" s="213" t="s">
        <v>333</v>
      </c>
      <c r="F1841" s="212" t="s">
        <v>4365</v>
      </c>
      <c r="G1841" s="212" t="str">
        <f t="shared" si="85"/>
        <v>101현금</v>
      </c>
      <c r="H1841" s="214">
        <v>0</v>
      </c>
      <c r="I1841" s="214">
        <v>50000</v>
      </c>
      <c r="J1841" s="214">
        <f t="shared" si="86"/>
        <v>50000</v>
      </c>
      <c r="K1841" s="212" t="s">
        <v>6371</v>
      </c>
      <c r="L1841" s="213"/>
      <c r="M1841" s="212"/>
    </row>
    <row r="1842" spans="1:13" ht="21" customHeight="1">
      <c r="A1842" s="213" t="s">
        <v>6667</v>
      </c>
      <c r="B1842" s="215">
        <f t="shared" si="84"/>
        <v>45776</v>
      </c>
      <c r="C1842" s="213" t="s">
        <v>4379</v>
      </c>
      <c r="D1842" s="213" t="s">
        <v>4369</v>
      </c>
      <c r="E1842" s="213" t="s">
        <v>4499</v>
      </c>
      <c r="F1842" s="212" t="s">
        <v>6517</v>
      </c>
      <c r="G1842" s="212" t="str">
        <f t="shared" si="85"/>
        <v>811복리후생비(판)</v>
      </c>
      <c r="H1842" s="214">
        <v>18760</v>
      </c>
      <c r="I1842" s="214">
        <v>0</v>
      </c>
      <c r="J1842" s="214">
        <f t="shared" si="86"/>
        <v>-18760</v>
      </c>
      <c r="K1842" s="212" t="s">
        <v>6548</v>
      </c>
      <c r="L1842" s="213"/>
      <c r="M1842" s="212"/>
    </row>
    <row r="1843" spans="1:13" ht="21" customHeight="1">
      <c r="A1843" s="213" t="s">
        <v>6667</v>
      </c>
      <c r="B1843" s="215">
        <f t="shared" si="84"/>
        <v>45776</v>
      </c>
      <c r="C1843" s="213" t="s">
        <v>4379</v>
      </c>
      <c r="D1843" s="213" t="s">
        <v>4366</v>
      </c>
      <c r="E1843" s="213" t="s">
        <v>333</v>
      </c>
      <c r="F1843" s="212" t="s">
        <v>4365</v>
      </c>
      <c r="G1843" s="212" t="str">
        <f t="shared" si="85"/>
        <v>101현금</v>
      </c>
      <c r="H1843" s="214">
        <v>0</v>
      </c>
      <c r="I1843" s="214">
        <v>18760</v>
      </c>
      <c r="J1843" s="214">
        <f t="shared" si="86"/>
        <v>18760</v>
      </c>
      <c r="K1843" s="212" t="s">
        <v>6548</v>
      </c>
      <c r="L1843" s="213"/>
      <c r="M1843" s="212"/>
    </row>
    <row r="1844" spans="1:13" ht="21" customHeight="1">
      <c r="A1844" s="213" t="s">
        <v>6667</v>
      </c>
      <c r="B1844" s="215">
        <f t="shared" si="84"/>
        <v>45776</v>
      </c>
      <c r="C1844" s="213" t="s">
        <v>4367</v>
      </c>
      <c r="D1844" s="213" t="s">
        <v>4366</v>
      </c>
      <c r="E1844" s="213" t="s">
        <v>6176</v>
      </c>
      <c r="F1844" s="212" t="s">
        <v>6177</v>
      </c>
      <c r="G1844" s="212" t="str">
        <f t="shared" si="85"/>
        <v>255부가세예수금</v>
      </c>
      <c r="H1844" s="214">
        <v>0</v>
      </c>
      <c r="I1844" s="214">
        <v>15000</v>
      </c>
      <c r="J1844" s="214">
        <f t="shared" si="86"/>
        <v>15000</v>
      </c>
      <c r="K1844" s="212" t="s">
        <v>6237</v>
      </c>
      <c r="L1844" s="213"/>
      <c r="M1844" s="212" t="s">
        <v>6179</v>
      </c>
    </row>
    <row r="1845" spans="1:13" ht="21" customHeight="1">
      <c r="A1845" s="213" t="s">
        <v>6667</v>
      </c>
      <c r="B1845" s="215">
        <f t="shared" si="84"/>
        <v>45776</v>
      </c>
      <c r="C1845" s="213" t="s">
        <v>4367</v>
      </c>
      <c r="D1845" s="213" t="s">
        <v>4366</v>
      </c>
      <c r="E1845" s="213" t="s">
        <v>334</v>
      </c>
      <c r="F1845" s="212" t="s">
        <v>6158</v>
      </c>
      <c r="G1845" s="212" t="str">
        <f t="shared" si="85"/>
        <v>401용역매출</v>
      </c>
      <c r="H1845" s="214">
        <v>0</v>
      </c>
      <c r="I1845" s="214">
        <v>150000</v>
      </c>
      <c r="J1845" s="214">
        <f t="shared" si="86"/>
        <v>150000</v>
      </c>
      <c r="K1845" s="212" t="s">
        <v>6237</v>
      </c>
      <c r="L1845" s="213"/>
      <c r="M1845" s="212" t="s">
        <v>6179</v>
      </c>
    </row>
    <row r="1846" spans="1:13" ht="21" customHeight="1">
      <c r="A1846" s="213" t="s">
        <v>6667</v>
      </c>
      <c r="B1846" s="215">
        <f t="shared" si="84"/>
        <v>45776</v>
      </c>
      <c r="C1846" s="213" t="s">
        <v>4367</v>
      </c>
      <c r="D1846" s="213" t="s">
        <v>4369</v>
      </c>
      <c r="E1846" s="213" t="s">
        <v>333</v>
      </c>
      <c r="F1846" s="212" t="s">
        <v>4365</v>
      </c>
      <c r="G1846" s="212" t="str">
        <f t="shared" si="85"/>
        <v>101현금</v>
      </c>
      <c r="H1846" s="214">
        <v>165000</v>
      </c>
      <c r="I1846" s="214">
        <v>0</v>
      </c>
      <c r="J1846" s="214">
        <f t="shared" si="86"/>
        <v>-165000</v>
      </c>
      <c r="K1846" s="212" t="s">
        <v>6237</v>
      </c>
      <c r="L1846" s="213"/>
      <c r="M1846" s="212" t="s">
        <v>6179</v>
      </c>
    </row>
    <row r="1847" spans="1:13" ht="21" customHeight="1">
      <c r="A1847" s="213" t="s">
        <v>6667</v>
      </c>
      <c r="B1847" s="215">
        <f t="shared" si="84"/>
        <v>45776</v>
      </c>
      <c r="C1847" s="213" t="s">
        <v>4374</v>
      </c>
      <c r="D1847" s="213" t="s">
        <v>4366</v>
      </c>
      <c r="E1847" s="213" t="s">
        <v>6176</v>
      </c>
      <c r="F1847" s="212" t="s">
        <v>6177</v>
      </c>
      <c r="G1847" s="212" t="str">
        <f t="shared" si="85"/>
        <v>255부가세예수금</v>
      </c>
      <c r="H1847" s="214">
        <v>0</v>
      </c>
      <c r="I1847" s="214">
        <v>15000</v>
      </c>
      <c r="J1847" s="214">
        <f t="shared" si="86"/>
        <v>15000</v>
      </c>
      <c r="K1847" s="212" t="s">
        <v>6372</v>
      </c>
      <c r="L1847" s="213"/>
      <c r="M1847" s="212" t="s">
        <v>6179</v>
      </c>
    </row>
    <row r="1848" spans="1:13" ht="21" customHeight="1">
      <c r="A1848" s="213" t="s">
        <v>6667</v>
      </c>
      <c r="B1848" s="215">
        <f t="shared" si="84"/>
        <v>45776</v>
      </c>
      <c r="C1848" s="213" t="s">
        <v>4374</v>
      </c>
      <c r="D1848" s="213" t="s">
        <v>4366</v>
      </c>
      <c r="E1848" s="213" t="s">
        <v>334</v>
      </c>
      <c r="F1848" s="212" t="s">
        <v>6158</v>
      </c>
      <c r="G1848" s="212" t="str">
        <f t="shared" si="85"/>
        <v>401용역매출</v>
      </c>
      <c r="H1848" s="214">
        <v>0</v>
      </c>
      <c r="I1848" s="214">
        <v>150000</v>
      </c>
      <c r="J1848" s="214">
        <f t="shared" si="86"/>
        <v>150000</v>
      </c>
      <c r="K1848" s="212" t="s">
        <v>6372</v>
      </c>
      <c r="L1848" s="213"/>
      <c r="M1848" s="212" t="s">
        <v>6179</v>
      </c>
    </row>
    <row r="1849" spans="1:13" ht="21" customHeight="1">
      <c r="A1849" s="213" t="s">
        <v>6667</v>
      </c>
      <c r="B1849" s="215">
        <f t="shared" si="84"/>
        <v>45776</v>
      </c>
      <c r="C1849" s="213" t="s">
        <v>4374</v>
      </c>
      <c r="D1849" s="213" t="s">
        <v>4369</v>
      </c>
      <c r="E1849" s="213" t="s">
        <v>333</v>
      </c>
      <c r="F1849" s="212" t="s">
        <v>4365</v>
      </c>
      <c r="G1849" s="212" t="str">
        <f t="shared" si="85"/>
        <v>101현금</v>
      </c>
      <c r="H1849" s="214">
        <v>165000</v>
      </c>
      <c r="I1849" s="214">
        <v>0</v>
      </c>
      <c r="J1849" s="214">
        <f t="shared" si="86"/>
        <v>-165000</v>
      </c>
      <c r="K1849" s="212" t="s">
        <v>6372</v>
      </c>
      <c r="L1849" s="213"/>
      <c r="M1849" s="212" t="s">
        <v>6179</v>
      </c>
    </row>
    <row r="1850" spans="1:13" ht="21" customHeight="1">
      <c r="A1850" s="213" t="s">
        <v>6667</v>
      </c>
      <c r="B1850" s="215">
        <f t="shared" si="84"/>
        <v>45776</v>
      </c>
      <c r="C1850" s="213" t="s">
        <v>6182</v>
      </c>
      <c r="D1850" s="213" t="s">
        <v>4366</v>
      </c>
      <c r="E1850" s="213" t="s">
        <v>6176</v>
      </c>
      <c r="F1850" s="212" t="s">
        <v>6177</v>
      </c>
      <c r="G1850" s="212" t="str">
        <f t="shared" si="85"/>
        <v>255부가세예수금</v>
      </c>
      <c r="H1850" s="214">
        <v>0</v>
      </c>
      <c r="I1850" s="214">
        <v>10000</v>
      </c>
      <c r="J1850" s="214">
        <f t="shared" si="86"/>
        <v>10000</v>
      </c>
      <c r="K1850" s="212" t="s">
        <v>6271</v>
      </c>
      <c r="L1850" s="213"/>
      <c r="M1850" s="212" t="s">
        <v>6185</v>
      </c>
    </row>
    <row r="1851" spans="1:13" ht="21" customHeight="1">
      <c r="A1851" s="213" t="s">
        <v>6667</v>
      </c>
      <c r="B1851" s="215">
        <f t="shared" si="84"/>
        <v>45776</v>
      </c>
      <c r="C1851" s="213" t="s">
        <v>6182</v>
      </c>
      <c r="D1851" s="213" t="s">
        <v>4366</v>
      </c>
      <c r="E1851" s="213" t="s">
        <v>334</v>
      </c>
      <c r="F1851" s="212" t="s">
        <v>6158</v>
      </c>
      <c r="G1851" s="212" t="str">
        <f t="shared" si="85"/>
        <v>401용역매출</v>
      </c>
      <c r="H1851" s="214">
        <v>0</v>
      </c>
      <c r="I1851" s="214">
        <v>100000</v>
      </c>
      <c r="J1851" s="214">
        <f t="shared" si="86"/>
        <v>100000</v>
      </c>
      <c r="K1851" s="212" t="s">
        <v>6271</v>
      </c>
      <c r="L1851" s="213"/>
      <c r="M1851" s="212" t="s">
        <v>6185</v>
      </c>
    </row>
    <row r="1852" spans="1:13" ht="21" customHeight="1">
      <c r="A1852" s="213" t="s">
        <v>6667</v>
      </c>
      <c r="B1852" s="215">
        <f t="shared" si="84"/>
        <v>45776</v>
      </c>
      <c r="C1852" s="213" t="s">
        <v>6182</v>
      </c>
      <c r="D1852" s="213" t="s">
        <v>4369</v>
      </c>
      <c r="E1852" s="213" t="s">
        <v>333</v>
      </c>
      <c r="F1852" s="212" t="s">
        <v>4365</v>
      </c>
      <c r="G1852" s="212" t="str">
        <f t="shared" si="85"/>
        <v>101현금</v>
      </c>
      <c r="H1852" s="214">
        <v>110000</v>
      </c>
      <c r="I1852" s="214">
        <v>0</v>
      </c>
      <c r="J1852" s="214">
        <f t="shared" si="86"/>
        <v>-110000</v>
      </c>
      <c r="K1852" s="212" t="s">
        <v>6271</v>
      </c>
      <c r="L1852" s="213"/>
      <c r="M1852" s="212" t="s">
        <v>6185</v>
      </c>
    </row>
    <row r="1853" spans="1:13" ht="21" customHeight="1">
      <c r="A1853" s="213" t="s">
        <v>6667</v>
      </c>
      <c r="B1853" s="215">
        <f t="shared" si="84"/>
        <v>45776</v>
      </c>
      <c r="C1853" s="213" t="s">
        <v>6184</v>
      </c>
      <c r="D1853" s="213" t="s">
        <v>4366</v>
      </c>
      <c r="E1853" s="213" t="s">
        <v>333</v>
      </c>
      <c r="F1853" s="212" t="s">
        <v>4365</v>
      </c>
      <c r="G1853" s="212" t="str">
        <f t="shared" si="85"/>
        <v>101현금</v>
      </c>
      <c r="H1853" s="214">
        <v>0</v>
      </c>
      <c r="I1853" s="214">
        <v>333160</v>
      </c>
      <c r="J1853" s="214">
        <f t="shared" si="86"/>
        <v>333160</v>
      </c>
      <c r="K1853" s="212" t="s">
        <v>6371</v>
      </c>
      <c r="L1853" s="213"/>
      <c r="M1853" s="212"/>
    </row>
    <row r="1854" spans="1:13" ht="21" customHeight="1">
      <c r="A1854" s="213" t="s">
        <v>6667</v>
      </c>
      <c r="B1854" s="215">
        <f t="shared" si="84"/>
        <v>45776</v>
      </c>
      <c r="C1854" s="213" t="s">
        <v>6184</v>
      </c>
      <c r="D1854" s="213" t="s">
        <v>4369</v>
      </c>
      <c r="E1854" s="213" t="s">
        <v>4383</v>
      </c>
      <c r="F1854" s="212" t="s">
        <v>6525</v>
      </c>
      <c r="G1854" s="212" t="str">
        <f t="shared" si="85"/>
        <v>830소모품비(판)</v>
      </c>
      <c r="H1854" s="214">
        <v>302873</v>
      </c>
      <c r="I1854" s="214">
        <v>0</v>
      </c>
      <c r="J1854" s="214">
        <f t="shared" si="86"/>
        <v>-302873</v>
      </c>
      <c r="K1854" s="212" t="s">
        <v>4384</v>
      </c>
      <c r="L1854" s="213" t="s">
        <v>6411</v>
      </c>
      <c r="M1854" s="212"/>
    </row>
    <row r="1855" spans="1:13" ht="21" customHeight="1">
      <c r="A1855" s="213" t="s">
        <v>6667</v>
      </c>
      <c r="B1855" s="215">
        <f t="shared" si="84"/>
        <v>45776</v>
      </c>
      <c r="C1855" s="213" t="s">
        <v>6184</v>
      </c>
      <c r="D1855" s="213" t="s">
        <v>4369</v>
      </c>
      <c r="E1855" s="213" t="s">
        <v>4371</v>
      </c>
      <c r="F1855" s="212" t="s">
        <v>4370</v>
      </c>
      <c r="G1855" s="212" t="str">
        <f t="shared" si="85"/>
        <v>135부가세대급금</v>
      </c>
      <c r="H1855" s="214">
        <v>30287</v>
      </c>
      <c r="I1855" s="214">
        <v>0</v>
      </c>
      <c r="J1855" s="214">
        <f t="shared" si="86"/>
        <v>-30287</v>
      </c>
      <c r="K1855" s="212" t="s">
        <v>4384</v>
      </c>
      <c r="L1855" s="213" t="s">
        <v>6411</v>
      </c>
      <c r="M1855" s="212"/>
    </row>
    <row r="1856" spans="1:13" ht="21" customHeight="1">
      <c r="A1856" s="213" t="s">
        <v>6667</v>
      </c>
      <c r="B1856" s="215">
        <f t="shared" si="84"/>
        <v>45776</v>
      </c>
      <c r="C1856" s="213" t="s">
        <v>6186</v>
      </c>
      <c r="D1856" s="213" t="s">
        <v>4366</v>
      </c>
      <c r="E1856" s="213" t="s">
        <v>333</v>
      </c>
      <c r="F1856" s="212" t="s">
        <v>4365</v>
      </c>
      <c r="G1856" s="212" t="str">
        <f t="shared" si="85"/>
        <v>101현금</v>
      </c>
      <c r="H1856" s="214">
        <v>0</v>
      </c>
      <c r="I1856" s="214">
        <v>750748</v>
      </c>
      <c r="J1856" s="214">
        <f t="shared" si="86"/>
        <v>750748</v>
      </c>
      <c r="K1856" s="212" t="s">
        <v>6371</v>
      </c>
      <c r="L1856" s="213"/>
      <c r="M1856" s="212"/>
    </row>
    <row r="1857" spans="1:13" ht="21" customHeight="1">
      <c r="A1857" s="213" t="s">
        <v>6667</v>
      </c>
      <c r="B1857" s="215">
        <f t="shared" si="84"/>
        <v>45776</v>
      </c>
      <c r="C1857" s="213" t="s">
        <v>6186</v>
      </c>
      <c r="D1857" s="213" t="s">
        <v>4369</v>
      </c>
      <c r="E1857" s="213" t="s">
        <v>4383</v>
      </c>
      <c r="F1857" s="212" t="s">
        <v>6525</v>
      </c>
      <c r="G1857" s="212" t="str">
        <f t="shared" si="85"/>
        <v>830소모품비(판)</v>
      </c>
      <c r="H1857" s="214">
        <v>682499</v>
      </c>
      <c r="I1857" s="214">
        <v>0</v>
      </c>
      <c r="J1857" s="214">
        <f t="shared" si="86"/>
        <v>-682499</v>
      </c>
      <c r="K1857" s="212" t="s">
        <v>4384</v>
      </c>
      <c r="L1857" s="213" t="s">
        <v>6411</v>
      </c>
      <c r="M1857" s="212"/>
    </row>
    <row r="1858" spans="1:13" ht="21" customHeight="1">
      <c r="A1858" s="213" t="s">
        <v>6667</v>
      </c>
      <c r="B1858" s="215">
        <f t="shared" ref="B1858:B1921" si="87">DATEVALUE(A1858)</f>
        <v>45776</v>
      </c>
      <c r="C1858" s="213" t="s">
        <v>6186</v>
      </c>
      <c r="D1858" s="213" t="s">
        <v>4369</v>
      </c>
      <c r="E1858" s="213" t="s">
        <v>4371</v>
      </c>
      <c r="F1858" s="212" t="s">
        <v>4370</v>
      </c>
      <c r="G1858" s="212" t="str">
        <f t="shared" ref="G1858:G1921" si="88">E1858&amp;F1858</f>
        <v>135부가세대급금</v>
      </c>
      <c r="H1858" s="214">
        <v>68249</v>
      </c>
      <c r="I1858" s="214">
        <v>0</v>
      </c>
      <c r="J1858" s="214">
        <f t="shared" ref="J1858:J1921" si="89">I1858-H1858</f>
        <v>-68249</v>
      </c>
      <c r="K1858" s="212" t="s">
        <v>4384</v>
      </c>
      <c r="L1858" s="213" t="s">
        <v>6411</v>
      </c>
      <c r="M1858" s="212"/>
    </row>
    <row r="1859" spans="1:13" ht="21" customHeight="1">
      <c r="A1859" s="213" t="s">
        <v>6664</v>
      </c>
      <c r="B1859" s="215">
        <f t="shared" si="87"/>
        <v>45777</v>
      </c>
      <c r="C1859" s="213" t="s">
        <v>4373</v>
      </c>
      <c r="D1859" s="213" t="s">
        <v>4369</v>
      </c>
      <c r="E1859" s="213" t="s">
        <v>4513</v>
      </c>
      <c r="F1859" s="212" t="s">
        <v>6519</v>
      </c>
      <c r="G1859" s="212" t="str">
        <f t="shared" si="88"/>
        <v>802직원급여(판)</v>
      </c>
      <c r="H1859" s="214">
        <v>1700000</v>
      </c>
      <c r="I1859" s="214">
        <v>0</v>
      </c>
      <c r="J1859" s="214">
        <f t="shared" si="89"/>
        <v>-1700000</v>
      </c>
      <c r="K1859" s="212"/>
      <c r="L1859" s="213" t="s">
        <v>6411</v>
      </c>
      <c r="M1859" s="212" t="s">
        <v>4514</v>
      </c>
    </row>
    <row r="1860" spans="1:13" ht="21" customHeight="1">
      <c r="A1860" s="213" t="s">
        <v>6664</v>
      </c>
      <c r="B1860" s="215">
        <f t="shared" si="87"/>
        <v>45777</v>
      </c>
      <c r="C1860" s="213" t="s">
        <v>4373</v>
      </c>
      <c r="D1860" s="213" t="s">
        <v>4366</v>
      </c>
      <c r="E1860" s="213" t="s">
        <v>333</v>
      </c>
      <c r="F1860" s="212" t="s">
        <v>4365</v>
      </c>
      <c r="G1860" s="212" t="str">
        <f t="shared" si="88"/>
        <v>101현금</v>
      </c>
      <c r="H1860" s="214">
        <v>0</v>
      </c>
      <c r="I1860" s="214">
        <v>1476240</v>
      </c>
      <c r="J1860" s="214">
        <f t="shared" si="89"/>
        <v>1476240</v>
      </c>
      <c r="K1860" s="212"/>
      <c r="L1860" s="213" t="s">
        <v>6411</v>
      </c>
      <c r="M1860" s="212" t="s">
        <v>4514</v>
      </c>
    </row>
    <row r="1861" spans="1:13" ht="21" customHeight="1">
      <c r="A1861" s="213" t="s">
        <v>6664</v>
      </c>
      <c r="B1861" s="215">
        <f t="shared" si="87"/>
        <v>45777</v>
      </c>
      <c r="C1861" s="213" t="s">
        <v>4373</v>
      </c>
      <c r="D1861" s="213" t="s">
        <v>4366</v>
      </c>
      <c r="E1861" s="213" t="s">
        <v>4505</v>
      </c>
      <c r="F1861" s="212" t="s">
        <v>4506</v>
      </c>
      <c r="G1861" s="212" t="str">
        <f t="shared" si="88"/>
        <v>254예수금</v>
      </c>
      <c r="H1861" s="214">
        <v>0</v>
      </c>
      <c r="I1861" s="214">
        <v>149400</v>
      </c>
      <c r="J1861" s="214">
        <f t="shared" si="89"/>
        <v>149400</v>
      </c>
      <c r="K1861" s="212" t="s">
        <v>4523</v>
      </c>
      <c r="L1861" s="213" t="s">
        <v>6411</v>
      </c>
      <c r="M1861" s="212" t="s">
        <v>4515</v>
      </c>
    </row>
    <row r="1862" spans="1:13" ht="21" customHeight="1">
      <c r="A1862" s="213" t="s">
        <v>6664</v>
      </c>
      <c r="B1862" s="215">
        <f t="shared" si="87"/>
        <v>45777</v>
      </c>
      <c r="C1862" s="213" t="s">
        <v>4373</v>
      </c>
      <c r="D1862" s="213" t="s">
        <v>4366</v>
      </c>
      <c r="E1862" s="213" t="s">
        <v>4505</v>
      </c>
      <c r="F1862" s="212" t="s">
        <v>4506</v>
      </c>
      <c r="G1862" s="212" t="str">
        <f t="shared" si="88"/>
        <v>254예수금</v>
      </c>
      <c r="H1862" s="214">
        <v>0</v>
      </c>
      <c r="I1862" s="214">
        <v>60260</v>
      </c>
      <c r="J1862" s="214">
        <f t="shared" si="89"/>
        <v>60260</v>
      </c>
      <c r="K1862" s="212" t="s">
        <v>4522</v>
      </c>
      <c r="L1862" s="213" t="s">
        <v>6411</v>
      </c>
      <c r="M1862" s="212" t="s">
        <v>6518</v>
      </c>
    </row>
    <row r="1863" spans="1:13" ht="21" customHeight="1">
      <c r="A1863" s="213" t="s">
        <v>6664</v>
      </c>
      <c r="B1863" s="215">
        <f t="shared" si="87"/>
        <v>45777</v>
      </c>
      <c r="C1863" s="213" t="s">
        <v>4373</v>
      </c>
      <c r="D1863" s="213" t="s">
        <v>4366</v>
      </c>
      <c r="E1863" s="213" t="s">
        <v>4505</v>
      </c>
      <c r="F1863" s="212" t="s">
        <v>4506</v>
      </c>
      <c r="G1863" s="212" t="str">
        <f t="shared" si="88"/>
        <v>254예수금</v>
      </c>
      <c r="H1863" s="214">
        <v>0</v>
      </c>
      <c r="I1863" s="214">
        <v>6300</v>
      </c>
      <c r="J1863" s="214">
        <f t="shared" si="89"/>
        <v>6300</v>
      </c>
      <c r="K1863" s="212" t="s">
        <v>4508</v>
      </c>
      <c r="L1863" s="213" t="s">
        <v>6411</v>
      </c>
      <c r="M1863" s="212" t="s">
        <v>4516</v>
      </c>
    </row>
    <row r="1864" spans="1:13" ht="21" customHeight="1">
      <c r="A1864" s="213" t="s">
        <v>6664</v>
      </c>
      <c r="B1864" s="215">
        <f t="shared" si="87"/>
        <v>45777</v>
      </c>
      <c r="C1864" s="213" t="s">
        <v>4373</v>
      </c>
      <c r="D1864" s="213" t="s">
        <v>4366</v>
      </c>
      <c r="E1864" s="213" t="s">
        <v>4505</v>
      </c>
      <c r="F1864" s="212" t="s">
        <v>4506</v>
      </c>
      <c r="G1864" s="212" t="str">
        <f t="shared" si="88"/>
        <v>254예수금</v>
      </c>
      <c r="H1864" s="214">
        <v>0</v>
      </c>
      <c r="I1864" s="214">
        <v>7800</v>
      </c>
      <c r="J1864" s="214">
        <f t="shared" si="89"/>
        <v>7800</v>
      </c>
      <c r="K1864" s="212" t="s">
        <v>4522</v>
      </c>
      <c r="L1864" s="213" t="s">
        <v>6411</v>
      </c>
      <c r="M1864" s="212" t="s">
        <v>4517</v>
      </c>
    </row>
    <row r="1865" spans="1:13" ht="21" customHeight="1">
      <c r="A1865" s="213" t="s">
        <v>6664</v>
      </c>
      <c r="B1865" s="215">
        <f t="shared" si="87"/>
        <v>45777</v>
      </c>
      <c r="C1865" s="213" t="s">
        <v>4382</v>
      </c>
      <c r="D1865" s="213" t="s">
        <v>4369</v>
      </c>
      <c r="E1865" s="213" t="s">
        <v>4380</v>
      </c>
      <c r="F1865" s="212" t="s">
        <v>6515</v>
      </c>
      <c r="G1865" s="212" t="str">
        <f t="shared" si="88"/>
        <v>812여비교통비(판)</v>
      </c>
      <c r="H1865" s="214">
        <v>15800</v>
      </c>
      <c r="I1865" s="214">
        <v>0</v>
      </c>
      <c r="J1865" s="214">
        <f t="shared" si="89"/>
        <v>-15800</v>
      </c>
      <c r="K1865" s="212" t="s">
        <v>6666</v>
      </c>
      <c r="L1865" s="213"/>
      <c r="M1865" s="212"/>
    </row>
    <row r="1866" spans="1:13" ht="21" customHeight="1">
      <c r="A1866" s="213" t="s">
        <v>6664</v>
      </c>
      <c r="B1866" s="215">
        <f t="shared" si="87"/>
        <v>45777</v>
      </c>
      <c r="C1866" s="213" t="s">
        <v>4382</v>
      </c>
      <c r="D1866" s="213" t="s">
        <v>4366</v>
      </c>
      <c r="E1866" s="213" t="s">
        <v>333</v>
      </c>
      <c r="F1866" s="212" t="s">
        <v>4365</v>
      </c>
      <c r="G1866" s="212" t="str">
        <f t="shared" si="88"/>
        <v>101현금</v>
      </c>
      <c r="H1866" s="214">
        <v>0</v>
      </c>
      <c r="I1866" s="214">
        <v>15800</v>
      </c>
      <c r="J1866" s="214">
        <f t="shared" si="89"/>
        <v>15800</v>
      </c>
      <c r="K1866" s="212" t="s">
        <v>6200</v>
      </c>
      <c r="L1866" s="213"/>
      <c r="M1866" s="212"/>
    </row>
    <row r="1867" spans="1:13" ht="21" customHeight="1">
      <c r="A1867" s="213" t="s">
        <v>6664</v>
      </c>
      <c r="B1867" s="215">
        <f t="shared" si="87"/>
        <v>45777</v>
      </c>
      <c r="C1867" s="213" t="s">
        <v>4381</v>
      </c>
      <c r="D1867" s="213" t="s">
        <v>4369</v>
      </c>
      <c r="E1867" s="213" t="s">
        <v>4500</v>
      </c>
      <c r="F1867" s="212" t="s">
        <v>6418</v>
      </c>
      <c r="G1867" s="212" t="str">
        <f t="shared" si="88"/>
        <v>822차량유지비(판)</v>
      </c>
      <c r="H1867" s="214">
        <v>50000</v>
      </c>
      <c r="I1867" s="214">
        <v>0</v>
      </c>
      <c r="J1867" s="214">
        <f t="shared" si="89"/>
        <v>-50000</v>
      </c>
      <c r="K1867" s="212" t="s">
        <v>6195</v>
      </c>
      <c r="L1867" s="213"/>
      <c r="M1867" s="212"/>
    </row>
    <row r="1868" spans="1:13" ht="21" customHeight="1">
      <c r="A1868" s="213" t="s">
        <v>6664</v>
      </c>
      <c r="B1868" s="215">
        <f t="shared" si="87"/>
        <v>45777</v>
      </c>
      <c r="C1868" s="213" t="s">
        <v>4381</v>
      </c>
      <c r="D1868" s="213" t="s">
        <v>4366</v>
      </c>
      <c r="E1868" s="213" t="s">
        <v>333</v>
      </c>
      <c r="F1868" s="212" t="s">
        <v>4365</v>
      </c>
      <c r="G1868" s="212" t="str">
        <f t="shared" si="88"/>
        <v>101현금</v>
      </c>
      <c r="H1868" s="214">
        <v>0</v>
      </c>
      <c r="I1868" s="214">
        <v>50000</v>
      </c>
      <c r="J1868" s="214">
        <f t="shared" si="89"/>
        <v>50000</v>
      </c>
      <c r="K1868" s="212" t="s">
        <v>6370</v>
      </c>
      <c r="L1868" s="213"/>
      <c r="M1868" s="212"/>
    </row>
    <row r="1869" spans="1:13" ht="21" customHeight="1">
      <c r="A1869" s="213" t="s">
        <v>6664</v>
      </c>
      <c r="B1869" s="215">
        <f t="shared" si="87"/>
        <v>45777</v>
      </c>
      <c r="C1869" s="213" t="s">
        <v>4367</v>
      </c>
      <c r="D1869" s="213" t="s">
        <v>4369</v>
      </c>
      <c r="E1869" s="213" t="s">
        <v>4371</v>
      </c>
      <c r="F1869" s="212" t="s">
        <v>4370</v>
      </c>
      <c r="G1869" s="212" t="str">
        <f t="shared" si="88"/>
        <v>135부가세대급금</v>
      </c>
      <c r="H1869" s="214">
        <v>10000</v>
      </c>
      <c r="I1869" s="214">
        <v>0</v>
      </c>
      <c r="J1869" s="214">
        <f t="shared" si="89"/>
        <v>-10000</v>
      </c>
      <c r="K1869" s="212" t="s">
        <v>6159</v>
      </c>
      <c r="L1869" s="213"/>
      <c r="M1869" s="212" t="s">
        <v>4364</v>
      </c>
    </row>
    <row r="1870" spans="1:13" ht="21" customHeight="1">
      <c r="A1870" s="213" t="s">
        <v>6664</v>
      </c>
      <c r="B1870" s="215">
        <f t="shared" si="87"/>
        <v>45777</v>
      </c>
      <c r="C1870" s="213" t="s">
        <v>4367</v>
      </c>
      <c r="D1870" s="213" t="s">
        <v>4369</v>
      </c>
      <c r="E1870" s="213" t="s">
        <v>4368</v>
      </c>
      <c r="F1870" s="212" t="s">
        <v>6388</v>
      </c>
      <c r="G1870" s="212" t="str">
        <f t="shared" si="88"/>
        <v>831지급수수료(판)</v>
      </c>
      <c r="H1870" s="214">
        <v>100000</v>
      </c>
      <c r="I1870" s="214">
        <v>0</v>
      </c>
      <c r="J1870" s="214">
        <f t="shared" si="89"/>
        <v>-100000</v>
      </c>
      <c r="K1870" s="212" t="s">
        <v>6159</v>
      </c>
      <c r="L1870" s="213"/>
      <c r="M1870" s="212" t="s">
        <v>4364</v>
      </c>
    </row>
    <row r="1871" spans="1:13" ht="21" customHeight="1">
      <c r="A1871" s="213" t="s">
        <v>6664</v>
      </c>
      <c r="B1871" s="215">
        <f t="shared" si="87"/>
        <v>45777</v>
      </c>
      <c r="C1871" s="213" t="s">
        <v>4367</v>
      </c>
      <c r="D1871" s="213" t="s">
        <v>4366</v>
      </c>
      <c r="E1871" s="213" t="s">
        <v>333</v>
      </c>
      <c r="F1871" s="212" t="s">
        <v>4365</v>
      </c>
      <c r="G1871" s="212" t="str">
        <f t="shared" si="88"/>
        <v>101현금</v>
      </c>
      <c r="H1871" s="214">
        <v>0</v>
      </c>
      <c r="I1871" s="214">
        <v>110000</v>
      </c>
      <c r="J1871" s="214">
        <f t="shared" si="89"/>
        <v>110000</v>
      </c>
      <c r="K1871" s="212" t="s">
        <v>6159</v>
      </c>
      <c r="L1871" s="213"/>
      <c r="M1871" s="212" t="s">
        <v>4364</v>
      </c>
    </row>
    <row r="1872" spans="1:13" ht="21" customHeight="1">
      <c r="A1872" s="213" t="s">
        <v>6664</v>
      </c>
      <c r="B1872" s="215">
        <f t="shared" si="87"/>
        <v>45777</v>
      </c>
      <c r="C1872" s="213" t="s">
        <v>4374</v>
      </c>
      <c r="D1872" s="213" t="s">
        <v>4369</v>
      </c>
      <c r="E1872" s="213" t="s">
        <v>4371</v>
      </c>
      <c r="F1872" s="212" t="s">
        <v>4370</v>
      </c>
      <c r="G1872" s="212" t="str">
        <f t="shared" si="88"/>
        <v>135부가세대급금</v>
      </c>
      <c r="H1872" s="214">
        <v>659</v>
      </c>
      <c r="I1872" s="214">
        <v>0</v>
      </c>
      <c r="J1872" s="214">
        <f t="shared" si="89"/>
        <v>-659</v>
      </c>
      <c r="K1872" s="212" t="s">
        <v>6274</v>
      </c>
      <c r="L1872" s="213"/>
      <c r="M1872" s="212" t="s">
        <v>6665</v>
      </c>
    </row>
    <row r="1873" spans="1:13" ht="21" customHeight="1">
      <c r="A1873" s="213" t="s">
        <v>6664</v>
      </c>
      <c r="B1873" s="215">
        <f t="shared" si="87"/>
        <v>45777</v>
      </c>
      <c r="C1873" s="213" t="s">
        <v>4374</v>
      </c>
      <c r="D1873" s="213" t="s">
        <v>4369</v>
      </c>
      <c r="E1873" s="213" t="s">
        <v>4368</v>
      </c>
      <c r="F1873" s="212" t="s">
        <v>6388</v>
      </c>
      <c r="G1873" s="212" t="str">
        <f t="shared" si="88"/>
        <v>831지급수수료(판)</v>
      </c>
      <c r="H1873" s="214">
        <v>6591</v>
      </c>
      <c r="I1873" s="214">
        <v>0</v>
      </c>
      <c r="J1873" s="214">
        <f t="shared" si="89"/>
        <v>-6591</v>
      </c>
      <c r="K1873" s="212" t="s">
        <v>6274</v>
      </c>
      <c r="L1873" s="213"/>
      <c r="M1873" s="212" t="s">
        <v>6665</v>
      </c>
    </row>
    <row r="1874" spans="1:13" ht="21" customHeight="1">
      <c r="A1874" s="213" t="s">
        <v>6664</v>
      </c>
      <c r="B1874" s="215">
        <f t="shared" si="87"/>
        <v>45777</v>
      </c>
      <c r="C1874" s="213" t="s">
        <v>4374</v>
      </c>
      <c r="D1874" s="213" t="s">
        <v>4366</v>
      </c>
      <c r="E1874" s="213" t="s">
        <v>333</v>
      </c>
      <c r="F1874" s="212" t="s">
        <v>4365</v>
      </c>
      <c r="G1874" s="212" t="str">
        <f t="shared" si="88"/>
        <v>101현금</v>
      </c>
      <c r="H1874" s="214">
        <v>0</v>
      </c>
      <c r="I1874" s="214">
        <v>7250</v>
      </c>
      <c r="J1874" s="214">
        <f t="shared" si="89"/>
        <v>7250</v>
      </c>
      <c r="K1874" s="212" t="s">
        <v>6274</v>
      </c>
      <c r="L1874" s="213"/>
      <c r="M1874" s="212" t="s">
        <v>6665</v>
      </c>
    </row>
    <row r="1875" spans="1:13" ht="21" customHeight="1">
      <c r="A1875" s="213" t="s">
        <v>6664</v>
      </c>
      <c r="B1875" s="215">
        <f t="shared" si="87"/>
        <v>45777</v>
      </c>
      <c r="C1875" s="213" t="s">
        <v>6182</v>
      </c>
      <c r="D1875" s="213" t="s">
        <v>4369</v>
      </c>
      <c r="E1875" s="213" t="s">
        <v>4371</v>
      </c>
      <c r="F1875" s="212" t="s">
        <v>4370</v>
      </c>
      <c r="G1875" s="212" t="str">
        <f t="shared" si="88"/>
        <v>135부가세대급금</v>
      </c>
      <c r="H1875" s="214">
        <v>4000</v>
      </c>
      <c r="I1875" s="214">
        <v>0</v>
      </c>
      <c r="J1875" s="214">
        <f t="shared" si="89"/>
        <v>-4000</v>
      </c>
      <c r="K1875" s="212" t="s">
        <v>6227</v>
      </c>
      <c r="L1875" s="213"/>
      <c r="M1875" s="212" t="s">
        <v>6306</v>
      </c>
    </row>
    <row r="1876" spans="1:13" ht="21" customHeight="1">
      <c r="A1876" s="213" t="s">
        <v>6664</v>
      </c>
      <c r="B1876" s="215">
        <f t="shared" si="87"/>
        <v>45777</v>
      </c>
      <c r="C1876" s="213" t="s">
        <v>6182</v>
      </c>
      <c r="D1876" s="213" t="s">
        <v>4369</v>
      </c>
      <c r="E1876" s="213" t="s">
        <v>4368</v>
      </c>
      <c r="F1876" s="212" t="s">
        <v>6388</v>
      </c>
      <c r="G1876" s="212" t="str">
        <f t="shared" si="88"/>
        <v>831지급수수료(판)</v>
      </c>
      <c r="H1876" s="214">
        <v>40000</v>
      </c>
      <c r="I1876" s="214">
        <v>0</v>
      </c>
      <c r="J1876" s="214">
        <f t="shared" si="89"/>
        <v>-40000</v>
      </c>
      <c r="K1876" s="212" t="s">
        <v>6227</v>
      </c>
      <c r="L1876" s="213"/>
      <c r="M1876" s="212" t="s">
        <v>6306</v>
      </c>
    </row>
    <row r="1877" spans="1:13" ht="21" customHeight="1">
      <c r="A1877" s="213" t="s">
        <v>6664</v>
      </c>
      <c r="B1877" s="215">
        <f t="shared" si="87"/>
        <v>45777</v>
      </c>
      <c r="C1877" s="213" t="s">
        <v>6182</v>
      </c>
      <c r="D1877" s="213" t="s">
        <v>4366</v>
      </c>
      <c r="E1877" s="213" t="s">
        <v>333</v>
      </c>
      <c r="F1877" s="212" t="s">
        <v>4365</v>
      </c>
      <c r="G1877" s="212" t="str">
        <f t="shared" si="88"/>
        <v>101현금</v>
      </c>
      <c r="H1877" s="214">
        <v>0</v>
      </c>
      <c r="I1877" s="214">
        <v>44000</v>
      </c>
      <c r="J1877" s="214">
        <f t="shared" si="89"/>
        <v>44000</v>
      </c>
      <c r="K1877" s="212" t="s">
        <v>6227</v>
      </c>
      <c r="L1877" s="213"/>
      <c r="M1877" s="212" t="s">
        <v>6306</v>
      </c>
    </row>
    <row r="1878" spans="1:13" ht="21" customHeight="1">
      <c r="A1878" s="213" t="s">
        <v>6664</v>
      </c>
      <c r="B1878" s="215">
        <f t="shared" si="87"/>
        <v>45777</v>
      </c>
      <c r="C1878" s="213" t="s">
        <v>6184</v>
      </c>
      <c r="D1878" s="213" t="s">
        <v>4369</v>
      </c>
      <c r="E1878" s="213" t="s">
        <v>4371</v>
      </c>
      <c r="F1878" s="212" t="s">
        <v>4370</v>
      </c>
      <c r="G1878" s="212" t="str">
        <f t="shared" si="88"/>
        <v>135부가세대급금</v>
      </c>
      <c r="H1878" s="214">
        <v>1165</v>
      </c>
      <c r="I1878" s="214">
        <v>0</v>
      </c>
      <c r="J1878" s="214">
        <f t="shared" si="89"/>
        <v>-1165</v>
      </c>
      <c r="K1878" s="212" t="s">
        <v>6227</v>
      </c>
      <c r="L1878" s="213"/>
      <c r="M1878" s="212" t="s">
        <v>6307</v>
      </c>
    </row>
    <row r="1879" spans="1:13" ht="21" customHeight="1">
      <c r="A1879" s="213" t="s">
        <v>6664</v>
      </c>
      <c r="B1879" s="215">
        <f t="shared" si="87"/>
        <v>45777</v>
      </c>
      <c r="C1879" s="213" t="s">
        <v>6184</v>
      </c>
      <c r="D1879" s="213" t="s">
        <v>4369</v>
      </c>
      <c r="E1879" s="213" t="s">
        <v>4368</v>
      </c>
      <c r="F1879" s="212" t="s">
        <v>6388</v>
      </c>
      <c r="G1879" s="212" t="str">
        <f t="shared" si="88"/>
        <v>831지급수수료(판)</v>
      </c>
      <c r="H1879" s="214">
        <v>11650</v>
      </c>
      <c r="I1879" s="214">
        <v>0</v>
      </c>
      <c r="J1879" s="214">
        <f t="shared" si="89"/>
        <v>-11650</v>
      </c>
      <c r="K1879" s="212" t="s">
        <v>6227</v>
      </c>
      <c r="L1879" s="213"/>
      <c r="M1879" s="212" t="s">
        <v>6307</v>
      </c>
    </row>
    <row r="1880" spans="1:13" ht="21" customHeight="1">
      <c r="A1880" s="213" t="s">
        <v>6664</v>
      </c>
      <c r="B1880" s="215">
        <f t="shared" si="87"/>
        <v>45777</v>
      </c>
      <c r="C1880" s="213" t="s">
        <v>6184</v>
      </c>
      <c r="D1880" s="213" t="s">
        <v>4366</v>
      </c>
      <c r="E1880" s="213" t="s">
        <v>333</v>
      </c>
      <c r="F1880" s="212" t="s">
        <v>4365</v>
      </c>
      <c r="G1880" s="212" t="str">
        <f t="shared" si="88"/>
        <v>101현금</v>
      </c>
      <c r="H1880" s="214">
        <v>0</v>
      </c>
      <c r="I1880" s="214">
        <v>12815</v>
      </c>
      <c r="J1880" s="214">
        <f t="shared" si="89"/>
        <v>12815</v>
      </c>
      <c r="K1880" s="212" t="s">
        <v>6227</v>
      </c>
      <c r="L1880" s="213"/>
      <c r="M1880" s="212" t="s">
        <v>6307</v>
      </c>
    </row>
    <row r="1881" spans="1:13" ht="21" customHeight="1">
      <c r="A1881" s="213" t="s">
        <v>6664</v>
      </c>
      <c r="B1881" s="215">
        <f t="shared" si="87"/>
        <v>45777</v>
      </c>
      <c r="C1881" s="213" t="s">
        <v>6186</v>
      </c>
      <c r="D1881" s="213" t="s">
        <v>4366</v>
      </c>
      <c r="E1881" s="213" t="s">
        <v>6176</v>
      </c>
      <c r="F1881" s="212" t="s">
        <v>6177</v>
      </c>
      <c r="G1881" s="212" t="str">
        <f t="shared" si="88"/>
        <v>255부가세예수금</v>
      </c>
      <c r="H1881" s="214">
        <v>0</v>
      </c>
      <c r="I1881" s="214">
        <v>15000</v>
      </c>
      <c r="J1881" s="214">
        <f t="shared" si="89"/>
        <v>15000</v>
      </c>
      <c r="K1881" s="212" t="s">
        <v>6390</v>
      </c>
      <c r="L1881" s="213"/>
      <c r="M1881" s="212" t="s">
        <v>6179</v>
      </c>
    </row>
    <row r="1882" spans="1:13" ht="21" customHeight="1">
      <c r="A1882" s="213" t="s">
        <v>6664</v>
      </c>
      <c r="B1882" s="215">
        <f t="shared" si="87"/>
        <v>45777</v>
      </c>
      <c r="C1882" s="213" t="s">
        <v>6186</v>
      </c>
      <c r="D1882" s="213" t="s">
        <v>4366</v>
      </c>
      <c r="E1882" s="213" t="s">
        <v>334</v>
      </c>
      <c r="F1882" s="212" t="s">
        <v>6158</v>
      </c>
      <c r="G1882" s="212" t="str">
        <f t="shared" si="88"/>
        <v>401용역매출</v>
      </c>
      <c r="H1882" s="214">
        <v>0</v>
      </c>
      <c r="I1882" s="214">
        <v>150000</v>
      </c>
      <c r="J1882" s="214">
        <f t="shared" si="89"/>
        <v>150000</v>
      </c>
      <c r="K1882" s="212" t="s">
        <v>6390</v>
      </c>
      <c r="L1882" s="213"/>
      <c r="M1882" s="212" t="s">
        <v>6179</v>
      </c>
    </row>
    <row r="1883" spans="1:13" ht="21" customHeight="1">
      <c r="A1883" s="213" t="s">
        <v>6664</v>
      </c>
      <c r="B1883" s="215">
        <f t="shared" si="87"/>
        <v>45777</v>
      </c>
      <c r="C1883" s="213" t="s">
        <v>6186</v>
      </c>
      <c r="D1883" s="213" t="s">
        <v>4369</v>
      </c>
      <c r="E1883" s="213" t="s">
        <v>333</v>
      </c>
      <c r="F1883" s="212" t="s">
        <v>4365</v>
      </c>
      <c r="G1883" s="212" t="str">
        <f t="shared" si="88"/>
        <v>101현금</v>
      </c>
      <c r="H1883" s="214">
        <v>165000</v>
      </c>
      <c r="I1883" s="214">
        <v>0</v>
      </c>
      <c r="J1883" s="214">
        <f t="shared" si="89"/>
        <v>-165000</v>
      </c>
      <c r="K1883" s="212" t="s">
        <v>6390</v>
      </c>
      <c r="L1883" s="213"/>
      <c r="M1883" s="212" t="s">
        <v>6179</v>
      </c>
    </row>
    <row r="1884" spans="1:13" ht="21" customHeight="1">
      <c r="A1884" s="213" t="s">
        <v>6664</v>
      </c>
      <c r="B1884" s="215">
        <f t="shared" si="87"/>
        <v>45777</v>
      </c>
      <c r="C1884" s="213" t="s">
        <v>6189</v>
      </c>
      <c r="D1884" s="213" t="s">
        <v>4366</v>
      </c>
      <c r="E1884" s="213" t="s">
        <v>6176</v>
      </c>
      <c r="F1884" s="212" t="s">
        <v>6177</v>
      </c>
      <c r="G1884" s="212" t="str">
        <f t="shared" si="88"/>
        <v>255부가세예수금</v>
      </c>
      <c r="H1884" s="214">
        <v>0</v>
      </c>
      <c r="I1884" s="214">
        <v>30000</v>
      </c>
      <c r="J1884" s="214">
        <f t="shared" si="89"/>
        <v>30000</v>
      </c>
      <c r="K1884" s="212" t="s">
        <v>6180</v>
      </c>
      <c r="L1884" s="213"/>
      <c r="M1884" s="212" t="s">
        <v>6190</v>
      </c>
    </row>
    <row r="1885" spans="1:13" ht="21" customHeight="1">
      <c r="A1885" s="213" t="s">
        <v>6664</v>
      </c>
      <c r="B1885" s="215">
        <f t="shared" si="87"/>
        <v>45777</v>
      </c>
      <c r="C1885" s="213" t="s">
        <v>6189</v>
      </c>
      <c r="D1885" s="213" t="s">
        <v>4366</v>
      </c>
      <c r="E1885" s="213" t="s">
        <v>334</v>
      </c>
      <c r="F1885" s="212" t="s">
        <v>6158</v>
      </c>
      <c r="G1885" s="212" t="str">
        <f t="shared" si="88"/>
        <v>401용역매출</v>
      </c>
      <c r="H1885" s="214">
        <v>0</v>
      </c>
      <c r="I1885" s="214">
        <v>300000</v>
      </c>
      <c r="J1885" s="214">
        <f t="shared" si="89"/>
        <v>300000</v>
      </c>
      <c r="K1885" s="212" t="s">
        <v>6180</v>
      </c>
      <c r="L1885" s="213"/>
      <c r="M1885" s="212" t="s">
        <v>6190</v>
      </c>
    </row>
    <row r="1886" spans="1:13" ht="21" customHeight="1">
      <c r="A1886" s="213" t="s">
        <v>6664</v>
      </c>
      <c r="B1886" s="215">
        <f t="shared" si="87"/>
        <v>45777</v>
      </c>
      <c r="C1886" s="213" t="s">
        <v>6189</v>
      </c>
      <c r="D1886" s="213" t="s">
        <v>4369</v>
      </c>
      <c r="E1886" s="213" t="s">
        <v>333</v>
      </c>
      <c r="F1886" s="212" t="s">
        <v>4365</v>
      </c>
      <c r="G1886" s="212" t="str">
        <f t="shared" si="88"/>
        <v>101현금</v>
      </c>
      <c r="H1886" s="214">
        <v>330000</v>
      </c>
      <c r="I1886" s="214">
        <v>0</v>
      </c>
      <c r="J1886" s="214">
        <f t="shared" si="89"/>
        <v>-330000</v>
      </c>
      <c r="K1886" s="212" t="s">
        <v>6180</v>
      </c>
      <c r="L1886" s="213"/>
      <c r="M1886" s="212" t="s">
        <v>6190</v>
      </c>
    </row>
    <row r="1887" spans="1:13" ht="21" customHeight="1">
      <c r="A1887" s="213" t="s">
        <v>6664</v>
      </c>
      <c r="B1887" s="215">
        <f t="shared" si="87"/>
        <v>45777</v>
      </c>
      <c r="C1887" s="213" t="s">
        <v>6191</v>
      </c>
      <c r="D1887" s="213" t="s">
        <v>4366</v>
      </c>
      <c r="E1887" s="213" t="s">
        <v>6176</v>
      </c>
      <c r="F1887" s="212" t="s">
        <v>6177</v>
      </c>
      <c r="G1887" s="212" t="str">
        <f t="shared" si="88"/>
        <v>255부가세예수금</v>
      </c>
      <c r="H1887" s="214">
        <v>0</v>
      </c>
      <c r="I1887" s="214">
        <v>12000</v>
      </c>
      <c r="J1887" s="214">
        <f t="shared" si="89"/>
        <v>12000</v>
      </c>
      <c r="K1887" s="212" t="s">
        <v>6224</v>
      </c>
      <c r="L1887" s="213"/>
      <c r="M1887" s="212" t="s">
        <v>6225</v>
      </c>
    </row>
    <row r="1888" spans="1:13" ht="21" customHeight="1">
      <c r="A1888" s="213" t="s">
        <v>6664</v>
      </c>
      <c r="B1888" s="215">
        <f t="shared" si="87"/>
        <v>45777</v>
      </c>
      <c r="C1888" s="213" t="s">
        <v>6191</v>
      </c>
      <c r="D1888" s="213" t="s">
        <v>4366</v>
      </c>
      <c r="E1888" s="213" t="s">
        <v>334</v>
      </c>
      <c r="F1888" s="212" t="s">
        <v>6158</v>
      </c>
      <c r="G1888" s="212" t="str">
        <f t="shared" si="88"/>
        <v>401용역매출</v>
      </c>
      <c r="H1888" s="214">
        <v>0</v>
      </c>
      <c r="I1888" s="214">
        <v>120000</v>
      </c>
      <c r="J1888" s="214">
        <f t="shared" si="89"/>
        <v>120000</v>
      </c>
      <c r="K1888" s="212" t="s">
        <v>6224</v>
      </c>
      <c r="L1888" s="213"/>
      <c r="M1888" s="212" t="s">
        <v>6225</v>
      </c>
    </row>
    <row r="1889" spans="1:13" ht="21" customHeight="1">
      <c r="A1889" s="213" t="s">
        <v>6664</v>
      </c>
      <c r="B1889" s="215">
        <f t="shared" si="87"/>
        <v>45777</v>
      </c>
      <c r="C1889" s="213" t="s">
        <v>6191</v>
      </c>
      <c r="D1889" s="213" t="s">
        <v>4369</v>
      </c>
      <c r="E1889" s="213" t="s">
        <v>333</v>
      </c>
      <c r="F1889" s="212" t="s">
        <v>4365</v>
      </c>
      <c r="G1889" s="212" t="str">
        <f t="shared" si="88"/>
        <v>101현금</v>
      </c>
      <c r="H1889" s="214">
        <v>132000</v>
      </c>
      <c r="I1889" s="214">
        <v>0</v>
      </c>
      <c r="J1889" s="214">
        <f t="shared" si="89"/>
        <v>-132000</v>
      </c>
      <c r="K1889" s="212" t="s">
        <v>6224</v>
      </c>
      <c r="L1889" s="213"/>
      <c r="M1889" s="212" t="s">
        <v>6225</v>
      </c>
    </row>
    <row r="1890" spans="1:13" ht="21" customHeight="1">
      <c r="A1890" s="213" t="s">
        <v>6664</v>
      </c>
      <c r="B1890" s="215">
        <f t="shared" si="87"/>
        <v>45777</v>
      </c>
      <c r="C1890" s="213" t="s">
        <v>6216</v>
      </c>
      <c r="D1890" s="213" t="s">
        <v>4366</v>
      </c>
      <c r="E1890" s="213" t="s">
        <v>6176</v>
      </c>
      <c r="F1890" s="212" t="s">
        <v>6177</v>
      </c>
      <c r="G1890" s="212" t="str">
        <f t="shared" si="88"/>
        <v>255부가세예수금</v>
      </c>
      <c r="H1890" s="214">
        <v>0</v>
      </c>
      <c r="I1890" s="214">
        <v>7000</v>
      </c>
      <c r="J1890" s="214">
        <f t="shared" si="89"/>
        <v>7000</v>
      </c>
      <c r="K1890" s="212" t="s">
        <v>6336</v>
      </c>
      <c r="L1890" s="213"/>
      <c r="M1890" s="212" t="s">
        <v>6287</v>
      </c>
    </row>
    <row r="1891" spans="1:13" ht="21" customHeight="1">
      <c r="A1891" s="213" t="s">
        <v>6664</v>
      </c>
      <c r="B1891" s="215">
        <f t="shared" si="87"/>
        <v>45777</v>
      </c>
      <c r="C1891" s="213" t="s">
        <v>6216</v>
      </c>
      <c r="D1891" s="213" t="s">
        <v>4366</v>
      </c>
      <c r="E1891" s="213" t="s">
        <v>334</v>
      </c>
      <c r="F1891" s="212" t="s">
        <v>6158</v>
      </c>
      <c r="G1891" s="212" t="str">
        <f t="shared" si="88"/>
        <v>401용역매출</v>
      </c>
      <c r="H1891" s="214">
        <v>0</v>
      </c>
      <c r="I1891" s="214">
        <v>70000</v>
      </c>
      <c r="J1891" s="214">
        <f t="shared" si="89"/>
        <v>70000</v>
      </c>
      <c r="K1891" s="212" t="s">
        <v>6336</v>
      </c>
      <c r="L1891" s="213"/>
      <c r="M1891" s="212" t="s">
        <v>6287</v>
      </c>
    </row>
    <row r="1892" spans="1:13" ht="21" customHeight="1">
      <c r="A1892" s="213" t="s">
        <v>6664</v>
      </c>
      <c r="B1892" s="215">
        <f t="shared" si="87"/>
        <v>45777</v>
      </c>
      <c r="C1892" s="213" t="s">
        <v>6216</v>
      </c>
      <c r="D1892" s="213" t="s">
        <v>4369</v>
      </c>
      <c r="E1892" s="213" t="s">
        <v>333</v>
      </c>
      <c r="F1892" s="212" t="s">
        <v>4365</v>
      </c>
      <c r="G1892" s="212" t="str">
        <f t="shared" si="88"/>
        <v>101현금</v>
      </c>
      <c r="H1892" s="214">
        <v>77000</v>
      </c>
      <c r="I1892" s="214">
        <v>0</v>
      </c>
      <c r="J1892" s="214">
        <f t="shared" si="89"/>
        <v>-77000</v>
      </c>
      <c r="K1892" s="212" t="s">
        <v>6336</v>
      </c>
      <c r="L1892" s="213"/>
      <c r="M1892" s="212" t="s">
        <v>6287</v>
      </c>
    </row>
    <row r="1893" spans="1:13" ht="21" customHeight="1">
      <c r="A1893" s="213" t="s">
        <v>6664</v>
      </c>
      <c r="B1893" s="215">
        <f t="shared" si="87"/>
        <v>45777</v>
      </c>
      <c r="C1893" s="213" t="s">
        <v>6217</v>
      </c>
      <c r="D1893" s="213" t="s">
        <v>4366</v>
      </c>
      <c r="E1893" s="213" t="s">
        <v>6176</v>
      </c>
      <c r="F1893" s="212" t="s">
        <v>6177</v>
      </c>
      <c r="G1893" s="212" t="str">
        <f t="shared" si="88"/>
        <v>255부가세예수금</v>
      </c>
      <c r="H1893" s="214">
        <v>0</v>
      </c>
      <c r="I1893" s="214">
        <v>15000</v>
      </c>
      <c r="J1893" s="214">
        <f t="shared" si="89"/>
        <v>15000</v>
      </c>
      <c r="K1893" s="212" t="s">
        <v>6223</v>
      </c>
      <c r="L1893" s="213"/>
      <c r="M1893" s="212" t="s">
        <v>6179</v>
      </c>
    </row>
    <row r="1894" spans="1:13" ht="21" customHeight="1">
      <c r="A1894" s="213" t="s">
        <v>6664</v>
      </c>
      <c r="B1894" s="215">
        <f t="shared" si="87"/>
        <v>45777</v>
      </c>
      <c r="C1894" s="213" t="s">
        <v>6217</v>
      </c>
      <c r="D1894" s="213" t="s">
        <v>4366</v>
      </c>
      <c r="E1894" s="213" t="s">
        <v>334</v>
      </c>
      <c r="F1894" s="212" t="s">
        <v>6158</v>
      </c>
      <c r="G1894" s="212" t="str">
        <f t="shared" si="88"/>
        <v>401용역매출</v>
      </c>
      <c r="H1894" s="214">
        <v>0</v>
      </c>
      <c r="I1894" s="214">
        <v>150000</v>
      </c>
      <c r="J1894" s="214">
        <f t="shared" si="89"/>
        <v>150000</v>
      </c>
      <c r="K1894" s="212" t="s">
        <v>6223</v>
      </c>
      <c r="L1894" s="213"/>
      <c r="M1894" s="212" t="s">
        <v>6179</v>
      </c>
    </row>
    <row r="1895" spans="1:13" ht="21" customHeight="1">
      <c r="A1895" s="213" t="s">
        <v>6664</v>
      </c>
      <c r="B1895" s="215">
        <f t="shared" si="87"/>
        <v>45777</v>
      </c>
      <c r="C1895" s="213" t="s">
        <v>6217</v>
      </c>
      <c r="D1895" s="213" t="s">
        <v>4369</v>
      </c>
      <c r="E1895" s="213" t="s">
        <v>333</v>
      </c>
      <c r="F1895" s="212" t="s">
        <v>4365</v>
      </c>
      <c r="G1895" s="212" t="str">
        <f t="shared" si="88"/>
        <v>101현금</v>
      </c>
      <c r="H1895" s="214">
        <v>165000</v>
      </c>
      <c r="I1895" s="214">
        <v>0</v>
      </c>
      <c r="J1895" s="214">
        <f t="shared" si="89"/>
        <v>-165000</v>
      </c>
      <c r="K1895" s="212" t="s">
        <v>6223</v>
      </c>
      <c r="L1895" s="213"/>
      <c r="M1895" s="212" t="s">
        <v>6179</v>
      </c>
    </row>
    <row r="1896" spans="1:13" ht="21" customHeight="1">
      <c r="A1896" s="213" t="s">
        <v>6664</v>
      </c>
      <c r="B1896" s="215">
        <f t="shared" si="87"/>
        <v>45777</v>
      </c>
      <c r="C1896" s="213" t="s">
        <v>6218</v>
      </c>
      <c r="D1896" s="213" t="s">
        <v>4366</v>
      </c>
      <c r="E1896" s="213" t="s">
        <v>6176</v>
      </c>
      <c r="F1896" s="212" t="s">
        <v>6177</v>
      </c>
      <c r="G1896" s="212" t="str">
        <f t="shared" si="88"/>
        <v>255부가세예수금</v>
      </c>
      <c r="H1896" s="214">
        <v>0</v>
      </c>
      <c r="I1896" s="214">
        <v>10000</v>
      </c>
      <c r="J1896" s="214">
        <f t="shared" si="89"/>
        <v>10000</v>
      </c>
      <c r="K1896" s="212" t="s">
        <v>6226</v>
      </c>
      <c r="L1896" s="213"/>
      <c r="M1896" s="212" t="s">
        <v>6185</v>
      </c>
    </row>
    <row r="1897" spans="1:13" ht="21" customHeight="1">
      <c r="A1897" s="213" t="s">
        <v>6664</v>
      </c>
      <c r="B1897" s="215">
        <f t="shared" si="87"/>
        <v>45777</v>
      </c>
      <c r="C1897" s="213" t="s">
        <v>6218</v>
      </c>
      <c r="D1897" s="213" t="s">
        <v>4366</v>
      </c>
      <c r="E1897" s="213" t="s">
        <v>334</v>
      </c>
      <c r="F1897" s="212" t="s">
        <v>6158</v>
      </c>
      <c r="G1897" s="212" t="str">
        <f t="shared" si="88"/>
        <v>401용역매출</v>
      </c>
      <c r="H1897" s="214">
        <v>0</v>
      </c>
      <c r="I1897" s="214">
        <v>100000</v>
      </c>
      <c r="J1897" s="214">
        <f t="shared" si="89"/>
        <v>100000</v>
      </c>
      <c r="K1897" s="212" t="s">
        <v>6226</v>
      </c>
      <c r="L1897" s="213"/>
      <c r="M1897" s="212" t="s">
        <v>6185</v>
      </c>
    </row>
    <row r="1898" spans="1:13" ht="21" customHeight="1">
      <c r="A1898" s="213" t="s">
        <v>6664</v>
      </c>
      <c r="B1898" s="215">
        <f t="shared" si="87"/>
        <v>45777</v>
      </c>
      <c r="C1898" s="213" t="s">
        <v>6218</v>
      </c>
      <c r="D1898" s="213" t="s">
        <v>4369</v>
      </c>
      <c r="E1898" s="213" t="s">
        <v>333</v>
      </c>
      <c r="F1898" s="212" t="s">
        <v>4365</v>
      </c>
      <c r="G1898" s="212" t="str">
        <f t="shared" si="88"/>
        <v>101현금</v>
      </c>
      <c r="H1898" s="214">
        <v>110000</v>
      </c>
      <c r="I1898" s="214">
        <v>0</v>
      </c>
      <c r="J1898" s="214">
        <f t="shared" si="89"/>
        <v>-110000</v>
      </c>
      <c r="K1898" s="212" t="s">
        <v>6226</v>
      </c>
      <c r="L1898" s="213"/>
      <c r="M1898" s="212" t="s">
        <v>6185</v>
      </c>
    </row>
    <row r="1899" spans="1:13" ht="21" customHeight="1">
      <c r="A1899" s="213" t="s">
        <v>6664</v>
      </c>
      <c r="B1899" s="215">
        <f t="shared" si="87"/>
        <v>45777</v>
      </c>
      <c r="C1899" s="213" t="s">
        <v>6238</v>
      </c>
      <c r="D1899" s="216" t="s">
        <v>4372</v>
      </c>
      <c r="E1899" s="213" t="s">
        <v>6176</v>
      </c>
      <c r="F1899" s="212" t="s">
        <v>6177</v>
      </c>
      <c r="G1899" s="212" t="str">
        <f t="shared" si="88"/>
        <v>255부가세예수금</v>
      </c>
      <c r="H1899" s="214">
        <v>0</v>
      </c>
      <c r="I1899" s="214">
        <v>136363</v>
      </c>
      <c r="J1899" s="214">
        <f t="shared" si="89"/>
        <v>136363</v>
      </c>
      <c r="K1899" s="212" t="s">
        <v>6277</v>
      </c>
      <c r="L1899" s="213" t="s">
        <v>6411</v>
      </c>
      <c r="M1899" s="212" t="s">
        <v>6512</v>
      </c>
    </row>
    <row r="1900" spans="1:13" ht="21" customHeight="1">
      <c r="A1900" s="213" t="s">
        <v>6664</v>
      </c>
      <c r="B1900" s="215">
        <f t="shared" si="87"/>
        <v>45777</v>
      </c>
      <c r="C1900" s="213" t="s">
        <v>6238</v>
      </c>
      <c r="D1900" s="216" t="s">
        <v>4372</v>
      </c>
      <c r="E1900" s="213" t="s">
        <v>333</v>
      </c>
      <c r="F1900" s="212" t="s">
        <v>4365</v>
      </c>
      <c r="G1900" s="212" t="str">
        <f t="shared" si="88"/>
        <v>101현금</v>
      </c>
      <c r="H1900" s="214">
        <v>136363</v>
      </c>
      <c r="I1900" s="214">
        <v>0</v>
      </c>
      <c r="J1900" s="214">
        <f t="shared" si="89"/>
        <v>-136363</v>
      </c>
      <c r="K1900" s="212" t="s">
        <v>6277</v>
      </c>
      <c r="L1900" s="213" t="s">
        <v>6411</v>
      </c>
      <c r="M1900" s="212" t="s">
        <v>6512</v>
      </c>
    </row>
    <row r="1901" spans="1:13" ht="21" customHeight="1">
      <c r="A1901" s="213" t="s">
        <v>6664</v>
      </c>
      <c r="B1901" s="215">
        <f t="shared" si="87"/>
        <v>45777</v>
      </c>
      <c r="C1901" s="213" t="s">
        <v>6238</v>
      </c>
      <c r="D1901" s="216" t="s">
        <v>4372</v>
      </c>
      <c r="E1901" s="213" t="s">
        <v>334</v>
      </c>
      <c r="F1901" s="212" t="s">
        <v>6158</v>
      </c>
      <c r="G1901" s="212" t="str">
        <f t="shared" si="88"/>
        <v>401용역매출</v>
      </c>
      <c r="H1901" s="214">
        <v>0</v>
      </c>
      <c r="I1901" s="214">
        <v>1363637</v>
      </c>
      <c r="J1901" s="214">
        <f t="shared" si="89"/>
        <v>1363637</v>
      </c>
      <c r="K1901" s="212" t="s">
        <v>6277</v>
      </c>
      <c r="L1901" s="213" t="s">
        <v>6411</v>
      </c>
      <c r="M1901" s="212" t="s">
        <v>6512</v>
      </c>
    </row>
    <row r="1902" spans="1:13" ht="21" customHeight="1">
      <c r="A1902" s="213" t="s">
        <v>6664</v>
      </c>
      <c r="B1902" s="215">
        <f t="shared" si="87"/>
        <v>45777</v>
      </c>
      <c r="C1902" s="213" t="s">
        <v>6238</v>
      </c>
      <c r="D1902" s="216" t="s">
        <v>4372</v>
      </c>
      <c r="E1902" s="213" t="s">
        <v>333</v>
      </c>
      <c r="F1902" s="212" t="s">
        <v>4365</v>
      </c>
      <c r="G1902" s="212" t="str">
        <f t="shared" si="88"/>
        <v>101현금</v>
      </c>
      <c r="H1902" s="214">
        <v>1363637</v>
      </c>
      <c r="I1902" s="214">
        <v>0</v>
      </c>
      <c r="J1902" s="214">
        <f t="shared" si="89"/>
        <v>-1363637</v>
      </c>
      <c r="K1902" s="212" t="s">
        <v>6277</v>
      </c>
      <c r="L1902" s="213" t="s">
        <v>6411</v>
      </c>
      <c r="M1902" s="212" t="s">
        <v>6512</v>
      </c>
    </row>
    <row r="1903" spans="1:13" ht="21" customHeight="1">
      <c r="A1903" s="213" t="s">
        <v>6664</v>
      </c>
      <c r="B1903" s="215">
        <f t="shared" si="87"/>
        <v>45777</v>
      </c>
      <c r="C1903" s="213" t="s">
        <v>6240</v>
      </c>
      <c r="D1903" s="213" t="s">
        <v>4366</v>
      </c>
      <c r="E1903" s="213" t="s">
        <v>333</v>
      </c>
      <c r="F1903" s="212" t="s">
        <v>4365</v>
      </c>
      <c r="G1903" s="212" t="str">
        <f t="shared" si="88"/>
        <v>101현금</v>
      </c>
      <c r="H1903" s="214">
        <v>0</v>
      </c>
      <c r="I1903" s="214">
        <v>80590</v>
      </c>
      <c r="J1903" s="214">
        <f t="shared" si="89"/>
        <v>80590</v>
      </c>
      <c r="K1903" s="212" t="s">
        <v>6370</v>
      </c>
      <c r="L1903" s="213"/>
      <c r="M1903" s="212"/>
    </row>
    <row r="1904" spans="1:13" ht="21" customHeight="1">
      <c r="A1904" s="213" t="s">
        <v>6664</v>
      </c>
      <c r="B1904" s="215">
        <f t="shared" si="87"/>
        <v>45777</v>
      </c>
      <c r="C1904" s="213" t="s">
        <v>6240</v>
      </c>
      <c r="D1904" s="213" t="s">
        <v>4369</v>
      </c>
      <c r="E1904" s="213" t="s">
        <v>4383</v>
      </c>
      <c r="F1904" s="212" t="s">
        <v>6525</v>
      </c>
      <c r="G1904" s="212" t="str">
        <f t="shared" si="88"/>
        <v>830소모품비(판)</v>
      </c>
      <c r="H1904" s="214">
        <v>73264</v>
      </c>
      <c r="I1904" s="214">
        <v>0</v>
      </c>
      <c r="J1904" s="214">
        <f t="shared" si="89"/>
        <v>-73264</v>
      </c>
      <c r="K1904" s="212" t="s">
        <v>6174</v>
      </c>
      <c r="L1904" s="213" t="s">
        <v>6411</v>
      </c>
      <c r="M1904" s="212"/>
    </row>
    <row r="1905" spans="1:13" ht="21" customHeight="1">
      <c r="A1905" s="213" t="s">
        <v>6664</v>
      </c>
      <c r="B1905" s="215">
        <f t="shared" si="87"/>
        <v>45777</v>
      </c>
      <c r="C1905" s="213" t="s">
        <v>6240</v>
      </c>
      <c r="D1905" s="213" t="s">
        <v>4369</v>
      </c>
      <c r="E1905" s="213" t="s">
        <v>4371</v>
      </c>
      <c r="F1905" s="212" t="s">
        <v>4370</v>
      </c>
      <c r="G1905" s="212" t="str">
        <f t="shared" si="88"/>
        <v>135부가세대급금</v>
      </c>
      <c r="H1905" s="214">
        <v>7326</v>
      </c>
      <c r="I1905" s="214">
        <v>0</v>
      </c>
      <c r="J1905" s="214">
        <f t="shared" si="89"/>
        <v>-7326</v>
      </c>
      <c r="K1905" s="212" t="s">
        <v>6174</v>
      </c>
      <c r="L1905" s="213" t="s">
        <v>6411</v>
      </c>
      <c r="M1905" s="212"/>
    </row>
    <row r="1906" spans="1:13" ht="21" customHeight="1">
      <c r="A1906" s="213" t="s">
        <v>6663</v>
      </c>
      <c r="B1906" s="215">
        <f t="shared" si="87"/>
        <v>45778</v>
      </c>
      <c r="C1906" s="213" t="s">
        <v>4373</v>
      </c>
      <c r="D1906" s="213" t="s">
        <v>4369</v>
      </c>
      <c r="E1906" s="213" t="s">
        <v>4499</v>
      </c>
      <c r="F1906" s="212" t="s">
        <v>6517</v>
      </c>
      <c r="G1906" s="212" t="str">
        <f t="shared" si="88"/>
        <v>811복리후생비(판)</v>
      </c>
      <c r="H1906" s="214">
        <v>16000</v>
      </c>
      <c r="I1906" s="214">
        <v>0</v>
      </c>
      <c r="J1906" s="214">
        <f t="shared" si="89"/>
        <v>-16000</v>
      </c>
      <c r="K1906" s="212" t="s">
        <v>6516</v>
      </c>
      <c r="L1906" s="213"/>
      <c r="M1906" s="212"/>
    </row>
    <row r="1907" spans="1:13" ht="21" customHeight="1">
      <c r="A1907" s="213" t="s">
        <v>6663</v>
      </c>
      <c r="B1907" s="215">
        <f t="shared" si="87"/>
        <v>45778</v>
      </c>
      <c r="C1907" s="213" t="s">
        <v>4373</v>
      </c>
      <c r="D1907" s="213" t="s">
        <v>4366</v>
      </c>
      <c r="E1907" s="213" t="s">
        <v>333</v>
      </c>
      <c r="F1907" s="212" t="s">
        <v>4365</v>
      </c>
      <c r="G1907" s="212" t="str">
        <f t="shared" si="88"/>
        <v>101현금</v>
      </c>
      <c r="H1907" s="214">
        <v>0</v>
      </c>
      <c r="I1907" s="214">
        <v>16000</v>
      </c>
      <c r="J1907" s="214">
        <f t="shared" si="89"/>
        <v>16000</v>
      </c>
      <c r="K1907" s="212" t="s">
        <v>6369</v>
      </c>
      <c r="L1907" s="213"/>
      <c r="M1907" s="212"/>
    </row>
    <row r="1908" spans="1:13" ht="21" customHeight="1">
      <c r="A1908" s="213" t="s">
        <v>6663</v>
      </c>
      <c r="B1908" s="215">
        <f t="shared" si="87"/>
        <v>45778</v>
      </c>
      <c r="C1908" s="213" t="s">
        <v>4382</v>
      </c>
      <c r="D1908" s="213" t="s">
        <v>4369</v>
      </c>
      <c r="E1908" s="213" t="s">
        <v>4383</v>
      </c>
      <c r="F1908" s="212" t="s">
        <v>6525</v>
      </c>
      <c r="G1908" s="212" t="str">
        <f t="shared" si="88"/>
        <v>830소모품비(판)</v>
      </c>
      <c r="H1908" s="214">
        <v>3850</v>
      </c>
      <c r="I1908" s="214">
        <v>0</v>
      </c>
      <c r="J1908" s="214">
        <f t="shared" si="89"/>
        <v>-3850</v>
      </c>
      <c r="K1908" s="212" t="s">
        <v>6357</v>
      </c>
      <c r="L1908" s="213"/>
      <c r="M1908" s="212"/>
    </row>
    <row r="1909" spans="1:13" ht="21" customHeight="1">
      <c r="A1909" s="213" t="s">
        <v>6663</v>
      </c>
      <c r="B1909" s="215">
        <f t="shared" si="87"/>
        <v>45778</v>
      </c>
      <c r="C1909" s="213" t="s">
        <v>4382</v>
      </c>
      <c r="D1909" s="213" t="s">
        <v>4366</v>
      </c>
      <c r="E1909" s="213" t="s">
        <v>333</v>
      </c>
      <c r="F1909" s="212" t="s">
        <v>4365</v>
      </c>
      <c r="G1909" s="212" t="str">
        <f t="shared" si="88"/>
        <v>101현금</v>
      </c>
      <c r="H1909" s="214">
        <v>0</v>
      </c>
      <c r="I1909" s="214">
        <v>3850</v>
      </c>
      <c r="J1909" s="214">
        <f t="shared" si="89"/>
        <v>3850</v>
      </c>
      <c r="K1909" s="212" t="s">
        <v>6200</v>
      </c>
      <c r="L1909" s="213"/>
      <c r="M1909" s="212"/>
    </row>
    <row r="1910" spans="1:13" ht="21" customHeight="1">
      <c r="A1910" s="213" t="s">
        <v>6663</v>
      </c>
      <c r="B1910" s="215">
        <f t="shared" si="87"/>
        <v>45778</v>
      </c>
      <c r="C1910" s="213" t="s">
        <v>4367</v>
      </c>
      <c r="D1910" s="213" t="s">
        <v>4366</v>
      </c>
      <c r="E1910" s="213" t="s">
        <v>6176</v>
      </c>
      <c r="F1910" s="212" t="s">
        <v>6177</v>
      </c>
      <c r="G1910" s="212" t="str">
        <f t="shared" si="88"/>
        <v>255부가세예수금</v>
      </c>
      <c r="H1910" s="214">
        <v>0</v>
      </c>
      <c r="I1910" s="214">
        <v>9091</v>
      </c>
      <c r="J1910" s="214">
        <f t="shared" si="89"/>
        <v>9091</v>
      </c>
      <c r="K1910" s="212" t="s">
        <v>6300</v>
      </c>
      <c r="L1910" s="213"/>
      <c r="M1910" s="212" t="s">
        <v>6296</v>
      </c>
    </row>
    <row r="1911" spans="1:13" ht="21" customHeight="1">
      <c r="A1911" s="213" t="s">
        <v>6663</v>
      </c>
      <c r="B1911" s="215">
        <f t="shared" si="87"/>
        <v>45778</v>
      </c>
      <c r="C1911" s="213" t="s">
        <v>4367</v>
      </c>
      <c r="D1911" s="213" t="s">
        <v>4366</v>
      </c>
      <c r="E1911" s="213" t="s">
        <v>334</v>
      </c>
      <c r="F1911" s="212" t="s">
        <v>6158</v>
      </c>
      <c r="G1911" s="212" t="str">
        <f t="shared" si="88"/>
        <v>401용역매출</v>
      </c>
      <c r="H1911" s="214">
        <v>0</v>
      </c>
      <c r="I1911" s="214">
        <v>90909</v>
      </c>
      <c r="J1911" s="214">
        <f t="shared" si="89"/>
        <v>90909</v>
      </c>
      <c r="K1911" s="212" t="s">
        <v>6300</v>
      </c>
      <c r="L1911" s="213"/>
      <c r="M1911" s="212" t="s">
        <v>6296</v>
      </c>
    </row>
    <row r="1912" spans="1:13" ht="21" customHeight="1">
      <c r="A1912" s="213" t="s">
        <v>6663</v>
      </c>
      <c r="B1912" s="215">
        <f t="shared" si="87"/>
        <v>45778</v>
      </c>
      <c r="C1912" s="213" t="s">
        <v>4367</v>
      </c>
      <c r="D1912" s="213" t="s">
        <v>4369</v>
      </c>
      <c r="E1912" s="213" t="s">
        <v>333</v>
      </c>
      <c r="F1912" s="212" t="s">
        <v>4365</v>
      </c>
      <c r="G1912" s="212" t="str">
        <f t="shared" si="88"/>
        <v>101현금</v>
      </c>
      <c r="H1912" s="214">
        <v>100000</v>
      </c>
      <c r="I1912" s="214">
        <v>0</v>
      </c>
      <c r="J1912" s="214">
        <f t="shared" si="89"/>
        <v>-100000</v>
      </c>
      <c r="K1912" s="212" t="s">
        <v>6300</v>
      </c>
      <c r="L1912" s="213"/>
      <c r="M1912" s="212" t="s">
        <v>6296</v>
      </c>
    </row>
    <row r="1913" spans="1:13" ht="21" customHeight="1">
      <c r="A1913" s="213" t="s">
        <v>6663</v>
      </c>
      <c r="B1913" s="215">
        <f t="shared" si="87"/>
        <v>45778</v>
      </c>
      <c r="C1913" s="213" t="s">
        <v>4374</v>
      </c>
      <c r="D1913" s="213" t="s">
        <v>4366</v>
      </c>
      <c r="E1913" s="213" t="s">
        <v>6176</v>
      </c>
      <c r="F1913" s="212" t="s">
        <v>6177</v>
      </c>
      <c r="G1913" s="212" t="str">
        <f t="shared" si="88"/>
        <v>255부가세예수금</v>
      </c>
      <c r="H1913" s="214">
        <v>0</v>
      </c>
      <c r="I1913" s="214">
        <v>20000</v>
      </c>
      <c r="J1913" s="214">
        <f t="shared" si="89"/>
        <v>20000</v>
      </c>
      <c r="K1913" s="212" t="s">
        <v>6230</v>
      </c>
      <c r="L1913" s="213"/>
      <c r="M1913" s="212" t="s">
        <v>6231</v>
      </c>
    </row>
    <row r="1914" spans="1:13" ht="21" customHeight="1">
      <c r="A1914" s="213" t="s">
        <v>6663</v>
      </c>
      <c r="B1914" s="215">
        <f t="shared" si="87"/>
        <v>45778</v>
      </c>
      <c r="C1914" s="213" t="s">
        <v>4374</v>
      </c>
      <c r="D1914" s="213" t="s">
        <v>4366</v>
      </c>
      <c r="E1914" s="213" t="s">
        <v>334</v>
      </c>
      <c r="F1914" s="212" t="s">
        <v>6158</v>
      </c>
      <c r="G1914" s="212" t="str">
        <f t="shared" si="88"/>
        <v>401용역매출</v>
      </c>
      <c r="H1914" s="214">
        <v>0</v>
      </c>
      <c r="I1914" s="214">
        <v>200000</v>
      </c>
      <c r="J1914" s="214">
        <f t="shared" si="89"/>
        <v>200000</v>
      </c>
      <c r="K1914" s="212" t="s">
        <v>6230</v>
      </c>
      <c r="L1914" s="213"/>
      <c r="M1914" s="212" t="s">
        <v>6231</v>
      </c>
    </row>
    <row r="1915" spans="1:13" ht="21" customHeight="1">
      <c r="A1915" s="213" t="s">
        <v>6663</v>
      </c>
      <c r="B1915" s="215">
        <f t="shared" si="87"/>
        <v>45778</v>
      </c>
      <c r="C1915" s="213" t="s">
        <v>4374</v>
      </c>
      <c r="D1915" s="213" t="s">
        <v>4369</v>
      </c>
      <c r="E1915" s="213" t="s">
        <v>333</v>
      </c>
      <c r="F1915" s="212" t="s">
        <v>4365</v>
      </c>
      <c r="G1915" s="212" t="str">
        <f t="shared" si="88"/>
        <v>101현금</v>
      </c>
      <c r="H1915" s="214">
        <v>220000</v>
      </c>
      <c r="I1915" s="214">
        <v>0</v>
      </c>
      <c r="J1915" s="214">
        <f t="shared" si="89"/>
        <v>-220000</v>
      </c>
      <c r="K1915" s="212" t="s">
        <v>6230</v>
      </c>
      <c r="L1915" s="213"/>
      <c r="M1915" s="212" t="s">
        <v>6231</v>
      </c>
    </row>
    <row r="1916" spans="1:13" ht="21" customHeight="1">
      <c r="A1916" s="213" t="s">
        <v>6663</v>
      </c>
      <c r="B1916" s="215">
        <f t="shared" si="87"/>
        <v>45778</v>
      </c>
      <c r="C1916" s="213" t="s">
        <v>6182</v>
      </c>
      <c r="D1916" s="213" t="s">
        <v>4366</v>
      </c>
      <c r="E1916" s="213" t="s">
        <v>6176</v>
      </c>
      <c r="F1916" s="212" t="s">
        <v>6177</v>
      </c>
      <c r="G1916" s="212" t="str">
        <f t="shared" si="88"/>
        <v>255부가세예수금</v>
      </c>
      <c r="H1916" s="214">
        <v>0</v>
      </c>
      <c r="I1916" s="214">
        <v>10000</v>
      </c>
      <c r="J1916" s="214">
        <f t="shared" si="89"/>
        <v>10000</v>
      </c>
      <c r="K1916" s="212" t="s">
        <v>6235</v>
      </c>
      <c r="L1916" s="213"/>
      <c r="M1916" s="212" t="s">
        <v>6662</v>
      </c>
    </row>
    <row r="1917" spans="1:13" ht="21" customHeight="1">
      <c r="A1917" s="213" t="s">
        <v>6663</v>
      </c>
      <c r="B1917" s="215">
        <f t="shared" si="87"/>
        <v>45778</v>
      </c>
      <c r="C1917" s="213" t="s">
        <v>6182</v>
      </c>
      <c r="D1917" s="213" t="s">
        <v>4366</v>
      </c>
      <c r="E1917" s="213" t="s">
        <v>334</v>
      </c>
      <c r="F1917" s="212" t="s">
        <v>6158</v>
      </c>
      <c r="G1917" s="212" t="str">
        <f t="shared" si="88"/>
        <v>401용역매출</v>
      </c>
      <c r="H1917" s="214">
        <v>0</v>
      </c>
      <c r="I1917" s="214">
        <v>100000</v>
      </c>
      <c r="J1917" s="214">
        <f t="shared" si="89"/>
        <v>100000</v>
      </c>
      <c r="K1917" s="212" t="s">
        <v>6235</v>
      </c>
      <c r="L1917" s="213"/>
      <c r="M1917" s="212" t="s">
        <v>6662</v>
      </c>
    </row>
    <row r="1918" spans="1:13" ht="21" customHeight="1">
      <c r="A1918" s="213" t="s">
        <v>6663</v>
      </c>
      <c r="B1918" s="215">
        <f t="shared" si="87"/>
        <v>45778</v>
      </c>
      <c r="C1918" s="213" t="s">
        <v>6182</v>
      </c>
      <c r="D1918" s="213" t="s">
        <v>4369</v>
      </c>
      <c r="E1918" s="213" t="s">
        <v>333</v>
      </c>
      <c r="F1918" s="212" t="s">
        <v>4365</v>
      </c>
      <c r="G1918" s="212" t="str">
        <f t="shared" si="88"/>
        <v>101현금</v>
      </c>
      <c r="H1918" s="214">
        <v>110000</v>
      </c>
      <c r="I1918" s="214">
        <v>0</v>
      </c>
      <c r="J1918" s="214">
        <f t="shared" si="89"/>
        <v>-110000</v>
      </c>
      <c r="K1918" s="212" t="s">
        <v>6235</v>
      </c>
      <c r="L1918" s="213"/>
      <c r="M1918" s="212" t="s">
        <v>6662</v>
      </c>
    </row>
    <row r="1919" spans="1:13" ht="21" customHeight="1">
      <c r="A1919" s="213" t="s">
        <v>6661</v>
      </c>
      <c r="B1919" s="215">
        <f t="shared" si="87"/>
        <v>45779</v>
      </c>
      <c r="C1919" s="213" t="s">
        <v>4373</v>
      </c>
      <c r="D1919" s="213" t="s">
        <v>4369</v>
      </c>
      <c r="E1919" s="213" t="s">
        <v>4499</v>
      </c>
      <c r="F1919" s="212" t="s">
        <v>6517</v>
      </c>
      <c r="G1919" s="212" t="str">
        <f t="shared" si="88"/>
        <v>811복리후생비(판)</v>
      </c>
      <c r="H1919" s="214">
        <v>21320</v>
      </c>
      <c r="I1919" s="214">
        <v>0</v>
      </c>
      <c r="J1919" s="214">
        <f t="shared" si="89"/>
        <v>-21320</v>
      </c>
      <c r="K1919" s="212" t="s">
        <v>6612</v>
      </c>
      <c r="L1919" s="213"/>
      <c r="M1919" s="212"/>
    </row>
    <row r="1920" spans="1:13" ht="21" customHeight="1">
      <c r="A1920" s="213" t="s">
        <v>6661</v>
      </c>
      <c r="B1920" s="215">
        <f t="shared" si="87"/>
        <v>45779</v>
      </c>
      <c r="C1920" s="213" t="s">
        <v>4373</v>
      </c>
      <c r="D1920" s="213" t="s">
        <v>4366</v>
      </c>
      <c r="E1920" s="213" t="s">
        <v>333</v>
      </c>
      <c r="F1920" s="212" t="s">
        <v>4365</v>
      </c>
      <c r="G1920" s="212" t="str">
        <f t="shared" si="88"/>
        <v>101현금</v>
      </c>
      <c r="H1920" s="214">
        <v>0</v>
      </c>
      <c r="I1920" s="214">
        <v>21320</v>
      </c>
      <c r="J1920" s="214">
        <f t="shared" si="89"/>
        <v>21320</v>
      </c>
      <c r="K1920" s="212" t="s">
        <v>6369</v>
      </c>
      <c r="L1920" s="213"/>
      <c r="M1920" s="212"/>
    </row>
    <row r="1921" spans="1:13" ht="21" customHeight="1">
      <c r="A1921" s="213" t="s">
        <v>6661</v>
      </c>
      <c r="B1921" s="215">
        <f t="shared" si="87"/>
        <v>45779</v>
      </c>
      <c r="C1921" s="213" t="s">
        <v>4382</v>
      </c>
      <c r="D1921" s="213" t="s">
        <v>4369</v>
      </c>
      <c r="E1921" s="213" t="s">
        <v>4499</v>
      </c>
      <c r="F1921" s="212" t="s">
        <v>6517</v>
      </c>
      <c r="G1921" s="212" t="str">
        <f t="shared" si="88"/>
        <v>811복리후생비(판)</v>
      </c>
      <c r="H1921" s="214">
        <v>20000</v>
      </c>
      <c r="I1921" s="214">
        <v>0</v>
      </c>
      <c r="J1921" s="214">
        <f t="shared" si="89"/>
        <v>-20000</v>
      </c>
      <c r="K1921" s="212" t="s">
        <v>6325</v>
      </c>
      <c r="L1921" s="213"/>
      <c r="M1921" s="212"/>
    </row>
    <row r="1922" spans="1:13" ht="21" customHeight="1">
      <c r="A1922" s="213" t="s">
        <v>6661</v>
      </c>
      <c r="B1922" s="215">
        <f t="shared" ref="B1922:B1985" si="90">DATEVALUE(A1922)</f>
        <v>45779</v>
      </c>
      <c r="C1922" s="213" t="s">
        <v>4382</v>
      </c>
      <c r="D1922" s="213" t="s">
        <v>4366</v>
      </c>
      <c r="E1922" s="213" t="s">
        <v>333</v>
      </c>
      <c r="F1922" s="212" t="s">
        <v>4365</v>
      </c>
      <c r="G1922" s="212" t="str">
        <f t="shared" ref="G1922:G1985" si="91">E1922&amp;F1922</f>
        <v>101현금</v>
      </c>
      <c r="H1922" s="214">
        <v>0</v>
      </c>
      <c r="I1922" s="214">
        <v>20000</v>
      </c>
      <c r="J1922" s="214">
        <f t="shared" ref="J1922:J1985" si="92">I1922-H1922</f>
        <v>20000</v>
      </c>
      <c r="K1922" s="212" t="s">
        <v>6369</v>
      </c>
      <c r="L1922" s="213"/>
      <c r="M1922" s="212"/>
    </row>
    <row r="1923" spans="1:13" ht="21" customHeight="1">
      <c r="A1923" s="213" t="s">
        <v>6661</v>
      </c>
      <c r="B1923" s="215">
        <f t="shared" si="90"/>
        <v>45779</v>
      </c>
      <c r="C1923" s="213" t="s">
        <v>4381</v>
      </c>
      <c r="D1923" s="213" t="s">
        <v>4366</v>
      </c>
      <c r="E1923" s="213" t="s">
        <v>333</v>
      </c>
      <c r="F1923" s="212" t="s">
        <v>4365</v>
      </c>
      <c r="G1923" s="212" t="str">
        <f t="shared" si="91"/>
        <v>101현금</v>
      </c>
      <c r="H1923" s="214">
        <v>0</v>
      </c>
      <c r="I1923" s="214">
        <v>23340</v>
      </c>
      <c r="J1923" s="214">
        <f t="shared" si="92"/>
        <v>23340</v>
      </c>
      <c r="K1923" s="212" t="s">
        <v>6369</v>
      </c>
      <c r="L1923" s="213"/>
      <c r="M1923" s="212"/>
    </row>
    <row r="1924" spans="1:13" ht="21" customHeight="1">
      <c r="A1924" s="213" t="s">
        <v>6661</v>
      </c>
      <c r="B1924" s="215">
        <f t="shared" si="90"/>
        <v>45779</v>
      </c>
      <c r="C1924" s="213" t="s">
        <v>4381</v>
      </c>
      <c r="D1924" s="213" t="s">
        <v>4369</v>
      </c>
      <c r="E1924" s="213" t="s">
        <v>4499</v>
      </c>
      <c r="F1924" s="212" t="s">
        <v>6517</v>
      </c>
      <c r="G1924" s="212" t="str">
        <f t="shared" si="91"/>
        <v>811복리후생비(판)</v>
      </c>
      <c r="H1924" s="214">
        <v>23340</v>
      </c>
      <c r="I1924" s="214">
        <v>0</v>
      </c>
      <c r="J1924" s="214">
        <f t="shared" si="92"/>
        <v>-23340</v>
      </c>
      <c r="K1924" s="212" t="s">
        <v>6658</v>
      </c>
      <c r="L1924" s="213"/>
      <c r="M1924" s="212"/>
    </row>
    <row r="1925" spans="1:13" ht="21" customHeight="1">
      <c r="A1925" s="213" t="s">
        <v>6661</v>
      </c>
      <c r="B1925" s="215">
        <f t="shared" si="90"/>
        <v>45779</v>
      </c>
      <c r="C1925" s="213" t="s">
        <v>4379</v>
      </c>
      <c r="D1925" s="213" t="s">
        <v>4369</v>
      </c>
      <c r="E1925" s="213" t="s">
        <v>4368</v>
      </c>
      <c r="F1925" s="212" t="s">
        <v>6388</v>
      </c>
      <c r="G1925" s="212" t="str">
        <f t="shared" si="91"/>
        <v>831지급수수료(판)</v>
      </c>
      <c r="H1925" s="214">
        <v>9000</v>
      </c>
      <c r="I1925" s="214">
        <v>0</v>
      </c>
      <c r="J1925" s="214">
        <f t="shared" si="92"/>
        <v>-9000</v>
      </c>
      <c r="K1925" s="212" t="s">
        <v>6653</v>
      </c>
      <c r="L1925" s="213"/>
      <c r="M1925" s="212"/>
    </row>
    <row r="1926" spans="1:13" ht="21" customHeight="1">
      <c r="A1926" s="213" t="s">
        <v>6661</v>
      </c>
      <c r="B1926" s="215">
        <f t="shared" si="90"/>
        <v>45779</v>
      </c>
      <c r="C1926" s="213" t="s">
        <v>4379</v>
      </c>
      <c r="D1926" s="213" t="s">
        <v>4366</v>
      </c>
      <c r="E1926" s="213" t="s">
        <v>333</v>
      </c>
      <c r="F1926" s="212" t="s">
        <v>4365</v>
      </c>
      <c r="G1926" s="212" t="str">
        <f t="shared" si="91"/>
        <v>101현금</v>
      </c>
      <c r="H1926" s="214">
        <v>0</v>
      </c>
      <c r="I1926" s="214">
        <v>9000</v>
      </c>
      <c r="J1926" s="214">
        <f t="shared" si="92"/>
        <v>9000</v>
      </c>
      <c r="K1926" s="212" t="s">
        <v>6369</v>
      </c>
      <c r="L1926" s="213"/>
      <c r="M1926" s="212"/>
    </row>
    <row r="1927" spans="1:13" ht="21" customHeight="1">
      <c r="A1927" s="213" t="s">
        <v>6661</v>
      </c>
      <c r="B1927" s="215">
        <f t="shared" si="90"/>
        <v>45779</v>
      </c>
      <c r="C1927" s="213" t="s">
        <v>4367</v>
      </c>
      <c r="D1927" s="213" t="s">
        <v>4366</v>
      </c>
      <c r="E1927" s="213" t="s">
        <v>6176</v>
      </c>
      <c r="F1927" s="212" t="s">
        <v>6177</v>
      </c>
      <c r="G1927" s="212" t="str">
        <f t="shared" si="91"/>
        <v>255부가세예수금</v>
      </c>
      <c r="H1927" s="214">
        <v>0</v>
      </c>
      <c r="I1927" s="214">
        <v>15000</v>
      </c>
      <c r="J1927" s="214">
        <f t="shared" si="92"/>
        <v>15000</v>
      </c>
      <c r="K1927" s="212" t="s">
        <v>6310</v>
      </c>
      <c r="L1927" s="213"/>
      <c r="M1927" s="212" t="s">
        <v>6179</v>
      </c>
    </row>
    <row r="1928" spans="1:13" ht="21" customHeight="1">
      <c r="A1928" s="213" t="s">
        <v>6661</v>
      </c>
      <c r="B1928" s="215">
        <f t="shared" si="90"/>
        <v>45779</v>
      </c>
      <c r="C1928" s="213" t="s">
        <v>4367</v>
      </c>
      <c r="D1928" s="213" t="s">
        <v>4366</v>
      </c>
      <c r="E1928" s="213" t="s">
        <v>334</v>
      </c>
      <c r="F1928" s="212" t="s">
        <v>6158</v>
      </c>
      <c r="G1928" s="212" t="str">
        <f t="shared" si="91"/>
        <v>401용역매출</v>
      </c>
      <c r="H1928" s="214">
        <v>0</v>
      </c>
      <c r="I1928" s="214">
        <v>150000</v>
      </c>
      <c r="J1928" s="214">
        <f t="shared" si="92"/>
        <v>150000</v>
      </c>
      <c r="K1928" s="212" t="s">
        <v>6310</v>
      </c>
      <c r="L1928" s="213"/>
      <c r="M1928" s="212" t="s">
        <v>6179</v>
      </c>
    </row>
    <row r="1929" spans="1:13" ht="21" customHeight="1">
      <c r="A1929" s="213" t="s">
        <v>6661</v>
      </c>
      <c r="B1929" s="215">
        <f t="shared" si="90"/>
        <v>45779</v>
      </c>
      <c r="C1929" s="213" t="s">
        <v>4367</v>
      </c>
      <c r="D1929" s="213" t="s">
        <v>4369</v>
      </c>
      <c r="E1929" s="213" t="s">
        <v>333</v>
      </c>
      <c r="F1929" s="212" t="s">
        <v>4365</v>
      </c>
      <c r="G1929" s="212" t="str">
        <f t="shared" si="91"/>
        <v>101현금</v>
      </c>
      <c r="H1929" s="214">
        <v>165000</v>
      </c>
      <c r="I1929" s="214">
        <v>0</v>
      </c>
      <c r="J1929" s="214">
        <f t="shared" si="92"/>
        <v>-165000</v>
      </c>
      <c r="K1929" s="212" t="s">
        <v>6310</v>
      </c>
      <c r="L1929" s="213"/>
      <c r="M1929" s="212" t="s">
        <v>6179</v>
      </c>
    </row>
    <row r="1930" spans="1:13" ht="21" customHeight="1">
      <c r="A1930" s="213" t="s">
        <v>6661</v>
      </c>
      <c r="B1930" s="215">
        <f t="shared" si="90"/>
        <v>45779</v>
      </c>
      <c r="C1930" s="213" t="s">
        <v>4374</v>
      </c>
      <c r="D1930" s="213" t="s">
        <v>4366</v>
      </c>
      <c r="E1930" s="213" t="s">
        <v>6176</v>
      </c>
      <c r="F1930" s="212" t="s">
        <v>6177</v>
      </c>
      <c r="G1930" s="212" t="str">
        <f t="shared" si="91"/>
        <v>255부가세예수금</v>
      </c>
      <c r="H1930" s="214">
        <v>0</v>
      </c>
      <c r="I1930" s="214">
        <v>15000</v>
      </c>
      <c r="J1930" s="214">
        <f t="shared" si="92"/>
        <v>15000</v>
      </c>
      <c r="K1930" s="212" t="s">
        <v>6267</v>
      </c>
      <c r="L1930" s="213"/>
      <c r="M1930" s="212" t="s">
        <v>6179</v>
      </c>
    </row>
    <row r="1931" spans="1:13" ht="21" customHeight="1">
      <c r="A1931" s="213" t="s">
        <v>6661</v>
      </c>
      <c r="B1931" s="215">
        <f t="shared" si="90"/>
        <v>45779</v>
      </c>
      <c r="C1931" s="213" t="s">
        <v>4374</v>
      </c>
      <c r="D1931" s="213" t="s">
        <v>4366</v>
      </c>
      <c r="E1931" s="213" t="s">
        <v>334</v>
      </c>
      <c r="F1931" s="212" t="s">
        <v>6158</v>
      </c>
      <c r="G1931" s="212" t="str">
        <f t="shared" si="91"/>
        <v>401용역매출</v>
      </c>
      <c r="H1931" s="214">
        <v>0</v>
      </c>
      <c r="I1931" s="214">
        <v>150000</v>
      </c>
      <c r="J1931" s="214">
        <f t="shared" si="92"/>
        <v>150000</v>
      </c>
      <c r="K1931" s="212" t="s">
        <v>6267</v>
      </c>
      <c r="L1931" s="213"/>
      <c r="M1931" s="212" t="s">
        <v>6179</v>
      </c>
    </row>
    <row r="1932" spans="1:13" ht="21" customHeight="1">
      <c r="A1932" s="213" t="s">
        <v>6661</v>
      </c>
      <c r="B1932" s="215">
        <f t="shared" si="90"/>
        <v>45779</v>
      </c>
      <c r="C1932" s="213" t="s">
        <v>4374</v>
      </c>
      <c r="D1932" s="213" t="s">
        <v>4369</v>
      </c>
      <c r="E1932" s="213" t="s">
        <v>333</v>
      </c>
      <c r="F1932" s="212" t="s">
        <v>4365</v>
      </c>
      <c r="G1932" s="212" t="str">
        <f t="shared" si="91"/>
        <v>101현금</v>
      </c>
      <c r="H1932" s="214">
        <v>165000</v>
      </c>
      <c r="I1932" s="214">
        <v>0</v>
      </c>
      <c r="J1932" s="214">
        <f t="shared" si="92"/>
        <v>-165000</v>
      </c>
      <c r="K1932" s="212" t="s">
        <v>6267</v>
      </c>
      <c r="L1932" s="213"/>
      <c r="M1932" s="212" t="s">
        <v>6179</v>
      </c>
    </row>
    <row r="1933" spans="1:13" ht="21" customHeight="1">
      <c r="A1933" s="213" t="s">
        <v>6661</v>
      </c>
      <c r="B1933" s="215">
        <f t="shared" si="90"/>
        <v>45779</v>
      </c>
      <c r="C1933" s="213" t="s">
        <v>6182</v>
      </c>
      <c r="D1933" s="213" t="s">
        <v>4366</v>
      </c>
      <c r="E1933" s="213" t="s">
        <v>6176</v>
      </c>
      <c r="F1933" s="212" t="s">
        <v>6177</v>
      </c>
      <c r="G1933" s="212" t="str">
        <f t="shared" si="91"/>
        <v>255부가세예수금</v>
      </c>
      <c r="H1933" s="214">
        <v>0</v>
      </c>
      <c r="I1933" s="214">
        <v>-15000</v>
      </c>
      <c r="J1933" s="214">
        <f t="shared" si="92"/>
        <v>-15000</v>
      </c>
      <c r="K1933" s="212" t="s">
        <v>6267</v>
      </c>
      <c r="L1933" s="213"/>
      <c r="M1933" s="212" t="s">
        <v>6313</v>
      </c>
    </row>
    <row r="1934" spans="1:13" ht="21" customHeight="1">
      <c r="A1934" s="213" t="s">
        <v>6661</v>
      </c>
      <c r="B1934" s="215">
        <f t="shared" si="90"/>
        <v>45779</v>
      </c>
      <c r="C1934" s="213" t="s">
        <v>6182</v>
      </c>
      <c r="D1934" s="213" t="s">
        <v>4366</v>
      </c>
      <c r="E1934" s="213" t="s">
        <v>334</v>
      </c>
      <c r="F1934" s="212" t="s">
        <v>6158</v>
      </c>
      <c r="G1934" s="212" t="str">
        <f t="shared" si="91"/>
        <v>401용역매출</v>
      </c>
      <c r="H1934" s="214">
        <v>0</v>
      </c>
      <c r="I1934" s="214">
        <v>-150000</v>
      </c>
      <c r="J1934" s="214">
        <f t="shared" si="92"/>
        <v>-150000</v>
      </c>
      <c r="K1934" s="212" t="s">
        <v>6267</v>
      </c>
      <c r="L1934" s="213"/>
      <c r="M1934" s="212" t="s">
        <v>6313</v>
      </c>
    </row>
    <row r="1935" spans="1:13" ht="21" customHeight="1">
      <c r="A1935" s="213" t="s">
        <v>6661</v>
      </c>
      <c r="B1935" s="215">
        <f t="shared" si="90"/>
        <v>45779</v>
      </c>
      <c r="C1935" s="213" t="s">
        <v>6182</v>
      </c>
      <c r="D1935" s="213" t="s">
        <v>4369</v>
      </c>
      <c r="E1935" s="213" t="s">
        <v>333</v>
      </c>
      <c r="F1935" s="212" t="s">
        <v>4365</v>
      </c>
      <c r="G1935" s="212" t="str">
        <f t="shared" si="91"/>
        <v>101현금</v>
      </c>
      <c r="H1935" s="214">
        <v>-165000</v>
      </c>
      <c r="I1935" s="214">
        <v>0</v>
      </c>
      <c r="J1935" s="214">
        <f t="shared" si="92"/>
        <v>165000</v>
      </c>
      <c r="K1935" s="212" t="s">
        <v>6267</v>
      </c>
      <c r="L1935" s="213"/>
      <c r="M1935" s="212" t="s">
        <v>6313</v>
      </c>
    </row>
    <row r="1936" spans="1:13" ht="21" customHeight="1">
      <c r="A1936" s="213" t="s">
        <v>6661</v>
      </c>
      <c r="B1936" s="215">
        <f t="shared" si="90"/>
        <v>45779</v>
      </c>
      <c r="C1936" s="213" t="s">
        <v>6184</v>
      </c>
      <c r="D1936" s="213" t="s">
        <v>4366</v>
      </c>
      <c r="E1936" s="213" t="s">
        <v>6176</v>
      </c>
      <c r="F1936" s="212" t="s">
        <v>6177</v>
      </c>
      <c r="G1936" s="212" t="str">
        <f t="shared" si="91"/>
        <v>255부가세예수금</v>
      </c>
      <c r="H1936" s="214">
        <v>0</v>
      </c>
      <c r="I1936" s="214">
        <v>15000</v>
      </c>
      <c r="J1936" s="214">
        <f t="shared" si="92"/>
        <v>15000</v>
      </c>
      <c r="K1936" s="212" t="s">
        <v>6267</v>
      </c>
      <c r="L1936" s="213"/>
      <c r="M1936" s="212" t="s">
        <v>6179</v>
      </c>
    </row>
    <row r="1937" spans="1:13" ht="21" customHeight="1">
      <c r="A1937" s="213" t="s">
        <v>6661</v>
      </c>
      <c r="B1937" s="215">
        <f t="shared" si="90"/>
        <v>45779</v>
      </c>
      <c r="C1937" s="213" t="s">
        <v>6184</v>
      </c>
      <c r="D1937" s="213" t="s">
        <v>4366</v>
      </c>
      <c r="E1937" s="213" t="s">
        <v>334</v>
      </c>
      <c r="F1937" s="212" t="s">
        <v>6158</v>
      </c>
      <c r="G1937" s="212" t="str">
        <f t="shared" si="91"/>
        <v>401용역매출</v>
      </c>
      <c r="H1937" s="214">
        <v>0</v>
      </c>
      <c r="I1937" s="214">
        <v>150000</v>
      </c>
      <c r="J1937" s="214">
        <f t="shared" si="92"/>
        <v>150000</v>
      </c>
      <c r="K1937" s="212" t="s">
        <v>6267</v>
      </c>
      <c r="L1937" s="213"/>
      <c r="M1937" s="212" t="s">
        <v>6179</v>
      </c>
    </row>
    <row r="1938" spans="1:13" ht="21" customHeight="1">
      <c r="A1938" s="213" t="s">
        <v>6661</v>
      </c>
      <c r="B1938" s="215">
        <f t="shared" si="90"/>
        <v>45779</v>
      </c>
      <c r="C1938" s="213" t="s">
        <v>6184</v>
      </c>
      <c r="D1938" s="213" t="s">
        <v>4369</v>
      </c>
      <c r="E1938" s="213" t="s">
        <v>333</v>
      </c>
      <c r="F1938" s="212" t="s">
        <v>4365</v>
      </c>
      <c r="G1938" s="212" t="str">
        <f t="shared" si="91"/>
        <v>101현금</v>
      </c>
      <c r="H1938" s="214">
        <v>165000</v>
      </c>
      <c r="I1938" s="214">
        <v>0</v>
      </c>
      <c r="J1938" s="214">
        <f t="shared" si="92"/>
        <v>-165000</v>
      </c>
      <c r="K1938" s="212" t="s">
        <v>6267</v>
      </c>
      <c r="L1938" s="213"/>
      <c r="M1938" s="212" t="s">
        <v>6179</v>
      </c>
    </row>
    <row r="1939" spans="1:13" ht="21" customHeight="1">
      <c r="A1939" s="213" t="s">
        <v>6661</v>
      </c>
      <c r="B1939" s="215">
        <f t="shared" si="90"/>
        <v>45779</v>
      </c>
      <c r="C1939" s="213" t="s">
        <v>6186</v>
      </c>
      <c r="D1939" s="213" t="s">
        <v>4366</v>
      </c>
      <c r="E1939" s="213" t="s">
        <v>6176</v>
      </c>
      <c r="F1939" s="212" t="s">
        <v>6177</v>
      </c>
      <c r="G1939" s="212" t="str">
        <f t="shared" si="91"/>
        <v>255부가세예수금</v>
      </c>
      <c r="H1939" s="214">
        <v>0</v>
      </c>
      <c r="I1939" s="214">
        <v>10000</v>
      </c>
      <c r="J1939" s="214">
        <f t="shared" si="92"/>
        <v>10000</v>
      </c>
      <c r="K1939" s="212" t="s">
        <v>6279</v>
      </c>
      <c r="L1939" s="213"/>
      <c r="M1939" s="212" t="s">
        <v>6185</v>
      </c>
    </row>
    <row r="1940" spans="1:13" ht="21" customHeight="1">
      <c r="A1940" s="213" t="s">
        <v>6661</v>
      </c>
      <c r="B1940" s="215">
        <f t="shared" si="90"/>
        <v>45779</v>
      </c>
      <c r="C1940" s="213" t="s">
        <v>6186</v>
      </c>
      <c r="D1940" s="213" t="s">
        <v>4366</v>
      </c>
      <c r="E1940" s="213" t="s">
        <v>334</v>
      </c>
      <c r="F1940" s="212" t="s">
        <v>6158</v>
      </c>
      <c r="G1940" s="212" t="str">
        <f t="shared" si="91"/>
        <v>401용역매출</v>
      </c>
      <c r="H1940" s="214">
        <v>0</v>
      </c>
      <c r="I1940" s="214">
        <v>100000</v>
      </c>
      <c r="J1940" s="214">
        <f t="shared" si="92"/>
        <v>100000</v>
      </c>
      <c r="K1940" s="212" t="s">
        <v>6279</v>
      </c>
      <c r="L1940" s="213"/>
      <c r="M1940" s="212" t="s">
        <v>6185</v>
      </c>
    </row>
    <row r="1941" spans="1:13" ht="21" customHeight="1">
      <c r="A1941" s="213" t="s">
        <v>6661</v>
      </c>
      <c r="B1941" s="215">
        <f t="shared" si="90"/>
        <v>45779</v>
      </c>
      <c r="C1941" s="213" t="s">
        <v>6186</v>
      </c>
      <c r="D1941" s="213" t="s">
        <v>4369</v>
      </c>
      <c r="E1941" s="213" t="s">
        <v>333</v>
      </c>
      <c r="F1941" s="212" t="s">
        <v>4365</v>
      </c>
      <c r="G1941" s="212" t="str">
        <f t="shared" si="91"/>
        <v>101현금</v>
      </c>
      <c r="H1941" s="214">
        <v>110000</v>
      </c>
      <c r="I1941" s="214">
        <v>0</v>
      </c>
      <c r="J1941" s="214">
        <f t="shared" si="92"/>
        <v>-110000</v>
      </c>
      <c r="K1941" s="212" t="s">
        <v>6279</v>
      </c>
      <c r="L1941" s="213"/>
      <c r="M1941" s="212" t="s">
        <v>6185</v>
      </c>
    </row>
    <row r="1942" spans="1:13" ht="21" customHeight="1">
      <c r="A1942" s="213" t="s">
        <v>6661</v>
      </c>
      <c r="B1942" s="215">
        <f t="shared" si="90"/>
        <v>45779</v>
      </c>
      <c r="C1942" s="213" t="s">
        <v>6189</v>
      </c>
      <c r="D1942" s="213" t="s">
        <v>4366</v>
      </c>
      <c r="E1942" s="213" t="s">
        <v>6176</v>
      </c>
      <c r="F1942" s="212" t="s">
        <v>6177</v>
      </c>
      <c r="G1942" s="212" t="str">
        <f t="shared" si="91"/>
        <v>255부가세예수금</v>
      </c>
      <c r="H1942" s="214">
        <v>0</v>
      </c>
      <c r="I1942" s="214">
        <v>15000</v>
      </c>
      <c r="J1942" s="214">
        <f t="shared" si="92"/>
        <v>15000</v>
      </c>
      <c r="K1942" s="212" t="s">
        <v>6232</v>
      </c>
      <c r="L1942" s="213"/>
      <c r="M1942" s="212" t="s">
        <v>6179</v>
      </c>
    </row>
    <row r="1943" spans="1:13" ht="21" customHeight="1">
      <c r="A1943" s="213" t="s">
        <v>6661</v>
      </c>
      <c r="B1943" s="215">
        <f t="shared" si="90"/>
        <v>45779</v>
      </c>
      <c r="C1943" s="213" t="s">
        <v>6189</v>
      </c>
      <c r="D1943" s="213" t="s">
        <v>4366</v>
      </c>
      <c r="E1943" s="213" t="s">
        <v>334</v>
      </c>
      <c r="F1943" s="212" t="s">
        <v>6158</v>
      </c>
      <c r="G1943" s="212" t="str">
        <f t="shared" si="91"/>
        <v>401용역매출</v>
      </c>
      <c r="H1943" s="214">
        <v>0</v>
      </c>
      <c r="I1943" s="214">
        <v>150000</v>
      </c>
      <c r="J1943" s="214">
        <f t="shared" si="92"/>
        <v>150000</v>
      </c>
      <c r="K1943" s="212" t="s">
        <v>6232</v>
      </c>
      <c r="L1943" s="213"/>
      <c r="M1943" s="212" t="s">
        <v>6179</v>
      </c>
    </row>
    <row r="1944" spans="1:13" ht="21" customHeight="1">
      <c r="A1944" s="213" t="s">
        <v>6661</v>
      </c>
      <c r="B1944" s="215">
        <f t="shared" si="90"/>
        <v>45779</v>
      </c>
      <c r="C1944" s="213" t="s">
        <v>6189</v>
      </c>
      <c r="D1944" s="213" t="s">
        <v>4369</v>
      </c>
      <c r="E1944" s="213" t="s">
        <v>333</v>
      </c>
      <c r="F1944" s="212" t="s">
        <v>4365</v>
      </c>
      <c r="G1944" s="212" t="str">
        <f t="shared" si="91"/>
        <v>101현금</v>
      </c>
      <c r="H1944" s="214">
        <v>165000</v>
      </c>
      <c r="I1944" s="214">
        <v>0</v>
      </c>
      <c r="J1944" s="214">
        <f t="shared" si="92"/>
        <v>-165000</v>
      </c>
      <c r="K1944" s="212" t="s">
        <v>6232</v>
      </c>
      <c r="L1944" s="213"/>
      <c r="M1944" s="212" t="s">
        <v>6179</v>
      </c>
    </row>
    <row r="1945" spans="1:13" ht="21" customHeight="1">
      <c r="A1945" s="213" t="s">
        <v>6661</v>
      </c>
      <c r="B1945" s="215">
        <f t="shared" si="90"/>
        <v>45779</v>
      </c>
      <c r="C1945" s="213" t="s">
        <v>6191</v>
      </c>
      <c r="D1945" s="213" t="s">
        <v>4366</v>
      </c>
      <c r="E1945" s="213" t="s">
        <v>6176</v>
      </c>
      <c r="F1945" s="212" t="s">
        <v>6177</v>
      </c>
      <c r="G1945" s="212" t="str">
        <f t="shared" si="91"/>
        <v>255부가세예수금</v>
      </c>
      <c r="H1945" s="214">
        <v>0</v>
      </c>
      <c r="I1945" s="214">
        <v>10000</v>
      </c>
      <c r="J1945" s="214">
        <f t="shared" si="92"/>
        <v>10000</v>
      </c>
      <c r="K1945" s="212" t="s">
        <v>6269</v>
      </c>
      <c r="L1945" s="213"/>
      <c r="M1945" s="212" t="s">
        <v>6185</v>
      </c>
    </row>
    <row r="1946" spans="1:13" ht="21" customHeight="1">
      <c r="A1946" s="213" t="s">
        <v>6661</v>
      </c>
      <c r="B1946" s="215">
        <f t="shared" si="90"/>
        <v>45779</v>
      </c>
      <c r="C1946" s="213" t="s">
        <v>6191</v>
      </c>
      <c r="D1946" s="213" t="s">
        <v>4366</v>
      </c>
      <c r="E1946" s="213" t="s">
        <v>334</v>
      </c>
      <c r="F1946" s="212" t="s">
        <v>6158</v>
      </c>
      <c r="G1946" s="212" t="str">
        <f t="shared" si="91"/>
        <v>401용역매출</v>
      </c>
      <c r="H1946" s="214">
        <v>0</v>
      </c>
      <c r="I1946" s="214">
        <v>100000</v>
      </c>
      <c r="J1946" s="214">
        <f t="shared" si="92"/>
        <v>100000</v>
      </c>
      <c r="K1946" s="212" t="s">
        <v>6269</v>
      </c>
      <c r="L1946" s="213"/>
      <c r="M1946" s="212" t="s">
        <v>6185</v>
      </c>
    </row>
    <row r="1947" spans="1:13" ht="21" customHeight="1">
      <c r="A1947" s="213" t="s">
        <v>6661</v>
      </c>
      <c r="B1947" s="215">
        <f t="shared" si="90"/>
        <v>45779</v>
      </c>
      <c r="C1947" s="213" t="s">
        <v>6191</v>
      </c>
      <c r="D1947" s="213" t="s">
        <v>4369</v>
      </c>
      <c r="E1947" s="213" t="s">
        <v>333</v>
      </c>
      <c r="F1947" s="212" t="s">
        <v>4365</v>
      </c>
      <c r="G1947" s="212" t="str">
        <f t="shared" si="91"/>
        <v>101현금</v>
      </c>
      <c r="H1947" s="214">
        <v>110000</v>
      </c>
      <c r="I1947" s="214">
        <v>0</v>
      </c>
      <c r="J1947" s="214">
        <f t="shared" si="92"/>
        <v>-110000</v>
      </c>
      <c r="K1947" s="212" t="s">
        <v>6269</v>
      </c>
      <c r="L1947" s="213"/>
      <c r="M1947" s="212" t="s">
        <v>6185</v>
      </c>
    </row>
    <row r="1948" spans="1:13" ht="21" customHeight="1">
      <c r="A1948" s="213" t="s">
        <v>6661</v>
      </c>
      <c r="B1948" s="215">
        <f t="shared" si="90"/>
        <v>45779</v>
      </c>
      <c r="C1948" s="213" t="s">
        <v>6216</v>
      </c>
      <c r="D1948" s="213" t="s">
        <v>4366</v>
      </c>
      <c r="E1948" s="213" t="s">
        <v>6176</v>
      </c>
      <c r="F1948" s="212" t="s">
        <v>6177</v>
      </c>
      <c r="G1948" s="212" t="str">
        <f t="shared" si="91"/>
        <v>255부가세예수금</v>
      </c>
      <c r="H1948" s="214">
        <v>0</v>
      </c>
      <c r="I1948" s="214">
        <v>12000</v>
      </c>
      <c r="J1948" s="214">
        <f t="shared" si="92"/>
        <v>12000</v>
      </c>
      <c r="K1948" s="212" t="s">
        <v>6270</v>
      </c>
      <c r="L1948" s="213"/>
      <c r="M1948" s="212" t="s">
        <v>6225</v>
      </c>
    </row>
    <row r="1949" spans="1:13" ht="21" customHeight="1">
      <c r="A1949" s="213" t="s">
        <v>6661</v>
      </c>
      <c r="B1949" s="215">
        <f t="shared" si="90"/>
        <v>45779</v>
      </c>
      <c r="C1949" s="213" t="s">
        <v>6216</v>
      </c>
      <c r="D1949" s="213" t="s">
        <v>4366</v>
      </c>
      <c r="E1949" s="213" t="s">
        <v>334</v>
      </c>
      <c r="F1949" s="212" t="s">
        <v>6158</v>
      </c>
      <c r="G1949" s="212" t="str">
        <f t="shared" si="91"/>
        <v>401용역매출</v>
      </c>
      <c r="H1949" s="214">
        <v>0</v>
      </c>
      <c r="I1949" s="214">
        <v>120000</v>
      </c>
      <c r="J1949" s="214">
        <f t="shared" si="92"/>
        <v>120000</v>
      </c>
      <c r="K1949" s="212" t="s">
        <v>6270</v>
      </c>
      <c r="L1949" s="213"/>
      <c r="M1949" s="212" t="s">
        <v>6225</v>
      </c>
    </row>
    <row r="1950" spans="1:13" ht="21" customHeight="1">
      <c r="A1950" s="213" t="s">
        <v>6661</v>
      </c>
      <c r="B1950" s="215">
        <f t="shared" si="90"/>
        <v>45779</v>
      </c>
      <c r="C1950" s="213" t="s">
        <v>6216</v>
      </c>
      <c r="D1950" s="213" t="s">
        <v>4369</v>
      </c>
      <c r="E1950" s="213" t="s">
        <v>333</v>
      </c>
      <c r="F1950" s="212" t="s">
        <v>4365</v>
      </c>
      <c r="G1950" s="212" t="str">
        <f t="shared" si="91"/>
        <v>101현금</v>
      </c>
      <c r="H1950" s="214">
        <v>132000</v>
      </c>
      <c r="I1950" s="214">
        <v>0</v>
      </c>
      <c r="J1950" s="214">
        <f t="shared" si="92"/>
        <v>-132000</v>
      </c>
      <c r="K1950" s="212" t="s">
        <v>6270</v>
      </c>
      <c r="L1950" s="213"/>
      <c r="M1950" s="212" t="s">
        <v>6225</v>
      </c>
    </row>
    <row r="1951" spans="1:13" ht="21" customHeight="1">
      <c r="A1951" s="213" t="s">
        <v>6661</v>
      </c>
      <c r="B1951" s="215">
        <f t="shared" si="90"/>
        <v>45779</v>
      </c>
      <c r="C1951" s="213" t="s">
        <v>6217</v>
      </c>
      <c r="D1951" s="213" t="s">
        <v>4366</v>
      </c>
      <c r="E1951" s="213" t="s">
        <v>6176</v>
      </c>
      <c r="F1951" s="212" t="s">
        <v>6177</v>
      </c>
      <c r="G1951" s="212" t="str">
        <f t="shared" si="91"/>
        <v>255부가세예수금</v>
      </c>
      <c r="H1951" s="214">
        <v>0</v>
      </c>
      <c r="I1951" s="214">
        <v>12000</v>
      </c>
      <c r="J1951" s="214">
        <f t="shared" si="92"/>
        <v>12000</v>
      </c>
      <c r="K1951" s="212" t="s">
        <v>6308</v>
      </c>
      <c r="L1951" s="213"/>
      <c r="M1951" s="212" t="s">
        <v>6225</v>
      </c>
    </row>
    <row r="1952" spans="1:13" ht="21" customHeight="1">
      <c r="A1952" s="213" t="s">
        <v>6661</v>
      </c>
      <c r="B1952" s="215">
        <f t="shared" si="90"/>
        <v>45779</v>
      </c>
      <c r="C1952" s="213" t="s">
        <v>6217</v>
      </c>
      <c r="D1952" s="213" t="s">
        <v>4366</v>
      </c>
      <c r="E1952" s="213" t="s">
        <v>334</v>
      </c>
      <c r="F1952" s="212" t="s">
        <v>6158</v>
      </c>
      <c r="G1952" s="212" t="str">
        <f t="shared" si="91"/>
        <v>401용역매출</v>
      </c>
      <c r="H1952" s="214">
        <v>0</v>
      </c>
      <c r="I1952" s="214">
        <v>120000</v>
      </c>
      <c r="J1952" s="214">
        <f t="shared" si="92"/>
        <v>120000</v>
      </c>
      <c r="K1952" s="212" t="s">
        <v>6308</v>
      </c>
      <c r="L1952" s="213"/>
      <c r="M1952" s="212" t="s">
        <v>6225</v>
      </c>
    </row>
    <row r="1953" spans="1:13" ht="21" customHeight="1">
      <c r="A1953" s="213" t="s">
        <v>6661</v>
      </c>
      <c r="B1953" s="215">
        <f t="shared" si="90"/>
        <v>45779</v>
      </c>
      <c r="C1953" s="213" t="s">
        <v>6217</v>
      </c>
      <c r="D1953" s="213" t="s">
        <v>4369</v>
      </c>
      <c r="E1953" s="213" t="s">
        <v>333</v>
      </c>
      <c r="F1953" s="212" t="s">
        <v>4365</v>
      </c>
      <c r="G1953" s="212" t="str">
        <f t="shared" si="91"/>
        <v>101현금</v>
      </c>
      <c r="H1953" s="214">
        <v>132000</v>
      </c>
      <c r="I1953" s="214">
        <v>0</v>
      </c>
      <c r="J1953" s="214">
        <f t="shared" si="92"/>
        <v>-132000</v>
      </c>
      <c r="K1953" s="212" t="s">
        <v>6308</v>
      </c>
      <c r="L1953" s="213"/>
      <c r="M1953" s="212" t="s">
        <v>6225</v>
      </c>
    </row>
    <row r="1954" spans="1:13" ht="21" customHeight="1">
      <c r="A1954" s="213" t="s">
        <v>6661</v>
      </c>
      <c r="B1954" s="215">
        <f t="shared" si="90"/>
        <v>45779</v>
      </c>
      <c r="C1954" s="213" t="s">
        <v>6218</v>
      </c>
      <c r="D1954" s="213" t="s">
        <v>4366</v>
      </c>
      <c r="E1954" s="213" t="s">
        <v>6176</v>
      </c>
      <c r="F1954" s="212" t="s">
        <v>6177</v>
      </c>
      <c r="G1954" s="212" t="str">
        <f t="shared" si="91"/>
        <v>255부가세예수금</v>
      </c>
      <c r="H1954" s="214">
        <v>0</v>
      </c>
      <c r="I1954" s="214">
        <v>15000</v>
      </c>
      <c r="J1954" s="214">
        <f t="shared" si="92"/>
        <v>15000</v>
      </c>
      <c r="K1954" s="212" t="s">
        <v>6181</v>
      </c>
      <c r="L1954" s="213"/>
      <c r="M1954" s="212" t="s">
        <v>6179</v>
      </c>
    </row>
    <row r="1955" spans="1:13" ht="21" customHeight="1">
      <c r="A1955" s="213" t="s">
        <v>6661</v>
      </c>
      <c r="B1955" s="215">
        <f t="shared" si="90"/>
        <v>45779</v>
      </c>
      <c r="C1955" s="213" t="s">
        <v>6218</v>
      </c>
      <c r="D1955" s="213" t="s">
        <v>4366</v>
      </c>
      <c r="E1955" s="213" t="s">
        <v>334</v>
      </c>
      <c r="F1955" s="212" t="s">
        <v>6158</v>
      </c>
      <c r="G1955" s="212" t="str">
        <f t="shared" si="91"/>
        <v>401용역매출</v>
      </c>
      <c r="H1955" s="214">
        <v>0</v>
      </c>
      <c r="I1955" s="214">
        <v>150000</v>
      </c>
      <c r="J1955" s="214">
        <f t="shared" si="92"/>
        <v>150000</v>
      </c>
      <c r="K1955" s="212" t="s">
        <v>6181</v>
      </c>
      <c r="L1955" s="213"/>
      <c r="M1955" s="212" t="s">
        <v>6179</v>
      </c>
    </row>
    <row r="1956" spans="1:13" ht="21" customHeight="1">
      <c r="A1956" s="213" t="s">
        <v>6661</v>
      </c>
      <c r="B1956" s="215">
        <f t="shared" si="90"/>
        <v>45779</v>
      </c>
      <c r="C1956" s="213" t="s">
        <v>6218</v>
      </c>
      <c r="D1956" s="213" t="s">
        <v>4369</v>
      </c>
      <c r="E1956" s="213" t="s">
        <v>333</v>
      </c>
      <c r="F1956" s="212" t="s">
        <v>4365</v>
      </c>
      <c r="G1956" s="212" t="str">
        <f t="shared" si="91"/>
        <v>101현금</v>
      </c>
      <c r="H1956" s="214">
        <v>165000</v>
      </c>
      <c r="I1956" s="214">
        <v>0</v>
      </c>
      <c r="J1956" s="214">
        <f t="shared" si="92"/>
        <v>-165000</v>
      </c>
      <c r="K1956" s="212" t="s">
        <v>6181</v>
      </c>
      <c r="L1956" s="213"/>
      <c r="M1956" s="212" t="s">
        <v>6179</v>
      </c>
    </row>
    <row r="1957" spans="1:13" ht="21" customHeight="1">
      <c r="A1957" s="213" t="s">
        <v>6661</v>
      </c>
      <c r="B1957" s="215">
        <f t="shared" si="90"/>
        <v>45779</v>
      </c>
      <c r="C1957" s="213" t="s">
        <v>6238</v>
      </c>
      <c r="D1957" s="213" t="s">
        <v>4366</v>
      </c>
      <c r="E1957" s="213" t="s">
        <v>6176</v>
      </c>
      <c r="F1957" s="212" t="s">
        <v>6177</v>
      </c>
      <c r="G1957" s="212" t="str">
        <f t="shared" si="91"/>
        <v>255부가세예수금</v>
      </c>
      <c r="H1957" s="214">
        <v>0</v>
      </c>
      <c r="I1957" s="214">
        <v>15000</v>
      </c>
      <c r="J1957" s="214">
        <f t="shared" si="92"/>
        <v>15000</v>
      </c>
      <c r="K1957" s="212" t="s">
        <v>6183</v>
      </c>
      <c r="L1957" s="213"/>
      <c r="M1957" s="212" t="s">
        <v>6179</v>
      </c>
    </row>
    <row r="1958" spans="1:13" ht="21" customHeight="1">
      <c r="A1958" s="213" t="s">
        <v>6661</v>
      </c>
      <c r="B1958" s="215">
        <f t="shared" si="90"/>
        <v>45779</v>
      </c>
      <c r="C1958" s="213" t="s">
        <v>6238</v>
      </c>
      <c r="D1958" s="213" t="s">
        <v>4366</v>
      </c>
      <c r="E1958" s="213" t="s">
        <v>334</v>
      </c>
      <c r="F1958" s="212" t="s">
        <v>6158</v>
      </c>
      <c r="G1958" s="212" t="str">
        <f t="shared" si="91"/>
        <v>401용역매출</v>
      </c>
      <c r="H1958" s="214">
        <v>0</v>
      </c>
      <c r="I1958" s="214">
        <v>150000</v>
      </c>
      <c r="J1958" s="214">
        <f t="shared" si="92"/>
        <v>150000</v>
      </c>
      <c r="K1958" s="212" t="s">
        <v>6183</v>
      </c>
      <c r="L1958" s="213"/>
      <c r="M1958" s="212" t="s">
        <v>6179</v>
      </c>
    </row>
    <row r="1959" spans="1:13" ht="21" customHeight="1">
      <c r="A1959" s="213" t="s">
        <v>6661</v>
      </c>
      <c r="B1959" s="215">
        <f t="shared" si="90"/>
        <v>45779</v>
      </c>
      <c r="C1959" s="213" t="s">
        <v>6238</v>
      </c>
      <c r="D1959" s="213" t="s">
        <v>4369</v>
      </c>
      <c r="E1959" s="213" t="s">
        <v>333</v>
      </c>
      <c r="F1959" s="212" t="s">
        <v>4365</v>
      </c>
      <c r="G1959" s="212" t="str">
        <f t="shared" si="91"/>
        <v>101현금</v>
      </c>
      <c r="H1959" s="214">
        <v>165000</v>
      </c>
      <c r="I1959" s="214">
        <v>0</v>
      </c>
      <c r="J1959" s="214">
        <f t="shared" si="92"/>
        <v>-165000</v>
      </c>
      <c r="K1959" s="212" t="s">
        <v>6183</v>
      </c>
      <c r="L1959" s="213"/>
      <c r="M1959" s="212" t="s">
        <v>6179</v>
      </c>
    </row>
    <row r="1960" spans="1:13" ht="21" customHeight="1">
      <c r="A1960" s="213" t="s">
        <v>6661</v>
      </c>
      <c r="B1960" s="215">
        <f t="shared" si="90"/>
        <v>45779</v>
      </c>
      <c r="C1960" s="213" t="s">
        <v>6240</v>
      </c>
      <c r="D1960" s="213" t="s">
        <v>4369</v>
      </c>
      <c r="E1960" s="213" t="s">
        <v>4371</v>
      </c>
      <c r="F1960" s="212" t="s">
        <v>4370</v>
      </c>
      <c r="G1960" s="212" t="str">
        <f t="shared" si="91"/>
        <v>135부가세대급금</v>
      </c>
      <c r="H1960" s="214">
        <v>14672</v>
      </c>
      <c r="I1960" s="214">
        <v>0</v>
      </c>
      <c r="J1960" s="214">
        <f t="shared" si="92"/>
        <v>-14672</v>
      </c>
      <c r="K1960" s="212" t="s">
        <v>6197</v>
      </c>
      <c r="L1960" s="213"/>
      <c r="M1960" s="212"/>
    </row>
    <row r="1961" spans="1:13" ht="21" customHeight="1">
      <c r="A1961" s="213" t="s">
        <v>6661</v>
      </c>
      <c r="B1961" s="215">
        <f t="shared" si="90"/>
        <v>45779</v>
      </c>
      <c r="C1961" s="213" t="s">
        <v>6240</v>
      </c>
      <c r="D1961" s="213" t="s">
        <v>4369</v>
      </c>
      <c r="E1961" s="213" t="s">
        <v>4383</v>
      </c>
      <c r="F1961" s="212" t="s">
        <v>6525</v>
      </c>
      <c r="G1961" s="212" t="str">
        <f t="shared" si="91"/>
        <v>830소모품비(판)</v>
      </c>
      <c r="H1961" s="214">
        <v>146728</v>
      </c>
      <c r="I1961" s="214">
        <v>0</v>
      </c>
      <c r="J1961" s="214">
        <f t="shared" si="92"/>
        <v>-146728</v>
      </c>
      <c r="K1961" s="212" t="s">
        <v>6197</v>
      </c>
      <c r="L1961" s="213"/>
      <c r="M1961" s="212"/>
    </row>
    <row r="1962" spans="1:13" ht="21" customHeight="1">
      <c r="A1962" s="213" t="s">
        <v>6661</v>
      </c>
      <c r="B1962" s="215">
        <f t="shared" si="90"/>
        <v>45779</v>
      </c>
      <c r="C1962" s="213" t="s">
        <v>6240</v>
      </c>
      <c r="D1962" s="213" t="s">
        <v>4366</v>
      </c>
      <c r="E1962" s="213" t="s">
        <v>333</v>
      </c>
      <c r="F1962" s="212" t="s">
        <v>4365</v>
      </c>
      <c r="G1962" s="212" t="str">
        <f t="shared" si="91"/>
        <v>101현금</v>
      </c>
      <c r="H1962" s="214">
        <v>0</v>
      </c>
      <c r="I1962" s="214">
        <v>161400</v>
      </c>
      <c r="J1962" s="214">
        <f t="shared" si="92"/>
        <v>161400</v>
      </c>
      <c r="K1962" s="212" t="s">
        <v>6370</v>
      </c>
      <c r="L1962" s="213"/>
      <c r="M1962" s="212"/>
    </row>
    <row r="1963" spans="1:13" ht="21" customHeight="1">
      <c r="A1963" s="213" t="s">
        <v>6661</v>
      </c>
      <c r="B1963" s="215">
        <f t="shared" si="90"/>
        <v>45779</v>
      </c>
      <c r="C1963" s="213" t="s">
        <v>6241</v>
      </c>
      <c r="D1963" s="213" t="s">
        <v>4369</v>
      </c>
      <c r="E1963" s="213" t="s">
        <v>4371</v>
      </c>
      <c r="F1963" s="212" t="s">
        <v>4370</v>
      </c>
      <c r="G1963" s="212" t="str">
        <f t="shared" si="91"/>
        <v>135부가세대급금</v>
      </c>
      <c r="H1963" s="214">
        <v>2054</v>
      </c>
      <c r="I1963" s="214">
        <v>0</v>
      </c>
      <c r="J1963" s="214">
        <f t="shared" si="92"/>
        <v>-2054</v>
      </c>
      <c r="K1963" s="212" t="s">
        <v>6197</v>
      </c>
      <c r="L1963" s="213"/>
      <c r="M1963" s="212"/>
    </row>
    <row r="1964" spans="1:13" ht="21" customHeight="1">
      <c r="A1964" s="213" t="s">
        <v>6661</v>
      </c>
      <c r="B1964" s="215">
        <f t="shared" si="90"/>
        <v>45779</v>
      </c>
      <c r="C1964" s="213" t="s">
        <v>6241</v>
      </c>
      <c r="D1964" s="213" t="s">
        <v>4369</v>
      </c>
      <c r="E1964" s="213" t="s">
        <v>4383</v>
      </c>
      <c r="F1964" s="212" t="s">
        <v>6525</v>
      </c>
      <c r="G1964" s="212" t="str">
        <f t="shared" si="91"/>
        <v>830소모품비(판)</v>
      </c>
      <c r="H1964" s="214">
        <v>20546</v>
      </c>
      <c r="I1964" s="214">
        <v>0</v>
      </c>
      <c r="J1964" s="214">
        <f t="shared" si="92"/>
        <v>-20546</v>
      </c>
      <c r="K1964" s="212" t="s">
        <v>6197</v>
      </c>
      <c r="L1964" s="213"/>
      <c r="M1964" s="212"/>
    </row>
    <row r="1965" spans="1:13" ht="21" customHeight="1">
      <c r="A1965" s="213" t="s">
        <v>6661</v>
      </c>
      <c r="B1965" s="215">
        <f t="shared" si="90"/>
        <v>45779</v>
      </c>
      <c r="C1965" s="213" t="s">
        <v>6241</v>
      </c>
      <c r="D1965" s="213" t="s">
        <v>4366</v>
      </c>
      <c r="E1965" s="213" t="s">
        <v>333</v>
      </c>
      <c r="F1965" s="212" t="s">
        <v>4365</v>
      </c>
      <c r="G1965" s="212" t="str">
        <f t="shared" si="91"/>
        <v>101현금</v>
      </c>
      <c r="H1965" s="214">
        <v>0</v>
      </c>
      <c r="I1965" s="214">
        <v>22600</v>
      </c>
      <c r="J1965" s="214">
        <f t="shared" si="92"/>
        <v>22600</v>
      </c>
      <c r="K1965" s="212" t="s">
        <v>6370</v>
      </c>
      <c r="L1965" s="213"/>
      <c r="M1965" s="212"/>
    </row>
    <row r="1966" spans="1:13" ht="21" customHeight="1">
      <c r="A1966" s="217" t="s">
        <v>6659</v>
      </c>
      <c r="B1966" s="215">
        <f t="shared" si="90"/>
        <v>45780</v>
      </c>
      <c r="C1966" s="213" t="s">
        <v>4373</v>
      </c>
      <c r="D1966" s="213" t="s">
        <v>4369</v>
      </c>
      <c r="E1966" s="213" t="s">
        <v>4499</v>
      </c>
      <c r="F1966" s="212" t="s">
        <v>6517</v>
      </c>
      <c r="G1966" s="212" t="str">
        <f t="shared" si="91"/>
        <v>811복리후생비(판)</v>
      </c>
      <c r="H1966" s="214">
        <v>7200</v>
      </c>
      <c r="I1966" s="214">
        <v>0</v>
      </c>
      <c r="J1966" s="214">
        <f t="shared" si="92"/>
        <v>-7200</v>
      </c>
      <c r="K1966" s="212" t="s">
        <v>6544</v>
      </c>
      <c r="L1966" s="213"/>
      <c r="M1966" s="212"/>
    </row>
    <row r="1967" spans="1:13" ht="21" customHeight="1">
      <c r="A1967" s="217" t="s">
        <v>6659</v>
      </c>
      <c r="B1967" s="215">
        <f t="shared" si="90"/>
        <v>45780</v>
      </c>
      <c r="C1967" s="213" t="s">
        <v>4373</v>
      </c>
      <c r="D1967" s="213" t="s">
        <v>4366</v>
      </c>
      <c r="E1967" s="213" t="s">
        <v>333</v>
      </c>
      <c r="F1967" s="212" t="s">
        <v>4365</v>
      </c>
      <c r="G1967" s="212" t="str">
        <f t="shared" si="91"/>
        <v>101현금</v>
      </c>
      <c r="H1967" s="214">
        <v>0</v>
      </c>
      <c r="I1967" s="214">
        <v>7200</v>
      </c>
      <c r="J1967" s="214">
        <f t="shared" si="92"/>
        <v>7200</v>
      </c>
      <c r="K1967" s="212" t="s">
        <v>6369</v>
      </c>
      <c r="L1967" s="213"/>
      <c r="M1967" s="212"/>
    </row>
    <row r="1968" spans="1:13" ht="21" customHeight="1">
      <c r="A1968" s="217" t="s">
        <v>6659</v>
      </c>
      <c r="B1968" s="215">
        <f t="shared" si="90"/>
        <v>45780</v>
      </c>
      <c r="C1968" s="213" t="s">
        <v>4382</v>
      </c>
      <c r="D1968" s="213" t="s">
        <v>4369</v>
      </c>
      <c r="E1968" s="213" t="s">
        <v>4499</v>
      </c>
      <c r="F1968" s="212" t="s">
        <v>6517</v>
      </c>
      <c r="G1968" s="212" t="str">
        <f t="shared" si="91"/>
        <v>811복리후생비(판)</v>
      </c>
      <c r="H1968" s="214">
        <v>9000</v>
      </c>
      <c r="I1968" s="214">
        <v>0</v>
      </c>
      <c r="J1968" s="214">
        <f t="shared" si="92"/>
        <v>-9000</v>
      </c>
      <c r="K1968" s="212" t="s">
        <v>6288</v>
      </c>
      <c r="L1968" s="213"/>
      <c r="M1968" s="212"/>
    </row>
    <row r="1969" spans="1:13" ht="21" customHeight="1">
      <c r="A1969" s="217" t="s">
        <v>6659</v>
      </c>
      <c r="B1969" s="215">
        <f t="shared" si="90"/>
        <v>45780</v>
      </c>
      <c r="C1969" s="213" t="s">
        <v>4382</v>
      </c>
      <c r="D1969" s="213" t="s">
        <v>4366</v>
      </c>
      <c r="E1969" s="213" t="s">
        <v>333</v>
      </c>
      <c r="F1969" s="212" t="s">
        <v>4365</v>
      </c>
      <c r="G1969" s="212" t="str">
        <f t="shared" si="91"/>
        <v>101현금</v>
      </c>
      <c r="H1969" s="214">
        <v>0</v>
      </c>
      <c r="I1969" s="214">
        <v>9000</v>
      </c>
      <c r="J1969" s="214">
        <f t="shared" si="92"/>
        <v>9000</v>
      </c>
      <c r="K1969" s="212" t="s">
        <v>6200</v>
      </c>
      <c r="L1969" s="213"/>
      <c r="M1969" s="212"/>
    </row>
    <row r="1970" spans="1:13" ht="21" customHeight="1">
      <c r="A1970" s="217" t="s">
        <v>6659</v>
      </c>
      <c r="B1970" s="215">
        <f t="shared" si="90"/>
        <v>45780</v>
      </c>
      <c r="C1970" s="213" t="s">
        <v>4381</v>
      </c>
      <c r="D1970" s="213" t="s">
        <v>4369</v>
      </c>
      <c r="E1970" s="213" t="s">
        <v>4383</v>
      </c>
      <c r="F1970" s="212" t="s">
        <v>6525</v>
      </c>
      <c r="G1970" s="212" t="str">
        <f t="shared" si="91"/>
        <v>830소모품비(판)</v>
      </c>
      <c r="H1970" s="214">
        <v>4500</v>
      </c>
      <c r="I1970" s="214">
        <v>0</v>
      </c>
      <c r="J1970" s="214">
        <f t="shared" si="92"/>
        <v>-4500</v>
      </c>
      <c r="K1970" s="212" t="s">
        <v>6219</v>
      </c>
      <c r="L1970" s="213"/>
      <c r="M1970" s="212"/>
    </row>
    <row r="1971" spans="1:13" ht="21" customHeight="1">
      <c r="A1971" s="217" t="s">
        <v>6659</v>
      </c>
      <c r="B1971" s="215">
        <f t="shared" si="90"/>
        <v>45780</v>
      </c>
      <c r="C1971" s="213" t="s">
        <v>4381</v>
      </c>
      <c r="D1971" s="213" t="s">
        <v>4366</v>
      </c>
      <c r="E1971" s="213" t="s">
        <v>333</v>
      </c>
      <c r="F1971" s="212" t="s">
        <v>4365</v>
      </c>
      <c r="G1971" s="212" t="str">
        <f t="shared" si="91"/>
        <v>101현금</v>
      </c>
      <c r="H1971" s="214">
        <v>0</v>
      </c>
      <c r="I1971" s="214">
        <v>4500</v>
      </c>
      <c r="J1971" s="214">
        <f t="shared" si="92"/>
        <v>4500</v>
      </c>
      <c r="K1971" s="212" t="s">
        <v>6200</v>
      </c>
      <c r="L1971" s="213"/>
      <c r="M1971" s="212"/>
    </row>
    <row r="1972" spans="1:13" ht="21" customHeight="1">
      <c r="A1972" s="217" t="s">
        <v>6659</v>
      </c>
      <c r="B1972" s="215">
        <f t="shared" si="90"/>
        <v>45780</v>
      </c>
      <c r="C1972" s="213" t="s">
        <v>4379</v>
      </c>
      <c r="D1972" s="213" t="s">
        <v>4369</v>
      </c>
      <c r="E1972" s="213" t="s">
        <v>4380</v>
      </c>
      <c r="F1972" s="212" t="s">
        <v>6515</v>
      </c>
      <c r="G1972" s="212" t="str">
        <f t="shared" si="91"/>
        <v>812여비교통비(판)</v>
      </c>
      <c r="H1972" s="214">
        <v>17900</v>
      </c>
      <c r="I1972" s="214">
        <v>0</v>
      </c>
      <c r="J1972" s="214">
        <f t="shared" si="92"/>
        <v>-17900</v>
      </c>
      <c r="K1972" s="212" t="s">
        <v>6660</v>
      </c>
      <c r="L1972" s="213"/>
      <c r="M1972" s="212"/>
    </row>
    <row r="1973" spans="1:13" ht="21" customHeight="1">
      <c r="A1973" s="217" t="s">
        <v>6659</v>
      </c>
      <c r="B1973" s="215">
        <f t="shared" si="90"/>
        <v>45780</v>
      </c>
      <c r="C1973" s="213" t="s">
        <v>4379</v>
      </c>
      <c r="D1973" s="213" t="s">
        <v>4366</v>
      </c>
      <c r="E1973" s="213" t="s">
        <v>333</v>
      </c>
      <c r="F1973" s="212" t="s">
        <v>4365</v>
      </c>
      <c r="G1973" s="212" t="str">
        <f t="shared" si="91"/>
        <v>101현금</v>
      </c>
      <c r="H1973" s="214">
        <v>0</v>
      </c>
      <c r="I1973" s="214">
        <v>17900</v>
      </c>
      <c r="J1973" s="214">
        <f t="shared" si="92"/>
        <v>17900</v>
      </c>
      <c r="K1973" s="212" t="s">
        <v>6369</v>
      </c>
      <c r="L1973" s="213"/>
      <c r="M1973" s="212"/>
    </row>
    <row r="1974" spans="1:13" ht="21" customHeight="1">
      <c r="A1974" s="217" t="s">
        <v>6659</v>
      </c>
      <c r="B1974" s="215">
        <f t="shared" si="90"/>
        <v>45780</v>
      </c>
      <c r="C1974" s="213" t="s">
        <v>4385</v>
      </c>
      <c r="D1974" s="213" t="s">
        <v>4369</v>
      </c>
      <c r="E1974" s="213" t="s">
        <v>4380</v>
      </c>
      <c r="F1974" s="212" t="s">
        <v>6515</v>
      </c>
      <c r="G1974" s="212" t="str">
        <f t="shared" si="91"/>
        <v>812여비교통비(판)</v>
      </c>
      <c r="H1974" s="214">
        <v>1800</v>
      </c>
      <c r="I1974" s="214">
        <v>0</v>
      </c>
      <c r="J1974" s="214">
        <f t="shared" si="92"/>
        <v>-1800</v>
      </c>
      <c r="K1974" s="212" t="s">
        <v>6305</v>
      </c>
      <c r="L1974" s="213"/>
      <c r="M1974" s="212"/>
    </row>
    <row r="1975" spans="1:13" ht="21" customHeight="1">
      <c r="A1975" s="217" t="s">
        <v>6659</v>
      </c>
      <c r="B1975" s="215">
        <f t="shared" si="90"/>
        <v>45780</v>
      </c>
      <c r="C1975" s="213" t="s">
        <v>4385</v>
      </c>
      <c r="D1975" s="213" t="s">
        <v>4366</v>
      </c>
      <c r="E1975" s="213" t="s">
        <v>333</v>
      </c>
      <c r="F1975" s="212" t="s">
        <v>4365</v>
      </c>
      <c r="G1975" s="212" t="str">
        <f t="shared" si="91"/>
        <v>101현금</v>
      </c>
      <c r="H1975" s="214">
        <v>0</v>
      </c>
      <c r="I1975" s="214">
        <v>1800</v>
      </c>
      <c r="J1975" s="214">
        <f t="shared" si="92"/>
        <v>1800</v>
      </c>
      <c r="K1975" s="212" t="s">
        <v>6369</v>
      </c>
      <c r="L1975" s="213"/>
      <c r="M1975" s="212"/>
    </row>
    <row r="1976" spans="1:13" ht="21" customHeight="1">
      <c r="A1976" s="217" t="s">
        <v>6659</v>
      </c>
      <c r="B1976" s="215">
        <f t="shared" si="90"/>
        <v>45780</v>
      </c>
      <c r="C1976" s="213" t="s">
        <v>4501</v>
      </c>
      <c r="D1976" s="213" t="s">
        <v>4369</v>
      </c>
      <c r="E1976" s="213" t="s">
        <v>4380</v>
      </c>
      <c r="F1976" s="212" t="s">
        <v>6515</v>
      </c>
      <c r="G1976" s="212" t="str">
        <f t="shared" si="91"/>
        <v>812여비교통비(판)</v>
      </c>
      <c r="H1976" s="214">
        <v>1800</v>
      </c>
      <c r="I1976" s="214">
        <v>0</v>
      </c>
      <c r="J1976" s="214">
        <f t="shared" si="92"/>
        <v>-1800</v>
      </c>
      <c r="K1976" s="212" t="s">
        <v>6305</v>
      </c>
      <c r="L1976" s="213"/>
      <c r="M1976" s="212"/>
    </row>
    <row r="1977" spans="1:13" ht="21" customHeight="1">
      <c r="A1977" s="217" t="s">
        <v>6659</v>
      </c>
      <c r="B1977" s="215">
        <f t="shared" si="90"/>
        <v>45780</v>
      </c>
      <c r="C1977" s="213" t="s">
        <v>4501</v>
      </c>
      <c r="D1977" s="213" t="s">
        <v>4366</v>
      </c>
      <c r="E1977" s="213" t="s">
        <v>333</v>
      </c>
      <c r="F1977" s="212" t="s">
        <v>4365</v>
      </c>
      <c r="G1977" s="212" t="str">
        <f t="shared" si="91"/>
        <v>101현금</v>
      </c>
      <c r="H1977" s="214">
        <v>0</v>
      </c>
      <c r="I1977" s="214">
        <v>1800</v>
      </c>
      <c r="J1977" s="214">
        <f t="shared" si="92"/>
        <v>1800</v>
      </c>
      <c r="K1977" s="212" t="s">
        <v>6369</v>
      </c>
      <c r="L1977" s="213"/>
      <c r="M1977" s="212"/>
    </row>
    <row r="1978" spans="1:13" ht="21" customHeight="1">
      <c r="A1978" s="217" t="s">
        <v>6659</v>
      </c>
      <c r="B1978" s="215">
        <f t="shared" si="90"/>
        <v>45780</v>
      </c>
      <c r="C1978" s="213" t="s">
        <v>4502</v>
      </c>
      <c r="D1978" s="213" t="s">
        <v>4369</v>
      </c>
      <c r="E1978" s="213" t="s">
        <v>4368</v>
      </c>
      <c r="F1978" s="212" t="s">
        <v>6388</v>
      </c>
      <c r="G1978" s="212" t="str">
        <f t="shared" si="91"/>
        <v>831지급수수료(판)</v>
      </c>
      <c r="H1978" s="214">
        <v>9600</v>
      </c>
      <c r="I1978" s="214">
        <v>0</v>
      </c>
      <c r="J1978" s="214">
        <f t="shared" si="92"/>
        <v>-9600</v>
      </c>
      <c r="K1978" s="212" t="s">
        <v>4384</v>
      </c>
      <c r="L1978" s="213"/>
      <c r="M1978" s="212"/>
    </row>
    <row r="1979" spans="1:13" ht="21" customHeight="1">
      <c r="A1979" s="217" t="s">
        <v>6659</v>
      </c>
      <c r="B1979" s="215">
        <f t="shared" si="90"/>
        <v>45780</v>
      </c>
      <c r="C1979" s="213" t="s">
        <v>4502</v>
      </c>
      <c r="D1979" s="213" t="s">
        <v>4366</v>
      </c>
      <c r="E1979" s="213" t="s">
        <v>333</v>
      </c>
      <c r="F1979" s="212" t="s">
        <v>4365</v>
      </c>
      <c r="G1979" s="212" t="str">
        <f t="shared" si="91"/>
        <v>101현금</v>
      </c>
      <c r="H1979" s="214">
        <v>0</v>
      </c>
      <c r="I1979" s="214">
        <v>9600</v>
      </c>
      <c r="J1979" s="214">
        <f t="shared" si="92"/>
        <v>9600</v>
      </c>
      <c r="K1979" s="212" t="s">
        <v>6369</v>
      </c>
      <c r="L1979" s="213"/>
      <c r="M1979" s="212"/>
    </row>
    <row r="1980" spans="1:13" ht="21" customHeight="1">
      <c r="A1980" s="217" t="s">
        <v>6659</v>
      </c>
      <c r="B1980" s="215">
        <f t="shared" si="90"/>
        <v>45780</v>
      </c>
      <c r="C1980" s="213" t="s">
        <v>4503</v>
      </c>
      <c r="D1980" s="213" t="s">
        <v>4366</v>
      </c>
      <c r="E1980" s="213" t="s">
        <v>333</v>
      </c>
      <c r="F1980" s="212" t="s">
        <v>4365</v>
      </c>
      <c r="G1980" s="212" t="str">
        <f t="shared" si="91"/>
        <v>101현금</v>
      </c>
      <c r="H1980" s="214">
        <v>0</v>
      </c>
      <c r="I1980" s="214">
        <v>7400</v>
      </c>
      <c r="J1980" s="214">
        <f t="shared" si="92"/>
        <v>7400</v>
      </c>
      <c r="K1980" s="212" t="s">
        <v>6643</v>
      </c>
      <c r="L1980" s="213"/>
      <c r="M1980" s="212"/>
    </row>
    <row r="1981" spans="1:13" ht="21" customHeight="1">
      <c r="A1981" s="217" t="s">
        <v>6659</v>
      </c>
      <c r="B1981" s="215">
        <f t="shared" si="90"/>
        <v>45780</v>
      </c>
      <c r="C1981" s="213" t="s">
        <v>4503</v>
      </c>
      <c r="D1981" s="213" t="s">
        <v>4369</v>
      </c>
      <c r="E1981" s="213" t="s">
        <v>4383</v>
      </c>
      <c r="F1981" s="212" t="s">
        <v>6525</v>
      </c>
      <c r="G1981" s="212" t="str">
        <f t="shared" si="91"/>
        <v>830소모품비(판)</v>
      </c>
      <c r="H1981" s="214">
        <v>7400</v>
      </c>
      <c r="I1981" s="214">
        <v>0</v>
      </c>
      <c r="J1981" s="214">
        <f t="shared" si="92"/>
        <v>-7400</v>
      </c>
      <c r="K1981" s="212" t="s">
        <v>6643</v>
      </c>
      <c r="L1981" s="213"/>
      <c r="M1981" s="212"/>
    </row>
    <row r="1982" spans="1:13" ht="21" customHeight="1">
      <c r="A1982" s="217" t="s">
        <v>6659</v>
      </c>
      <c r="B1982" s="215">
        <f t="shared" si="90"/>
        <v>45780</v>
      </c>
      <c r="C1982" s="213" t="s">
        <v>4374</v>
      </c>
      <c r="D1982" s="213" t="s">
        <v>4369</v>
      </c>
      <c r="E1982" s="213" t="s">
        <v>4371</v>
      </c>
      <c r="F1982" s="212" t="s">
        <v>4370</v>
      </c>
      <c r="G1982" s="212" t="str">
        <f t="shared" si="91"/>
        <v>135부가세대급금</v>
      </c>
      <c r="H1982" s="214">
        <v>318</v>
      </c>
      <c r="I1982" s="214">
        <v>0</v>
      </c>
      <c r="J1982" s="214">
        <f t="shared" si="92"/>
        <v>-318</v>
      </c>
      <c r="K1982" s="212" t="s">
        <v>6643</v>
      </c>
      <c r="L1982" s="213"/>
      <c r="M1982" s="212"/>
    </row>
    <row r="1983" spans="1:13" ht="21" customHeight="1">
      <c r="A1983" s="217" t="s">
        <v>6659</v>
      </c>
      <c r="B1983" s="215">
        <f t="shared" si="90"/>
        <v>45780</v>
      </c>
      <c r="C1983" s="213" t="s">
        <v>4374</v>
      </c>
      <c r="D1983" s="213" t="s">
        <v>4369</v>
      </c>
      <c r="E1983" s="213" t="s">
        <v>4383</v>
      </c>
      <c r="F1983" s="212" t="s">
        <v>6525</v>
      </c>
      <c r="G1983" s="212" t="str">
        <f t="shared" si="91"/>
        <v>830소모품비(판)</v>
      </c>
      <c r="H1983" s="214">
        <v>3182</v>
      </c>
      <c r="I1983" s="214">
        <v>0</v>
      </c>
      <c r="J1983" s="214">
        <f t="shared" si="92"/>
        <v>-3182</v>
      </c>
      <c r="K1983" s="212" t="s">
        <v>6643</v>
      </c>
      <c r="L1983" s="213"/>
      <c r="M1983" s="212"/>
    </row>
    <row r="1984" spans="1:13" ht="21" customHeight="1">
      <c r="A1984" s="217" t="s">
        <v>6659</v>
      </c>
      <c r="B1984" s="215">
        <f t="shared" si="90"/>
        <v>45780</v>
      </c>
      <c r="C1984" s="213" t="s">
        <v>4374</v>
      </c>
      <c r="D1984" s="213" t="s">
        <v>4366</v>
      </c>
      <c r="E1984" s="213" t="s">
        <v>333</v>
      </c>
      <c r="F1984" s="212" t="s">
        <v>4365</v>
      </c>
      <c r="G1984" s="212" t="str">
        <f t="shared" si="91"/>
        <v>101현금</v>
      </c>
      <c r="H1984" s="214">
        <v>0</v>
      </c>
      <c r="I1984" s="214">
        <v>3500</v>
      </c>
      <c r="J1984" s="214">
        <f t="shared" si="92"/>
        <v>3500</v>
      </c>
      <c r="K1984" s="212" t="s">
        <v>6369</v>
      </c>
      <c r="L1984" s="213"/>
      <c r="M1984" s="212"/>
    </row>
    <row r="1985" spans="1:13" ht="21" customHeight="1">
      <c r="A1985" s="216" t="s">
        <v>6651</v>
      </c>
      <c r="B1985" s="215">
        <f t="shared" si="90"/>
        <v>45781</v>
      </c>
      <c r="C1985" s="213" t="s">
        <v>4373</v>
      </c>
      <c r="D1985" s="213" t="s">
        <v>4369</v>
      </c>
      <c r="E1985" s="213" t="s">
        <v>4499</v>
      </c>
      <c r="F1985" s="212" t="s">
        <v>6517</v>
      </c>
      <c r="G1985" s="212" t="str">
        <f t="shared" si="91"/>
        <v>811복리후생비(판)</v>
      </c>
      <c r="H1985" s="214">
        <v>4900</v>
      </c>
      <c r="I1985" s="214">
        <v>0</v>
      </c>
      <c r="J1985" s="214">
        <f t="shared" si="92"/>
        <v>-4900</v>
      </c>
      <c r="K1985" s="212" t="s">
        <v>6312</v>
      </c>
      <c r="L1985" s="213"/>
      <c r="M1985" s="212"/>
    </row>
    <row r="1986" spans="1:13" ht="21" customHeight="1">
      <c r="A1986" s="216" t="s">
        <v>6651</v>
      </c>
      <c r="B1986" s="215">
        <f t="shared" ref="B1986:B2049" si="93">DATEVALUE(A1986)</f>
        <v>45781</v>
      </c>
      <c r="C1986" s="213" t="s">
        <v>4373</v>
      </c>
      <c r="D1986" s="213" t="s">
        <v>4366</v>
      </c>
      <c r="E1986" s="213" t="s">
        <v>333</v>
      </c>
      <c r="F1986" s="212" t="s">
        <v>4365</v>
      </c>
      <c r="G1986" s="212" t="str">
        <f t="shared" ref="G1986:G2049" si="94">E1986&amp;F1986</f>
        <v>101현금</v>
      </c>
      <c r="H1986" s="214">
        <v>0</v>
      </c>
      <c r="I1986" s="214">
        <v>4900</v>
      </c>
      <c r="J1986" s="214">
        <f t="shared" ref="J1986:J2049" si="95">I1986-H1986</f>
        <v>4900</v>
      </c>
      <c r="K1986" s="212" t="s">
        <v>6371</v>
      </c>
      <c r="L1986" s="213"/>
      <c r="M1986" s="212"/>
    </row>
    <row r="1987" spans="1:13" ht="21" customHeight="1">
      <c r="A1987" s="216" t="s">
        <v>6651</v>
      </c>
      <c r="B1987" s="215">
        <f t="shared" si="93"/>
        <v>45781</v>
      </c>
      <c r="C1987" s="213" t="s">
        <v>4382</v>
      </c>
      <c r="D1987" s="213" t="s">
        <v>4366</v>
      </c>
      <c r="E1987" s="213" t="s">
        <v>333</v>
      </c>
      <c r="F1987" s="212" t="s">
        <v>4365</v>
      </c>
      <c r="G1987" s="212" t="str">
        <f t="shared" si="94"/>
        <v>101현금</v>
      </c>
      <c r="H1987" s="214">
        <v>0</v>
      </c>
      <c r="I1987" s="214">
        <v>25000</v>
      </c>
      <c r="J1987" s="214">
        <f t="shared" si="95"/>
        <v>25000</v>
      </c>
      <c r="K1987" s="212" t="s">
        <v>6200</v>
      </c>
      <c r="L1987" s="213"/>
      <c r="M1987" s="212"/>
    </row>
    <row r="1988" spans="1:13" ht="21" customHeight="1">
      <c r="A1988" s="216" t="s">
        <v>6651</v>
      </c>
      <c r="B1988" s="215">
        <f t="shared" si="93"/>
        <v>45781</v>
      </c>
      <c r="C1988" s="213" t="s">
        <v>4382</v>
      </c>
      <c r="D1988" s="213" t="s">
        <v>4369</v>
      </c>
      <c r="E1988" s="213" t="s">
        <v>4499</v>
      </c>
      <c r="F1988" s="212" t="s">
        <v>6517</v>
      </c>
      <c r="G1988" s="212" t="str">
        <f t="shared" si="94"/>
        <v>811복리후생비(판)</v>
      </c>
      <c r="H1988" s="214">
        <v>25000</v>
      </c>
      <c r="I1988" s="214">
        <v>0</v>
      </c>
      <c r="J1988" s="214">
        <f t="shared" si="95"/>
        <v>-25000</v>
      </c>
      <c r="K1988" s="212" t="s">
        <v>6658</v>
      </c>
      <c r="L1988" s="213"/>
      <c r="M1988" s="212"/>
    </row>
    <row r="1989" spans="1:13" ht="21" customHeight="1">
      <c r="A1989" s="216" t="s">
        <v>6651</v>
      </c>
      <c r="B1989" s="215">
        <f t="shared" si="93"/>
        <v>45781</v>
      </c>
      <c r="C1989" s="213" t="s">
        <v>4381</v>
      </c>
      <c r="D1989" s="213" t="s">
        <v>4369</v>
      </c>
      <c r="E1989" s="213" t="s">
        <v>4383</v>
      </c>
      <c r="F1989" s="212" t="s">
        <v>6525</v>
      </c>
      <c r="G1989" s="212" t="str">
        <f t="shared" si="94"/>
        <v>830소모품비(판)</v>
      </c>
      <c r="H1989" s="214">
        <v>22000</v>
      </c>
      <c r="I1989" s="214">
        <v>0</v>
      </c>
      <c r="J1989" s="214">
        <f t="shared" si="95"/>
        <v>-22000</v>
      </c>
      <c r="K1989" s="212" t="s">
        <v>6198</v>
      </c>
      <c r="L1989" s="213"/>
      <c r="M1989" s="212"/>
    </row>
    <row r="1990" spans="1:13" ht="21" customHeight="1">
      <c r="A1990" s="216" t="s">
        <v>6651</v>
      </c>
      <c r="B1990" s="215">
        <f t="shared" si="93"/>
        <v>45781</v>
      </c>
      <c r="C1990" s="213" t="s">
        <v>4381</v>
      </c>
      <c r="D1990" s="213" t="s">
        <v>4366</v>
      </c>
      <c r="E1990" s="213" t="s">
        <v>333</v>
      </c>
      <c r="F1990" s="212" t="s">
        <v>4365</v>
      </c>
      <c r="G1990" s="212" t="str">
        <f t="shared" si="94"/>
        <v>101현금</v>
      </c>
      <c r="H1990" s="214">
        <v>0</v>
      </c>
      <c r="I1990" s="214">
        <v>22000</v>
      </c>
      <c r="J1990" s="214">
        <f t="shared" si="95"/>
        <v>22000</v>
      </c>
      <c r="K1990" s="212" t="s">
        <v>6371</v>
      </c>
      <c r="L1990" s="213"/>
      <c r="M1990" s="212"/>
    </row>
    <row r="1991" spans="1:13" ht="21" customHeight="1">
      <c r="A1991" s="216" t="s">
        <v>6651</v>
      </c>
      <c r="B1991" s="215">
        <f t="shared" si="93"/>
        <v>45781</v>
      </c>
      <c r="C1991" s="213" t="s">
        <v>4379</v>
      </c>
      <c r="D1991" s="213" t="s">
        <v>4366</v>
      </c>
      <c r="E1991" s="213" t="s">
        <v>333</v>
      </c>
      <c r="F1991" s="212" t="s">
        <v>4365</v>
      </c>
      <c r="G1991" s="212" t="str">
        <f t="shared" si="94"/>
        <v>101현금</v>
      </c>
      <c r="H1991" s="214">
        <v>0</v>
      </c>
      <c r="I1991" s="214">
        <v>700</v>
      </c>
      <c r="J1991" s="214">
        <f t="shared" si="95"/>
        <v>700</v>
      </c>
      <c r="K1991" s="212" t="s">
        <v>6369</v>
      </c>
      <c r="L1991" s="213"/>
      <c r="M1991" s="212"/>
    </row>
    <row r="1992" spans="1:13" ht="21" customHeight="1">
      <c r="A1992" s="216" t="s">
        <v>6651</v>
      </c>
      <c r="B1992" s="215">
        <f t="shared" si="93"/>
        <v>45781</v>
      </c>
      <c r="C1992" s="213" t="s">
        <v>4379</v>
      </c>
      <c r="D1992" s="213" t="s">
        <v>4369</v>
      </c>
      <c r="E1992" s="213" t="s">
        <v>4380</v>
      </c>
      <c r="F1992" s="212" t="s">
        <v>6515</v>
      </c>
      <c r="G1992" s="212" t="str">
        <f t="shared" si="94"/>
        <v>812여비교통비(판)</v>
      </c>
      <c r="H1992" s="214">
        <v>700</v>
      </c>
      <c r="I1992" s="214">
        <v>0</v>
      </c>
      <c r="J1992" s="214">
        <f t="shared" si="95"/>
        <v>-700</v>
      </c>
      <c r="K1992" s="212" t="s">
        <v>6657</v>
      </c>
      <c r="L1992" s="213"/>
      <c r="M1992" s="212"/>
    </row>
    <row r="1993" spans="1:13" ht="21" customHeight="1">
      <c r="A1993" s="216" t="s">
        <v>6651</v>
      </c>
      <c r="B1993" s="215">
        <f t="shared" si="93"/>
        <v>45781</v>
      </c>
      <c r="C1993" s="213" t="s">
        <v>4385</v>
      </c>
      <c r="D1993" s="213" t="s">
        <v>4369</v>
      </c>
      <c r="E1993" s="213" t="s">
        <v>4380</v>
      </c>
      <c r="F1993" s="212" t="s">
        <v>6515</v>
      </c>
      <c r="G1993" s="212" t="str">
        <f t="shared" si="94"/>
        <v>812여비교통비(판)</v>
      </c>
      <c r="H1993" s="214">
        <v>1800</v>
      </c>
      <c r="I1993" s="214">
        <v>0</v>
      </c>
      <c r="J1993" s="214">
        <f t="shared" si="95"/>
        <v>-1800</v>
      </c>
      <c r="K1993" s="212" t="s">
        <v>6656</v>
      </c>
      <c r="L1993" s="213"/>
      <c r="M1993" s="212"/>
    </row>
    <row r="1994" spans="1:13" ht="21" customHeight="1">
      <c r="A1994" s="216" t="s">
        <v>6651</v>
      </c>
      <c r="B1994" s="215">
        <f t="shared" si="93"/>
        <v>45781</v>
      </c>
      <c r="C1994" s="213" t="s">
        <v>4385</v>
      </c>
      <c r="D1994" s="213" t="s">
        <v>4366</v>
      </c>
      <c r="E1994" s="213" t="s">
        <v>333</v>
      </c>
      <c r="F1994" s="212" t="s">
        <v>4365</v>
      </c>
      <c r="G1994" s="212" t="str">
        <f t="shared" si="94"/>
        <v>101현금</v>
      </c>
      <c r="H1994" s="214">
        <v>0</v>
      </c>
      <c r="I1994" s="214">
        <v>1800</v>
      </c>
      <c r="J1994" s="214">
        <f t="shared" si="95"/>
        <v>1800</v>
      </c>
      <c r="K1994" s="212" t="s">
        <v>6369</v>
      </c>
      <c r="L1994" s="213"/>
      <c r="M1994" s="212"/>
    </row>
    <row r="1995" spans="1:13" ht="21" customHeight="1">
      <c r="A1995" s="216" t="s">
        <v>6651</v>
      </c>
      <c r="B1995" s="215">
        <f t="shared" si="93"/>
        <v>45781</v>
      </c>
      <c r="C1995" s="213" t="s">
        <v>4501</v>
      </c>
      <c r="D1995" s="213" t="s">
        <v>4369</v>
      </c>
      <c r="E1995" s="213" t="s">
        <v>4380</v>
      </c>
      <c r="F1995" s="212" t="s">
        <v>6515</v>
      </c>
      <c r="G1995" s="212" t="str">
        <f t="shared" si="94"/>
        <v>812여비교통비(판)</v>
      </c>
      <c r="H1995" s="214">
        <v>14000</v>
      </c>
      <c r="I1995" s="214">
        <v>0</v>
      </c>
      <c r="J1995" s="214">
        <f t="shared" si="95"/>
        <v>-14000</v>
      </c>
      <c r="K1995" s="212" t="s">
        <v>6655</v>
      </c>
      <c r="L1995" s="213"/>
      <c r="M1995" s="212"/>
    </row>
    <row r="1996" spans="1:13" ht="21" customHeight="1">
      <c r="A1996" s="216" t="s">
        <v>6651</v>
      </c>
      <c r="B1996" s="215">
        <f t="shared" si="93"/>
        <v>45781</v>
      </c>
      <c r="C1996" s="213" t="s">
        <v>4501</v>
      </c>
      <c r="D1996" s="213" t="s">
        <v>4366</v>
      </c>
      <c r="E1996" s="213" t="s">
        <v>333</v>
      </c>
      <c r="F1996" s="212" t="s">
        <v>4365</v>
      </c>
      <c r="G1996" s="212" t="str">
        <f t="shared" si="94"/>
        <v>101현금</v>
      </c>
      <c r="H1996" s="214">
        <v>0</v>
      </c>
      <c r="I1996" s="214">
        <v>14000</v>
      </c>
      <c r="J1996" s="214">
        <f t="shared" si="95"/>
        <v>14000</v>
      </c>
      <c r="K1996" s="212" t="s">
        <v>6200</v>
      </c>
      <c r="L1996" s="213"/>
      <c r="M1996" s="212"/>
    </row>
    <row r="1997" spans="1:13" ht="21" customHeight="1">
      <c r="A1997" s="216" t="s">
        <v>6651</v>
      </c>
      <c r="B1997" s="215">
        <f t="shared" si="93"/>
        <v>45781</v>
      </c>
      <c r="C1997" s="213" t="s">
        <v>4502</v>
      </c>
      <c r="D1997" s="213" t="s">
        <v>4369</v>
      </c>
      <c r="E1997" s="213" t="s">
        <v>4380</v>
      </c>
      <c r="F1997" s="212" t="s">
        <v>6515</v>
      </c>
      <c r="G1997" s="212" t="str">
        <f t="shared" si="94"/>
        <v>812여비교통비(판)</v>
      </c>
      <c r="H1997" s="214">
        <v>8000</v>
      </c>
      <c r="I1997" s="214">
        <v>0</v>
      </c>
      <c r="J1997" s="214">
        <f t="shared" si="95"/>
        <v>-8000</v>
      </c>
      <c r="K1997" s="212" t="s">
        <v>6654</v>
      </c>
      <c r="L1997" s="213"/>
      <c r="M1997" s="212"/>
    </row>
    <row r="1998" spans="1:13" ht="21" customHeight="1">
      <c r="A1998" s="216" t="s">
        <v>6651</v>
      </c>
      <c r="B1998" s="215">
        <f t="shared" si="93"/>
        <v>45781</v>
      </c>
      <c r="C1998" s="213" t="s">
        <v>4502</v>
      </c>
      <c r="D1998" s="213" t="s">
        <v>4366</v>
      </c>
      <c r="E1998" s="213" t="s">
        <v>333</v>
      </c>
      <c r="F1998" s="212" t="s">
        <v>4365</v>
      </c>
      <c r="G1998" s="212" t="str">
        <f t="shared" si="94"/>
        <v>101현금</v>
      </c>
      <c r="H1998" s="214">
        <v>0</v>
      </c>
      <c r="I1998" s="214">
        <v>8000</v>
      </c>
      <c r="J1998" s="214">
        <f t="shared" si="95"/>
        <v>8000</v>
      </c>
      <c r="K1998" s="212" t="s">
        <v>6200</v>
      </c>
      <c r="L1998" s="213"/>
      <c r="M1998" s="212"/>
    </row>
    <row r="1999" spans="1:13" ht="21" customHeight="1">
      <c r="A1999" s="216" t="s">
        <v>6651</v>
      </c>
      <c r="B1999" s="215">
        <f t="shared" si="93"/>
        <v>45781</v>
      </c>
      <c r="C1999" s="213" t="s">
        <v>4503</v>
      </c>
      <c r="D1999" s="213" t="s">
        <v>4369</v>
      </c>
      <c r="E1999" s="213" t="s">
        <v>4368</v>
      </c>
      <c r="F1999" s="212" t="s">
        <v>6388</v>
      </c>
      <c r="G1999" s="212" t="str">
        <f t="shared" si="94"/>
        <v>831지급수수료(판)</v>
      </c>
      <c r="H1999" s="214">
        <v>53000</v>
      </c>
      <c r="I1999" s="214">
        <v>0</v>
      </c>
      <c r="J1999" s="214">
        <f t="shared" si="95"/>
        <v>-53000</v>
      </c>
      <c r="K1999" s="212" t="s">
        <v>6653</v>
      </c>
      <c r="L1999" s="213"/>
      <c r="M1999" s="212"/>
    </row>
    <row r="2000" spans="1:13" ht="21" customHeight="1">
      <c r="A2000" s="216" t="s">
        <v>6651</v>
      </c>
      <c r="B2000" s="215">
        <f t="shared" si="93"/>
        <v>45781</v>
      </c>
      <c r="C2000" s="213" t="s">
        <v>4503</v>
      </c>
      <c r="D2000" s="213" t="s">
        <v>4366</v>
      </c>
      <c r="E2000" s="213" t="s">
        <v>333</v>
      </c>
      <c r="F2000" s="212" t="s">
        <v>4365</v>
      </c>
      <c r="G2000" s="212" t="str">
        <f t="shared" si="94"/>
        <v>101현금</v>
      </c>
      <c r="H2000" s="214">
        <v>0</v>
      </c>
      <c r="I2000" s="214">
        <v>53000</v>
      </c>
      <c r="J2000" s="214">
        <f t="shared" si="95"/>
        <v>53000</v>
      </c>
      <c r="K2000" s="212" t="s">
        <v>6200</v>
      </c>
      <c r="L2000" s="213"/>
      <c r="M2000" s="212"/>
    </row>
    <row r="2001" spans="1:13" ht="21" customHeight="1">
      <c r="A2001" s="216" t="s">
        <v>6651</v>
      </c>
      <c r="B2001" s="215">
        <f t="shared" si="93"/>
        <v>45781</v>
      </c>
      <c r="C2001" s="213" t="s">
        <v>4367</v>
      </c>
      <c r="D2001" s="213" t="s">
        <v>4369</v>
      </c>
      <c r="E2001" s="213" t="s">
        <v>4371</v>
      </c>
      <c r="F2001" s="212" t="s">
        <v>4370</v>
      </c>
      <c r="G2001" s="212" t="str">
        <f t="shared" si="94"/>
        <v>135부가세대급금</v>
      </c>
      <c r="H2001" s="214">
        <v>1523</v>
      </c>
      <c r="I2001" s="214">
        <v>0</v>
      </c>
      <c r="J2001" s="214">
        <f t="shared" si="95"/>
        <v>-1523</v>
      </c>
      <c r="K2001" s="212" t="s">
        <v>6193</v>
      </c>
      <c r="L2001" s="213"/>
      <c r="M2001" s="212" t="s">
        <v>6652</v>
      </c>
    </row>
    <row r="2002" spans="1:13" ht="21" customHeight="1">
      <c r="A2002" s="216" t="s">
        <v>6651</v>
      </c>
      <c r="B2002" s="215">
        <f t="shared" si="93"/>
        <v>45781</v>
      </c>
      <c r="C2002" s="213" t="s">
        <v>4367</v>
      </c>
      <c r="D2002" s="213" t="s">
        <v>4369</v>
      </c>
      <c r="E2002" s="213" t="s">
        <v>4386</v>
      </c>
      <c r="F2002" s="212" t="s">
        <v>6420</v>
      </c>
      <c r="G2002" s="212" t="str">
        <f t="shared" si="94"/>
        <v>814통신비(판)</v>
      </c>
      <c r="H2002" s="214">
        <v>15230</v>
      </c>
      <c r="I2002" s="214">
        <v>0</v>
      </c>
      <c r="J2002" s="214">
        <f t="shared" si="95"/>
        <v>-15230</v>
      </c>
      <c r="K2002" s="212" t="s">
        <v>6193</v>
      </c>
      <c r="L2002" s="213"/>
      <c r="M2002" s="212" t="s">
        <v>6652</v>
      </c>
    </row>
    <row r="2003" spans="1:13" ht="21" customHeight="1">
      <c r="A2003" s="216" t="s">
        <v>6651</v>
      </c>
      <c r="B2003" s="215">
        <f t="shared" si="93"/>
        <v>45781</v>
      </c>
      <c r="C2003" s="213" t="s">
        <v>4367</v>
      </c>
      <c r="D2003" s="213" t="s">
        <v>4366</v>
      </c>
      <c r="E2003" s="213" t="s">
        <v>333</v>
      </c>
      <c r="F2003" s="212" t="s">
        <v>4365</v>
      </c>
      <c r="G2003" s="212" t="str">
        <f t="shared" si="94"/>
        <v>101현금</v>
      </c>
      <c r="H2003" s="214">
        <v>0</v>
      </c>
      <c r="I2003" s="214">
        <v>16753</v>
      </c>
      <c r="J2003" s="214">
        <f t="shared" si="95"/>
        <v>16753</v>
      </c>
      <c r="K2003" s="212" t="s">
        <v>6193</v>
      </c>
      <c r="L2003" s="213"/>
      <c r="M2003" s="212" t="s">
        <v>6652</v>
      </c>
    </row>
    <row r="2004" spans="1:13" ht="21" customHeight="1">
      <c r="A2004" s="216" t="s">
        <v>6651</v>
      </c>
      <c r="B2004" s="215">
        <f t="shared" si="93"/>
        <v>45781</v>
      </c>
      <c r="C2004" s="213" t="s">
        <v>4374</v>
      </c>
      <c r="D2004" s="213" t="s">
        <v>4366</v>
      </c>
      <c r="E2004" s="213" t="s">
        <v>6176</v>
      </c>
      <c r="F2004" s="212" t="s">
        <v>6177</v>
      </c>
      <c r="G2004" s="212" t="str">
        <f t="shared" si="94"/>
        <v>255부가세예수금</v>
      </c>
      <c r="H2004" s="214">
        <v>0</v>
      </c>
      <c r="I2004" s="214">
        <v>10000</v>
      </c>
      <c r="J2004" s="214">
        <f t="shared" si="95"/>
        <v>10000</v>
      </c>
      <c r="K2004" s="212" t="s">
        <v>6317</v>
      </c>
      <c r="L2004" s="213"/>
      <c r="M2004" s="212" t="s">
        <v>6185</v>
      </c>
    </row>
    <row r="2005" spans="1:13" ht="21" customHeight="1">
      <c r="A2005" s="216" t="s">
        <v>6651</v>
      </c>
      <c r="B2005" s="215">
        <f t="shared" si="93"/>
        <v>45781</v>
      </c>
      <c r="C2005" s="213" t="s">
        <v>4374</v>
      </c>
      <c r="D2005" s="213" t="s">
        <v>4366</v>
      </c>
      <c r="E2005" s="213" t="s">
        <v>334</v>
      </c>
      <c r="F2005" s="212" t="s">
        <v>6158</v>
      </c>
      <c r="G2005" s="212" t="str">
        <f t="shared" si="94"/>
        <v>401용역매출</v>
      </c>
      <c r="H2005" s="214">
        <v>0</v>
      </c>
      <c r="I2005" s="214">
        <v>100000</v>
      </c>
      <c r="J2005" s="214">
        <f t="shared" si="95"/>
        <v>100000</v>
      </c>
      <c r="K2005" s="212" t="s">
        <v>6317</v>
      </c>
      <c r="L2005" s="213"/>
      <c r="M2005" s="212" t="s">
        <v>6185</v>
      </c>
    </row>
    <row r="2006" spans="1:13" ht="21" customHeight="1">
      <c r="A2006" s="216" t="s">
        <v>6651</v>
      </c>
      <c r="B2006" s="215">
        <f t="shared" si="93"/>
        <v>45781</v>
      </c>
      <c r="C2006" s="213" t="s">
        <v>4374</v>
      </c>
      <c r="D2006" s="213" t="s">
        <v>4369</v>
      </c>
      <c r="E2006" s="213" t="s">
        <v>333</v>
      </c>
      <c r="F2006" s="212" t="s">
        <v>4365</v>
      </c>
      <c r="G2006" s="212" t="str">
        <f t="shared" si="94"/>
        <v>101현금</v>
      </c>
      <c r="H2006" s="214">
        <v>110000</v>
      </c>
      <c r="I2006" s="214">
        <v>0</v>
      </c>
      <c r="J2006" s="214">
        <f t="shared" si="95"/>
        <v>-110000</v>
      </c>
      <c r="K2006" s="212" t="s">
        <v>6317</v>
      </c>
      <c r="L2006" s="213"/>
      <c r="M2006" s="212" t="s">
        <v>6185</v>
      </c>
    </row>
    <row r="2007" spans="1:13" ht="21" customHeight="1">
      <c r="A2007" s="216" t="s">
        <v>6650</v>
      </c>
      <c r="B2007" s="215">
        <f t="shared" si="93"/>
        <v>45782</v>
      </c>
      <c r="C2007" s="213" t="s">
        <v>4373</v>
      </c>
      <c r="D2007" s="213" t="s">
        <v>4366</v>
      </c>
      <c r="E2007" s="213" t="s">
        <v>333</v>
      </c>
      <c r="F2007" s="212" t="s">
        <v>4365</v>
      </c>
      <c r="G2007" s="212" t="str">
        <f t="shared" si="94"/>
        <v>101현금</v>
      </c>
      <c r="H2007" s="214">
        <v>0</v>
      </c>
      <c r="I2007" s="214">
        <v>12400</v>
      </c>
      <c r="J2007" s="214">
        <f t="shared" si="95"/>
        <v>12400</v>
      </c>
      <c r="K2007" s="212" t="s">
        <v>6200</v>
      </c>
      <c r="L2007" s="213"/>
      <c r="M2007" s="212"/>
    </row>
    <row r="2008" spans="1:13" ht="21" customHeight="1">
      <c r="A2008" s="216" t="s">
        <v>6650</v>
      </c>
      <c r="B2008" s="215">
        <f t="shared" si="93"/>
        <v>45782</v>
      </c>
      <c r="C2008" s="213" t="s">
        <v>4373</v>
      </c>
      <c r="D2008" s="213" t="s">
        <v>4369</v>
      </c>
      <c r="E2008" s="213" t="s">
        <v>4380</v>
      </c>
      <c r="F2008" s="212" t="s">
        <v>6515</v>
      </c>
      <c r="G2008" s="212" t="str">
        <f t="shared" si="94"/>
        <v>812여비교통비(판)</v>
      </c>
      <c r="H2008" s="214">
        <v>12400</v>
      </c>
      <c r="I2008" s="214">
        <v>0</v>
      </c>
      <c r="J2008" s="214">
        <f t="shared" si="95"/>
        <v>-12400</v>
      </c>
      <c r="K2008" s="212" t="s">
        <v>6648</v>
      </c>
      <c r="L2008" s="213"/>
      <c r="M2008" s="212"/>
    </row>
    <row r="2009" spans="1:13" ht="21" customHeight="1">
      <c r="A2009" s="216" t="s">
        <v>6650</v>
      </c>
      <c r="B2009" s="215">
        <f t="shared" si="93"/>
        <v>45782</v>
      </c>
      <c r="C2009" s="213" t="s">
        <v>4367</v>
      </c>
      <c r="D2009" s="213" t="s">
        <v>4366</v>
      </c>
      <c r="E2009" s="213" t="s">
        <v>6176</v>
      </c>
      <c r="F2009" s="212" t="s">
        <v>6177</v>
      </c>
      <c r="G2009" s="212" t="str">
        <f t="shared" si="94"/>
        <v>255부가세예수금</v>
      </c>
      <c r="H2009" s="214">
        <v>0</v>
      </c>
      <c r="I2009" s="214">
        <v>40000</v>
      </c>
      <c r="J2009" s="214">
        <f t="shared" si="95"/>
        <v>40000</v>
      </c>
      <c r="K2009" s="212" t="s">
        <v>6187</v>
      </c>
      <c r="L2009" s="213"/>
      <c r="M2009" s="212" t="s">
        <v>6188</v>
      </c>
    </row>
    <row r="2010" spans="1:13" ht="21" customHeight="1">
      <c r="A2010" s="216" t="s">
        <v>6650</v>
      </c>
      <c r="B2010" s="215">
        <f t="shared" si="93"/>
        <v>45782</v>
      </c>
      <c r="C2010" s="213" t="s">
        <v>4367</v>
      </c>
      <c r="D2010" s="213" t="s">
        <v>4366</v>
      </c>
      <c r="E2010" s="213" t="s">
        <v>334</v>
      </c>
      <c r="F2010" s="212" t="s">
        <v>6158</v>
      </c>
      <c r="G2010" s="212" t="str">
        <f t="shared" si="94"/>
        <v>401용역매출</v>
      </c>
      <c r="H2010" s="214">
        <v>0</v>
      </c>
      <c r="I2010" s="214">
        <v>400000</v>
      </c>
      <c r="J2010" s="214">
        <f t="shared" si="95"/>
        <v>400000</v>
      </c>
      <c r="K2010" s="212" t="s">
        <v>6187</v>
      </c>
      <c r="L2010" s="213"/>
      <c r="M2010" s="212" t="s">
        <v>6188</v>
      </c>
    </row>
    <row r="2011" spans="1:13" ht="21" customHeight="1">
      <c r="A2011" s="216" t="s">
        <v>6650</v>
      </c>
      <c r="B2011" s="215">
        <f t="shared" si="93"/>
        <v>45782</v>
      </c>
      <c r="C2011" s="213" t="s">
        <v>4367</v>
      </c>
      <c r="D2011" s="213" t="s">
        <v>4369</v>
      </c>
      <c r="E2011" s="213" t="s">
        <v>333</v>
      </c>
      <c r="F2011" s="212" t="s">
        <v>4365</v>
      </c>
      <c r="G2011" s="212" t="str">
        <f t="shared" si="94"/>
        <v>101현금</v>
      </c>
      <c r="H2011" s="214">
        <v>440000</v>
      </c>
      <c r="I2011" s="214">
        <v>0</v>
      </c>
      <c r="J2011" s="214">
        <f t="shared" si="95"/>
        <v>-440000</v>
      </c>
      <c r="K2011" s="212" t="s">
        <v>6187</v>
      </c>
      <c r="L2011" s="213"/>
      <c r="M2011" s="212" t="s">
        <v>6188</v>
      </c>
    </row>
    <row r="2012" spans="1:13" ht="21" customHeight="1">
      <c r="A2012" s="216" t="s">
        <v>6650</v>
      </c>
      <c r="B2012" s="215">
        <f t="shared" si="93"/>
        <v>45782</v>
      </c>
      <c r="C2012" s="213" t="s">
        <v>4374</v>
      </c>
      <c r="D2012" s="213" t="s">
        <v>4366</v>
      </c>
      <c r="E2012" s="213" t="s">
        <v>6176</v>
      </c>
      <c r="F2012" s="212" t="s">
        <v>6177</v>
      </c>
      <c r="G2012" s="212" t="str">
        <f t="shared" si="94"/>
        <v>255부가세예수금</v>
      </c>
      <c r="H2012" s="214">
        <v>0</v>
      </c>
      <c r="I2012" s="214">
        <v>15000</v>
      </c>
      <c r="J2012" s="214">
        <f t="shared" si="95"/>
        <v>15000</v>
      </c>
      <c r="K2012" s="212" t="s">
        <v>6178</v>
      </c>
      <c r="L2012" s="213"/>
      <c r="M2012" s="212" t="s">
        <v>6179</v>
      </c>
    </row>
    <row r="2013" spans="1:13" ht="21" customHeight="1">
      <c r="A2013" s="216" t="s">
        <v>6650</v>
      </c>
      <c r="B2013" s="215">
        <f t="shared" si="93"/>
        <v>45782</v>
      </c>
      <c r="C2013" s="213" t="s">
        <v>4374</v>
      </c>
      <c r="D2013" s="213" t="s">
        <v>4366</v>
      </c>
      <c r="E2013" s="213" t="s">
        <v>334</v>
      </c>
      <c r="F2013" s="212" t="s">
        <v>6158</v>
      </c>
      <c r="G2013" s="212" t="str">
        <f t="shared" si="94"/>
        <v>401용역매출</v>
      </c>
      <c r="H2013" s="214">
        <v>0</v>
      </c>
      <c r="I2013" s="214">
        <v>150000</v>
      </c>
      <c r="J2013" s="214">
        <f t="shared" si="95"/>
        <v>150000</v>
      </c>
      <c r="K2013" s="212" t="s">
        <v>6178</v>
      </c>
      <c r="L2013" s="213"/>
      <c r="M2013" s="212" t="s">
        <v>6179</v>
      </c>
    </row>
    <row r="2014" spans="1:13" ht="21" customHeight="1">
      <c r="A2014" s="216" t="s">
        <v>6650</v>
      </c>
      <c r="B2014" s="215">
        <f t="shared" si="93"/>
        <v>45782</v>
      </c>
      <c r="C2014" s="213" t="s">
        <v>4374</v>
      </c>
      <c r="D2014" s="213" t="s">
        <v>4369</v>
      </c>
      <c r="E2014" s="213" t="s">
        <v>333</v>
      </c>
      <c r="F2014" s="212" t="s">
        <v>4365</v>
      </c>
      <c r="G2014" s="212" t="str">
        <f t="shared" si="94"/>
        <v>101현금</v>
      </c>
      <c r="H2014" s="214">
        <v>165000</v>
      </c>
      <c r="I2014" s="214">
        <v>0</v>
      </c>
      <c r="J2014" s="214">
        <f t="shared" si="95"/>
        <v>-165000</v>
      </c>
      <c r="K2014" s="212" t="s">
        <v>6178</v>
      </c>
      <c r="L2014" s="213"/>
      <c r="M2014" s="212" t="s">
        <v>6179</v>
      </c>
    </row>
    <row r="2015" spans="1:13" ht="21" customHeight="1">
      <c r="A2015" s="216" t="s">
        <v>6646</v>
      </c>
      <c r="B2015" s="215">
        <f t="shared" si="93"/>
        <v>45783</v>
      </c>
      <c r="C2015" s="213" t="s">
        <v>4373</v>
      </c>
      <c r="D2015" s="213" t="s">
        <v>4369</v>
      </c>
      <c r="E2015" s="213" t="s">
        <v>4383</v>
      </c>
      <c r="F2015" s="212" t="s">
        <v>6525</v>
      </c>
      <c r="G2015" s="212" t="str">
        <f t="shared" si="94"/>
        <v>830소모품비(판)</v>
      </c>
      <c r="H2015" s="214">
        <v>8790</v>
      </c>
      <c r="I2015" s="214">
        <v>0</v>
      </c>
      <c r="J2015" s="214">
        <f t="shared" si="95"/>
        <v>-8790</v>
      </c>
      <c r="K2015" s="212" t="s">
        <v>6215</v>
      </c>
      <c r="L2015" s="213"/>
      <c r="M2015" s="212"/>
    </row>
    <row r="2016" spans="1:13" ht="21" customHeight="1">
      <c r="A2016" s="216" t="s">
        <v>6646</v>
      </c>
      <c r="B2016" s="215">
        <f t="shared" si="93"/>
        <v>45783</v>
      </c>
      <c r="C2016" s="213" t="s">
        <v>4373</v>
      </c>
      <c r="D2016" s="213" t="s">
        <v>4366</v>
      </c>
      <c r="E2016" s="213" t="s">
        <v>333</v>
      </c>
      <c r="F2016" s="212" t="s">
        <v>4365</v>
      </c>
      <c r="G2016" s="212" t="str">
        <f t="shared" si="94"/>
        <v>101현금</v>
      </c>
      <c r="H2016" s="214">
        <v>0</v>
      </c>
      <c r="I2016" s="214">
        <v>8790</v>
      </c>
      <c r="J2016" s="214">
        <f t="shared" si="95"/>
        <v>8790</v>
      </c>
      <c r="K2016" s="212" t="s">
        <v>6371</v>
      </c>
      <c r="L2016" s="213"/>
      <c r="M2016" s="212"/>
    </row>
    <row r="2017" spans="1:13" ht="21" customHeight="1">
      <c r="A2017" s="216" t="s">
        <v>6646</v>
      </c>
      <c r="B2017" s="215">
        <f t="shared" si="93"/>
        <v>45783</v>
      </c>
      <c r="C2017" s="213" t="s">
        <v>4382</v>
      </c>
      <c r="D2017" s="213" t="s">
        <v>4366</v>
      </c>
      <c r="E2017" s="213" t="s">
        <v>333</v>
      </c>
      <c r="F2017" s="212" t="s">
        <v>4365</v>
      </c>
      <c r="G2017" s="212" t="str">
        <f t="shared" si="94"/>
        <v>101현금</v>
      </c>
      <c r="H2017" s="214">
        <v>0</v>
      </c>
      <c r="I2017" s="214">
        <v>25000</v>
      </c>
      <c r="J2017" s="214">
        <f t="shared" si="95"/>
        <v>25000</v>
      </c>
      <c r="K2017" s="212" t="s">
        <v>6370</v>
      </c>
      <c r="L2017" s="213"/>
      <c r="M2017" s="212"/>
    </row>
    <row r="2018" spans="1:13" ht="21" customHeight="1">
      <c r="A2018" s="216" t="s">
        <v>6646</v>
      </c>
      <c r="B2018" s="215">
        <f t="shared" si="93"/>
        <v>45783</v>
      </c>
      <c r="C2018" s="213" t="s">
        <v>4382</v>
      </c>
      <c r="D2018" s="213" t="s">
        <v>4369</v>
      </c>
      <c r="E2018" s="213" t="s">
        <v>4383</v>
      </c>
      <c r="F2018" s="212" t="s">
        <v>6525</v>
      </c>
      <c r="G2018" s="212" t="str">
        <f t="shared" si="94"/>
        <v>830소모품비(판)</v>
      </c>
      <c r="H2018" s="214">
        <v>25000</v>
      </c>
      <c r="I2018" s="214">
        <v>0</v>
      </c>
      <c r="J2018" s="214">
        <f t="shared" si="95"/>
        <v>-25000</v>
      </c>
      <c r="K2018" s="212" t="s">
        <v>6649</v>
      </c>
      <c r="L2018" s="213"/>
      <c r="M2018" s="212"/>
    </row>
    <row r="2019" spans="1:13" ht="21" customHeight="1">
      <c r="A2019" s="216" t="s">
        <v>6646</v>
      </c>
      <c r="B2019" s="215">
        <f t="shared" si="93"/>
        <v>45783</v>
      </c>
      <c r="C2019" s="213" t="s">
        <v>4381</v>
      </c>
      <c r="D2019" s="213" t="s">
        <v>4366</v>
      </c>
      <c r="E2019" s="213" t="s">
        <v>333</v>
      </c>
      <c r="F2019" s="212" t="s">
        <v>4365</v>
      </c>
      <c r="G2019" s="212" t="str">
        <f t="shared" si="94"/>
        <v>101현금</v>
      </c>
      <c r="H2019" s="214">
        <v>0</v>
      </c>
      <c r="I2019" s="214">
        <v>2400</v>
      </c>
      <c r="J2019" s="214">
        <f t="shared" si="95"/>
        <v>2400</v>
      </c>
      <c r="K2019" s="212" t="s">
        <v>6369</v>
      </c>
      <c r="L2019" s="213"/>
      <c r="M2019" s="212"/>
    </row>
    <row r="2020" spans="1:13" ht="21" customHeight="1">
      <c r="A2020" s="216" t="s">
        <v>6646</v>
      </c>
      <c r="B2020" s="215">
        <f t="shared" si="93"/>
        <v>45783</v>
      </c>
      <c r="C2020" s="213" t="s">
        <v>4381</v>
      </c>
      <c r="D2020" s="213" t="s">
        <v>4369</v>
      </c>
      <c r="E2020" s="213" t="s">
        <v>4380</v>
      </c>
      <c r="F2020" s="212" t="s">
        <v>6515</v>
      </c>
      <c r="G2020" s="212" t="str">
        <f t="shared" si="94"/>
        <v>812여비교통비(판)</v>
      </c>
      <c r="H2020" s="214">
        <v>2400</v>
      </c>
      <c r="I2020" s="214">
        <v>0</v>
      </c>
      <c r="J2020" s="214">
        <f t="shared" si="95"/>
        <v>-2400</v>
      </c>
      <c r="K2020" s="212" t="s">
        <v>6648</v>
      </c>
      <c r="L2020" s="213"/>
      <c r="M2020" s="212"/>
    </row>
    <row r="2021" spans="1:13" ht="21" customHeight="1">
      <c r="A2021" s="216" t="s">
        <v>6646</v>
      </c>
      <c r="B2021" s="215">
        <f t="shared" si="93"/>
        <v>45783</v>
      </c>
      <c r="C2021" s="213" t="s">
        <v>4379</v>
      </c>
      <c r="D2021" s="213" t="s">
        <v>4369</v>
      </c>
      <c r="E2021" s="213" t="s">
        <v>4380</v>
      </c>
      <c r="F2021" s="212" t="s">
        <v>6515</v>
      </c>
      <c r="G2021" s="212" t="str">
        <f t="shared" si="94"/>
        <v>812여비교통비(판)</v>
      </c>
      <c r="H2021" s="214">
        <v>6500</v>
      </c>
      <c r="I2021" s="214">
        <v>0</v>
      </c>
      <c r="J2021" s="214">
        <f t="shared" si="95"/>
        <v>-6500</v>
      </c>
      <c r="K2021" s="212" t="s">
        <v>6305</v>
      </c>
      <c r="L2021" s="213"/>
      <c r="M2021" s="212"/>
    </row>
    <row r="2022" spans="1:13" ht="21" customHeight="1">
      <c r="A2022" s="216" t="s">
        <v>6646</v>
      </c>
      <c r="B2022" s="215">
        <f t="shared" si="93"/>
        <v>45783</v>
      </c>
      <c r="C2022" s="213" t="s">
        <v>4379</v>
      </c>
      <c r="D2022" s="213" t="s">
        <v>4366</v>
      </c>
      <c r="E2022" s="213" t="s">
        <v>333</v>
      </c>
      <c r="F2022" s="212" t="s">
        <v>4365</v>
      </c>
      <c r="G2022" s="212" t="str">
        <f t="shared" si="94"/>
        <v>101현금</v>
      </c>
      <c r="H2022" s="214">
        <v>0</v>
      </c>
      <c r="I2022" s="214">
        <v>6500</v>
      </c>
      <c r="J2022" s="214">
        <f t="shared" si="95"/>
        <v>6500</v>
      </c>
      <c r="K2022" s="212" t="s">
        <v>6369</v>
      </c>
      <c r="L2022" s="213"/>
      <c r="M2022" s="212"/>
    </row>
    <row r="2023" spans="1:13" ht="21" customHeight="1">
      <c r="A2023" s="216" t="s">
        <v>6646</v>
      </c>
      <c r="B2023" s="215">
        <f t="shared" si="93"/>
        <v>45783</v>
      </c>
      <c r="C2023" s="213" t="s">
        <v>4385</v>
      </c>
      <c r="D2023" s="213" t="s">
        <v>4369</v>
      </c>
      <c r="E2023" s="213" t="s">
        <v>4500</v>
      </c>
      <c r="F2023" s="212" t="s">
        <v>6418</v>
      </c>
      <c r="G2023" s="212" t="str">
        <f t="shared" si="94"/>
        <v>822차량유지비(판)</v>
      </c>
      <c r="H2023" s="214">
        <v>50000</v>
      </c>
      <c r="I2023" s="214">
        <v>0</v>
      </c>
      <c r="J2023" s="214">
        <f t="shared" si="95"/>
        <v>-50000</v>
      </c>
      <c r="K2023" s="212" t="s">
        <v>6272</v>
      </c>
      <c r="L2023" s="213"/>
      <c r="M2023" s="212"/>
    </row>
    <row r="2024" spans="1:13" ht="21" customHeight="1">
      <c r="A2024" s="216" t="s">
        <v>6646</v>
      </c>
      <c r="B2024" s="215">
        <f t="shared" si="93"/>
        <v>45783</v>
      </c>
      <c r="C2024" s="213" t="s">
        <v>4385</v>
      </c>
      <c r="D2024" s="213" t="s">
        <v>4366</v>
      </c>
      <c r="E2024" s="213" t="s">
        <v>333</v>
      </c>
      <c r="F2024" s="212" t="s">
        <v>4365</v>
      </c>
      <c r="G2024" s="212" t="str">
        <f t="shared" si="94"/>
        <v>101현금</v>
      </c>
      <c r="H2024" s="214">
        <v>0</v>
      </c>
      <c r="I2024" s="214">
        <v>50000</v>
      </c>
      <c r="J2024" s="214">
        <f t="shared" si="95"/>
        <v>50000</v>
      </c>
      <c r="K2024" s="212" t="s">
        <v>6371</v>
      </c>
      <c r="L2024" s="213"/>
      <c r="M2024" s="212"/>
    </row>
    <row r="2025" spans="1:13" ht="21" customHeight="1">
      <c r="A2025" s="216" t="s">
        <v>6646</v>
      </c>
      <c r="B2025" s="215">
        <f t="shared" si="93"/>
        <v>45783</v>
      </c>
      <c r="C2025" s="213" t="s">
        <v>4501</v>
      </c>
      <c r="D2025" s="213" t="s">
        <v>4369</v>
      </c>
      <c r="E2025" s="213" t="s">
        <v>4368</v>
      </c>
      <c r="F2025" s="212" t="s">
        <v>6388</v>
      </c>
      <c r="G2025" s="212" t="str">
        <f t="shared" si="94"/>
        <v>831지급수수료(판)</v>
      </c>
      <c r="H2025" s="214">
        <v>2990</v>
      </c>
      <c r="I2025" s="214">
        <v>0</v>
      </c>
      <c r="J2025" s="214">
        <f t="shared" si="95"/>
        <v>-2990</v>
      </c>
      <c r="K2025" s="212" t="s">
        <v>4384</v>
      </c>
      <c r="L2025" s="213"/>
      <c r="M2025" s="212"/>
    </row>
    <row r="2026" spans="1:13" ht="21" customHeight="1">
      <c r="A2026" s="216" t="s">
        <v>6646</v>
      </c>
      <c r="B2026" s="215">
        <f t="shared" si="93"/>
        <v>45783</v>
      </c>
      <c r="C2026" s="213" t="s">
        <v>4501</v>
      </c>
      <c r="D2026" s="213" t="s">
        <v>4366</v>
      </c>
      <c r="E2026" s="213" t="s">
        <v>333</v>
      </c>
      <c r="F2026" s="212" t="s">
        <v>4365</v>
      </c>
      <c r="G2026" s="212" t="str">
        <f t="shared" si="94"/>
        <v>101현금</v>
      </c>
      <c r="H2026" s="214">
        <v>0</v>
      </c>
      <c r="I2026" s="214">
        <v>2990</v>
      </c>
      <c r="J2026" s="214">
        <f t="shared" si="95"/>
        <v>2990</v>
      </c>
      <c r="K2026" s="212" t="s">
        <v>6371</v>
      </c>
      <c r="L2026" s="213"/>
      <c r="M2026" s="212"/>
    </row>
    <row r="2027" spans="1:13" ht="21" customHeight="1">
      <c r="A2027" s="216" t="s">
        <v>6646</v>
      </c>
      <c r="B2027" s="215">
        <f t="shared" si="93"/>
        <v>45783</v>
      </c>
      <c r="C2027" s="213" t="s">
        <v>4502</v>
      </c>
      <c r="D2027" s="213" t="s">
        <v>4369</v>
      </c>
      <c r="E2027" s="213" t="s">
        <v>6157</v>
      </c>
      <c r="F2027" s="212" t="s">
        <v>6524</v>
      </c>
      <c r="G2027" s="212" t="str">
        <f t="shared" si="94"/>
        <v>813접대비(기업업무추진비)(판)</v>
      </c>
      <c r="H2027" s="214">
        <v>13500</v>
      </c>
      <c r="I2027" s="214">
        <v>0</v>
      </c>
      <c r="J2027" s="214">
        <f t="shared" si="95"/>
        <v>-13500</v>
      </c>
      <c r="K2027" s="212" t="s">
        <v>6647</v>
      </c>
      <c r="L2027" s="213" t="s">
        <v>1327</v>
      </c>
      <c r="M2027" s="212" t="s">
        <v>6356</v>
      </c>
    </row>
    <row r="2028" spans="1:13" ht="21" customHeight="1">
      <c r="A2028" s="216" t="s">
        <v>6646</v>
      </c>
      <c r="B2028" s="215">
        <f t="shared" si="93"/>
        <v>45783</v>
      </c>
      <c r="C2028" s="213" t="s">
        <v>4502</v>
      </c>
      <c r="D2028" s="213" t="s">
        <v>4366</v>
      </c>
      <c r="E2028" s="213" t="s">
        <v>333</v>
      </c>
      <c r="F2028" s="212" t="s">
        <v>4365</v>
      </c>
      <c r="G2028" s="212" t="str">
        <f t="shared" si="94"/>
        <v>101현금</v>
      </c>
      <c r="H2028" s="214">
        <v>0</v>
      </c>
      <c r="I2028" s="214">
        <v>13500</v>
      </c>
      <c r="J2028" s="214">
        <f t="shared" si="95"/>
        <v>13500</v>
      </c>
      <c r="K2028" s="212" t="s">
        <v>6369</v>
      </c>
      <c r="L2028" s="213"/>
      <c r="M2028" s="212"/>
    </row>
    <row r="2029" spans="1:13" ht="21" customHeight="1">
      <c r="A2029" s="216" t="s">
        <v>6646</v>
      </c>
      <c r="B2029" s="215">
        <f t="shared" si="93"/>
        <v>45783</v>
      </c>
      <c r="C2029" s="213" t="s">
        <v>4503</v>
      </c>
      <c r="D2029" s="213" t="s">
        <v>4369</v>
      </c>
      <c r="E2029" s="213" t="s">
        <v>4499</v>
      </c>
      <c r="F2029" s="212" t="s">
        <v>6517</v>
      </c>
      <c r="G2029" s="212" t="str">
        <f t="shared" si="94"/>
        <v>811복리후생비(판)</v>
      </c>
      <c r="H2029" s="214">
        <v>53110</v>
      </c>
      <c r="I2029" s="214">
        <v>0</v>
      </c>
      <c r="J2029" s="214">
        <f t="shared" si="95"/>
        <v>-53110</v>
      </c>
      <c r="K2029" s="212" t="s">
        <v>6562</v>
      </c>
      <c r="L2029" s="213"/>
      <c r="M2029" s="212"/>
    </row>
    <row r="2030" spans="1:13" ht="21" customHeight="1">
      <c r="A2030" s="216" t="s">
        <v>6646</v>
      </c>
      <c r="B2030" s="215">
        <f t="shared" si="93"/>
        <v>45783</v>
      </c>
      <c r="C2030" s="213" t="s">
        <v>4503</v>
      </c>
      <c r="D2030" s="213" t="s">
        <v>4366</v>
      </c>
      <c r="E2030" s="213" t="s">
        <v>333</v>
      </c>
      <c r="F2030" s="212" t="s">
        <v>4365</v>
      </c>
      <c r="G2030" s="212" t="str">
        <f t="shared" si="94"/>
        <v>101현금</v>
      </c>
      <c r="H2030" s="214">
        <v>0</v>
      </c>
      <c r="I2030" s="214">
        <v>53110</v>
      </c>
      <c r="J2030" s="214">
        <f t="shared" si="95"/>
        <v>53110</v>
      </c>
      <c r="K2030" s="212" t="s">
        <v>6562</v>
      </c>
      <c r="L2030" s="213"/>
      <c r="M2030" s="212"/>
    </row>
    <row r="2031" spans="1:13" ht="21" customHeight="1">
      <c r="A2031" s="213" t="s">
        <v>6645</v>
      </c>
      <c r="B2031" s="215">
        <f t="shared" si="93"/>
        <v>45784</v>
      </c>
      <c r="C2031" s="213" t="s">
        <v>4367</v>
      </c>
      <c r="D2031" s="213" t="s">
        <v>4369</v>
      </c>
      <c r="E2031" s="213" t="s">
        <v>4371</v>
      </c>
      <c r="F2031" s="212" t="s">
        <v>4370</v>
      </c>
      <c r="G2031" s="212" t="str">
        <f t="shared" si="94"/>
        <v>135부가세대급금</v>
      </c>
      <c r="H2031" s="214">
        <v>1920</v>
      </c>
      <c r="I2031" s="214">
        <v>0</v>
      </c>
      <c r="J2031" s="214">
        <f t="shared" si="95"/>
        <v>-1920</v>
      </c>
      <c r="K2031" s="212" t="s">
        <v>4524</v>
      </c>
      <c r="L2031" s="213"/>
      <c r="M2031" s="212" t="s">
        <v>6199</v>
      </c>
    </row>
    <row r="2032" spans="1:13" ht="21" customHeight="1">
      <c r="A2032" s="213" t="s">
        <v>6645</v>
      </c>
      <c r="B2032" s="215">
        <f t="shared" si="93"/>
        <v>45784</v>
      </c>
      <c r="C2032" s="213" t="s">
        <v>4367</v>
      </c>
      <c r="D2032" s="213" t="s">
        <v>4369</v>
      </c>
      <c r="E2032" s="213" t="s">
        <v>4386</v>
      </c>
      <c r="F2032" s="212" t="s">
        <v>6420</v>
      </c>
      <c r="G2032" s="212" t="str">
        <f t="shared" si="94"/>
        <v>814통신비(판)</v>
      </c>
      <c r="H2032" s="214">
        <v>19200</v>
      </c>
      <c r="I2032" s="214">
        <v>0</v>
      </c>
      <c r="J2032" s="214">
        <f t="shared" si="95"/>
        <v>-19200</v>
      </c>
      <c r="K2032" s="212" t="s">
        <v>4524</v>
      </c>
      <c r="L2032" s="213"/>
      <c r="M2032" s="212" t="s">
        <v>6199</v>
      </c>
    </row>
    <row r="2033" spans="1:13" ht="21" customHeight="1">
      <c r="A2033" s="213" t="s">
        <v>6645</v>
      </c>
      <c r="B2033" s="215">
        <f t="shared" si="93"/>
        <v>45784</v>
      </c>
      <c r="C2033" s="213" t="s">
        <v>4367</v>
      </c>
      <c r="D2033" s="213" t="s">
        <v>4366</v>
      </c>
      <c r="E2033" s="213" t="s">
        <v>333</v>
      </c>
      <c r="F2033" s="212" t="s">
        <v>4365</v>
      </c>
      <c r="G2033" s="212" t="str">
        <f t="shared" si="94"/>
        <v>101현금</v>
      </c>
      <c r="H2033" s="214">
        <v>0</v>
      </c>
      <c r="I2033" s="214">
        <v>21120</v>
      </c>
      <c r="J2033" s="214">
        <f t="shared" si="95"/>
        <v>21120</v>
      </c>
      <c r="K2033" s="212" t="s">
        <v>4524</v>
      </c>
      <c r="L2033" s="213"/>
      <c r="M2033" s="212" t="s">
        <v>6199</v>
      </c>
    </row>
    <row r="2034" spans="1:13" ht="21" customHeight="1">
      <c r="A2034" s="213" t="s">
        <v>6645</v>
      </c>
      <c r="B2034" s="215">
        <f t="shared" si="93"/>
        <v>45784</v>
      </c>
      <c r="C2034" s="213" t="s">
        <v>4374</v>
      </c>
      <c r="D2034" s="213" t="s">
        <v>4369</v>
      </c>
      <c r="E2034" s="213" t="s">
        <v>4500</v>
      </c>
      <c r="F2034" s="212" t="s">
        <v>6418</v>
      </c>
      <c r="G2034" s="212" t="str">
        <f t="shared" si="94"/>
        <v>822차량유지비(판)</v>
      </c>
      <c r="H2034" s="214">
        <v>5500</v>
      </c>
      <c r="I2034" s="214">
        <v>0</v>
      </c>
      <c r="J2034" s="214">
        <f t="shared" si="95"/>
        <v>-5500</v>
      </c>
      <c r="K2034" s="212" t="s">
        <v>6284</v>
      </c>
      <c r="L2034" s="213"/>
      <c r="M2034" s="212" t="s">
        <v>6285</v>
      </c>
    </row>
    <row r="2035" spans="1:13" ht="21" customHeight="1">
      <c r="A2035" s="213" t="s">
        <v>6645</v>
      </c>
      <c r="B2035" s="215">
        <f t="shared" si="93"/>
        <v>45784</v>
      </c>
      <c r="C2035" s="213" t="s">
        <v>4374</v>
      </c>
      <c r="D2035" s="213" t="s">
        <v>4366</v>
      </c>
      <c r="E2035" s="213" t="s">
        <v>333</v>
      </c>
      <c r="F2035" s="212" t="s">
        <v>4365</v>
      </c>
      <c r="G2035" s="212" t="str">
        <f t="shared" si="94"/>
        <v>101현금</v>
      </c>
      <c r="H2035" s="214">
        <v>0</v>
      </c>
      <c r="I2035" s="214">
        <v>5500</v>
      </c>
      <c r="J2035" s="214">
        <f t="shared" si="95"/>
        <v>5500</v>
      </c>
      <c r="K2035" s="212" t="s">
        <v>6284</v>
      </c>
      <c r="L2035" s="213"/>
      <c r="M2035" s="212" t="s">
        <v>6285</v>
      </c>
    </row>
    <row r="2036" spans="1:13" ht="21" customHeight="1">
      <c r="A2036" s="213" t="s">
        <v>6645</v>
      </c>
      <c r="B2036" s="215">
        <f t="shared" si="93"/>
        <v>45784</v>
      </c>
      <c r="C2036" s="213" t="s">
        <v>6182</v>
      </c>
      <c r="D2036" s="213" t="s">
        <v>4366</v>
      </c>
      <c r="E2036" s="213" t="s">
        <v>6176</v>
      </c>
      <c r="F2036" s="212" t="s">
        <v>6177</v>
      </c>
      <c r="G2036" s="212" t="str">
        <f t="shared" si="94"/>
        <v>255부가세예수금</v>
      </c>
      <c r="H2036" s="214">
        <v>0</v>
      </c>
      <c r="I2036" s="214">
        <v>10000</v>
      </c>
      <c r="J2036" s="214">
        <f t="shared" si="95"/>
        <v>10000</v>
      </c>
      <c r="K2036" s="212" t="s">
        <v>6268</v>
      </c>
      <c r="L2036" s="213"/>
      <c r="M2036" s="212" t="s">
        <v>6185</v>
      </c>
    </row>
    <row r="2037" spans="1:13" ht="21" customHeight="1">
      <c r="A2037" s="213" t="s">
        <v>6645</v>
      </c>
      <c r="B2037" s="215">
        <f t="shared" si="93"/>
        <v>45784</v>
      </c>
      <c r="C2037" s="213" t="s">
        <v>6182</v>
      </c>
      <c r="D2037" s="213" t="s">
        <v>4366</v>
      </c>
      <c r="E2037" s="213" t="s">
        <v>334</v>
      </c>
      <c r="F2037" s="212" t="s">
        <v>6158</v>
      </c>
      <c r="G2037" s="212" t="str">
        <f t="shared" si="94"/>
        <v>401용역매출</v>
      </c>
      <c r="H2037" s="214">
        <v>0</v>
      </c>
      <c r="I2037" s="214">
        <v>100000</v>
      </c>
      <c r="J2037" s="214">
        <f t="shared" si="95"/>
        <v>100000</v>
      </c>
      <c r="K2037" s="212" t="s">
        <v>6268</v>
      </c>
      <c r="L2037" s="213"/>
      <c r="M2037" s="212" t="s">
        <v>6185</v>
      </c>
    </row>
    <row r="2038" spans="1:13" ht="21" customHeight="1">
      <c r="A2038" s="213" t="s">
        <v>6645</v>
      </c>
      <c r="B2038" s="215">
        <f t="shared" si="93"/>
        <v>45784</v>
      </c>
      <c r="C2038" s="213" t="s">
        <v>6182</v>
      </c>
      <c r="D2038" s="213" t="s">
        <v>4369</v>
      </c>
      <c r="E2038" s="213" t="s">
        <v>333</v>
      </c>
      <c r="F2038" s="212" t="s">
        <v>4365</v>
      </c>
      <c r="G2038" s="212" t="str">
        <f t="shared" si="94"/>
        <v>101현금</v>
      </c>
      <c r="H2038" s="214">
        <v>110000</v>
      </c>
      <c r="I2038" s="214">
        <v>0</v>
      </c>
      <c r="J2038" s="214">
        <f t="shared" si="95"/>
        <v>-110000</v>
      </c>
      <c r="K2038" s="212" t="s">
        <v>6268</v>
      </c>
      <c r="L2038" s="213"/>
      <c r="M2038" s="212" t="s">
        <v>6185</v>
      </c>
    </row>
    <row r="2039" spans="1:13" ht="21" customHeight="1">
      <c r="A2039" s="213" t="s">
        <v>6644</v>
      </c>
      <c r="B2039" s="215">
        <f t="shared" si="93"/>
        <v>45785</v>
      </c>
      <c r="C2039" s="213" t="s">
        <v>4373</v>
      </c>
      <c r="D2039" s="213" t="s">
        <v>4369</v>
      </c>
      <c r="E2039" s="213" t="s">
        <v>4499</v>
      </c>
      <c r="F2039" s="212" t="s">
        <v>6517</v>
      </c>
      <c r="G2039" s="212" t="str">
        <f t="shared" si="94"/>
        <v>811복리후생비(판)</v>
      </c>
      <c r="H2039" s="214">
        <v>22000</v>
      </c>
      <c r="I2039" s="214">
        <v>0</v>
      </c>
      <c r="J2039" s="214">
        <f t="shared" si="95"/>
        <v>-22000</v>
      </c>
      <c r="K2039" s="212" t="s">
        <v>6556</v>
      </c>
      <c r="L2039" s="213"/>
      <c r="M2039" s="212"/>
    </row>
    <row r="2040" spans="1:13" ht="21" customHeight="1">
      <c r="A2040" s="213" t="s">
        <v>6644</v>
      </c>
      <c r="B2040" s="215">
        <f t="shared" si="93"/>
        <v>45785</v>
      </c>
      <c r="C2040" s="213" t="s">
        <v>4373</v>
      </c>
      <c r="D2040" s="213" t="s">
        <v>4366</v>
      </c>
      <c r="E2040" s="213" t="s">
        <v>333</v>
      </c>
      <c r="F2040" s="212" t="s">
        <v>4365</v>
      </c>
      <c r="G2040" s="212" t="str">
        <f t="shared" si="94"/>
        <v>101현금</v>
      </c>
      <c r="H2040" s="214">
        <v>0</v>
      </c>
      <c r="I2040" s="214">
        <v>22000</v>
      </c>
      <c r="J2040" s="214">
        <f t="shared" si="95"/>
        <v>22000</v>
      </c>
      <c r="K2040" s="212" t="s">
        <v>6369</v>
      </c>
      <c r="L2040" s="213"/>
      <c r="M2040" s="212"/>
    </row>
    <row r="2041" spans="1:13" ht="21" customHeight="1">
      <c r="A2041" s="213" t="s">
        <v>6644</v>
      </c>
      <c r="B2041" s="215">
        <f t="shared" si="93"/>
        <v>45785</v>
      </c>
      <c r="C2041" s="213" t="s">
        <v>4382</v>
      </c>
      <c r="D2041" s="213" t="s">
        <v>4369</v>
      </c>
      <c r="E2041" s="213" t="s">
        <v>4499</v>
      </c>
      <c r="F2041" s="212" t="s">
        <v>6517</v>
      </c>
      <c r="G2041" s="212" t="str">
        <f t="shared" si="94"/>
        <v>811복리후생비(판)</v>
      </c>
      <c r="H2041" s="214">
        <v>3500</v>
      </c>
      <c r="I2041" s="214">
        <v>0</v>
      </c>
      <c r="J2041" s="214">
        <f t="shared" si="95"/>
        <v>-3500</v>
      </c>
      <c r="K2041" s="212" t="s">
        <v>6539</v>
      </c>
      <c r="L2041" s="213"/>
      <c r="M2041" s="212"/>
    </row>
    <row r="2042" spans="1:13" ht="21" customHeight="1">
      <c r="A2042" s="213" t="s">
        <v>6644</v>
      </c>
      <c r="B2042" s="215">
        <f t="shared" si="93"/>
        <v>45785</v>
      </c>
      <c r="C2042" s="213" t="s">
        <v>4382</v>
      </c>
      <c r="D2042" s="213" t="s">
        <v>4366</v>
      </c>
      <c r="E2042" s="213" t="s">
        <v>333</v>
      </c>
      <c r="F2042" s="212" t="s">
        <v>4365</v>
      </c>
      <c r="G2042" s="212" t="str">
        <f t="shared" si="94"/>
        <v>101현금</v>
      </c>
      <c r="H2042" s="214">
        <v>0</v>
      </c>
      <c r="I2042" s="214">
        <v>3500</v>
      </c>
      <c r="J2042" s="214">
        <f t="shared" si="95"/>
        <v>3500</v>
      </c>
      <c r="K2042" s="212" t="s">
        <v>6370</v>
      </c>
      <c r="L2042" s="213"/>
      <c r="M2042" s="212"/>
    </row>
    <row r="2043" spans="1:13" ht="21" customHeight="1">
      <c r="A2043" s="213" t="s">
        <v>6644</v>
      </c>
      <c r="B2043" s="215">
        <f t="shared" si="93"/>
        <v>45785</v>
      </c>
      <c r="C2043" s="213" t="s">
        <v>4381</v>
      </c>
      <c r="D2043" s="213" t="s">
        <v>4369</v>
      </c>
      <c r="E2043" s="213" t="s">
        <v>4380</v>
      </c>
      <c r="F2043" s="212" t="s">
        <v>6515</v>
      </c>
      <c r="G2043" s="212" t="str">
        <f t="shared" si="94"/>
        <v>812여비교통비(판)</v>
      </c>
      <c r="H2043" s="214">
        <v>3000</v>
      </c>
      <c r="I2043" s="214">
        <v>0</v>
      </c>
      <c r="J2043" s="214">
        <f t="shared" si="95"/>
        <v>-3000</v>
      </c>
      <c r="K2043" s="212" t="s">
        <v>6630</v>
      </c>
      <c r="L2043" s="213"/>
      <c r="M2043" s="212"/>
    </row>
    <row r="2044" spans="1:13" ht="21" customHeight="1">
      <c r="A2044" s="213" t="s">
        <v>6644</v>
      </c>
      <c r="B2044" s="215">
        <f t="shared" si="93"/>
        <v>45785</v>
      </c>
      <c r="C2044" s="213" t="s">
        <v>4381</v>
      </c>
      <c r="D2044" s="213" t="s">
        <v>4366</v>
      </c>
      <c r="E2044" s="213" t="s">
        <v>333</v>
      </c>
      <c r="F2044" s="212" t="s">
        <v>4365</v>
      </c>
      <c r="G2044" s="212" t="str">
        <f t="shared" si="94"/>
        <v>101현금</v>
      </c>
      <c r="H2044" s="214">
        <v>0</v>
      </c>
      <c r="I2044" s="214">
        <v>3000</v>
      </c>
      <c r="J2044" s="214">
        <f t="shared" si="95"/>
        <v>3000</v>
      </c>
      <c r="K2044" s="212" t="s">
        <v>6369</v>
      </c>
      <c r="L2044" s="213"/>
      <c r="M2044" s="212"/>
    </row>
    <row r="2045" spans="1:13" ht="21" customHeight="1">
      <c r="A2045" s="213" t="s">
        <v>6644</v>
      </c>
      <c r="B2045" s="215">
        <f t="shared" si="93"/>
        <v>45785</v>
      </c>
      <c r="C2045" s="213" t="s">
        <v>4367</v>
      </c>
      <c r="D2045" s="213" t="s">
        <v>4366</v>
      </c>
      <c r="E2045" s="213" t="s">
        <v>6176</v>
      </c>
      <c r="F2045" s="212" t="s">
        <v>6177</v>
      </c>
      <c r="G2045" s="212" t="str">
        <f t="shared" si="94"/>
        <v>255부가세예수금</v>
      </c>
      <c r="H2045" s="214">
        <v>0</v>
      </c>
      <c r="I2045" s="214">
        <v>15000</v>
      </c>
      <c r="J2045" s="214">
        <f t="shared" si="95"/>
        <v>15000</v>
      </c>
      <c r="K2045" s="212" t="s">
        <v>6265</v>
      </c>
      <c r="L2045" s="213"/>
      <c r="M2045" s="212" t="s">
        <v>6179</v>
      </c>
    </row>
    <row r="2046" spans="1:13" ht="21" customHeight="1">
      <c r="A2046" s="213" t="s">
        <v>6644</v>
      </c>
      <c r="B2046" s="215">
        <f t="shared" si="93"/>
        <v>45785</v>
      </c>
      <c r="C2046" s="213" t="s">
        <v>4367</v>
      </c>
      <c r="D2046" s="213" t="s">
        <v>4366</v>
      </c>
      <c r="E2046" s="213" t="s">
        <v>334</v>
      </c>
      <c r="F2046" s="212" t="s">
        <v>6158</v>
      </c>
      <c r="G2046" s="212" t="str">
        <f t="shared" si="94"/>
        <v>401용역매출</v>
      </c>
      <c r="H2046" s="214">
        <v>0</v>
      </c>
      <c r="I2046" s="214">
        <v>150000</v>
      </c>
      <c r="J2046" s="214">
        <f t="shared" si="95"/>
        <v>150000</v>
      </c>
      <c r="K2046" s="212" t="s">
        <v>6265</v>
      </c>
      <c r="L2046" s="213"/>
      <c r="M2046" s="212" t="s">
        <v>6179</v>
      </c>
    </row>
    <row r="2047" spans="1:13" ht="21" customHeight="1">
      <c r="A2047" s="213" t="s">
        <v>6644</v>
      </c>
      <c r="B2047" s="215">
        <f t="shared" si="93"/>
        <v>45785</v>
      </c>
      <c r="C2047" s="213" t="s">
        <v>4367</v>
      </c>
      <c r="D2047" s="213" t="s">
        <v>4369</v>
      </c>
      <c r="E2047" s="213" t="s">
        <v>333</v>
      </c>
      <c r="F2047" s="212" t="s">
        <v>4365</v>
      </c>
      <c r="G2047" s="212" t="str">
        <f t="shared" si="94"/>
        <v>101현금</v>
      </c>
      <c r="H2047" s="214">
        <v>165000</v>
      </c>
      <c r="I2047" s="214">
        <v>0</v>
      </c>
      <c r="J2047" s="214">
        <f t="shared" si="95"/>
        <v>-165000</v>
      </c>
      <c r="K2047" s="212" t="s">
        <v>6265</v>
      </c>
      <c r="L2047" s="213"/>
      <c r="M2047" s="212" t="s">
        <v>6179</v>
      </c>
    </row>
    <row r="2048" spans="1:13" ht="21" customHeight="1">
      <c r="A2048" s="213" t="s">
        <v>6644</v>
      </c>
      <c r="B2048" s="215">
        <f t="shared" si="93"/>
        <v>45785</v>
      </c>
      <c r="C2048" s="213" t="s">
        <v>4374</v>
      </c>
      <c r="D2048" s="213" t="s">
        <v>4366</v>
      </c>
      <c r="E2048" s="213" t="s">
        <v>6176</v>
      </c>
      <c r="F2048" s="212" t="s">
        <v>6177</v>
      </c>
      <c r="G2048" s="212" t="str">
        <f t="shared" si="94"/>
        <v>255부가세예수금</v>
      </c>
      <c r="H2048" s="214">
        <v>0</v>
      </c>
      <c r="I2048" s="214">
        <v>10000</v>
      </c>
      <c r="J2048" s="214">
        <f t="shared" si="95"/>
        <v>10000</v>
      </c>
      <c r="K2048" s="212" t="s">
        <v>6266</v>
      </c>
      <c r="L2048" s="213"/>
      <c r="M2048" s="212" t="s">
        <v>6185</v>
      </c>
    </row>
    <row r="2049" spans="1:13" ht="21" customHeight="1">
      <c r="A2049" s="213" t="s">
        <v>6644</v>
      </c>
      <c r="B2049" s="215">
        <f t="shared" si="93"/>
        <v>45785</v>
      </c>
      <c r="C2049" s="213" t="s">
        <v>4374</v>
      </c>
      <c r="D2049" s="213" t="s">
        <v>4366</v>
      </c>
      <c r="E2049" s="213" t="s">
        <v>334</v>
      </c>
      <c r="F2049" s="212" t="s">
        <v>6158</v>
      </c>
      <c r="G2049" s="212" t="str">
        <f t="shared" si="94"/>
        <v>401용역매출</v>
      </c>
      <c r="H2049" s="214">
        <v>0</v>
      </c>
      <c r="I2049" s="214">
        <v>100000</v>
      </c>
      <c r="J2049" s="214">
        <f t="shared" si="95"/>
        <v>100000</v>
      </c>
      <c r="K2049" s="212" t="s">
        <v>6266</v>
      </c>
      <c r="L2049" s="213"/>
      <c r="M2049" s="212" t="s">
        <v>6185</v>
      </c>
    </row>
    <row r="2050" spans="1:13" ht="21" customHeight="1">
      <c r="A2050" s="213" t="s">
        <v>6644</v>
      </c>
      <c r="B2050" s="215">
        <f t="shared" ref="B2050:B2113" si="96">DATEVALUE(A2050)</f>
        <v>45785</v>
      </c>
      <c r="C2050" s="213" t="s">
        <v>4374</v>
      </c>
      <c r="D2050" s="213" t="s">
        <v>4369</v>
      </c>
      <c r="E2050" s="213" t="s">
        <v>333</v>
      </c>
      <c r="F2050" s="212" t="s">
        <v>4365</v>
      </c>
      <c r="G2050" s="212" t="str">
        <f t="shared" ref="G2050:G2113" si="97">E2050&amp;F2050</f>
        <v>101현금</v>
      </c>
      <c r="H2050" s="214">
        <v>110000</v>
      </c>
      <c r="I2050" s="214">
        <v>0</v>
      </c>
      <c r="J2050" s="214">
        <f t="shared" ref="J2050:J2113" si="98">I2050-H2050</f>
        <v>-110000</v>
      </c>
      <c r="K2050" s="212" t="s">
        <v>6266</v>
      </c>
      <c r="L2050" s="213"/>
      <c r="M2050" s="212" t="s">
        <v>6185</v>
      </c>
    </row>
    <row r="2051" spans="1:13" ht="21" customHeight="1">
      <c r="A2051" s="213" t="s">
        <v>6642</v>
      </c>
      <c r="B2051" s="215">
        <f t="shared" si="96"/>
        <v>45786</v>
      </c>
      <c r="C2051" s="213" t="s">
        <v>4373</v>
      </c>
      <c r="D2051" s="213" t="s">
        <v>4369</v>
      </c>
      <c r="E2051" s="213" t="s">
        <v>4383</v>
      </c>
      <c r="F2051" s="212" t="s">
        <v>6525</v>
      </c>
      <c r="G2051" s="212" t="str">
        <f t="shared" si="97"/>
        <v>830소모품비(판)</v>
      </c>
      <c r="H2051" s="214">
        <v>5500</v>
      </c>
      <c r="I2051" s="214">
        <v>0</v>
      </c>
      <c r="J2051" s="214">
        <f t="shared" si="98"/>
        <v>-5500</v>
      </c>
      <c r="K2051" s="212" t="s">
        <v>6576</v>
      </c>
      <c r="L2051" s="213"/>
      <c r="M2051" s="212"/>
    </row>
    <row r="2052" spans="1:13" ht="21" customHeight="1">
      <c r="A2052" s="213" t="s">
        <v>6642</v>
      </c>
      <c r="B2052" s="215">
        <f t="shared" si="96"/>
        <v>45786</v>
      </c>
      <c r="C2052" s="213" t="s">
        <v>4373</v>
      </c>
      <c r="D2052" s="213" t="s">
        <v>4366</v>
      </c>
      <c r="E2052" s="213" t="s">
        <v>333</v>
      </c>
      <c r="F2052" s="212" t="s">
        <v>4365</v>
      </c>
      <c r="G2052" s="212" t="str">
        <f t="shared" si="97"/>
        <v>101현금</v>
      </c>
      <c r="H2052" s="214">
        <v>0</v>
      </c>
      <c r="I2052" s="214">
        <v>5500</v>
      </c>
      <c r="J2052" s="214">
        <f t="shared" si="98"/>
        <v>5500</v>
      </c>
      <c r="K2052" s="212" t="s">
        <v>6371</v>
      </c>
      <c r="L2052" s="213"/>
      <c r="M2052" s="212"/>
    </row>
    <row r="2053" spans="1:13" ht="21" customHeight="1">
      <c r="A2053" s="213" t="s">
        <v>6642</v>
      </c>
      <c r="B2053" s="215">
        <f t="shared" si="96"/>
        <v>45786</v>
      </c>
      <c r="C2053" s="213" t="s">
        <v>4382</v>
      </c>
      <c r="D2053" s="213" t="s">
        <v>4369</v>
      </c>
      <c r="E2053" s="213" t="s">
        <v>4500</v>
      </c>
      <c r="F2053" s="212" t="s">
        <v>6418</v>
      </c>
      <c r="G2053" s="212" t="str">
        <f t="shared" si="97"/>
        <v>822차량유지비(판)</v>
      </c>
      <c r="H2053" s="214">
        <v>50000</v>
      </c>
      <c r="I2053" s="214">
        <v>0</v>
      </c>
      <c r="J2053" s="214">
        <f t="shared" si="98"/>
        <v>-50000</v>
      </c>
      <c r="K2053" s="212" t="s">
        <v>6272</v>
      </c>
      <c r="L2053" s="213"/>
      <c r="M2053" s="212"/>
    </row>
    <row r="2054" spans="1:13" ht="21" customHeight="1">
      <c r="A2054" s="213" t="s">
        <v>6642</v>
      </c>
      <c r="B2054" s="215">
        <f t="shared" si="96"/>
        <v>45786</v>
      </c>
      <c r="C2054" s="213" t="s">
        <v>4382</v>
      </c>
      <c r="D2054" s="213" t="s">
        <v>4366</v>
      </c>
      <c r="E2054" s="213" t="s">
        <v>333</v>
      </c>
      <c r="F2054" s="212" t="s">
        <v>4365</v>
      </c>
      <c r="G2054" s="212" t="str">
        <f t="shared" si="97"/>
        <v>101현금</v>
      </c>
      <c r="H2054" s="214">
        <v>0</v>
      </c>
      <c r="I2054" s="214">
        <v>50000</v>
      </c>
      <c r="J2054" s="214">
        <f t="shared" si="98"/>
        <v>50000</v>
      </c>
      <c r="K2054" s="212" t="s">
        <v>6371</v>
      </c>
      <c r="L2054" s="213"/>
      <c r="M2054" s="212"/>
    </row>
    <row r="2055" spans="1:13" ht="21" customHeight="1">
      <c r="A2055" s="213" t="s">
        <v>6642</v>
      </c>
      <c r="B2055" s="215">
        <f t="shared" si="96"/>
        <v>45786</v>
      </c>
      <c r="C2055" s="213" t="s">
        <v>4381</v>
      </c>
      <c r="D2055" s="213" t="s">
        <v>4369</v>
      </c>
      <c r="E2055" s="213" t="s">
        <v>4386</v>
      </c>
      <c r="F2055" s="212" t="s">
        <v>6420</v>
      </c>
      <c r="G2055" s="212" t="str">
        <f t="shared" si="97"/>
        <v>814통신비(판)</v>
      </c>
      <c r="H2055" s="214">
        <v>5500</v>
      </c>
      <c r="I2055" s="214">
        <v>0</v>
      </c>
      <c r="J2055" s="214">
        <f t="shared" si="98"/>
        <v>-5500</v>
      </c>
      <c r="K2055" s="212" t="s">
        <v>4524</v>
      </c>
      <c r="L2055" s="213"/>
      <c r="M2055" s="212"/>
    </row>
    <row r="2056" spans="1:13" ht="21" customHeight="1">
      <c r="A2056" s="213" t="s">
        <v>6642</v>
      </c>
      <c r="B2056" s="215">
        <f t="shared" si="96"/>
        <v>45786</v>
      </c>
      <c r="C2056" s="213" t="s">
        <v>4381</v>
      </c>
      <c r="D2056" s="213" t="s">
        <v>4366</v>
      </c>
      <c r="E2056" s="213" t="s">
        <v>333</v>
      </c>
      <c r="F2056" s="212" t="s">
        <v>4365</v>
      </c>
      <c r="G2056" s="212" t="str">
        <f t="shared" si="97"/>
        <v>101현금</v>
      </c>
      <c r="H2056" s="214">
        <v>0</v>
      </c>
      <c r="I2056" s="214">
        <v>5500</v>
      </c>
      <c r="J2056" s="214">
        <f t="shared" si="98"/>
        <v>5500</v>
      </c>
      <c r="K2056" s="212" t="s">
        <v>6369</v>
      </c>
      <c r="L2056" s="213"/>
      <c r="M2056" s="212"/>
    </row>
    <row r="2057" spans="1:13" ht="21" customHeight="1">
      <c r="A2057" s="213" t="s">
        <v>6642</v>
      </c>
      <c r="B2057" s="215">
        <f t="shared" si="96"/>
        <v>45786</v>
      </c>
      <c r="C2057" s="213" t="s">
        <v>4379</v>
      </c>
      <c r="D2057" s="213" t="s">
        <v>4366</v>
      </c>
      <c r="E2057" s="213" t="s">
        <v>333</v>
      </c>
      <c r="F2057" s="212" t="s">
        <v>4365</v>
      </c>
      <c r="G2057" s="212" t="str">
        <f t="shared" si="97"/>
        <v>101현금</v>
      </c>
      <c r="H2057" s="214">
        <v>0</v>
      </c>
      <c r="I2057" s="214">
        <v>20000</v>
      </c>
      <c r="J2057" s="214">
        <f t="shared" si="98"/>
        <v>20000</v>
      </c>
      <c r="K2057" s="212" t="s">
        <v>6643</v>
      </c>
      <c r="L2057" s="213"/>
      <c r="M2057" s="212"/>
    </row>
    <row r="2058" spans="1:13" ht="21" customHeight="1">
      <c r="A2058" s="213" t="s">
        <v>6642</v>
      </c>
      <c r="B2058" s="215">
        <f t="shared" si="96"/>
        <v>45786</v>
      </c>
      <c r="C2058" s="213" t="s">
        <v>4379</v>
      </c>
      <c r="D2058" s="213" t="s">
        <v>4369</v>
      </c>
      <c r="E2058" s="213" t="s">
        <v>4383</v>
      </c>
      <c r="F2058" s="212" t="s">
        <v>6525</v>
      </c>
      <c r="G2058" s="212" t="str">
        <f t="shared" si="97"/>
        <v>830소모품비(판)</v>
      </c>
      <c r="H2058" s="214">
        <v>20000</v>
      </c>
      <c r="I2058" s="214">
        <v>0</v>
      </c>
      <c r="J2058" s="214">
        <f t="shared" si="98"/>
        <v>-20000</v>
      </c>
      <c r="K2058" s="212" t="s">
        <v>6643</v>
      </c>
      <c r="L2058" s="213"/>
      <c r="M2058" s="212"/>
    </row>
    <row r="2059" spans="1:13" ht="21" customHeight="1">
      <c r="A2059" s="213" t="s">
        <v>6642</v>
      </c>
      <c r="B2059" s="215">
        <f t="shared" si="96"/>
        <v>45786</v>
      </c>
      <c r="C2059" s="213" t="s">
        <v>4367</v>
      </c>
      <c r="D2059" s="213" t="s">
        <v>4366</v>
      </c>
      <c r="E2059" s="213" t="s">
        <v>6176</v>
      </c>
      <c r="F2059" s="212" t="s">
        <v>6177</v>
      </c>
      <c r="G2059" s="212" t="str">
        <f t="shared" si="97"/>
        <v>255부가세예수금</v>
      </c>
      <c r="H2059" s="214">
        <v>0</v>
      </c>
      <c r="I2059" s="214">
        <v>20000</v>
      </c>
      <c r="J2059" s="214">
        <f t="shared" si="98"/>
        <v>20000</v>
      </c>
      <c r="K2059" s="212" t="s">
        <v>6414</v>
      </c>
      <c r="L2059" s="213"/>
      <c r="M2059" s="212" t="s">
        <v>6231</v>
      </c>
    </row>
    <row r="2060" spans="1:13" ht="21" customHeight="1">
      <c r="A2060" s="213" t="s">
        <v>6642</v>
      </c>
      <c r="B2060" s="215">
        <f t="shared" si="96"/>
        <v>45786</v>
      </c>
      <c r="C2060" s="213" t="s">
        <v>4367</v>
      </c>
      <c r="D2060" s="213" t="s">
        <v>4366</v>
      </c>
      <c r="E2060" s="213" t="s">
        <v>334</v>
      </c>
      <c r="F2060" s="212" t="s">
        <v>6158</v>
      </c>
      <c r="G2060" s="212" t="str">
        <f t="shared" si="97"/>
        <v>401용역매출</v>
      </c>
      <c r="H2060" s="214">
        <v>0</v>
      </c>
      <c r="I2060" s="214">
        <v>200000</v>
      </c>
      <c r="J2060" s="214">
        <f t="shared" si="98"/>
        <v>200000</v>
      </c>
      <c r="K2060" s="212" t="s">
        <v>6414</v>
      </c>
      <c r="L2060" s="213"/>
      <c r="M2060" s="212" t="s">
        <v>6231</v>
      </c>
    </row>
    <row r="2061" spans="1:13" ht="21" customHeight="1">
      <c r="A2061" s="213" t="s">
        <v>6642</v>
      </c>
      <c r="B2061" s="215">
        <f t="shared" si="96"/>
        <v>45786</v>
      </c>
      <c r="C2061" s="213" t="s">
        <v>4367</v>
      </c>
      <c r="D2061" s="213" t="s">
        <v>4369</v>
      </c>
      <c r="E2061" s="213" t="s">
        <v>333</v>
      </c>
      <c r="F2061" s="212" t="s">
        <v>4365</v>
      </c>
      <c r="G2061" s="212" t="str">
        <f t="shared" si="97"/>
        <v>101현금</v>
      </c>
      <c r="H2061" s="214">
        <v>220000</v>
      </c>
      <c r="I2061" s="214">
        <v>0</v>
      </c>
      <c r="J2061" s="214">
        <f t="shared" si="98"/>
        <v>-220000</v>
      </c>
      <c r="K2061" s="212" t="s">
        <v>6414</v>
      </c>
      <c r="L2061" s="213"/>
      <c r="M2061" s="212" t="s">
        <v>6231</v>
      </c>
    </row>
    <row r="2062" spans="1:13" ht="21" customHeight="1">
      <c r="A2062" s="217" t="s">
        <v>6641</v>
      </c>
      <c r="B2062" s="215">
        <f t="shared" si="96"/>
        <v>45787</v>
      </c>
      <c r="C2062" s="213" t="s">
        <v>4373</v>
      </c>
      <c r="D2062" s="213" t="s">
        <v>4369</v>
      </c>
      <c r="E2062" s="213" t="s">
        <v>4499</v>
      </c>
      <c r="F2062" s="212" t="s">
        <v>6517</v>
      </c>
      <c r="G2062" s="212" t="str">
        <f t="shared" si="97"/>
        <v>811복리후생비(판)</v>
      </c>
      <c r="H2062" s="214">
        <v>3300</v>
      </c>
      <c r="I2062" s="214">
        <v>0</v>
      </c>
      <c r="J2062" s="214">
        <f t="shared" si="98"/>
        <v>-3300</v>
      </c>
      <c r="K2062" s="212" t="s">
        <v>6194</v>
      </c>
      <c r="L2062" s="213"/>
      <c r="M2062" s="212"/>
    </row>
    <row r="2063" spans="1:13" ht="21" customHeight="1">
      <c r="A2063" s="217" t="s">
        <v>6641</v>
      </c>
      <c r="B2063" s="215">
        <f t="shared" si="96"/>
        <v>45787</v>
      </c>
      <c r="C2063" s="213" t="s">
        <v>4373</v>
      </c>
      <c r="D2063" s="213" t="s">
        <v>4366</v>
      </c>
      <c r="E2063" s="213" t="s">
        <v>333</v>
      </c>
      <c r="F2063" s="212" t="s">
        <v>4365</v>
      </c>
      <c r="G2063" s="212" t="str">
        <f t="shared" si="97"/>
        <v>101현금</v>
      </c>
      <c r="H2063" s="214">
        <v>0</v>
      </c>
      <c r="I2063" s="214">
        <v>3300</v>
      </c>
      <c r="J2063" s="214">
        <f t="shared" si="98"/>
        <v>3300</v>
      </c>
      <c r="K2063" s="212" t="s">
        <v>6200</v>
      </c>
      <c r="L2063" s="213"/>
      <c r="M2063" s="212"/>
    </row>
    <row r="2064" spans="1:13" ht="21" customHeight="1">
      <c r="A2064" s="217" t="s">
        <v>6641</v>
      </c>
      <c r="B2064" s="215">
        <f t="shared" si="96"/>
        <v>45787</v>
      </c>
      <c r="C2064" s="213" t="s">
        <v>4382</v>
      </c>
      <c r="D2064" s="213" t="s">
        <v>4369</v>
      </c>
      <c r="E2064" s="213" t="s">
        <v>4383</v>
      </c>
      <c r="F2064" s="212" t="s">
        <v>6525</v>
      </c>
      <c r="G2064" s="212" t="str">
        <f t="shared" si="97"/>
        <v>830소모품비(판)</v>
      </c>
      <c r="H2064" s="214">
        <v>9900</v>
      </c>
      <c r="I2064" s="214">
        <v>0</v>
      </c>
      <c r="J2064" s="214">
        <f t="shared" si="98"/>
        <v>-9900</v>
      </c>
      <c r="K2064" s="212" t="s">
        <v>6576</v>
      </c>
      <c r="L2064" s="213"/>
      <c r="M2064" s="212"/>
    </row>
    <row r="2065" spans="1:13" ht="21" customHeight="1">
      <c r="A2065" s="217" t="s">
        <v>6641</v>
      </c>
      <c r="B2065" s="215">
        <f t="shared" si="96"/>
        <v>45787</v>
      </c>
      <c r="C2065" s="213" t="s">
        <v>4382</v>
      </c>
      <c r="D2065" s="213" t="s">
        <v>4366</v>
      </c>
      <c r="E2065" s="213" t="s">
        <v>333</v>
      </c>
      <c r="F2065" s="212" t="s">
        <v>4365</v>
      </c>
      <c r="G2065" s="212" t="str">
        <f t="shared" si="97"/>
        <v>101현금</v>
      </c>
      <c r="H2065" s="214">
        <v>0</v>
      </c>
      <c r="I2065" s="214">
        <v>9900</v>
      </c>
      <c r="J2065" s="214">
        <f t="shared" si="98"/>
        <v>9900</v>
      </c>
      <c r="K2065" s="212" t="s">
        <v>6371</v>
      </c>
      <c r="L2065" s="213"/>
      <c r="M2065" s="212"/>
    </row>
    <row r="2066" spans="1:13" ht="21" customHeight="1">
      <c r="A2066" s="217" t="s">
        <v>6641</v>
      </c>
      <c r="B2066" s="215">
        <f t="shared" si="96"/>
        <v>45787</v>
      </c>
      <c r="C2066" s="213" t="s">
        <v>4381</v>
      </c>
      <c r="D2066" s="213" t="s">
        <v>4369</v>
      </c>
      <c r="E2066" s="213" t="s">
        <v>4380</v>
      </c>
      <c r="F2066" s="212" t="s">
        <v>6515</v>
      </c>
      <c r="G2066" s="212" t="str">
        <f t="shared" si="97"/>
        <v>812여비교통비(판)</v>
      </c>
      <c r="H2066" s="214">
        <v>6400</v>
      </c>
      <c r="I2066" s="214">
        <v>0</v>
      </c>
      <c r="J2066" s="214">
        <f t="shared" si="98"/>
        <v>-6400</v>
      </c>
      <c r="K2066" s="212" t="s">
        <v>6305</v>
      </c>
      <c r="L2066" s="213"/>
      <c r="M2066" s="212"/>
    </row>
    <row r="2067" spans="1:13" ht="21" customHeight="1">
      <c r="A2067" s="217" t="s">
        <v>6641</v>
      </c>
      <c r="B2067" s="215">
        <f t="shared" si="96"/>
        <v>45787</v>
      </c>
      <c r="C2067" s="213" t="s">
        <v>4381</v>
      </c>
      <c r="D2067" s="213" t="s">
        <v>4366</v>
      </c>
      <c r="E2067" s="213" t="s">
        <v>333</v>
      </c>
      <c r="F2067" s="212" t="s">
        <v>4365</v>
      </c>
      <c r="G2067" s="212" t="str">
        <f t="shared" si="97"/>
        <v>101현금</v>
      </c>
      <c r="H2067" s="214">
        <v>0</v>
      </c>
      <c r="I2067" s="214">
        <v>6400</v>
      </c>
      <c r="J2067" s="214">
        <f t="shared" si="98"/>
        <v>6400</v>
      </c>
      <c r="K2067" s="212" t="s">
        <v>6371</v>
      </c>
      <c r="L2067" s="213"/>
      <c r="M2067" s="212"/>
    </row>
    <row r="2068" spans="1:13" ht="21" customHeight="1">
      <c r="A2068" s="216" t="s">
        <v>6639</v>
      </c>
      <c r="B2068" s="215">
        <f t="shared" si="96"/>
        <v>45788</v>
      </c>
      <c r="C2068" s="213" t="s">
        <v>4373</v>
      </c>
      <c r="D2068" s="213" t="s">
        <v>4369</v>
      </c>
      <c r="E2068" s="213" t="s">
        <v>4383</v>
      </c>
      <c r="F2068" s="212" t="s">
        <v>6525</v>
      </c>
      <c r="G2068" s="212" t="str">
        <f t="shared" si="97"/>
        <v>830소모품비(판)</v>
      </c>
      <c r="H2068" s="214">
        <v>1500</v>
      </c>
      <c r="I2068" s="214">
        <v>0</v>
      </c>
      <c r="J2068" s="214">
        <f t="shared" si="98"/>
        <v>-1500</v>
      </c>
      <c r="K2068" s="212" t="s">
        <v>6563</v>
      </c>
      <c r="L2068" s="213"/>
      <c r="M2068" s="212"/>
    </row>
    <row r="2069" spans="1:13" ht="21" customHeight="1">
      <c r="A2069" s="216" t="s">
        <v>6639</v>
      </c>
      <c r="B2069" s="215">
        <f t="shared" si="96"/>
        <v>45788</v>
      </c>
      <c r="C2069" s="213" t="s">
        <v>4373</v>
      </c>
      <c r="D2069" s="213" t="s">
        <v>4366</v>
      </c>
      <c r="E2069" s="213" t="s">
        <v>333</v>
      </c>
      <c r="F2069" s="212" t="s">
        <v>4365</v>
      </c>
      <c r="G2069" s="212" t="str">
        <f t="shared" si="97"/>
        <v>101현금</v>
      </c>
      <c r="H2069" s="214">
        <v>0</v>
      </c>
      <c r="I2069" s="214">
        <v>1500</v>
      </c>
      <c r="J2069" s="214">
        <f t="shared" si="98"/>
        <v>1500</v>
      </c>
      <c r="K2069" s="212" t="s">
        <v>6369</v>
      </c>
      <c r="L2069" s="213"/>
      <c r="M2069" s="212"/>
    </row>
    <row r="2070" spans="1:13" ht="21" customHeight="1">
      <c r="A2070" s="216" t="s">
        <v>6639</v>
      </c>
      <c r="B2070" s="215">
        <f t="shared" si="96"/>
        <v>45788</v>
      </c>
      <c r="C2070" s="213" t="s">
        <v>4382</v>
      </c>
      <c r="D2070" s="213" t="s">
        <v>4369</v>
      </c>
      <c r="E2070" s="213" t="s">
        <v>4383</v>
      </c>
      <c r="F2070" s="212" t="s">
        <v>6525</v>
      </c>
      <c r="G2070" s="212" t="str">
        <f t="shared" si="97"/>
        <v>830소모품비(판)</v>
      </c>
      <c r="H2070" s="214">
        <v>2200</v>
      </c>
      <c r="I2070" s="214">
        <v>0</v>
      </c>
      <c r="J2070" s="214">
        <f t="shared" si="98"/>
        <v>-2200</v>
      </c>
      <c r="K2070" s="212" t="s">
        <v>6563</v>
      </c>
      <c r="L2070" s="213"/>
      <c r="M2070" s="212"/>
    </row>
    <row r="2071" spans="1:13" ht="21" customHeight="1">
      <c r="A2071" s="216" t="s">
        <v>6639</v>
      </c>
      <c r="B2071" s="215">
        <f t="shared" si="96"/>
        <v>45788</v>
      </c>
      <c r="C2071" s="213" t="s">
        <v>4382</v>
      </c>
      <c r="D2071" s="213" t="s">
        <v>4366</v>
      </c>
      <c r="E2071" s="213" t="s">
        <v>333</v>
      </c>
      <c r="F2071" s="212" t="s">
        <v>4365</v>
      </c>
      <c r="G2071" s="212" t="str">
        <f t="shared" si="97"/>
        <v>101현금</v>
      </c>
      <c r="H2071" s="214">
        <v>0</v>
      </c>
      <c r="I2071" s="214">
        <v>2200</v>
      </c>
      <c r="J2071" s="214">
        <f t="shared" si="98"/>
        <v>2200</v>
      </c>
      <c r="K2071" s="212" t="s">
        <v>6369</v>
      </c>
      <c r="L2071" s="213"/>
      <c r="M2071" s="212"/>
    </row>
    <row r="2072" spans="1:13" ht="21" customHeight="1">
      <c r="A2072" s="216" t="s">
        <v>6639</v>
      </c>
      <c r="B2072" s="215">
        <f t="shared" si="96"/>
        <v>45788</v>
      </c>
      <c r="C2072" s="213" t="s">
        <v>4381</v>
      </c>
      <c r="D2072" s="213" t="s">
        <v>4369</v>
      </c>
      <c r="E2072" s="213" t="s">
        <v>4383</v>
      </c>
      <c r="F2072" s="212" t="s">
        <v>6525</v>
      </c>
      <c r="G2072" s="212" t="str">
        <f t="shared" si="97"/>
        <v>830소모품비(판)</v>
      </c>
      <c r="H2072" s="214">
        <v>5800</v>
      </c>
      <c r="I2072" s="214">
        <v>0</v>
      </c>
      <c r="J2072" s="214">
        <f t="shared" si="98"/>
        <v>-5800</v>
      </c>
      <c r="K2072" s="212" t="s">
        <v>6358</v>
      </c>
      <c r="L2072" s="213"/>
      <c r="M2072" s="212"/>
    </row>
    <row r="2073" spans="1:13" ht="21" customHeight="1">
      <c r="A2073" s="216" t="s">
        <v>6639</v>
      </c>
      <c r="B2073" s="215">
        <f t="shared" si="96"/>
        <v>45788</v>
      </c>
      <c r="C2073" s="213" t="s">
        <v>4381</v>
      </c>
      <c r="D2073" s="213" t="s">
        <v>4366</v>
      </c>
      <c r="E2073" s="213" t="s">
        <v>333</v>
      </c>
      <c r="F2073" s="212" t="s">
        <v>4365</v>
      </c>
      <c r="G2073" s="212" t="str">
        <f t="shared" si="97"/>
        <v>101현금</v>
      </c>
      <c r="H2073" s="214">
        <v>0</v>
      </c>
      <c r="I2073" s="214">
        <v>5800</v>
      </c>
      <c r="J2073" s="214">
        <f t="shared" si="98"/>
        <v>5800</v>
      </c>
      <c r="K2073" s="212" t="s">
        <v>6200</v>
      </c>
      <c r="L2073" s="213"/>
      <c r="M2073" s="212"/>
    </row>
    <row r="2074" spans="1:13" ht="21" customHeight="1">
      <c r="A2074" s="216" t="s">
        <v>6639</v>
      </c>
      <c r="B2074" s="215">
        <f t="shared" si="96"/>
        <v>45788</v>
      </c>
      <c r="C2074" s="213" t="s">
        <v>4379</v>
      </c>
      <c r="D2074" s="213" t="s">
        <v>4369</v>
      </c>
      <c r="E2074" s="213" t="s">
        <v>4380</v>
      </c>
      <c r="F2074" s="212" t="s">
        <v>6515</v>
      </c>
      <c r="G2074" s="212" t="str">
        <f t="shared" si="97"/>
        <v>812여비교통비(판)</v>
      </c>
      <c r="H2074" s="214">
        <v>3000</v>
      </c>
      <c r="I2074" s="214">
        <v>0</v>
      </c>
      <c r="J2074" s="214">
        <f t="shared" si="98"/>
        <v>-3000</v>
      </c>
      <c r="K2074" s="212" t="s">
        <v>6640</v>
      </c>
      <c r="L2074" s="213"/>
      <c r="M2074" s="212"/>
    </row>
    <row r="2075" spans="1:13" ht="21" customHeight="1">
      <c r="A2075" s="216" t="s">
        <v>6639</v>
      </c>
      <c r="B2075" s="215">
        <f t="shared" si="96"/>
        <v>45788</v>
      </c>
      <c r="C2075" s="213" t="s">
        <v>4379</v>
      </c>
      <c r="D2075" s="213" t="s">
        <v>4366</v>
      </c>
      <c r="E2075" s="213" t="s">
        <v>333</v>
      </c>
      <c r="F2075" s="212" t="s">
        <v>4365</v>
      </c>
      <c r="G2075" s="212" t="str">
        <f t="shared" si="97"/>
        <v>101현금</v>
      </c>
      <c r="H2075" s="214">
        <v>0</v>
      </c>
      <c r="I2075" s="214">
        <v>3000</v>
      </c>
      <c r="J2075" s="214">
        <f t="shared" si="98"/>
        <v>3000</v>
      </c>
      <c r="K2075" s="212" t="s">
        <v>6200</v>
      </c>
      <c r="L2075" s="213"/>
      <c r="M2075" s="212"/>
    </row>
    <row r="2076" spans="1:13" ht="21" customHeight="1">
      <c r="A2076" s="216" t="s">
        <v>6639</v>
      </c>
      <c r="B2076" s="215">
        <f t="shared" si="96"/>
        <v>45788</v>
      </c>
      <c r="C2076" s="213" t="s">
        <v>4385</v>
      </c>
      <c r="D2076" s="213" t="s">
        <v>4369</v>
      </c>
      <c r="E2076" s="213" t="s">
        <v>4380</v>
      </c>
      <c r="F2076" s="212" t="s">
        <v>6515</v>
      </c>
      <c r="G2076" s="212" t="str">
        <f t="shared" si="97"/>
        <v>812여비교통비(판)</v>
      </c>
      <c r="H2076" s="214">
        <v>6500</v>
      </c>
      <c r="I2076" s="214">
        <v>0</v>
      </c>
      <c r="J2076" s="214">
        <f t="shared" si="98"/>
        <v>-6500</v>
      </c>
      <c r="K2076" s="212" t="s">
        <v>6305</v>
      </c>
      <c r="L2076" s="213"/>
      <c r="M2076" s="212"/>
    </row>
    <row r="2077" spans="1:13" ht="21" customHeight="1">
      <c r="A2077" s="216" t="s">
        <v>6639</v>
      </c>
      <c r="B2077" s="215">
        <f t="shared" si="96"/>
        <v>45788</v>
      </c>
      <c r="C2077" s="213" t="s">
        <v>4385</v>
      </c>
      <c r="D2077" s="213" t="s">
        <v>4366</v>
      </c>
      <c r="E2077" s="213" t="s">
        <v>333</v>
      </c>
      <c r="F2077" s="212" t="s">
        <v>4365</v>
      </c>
      <c r="G2077" s="212" t="str">
        <f t="shared" si="97"/>
        <v>101현금</v>
      </c>
      <c r="H2077" s="214">
        <v>0</v>
      </c>
      <c r="I2077" s="214">
        <v>6500</v>
      </c>
      <c r="J2077" s="214">
        <f t="shared" si="98"/>
        <v>6500</v>
      </c>
      <c r="K2077" s="212" t="s">
        <v>6369</v>
      </c>
      <c r="L2077" s="213"/>
      <c r="M2077" s="212"/>
    </row>
    <row r="2078" spans="1:13" ht="21" customHeight="1">
      <c r="A2078" s="216" t="s">
        <v>6639</v>
      </c>
      <c r="B2078" s="215">
        <f t="shared" si="96"/>
        <v>45788</v>
      </c>
      <c r="C2078" s="213" t="s">
        <v>4501</v>
      </c>
      <c r="D2078" s="213" t="s">
        <v>4366</v>
      </c>
      <c r="E2078" s="213" t="s">
        <v>333</v>
      </c>
      <c r="F2078" s="212" t="s">
        <v>4365</v>
      </c>
      <c r="G2078" s="212" t="str">
        <f t="shared" si="97"/>
        <v>101현금</v>
      </c>
      <c r="H2078" s="214">
        <v>0</v>
      </c>
      <c r="I2078" s="214">
        <v>22700</v>
      </c>
      <c r="J2078" s="214">
        <f t="shared" si="98"/>
        <v>22700</v>
      </c>
      <c r="K2078" s="212" t="s">
        <v>6375</v>
      </c>
      <c r="L2078" s="213"/>
      <c r="M2078" s="212"/>
    </row>
    <row r="2079" spans="1:13" ht="21" customHeight="1">
      <c r="A2079" s="216" t="s">
        <v>6639</v>
      </c>
      <c r="B2079" s="215">
        <f t="shared" si="96"/>
        <v>45788</v>
      </c>
      <c r="C2079" s="213" t="s">
        <v>4501</v>
      </c>
      <c r="D2079" s="213" t="s">
        <v>4369</v>
      </c>
      <c r="E2079" s="213" t="s">
        <v>4383</v>
      </c>
      <c r="F2079" s="212" t="s">
        <v>6525</v>
      </c>
      <c r="G2079" s="212" t="str">
        <f t="shared" si="97"/>
        <v>830소모품비(판)</v>
      </c>
      <c r="H2079" s="214">
        <v>22700</v>
      </c>
      <c r="I2079" s="214">
        <v>0</v>
      </c>
      <c r="J2079" s="214">
        <f t="shared" si="98"/>
        <v>-22700</v>
      </c>
      <c r="K2079" s="212" t="s">
        <v>6375</v>
      </c>
      <c r="L2079" s="213"/>
      <c r="M2079" s="212"/>
    </row>
    <row r="2080" spans="1:13" ht="21" customHeight="1">
      <c r="A2080" s="213" t="s">
        <v>6636</v>
      </c>
      <c r="B2080" s="215">
        <f t="shared" si="96"/>
        <v>45789</v>
      </c>
      <c r="C2080" s="213" t="s">
        <v>4373</v>
      </c>
      <c r="D2080" s="213" t="s">
        <v>4369</v>
      </c>
      <c r="E2080" s="213" t="s">
        <v>4505</v>
      </c>
      <c r="F2080" s="212" t="s">
        <v>4506</v>
      </c>
      <c r="G2080" s="212" t="str">
        <f t="shared" si="97"/>
        <v>254예수금</v>
      </c>
      <c r="H2080" s="214">
        <v>149400</v>
      </c>
      <c r="I2080" s="214">
        <v>0</v>
      </c>
      <c r="J2080" s="214">
        <f t="shared" si="98"/>
        <v>-149400</v>
      </c>
      <c r="K2080" s="212" t="s">
        <v>4523</v>
      </c>
      <c r="L2080" s="213" t="s">
        <v>6411</v>
      </c>
      <c r="M2080" s="212" t="s">
        <v>6638</v>
      </c>
    </row>
    <row r="2081" spans="1:13" ht="21" customHeight="1">
      <c r="A2081" s="213" t="s">
        <v>6636</v>
      </c>
      <c r="B2081" s="215">
        <f t="shared" si="96"/>
        <v>45789</v>
      </c>
      <c r="C2081" s="213" t="s">
        <v>4373</v>
      </c>
      <c r="D2081" s="213" t="s">
        <v>4366</v>
      </c>
      <c r="E2081" s="213" t="s">
        <v>333</v>
      </c>
      <c r="F2081" s="212" t="s">
        <v>4365</v>
      </c>
      <c r="G2081" s="212" t="str">
        <f t="shared" si="97"/>
        <v>101현금</v>
      </c>
      <c r="H2081" s="214">
        <v>0</v>
      </c>
      <c r="I2081" s="214">
        <v>298800</v>
      </c>
      <c r="J2081" s="214">
        <f t="shared" si="98"/>
        <v>298800</v>
      </c>
      <c r="K2081" s="212" t="s">
        <v>4523</v>
      </c>
      <c r="L2081" s="213" t="s">
        <v>6411</v>
      </c>
      <c r="M2081" s="212" t="s">
        <v>6638</v>
      </c>
    </row>
    <row r="2082" spans="1:13" ht="21" customHeight="1">
      <c r="A2082" s="213" t="s">
        <v>6636</v>
      </c>
      <c r="B2082" s="215">
        <f t="shared" si="96"/>
        <v>45789</v>
      </c>
      <c r="C2082" s="213" t="s">
        <v>4373</v>
      </c>
      <c r="D2082" s="213" t="s">
        <v>4369</v>
      </c>
      <c r="E2082" s="213" t="s">
        <v>4507</v>
      </c>
      <c r="F2082" s="212" t="s">
        <v>6468</v>
      </c>
      <c r="G2082" s="212" t="str">
        <f t="shared" si="97"/>
        <v>817세금과공과금(판)</v>
      </c>
      <c r="H2082" s="214">
        <v>149400</v>
      </c>
      <c r="I2082" s="214">
        <v>0</v>
      </c>
      <c r="J2082" s="214">
        <f t="shared" si="98"/>
        <v>-149400</v>
      </c>
      <c r="K2082" s="212" t="s">
        <v>4523</v>
      </c>
      <c r="L2082" s="213" t="s">
        <v>6411</v>
      </c>
      <c r="M2082" s="212" t="s">
        <v>6638</v>
      </c>
    </row>
    <row r="2083" spans="1:13" ht="21" customHeight="1">
      <c r="A2083" s="213" t="s">
        <v>6636</v>
      </c>
      <c r="B2083" s="215">
        <f t="shared" si="96"/>
        <v>45789</v>
      </c>
      <c r="C2083" s="213" t="s">
        <v>4382</v>
      </c>
      <c r="D2083" s="213" t="s">
        <v>4369</v>
      </c>
      <c r="E2083" s="213" t="s">
        <v>4505</v>
      </c>
      <c r="F2083" s="212" t="s">
        <v>4506</v>
      </c>
      <c r="G2083" s="212" t="str">
        <f t="shared" si="97"/>
        <v>254예수금</v>
      </c>
      <c r="H2083" s="214">
        <v>6300</v>
      </c>
      <c r="I2083" s="214">
        <v>0</v>
      </c>
      <c r="J2083" s="214">
        <f t="shared" si="98"/>
        <v>-6300</v>
      </c>
      <c r="K2083" s="212" t="s">
        <v>4508</v>
      </c>
      <c r="L2083" s="213" t="s">
        <v>6411</v>
      </c>
      <c r="M2083" s="212" t="s">
        <v>6637</v>
      </c>
    </row>
    <row r="2084" spans="1:13" ht="21" customHeight="1">
      <c r="A2084" s="213" t="s">
        <v>6636</v>
      </c>
      <c r="B2084" s="215">
        <f t="shared" si="96"/>
        <v>45789</v>
      </c>
      <c r="C2084" s="213" t="s">
        <v>4382</v>
      </c>
      <c r="D2084" s="213" t="s">
        <v>4366</v>
      </c>
      <c r="E2084" s="213" t="s">
        <v>333</v>
      </c>
      <c r="F2084" s="212" t="s">
        <v>4365</v>
      </c>
      <c r="G2084" s="212" t="str">
        <f t="shared" si="97"/>
        <v>101현금</v>
      </c>
      <c r="H2084" s="214">
        <v>0</v>
      </c>
      <c r="I2084" s="214">
        <v>14350</v>
      </c>
      <c r="J2084" s="214">
        <f t="shared" si="98"/>
        <v>14350</v>
      </c>
      <c r="K2084" s="212" t="s">
        <v>4508</v>
      </c>
      <c r="L2084" s="213" t="s">
        <v>6411</v>
      </c>
      <c r="M2084" s="212" t="s">
        <v>6637</v>
      </c>
    </row>
    <row r="2085" spans="1:13" ht="21" customHeight="1">
      <c r="A2085" s="213" t="s">
        <v>6636</v>
      </c>
      <c r="B2085" s="215">
        <f t="shared" si="96"/>
        <v>45789</v>
      </c>
      <c r="C2085" s="213" t="s">
        <v>4382</v>
      </c>
      <c r="D2085" s="213" t="s">
        <v>4369</v>
      </c>
      <c r="E2085" s="213" t="s">
        <v>4509</v>
      </c>
      <c r="F2085" s="212" t="s">
        <v>6491</v>
      </c>
      <c r="G2085" s="212" t="str">
        <f t="shared" si="97"/>
        <v>821보험료(판)</v>
      </c>
      <c r="H2085" s="214">
        <v>8050</v>
      </c>
      <c r="I2085" s="214">
        <v>0</v>
      </c>
      <c r="J2085" s="214">
        <f t="shared" si="98"/>
        <v>-8050</v>
      </c>
      <c r="K2085" s="212" t="s">
        <v>4508</v>
      </c>
      <c r="L2085" s="213" t="s">
        <v>6411</v>
      </c>
      <c r="M2085" s="212" t="s">
        <v>6637</v>
      </c>
    </row>
    <row r="2086" spans="1:13" ht="21" customHeight="1">
      <c r="A2086" s="213" t="s">
        <v>6636</v>
      </c>
      <c r="B2086" s="215">
        <f t="shared" si="96"/>
        <v>45789</v>
      </c>
      <c r="C2086" s="213" t="s">
        <v>4381</v>
      </c>
      <c r="D2086" s="213" t="s">
        <v>4366</v>
      </c>
      <c r="E2086" s="213" t="s">
        <v>333</v>
      </c>
      <c r="F2086" s="212" t="s">
        <v>4365</v>
      </c>
      <c r="G2086" s="212" t="str">
        <f t="shared" si="97"/>
        <v>101현금</v>
      </c>
      <c r="H2086" s="214">
        <v>0</v>
      </c>
      <c r="I2086" s="214">
        <v>5300</v>
      </c>
      <c r="J2086" s="214">
        <f t="shared" si="98"/>
        <v>5300</v>
      </c>
      <c r="K2086" s="212" t="s">
        <v>6371</v>
      </c>
      <c r="L2086" s="213"/>
      <c r="M2086" s="212"/>
    </row>
    <row r="2087" spans="1:13" ht="21" customHeight="1">
      <c r="A2087" s="213" t="s">
        <v>6636</v>
      </c>
      <c r="B2087" s="215">
        <f t="shared" si="96"/>
        <v>45789</v>
      </c>
      <c r="C2087" s="213" t="s">
        <v>4381</v>
      </c>
      <c r="D2087" s="213" t="s">
        <v>4369</v>
      </c>
      <c r="E2087" s="213" t="s">
        <v>6290</v>
      </c>
      <c r="F2087" s="212" t="s">
        <v>6570</v>
      </c>
      <c r="G2087" s="212" t="str">
        <f t="shared" si="97"/>
        <v>824운반비(판)</v>
      </c>
      <c r="H2087" s="214">
        <v>5300</v>
      </c>
      <c r="I2087" s="214">
        <v>0</v>
      </c>
      <c r="J2087" s="214">
        <f t="shared" si="98"/>
        <v>-5300</v>
      </c>
      <c r="K2087" s="212" t="s">
        <v>6291</v>
      </c>
      <c r="L2087" s="213"/>
      <c r="M2087" s="212"/>
    </row>
    <row r="2088" spans="1:13" ht="21" customHeight="1">
      <c r="A2088" s="213" t="s">
        <v>6636</v>
      </c>
      <c r="B2088" s="215">
        <f t="shared" si="96"/>
        <v>45789</v>
      </c>
      <c r="C2088" s="213" t="s">
        <v>4379</v>
      </c>
      <c r="D2088" s="213" t="s">
        <v>4369</v>
      </c>
      <c r="E2088" s="213" t="s">
        <v>4368</v>
      </c>
      <c r="F2088" s="212" t="s">
        <v>6388</v>
      </c>
      <c r="G2088" s="212" t="str">
        <f t="shared" si="97"/>
        <v>831지급수수료(판)</v>
      </c>
      <c r="H2088" s="214">
        <v>1990</v>
      </c>
      <c r="I2088" s="214">
        <v>0</v>
      </c>
      <c r="J2088" s="214">
        <f t="shared" si="98"/>
        <v>-1990</v>
      </c>
      <c r="K2088" s="212" t="s">
        <v>6351</v>
      </c>
      <c r="L2088" s="213"/>
      <c r="M2088" s="212"/>
    </row>
    <row r="2089" spans="1:13" ht="21" customHeight="1">
      <c r="A2089" s="213" t="s">
        <v>6636</v>
      </c>
      <c r="B2089" s="215">
        <f t="shared" si="96"/>
        <v>45789</v>
      </c>
      <c r="C2089" s="213" t="s">
        <v>4379</v>
      </c>
      <c r="D2089" s="213" t="s">
        <v>4366</v>
      </c>
      <c r="E2089" s="213" t="s">
        <v>333</v>
      </c>
      <c r="F2089" s="212" t="s">
        <v>4365</v>
      </c>
      <c r="G2089" s="212" t="str">
        <f t="shared" si="97"/>
        <v>101현금</v>
      </c>
      <c r="H2089" s="214">
        <v>0</v>
      </c>
      <c r="I2089" s="214">
        <v>1990</v>
      </c>
      <c r="J2089" s="214">
        <f t="shared" si="98"/>
        <v>1990</v>
      </c>
      <c r="K2089" s="212" t="s">
        <v>6369</v>
      </c>
      <c r="L2089" s="213"/>
      <c r="M2089" s="212"/>
    </row>
    <row r="2090" spans="1:13" ht="21" customHeight="1">
      <c r="A2090" s="213" t="s">
        <v>6636</v>
      </c>
      <c r="B2090" s="215">
        <f t="shared" si="96"/>
        <v>45789</v>
      </c>
      <c r="C2090" s="213" t="s">
        <v>4385</v>
      </c>
      <c r="D2090" s="213" t="s">
        <v>4369</v>
      </c>
      <c r="E2090" s="213" t="s">
        <v>4500</v>
      </c>
      <c r="F2090" s="212" t="s">
        <v>6418</v>
      </c>
      <c r="G2090" s="212" t="str">
        <f t="shared" si="97"/>
        <v>822차량유지비(판)</v>
      </c>
      <c r="H2090" s="214">
        <v>50000</v>
      </c>
      <c r="I2090" s="214">
        <v>0</v>
      </c>
      <c r="J2090" s="214">
        <f t="shared" si="98"/>
        <v>-50000</v>
      </c>
      <c r="K2090" s="212" t="s">
        <v>6195</v>
      </c>
      <c r="L2090" s="213"/>
      <c r="M2090" s="212"/>
    </row>
    <row r="2091" spans="1:13" ht="21" customHeight="1">
      <c r="A2091" s="213" t="s">
        <v>6636</v>
      </c>
      <c r="B2091" s="215">
        <f t="shared" si="96"/>
        <v>45789</v>
      </c>
      <c r="C2091" s="213" t="s">
        <v>4385</v>
      </c>
      <c r="D2091" s="213" t="s">
        <v>4366</v>
      </c>
      <c r="E2091" s="213" t="s">
        <v>333</v>
      </c>
      <c r="F2091" s="212" t="s">
        <v>4365</v>
      </c>
      <c r="G2091" s="212" t="str">
        <f t="shared" si="97"/>
        <v>101현금</v>
      </c>
      <c r="H2091" s="214">
        <v>0</v>
      </c>
      <c r="I2091" s="214">
        <v>50000</v>
      </c>
      <c r="J2091" s="214">
        <f t="shared" si="98"/>
        <v>50000</v>
      </c>
      <c r="K2091" s="212" t="s">
        <v>6370</v>
      </c>
      <c r="L2091" s="213"/>
      <c r="M2091" s="212"/>
    </row>
    <row r="2092" spans="1:13" ht="21" customHeight="1">
      <c r="A2092" s="213" t="s">
        <v>6636</v>
      </c>
      <c r="B2092" s="215">
        <f t="shared" si="96"/>
        <v>45789</v>
      </c>
      <c r="C2092" s="213" t="s">
        <v>4367</v>
      </c>
      <c r="D2092" s="213" t="s">
        <v>4366</v>
      </c>
      <c r="E2092" s="213" t="s">
        <v>6176</v>
      </c>
      <c r="F2092" s="212" t="s">
        <v>6177</v>
      </c>
      <c r="G2092" s="212" t="str">
        <f t="shared" si="97"/>
        <v>255부가세예수금</v>
      </c>
      <c r="H2092" s="214">
        <v>0</v>
      </c>
      <c r="I2092" s="214">
        <v>15000</v>
      </c>
      <c r="J2092" s="214">
        <f t="shared" si="98"/>
        <v>15000</v>
      </c>
      <c r="K2092" s="212" t="s">
        <v>6201</v>
      </c>
      <c r="L2092" s="213"/>
      <c r="M2092" s="212" t="s">
        <v>6179</v>
      </c>
    </row>
    <row r="2093" spans="1:13" ht="21" customHeight="1">
      <c r="A2093" s="213" t="s">
        <v>6636</v>
      </c>
      <c r="B2093" s="215">
        <f t="shared" si="96"/>
        <v>45789</v>
      </c>
      <c r="C2093" s="213" t="s">
        <v>4367</v>
      </c>
      <c r="D2093" s="213" t="s">
        <v>4366</v>
      </c>
      <c r="E2093" s="213" t="s">
        <v>334</v>
      </c>
      <c r="F2093" s="212" t="s">
        <v>6158</v>
      </c>
      <c r="G2093" s="212" t="str">
        <f t="shared" si="97"/>
        <v>401용역매출</v>
      </c>
      <c r="H2093" s="214">
        <v>0</v>
      </c>
      <c r="I2093" s="214">
        <v>150000</v>
      </c>
      <c r="J2093" s="214">
        <f t="shared" si="98"/>
        <v>150000</v>
      </c>
      <c r="K2093" s="212" t="s">
        <v>6201</v>
      </c>
      <c r="L2093" s="213"/>
      <c r="M2093" s="212" t="s">
        <v>6179</v>
      </c>
    </row>
    <row r="2094" spans="1:13" ht="21" customHeight="1">
      <c r="A2094" s="213" t="s">
        <v>6636</v>
      </c>
      <c r="B2094" s="215">
        <f t="shared" si="96"/>
        <v>45789</v>
      </c>
      <c r="C2094" s="213" t="s">
        <v>4367</v>
      </c>
      <c r="D2094" s="213" t="s">
        <v>4369</v>
      </c>
      <c r="E2094" s="213" t="s">
        <v>333</v>
      </c>
      <c r="F2094" s="212" t="s">
        <v>4365</v>
      </c>
      <c r="G2094" s="212" t="str">
        <f t="shared" si="97"/>
        <v>101현금</v>
      </c>
      <c r="H2094" s="214">
        <v>165000</v>
      </c>
      <c r="I2094" s="214">
        <v>0</v>
      </c>
      <c r="J2094" s="214">
        <f t="shared" si="98"/>
        <v>-165000</v>
      </c>
      <c r="K2094" s="212" t="s">
        <v>6201</v>
      </c>
      <c r="L2094" s="213"/>
      <c r="M2094" s="212" t="s">
        <v>6179</v>
      </c>
    </row>
    <row r="2095" spans="1:13" ht="21" customHeight="1">
      <c r="A2095" s="213" t="s">
        <v>6633</v>
      </c>
      <c r="B2095" s="215">
        <f t="shared" si="96"/>
        <v>45790</v>
      </c>
      <c r="C2095" s="213" t="s">
        <v>4373</v>
      </c>
      <c r="D2095" s="213" t="s">
        <v>4369</v>
      </c>
      <c r="E2095" s="213" t="s">
        <v>4499</v>
      </c>
      <c r="F2095" s="212" t="s">
        <v>6517</v>
      </c>
      <c r="G2095" s="212" t="str">
        <f t="shared" si="97"/>
        <v>811복리후생비(판)</v>
      </c>
      <c r="H2095" s="214">
        <v>22000</v>
      </c>
      <c r="I2095" s="214">
        <v>0</v>
      </c>
      <c r="J2095" s="214">
        <f t="shared" si="98"/>
        <v>-22000</v>
      </c>
      <c r="K2095" s="212" t="s">
        <v>6635</v>
      </c>
      <c r="L2095" s="213"/>
      <c r="M2095" s="212"/>
    </row>
    <row r="2096" spans="1:13" ht="21" customHeight="1">
      <c r="A2096" s="213" t="s">
        <v>6633</v>
      </c>
      <c r="B2096" s="215">
        <f t="shared" si="96"/>
        <v>45790</v>
      </c>
      <c r="C2096" s="213" t="s">
        <v>4373</v>
      </c>
      <c r="D2096" s="213" t="s">
        <v>4366</v>
      </c>
      <c r="E2096" s="213" t="s">
        <v>333</v>
      </c>
      <c r="F2096" s="212" t="s">
        <v>4365</v>
      </c>
      <c r="G2096" s="212" t="str">
        <f t="shared" si="97"/>
        <v>101현금</v>
      </c>
      <c r="H2096" s="214">
        <v>0</v>
      </c>
      <c r="I2096" s="214">
        <v>22000</v>
      </c>
      <c r="J2096" s="214">
        <f t="shared" si="98"/>
        <v>22000</v>
      </c>
      <c r="K2096" s="212" t="s">
        <v>6369</v>
      </c>
      <c r="L2096" s="213"/>
      <c r="M2096" s="212"/>
    </row>
    <row r="2097" spans="1:13" ht="21" customHeight="1">
      <c r="A2097" s="213" t="s">
        <v>6633</v>
      </c>
      <c r="B2097" s="215">
        <f t="shared" si="96"/>
        <v>45790</v>
      </c>
      <c r="C2097" s="213" t="s">
        <v>4382</v>
      </c>
      <c r="D2097" s="213" t="s">
        <v>4369</v>
      </c>
      <c r="E2097" s="213" t="s">
        <v>4383</v>
      </c>
      <c r="F2097" s="212" t="s">
        <v>6525</v>
      </c>
      <c r="G2097" s="212" t="str">
        <f t="shared" si="97"/>
        <v>830소모품비(판)</v>
      </c>
      <c r="H2097" s="214">
        <v>9100</v>
      </c>
      <c r="I2097" s="214">
        <v>0</v>
      </c>
      <c r="J2097" s="214">
        <f t="shared" si="98"/>
        <v>-9100</v>
      </c>
      <c r="K2097" s="212" t="s">
        <v>6563</v>
      </c>
      <c r="L2097" s="213"/>
      <c r="M2097" s="212"/>
    </row>
    <row r="2098" spans="1:13" ht="21" customHeight="1">
      <c r="A2098" s="213" t="s">
        <v>6633</v>
      </c>
      <c r="B2098" s="215">
        <f t="shared" si="96"/>
        <v>45790</v>
      </c>
      <c r="C2098" s="213" t="s">
        <v>4382</v>
      </c>
      <c r="D2098" s="213" t="s">
        <v>4366</v>
      </c>
      <c r="E2098" s="213" t="s">
        <v>333</v>
      </c>
      <c r="F2098" s="212" t="s">
        <v>4365</v>
      </c>
      <c r="G2098" s="212" t="str">
        <f t="shared" si="97"/>
        <v>101현금</v>
      </c>
      <c r="H2098" s="214">
        <v>0</v>
      </c>
      <c r="I2098" s="214">
        <v>9100</v>
      </c>
      <c r="J2098" s="214">
        <f t="shared" si="98"/>
        <v>9100</v>
      </c>
      <c r="K2098" s="212" t="s">
        <v>6369</v>
      </c>
      <c r="L2098" s="213"/>
      <c r="M2098" s="212"/>
    </row>
    <row r="2099" spans="1:13" ht="21" customHeight="1">
      <c r="A2099" s="213" t="s">
        <v>6633</v>
      </c>
      <c r="B2099" s="215">
        <f t="shared" si="96"/>
        <v>45790</v>
      </c>
      <c r="C2099" s="213" t="s">
        <v>4381</v>
      </c>
      <c r="D2099" s="213" t="s">
        <v>4369</v>
      </c>
      <c r="E2099" s="213" t="s">
        <v>4380</v>
      </c>
      <c r="F2099" s="212" t="s">
        <v>6515</v>
      </c>
      <c r="G2099" s="212" t="str">
        <f t="shared" si="97"/>
        <v>812여비교통비(판)</v>
      </c>
      <c r="H2099" s="214">
        <v>2000</v>
      </c>
      <c r="I2099" s="214">
        <v>0</v>
      </c>
      <c r="J2099" s="214">
        <f t="shared" si="98"/>
        <v>-2000</v>
      </c>
      <c r="K2099" s="212" t="s">
        <v>6634</v>
      </c>
      <c r="L2099" s="213"/>
      <c r="M2099" s="212"/>
    </row>
    <row r="2100" spans="1:13" ht="21" customHeight="1">
      <c r="A2100" s="213" t="s">
        <v>6633</v>
      </c>
      <c r="B2100" s="215">
        <f t="shared" si="96"/>
        <v>45790</v>
      </c>
      <c r="C2100" s="213" t="s">
        <v>4381</v>
      </c>
      <c r="D2100" s="213" t="s">
        <v>4366</v>
      </c>
      <c r="E2100" s="213" t="s">
        <v>333</v>
      </c>
      <c r="F2100" s="212" t="s">
        <v>4365</v>
      </c>
      <c r="G2100" s="212" t="str">
        <f t="shared" si="97"/>
        <v>101현금</v>
      </c>
      <c r="H2100" s="214">
        <v>0</v>
      </c>
      <c r="I2100" s="214">
        <v>2000</v>
      </c>
      <c r="J2100" s="214">
        <f t="shared" si="98"/>
        <v>2000</v>
      </c>
      <c r="K2100" s="212" t="s">
        <v>6369</v>
      </c>
      <c r="L2100" s="213"/>
      <c r="M2100" s="212"/>
    </row>
    <row r="2101" spans="1:13" ht="21" customHeight="1">
      <c r="A2101" s="213" t="s">
        <v>6633</v>
      </c>
      <c r="B2101" s="215">
        <f t="shared" si="96"/>
        <v>45790</v>
      </c>
      <c r="C2101" s="213" t="s">
        <v>4379</v>
      </c>
      <c r="D2101" s="213" t="s">
        <v>4369</v>
      </c>
      <c r="E2101" s="213" t="s">
        <v>4380</v>
      </c>
      <c r="F2101" s="212" t="s">
        <v>6515</v>
      </c>
      <c r="G2101" s="212" t="str">
        <f t="shared" si="97"/>
        <v>812여비교통비(판)</v>
      </c>
      <c r="H2101" s="214">
        <v>600</v>
      </c>
      <c r="I2101" s="214">
        <v>0</v>
      </c>
      <c r="J2101" s="214">
        <f t="shared" si="98"/>
        <v>-600</v>
      </c>
      <c r="K2101" s="212" t="s">
        <v>6305</v>
      </c>
      <c r="L2101" s="213"/>
      <c r="M2101" s="212"/>
    </row>
    <row r="2102" spans="1:13" ht="21" customHeight="1">
      <c r="A2102" s="213" t="s">
        <v>6633</v>
      </c>
      <c r="B2102" s="215">
        <f t="shared" si="96"/>
        <v>45790</v>
      </c>
      <c r="C2102" s="213" t="s">
        <v>4379</v>
      </c>
      <c r="D2102" s="213" t="s">
        <v>4366</v>
      </c>
      <c r="E2102" s="213" t="s">
        <v>333</v>
      </c>
      <c r="F2102" s="212" t="s">
        <v>4365</v>
      </c>
      <c r="G2102" s="212" t="str">
        <f t="shared" si="97"/>
        <v>101현금</v>
      </c>
      <c r="H2102" s="214">
        <v>0</v>
      </c>
      <c r="I2102" s="214">
        <v>600</v>
      </c>
      <c r="J2102" s="214">
        <f t="shared" si="98"/>
        <v>600</v>
      </c>
      <c r="K2102" s="212" t="s">
        <v>6369</v>
      </c>
      <c r="L2102" s="213"/>
      <c r="M2102" s="212"/>
    </row>
    <row r="2103" spans="1:13" ht="21" customHeight="1">
      <c r="A2103" s="213" t="s">
        <v>6633</v>
      </c>
      <c r="B2103" s="215">
        <f t="shared" si="96"/>
        <v>45790</v>
      </c>
      <c r="C2103" s="213" t="s">
        <v>4385</v>
      </c>
      <c r="D2103" s="213" t="s">
        <v>4369</v>
      </c>
      <c r="E2103" s="213" t="s">
        <v>4380</v>
      </c>
      <c r="F2103" s="212" t="s">
        <v>6515</v>
      </c>
      <c r="G2103" s="212" t="str">
        <f t="shared" si="97"/>
        <v>812여비교통비(판)</v>
      </c>
      <c r="H2103" s="214">
        <v>1800</v>
      </c>
      <c r="I2103" s="214">
        <v>0</v>
      </c>
      <c r="J2103" s="214">
        <f t="shared" si="98"/>
        <v>-1800</v>
      </c>
      <c r="K2103" s="212" t="s">
        <v>6335</v>
      </c>
      <c r="L2103" s="213"/>
      <c r="M2103" s="212"/>
    </row>
    <row r="2104" spans="1:13" ht="21" customHeight="1">
      <c r="A2104" s="213" t="s">
        <v>6633</v>
      </c>
      <c r="B2104" s="215">
        <f t="shared" si="96"/>
        <v>45790</v>
      </c>
      <c r="C2104" s="213" t="s">
        <v>4385</v>
      </c>
      <c r="D2104" s="213" t="s">
        <v>4366</v>
      </c>
      <c r="E2104" s="213" t="s">
        <v>333</v>
      </c>
      <c r="F2104" s="212" t="s">
        <v>4365</v>
      </c>
      <c r="G2104" s="212" t="str">
        <f t="shared" si="97"/>
        <v>101현금</v>
      </c>
      <c r="H2104" s="214">
        <v>0</v>
      </c>
      <c r="I2104" s="214">
        <v>1800</v>
      </c>
      <c r="J2104" s="214">
        <f t="shared" si="98"/>
        <v>1800</v>
      </c>
      <c r="K2104" s="212" t="s">
        <v>6369</v>
      </c>
      <c r="L2104" s="213"/>
      <c r="M2104" s="212"/>
    </row>
    <row r="2105" spans="1:13" ht="21" customHeight="1">
      <c r="A2105" s="213" t="s">
        <v>6633</v>
      </c>
      <c r="B2105" s="215">
        <f t="shared" si="96"/>
        <v>45790</v>
      </c>
      <c r="C2105" s="213" t="s">
        <v>4501</v>
      </c>
      <c r="D2105" s="213" t="s">
        <v>4369</v>
      </c>
      <c r="E2105" s="213" t="s">
        <v>4380</v>
      </c>
      <c r="F2105" s="212" t="s">
        <v>6515</v>
      </c>
      <c r="G2105" s="212" t="str">
        <f t="shared" si="97"/>
        <v>812여비교통비(판)</v>
      </c>
      <c r="H2105" s="214">
        <v>2500</v>
      </c>
      <c r="I2105" s="214">
        <v>0</v>
      </c>
      <c r="J2105" s="214">
        <f t="shared" si="98"/>
        <v>-2500</v>
      </c>
      <c r="K2105" s="212" t="s">
        <v>6335</v>
      </c>
      <c r="L2105" s="213"/>
      <c r="M2105" s="212"/>
    </row>
    <row r="2106" spans="1:13" ht="21" customHeight="1">
      <c r="A2106" s="213" t="s">
        <v>6633</v>
      </c>
      <c r="B2106" s="215">
        <f t="shared" si="96"/>
        <v>45790</v>
      </c>
      <c r="C2106" s="213" t="s">
        <v>4501</v>
      </c>
      <c r="D2106" s="213" t="s">
        <v>4366</v>
      </c>
      <c r="E2106" s="213" t="s">
        <v>333</v>
      </c>
      <c r="F2106" s="212" t="s">
        <v>4365</v>
      </c>
      <c r="G2106" s="212" t="str">
        <f t="shared" si="97"/>
        <v>101현금</v>
      </c>
      <c r="H2106" s="214">
        <v>0</v>
      </c>
      <c r="I2106" s="214">
        <v>2500</v>
      </c>
      <c r="J2106" s="214">
        <f t="shared" si="98"/>
        <v>2500</v>
      </c>
      <c r="K2106" s="212" t="s">
        <v>6369</v>
      </c>
      <c r="L2106" s="213"/>
      <c r="M2106" s="212"/>
    </row>
    <row r="2107" spans="1:13" ht="21" customHeight="1">
      <c r="A2107" s="213" t="s">
        <v>6633</v>
      </c>
      <c r="B2107" s="215">
        <f t="shared" si="96"/>
        <v>45790</v>
      </c>
      <c r="C2107" s="213" t="s">
        <v>4367</v>
      </c>
      <c r="D2107" s="213" t="s">
        <v>4366</v>
      </c>
      <c r="E2107" s="213" t="s">
        <v>6176</v>
      </c>
      <c r="F2107" s="212" t="s">
        <v>6177</v>
      </c>
      <c r="G2107" s="212" t="str">
        <f t="shared" si="97"/>
        <v>255부가세예수금</v>
      </c>
      <c r="H2107" s="214">
        <v>0</v>
      </c>
      <c r="I2107" s="214">
        <v>10000</v>
      </c>
      <c r="J2107" s="214">
        <f t="shared" si="98"/>
        <v>10000</v>
      </c>
      <c r="K2107" s="212" t="s">
        <v>6261</v>
      </c>
      <c r="L2107" s="213"/>
      <c r="M2107" s="212" t="s">
        <v>6185</v>
      </c>
    </row>
    <row r="2108" spans="1:13" ht="21" customHeight="1">
      <c r="A2108" s="213" t="s">
        <v>6633</v>
      </c>
      <c r="B2108" s="215">
        <f t="shared" si="96"/>
        <v>45790</v>
      </c>
      <c r="C2108" s="213" t="s">
        <v>4367</v>
      </c>
      <c r="D2108" s="213" t="s">
        <v>4366</v>
      </c>
      <c r="E2108" s="213" t="s">
        <v>334</v>
      </c>
      <c r="F2108" s="212" t="s">
        <v>6158</v>
      </c>
      <c r="G2108" s="212" t="str">
        <f t="shared" si="97"/>
        <v>401용역매출</v>
      </c>
      <c r="H2108" s="214">
        <v>0</v>
      </c>
      <c r="I2108" s="214">
        <v>100000</v>
      </c>
      <c r="J2108" s="214">
        <f t="shared" si="98"/>
        <v>100000</v>
      </c>
      <c r="K2108" s="212" t="s">
        <v>6261</v>
      </c>
      <c r="L2108" s="213"/>
      <c r="M2108" s="212" t="s">
        <v>6185</v>
      </c>
    </row>
    <row r="2109" spans="1:13" ht="21" customHeight="1">
      <c r="A2109" s="213" t="s">
        <v>6633</v>
      </c>
      <c r="B2109" s="215">
        <f t="shared" si="96"/>
        <v>45790</v>
      </c>
      <c r="C2109" s="213" t="s">
        <v>4367</v>
      </c>
      <c r="D2109" s="213" t="s">
        <v>4369</v>
      </c>
      <c r="E2109" s="213" t="s">
        <v>333</v>
      </c>
      <c r="F2109" s="212" t="s">
        <v>4365</v>
      </c>
      <c r="G2109" s="212" t="str">
        <f t="shared" si="97"/>
        <v>101현금</v>
      </c>
      <c r="H2109" s="214">
        <v>110000</v>
      </c>
      <c r="I2109" s="214">
        <v>0</v>
      </c>
      <c r="J2109" s="214">
        <f t="shared" si="98"/>
        <v>-110000</v>
      </c>
      <c r="K2109" s="212" t="s">
        <v>6261</v>
      </c>
      <c r="L2109" s="213"/>
      <c r="M2109" s="212" t="s">
        <v>6185</v>
      </c>
    </row>
    <row r="2110" spans="1:13" ht="21" customHeight="1">
      <c r="A2110" s="213" t="s">
        <v>6633</v>
      </c>
      <c r="B2110" s="215">
        <f t="shared" si="96"/>
        <v>45790</v>
      </c>
      <c r="C2110" s="213" t="s">
        <v>4374</v>
      </c>
      <c r="D2110" s="213" t="s">
        <v>4366</v>
      </c>
      <c r="E2110" s="213" t="s">
        <v>6176</v>
      </c>
      <c r="F2110" s="212" t="s">
        <v>6177</v>
      </c>
      <c r="G2110" s="212" t="str">
        <f t="shared" si="97"/>
        <v>255부가세예수금</v>
      </c>
      <c r="H2110" s="214">
        <v>0</v>
      </c>
      <c r="I2110" s="214">
        <v>15000</v>
      </c>
      <c r="J2110" s="214">
        <f t="shared" si="98"/>
        <v>15000</v>
      </c>
      <c r="K2110" s="212" t="s">
        <v>6260</v>
      </c>
      <c r="L2110" s="213"/>
      <c r="M2110" s="212" t="s">
        <v>6179</v>
      </c>
    </row>
    <row r="2111" spans="1:13" ht="21" customHeight="1">
      <c r="A2111" s="213" t="s">
        <v>6633</v>
      </c>
      <c r="B2111" s="215">
        <f t="shared" si="96"/>
        <v>45790</v>
      </c>
      <c r="C2111" s="213" t="s">
        <v>4374</v>
      </c>
      <c r="D2111" s="213" t="s">
        <v>4366</v>
      </c>
      <c r="E2111" s="213" t="s">
        <v>334</v>
      </c>
      <c r="F2111" s="212" t="s">
        <v>6158</v>
      </c>
      <c r="G2111" s="212" t="str">
        <f t="shared" si="97"/>
        <v>401용역매출</v>
      </c>
      <c r="H2111" s="214">
        <v>0</v>
      </c>
      <c r="I2111" s="214">
        <v>150000</v>
      </c>
      <c r="J2111" s="214">
        <f t="shared" si="98"/>
        <v>150000</v>
      </c>
      <c r="K2111" s="212" t="s">
        <v>6260</v>
      </c>
      <c r="L2111" s="213"/>
      <c r="M2111" s="212" t="s">
        <v>6179</v>
      </c>
    </row>
    <row r="2112" spans="1:13" ht="21" customHeight="1">
      <c r="A2112" s="213" t="s">
        <v>6633</v>
      </c>
      <c r="B2112" s="215">
        <f t="shared" si="96"/>
        <v>45790</v>
      </c>
      <c r="C2112" s="213" t="s">
        <v>4374</v>
      </c>
      <c r="D2112" s="213" t="s">
        <v>4369</v>
      </c>
      <c r="E2112" s="213" t="s">
        <v>333</v>
      </c>
      <c r="F2112" s="212" t="s">
        <v>4365</v>
      </c>
      <c r="G2112" s="212" t="str">
        <f t="shared" si="97"/>
        <v>101현금</v>
      </c>
      <c r="H2112" s="214">
        <v>165000</v>
      </c>
      <c r="I2112" s="214">
        <v>0</v>
      </c>
      <c r="J2112" s="214">
        <f t="shared" si="98"/>
        <v>-165000</v>
      </c>
      <c r="K2112" s="212" t="s">
        <v>6260</v>
      </c>
      <c r="L2112" s="213"/>
      <c r="M2112" s="212" t="s">
        <v>6179</v>
      </c>
    </row>
    <row r="2113" spans="1:13" ht="21" customHeight="1">
      <c r="A2113" s="213" t="s">
        <v>6633</v>
      </c>
      <c r="B2113" s="215">
        <f t="shared" si="96"/>
        <v>45790</v>
      </c>
      <c r="C2113" s="213" t="s">
        <v>6182</v>
      </c>
      <c r="D2113" s="213" t="s">
        <v>4366</v>
      </c>
      <c r="E2113" s="213" t="s">
        <v>6176</v>
      </c>
      <c r="F2113" s="212" t="s">
        <v>6177</v>
      </c>
      <c r="G2113" s="212" t="str">
        <f t="shared" si="97"/>
        <v>255부가세예수금</v>
      </c>
      <c r="H2113" s="214">
        <v>0</v>
      </c>
      <c r="I2113" s="214">
        <v>10000</v>
      </c>
      <c r="J2113" s="214">
        <f t="shared" si="98"/>
        <v>10000</v>
      </c>
      <c r="K2113" s="212" t="s">
        <v>6264</v>
      </c>
      <c r="L2113" s="213"/>
      <c r="M2113" s="212" t="s">
        <v>6185</v>
      </c>
    </row>
    <row r="2114" spans="1:13" ht="21" customHeight="1">
      <c r="A2114" s="213" t="s">
        <v>6633</v>
      </c>
      <c r="B2114" s="215">
        <f t="shared" ref="B2114:B2177" si="99">DATEVALUE(A2114)</f>
        <v>45790</v>
      </c>
      <c r="C2114" s="213" t="s">
        <v>6182</v>
      </c>
      <c r="D2114" s="213" t="s">
        <v>4366</v>
      </c>
      <c r="E2114" s="213" t="s">
        <v>334</v>
      </c>
      <c r="F2114" s="212" t="s">
        <v>6158</v>
      </c>
      <c r="G2114" s="212" t="str">
        <f t="shared" ref="G2114:G2177" si="100">E2114&amp;F2114</f>
        <v>401용역매출</v>
      </c>
      <c r="H2114" s="214">
        <v>0</v>
      </c>
      <c r="I2114" s="214">
        <v>100000</v>
      </c>
      <c r="J2114" s="214">
        <f t="shared" ref="J2114:J2177" si="101">I2114-H2114</f>
        <v>100000</v>
      </c>
      <c r="K2114" s="212" t="s">
        <v>6264</v>
      </c>
      <c r="L2114" s="213"/>
      <c r="M2114" s="212" t="s">
        <v>6185</v>
      </c>
    </row>
    <row r="2115" spans="1:13" ht="21" customHeight="1">
      <c r="A2115" s="213" t="s">
        <v>6633</v>
      </c>
      <c r="B2115" s="215">
        <f t="shared" si="99"/>
        <v>45790</v>
      </c>
      <c r="C2115" s="213" t="s">
        <v>6182</v>
      </c>
      <c r="D2115" s="213" t="s">
        <v>4369</v>
      </c>
      <c r="E2115" s="213" t="s">
        <v>333</v>
      </c>
      <c r="F2115" s="212" t="s">
        <v>4365</v>
      </c>
      <c r="G2115" s="212" t="str">
        <f t="shared" si="100"/>
        <v>101현금</v>
      </c>
      <c r="H2115" s="214">
        <v>110000</v>
      </c>
      <c r="I2115" s="214">
        <v>0</v>
      </c>
      <c r="J2115" s="214">
        <f t="shared" si="101"/>
        <v>-110000</v>
      </c>
      <c r="K2115" s="212" t="s">
        <v>6264</v>
      </c>
      <c r="L2115" s="213"/>
      <c r="M2115" s="212" t="s">
        <v>6185</v>
      </c>
    </row>
    <row r="2116" spans="1:13" ht="21" customHeight="1">
      <c r="A2116" s="213" t="s">
        <v>6633</v>
      </c>
      <c r="B2116" s="215">
        <f t="shared" si="99"/>
        <v>45790</v>
      </c>
      <c r="C2116" s="213" t="s">
        <v>6184</v>
      </c>
      <c r="D2116" s="213" t="s">
        <v>4366</v>
      </c>
      <c r="E2116" s="213" t="s">
        <v>6176</v>
      </c>
      <c r="F2116" s="212" t="s">
        <v>6177</v>
      </c>
      <c r="G2116" s="212" t="str">
        <f t="shared" si="100"/>
        <v>255부가세예수금</v>
      </c>
      <c r="H2116" s="214">
        <v>0</v>
      </c>
      <c r="I2116" s="214">
        <v>20000</v>
      </c>
      <c r="J2116" s="214">
        <f t="shared" si="101"/>
        <v>20000</v>
      </c>
      <c r="K2116" s="212" t="s">
        <v>6263</v>
      </c>
      <c r="L2116" s="213"/>
      <c r="M2116" s="212" t="s">
        <v>6231</v>
      </c>
    </row>
    <row r="2117" spans="1:13" ht="21" customHeight="1">
      <c r="A2117" s="213" t="s">
        <v>6633</v>
      </c>
      <c r="B2117" s="215">
        <f t="shared" si="99"/>
        <v>45790</v>
      </c>
      <c r="C2117" s="213" t="s">
        <v>6184</v>
      </c>
      <c r="D2117" s="213" t="s">
        <v>4366</v>
      </c>
      <c r="E2117" s="213" t="s">
        <v>334</v>
      </c>
      <c r="F2117" s="212" t="s">
        <v>6158</v>
      </c>
      <c r="G2117" s="212" t="str">
        <f t="shared" si="100"/>
        <v>401용역매출</v>
      </c>
      <c r="H2117" s="214">
        <v>0</v>
      </c>
      <c r="I2117" s="214">
        <v>200000</v>
      </c>
      <c r="J2117" s="214">
        <f t="shared" si="101"/>
        <v>200000</v>
      </c>
      <c r="K2117" s="212" t="s">
        <v>6263</v>
      </c>
      <c r="L2117" s="213"/>
      <c r="M2117" s="212" t="s">
        <v>6231</v>
      </c>
    </row>
    <row r="2118" spans="1:13" ht="21" customHeight="1">
      <c r="A2118" s="213" t="s">
        <v>6633</v>
      </c>
      <c r="B2118" s="215">
        <f t="shared" si="99"/>
        <v>45790</v>
      </c>
      <c r="C2118" s="213" t="s">
        <v>6184</v>
      </c>
      <c r="D2118" s="213" t="s">
        <v>4369</v>
      </c>
      <c r="E2118" s="213" t="s">
        <v>333</v>
      </c>
      <c r="F2118" s="212" t="s">
        <v>4365</v>
      </c>
      <c r="G2118" s="212" t="str">
        <f t="shared" si="100"/>
        <v>101현금</v>
      </c>
      <c r="H2118" s="214">
        <v>220000</v>
      </c>
      <c r="I2118" s="214">
        <v>0</v>
      </c>
      <c r="J2118" s="214">
        <f t="shared" si="101"/>
        <v>-220000</v>
      </c>
      <c r="K2118" s="212" t="s">
        <v>6263</v>
      </c>
      <c r="L2118" s="213"/>
      <c r="M2118" s="212" t="s">
        <v>6231</v>
      </c>
    </row>
    <row r="2119" spans="1:13" ht="21" customHeight="1">
      <c r="A2119" s="213" t="s">
        <v>6633</v>
      </c>
      <c r="B2119" s="215">
        <f t="shared" si="99"/>
        <v>45790</v>
      </c>
      <c r="C2119" s="213" t="s">
        <v>6186</v>
      </c>
      <c r="D2119" s="213" t="s">
        <v>4366</v>
      </c>
      <c r="E2119" s="213" t="s">
        <v>6176</v>
      </c>
      <c r="F2119" s="212" t="s">
        <v>6177</v>
      </c>
      <c r="G2119" s="212" t="str">
        <f t="shared" si="100"/>
        <v>255부가세예수금</v>
      </c>
      <c r="H2119" s="214">
        <v>0</v>
      </c>
      <c r="I2119" s="214">
        <v>10000</v>
      </c>
      <c r="J2119" s="214">
        <f t="shared" si="101"/>
        <v>10000</v>
      </c>
      <c r="K2119" s="212" t="s">
        <v>6262</v>
      </c>
      <c r="L2119" s="213"/>
      <c r="M2119" s="212" t="s">
        <v>6185</v>
      </c>
    </row>
    <row r="2120" spans="1:13" ht="21" customHeight="1">
      <c r="A2120" s="213" t="s">
        <v>6633</v>
      </c>
      <c r="B2120" s="215">
        <f t="shared" si="99"/>
        <v>45790</v>
      </c>
      <c r="C2120" s="213" t="s">
        <v>6186</v>
      </c>
      <c r="D2120" s="213" t="s">
        <v>4366</v>
      </c>
      <c r="E2120" s="213" t="s">
        <v>334</v>
      </c>
      <c r="F2120" s="212" t="s">
        <v>6158</v>
      </c>
      <c r="G2120" s="212" t="str">
        <f t="shared" si="100"/>
        <v>401용역매출</v>
      </c>
      <c r="H2120" s="214">
        <v>0</v>
      </c>
      <c r="I2120" s="214">
        <v>100000</v>
      </c>
      <c r="J2120" s="214">
        <f t="shared" si="101"/>
        <v>100000</v>
      </c>
      <c r="K2120" s="212" t="s">
        <v>6262</v>
      </c>
      <c r="L2120" s="213"/>
      <c r="M2120" s="212" t="s">
        <v>6185</v>
      </c>
    </row>
    <row r="2121" spans="1:13" ht="21" customHeight="1">
      <c r="A2121" s="213" t="s">
        <v>6633</v>
      </c>
      <c r="B2121" s="215">
        <f t="shared" si="99"/>
        <v>45790</v>
      </c>
      <c r="C2121" s="213" t="s">
        <v>6186</v>
      </c>
      <c r="D2121" s="213" t="s">
        <v>4369</v>
      </c>
      <c r="E2121" s="213" t="s">
        <v>333</v>
      </c>
      <c r="F2121" s="212" t="s">
        <v>4365</v>
      </c>
      <c r="G2121" s="212" t="str">
        <f t="shared" si="100"/>
        <v>101현금</v>
      </c>
      <c r="H2121" s="214">
        <v>110000</v>
      </c>
      <c r="I2121" s="214">
        <v>0</v>
      </c>
      <c r="J2121" s="214">
        <f t="shared" si="101"/>
        <v>-110000</v>
      </c>
      <c r="K2121" s="212" t="s">
        <v>6262</v>
      </c>
      <c r="L2121" s="213"/>
      <c r="M2121" s="212" t="s">
        <v>6185</v>
      </c>
    </row>
    <row r="2122" spans="1:13" ht="21" customHeight="1">
      <c r="A2122" s="213" t="s">
        <v>6633</v>
      </c>
      <c r="B2122" s="215">
        <f t="shared" si="99"/>
        <v>45790</v>
      </c>
      <c r="C2122" s="213" t="s">
        <v>6189</v>
      </c>
      <c r="D2122" s="213" t="s">
        <v>4366</v>
      </c>
      <c r="E2122" s="213" t="s">
        <v>6176</v>
      </c>
      <c r="F2122" s="212" t="s">
        <v>6177</v>
      </c>
      <c r="G2122" s="212" t="str">
        <f t="shared" si="100"/>
        <v>255부가세예수금</v>
      </c>
      <c r="H2122" s="214">
        <v>0</v>
      </c>
      <c r="I2122" s="214">
        <v>7000</v>
      </c>
      <c r="J2122" s="214">
        <f t="shared" si="101"/>
        <v>7000</v>
      </c>
      <c r="K2122" s="212" t="s">
        <v>6259</v>
      </c>
      <c r="L2122" s="213"/>
      <c r="M2122" s="212" t="s">
        <v>6287</v>
      </c>
    </row>
    <row r="2123" spans="1:13" ht="21" customHeight="1">
      <c r="A2123" s="213" t="s">
        <v>6633</v>
      </c>
      <c r="B2123" s="215">
        <f t="shared" si="99"/>
        <v>45790</v>
      </c>
      <c r="C2123" s="213" t="s">
        <v>6189</v>
      </c>
      <c r="D2123" s="213" t="s">
        <v>4366</v>
      </c>
      <c r="E2123" s="213" t="s">
        <v>334</v>
      </c>
      <c r="F2123" s="212" t="s">
        <v>6158</v>
      </c>
      <c r="G2123" s="212" t="str">
        <f t="shared" si="100"/>
        <v>401용역매출</v>
      </c>
      <c r="H2123" s="214">
        <v>0</v>
      </c>
      <c r="I2123" s="214">
        <v>70000</v>
      </c>
      <c r="J2123" s="214">
        <f t="shared" si="101"/>
        <v>70000</v>
      </c>
      <c r="K2123" s="212" t="s">
        <v>6259</v>
      </c>
      <c r="L2123" s="213"/>
      <c r="M2123" s="212" t="s">
        <v>6287</v>
      </c>
    </row>
    <row r="2124" spans="1:13" ht="21" customHeight="1">
      <c r="A2124" s="213" t="s">
        <v>6633</v>
      </c>
      <c r="B2124" s="215">
        <f t="shared" si="99"/>
        <v>45790</v>
      </c>
      <c r="C2124" s="213" t="s">
        <v>6189</v>
      </c>
      <c r="D2124" s="213" t="s">
        <v>4369</v>
      </c>
      <c r="E2124" s="213" t="s">
        <v>333</v>
      </c>
      <c r="F2124" s="212" t="s">
        <v>4365</v>
      </c>
      <c r="G2124" s="212" t="str">
        <f t="shared" si="100"/>
        <v>101현금</v>
      </c>
      <c r="H2124" s="214">
        <v>77000</v>
      </c>
      <c r="I2124" s="214">
        <v>0</v>
      </c>
      <c r="J2124" s="214">
        <f t="shared" si="101"/>
        <v>-77000</v>
      </c>
      <c r="K2124" s="212" t="s">
        <v>6259</v>
      </c>
      <c r="L2124" s="213"/>
      <c r="M2124" s="212" t="s">
        <v>6287</v>
      </c>
    </row>
    <row r="2125" spans="1:13" ht="21" customHeight="1">
      <c r="A2125" s="213" t="s">
        <v>6633</v>
      </c>
      <c r="B2125" s="215">
        <f t="shared" si="99"/>
        <v>45790</v>
      </c>
      <c r="C2125" s="213" t="s">
        <v>6191</v>
      </c>
      <c r="D2125" s="213" t="s">
        <v>4366</v>
      </c>
      <c r="E2125" s="213" t="s">
        <v>6176</v>
      </c>
      <c r="F2125" s="212" t="s">
        <v>6177</v>
      </c>
      <c r="G2125" s="212" t="str">
        <f t="shared" si="100"/>
        <v>255부가세예수금</v>
      </c>
      <c r="H2125" s="214">
        <v>0</v>
      </c>
      <c r="I2125" s="214">
        <v>10000</v>
      </c>
      <c r="J2125" s="214">
        <f t="shared" si="101"/>
        <v>10000</v>
      </c>
      <c r="K2125" s="212" t="s">
        <v>6408</v>
      </c>
      <c r="L2125" s="213"/>
      <c r="M2125" s="212" t="s">
        <v>6185</v>
      </c>
    </row>
    <row r="2126" spans="1:13" ht="21" customHeight="1">
      <c r="A2126" s="213" t="s">
        <v>6633</v>
      </c>
      <c r="B2126" s="215">
        <f t="shared" si="99"/>
        <v>45790</v>
      </c>
      <c r="C2126" s="213" t="s">
        <v>6191</v>
      </c>
      <c r="D2126" s="213" t="s">
        <v>4366</v>
      </c>
      <c r="E2126" s="213" t="s">
        <v>334</v>
      </c>
      <c r="F2126" s="212" t="s">
        <v>6158</v>
      </c>
      <c r="G2126" s="212" t="str">
        <f t="shared" si="100"/>
        <v>401용역매출</v>
      </c>
      <c r="H2126" s="214">
        <v>0</v>
      </c>
      <c r="I2126" s="214">
        <v>100000</v>
      </c>
      <c r="J2126" s="214">
        <f t="shared" si="101"/>
        <v>100000</v>
      </c>
      <c r="K2126" s="212" t="s">
        <v>6408</v>
      </c>
      <c r="L2126" s="213"/>
      <c r="M2126" s="212" t="s">
        <v>6185</v>
      </c>
    </row>
    <row r="2127" spans="1:13" ht="21" customHeight="1">
      <c r="A2127" s="213" t="s">
        <v>6633</v>
      </c>
      <c r="B2127" s="215">
        <f t="shared" si="99"/>
        <v>45790</v>
      </c>
      <c r="C2127" s="213" t="s">
        <v>6191</v>
      </c>
      <c r="D2127" s="213" t="s">
        <v>4369</v>
      </c>
      <c r="E2127" s="213" t="s">
        <v>333</v>
      </c>
      <c r="F2127" s="212" t="s">
        <v>4365</v>
      </c>
      <c r="G2127" s="212" t="str">
        <f t="shared" si="100"/>
        <v>101현금</v>
      </c>
      <c r="H2127" s="214">
        <v>110000</v>
      </c>
      <c r="I2127" s="214">
        <v>0</v>
      </c>
      <c r="J2127" s="214">
        <f t="shared" si="101"/>
        <v>-110000</v>
      </c>
      <c r="K2127" s="212" t="s">
        <v>6408</v>
      </c>
      <c r="L2127" s="213"/>
      <c r="M2127" s="212" t="s">
        <v>6185</v>
      </c>
    </row>
    <row r="2128" spans="1:13" ht="21" customHeight="1">
      <c r="A2128" s="213" t="s">
        <v>6633</v>
      </c>
      <c r="B2128" s="215">
        <f t="shared" si="99"/>
        <v>45790</v>
      </c>
      <c r="C2128" s="213" t="s">
        <v>6216</v>
      </c>
      <c r="D2128" s="213" t="s">
        <v>4366</v>
      </c>
      <c r="E2128" s="213" t="s">
        <v>6176</v>
      </c>
      <c r="F2128" s="212" t="s">
        <v>6177</v>
      </c>
      <c r="G2128" s="212" t="str">
        <f t="shared" si="100"/>
        <v>255부가세예수금</v>
      </c>
      <c r="H2128" s="214">
        <v>0</v>
      </c>
      <c r="I2128" s="214">
        <v>12000</v>
      </c>
      <c r="J2128" s="214">
        <f t="shared" si="101"/>
        <v>12000</v>
      </c>
      <c r="K2128" s="212" t="s">
        <v>6309</v>
      </c>
      <c r="L2128" s="213"/>
      <c r="M2128" s="212" t="s">
        <v>6225</v>
      </c>
    </row>
    <row r="2129" spans="1:13" ht="21" customHeight="1">
      <c r="A2129" s="213" t="s">
        <v>6633</v>
      </c>
      <c r="B2129" s="215">
        <f t="shared" si="99"/>
        <v>45790</v>
      </c>
      <c r="C2129" s="213" t="s">
        <v>6216</v>
      </c>
      <c r="D2129" s="213" t="s">
        <v>4366</v>
      </c>
      <c r="E2129" s="213" t="s">
        <v>334</v>
      </c>
      <c r="F2129" s="212" t="s">
        <v>6158</v>
      </c>
      <c r="G2129" s="212" t="str">
        <f t="shared" si="100"/>
        <v>401용역매출</v>
      </c>
      <c r="H2129" s="214">
        <v>0</v>
      </c>
      <c r="I2129" s="214">
        <v>120000</v>
      </c>
      <c r="J2129" s="214">
        <f t="shared" si="101"/>
        <v>120000</v>
      </c>
      <c r="K2129" s="212" t="s">
        <v>6309</v>
      </c>
      <c r="L2129" s="213"/>
      <c r="M2129" s="212" t="s">
        <v>6225</v>
      </c>
    </row>
    <row r="2130" spans="1:13" ht="21" customHeight="1">
      <c r="A2130" s="213" t="s">
        <v>6633</v>
      </c>
      <c r="B2130" s="215">
        <f t="shared" si="99"/>
        <v>45790</v>
      </c>
      <c r="C2130" s="213" t="s">
        <v>6216</v>
      </c>
      <c r="D2130" s="213" t="s">
        <v>4369</v>
      </c>
      <c r="E2130" s="213" t="s">
        <v>333</v>
      </c>
      <c r="F2130" s="212" t="s">
        <v>4365</v>
      </c>
      <c r="G2130" s="212" t="str">
        <f t="shared" si="100"/>
        <v>101현금</v>
      </c>
      <c r="H2130" s="214">
        <v>132000</v>
      </c>
      <c r="I2130" s="214">
        <v>0</v>
      </c>
      <c r="J2130" s="214">
        <f t="shared" si="101"/>
        <v>-132000</v>
      </c>
      <c r="K2130" s="212" t="s">
        <v>6309</v>
      </c>
      <c r="L2130" s="213"/>
      <c r="M2130" s="212" t="s">
        <v>6225</v>
      </c>
    </row>
    <row r="2131" spans="1:13" ht="21" customHeight="1">
      <c r="A2131" s="213" t="s">
        <v>6633</v>
      </c>
      <c r="B2131" s="215">
        <f t="shared" si="99"/>
        <v>45790</v>
      </c>
      <c r="C2131" s="213" t="s">
        <v>6217</v>
      </c>
      <c r="D2131" s="213" t="s">
        <v>4366</v>
      </c>
      <c r="E2131" s="213" t="s">
        <v>6176</v>
      </c>
      <c r="F2131" s="212" t="s">
        <v>6177</v>
      </c>
      <c r="G2131" s="212" t="str">
        <f t="shared" si="100"/>
        <v>255부가세예수금</v>
      </c>
      <c r="H2131" s="214">
        <v>0</v>
      </c>
      <c r="I2131" s="214">
        <v>10000</v>
      </c>
      <c r="J2131" s="214">
        <f t="shared" si="101"/>
        <v>10000</v>
      </c>
      <c r="K2131" s="212" t="s">
        <v>6235</v>
      </c>
      <c r="L2131" s="213"/>
      <c r="M2131" s="212" t="s">
        <v>6185</v>
      </c>
    </row>
    <row r="2132" spans="1:13" ht="21" customHeight="1">
      <c r="A2132" s="213" t="s">
        <v>6633</v>
      </c>
      <c r="B2132" s="215">
        <f t="shared" si="99"/>
        <v>45790</v>
      </c>
      <c r="C2132" s="213" t="s">
        <v>6217</v>
      </c>
      <c r="D2132" s="213" t="s">
        <v>4366</v>
      </c>
      <c r="E2132" s="213" t="s">
        <v>334</v>
      </c>
      <c r="F2132" s="212" t="s">
        <v>6158</v>
      </c>
      <c r="G2132" s="212" t="str">
        <f t="shared" si="100"/>
        <v>401용역매출</v>
      </c>
      <c r="H2132" s="214">
        <v>0</v>
      </c>
      <c r="I2132" s="214">
        <v>100000</v>
      </c>
      <c r="J2132" s="214">
        <f t="shared" si="101"/>
        <v>100000</v>
      </c>
      <c r="K2132" s="212" t="s">
        <v>6235</v>
      </c>
      <c r="L2132" s="213"/>
      <c r="M2132" s="212" t="s">
        <v>6185</v>
      </c>
    </row>
    <row r="2133" spans="1:13" ht="21" customHeight="1">
      <c r="A2133" s="213" t="s">
        <v>6633</v>
      </c>
      <c r="B2133" s="215">
        <f t="shared" si="99"/>
        <v>45790</v>
      </c>
      <c r="C2133" s="213" t="s">
        <v>6217</v>
      </c>
      <c r="D2133" s="213" t="s">
        <v>4369</v>
      </c>
      <c r="E2133" s="213" t="s">
        <v>333</v>
      </c>
      <c r="F2133" s="212" t="s">
        <v>4365</v>
      </c>
      <c r="G2133" s="212" t="str">
        <f t="shared" si="100"/>
        <v>101현금</v>
      </c>
      <c r="H2133" s="214">
        <v>110000</v>
      </c>
      <c r="I2133" s="214">
        <v>0</v>
      </c>
      <c r="J2133" s="214">
        <f t="shared" si="101"/>
        <v>-110000</v>
      </c>
      <c r="K2133" s="212" t="s">
        <v>6235</v>
      </c>
      <c r="L2133" s="213"/>
      <c r="M2133" s="212" t="s">
        <v>6185</v>
      </c>
    </row>
    <row r="2134" spans="1:13" ht="21" customHeight="1">
      <c r="A2134" s="213" t="s">
        <v>6632</v>
      </c>
      <c r="B2134" s="215">
        <f t="shared" si="99"/>
        <v>45791</v>
      </c>
      <c r="C2134" s="213" t="s">
        <v>4373</v>
      </c>
      <c r="D2134" s="213" t="s">
        <v>4369</v>
      </c>
      <c r="E2134" s="213" t="s">
        <v>4499</v>
      </c>
      <c r="F2134" s="212" t="s">
        <v>6517</v>
      </c>
      <c r="G2134" s="212" t="str">
        <f t="shared" si="100"/>
        <v>811복리후생비(판)</v>
      </c>
      <c r="H2134" s="214">
        <v>7050</v>
      </c>
      <c r="I2134" s="214">
        <v>0</v>
      </c>
      <c r="J2134" s="214">
        <f t="shared" si="101"/>
        <v>-7050</v>
      </c>
      <c r="K2134" s="212" t="s">
        <v>6192</v>
      </c>
      <c r="L2134" s="213"/>
      <c r="M2134" s="212"/>
    </row>
    <row r="2135" spans="1:13" ht="21" customHeight="1">
      <c r="A2135" s="213" t="s">
        <v>6632</v>
      </c>
      <c r="B2135" s="215">
        <f t="shared" si="99"/>
        <v>45791</v>
      </c>
      <c r="C2135" s="213" t="s">
        <v>4373</v>
      </c>
      <c r="D2135" s="213" t="s">
        <v>4366</v>
      </c>
      <c r="E2135" s="213" t="s">
        <v>333</v>
      </c>
      <c r="F2135" s="212" t="s">
        <v>4365</v>
      </c>
      <c r="G2135" s="212" t="str">
        <f t="shared" si="100"/>
        <v>101현금</v>
      </c>
      <c r="H2135" s="214">
        <v>0</v>
      </c>
      <c r="I2135" s="214">
        <v>7050</v>
      </c>
      <c r="J2135" s="214">
        <f t="shared" si="101"/>
        <v>7050</v>
      </c>
      <c r="K2135" s="212" t="s">
        <v>6369</v>
      </c>
      <c r="L2135" s="213"/>
      <c r="M2135" s="212"/>
    </row>
    <row r="2136" spans="1:13" ht="21" customHeight="1">
      <c r="A2136" s="213" t="s">
        <v>6632</v>
      </c>
      <c r="B2136" s="215">
        <f t="shared" si="99"/>
        <v>45791</v>
      </c>
      <c r="C2136" s="213" t="s">
        <v>4382</v>
      </c>
      <c r="D2136" s="213" t="s">
        <v>4369</v>
      </c>
      <c r="E2136" s="213" t="s">
        <v>4499</v>
      </c>
      <c r="F2136" s="212" t="s">
        <v>6517</v>
      </c>
      <c r="G2136" s="212" t="str">
        <f t="shared" si="100"/>
        <v>811복리후생비(판)</v>
      </c>
      <c r="H2136" s="214">
        <v>16000</v>
      </c>
      <c r="I2136" s="214">
        <v>0</v>
      </c>
      <c r="J2136" s="214">
        <f t="shared" si="101"/>
        <v>-16000</v>
      </c>
      <c r="K2136" s="212" t="s">
        <v>6516</v>
      </c>
      <c r="L2136" s="213"/>
      <c r="M2136" s="212"/>
    </row>
    <row r="2137" spans="1:13" ht="21" customHeight="1">
      <c r="A2137" s="213" t="s">
        <v>6632</v>
      </c>
      <c r="B2137" s="215">
        <f t="shared" si="99"/>
        <v>45791</v>
      </c>
      <c r="C2137" s="213" t="s">
        <v>4382</v>
      </c>
      <c r="D2137" s="213" t="s">
        <v>4366</v>
      </c>
      <c r="E2137" s="213" t="s">
        <v>333</v>
      </c>
      <c r="F2137" s="212" t="s">
        <v>4365</v>
      </c>
      <c r="G2137" s="212" t="str">
        <f t="shared" si="100"/>
        <v>101현금</v>
      </c>
      <c r="H2137" s="214">
        <v>0</v>
      </c>
      <c r="I2137" s="214">
        <v>16000</v>
      </c>
      <c r="J2137" s="214">
        <f t="shared" si="101"/>
        <v>16000</v>
      </c>
      <c r="K2137" s="212" t="s">
        <v>6369</v>
      </c>
      <c r="L2137" s="213"/>
      <c r="M2137" s="212"/>
    </row>
    <row r="2138" spans="1:13" ht="21" customHeight="1">
      <c r="A2138" s="213" t="s">
        <v>6632</v>
      </c>
      <c r="B2138" s="215">
        <f t="shared" si="99"/>
        <v>45791</v>
      </c>
      <c r="C2138" s="213" t="s">
        <v>4367</v>
      </c>
      <c r="D2138" s="213" t="s">
        <v>4366</v>
      </c>
      <c r="E2138" s="213" t="s">
        <v>333</v>
      </c>
      <c r="F2138" s="212" t="s">
        <v>4365</v>
      </c>
      <c r="G2138" s="212" t="str">
        <f t="shared" si="100"/>
        <v>101현금</v>
      </c>
      <c r="H2138" s="214">
        <v>0</v>
      </c>
      <c r="I2138" s="214">
        <v>89910</v>
      </c>
      <c r="J2138" s="214">
        <f t="shared" si="101"/>
        <v>89910</v>
      </c>
      <c r="K2138" s="212" t="s">
        <v>6370</v>
      </c>
      <c r="L2138" s="213"/>
      <c r="M2138" s="212"/>
    </row>
    <row r="2139" spans="1:13" ht="21" customHeight="1">
      <c r="A2139" s="213" t="s">
        <v>6632</v>
      </c>
      <c r="B2139" s="215">
        <f t="shared" si="99"/>
        <v>45791</v>
      </c>
      <c r="C2139" s="213" t="s">
        <v>4367</v>
      </c>
      <c r="D2139" s="213" t="s">
        <v>4369</v>
      </c>
      <c r="E2139" s="213" t="s">
        <v>4383</v>
      </c>
      <c r="F2139" s="212" t="s">
        <v>6525</v>
      </c>
      <c r="G2139" s="212" t="str">
        <f t="shared" si="100"/>
        <v>830소모품비(판)</v>
      </c>
      <c r="H2139" s="214">
        <v>81737</v>
      </c>
      <c r="I2139" s="214">
        <v>0</v>
      </c>
      <c r="J2139" s="214">
        <f t="shared" si="101"/>
        <v>-81737</v>
      </c>
      <c r="K2139" s="212" t="s">
        <v>6174</v>
      </c>
      <c r="L2139" s="213" t="s">
        <v>6411</v>
      </c>
      <c r="M2139" s="212"/>
    </row>
    <row r="2140" spans="1:13" ht="21" customHeight="1">
      <c r="A2140" s="213" t="s">
        <v>6632</v>
      </c>
      <c r="B2140" s="215">
        <f t="shared" si="99"/>
        <v>45791</v>
      </c>
      <c r="C2140" s="213" t="s">
        <v>4367</v>
      </c>
      <c r="D2140" s="213" t="s">
        <v>4369</v>
      </c>
      <c r="E2140" s="213" t="s">
        <v>4371</v>
      </c>
      <c r="F2140" s="212" t="s">
        <v>4370</v>
      </c>
      <c r="G2140" s="212" t="str">
        <f t="shared" si="100"/>
        <v>135부가세대급금</v>
      </c>
      <c r="H2140" s="214">
        <v>8173</v>
      </c>
      <c r="I2140" s="214">
        <v>0</v>
      </c>
      <c r="J2140" s="214">
        <f t="shared" si="101"/>
        <v>-8173</v>
      </c>
      <c r="K2140" s="212" t="s">
        <v>6174</v>
      </c>
      <c r="L2140" s="213" t="s">
        <v>6411</v>
      </c>
      <c r="M2140" s="212"/>
    </row>
    <row r="2141" spans="1:13" ht="21" customHeight="1">
      <c r="A2141" s="213" t="s">
        <v>6629</v>
      </c>
      <c r="B2141" s="215">
        <f t="shared" si="99"/>
        <v>45792</v>
      </c>
      <c r="C2141" s="213" t="s">
        <v>4373</v>
      </c>
      <c r="D2141" s="213" t="s">
        <v>4369</v>
      </c>
      <c r="E2141" s="213" t="s">
        <v>4383</v>
      </c>
      <c r="F2141" s="212" t="s">
        <v>6525</v>
      </c>
      <c r="G2141" s="212" t="str">
        <f t="shared" si="100"/>
        <v>830소모품비(판)</v>
      </c>
      <c r="H2141" s="214">
        <v>3400</v>
      </c>
      <c r="I2141" s="214">
        <v>0</v>
      </c>
      <c r="J2141" s="214">
        <f t="shared" si="101"/>
        <v>-3400</v>
      </c>
      <c r="K2141" s="212" t="s">
        <v>6324</v>
      </c>
      <c r="L2141" s="213"/>
      <c r="M2141" s="212"/>
    </row>
    <row r="2142" spans="1:13" ht="21" customHeight="1">
      <c r="A2142" s="213" t="s">
        <v>6629</v>
      </c>
      <c r="B2142" s="215">
        <f t="shared" si="99"/>
        <v>45792</v>
      </c>
      <c r="C2142" s="213" t="s">
        <v>4373</v>
      </c>
      <c r="D2142" s="213" t="s">
        <v>4366</v>
      </c>
      <c r="E2142" s="213" t="s">
        <v>333</v>
      </c>
      <c r="F2142" s="212" t="s">
        <v>4365</v>
      </c>
      <c r="G2142" s="212" t="str">
        <f t="shared" si="100"/>
        <v>101현금</v>
      </c>
      <c r="H2142" s="214">
        <v>0</v>
      </c>
      <c r="I2142" s="214">
        <v>3400</v>
      </c>
      <c r="J2142" s="214">
        <f t="shared" si="101"/>
        <v>3400</v>
      </c>
      <c r="K2142" s="212" t="s">
        <v>6370</v>
      </c>
      <c r="L2142" s="213"/>
      <c r="M2142" s="212"/>
    </row>
    <row r="2143" spans="1:13" ht="21" customHeight="1">
      <c r="A2143" s="213" t="s">
        <v>6629</v>
      </c>
      <c r="B2143" s="215">
        <f t="shared" si="99"/>
        <v>45792</v>
      </c>
      <c r="C2143" s="213" t="s">
        <v>4382</v>
      </c>
      <c r="D2143" s="213" t="s">
        <v>4369</v>
      </c>
      <c r="E2143" s="213" t="s">
        <v>4383</v>
      </c>
      <c r="F2143" s="212" t="s">
        <v>6525</v>
      </c>
      <c r="G2143" s="212" t="str">
        <f t="shared" si="100"/>
        <v>830소모품비(판)</v>
      </c>
      <c r="H2143" s="214">
        <v>4500</v>
      </c>
      <c r="I2143" s="214">
        <v>0</v>
      </c>
      <c r="J2143" s="214">
        <f t="shared" si="101"/>
        <v>-4500</v>
      </c>
      <c r="K2143" s="212" t="s">
        <v>6550</v>
      </c>
      <c r="L2143" s="213"/>
      <c r="M2143" s="212"/>
    </row>
    <row r="2144" spans="1:13" ht="21" customHeight="1">
      <c r="A2144" s="213" t="s">
        <v>6629</v>
      </c>
      <c r="B2144" s="215">
        <f t="shared" si="99"/>
        <v>45792</v>
      </c>
      <c r="C2144" s="213" t="s">
        <v>4382</v>
      </c>
      <c r="D2144" s="213" t="s">
        <v>4366</v>
      </c>
      <c r="E2144" s="213" t="s">
        <v>333</v>
      </c>
      <c r="F2144" s="212" t="s">
        <v>4365</v>
      </c>
      <c r="G2144" s="212" t="str">
        <f t="shared" si="100"/>
        <v>101현금</v>
      </c>
      <c r="H2144" s="214">
        <v>0</v>
      </c>
      <c r="I2144" s="214">
        <v>4500</v>
      </c>
      <c r="J2144" s="214">
        <f t="shared" si="101"/>
        <v>4500</v>
      </c>
      <c r="K2144" s="212" t="s">
        <v>6369</v>
      </c>
      <c r="L2144" s="213"/>
      <c r="M2144" s="212"/>
    </row>
    <row r="2145" spans="1:13" ht="21" customHeight="1">
      <c r="A2145" s="213" t="s">
        <v>6629</v>
      </c>
      <c r="B2145" s="215">
        <f t="shared" si="99"/>
        <v>45792</v>
      </c>
      <c r="C2145" s="213" t="s">
        <v>4381</v>
      </c>
      <c r="D2145" s="213" t="s">
        <v>4369</v>
      </c>
      <c r="E2145" s="213" t="s">
        <v>4380</v>
      </c>
      <c r="F2145" s="212" t="s">
        <v>6515</v>
      </c>
      <c r="G2145" s="212" t="str">
        <f t="shared" si="100"/>
        <v>812여비교통비(판)</v>
      </c>
      <c r="H2145" s="214">
        <v>1800</v>
      </c>
      <c r="I2145" s="214">
        <v>0</v>
      </c>
      <c r="J2145" s="214">
        <f t="shared" si="101"/>
        <v>-1800</v>
      </c>
      <c r="K2145" s="212" t="s">
        <v>6305</v>
      </c>
      <c r="L2145" s="213"/>
      <c r="M2145" s="212"/>
    </row>
    <row r="2146" spans="1:13" ht="21" customHeight="1">
      <c r="A2146" s="213" t="s">
        <v>6629</v>
      </c>
      <c r="B2146" s="215">
        <f t="shared" si="99"/>
        <v>45792</v>
      </c>
      <c r="C2146" s="213" t="s">
        <v>4381</v>
      </c>
      <c r="D2146" s="213" t="s">
        <v>4366</v>
      </c>
      <c r="E2146" s="213" t="s">
        <v>333</v>
      </c>
      <c r="F2146" s="212" t="s">
        <v>4365</v>
      </c>
      <c r="G2146" s="212" t="str">
        <f t="shared" si="100"/>
        <v>101현금</v>
      </c>
      <c r="H2146" s="214">
        <v>0</v>
      </c>
      <c r="I2146" s="214">
        <v>1800</v>
      </c>
      <c r="J2146" s="214">
        <f t="shared" si="101"/>
        <v>1800</v>
      </c>
      <c r="K2146" s="212" t="s">
        <v>6369</v>
      </c>
      <c r="L2146" s="213"/>
      <c r="M2146" s="212"/>
    </row>
    <row r="2147" spans="1:13" ht="21" customHeight="1">
      <c r="A2147" s="213" t="s">
        <v>6629</v>
      </c>
      <c r="B2147" s="215">
        <f t="shared" si="99"/>
        <v>45792</v>
      </c>
      <c r="C2147" s="213" t="s">
        <v>4379</v>
      </c>
      <c r="D2147" s="213" t="s">
        <v>4369</v>
      </c>
      <c r="E2147" s="213" t="s">
        <v>4380</v>
      </c>
      <c r="F2147" s="212" t="s">
        <v>6515</v>
      </c>
      <c r="G2147" s="212" t="str">
        <f t="shared" si="100"/>
        <v>812여비교통비(판)</v>
      </c>
      <c r="H2147" s="214">
        <v>2100</v>
      </c>
      <c r="I2147" s="214">
        <v>0</v>
      </c>
      <c r="J2147" s="214">
        <f t="shared" si="101"/>
        <v>-2100</v>
      </c>
      <c r="K2147" s="212" t="s">
        <v>6631</v>
      </c>
      <c r="L2147" s="213"/>
      <c r="M2147" s="212"/>
    </row>
    <row r="2148" spans="1:13" ht="21" customHeight="1">
      <c r="A2148" s="213" t="s">
        <v>6629</v>
      </c>
      <c r="B2148" s="215">
        <f t="shared" si="99"/>
        <v>45792</v>
      </c>
      <c r="C2148" s="213" t="s">
        <v>4379</v>
      </c>
      <c r="D2148" s="213" t="s">
        <v>4366</v>
      </c>
      <c r="E2148" s="213" t="s">
        <v>333</v>
      </c>
      <c r="F2148" s="212" t="s">
        <v>4365</v>
      </c>
      <c r="G2148" s="212" t="str">
        <f t="shared" si="100"/>
        <v>101현금</v>
      </c>
      <c r="H2148" s="214">
        <v>0</v>
      </c>
      <c r="I2148" s="214">
        <v>2100</v>
      </c>
      <c r="J2148" s="214">
        <f t="shared" si="101"/>
        <v>2100</v>
      </c>
      <c r="K2148" s="212" t="s">
        <v>6369</v>
      </c>
      <c r="L2148" s="213"/>
      <c r="M2148" s="212"/>
    </row>
    <row r="2149" spans="1:13" ht="21" customHeight="1">
      <c r="A2149" s="213" t="s">
        <v>6629</v>
      </c>
      <c r="B2149" s="215">
        <f t="shared" si="99"/>
        <v>45792</v>
      </c>
      <c r="C2149" s="213" t="s">
        <v>4385</v>
      </c>
      <c r="D2149" s="213" t="s">
        <v>4369</v>
      </c>
      <c r="E2149" s="213" t="s">
        <v>4380</v>
      </c>
      <c r="F2149" s="212" t="s">
        <v>6515</v>
      </c>
      <c r="G2149" s="212" t="str">
        <f t="shared" si="100"/>
        <v>812여비교통비(판)</v>
      </c>
      <c r="H2149" s="214">
        <v>5500</v>
      </c>
      <c r="I2149" s="214">
        <v>0</v>
      </c>
      <c r="J2149" s="214">
        <f t="shared" si="101"/>
        <v>-5500</v>
      </c>
      <c r="K2149" s="212" t="s">
        <v>6630</v>
      </c>
      <c r="L2149" s="213"/>
      <c r="M2149" s="212"/>
    </row>
    <row r="2150" spans="1:13" ht="21" customHeight="1">
      <c r="A2150" s="213" t="s">
        <v>6629</v>
      </c>
      <c r="B2150" s="215">
        <f t="shared" si="99"/>
        <v>45792</v>
      </c>
      <c r="C2150" s="213" t="s">
        <v>4385</v>
      </c>
      <c r="D2150" s="213" t="s">
        <v>4366</v>
      </c>
      <c r="E2150" s="213" t="s">
        <v>333</v>
      </c>
      <c r="F2150" s="212" t="s">
        <v>4365</v>
      </c>
      <c r="G2150" s="212" t="str">
        <f t="shared" si="100"/>
        <v>101현금</v>
      </c>
      <c r="H2150" s="214">
        <v>0</v>
      </c>
      <c r="I2150" s="214">
        <v>5500</v>
      </c>
      <c r="J2150" s="214">
        <f t="shared" si="101"/>
        <v>5500</v>
      </c>
      <c r="K2150" s="212" t="s">
        <v>6369</v>
      </c>
      <c r="L2150" s="213"/>
      <c r="M2150" s="212"/>
    </row>
    <row r="2151" spans="1:13" ht="21" customHeight="1">
      <c r="A2151" s="213" t="s">
        <v>6629</v>
      </c>
      <c r="B2151" s="215">
        <f t="shared" si="99"/>
        <v>45792</v>
      </c>
      <c r="C2151" s="213" t="s">
        <v>4501</v>
      </c>
      <c r="D2151" s="213" t="s">
        <v>4369</v>
      </c>
      <c r="E2151" s="213" t="s">
        <v>4380</v>
      </c>
      <c r="F2151" s="212" t="s">
        <v>6515</v>
      </c>
      <c r="G2151" s="212" t="str">
        <f t="shared" si="100"/>
        <v>812여비교통비(판)</v>
      </c>
      <c r="H2151" s="214">
        <v>21045</v>
      </c>
      <c r="I2151" s="214">
        <v>0</v>
      </c>
      <c r="J2151" s="214">
        <f t="shared" si="101"/>
        <v>-21045</v>
      </c>
      <c r="K2151" s="212" t="s">
        <v>6376</v>
      </c>
      <c r="L2151" s="213"/>
      <c r="M2151" s="212"/>
    </row>
    <row r="2152" spans="1:13" ht="21" customHeight="1">
      <c r="A2152" s="213" t="s">
        <v>6629</v>
      </c>
      <c r="B2152" s="215">
        <f t="shared" si="99"/>
        <v>45792</v>
      </c>
      <c r="C2152" s="213" t="s">
        <v>4501</v>
      </c>
      <c r="D2152" s="213" t="s">
        <v>4366</v>
      </c>
      <c r="E2152" s="213" t="s">
        <v>333</v>
      </c>
      <c r="F2152" s="212" t="s">
        <v>4365</v>
      </c>
      <c r="G2152" s="212" t="str">
        <f t="shared" si="100"/>
        <v>101현금</v>
      </c>
      <c r="H2152" s="214">
        <v>0</v>
      </c>
      <c r="I2152" s="214">
        <v>21045</v>
      </c>
      <c r="J2152" s="214">
        <f t="shared" si="101"/>
        <v>21045</v>
      </c>
      <c r="K2152" s="212" t="s">
        <v>6376</v>
      </c>
      <c r="L2152" s="213"/>
      <c r="M2152" s="212"/>
    </row>
    <row r="2153" spans="1:13" ht="21" customHeight="1">
      <c r="A2153" s="213" t="s">
        <v>6629</v>
      </c>
      <c r="B2153" s="215">
        <f t="shared" si="99"/>
        <v>45792</v>
      </c>
      <c r="C2153" s="213" t="s">
        <v>4367</v>
      </c>
      <c r="D2153" s="213" t="s">
        <v>4366</v>
      </c>
      <c r="E2153" s="213" t="s">
        <v>6176</v>
      </c>
      <c r="F2153" s="212" t="s">
        <v>6177</v>
      </c>
      <c r="G2153" s="212" t="str">
        <f t="shared" si="100"/>
        <v>255부가세예수금</v>
      </c>
      <c r="H2153" s="214">
        <v>0</v>
      </c>
      <c r="I2153" s="214">
        <v>10000</v>
      </c>
      <c r="J2153" s="214">
        <f t="shared" si="101"/>
        <v>10000</v>
      </c>
      <c r="K2153" s="212" t="s">
        <v>6280</v>
      </c>
      <c r="L2153" s="213"/>
      <c r="M2153" s="212" t="s">
        <v>6185</v>
      </c>
    </row>
    <row r="2154" spans="1:13" ht="21" customHeight="1">
      <c r="A2154" s="213" t="s">
        <v>6629</v>
      </c>
      <c r="B2154" s="215">
        <f t="shared" si="99"/>
        <v>45792</v>
      </c>
      <c r="C2154" s="213" t="s">
        <v>4367</v>
      </c>
      <c r="D2154" s="213" t="s">
        <v>4366</v>
      </c>
      <c r="E2154" s="213" t="s">
        <v>334</v>
      </c>
      <c r="F2154" s="212" t="s">
        <v>6158</v>
      </c>
      <c r="G2154" s="212" t="str">
        <f t="shared" si="100"/>
        <v>401용역매출</v>
      </c>
      <c r="H2154" s="214">
        <v>0</v>
      </c>
      <c r="I2154" s="214">
        <v>100000</v>
      </c>
      <c r="J2154" s="214">
        <f t="shared" si="101"/>
        <v>100000</v>
      </c>
      <c r="K2154" s="212" t="s">
        <v>6280</v>
      </c>
      <c r="L2154" s="213"/>
      <c r="M2154" s="212" t="s">
        <v>6185</v>
      </c>
    </row>
    <row r="2155" spans="1:13" ht="21" customHeight="1">
      <c r="A2155" s="213" t="s">
        <v>6629</v>
      </c>
      <c r="B2155" s="215">
        <f t="shared" si="99"/>
        <v>45792</v>
      </c>
      <c r="C2155" s="213" t="s">
        <v>4367</v>
      </c>
      <c r="D2155" s="213" t="s">
        <v>4369</v>
      </c>
      <c r="E2155" s="213" t="s">
        <v>333</v>
      </c>
      <c r="F2155" s="212" t="s">
        <v>4365</v>
      </c>
      <c r="G2155" s="212" t="str">
        <f t="shared" si="100"/>
        <v>101현금</v>
      </c>
      <c r="H2155" s="214">
        <v>110000</v>
      </c>
      <c r="I2155" s="214">
        <v>0</v>
      </c>
      <c r="J2155" s="214">
        <f t="shared" si="101"/>
        <v>-110000</v>
      </c>
      <c r="K2155" s="212" t="s">
        <v>6280</v>
      </c>
      <c r="L2155" s="213"/>
      <c r="M2155" s="212" t="s">
        <v>6185</v>
      </c>
    </row>
    <row r="2156" spans="1:13" ht="21" customHeight="1">
      <c r="A2156" s="213" t="s">
        <v>6629</v>
      </c>
      <c r="B2156" s="215">
        <f t="shared" si="99"/>
        <v>45792</v>
      </c>
      <c r="C2156" s="213" t="s">
        <v>4374</v>
      </c>
      <c r="D2156" s="213" t="s">
        <v>4366</v>
      </c>
      <c r="E2156" s="213" t="s">
        <v>6176</v>
      </c>
      <c r="F2156" s="212" t="s">
        <v>6177</v>
      </c>
      <c r="G2156" s="212" t="str">
        <f t="shared" si="100"/>
        <v>255부가세예수금</v>
      </c>
      <c r="H2156" s="214">
        <v>0</v>
      </c>
      <c r="I2156" s="214">
        <v>10000</v>
      </c>
      <c r="J2156" s="214">
        <f t="shared" si="101"/>
        <v>10000</v>
      </c>
      <c r="K2156" s="212" t="s">
        <v>6304</v>
      </c>
      <c r="L2156" s="213"/>
      <c r="M2156" s="212" t="s">
        <v>6185</v>
      </c>
    </row>
    <row r="2157" spans="1:13" ht="21" customHeight="1">
      <c r="A2157" s="213" t="s">
        <v>6629</v>
      </c>
      <c r="B2157" s="215">
        <f t="shared" si="99"/>
        <v>45792</v>
      </c>
      <c r="C2157" s="213" t="s">
        <v>4374</v>
      </c>
      <c r="D2157" s="213" t="s">
        <v>4366</v>
      </c>
      <c r="E2157" s="213" t="s">
        <v>334</v>
      </c>
      <c r="F2157" s="212" t="s">
        <v>6158</v>
      </c>
      <c r="G2157" s="212" t="str">
        <f t="shared" si="100"/>
        <v>401용역매출</v>
      </c>
      <c r="H2157" s="214">
        <v>0</v>
      </c>
      <c r="I2157" s="214">
        <v>100000</v>
      </c>
      <c r="J2157" s="214">
        <f t="shared" si="101"/>
        <v>100000</v>
      </c>
      <c r="K2157" s="212" t="s">
        <v>6304</v>
      </c>
      <c r="L2157" s="213"/>
      <c r="M2157" s="212" t="s">
        <v>6185</v>
      </c>
    </row>
    <row r="2158" spans="1:13" ht="21" customHeight="1">
      <c r="A2158" s="213" t="s">
        <v>6629</v>
      </c>
      <c r="B2158" s="215">
        <f t="shared" si="99"/>
        <v>45792</v>
      </c>
      <c r="C2158" s="213" t="s">
        <v>4374</v>
      </c>
      <c r="D2158" s="213" t="s">
        <v>4369</v>
      </c>
      <c r="E2158" s="213" t="s">
        <v>333</v>
      </c>
      <c r="F2158" s="212" t="s">
        <v>4365</v>
      </c>
      <c r="G2158" s="212" t="str">
        <f t="shared" si="100"/>
        <v>101현금</v>
      </c>
      <c r="H2158" s="214">
        <v>110000</v>
      </c>
      <c r="I2158" s="214">
        <v>0</v>
      </c>
      <c r="J2158" s="214">
        <f t="shared" si="101"/>
        <v>-110000</v>
      </c>
      <c r="K2158" s="212" t="s">
        <v>6304</v>
      </c>
      <c r="L2158" s="213"/>
      <c r="M2158" s="212" t="s">
        <v>6185</v>
      </c>
    </row>
    <row r="2159" spans="1:13" ht="21" customHeight="1">
      <c r="A2159" s="213" t="s">
        <v>6625</v>
      </c>
      <c r="B2159" s="215">
        <f t="shared" si="99"/>
        <v>45793</v>
      </c>
      <c r="C2159" s="213" t="s">
        <v>4373</v>
      </c>
      <c r="D2159" s="213" t="s">
        <v>4369</v>
      </c>
      <c r="E2159" s="213" t="s">
        <v>4380</v>
      </c>
      <c r="F2159" s="212" t="s">
        <v>6515</v>
      </c>
      <c r="G2159" s="212" t="str">
        <f t="shared" si="100"/>
        <v>812여비교통비(판)</v>
      </c>
      <c r="H2159" s="214">
        <v>2000</v>
      </c>
      <c r="I2159" s="214">
        <v>0</v>
      </c>
      <c r="J2159" s="214">
        <f t="shared" si="101"/>
        <v>-2000</v>
      </c>
      <c r="K2159" s="212" t="s">
        <v>6628</v>
      </c>
      <c r="L2159" s="213"/>
      <c r="M2159" s="212"/>
    </row>
    <row r="2160" spans="1:13" ht="21" customHeight="1">
      <c r="A2160" s="213" t="s">
        <v>6625</v>
      </c>
      <c r="B2160" s="215">
        <f t="shared" si="99"/>
        <v>45793</v>
      </c>
      <c r="C2160" s="213" t="s">
        <v>4373</v>
      </c>
      <c r="D2160" s="213" t="s">
        <v>4366</v>
      </c>
      <c r="E2160" s="213" t="s">
        <v>333</v>
      </c>
      <c r="F2160" s="212" t="s">
        <v>4365</v>
      </c>
      <c r="G2160" s="212" t="str">
        <f t="shared" si="100"/>
        <v>101현금</v>
      </c>
      <c r="H2160" s="214">
        <v>0</v>
      </c>
      <c r="I2160" s="214">
        <v>2000</v>
      </c>
      <c r="J2160" s="214">
        <f t="shared" si="101"/>
        <v>2000</v>
      </c>
      <c r="K2160" s="212" t="s">
        <v>6369</v>
      </c>
      <c r="L2160" s="213"/>
      <c r="M2160" s="212"/>
    </row>
    <row r="2161" spans="1:13" ht="21" customHeight="1">
      <c r="A2161" s="213" t="s">
        <v>6625</v>
      </c>
      <c r="B2161" s="215">
        <f t="shared" si="99"/>
        <v>45793</v>
      </c>
      <c r="C2161" s="213" t="s">
        <v>4382</v>
      </c>
      <c r="D2161" s="213" t="s">
        <v>4369</v>
      </c>
      <c r="E2161" s="213" t="s">
        <v>4380</v>
      </c>
      <c r="F2161" s="212" t="s">
        <v>6515</v>
      </c>
      <c r="G2161" s="212" t="str">
        <f t="shared" si="100"/>
        <v>812여비교통비(판)</v>
      </c>
      <c r="H2161" s="214">
        <v>1700</v>
      </c>
      <c r="I2161" s="214">
        <v>0</v>
      </c>
      <c r="J2161" s="214">
        <f t="shared" si="101"/>
        <v>-1700</v>
      </c>
      <c r="K2161" s="212" t="s">
        <v>6627</v>
      </c>
      <c r="L2161" s="213"/>
      <c r="M2161" s="212"/>
    </row>
    <row r="2162" spans="1:13" ht="21" customHeight="1">
      <c r="A2162" s="213" t="s">
        <v>6625</v>
      </c>
      <c r="B2162" s="215">
        <f t="shared" si="99"/>
        <v>45793</v>
      </c>
      <c r="C2162" s="213" t="s">
        <v>4382</v>
      </c>
      <c r="D2162" s="213" t="s">
        <v>4366</v>
      </c>
      <c r="E2162" s="213" t="s">
        <v>333</v>
      </c>
      <c r="F2162" s="212" t="s">
        <v>4365</v>
      </c>
      <c r="G2162" s="212" t="str">
        <f t="shared" si="100"/>
        <v>101현금</v>
      </c>
      <c r="H2162" s="214">
        <v>0</v>
      </c>
      <c r="I2162" s="214">
        <v>1700</v>
      </c>
      <c r="J2162" s="214">
        <f t="shared" si="101"/>
        <v>1700</v>
      </c>
      <c r="K2162" s="212" t="s">
        <v>6369</v>
      </c>
      <c r="L2162" s="213"/>
      <c r="M2162" s="212"/>
    </row>
    <row r="2163" spans="1:13" ht="21" customHeight="1">
      <c r="A2163" s="213" t="s">
        <v>6625</v>
      </c>
      <c r="B2163" s="215">
        <f t="shared" si="99"/>
        <v>45793</v>
      </c>
      <c r="C2163" s="213" t="s">
        <v>4381</v>
      </c>
      <c r="D2163" s="213" t="s">
        <v>4369</v>
      </c>
      <c r="E2163" s="213" t="s">
        <v>4380</v>
      </c>
      <c r="F2163" s="212" t="s">
        <v>6515</v>
      </c>
      <c r="G2163" s="212" t="str">
        <f t="shared" si="100"/>
        <v>812여비교통비(판)</v>
      </c>
      <c r="H2163" s="214">
        <v>9000</v>
      </c>
      <c r="I2163" s="214">
        <v>0</v>
      </c>
      <c r="J2163" s="214">
        <f t="shared" si="101"/>
        <v>-9000</v>
      </c>
      <c r="K2163" s="212" t="s">
        <v>6626</v>
      </c>
      <c r="L2163" s="213"/>
      <c r="M2163" s="212"/>
    </row>
    <row r="2164" spans="1:13" ht="21" customHeight="1">
      <c r="A2164" s="213" t="s">
        <v>6625</v>
      </c>
      <c r="B2164" s="215">
        <f t="shared" si="99"/>
        <v>45793</v>
      </c>
      <c r="C2164" s="213" t="s">
        <v>4381</v>
      </c>
      <c r="D2164" s="213" t="s">
        <v>4366</v>
      </c>
      <c r="E2164" s="213" t="s">
        <v>333</v>
      </c>
      <c r="F2164" s="212" t="s">
        <v>4365</v>
      </c>
      <c r="G2164" s="212" t="str">
        <f t="shared" si="100"/>
        <v>101현금</v>
      </c>
      <c r="H2164" s="214">
        <v>0</v>
      </c>
      <c r="I2164" s="214">
        <v>9000</v>
      </c>
      <c r="J2164" s="214">
        <f t="shared" si="101"/>
        <v>9000</v>
      </c>
      <c r="K2164" s="212" t="s">
        <v>6369</v>
      </c>
      <c r="L2164" s="213"/>
      <c r="M2164" s="212"/>
    </row>
    <row r="2165" spans="1:13" ht="21" customHeight="1">
      <c r="A2165" s="213" t="s">
        <v>6625</v>
      </c>
      <c r="B2165" s="215">
        <f t="shared" si="99"/>
        <v>45793</v>
      </c>
      <c r="C2165" s="213" t="s">
        <v>4367</v>
      </c>
      <c r="D2165" s="213" t="s">
        <v>4366</v>
      </c>
      <c r="E2165" s="213" t="s">
        <v>6176</v>
      </c>
      <c r="F2165" s="212" t="s">
        <v>6177</v>
      </c>
      <c r="G2165" s="212" t="str">
        <f t="shared" si="100"/>
        <v>255부가세예수금</v>
      </c>
      <c r="H2165" s="214">
        <v>0</v>
      </c>
      <c r="I2165" s="214">
        <v>6000</v>
      </c>
      <c r="J2165" s="214">
        <f t="shared" si="101"/>
        <v>6000</v>
      </c>
      <c r="K2165" s="212" t="s">
        <v>6302</v>
      </c>
      <c r="L2165" s="213"/>
      <c r="M2165" s="212" t="s">
        <v>6303</v>
      </c>
    </row>
    <row r="2166" spans="1:13" ht="21" customHeight="1">
      <c r="A2166" s="213" t="s">
        <v>6625</v>
      </c>
      <c r="B2166" s="215">
        <f t="shared" si="99"/>
        <v>45793</v>
      </c>
      <c r="C2166" s="213" t="s">
        <v>4367</v>
      </c>
      <c r="D2166" s="213" t="s">
        <v>4366</v>
      </c>
      <c r="E2166" s="213" t="s">
        <v>334</v>
      </c>
      <c r="F2166" s="212" t="s">
        <v>6158</v>
      </c>
      <c r="G2166" s="212" t="str">
        <f t="shared" si="100"/>
        <v>401용역매출</v>
      </c>
      <c r="H2166" s="214">
        <v>0</v>
      </c>
      <c r="I2166" s="214">
        <v>60000</v>
      </c>
      <c r="J2166" s="214">
        <f t="shared" si="101"/>
        <v>60000</v>
      </c>
      <c r="K2166" s="212" t="s">
        <v>6302</v>
      </c>
      <c r="L2166" s="213"/>
      <c r="M2166" s="212" t="s">
        <v>6303</v>
      </c>
    </row>
    <row r="2167" spans="1:13" ht="21" customHeight="1">
      <c r="A2167" s="213" t="s">
        <v>6625</v>
      </c>
      <c r="B2167" s="215">
        <f t="shared" si="99"/>
        <v>45793</v>
      </c>
      <c r="C2167" s="213" t="s">
        <v>4367</v>
      </c>
      <c r="D2167" s="213" t="s">
        <v>4369</v>
      </c>
      <c r="E2167" s="213" t="s">
        <v>333</v>
      </c>
      <c r="F2167" s="212" t="s">
        <v>4365</v>
      </c>
      <c r="G2167" s="212" t="str">
        <f t="shared" si="100"/>
        <v>101현금</v>
      </c>
      <c r="H2167" s="214">
        <v>66000</v>
      </c>
      <c r="I2167" s="214">
        <v>0</v>
      </c>
      <c r="J2167" s="214">
        <f t="shared" si="101"/>
        <v>-66000</v>
      </c>
      <c r="K2167" s="212" t="s">
        <v>6302</v>
      </c>
      <c r="L2167" s="213"/>
      <c r="M2167" s="212" t="s">
        <v>6303</v>
      </c>
    </row>
    <row r="2168" spans="1:13" ht="21" customHeight="1">
      <c r="A2168" s="213" t="s">
        <v>6625</v>
      </c>
      <c r="B2168" s="215">
        <f t="shared" si="99"/>
        <v>45793</v>
      </c>
      <c r="C2168" s="213" t="s">
        <v>4374</v>
      </c>
      <c r="D2168" s="213" t="s">
        <v>4366</v>
      </c>
      <c r="E2168" s="213" t="s">
        <v>6176</v>
      </c>
      <c r="F2168" s="212" t="s">
        <v>6177</v>
      </c>
      <c r="G2168" s="212" t="str">
        <f t="shared" si="100"/>
        <v>255부가세예수금</v>
      </c>
      <c r="H2168" s="214">
        <v>0</v>
      </c>
      <c r="I2168" s="214">
        <v>13637</v>
      </c>
      <c r="J2168" s="214">
        <f t="shared" si="101"/>
        <v>13637</v>
      </c>
      <c r="K2168" s="212" t="s">
        <v>6204</v>
      </c>
      <c r="L2168" s="213"/>
      <c r="M2168" s="212" t="s">
        <v>6380</v>
      </c>
    </row>
    <row r="2169" spans="1:13" ht="21" customHeight="1">
      <c r="A2169" s="213" t="s">
        <v>6625</v>
      </c>
      <c r="B2169" s="215">
        <f t="shared" si="99"/>
        <v>45793</v>
      </c>
      <c r="C2169" s="213" t="s">
        <v>4374</v>
      </c>
      <c r="D2169" s="213" t="s">
        <v>4366</v>
      </c>
      <c r="E2169" s="213" t="s">
        <v>334</v>
      </c>
      <c r="F2169" s="212" t="s">
        <v>6158</v>
      </c>
      <c r="G2169" s="212" t="str">
        <f t="shared" si="100"/>
        <v>401용역매출</v>
      </c>
      <c r="H2169" s="214">
        <v>0</v>
      </c>
      <c r="I2169" s="214">
        <v>136363</v>
      </c>
      <c r="J2169" s="214">
        <f t="shared" si="101"/>
        <v>136363</v>
      </c>
      <c r="K2169" s="212" t="s">
        <v>6204</v>
      </c>
      <c r="L2169" s="213"/>
      <c r="M2169" s="212" t="s">
        <v>6380</v>
      </c>
    </row>
    <row r="2170" spans="1:13" ht="21" customHeight="1">
      <c r="A2170" s="213" t="s">
        <v>6625</v>
      </c>
      <c r="B2170" s="215">
        <f t="shared" si="99"/>
        <v>45793</v>
      </c>
      <c r="C2170" s="213" t="s">
        <v>4374</v>
      </c>
      <c r="D2170" s="213" t="s">
        <v>4369</v>
      </c>
      <c r="E2170" s="213" t="s">
        <v>333</v>
      </c>
      <c r="F2170" s="212" t="s">
        <v>4365</v>
      </c>
      <c r="G2170" s="212" t="str">
        <f t="shared" si="100"/>
        <v>101현금</v>
      </c>
      <c r="H2170" s="214">
        <v>150000</v>
      </c>
      <c r="I2170" s="214">
        <v>0</v>
      </c>
      <c r="J2170" s="214">
        <f t="shared" si="101"/>
        <v>-150000</v>
      </c>
      <c r="K2170" s="212" t="s">
        <v>6204</v>
      </c>
      <c r="L2170" s="213"/>
      <c r="M2170" s="212" t="s">
        <v>6380</v>
      </c>
    </row>
    <row r="2171" spans="1:13" ht="21" customHeight="1">
      <c r="A2171" s="217" t="s">
        <v>6624</v>
      </c>
      <c r="B2171" s="215">
        <f t="shared" si="99"/>
        <v>45794</v>
      </c>
      <c r="C2171" s="213" t="s">
        <v>4367</v>
      </c>
      <c r="D2171" s="213" t="s">
        <v>4369</v>
      </c>
      <c r="E2171" s="213" t="s">
        <v>4371</v>
      </c>
      <c r="F2171" s="212" t="s">
        <v>4370</v>
      </c>
      <c r="G2171" s="212" t="str">
        <f t="shared" si="100"/>
        <v>135부가세대급금</v>
      </c>
      <c r="H2171" s="214">
        <v>12027</v>
      </c>
      <c r="I2171" s="214">
        <v>0</v>
      </c>
      <c r="J2171" s="214">
        <f t="shared" si="101"/>
        <v>-12027</v>
      </c>
      <c r="K2171" s="212" t="s">
        <v>6197</v>
      </c>
      <c r="L2171" s="213"/>
      <c r="M2171" s="212"/>
    </row>
    <row r="2172" spans="1:13" ht="21" customHeight="1">
      <c r="A2172" s="217" t="s">
        <v>6624</v>
      </c>
      <c r="B2172" s="215">
        <f t="shared" si="99"/>
        <v>45794</v>
      </c>
      <c r="C2172" s="213" t="s">
        <v>4367</v>
      </c>
      <c r="D2172" s="213" t="s">
        <v>4369</v>
      </c>
      <c r="E2172" s="213" t="s">
        <v>4383</v>
      </c>
      <c r="F2172" s="212" t="s">
        <v>6525</v>
      </c>
      <c r="G2172" s="212" t="str">
        <f t="shared" si="100"/>
        <v>830소모품비(판)</v>
      </c>
      <c r="H2172" s="214">
        <v>120273</v>
      </c>
      <c r="I2172" s="214">
        <v>0</v>
      </c>
      <c r="J2172" s="214">
        <f t="shared" si="101"/>
        <v>-120273</v>
      </c>
      <c r="K2172" s="212" t="s">
        <v>6197</v>
      </c>
      <c r="L2172" s="213"/>
      <c r="M2172" s="212"/>
    </row>
    <row r="2173" spans="1:13" ht="21" customHeight="1">
      <c r="A2173" s="217" t="s">
        <v>6624</v>
      </c>
      <c r="B2173" s="215">
        <f t="shared" si="99"/>
        <v>45794</v>
      </c>
      <c r="C2173" s="213" t="s">
        <v>4367</v>
      </c>
      <c r="D2173" s="213" t="s">
        <v>4366</v>
      </c>
      <c r="E2173" s="213" t="s">
        <v>333</v>
      </c>
      <c r="F2173" s="212" t="s">
        <v>4365</v>
      </c>
      <c r="G2173" s="212" t="str">
        <f t="shared" si="100"/>
        <v>101현금</v>
      </c>
      <c r="H2173" s="214">
        <v>0</v>
      </c>
      <c r="I2173" s="214">
        <v>132300</v>
      </c>
      <c r="J2173" s="214">
        <f t="shared" si="101"/>
        <v>132300</v>
      </c>
      <c r="K2173" s="212" t="s">
        <v>6370</v>
      </c>
      <c r="L2173" s="213"/>
      <c r="M2173" s="212"/>
    </row>
    <row r="2174" spans="1:13" ht="21" customHeight="1">
      <c r="A2174" s="216" t="s">
        <v>6622</v>
      </c>
      <c r="B2174" s="215">
        <f t="shared" si="99"/>
        <v>45795</v>
      </c>
      <c r="C2174" s="213" t="s">
        <v>4373</v>
      </c>
      <c r="D2174" s="213" t="s">
        <v>4369</v>
      </c>
      <c r="E2174" s="213" t="s">
        <v>4499</v>
      </c>
      <c r="F2174" s="212" t="s">
        <v>6517</v>
      </c>
      <c r="G2174" s="212" t="str">
        <f t="shared" si="100"/>
        <v>811복리후생비(판)</v>
      </c>
      <c r="H2174" s="214">
        <v>66000</v>
      </c>
      <c r="I2174" s="214">
        <v>0</v>
      </c>
      <c r="J2174" s="214">
        <f t="shared" si="101"/>
        <v>-66000</v>
      </c>
      <c r="K2174" s="212" t="s">
        <v>6607</v>
      </c>
      <c r="L2174" s="213"/>
      <c r="M2174" s="212"/>
    </row>
    <row r="2175" spans="1:13" ht="21" customHeight="1">
      <c r="A2175" s="216" t="s">
        <v>6622</v>
      </c>
      <c r="B2175" s="215">
        <f t="shared" si="99"/>
        <v>45795</v>
      </c>
      <c r="C2175" s="213" t="s">
        <v>4373</v>
      </c>
      <c r="D2175" s="213" t="s">
        <v>4366</v>
      </c>
      <c r="E2175" s="213" t="s">
        <v>333</v>
      </c>
      <c r="F2175" s="212" t="s">
        <v>4365</v>
      </c>
      <c r="G2175" s="212" t="str">
        <f t="shared" si="100"/>
        <v>101현금</v>
      </c>
      <c r="H2175" s="214">
        <v>0</v>
      </c>
      <c r="I2175" s="214">
        <v>66000</v>
      </c>
      <c r="J2175" s="214">
        <f t="shared" si="101"/>
        <v>66000</v>
      </c>
      <c r="K2175" s="212" t="s">
        <v>6200</v>
      </c>
      <c r="L2175" s="213"/>
      <c r="M2175" s="212"/>
    </row>
    <row r="2176" spans="1:13" ht="21" customHeight="1">
      <c r="A2176" s="216" t="s">
        <v>6622</v>
      </c>
      <c r="B2176" s="215">
        <f t="shared" si="99"/>
        <v>45795</v>
      </c>
      <c r="C2176" s="213" t="s">
        <v>4382</v>
      </c>
      <c r="D2176" s="213" t="s">
        <v>4369</v>
      </c>
      <c r="E2176" s="213" t="s">
        <v>4383</v>
      </c>
      <c r="F2176" s="212" t="s">
        <v>6525</v>
      </c>
      <c r="G2176" s="212" t="str">
        <f t="shared" si="100"/>
        <v>830소모품비(판)</v>
      </c>
      <c r="H2176" s="214">
        <v>1300</v>
      </c>
      <c r="I2176" s="214">
        <v>0</v>
      </c>
      <c r="J2176" s="214">
        <f t="shared" si="101"/>
        <v>-1300</v>
      </c>
      <c r="K2176" s="212" t="s">
        <v>6215</v>
      </c>
      <c r="L2176" s="213"/>
      <c r="M2176" s="212"/>
    </row>
    <row r="2177" spans="1:13" ht="21" customHeight="1">
      <c r="A2177" s="216" t="s">
        <v>6622</v>
      </c>
      <c r="B2177" s="215">
        <f t="shared" si="99"/>
        <v>45795</v>
      </c>
      <c r="C2177" s="213" t="s">
        <v>4382</v>
      </c>
      <c r="D2177" s="213" t="s">
        <v>4366</v>
      </c>
      <c r="E2177" s="213" t="s">
        <v>333</v>
      </c>
      <c r="F2177" s="212" t="s">
        <v>4365</v>
      </c>
      <c r="G2177" s="212" t="str">
        <f t="shared" si="100"/>
        <v>101현금</v>
      </c>
      <c r="H2177" s="214">
        <v>0</v>
      </c>
      <c r="I2177" s="214">
        <v>1300</v>
      </c>
      <c r="J2177" s="214">
        <f t="shared" si="101"/>
        <v>1300</v>
      </c>
      <c r="K2177" s="212" t="s">
        <v>6369</v>
      </c>
      <c r="L2177" s="213"/>
      <c r="M2177" s="212"/>
    </row>
    <row r="2178" spans="1:13" ht="21" customHeight="1">
      <c r="A2178" s="216" t="s">
        <v>6622</v>
      </c>
      <c r="B2178" s="215">
        <f t="shared" ref="B2178:B2241" si="102">DATEVALUE(A2178)</f>
        <v>45795</v>
      </c>
      <c r="C2178" s="213" t="s">
        <v>4381</v>
      </c>
      <c r="D2178" s="213" t="s">
        <v>4369</v>
      </c>
      <c r="E2178" s="213" t="s">
        <v>4380</v>
      </c>
      <c r="F2178" s="212" t="s">
        <v>6515</v>
      </c>
      <c r="G2178" s="212" t="str">
        <f t="shared" ref="G2178:G2241" si="103">E2178&amp;F2178</f>
        <v>812여비교통비(판)</v>
      </c>
      <c r="H2178" s="214">
        <v>3500</v>
      </c>
      <c r="I2178" s="214">
        <v>0</v>
      </c>
      <c r="J2178" s="214">
        <f t="shared" ref="J2178:J2241" si="104">I2178-H2178</f>
        <v>-3500</v>
      </c>
      <c r="K2178" s="212" t="s">
        <v>6623</v>
      </c>
      <c r="L2178" s="213"/>
      <c r="M2178" s="212"/>
    </row>
    <row r="2179" spans="1:13" ht="21" customHeight="1">
      <c r="A2179" s="216" t="s">
        <v>6622</v>
      </c>
      <c r="B2179" s="215">
        <f t="shared" si="102"/>
        <v>45795</v>
      </c>
      <c r="C2179" s="213" t="s">
        <v>4381</v>
      </c>
      <c r="D2179" s="213" t="s">
        <v>4366</v>
      </c>
      <c r="E2179" s="213" t="s">
        <v>333</v>
      </c>
      <c r="F2179" s="212" t="s">
        <v>4365</v>
      </c>
      <c r="G2179" s="212" t="str">
        <f t="shared" si="103"/>
        <v>101현금</v>
      </c>
      <c r="H2179" s="214">
        <v>0</v>
      </c>
      <c r="I2179" s="214">
        <v>3500</v>
      </c>
      <c r="J2179" s="214">
        <f t="shared" si="104"/>
        <v>3500</v>
      </c>
      <c r="K2179" s="212" t="s">
        <v>6371</v>
      </c>
      <c r="L2179" s="213"/>
      <c r="M2179" s="212"/>
    </row>
    <row r="2180" spans="1:13" ht="21" customHeight="1">
      <c r="A2180" s="216" t="s">
        <v>6622</v>
      </c>
      <c r="B2180" s="215">
        <f t="shared" si="102"/>
        <v>45795</v>
      </c>
      <c r="C2180" s="213" t="s">
        <v>4379</v>
      </c>
      <c r="D2180" s="213" t="s">
        <v>4369</v>
      </c>
      <c r="E2180" s="213" t="s">
        <v>4380</v>
      </c>
      <c r="F2180" s="212" t="s">
        <v>6515</v>
      </c>
      <c r="G2180" s="212" t="str">
        <f t="shared" si="103"/>
        <v>812여비교통비(판)</v>
      </c>
      <c r="H2180" s="214">
        <v>3600</v>
      </c>
      <c r="I2180" s="214">
        <v>0</v>
      </c>
      <c r="J2180" s="214">
        <f t="shared" si="104"/>
        <v>-3600</v>
      </c>
      <c r="K2180" s="212" t="s">
        <v>6305</v>
      </c>
      <c r="L2180" s="213"/>
      <c r="M2180" s="212"/>
    </row>
    <row r="2181" spans="1:13" ht="21" customHeight="1">
      <c r="A2181" s="216" t="s">
        <v>6622</v>
      </c>
      <c r="B2181" s="215">
        <f t="shared" si="102"/>
        <v>45795</v>
      </c>
      <c r="C2181" s="213" t="s">
        <v>4379</v>
      </c>
      <c r="D2181" s="213" t="s">
        <v>4366</v>
      </c>
      <c r="E2181" s="213" t="s">
        <v>333</v>
      </c>
      <c r="F2181" s="212" t="s">
        <v>4365</v>
      </c>
      <c r="G2181" s="212" t="str">
        <f t="shared" si="103"/>
        <v>101현금</v>
      </c>
      <c r="H2181" s="214">
        <v>0</v>
      </c>
      <c r="I2181" s="214">
        <v>3600</v>
      </c>
      <c r="J2181" s="214">
        <f t="shared" si="104"/>
        <v>3600</v>
      </c>
      <c r="K2181" s="212" t="s">
        <v>6369</v>
      </c>
      <c r="L2181" s="213"/>
      <c r="M2181" s="212"/>
    </row>
    <row r="2182" spans="1:13" ht="21" customHeight="1">
      <c r="A2182" s="216" t="s">
        <v>6622</v>
      </c>
      <c r="B2182" s="215">
        <f t="shared" si="102"/>
        <v>45795</v>
      </c>
      <c r="C2182" s="213" t="s">
        <v>4385</v>
      </c>
      <c r="D2182" s="213" t="s">
        <v>4369</v>
      </c>
      <c r="E2182" s="213" t="s">
        <v>4368</v>
      </c>
      <c r="F2182" s="212" t="s">
        <v>6388</v>
      </c>
      <c r="G2182" s="212" t="str">
        <f t="shared" si="103"/>
        <v>831지급수수료(판)</v>
      </c>
      <c r="H2182" s="214">
        <v>6000</v>
      </c>
      <c r="I2182" s="214">
        <v>0</v>
      </c>
      <c r="J2182" s="214">
        <f t="shared" si="104"/>
        <v>-6000</v>
      </c>
      <c r="K2182" s="212" t="s">
        <v>6364</v>
      </c>
      <c r="L2182" s="213"/>
      <c r="M2182" s="212"/>
    </row>
    <row r="2183" spans="1:13" ht="21" customHeight="1">
      <c r="A2183" s="216" t="s">
        <v>6622</v>
      </c>
      <c r="B2183" s="215">
        <f t="shared" si="102"/>
        <v>45795</v>
      </c>
      <c r="C2183" s="213" t="s">
        <v>4385</v>
      </c>
      <c r="D2183" s="213" t="s">
        <v>4366</v>
      </c>
      <c r="E2183" s="213" t="s">
        <v>333</v>
      </c>
      <c r="F2183" s="212" t="s">
        <v>4365</v>
      </c>
      <c r="G2183" s="212" t="str">
        <f t="shared" si="103"/>
        <v>101현금</v>
      </c>
      <c r="H2183" s="214">
        <v>0</v>
      </c>
      <c r="I2183" s="214">
        <v>6000</v>
      </c>
      <c r="J2183" s="214">
        <f t="shared" si="104"/>
        <v>6000</v>
      </c>
      <c r="K2183" s="212" t="s">
        <v>6369</v>
      </c>
      <c r="L2183" s="213"/>
      <c r="M2183" s="212"/>
    </row>
    <row r="2184" spans="1:13" ht="21" customHeight="1">
      <c r="A2184" s="213" t="s">
        <v>6621</v>
      </c>
      <c r="B2184" s="215">
        <f t="shared" si="102"/>
        <v>45796</v>
      </c>
      <c r="C2184" s="213" t="s">
        <v>4373</v>
      </c>
      <c r="D2184" s="213" t="s">
        <v>4369</v>
      </c>
      <c r="E2184" s="213" t="s">
        <v>4499</v>
      </c>
      <c r="F2184" s="212" t="s">
        <v>6517</v>
      </c>
      <c r="G2184" s="212" t="str">
        <f t="shared" si="103"/>
        <v>811복리후생비(판)</v>
      </c>
      <c r="H2184" s="214">
        <v>16000</v>
      </c>
      <c r="I2184" s="214">
        <v>0</v>
      </c>
      <c r="J2184" s="214">
        <f t="shared" si="104"/>
        <v>-16000</v>
      </c>
      <c r="K2184" s="212" t="s">
        <v>6516</v>
      </c>
      <c r="L2184" s="213"/>
      <c r="M2184" s="212"/>
    </row>
    <row r="2185" spans="1:13" ht="21" customHeight="1">
      <c r="A2185" s="213" t="s">
        <v>6621</v>
      </c>
      <c r="B2185" s="215">
        <f t="shared" si="102"/>
        <v>45796</v>
      </c>
      <c r="C2185" s="213" t="s">
        <v>4373</v>
      </c>
      <c r="D2185" s="213" t="s">
        <v>4366</v>
      </c>
      <c r="E2185" s="213" t="s">
        <v>333</v>
      </c>
      <c r="F2185" s="212" t="s">
        <v>4365</v>
      </c>
      <c r="G2185" s="212" t="str">
        <f t="shared" si="103"/>
        <v>101현금</v>
      </c>
      <c r="H2185" s="214">
        <v>0</v>
      </c>
      <c r="I2185" s="214">
        <v>16000</v>
      </c>
      <c r="J2185" s="214">
        <f t="shared" si="104"/>
        <v>16000</v>
      </c>
      <c r="K2185" s="212" t="s">
        <v>6369</v>
      </c>
      <c r="L2185" s="213"/>
      <c r="M2185" s="212"/>
    </row>
    <row r="2186" spans="1:13" ht="21" customHeight="1">
      <c r="A2186" s="213" t="s">
        <v>6620</v>
      </c>
      <c r="B2186" s="215">
        <f t="shared" si="102"/>
        <v>45797</v>
      </c>
      <c r="C2186" s="213" t="s">
        <v>4373</v>
      </c>
      <c r="D2186" s="213" t="s">
        <v>4369</v>
      </c>
      <c r="E2186" s="213" t="s">
        <v>4383</v>
      </c>
      <c r="F2186" s="212" t="s">
        <v>6525</v>
      </c>
      <c r="G2186" s="212" t="str">
        <f t="shared" si="103"/>
        <v>830소모품비(판)</v>
      </c>
      <c r="H2186" s="214">
        <v>12980</v>
      </c>
      <c r="I2186" s="214">
        <v>0</v>
      </c>
      <c r="J2186" s="214">
        <f t="shared" si="104"/>
        <v>-12980</v>
      </c>
      <c r="K2186" s="212" t="s">
        <v>6541</v>
      </c>
      <c r="L2186" s="213"/>
      <c r="M2186" s="212"/>
    </row>
    <row r="2187" spans="1:13" ht="21" customHeight="1">
      <c r="A2187" s="213" t="s">
        <v>6620</v>
      </c>
      <c r="B2187" s="215">
        <f t="shared" si="102"/>
        <v>45797</v>
      </c>
      <c r="C2187" s="213" t="s">
        <v>4373</v>
      </c>
      <c r="D2187" s="213" t="s">
        <v>4366</v>
      </c>
      <c r="E2187" s="213" t="s">
        <v>333</v>
      </c>
      <c r="F2187" s="212" t="s">
        <v>4365</v>
      </c>
      <c r="G2187" s="212" t="str">
        <f t="shared" si="103"/>
        <v>101현금</v>
      </c>
      <c r="H2187" s="214">
        <v>0</v>
      </c>
      <c r="I2187" s="214">
        <v>12980</v>
      </c>
      <c r="J2187" s="214">
        <f t="shared" si="104"/>
        <v>12980</v>
      </c>
      <c r="K2187" s="212" t="s">
        <v>6371</v>
      </c>
      <c r="L2187" s="213"/>
      <c r="M2187" s="212"/>
    </row>
    <row r="2188" spans="1:13" ht="21" customHeight="1">
      <c r="A2188" s="213" t="s">
        <v>6620</v>
      </c>
      <c r="B2188" s="215">
        <f t="shared" si="102"/>
        <v>45797</v>
      </c>
      <c r="C2188" s="213" t="s">
        <v>4382</v>
      </c>
      <c r="D2188" s="213" t="s">
        <v>4366</v>
      </c>
      <c r="E2188" s="213" t="s">
        <v>333</v>
      </c>
      <c r="F2188" s="212" t="s">
        <v>4365</v>
      </c>
      <c r="G2188" s="212" t="str">
        <f t="shared" si="103"/>
        <v>101현금</v>
      </c>
      <c r="H2188" s="214">
        <v>0</v>
      </c>
      <c r="I2188" s="214">
        <v>24130</v>
      </c>
      <c r="J2188" s="214">
        <f t="shared" si="104"/>
        <v>24130</v>
      </c>
      <c r="K2188" s="212" t="s">
        <v>6370</v>
      </c>
      <c r="L2188" s="213"/>
      <c r="M2188" s="212"/>
    </row>
    <row r="2189" spans="1:13" ht="21" customHeight="1">
      <c r="A2189" s="213" t="s">
        <v>6620</v>
      </c>
      <c r="B2189" s="215">
        <f t="shared" si="102"/>
        <v>45797</v>
      </c>
      <c r="C2189" s="213" t="s">
        <v>4382</v>
      </c>
      <c r="D2189" s="213" t="s">
        <v>4369</v>
      </c>
      <c r="E2189" s="213" t="s">
        <v>4368</v>
      </c>
      <c r="F2189" s="212" t="s">
        <v>6388</v>
      </c>
      <c r="G2189" s="212" t="str">
        <f t="shared" si="103"/>
        <v>831지급수수료(판)</v>
      </c>
      <c r="H2189" s="214">
        <v>24130</v>
      </c>
      <c r="I2189" s="214">
        <v>0</v>
      </c>
      <c r="J2189" s="214">
        <f t="shared" si="104"/>
        <v>-24130</v>
      </c>
      <c r="K2189" s="212" t="s">
        <v>6549</v>
      </c>
      <c r="L2189" s="213"/>
      <c r="M2189" s="212"/>
    </row>
    <row r="2190" spans="1:13" ht="21" customHeight="1">
      <c r="A2190" s="213" t="s">
        <v>6620</v>
      </c>
      <c r="B2190" s="215">
        <f t="shared" si="102"/>
        <v>45797</v>
      </c>
      <c r="C2190" s="213" t="s">
        <v>4381</v>
      </c>
      <c r="D2190" s="213" t="s">
        <v>4366</v>
      </c>
      <c r="E2190" s="213" t="s">
        <v>333</v>
      </c>
      <c r="F2190" s="212" t="s">
        <v>4365</v>
      </c>
      <c r="G2190" s="212" t="str">
        <f t="shared" si="103"/>
        <v>101현금</v>
      </c>
      <c r="H2190" s="214">
        <v>0</v>
      </c>
      <c r="I2190" s="214">
        <v>42650</v>
      </c>
      <c r="J2190" s="214">
        <f t="shared" si="104"/>
        <v>42650</v>
      </c>
      <c r="K2190" s="212" t="s">
        <v>6370</v>
      </c>
      <c r="L2190" s="213"/>
      <c r="M2190" s="212"/>
    </row>
    <row r="2191" spans="1:13" ht="21" customHeight="1">
      <c r="A2191" s="213" t="s">
        <v>6620</v>
      </c>
      <c r="B2191" s="215">
        <f t="shared" si="102"/>
        <v>45797</v>
      </c>
      <c r="C2191" s="213" t="s">
        <v>4381</v>
      </c>
      <c r="D2191" s="213" t="s">
        <v>4369</v>
      </c>
      <c r="E2191" s="213" t="s">
        <v>4368</v>
      </c>
      <c r="F2191" s="212" t="s">
        <v>6388</v>
      </c>
      <c r="G2191" s="212" t="str">
        <f t="shared" si="103"/>
        <v>831지급수수료(판)</v>
      </c>
      <c r="H2191" s="214">
        <v>42650</v>
      </c>
      <c r="I2191" s="214">
        <v>0</v>
      </c>
      <c r="J2191" s="214">
        <f t="shared" si="104"/>
        <v>-42650</v>
      </c>
      <c r="K2191" s="212" t="s">
        <v>6549</v>
      </c>
      <c r="L2191" s="213"/>
      <c r="M2191" s="212"/>
    </row>
    <row r="2192" spans="1:13" ht="21" customHeight="1">
      <c r="A2192" s="213" t="s">
        <v>6620</v>
      </c>
      <c r="B2192" s="215">
        <f t="shared" si="102"/>
        <v>45797</v>
      </c>
      <c r="C2192" s="213" t="s">
        <v>4367</v>
      </c>
      <c r="D2192" s="213" t="s">
        <v>4366</v>
      </c>
      <c r="E2192" s="213" t="s">
        <v>6176</v>
      </c>
      <c r="F2192" s="212" t="s">
        <v>6177</v>
      </c>
      <c r="G2192" s="212" t="str">
        <f t="shared" si="103"/>
        <v>255부가세예수금</v>
      </c>
      <c r="H2192" s="214">
        <v>0</v>
      </c>
      <c r="I2192" s="214">
        <v>10000</v>
      </c>
      <c r="J2192" s="214">
        <f t="shared" si="104"/>
        <v>10000</v>
      </c>
      <c r="K2192" s="212" t="s">
        <v>6209</v>
      </c>
      <c r="L2192" s="213"/>
      <c r="M2192" s="212" t="s">
        <v>6185</v>
      </c>
    </row>
    <row r="2193" spans="1:13" ht="21" customHeight="1">
      <c r="A2193" s="213" t="s">
        <v>6620</v>
      </c>
      <c r="B2193" s="215">
        <f t="shared" si="102"/>
        <v>45797</v>
      </c>
      <c r="C2193" s="213" t="s">
        <v>4367</v>
      </c>
      <c r="D2193" s="213" t="s">
        <v>4366</v>
      </c>
      <c r="E2193" s="213" t="s">
        <v>334</v>
      </c>
      <c r="F2193" s="212" t="s">
        <v>6158</v>
      </c>
      <c r="G2193" s="212" t="str">
        <f t="shared" si="103"/>
        <v>401용역매출</v>
      </c>
      <c r="H2193" s="214">
        <v>0</v>
      </c>
      <c r="I2193" s="214">
        <v>100000</v>
      </c>
      <c r="J2193" s="214">
        <f t="shared" si="104"/>
        <v>100000</v>
      </c>
      <c r="K2193" s="212" t="s">
        <v>6209</v>
      </c>
      <c r="L2193" s="213"/>
      <c r="M2193" s="212" t="s">
        <v>6185</v>
      </c>
    </row>
    <row r="2194" spans="1:13" ht="21" customHeight="1">
      <c r="A2194" s="213" t="s">
        <v>6620</v>
      </c>
      <c r="B2194" s="215">
        <f t="shared" si="102"/>
        <v>45797</v>
      </c>
      <c r="C2194" s="213" t="s">
        <v>4367</v>
      </c>
      <c r="D2194" s="213" t="s">
        <v>4369</v>
      </c>
      <c r="E2194" s="213" t="s">
        <v>333</v>
      </c>
      <c r="F2194" s="212" t="s">
        <v>4365</v>
      </c>
      <c r="G2194" s="212" t="str">
        <f t="shared" si="103"/>
        <v>101현금</v>
      </c>
      <c r="H2194" s="214">
        <v>110000</v>
      </c>
      <c r="I2194" s="214">
        <v>0</v>
      </c>
      <c r="J2194" s="214">
        <f t="shared" si="104"/>
        <v>-110000</v>
      </c>
      <c r="K2194" s="212" t="s">
        <v>6209</v>
      </c>
      <c r="L2194" s="213"/>
      <c r="M2194" s="212" t="s">
        <v>6185</v>
      </c>
    </row>
    <row r="2195" spans="1:13" ht="21" customHeight="1">
      <c r="A2195" s="213" t="s">
        <v>6620</v>
      </c>
      <c r="B2195" s="215">
        <f t="shared" si="102"/>
        <v>45797</v>
      </c>
      <c r="C2195" s="213" t="s">
        <v>4374</v>
      </c>
      <c r="D2195" s="213" t="s">
        <v>4366</v>
      </c>
      <c r="E2195" s="213" t="s">
        <v>6176</v>
      </c>
      <c r="F2195" s="212" t="s">
        <v>6177</v>
      </c>
      <c r="G2195" s="212" t="str">
        <f t="shared" si="103"/>
        <v>255부가세예수금</v>
      </c>
      <c r="H2195" s="214">
        <v>0</v>
      </c>
      <c r="I2195" s="214">
        <v>15000</v>
      </c>
      <c r="J2195" s="214">
        <f t="shared" si="104"/>
        <v>15000</v>
      </c>
      <c r="K2195" s="212" t="s">
        <v>6211</v>
      </c>
      <c r="L2195" s="213"/>
      <c r="M2195" s="212" t="s">
        <v>6179</v>
      </c>
    </row>
    <row r="2196" spans="1:13" ht="21" customHeight="1">
      <c r="A2196" s="213" t="s">
        <v>6620</v>
      </c>
      <c r="B2196" s="215">
        <f t="shared" si="102"/>
        <v>45797</v>
      </c>
      <c r="C2196" s="213" t="s">
        <v>4374</v>
      </c>
      <c r="D2196" s="213" t="s">
        <v>4366</v>
      </c>
      <c r="E2196" s="213" t="s">
        <v>334</v>
      </c>
      <c r="F2196" s="212" t="s">
        <v>6158</v>
      </c>
      <c r="G2196" s="212" t="str">
        <f t="shared" si="103"/>
        <v>401용역매출</v>
      </c>
      <c r="H2196" s="214">
        <v>0</v>
      </c>
      <c r="I2196" s="214">
        <v>150000</v>
      </c>
      <c r="J2196" s="214">
        <f t="shared" si="104"/>
        <v>150000</v>
      </c>
      <c r="K2196" s="212" t="s">
        <v>6211</v>
      </c>
      <c r="L2196" s="213"/>
      <c r="M2196" s="212" t="s">
        <v>6179</v>
      </c>
    </row>
    <row r="2197" spans="1:13" ht="21" customHeight="1">
      <c r="A2197" s="213" t="s">
        <v>6620</v>
      </c>
      <c r="B2197" s="215">
        <f t="shared" si="102"/>
        <v>45797</v>
      </c>
      <c r="C2197" s="213" t="s">
        <v>4374</v>
      </c>
      <c r="D2197" s="213" t="s">
        <v>4369</v>
      </c>
      <c r="E2197" s="213" t="s">
        <v>333</v>
      </c>
      <c r="F2197" s="212" t="s">
        <v>4365</v>
      </c>
      <c r="G2197" s="212" t="str">
        <f t="shared" si="103"/>
        <v>101현금</v>
      </c>
      <c r="H2197" s="214">
        <v>165000</v>
      </c>
      <c r="I2197" s="214">
        <v>0</v>
      </c>
      <c r="J2197" s="214">
        <f t="shared" si="104"/>
        <v>-165000</v>
      </c>
      <c r="K2197" s="212" t="s">
        <v>6211</v>
      </c>
      <c r="L2197" s="213"/>
      <c r="M2197" s="212" t="s">
        <v>6179</v>
      </c>
    </row>
    <row r="2198" spans="1:13" ht="21" customHeight="1">
      <c r="A2198" s="213" t="s">
        <v>6620</v>
      </c>
      <c r="B2198" s="215">
        <f t="shared" si="102"/>
        <v>45797</v>
      </c>
      <c r="C2198" s="213" t="s">
        <v>6182</v>
      </c>
      <c r="D2198" s="213" t="s">
        <v>4366</v>
      </c>
      <c r="E2198" s="213" t="s">
        <v>6176</v>
      </c>
      <c r="F2198" s="212" t="s">
        <v>6177</v>
      </c>
      <c r="G2198" s="212" t="str">
        <f t="shared" si="103"/>
        <v>255부가세예수금</v>
      </c>
      <c r="H2198" s="214">
        <v>0</v>
      </c>
      <c r="I2198" s="214">
        <v>10000</v>
      </c>
      <c r="J2198" s="214">
        <f t="shared" si="104"/>
        <v>10000</v>
      </c>
      <c r="K2198" s="212" t="s">
        <v>6210</v>
      </c>
      <c r="L2198" s="213"/>
      <c r="M2198" s="212" t="s">
        <v>6185</v>
      </c>
    </row>
    <row r="2199" spans="1:13" ht="21" customHeight="1">
      <c r="A2199" s="213" t="s">
        <v>6620</v>
      </c>
      <c r="B2199" s="215">
        <f t="shared" si="102"/>
        <v>45797</v>
      </c>
      <c r="C2199" s="213" t="s">
        <v>6182</v>
      </c>
      <c r="D2199" s="213" t="s">
        <v>4366</v>
      </c>
      <c r="E2199" s="213" t="s">
        <v>334</v>
      </c>
      <c r="F2199" s="212" t="s">
        <v>6158</v>
      </c>
      <c r="G2199" s="212" t="str">
        <f t="shared" si="103"/>
        <v>401용역매출</v>
      </c>
      <c r="H2199" s="214">
        <v>0</v>
      </c>
      <c r="I2199" s="214">
        <v>100000</v>
      </c>
      <c r="J2199" s="214">
        <f t="shared" si="104"/>
        <v>100000</v>
      </c>
      <c r="K2199" s="212" t="s">
        <v>6210</v>
      </c>
      <c r="L2199" s="213"/>
      <c r="M2199" s="212" t="s">
        <v>6185</v>
      </c>
    </row>
    <row r="2200" spans="1:13" ht="21" customHeight="1">
      <c r="A2200" s="213" t="s">
        <v>6620</v>
      </c>
      <c r="B2200" s="215">
        <f t="shared" si="102"/>
        <v>45797</v>
      </c>
      <c r="C2200" s="213" t="s">
        <v>6182</v>
      </c>
      <c r="D2200" s="213" t="s">
        <v>4369</v>
      </c>
      <c r="E2200" s="213" t="s">
        <v>333</v>
      </c>
      <c r="F2200" s="212" t="s">
        <v>4365</v>
      </c>
      <c r="G2200" s="212" t="str">
        <f t="shared" si="103"/>
        <v>101현금</v>
      </c>
      <c r="H2200" s="214">
        <v>110000</v>
      </c>
      <c r="I2200" s="214">
        <v>0</v>
      </c>
      <c r="J2200" s="214">
        <f t="shared" si="104"/>
        <v>-110000</v>
      </c>
      <c r="K2200" s="212" t="s">
        <v>6210</v>
      </c>
      <c r="L2200" s="213"/>
      <c r="M2200" s="212" t="s">
        <v>6185</v>
      </c>
    </row>
    <row r="2201" spans="1:13" ht="21" customHeight="1">
      <c r="A2201" s="213" t="s">
        <v>6620</v>
      </c>
      <c r="B2201" s="215">
        <f t="shared" si="102"/>
        <v>45797</v>
      </c>
      <c r="C2201" s="213" t="s">
        <v>6184</v>
      </c>
      <c r="D2201" s="213" t="s">
        <v>4369</v>
      </c>
      <c r="E2201" s="213" t="s">
        <v>6212</v>
      </c>
      <c r="F2201" s="212" t="s">
        <v>6402</v>
      </c>
      <c r="G2201" s="212" t="str">
        <f t="shared" si="103"/>
        <v>837건물관리비(판)</v>
      </c>
      <c r="H2201" s="214">
        <v>157780</v>
      </c>
      <c r="I2201" s="214">
        <v>0</v>
      </c>
      <c r="J2201" s="214">
        <f t="shared" si="104"/>
        <v>-157780</v>
      </c>
      <c r="K2201" s="212" t="s">
        <v>6213</v>
      </c>
      <c r="L2201" s="213"/>
      <c r="M2201" s="212" t="s">
        <v>6214</v>
      </c>
    </row>
    <row r="2202" spans="1:13" ht="21" customHeight="1">
      <c r="A2202" s="213" t="s">
        <v>6620</v>
      </c>
      <c r="B2202" s="215">
        <f t="shared" si="102"/>
        <v>45797</v>
      </c>
      <c r="C2202" s="213" t="s">
        <v>6184</v>
      </c>
      <c r="D2202" s="213" t="s">
        <v>4366</v>
      </c>
      <c r="E2202" s="213" t="s">
        <v>333</v>
      </c>
      <c r="F2202" s="212" t="s">
        <v>4365</v>
      </c>
      <c r="G2202" s="212" t="str">
        <f t="shared" si="103"/>
        <v>101현금</v>
      </c>
      <c r="H2202" s="214">
        <v>0</v>
      </c>
      <c r="I2202" s="214">
        <v>157780</v>
      </c>
      <c r="J2202" s="214">
        <f t="shared" si="104"/>
        <v>157780</v>
      </c>
      <c r="K2202" s="212" t="s">
        <v>6213</v>
      </c>
      <c r="L2202" s="213"/>
      <c r="M2202" s="212" t="s">
        <v>6214</v>
      </c>
    </row>
    <row r="2203" spans="1:13" ht="21" customHeight="1">
      <c r="A2203" s="213" t="s">
        <v>6619</v>
      </c>
      <c r="B2203" s="215">
        <f t="shared" si="102"/>
        <v>45798</v>
      </c>
      <c r="C2203" s="213" t="s">
        <v>4373</v>
      </c>
      <c r="D2203" s="213" t="s">
        <v>4369</v>
      </c>
      <c r="E2203" s="213" t="s">
        <v>4499</v>
      </c>
      <c r="F2203" s="212" t="s">
        <v>6517</v>
      </c>
      <c r="G2203" s="212" t="str">
        <f t="shared" si="103"/>
        <v>811복리후생비(판)</v>
      </c>
      <c r="H2203" s="214">
        <v>16000</v>
      </c>
      <c r="I2203" s="214">
        <v>0</v>
      </c>
      <c r="J2203" s="214">
        <f t="shared" si="104"/>
        <v>-16000</v>
      </c>
      <c r="K2203" s="212" t="s">
        <v>6516</v>
      </c>
      <c r="L2203" s="213"/>
      <c r="M2203" s="212"/>
    </row>
    <row r="2204" spans="1:13" ht="21" customHeight="1">
      <c r="A2204" s="213" t="s">
        <v>6619</v>
      </c>
      <c r="B2204" s="215">
        <f t="shared" si="102"/>
        <v>45798</v>
      </c>
      <c r="C2204" s="213" t="s">
        <v>4373</v>
      </c>
      <c r="D2204" s="213" t="s">
        <v>4366</v>
      </c>
      <c r="E2204" s="213" t="s">
        <v>333</v>
      </c>
      <c r="F2204" s="212" t="s">
        <v>4365</v>
      </c>
      <c r="G2204" s="212" t="str">
        <f t="shared" si="103"/>
        <v>101현금</v>
      </c>
      <c r="H2204" s="214">
        <v>0</v>
      </c>
      <c r="I2204" s="214">
        <v>16000</v>
      </c>
      <c r="J2204" s="214">
        <f t="shared" si="104"/>
        <v>16000</v>
      </c>
      <c r="K2204" s="212" t="s">
        <v>6369</v>
      </c>
      <c r="L2204" s="213"/>
      <c r="M2204" s="212"/>
    </row>
    <row r="2205" spans="1:13" ht="21" customHeight="1">
      <c r="A2205" s="213" t="s">
        <v>6619</v>
      </c>
      <c r="B2205" s="215">
        <f t="shared" si="102"/>
        <v>45798</v>
      </c>
      <c r="C2205" s="213" t="s">
        <v>4367</v>
      </c>
      <c r="D2205" s="213" t="s">
        <v>4366</v>
      </c>
      <c r="E2205" s="213" t="s">
        <v>6176</v>
      </c>
      <c r="F2205" s="212" t="s">
        <v>6177</v>
      </c>
      <c r="G2205" s="212" t="str">
        <f t="shared" si="103"/>
        <v>255부가세예수금</v>
      </c>
      <c r="H2205" s="214">
        <v>0</v>
      </c>
      <c r="I2205" s="214">
        <v>15000</v>
      </c>
      <c r="J2205" s="214">
        <f t="shared" si="104"/>
        <v>15000</v>
      </c>
      <c r="K2205" s="212" t="s">
        <v>6400</v>
      </c>
      <c r="L2205" s="213"/>
      <c r="M2205" s="212" t="s">
        <v>6179</v>
      </c>
    </row>
    <row r="2206" spans="1:13" ht="21" customHeight="1">
      <c r="A2206" s="213" t="s">
        <v>6619</v>
      </c>
      <c r="B2206" s="215">
        <f t="shared" si="102"/>
        <v>45798</v>
      </c>
      <c r="C2206" s="213" t="s">
        <v>4367</v>
      </c>
      <c r="D2206" s="213" t="s">
        <v>4366</v>
      </c>
      <c r="E2206" s="213" t="s">
        <v>334</v>
      </c>
      <c r="F2206" s="212" t="s">
        <v>6158</v>
      </c>
      <c r="G2206" s="212" t="str">
        <f t="shared" si="103"/>
        <v>401용역매출</v>
      </c>
      <c r="H2206" s="214">
        <v>0</v>
      </c>
      <c r="I2206" s="214">
        <v>150000</v>
      </c>
      <c r="J2206" s="214">
        <f t="shared" si="104"/>
        <v>150000</v>
      </c>
      <c r="K2206" s="212" t="s">
        <v>6400</v>
      </c>
      <c r="L2206" s="213"/>
      <c r="M2206" s="212" t="s">
        <v>6179</v>
      </c>
    </row>
    <row r="2207" spans="1:13" ht="21" customHeight="1">
      <c r="A2207" s="213" t="s">
        <v>6619</v>
      </c>
      <c r="B2207" s="215">
        <f t="shared" si="102"/>
        <v>45798</v>
      </c>
      <c r="C2207" s="213" t="s">
        <v>4367</v>
      </c>
      <c r="D2207" s="213" t="s">
        <v>4369</v>
      </c>
      <c r="E2207" s="213" t="s">
        <v>333</v>
      </c>
      <c r="F2207" s="212" t="s">
        <v>4365</v>
      </c>
      <c r="G2207" s="212" t="str">
        <f t="shared" si="103"/>
        <v>101현금</v>
      </c>
      <c r="H2207" s="214">
        <v>165000</v>
      </c>
      <c r="I2207" s="214">
        <v>0</v>
      </c>
      <c r="J2207" s="214">
        <f t="shared" si="104"/>
        <v>-165000</v>
      </c>
      <c r="K2207" s="212" t="s">
        <v>6400</v>
      </c>
      <c r="L2207" s="213"/>
      <c r="M2207" s="212" t="s">
        <v>6179</v>
      </c>
    </row>
    <row r="2208" spans="1:13" ht="21" customHeight="1">
      <c r="A2208" s="213" t="s">
        <v>6619</v>
      </c>
      <c r="B2208" s="215">
        <f t="shared" si="102"/>
        <v>45798</v>
      </c>
      <c r="C2208" s="213" t="s">
        <v>4374</v>
      </c>
      <c r="D2208" s="213" t="s">
        <v>4366</v>
      </c>
      <c r="E2208" s="213" t="s">
        <v>6176</v>
      </c>
      <c r="F2208" s="212" t="s">
        <v>6177</v>
      </c>
      <c r="G2208" s="212" t="str">
        <f t="shared" si="103"/>
        <v>255부가세예수금</v>
      </c>
      <c r="H2208" s="214">
        <v>0</v>
      </c>
      <c r="I2208" s="214">
        <v>20000</v>
      </c>
      <c r="J2208" s="214">
        <f t="shared" si="104"/>
        <v>20000</v>
      </c>
      <c r="K2208" s="212" t="s">
        <v>6399</v>
      </c>
      <c r="L2208" s="213"/>
      <c r="M2208" s="212" t="s">
        <v>6231</v>
      </c>
    </row>
    <row r="2209" spans="1:13" ht="21" customHeight="1">
      <c r="A2209" s="213" t="s">
        <v>6619</v>
      </c>
      <c r="B2209" s="215">
        <f t="shared" si="102"/>
        <v>45798</v>
      </c>
      <c r="C2209" s="213" t="s">
        <v>4374</v>
      </c>
      <c r="D2209" s="213" t="s">
        <v>4366</v>
      </c>
      <c r="E2209" s="213" t="s">
        <v>334</v>
      </c>
      <c r="F2209" s="212" t="s">
        <v>6158</v>
      </c>
      <c r="G2209" s="212" t="str">
        <f t="shared" si="103"/>
        <v>401용역매출</v>
      </c>
      <c r="H2209" s="214">
        <v>0</v>
      </c>
      <c r="I2209" s="214">
        <v>200000</v>
      </c>
      <c r="J2209" s="214">
        <f t="shared" si="104"/>
        <v>200000</v>
      </c>
      <c r="K2209" s="212" t="s">
        <v>6399</v>
      </c>
      <c r="L2209" s="213"/>
      <c r="M2209" s="212" t="s">
        <v>6231</v>
      </c>
    </row>
    <row r="2210" spans="1:13" ht="21" customHeight="1">
      <c r="A2210" s="213" t="s">
        <v>6619</v>
      </c>
      <c r="B2210" s="215">
        <f t="shared" si="102"/>
        <v>45798</v>
      </c>
      <c r="C2210" s="213" t="s">
        <v>4374</v>
      </c>
      <c r="D2210" s="213" t="s">
        <v>4369</v>
      </c>
      <c r="E2210" s="213" t="s">
        <v>333</v>
      </c>
      <c r="F2210" s="212" t="s">
        <v>4365</v>
      </c>
      <c r="G2210" s="212" t="str">
        <f t="shared" si="103"/>
        <v>101현금</v>
      </c>
      <c r="H2210" s="214">
        <v>220000</v>
      </c>
      <c r="I2210" s="214">
        <v>0</v>
      </c>
      <c r="J2210" s="214">
        <f t="shared" si="104"/>
        <v>-220000</v>
      </c>
      <c r="K2210" s="212" t="s">
        <v>6399</v>
      </c>
      <c r="L2210" s="213"/>
      <c r="M2210" s="212" t="s">
        <v>6231</v>
      </c>
    </row>
    <row r="2211" spans="1:13" ht="21" customHeight="1">
      <c r="A2211" s="213" t="s">
        <v>6619</v>
      </c>
      <c r="B2211" s="215">
        <f t="shared" si="102"/>
        <v>45798</v>
      </c>
      <c r="C2211" s="213" t="s">
        <v>6182</v>
      </c>
      <c r="D2211" s="213" t="s">
        <v>4366</v>
      </c>
      <c r="E2211" s="213" t="s">
        <v>6176</v>
      </c>
      <c r="F2211" s="212" t="s">
        <v>6177</v>
      </c>
      <c r="G2211" s="212" t="str">
        <f t="shared" si="103"/>
        <v>255부가세예수금</v>
      </c>
      <c r="H2211" s="214">
        <v>0</v>
      </c>
      <c r="I2211" s="214">
        <v>10000</v>
      </c>
      <c r="J2211" s="214">
        <f t="shared" si="104"/>
        <v>10000</v>
      </c>
      <c r="K2211" s="212" t="s">
        <v>6255</v>
      </c>
      <c r="L2211" s="213"/>
      <c r="M2211" s="212" t="s">
        <v>6185</v>
      </c>
    </row>
    <row r="2212" spans="1:13" ht="21" customHeight="1">
      <c r="A2212" s="213" t="s">
        <v>6619</v>
      </c>
      <c r="B2212" s="215">
        <f t="shared" si="102"/>
        <v>45798</v>
      </c>
      <c r="C2212" s="213" t="s">
        <v>6182</v>
      </c>
      <c r="D2212" s="213" t="s">
        <v>4366</v>
      </c>
      <c r="E2212" s="213" t="s">
        <v>334</v>
      </c>
      <c r="F2212" s="212" t="s">
        <v>6158</v>
      </c>
      <c r="G2212" s="212" t="str">
        <f t="shared" si="103"/>
        <v>401용역매출</v>
      </c>
      <c r="H2212" s="214">
        <v>0</v>
      </c>
      <c r="I2212" s="214">
        <v>100000</v>
      </c>
      <c r="J2212" s="214">
        <f t="shared" si="104"/>
        <v>100000</v>
      </c>
      <c r="K2212" s="212" t="s">
        <v>6255</v>
      </c>
      <c r="L2212" s="213"/>
      <c r="M2212" s="212" t="s">
        <v>6185</v>
      </c>
    </row>
    <row r="2213" spans="1:13" ht="21" customHeight="1">
      <c r="A2213" s="213" t="s">
        <v>6619</v>
      </c>
      <c r="B2213" s="215">
        <f t="shared" si="102"/>
        <v>45798</v>
      </c>
      <c r="C2213" s="213" t="s">
        <v>6182</v>
      </c>
      <c r="D2213" s="213" t="s">
        <v>4369</v>
      </c>
      <c r="E2213" s="213" t="s">
        <v>333</v>
      </c>
      <c r="F2213" s="212" t="s">
        <v>4365</v>
      </c>
      <c r="G2213" s="212" t="str">
        <f t="shared" si="103"/>
        <v>101현금</v>
      </c>
      <c r="H2213" s="214">
        <v>110000</v>
      </c>
      <c r="I2213" s="214">
        <v>0</v>
      </c>
      <c r="J2213" s="214">
        <f t="shared" si="104"/>
        <v>-110000</v>
      </c>
      <c r="K2213" s="212" t="s">
        <v>6255</v>
      </c>
      <c r="L2213" s="213"/>
      <c r="M2213" s="212" t="s">
        <v>6185</v>
      </c>
    </row>
    <row r="2214" spans="1:13" ht="21" customHeight="1">
      <c r="A2214" s="213" t="s">
        <v>6618</v>
      </c>
      <c r="B2214" s="215">
        <f t="shared" si="102"/>
        <v>45799</v>
      </c>
      <c r="C2214" s="213" t="s">
        <v>4373</v>
      </c>
      <c r="D2214" s="213" t="s">
        <v>4369</v>
      </c>
      <c r="E2214" s="213" t="s">
        <v>4383</v>
      </c>
      <c r="F2214" s="212" t="s">
        <v>6525</v>
      </c>
      <c r="G2214" s="212" t="str">
        <f t="shared" si="103"/>
        <v>830소모품비(판)</v>
      </c>
      <c r="H2214" s="214">
        <v>15420</v>
      </c>
      <c r="I2214" s="214">
        <v>0</v>
      </c>
      <c r="J2214" s="214">
        <f t="shared" si="104"/>
        <v>-15420</v>
      </c>
      <c r="K2214" s="212" t="s">
        <v>6215</v>
      </c>
      <c r="L2214" s="213"/>
      <c r="M2214" s="212"/>
    </row>
    <row r="2215" spans="1:13" ht="21" customHeight="1">
      <c r="A2215" s="213" t="s">
        <v>6618</v>
      </c>
      <c r="B2215" s="215">
        <f t="shared" si="102"/>
        <v>45799</v>
      </c>
      <c r="C2215" s="213" t="s">
        <v>4373</v>
      </c>
      <c r="D2215" s="213" t="s">
        <v>4366</v>
      </c>
      <c r="E2215" s="213" t="s">
        <v>333</v>
      </c>
      <c r="F2215" s="212" t="s">
        <v>4365</v>
      </c>
      <c r="G2215" s="212" t="str">
        <f t="shared" si="103"/>
        <v>101현금</v>
      </c>
      <c r="H2215" s="214">
        <v>0</v>
      </c>
      <c r="I2215" s="214">
        <v>15420</v>
      </c>
      <c r="J2215" s="214">
        <f t="shared" si="104"/>
        <v>15420</v>
      </c>
      <c r="K2215" s="212" t="s">
        <v>6371</v>
      </c>
      <c r="L2215" s="213"/>
      <c r="M2215" s="212"/>
    </row>
    <row r="2216" spans="1:13" ht="21" customHeight="1">
      <c r="A2216" s="213" t="s">
        <v>6618</v>
      </c>
      <c r="B2216" s="215">
        <f t="shared" si="102"/>
        <v>45799</v>
      </c>
      <c r="C2216" s="213" t="s">
        <v>4382</v>
      </c>
      <c r="D2216" s="213" t="s">
        <v>4369</v>
      </c>
      <c r="E2216" s="213" t="s">
        <v>4383</v>
      </c>
      <c r="F2216" s="212" t="s">
        <v>6525</v>
      </c>
      <c r="G2216" s="212" t="str">
        <f t="shared" si="103"/>
        <v>830소모품비(판)</v>
      </c>
      <c r="H2216" s="214">
        <v>18120</v>
      </c>
      <c r="I2216" s="214">
        <v>0</v>
      </c>
      <c r="J2216" s="214">
        <f t="shared" si="104"/>
        <v>-18120</v>
      </c>
      <c r="K2216" s="212" t="s">
        <v>6215</v>
      </c>
      <c r="L2216" s="213"/>
      <c r="M2216" s="212"/>
    </row>
    <row r="2217" spans="1:13" ht="21" customHeight="1">
      <c r="A2217" s="213" t="s">
        <v>6618</v>
      </c>
      <c r="B2217" s="215">
        <f t="shared" si="102"/>
        <v>45799</v>
      </c>
      <c r="C2217" s="213" t="s">
        <v>4382</v>
      </c>
      <c r="D2217" s="213" t="s">
        <v>4366</v>
      </c>
      <c r="E2217" s="213" t="s">
        <v>333</v>
      </c>
      <c r="F2217" s="212" t="s">
        <v>4365</v>
      </c>
      <c r="G2217" s="212" t="str">
        <f t="shared" si="103"/>
        <v>101현금</v>
      </c>
      <c r="H2217" s="214">
        <v>0</v>
      </c>
      <c r="I2217" s="214">
        <v>18120</v>
      </c>
      <c r="J2217" s="214">
        <f t="shared" si="104"/>
        <v>18120</v>
      </c>
      <c r="K2217" s="212" t="s">
        <v>6371</v>
      </c>
      <c r="L2217" s="213"/>
      <c r="M2217" s="212"/>
    </row>
    <row r="2218" spans="1:13" ht="21" customHeight="1">
      <c r="A2218" s="213" t="s">
        <v>6618</v>
      </c>
      <c r="B2218" s="215">
        <f t="shared" si="102"/>
        <v>45799</v>
      </c>
      <c r="C2218" s="213" t="s">
        <v>4381</v>
      </c>
      <c r="D2218" s="213" t="s">
        <v>4369</v>
      </c>
      <c r="E2218" s="213" t="s">
        <v>4383</v>
      </c>
      <c r="F2218" s="212" t="s">
        <v>6525</v>
      </c>
      <c r="G2218" s="212" t="str">
        <f t="shared" si="103"/>
        <v>830소모품비(판)</v>
      </c>
      <c r="H2218" s="214">
        <v>25340</v>
      </c>
      <c r="I2218" s="214">
        <v>0</v>
      </c>
      <c r="J2218" s="214">
        <f t="shared" si="104"/>
        <v>-25340</v>
      </c>
      <c r="K2218" s="212" t="s">
        <v>6215</v>
      </c>
      <c r="L2218" s="213"/>
      <c r="M2218" s="212"/>
    </row>
    <row r="2219" spans="1:13" ht="21" customHeight="1">
      <c r="A2219" s="213" t="s">
        <v>6618</v>
      </c>
      <c r="B2219" s="215">
        <f t="shared" si="102"/>
        <v>45799</v>
      </c>
      <c r="C2219" s="213" t="s">
        <v>4381</v>
      </c>
      <c r="D2219" s="213" t="s">
        <v>4366</v>
      </c>
      <c r="E2219" s="213" t="s">
        <v>333</v>
      </c>
      <c r="F2219" s="212" t="s">
        <v>4365</v>
      </c>
      <c r="G2219" s="212" t="str">
        <f t="shared" si="103"/>
        <v>101현금</v>
      </c>
      <c r="H2219" s="214">
        <v>0</v>
      </c>
      <c r="I2219" s="214">
        <v>25340</v>
      </c>
      <c r="J2219" s="214">
        <f t="shared" si="104"/>
        <v>25340</v>
      </c>
      <c r="K2219" s="212" t="s">
        <v>6371</v>
      </c>
      <c r="L2219" s="213"/>
      <c r="M2219" s="212"/>
    </row>
    <row r="2220" spans="1:13" ht="21" customHeight="1">
      <c r="A2220" s="213" t="s">
        <v>6618</v>
      </c>
      <c r="B2220" s="215">
        <f t="shared" si="102"/>
        <v>45799</v>
      </c>
      <c r="C2220" s="213" t="s">
        <v>4379</v>
      </c>
      <c r="D2220" s="213" t="s">
        <v>4366</v>
      </c>
      <c r="E2220" s="213" t="s">
        <v>333</v>
      </c>
      <c r="F2220" s="212" t="s">
        <v>4365</v>
      </c>
      <c r="G2220" s="212" t="str">
        <f t="shared" si="103"/>
        <v>101현금</v>
      </c>
      <c r="H2220" s="214">
        <v>0</v>
      </c>
      <c r="I2220" s="214">
        <v>5540</v>
      </c>
      <c r="J2220" s="214">
        <f t="shared" si="104"/>
        <v>5540</v>
      </c>
      <c r="K2220" s="212" t="s">
        <v>6200</v>
      </c>
      <c r="L2220" s="213"/>
      <c r="M2220" s="212"/>
    </row>
    <row r="2221" spans="1:13" ht="21" customHeight="1">
      <c r="A2221" s="213" t="s">
        <v>6618</v>
      </c>
      <c r="B2221" s="215">
        <f t="shared" si="102"/>
        <v>45799</v>
      </c>
      <c r="C2221" s="213" t="s">
        <v>4379</v>
      </c>
      <c r="D2221" s="213" t="s">
        <v>4369</v>
      </c>
      <c r="E2221" s="213" t="s">
        <v>6290</v>
      </c>
      <c r="F2221" s="212" t="s">
        <v>6570</v>
      </c>
      <c r="G2221" s="212" t="str">
        <f t="shared" si="103"/>
        <v>824운반비(판)</v>
      </c>
      <c r="H2221" s="214">
        <v>5540</v>
      </c>
      <c r="I2221" s="214">
        <v>0</v>
      </c>
      <c r="J2221" s="214">
        <f t="shared" si="104"/>
        <v>-5540</v>
      </c>
      <c r="K2221" s="212" t="s">
        <v>6291</v>
      </c>
      <c r="L2221" s="213"/>
      <c r="M2221" s="212"/>
    </row>
    <row r="2222" spans="1:13" ht="21" customHeight="1">
      <c r="A2222" s="213" t="s">
        <v>6618</v>
      </c>
      <c r="B2222" s="215">
        <f t="shared" si="102"/>
        <v>45799</v>
      </c>
      <c r="C2222" s="213" t="s">
        <v>4385</v>
      </c>
      <c r="D2222" s="213" t="s">
        <v>4369</v>
      </c>
      <c r="E2222" s="213" t="s">
        <v>4500</v>
      </c>
      <c r="F2222" s="212" t="s">
        <v>6418</v>
      </c>
      <c r="G2222" s="212" t="str">
        <f t="shared" si="103"/>
        <v>822차량유지비(판)</v>
      </c>
      <c r="H2222" s="214">
        <v>30000</v>
      </c>
      <c r="I2222" s="214">
        <v>0</v>
      </c>
      <c r="J2222" s="214">
        <f t="shared" si="104"/>
        <v>-30000</v>
      </c>
      <c r="K2222" s="212" t="s">
        <v>6272</v>
      </c>
      <c r="L2222" s="213"/>
      <c r="M2222" s="212"/>
    </row>
    <row r="2223" spans="1:13" ht="21" customHeight="1">
      <c r="A2223" s="213" t="s">
        <v>6618</v>
      </c>
      <c r="B2223" s="215">
        <f t="shared" si="102"/>
        <v>45799</v>
      </c>
      <c r="C2223" s="213" t="s">
        <v>4385</v>
      </c>
      <c r="D2223" s="213" t="s">
        <v>4366</v>
      </c>
      <c r="E2223" s="213" t="s">
        <v>333</v>
      </c>
      <c r="F2223" s="212" t="s">
        <v>4365</v>
      </c>
      <c r="G2223" s="212" t="str">
        <f t="shared" si="103"/>
        <v>101현금</v>
      </c>
      <c r="H2223" s="214">
        <v>0</v>
      </c>
      <c r="I2223" s="214">
        <v>30000</v>
      </c>
      <c r="J2223" s="214">
        <f t="shared" si="104"/>
        <v>30000</v>
      </c>
      <c r="K2223" s="212" t="s">
        <v>6371</v>
      </c>
      <c r="L2223" s="213"/>
      <c r="M2223" s="212"/>
    </row>
    <row r="2224" spans="1:13" ht="21" customHeight="1">
      <c r="A2224" s="213" t="s">
        <v>6613</v>
      </c>
      <c r="B2224" s="215">
        <f t="shared" si="102"/>
        <v>45800</v>
      </c>
      <c r="C2224" s="213" t="s">
        <v>4373</v>
      </c>
      <c r="D2224" s="213" t="s">
        <v>4369</v>
      </c>
      <c r="E2224" s="213" t="s">
        <v>4499</v>
      </c>
      <c r="F2224" s="212" t="s">
        <v>6517</v>
      </c>
      <c r="G2224" s="212" t="str">
        <f t="shared" si="103"/>
        <v>811복리후생비(판)</v>
      </c>
      <c r="H2224" s="214">
        <v>3500</v>
      </c>
      <c r="I2224" s="214">
        <v>0</v>
      </c>
      <c r="J2224" s="214">
        <f t="shared" si="104"/>
        <v>-3500</v>
      </c>
      <c r="K2224" s="212" t="s">
        <v>6539</v>
      </c>
      <c r="L2224" s="213"/>
      <c r="M2224" s="212"/>
    </row>
    <row r="2225" spans="1:13" ht="21" customHeight="1">
      <c r="A2225" s="213" t="s">
        <v>6613</v>
      </c>
      <c r="B2225" s="215">
        <f t="shared" si="102"/>
        <v>45800</v>
      </c>
      <c r="C2225" s="213" t="s">
        <v>4373</v>
      </c>
      <c r="D2225" s="213" t="s">
        <v>4366</v>
      </c>
      <c r="E2225" s="213" t="s">
        <v>333</v>
      </c>
      <c r="F2225" s="212" t="s">
        <v>4365</v>
      </c>
      <c r="G2225" s="212" t="str">
        <f t="shared" si="103"/>
        <v>101현금</v>
      </c>
      <c r="H2225" s="214">
        <v>0</v>
      </c>
      <c r="I2225" s="214">
        <v>3500</v>
      </c>
      <c r="J2225" s="214">
        <f t="shared" si="104"/>
        <v>3500</v>
      </c>
      <c r="K2225" s="212" t="s">
        <v>6369</v>
      </c>
      <c r="L2225" s="213"/>
      <c r="M2225" s="212"/>
    </row>
    <row r="2226" spans="1:13" ht="21" customHeight="1">
      <c r="A2226" s="213" t="s">
        <v>6613</v>
      </c>
      <c r="B2226" s="215">
        <f t="shared" si="102"/>
        <v>45800</v>
      </c>
      <c r="C2226" s="213" t="s">
        <v>4382</v>
      </c>
      <c r="D2226" s="213" t="s">
        <v>4369</v>
      </c>
      <c r="E2226" s="213" t="s">
        <v>4380</v>
      </c>
      <c r="F2226" s="212" t="s">
        <v>6515</v>
      </c>
      <c r="G2226" s="212" t="str">
        <f t="shared" si="103"/>
        <v>812여비교통비(판)</v>
      </c>
      <c r="H2226" s="214">
        <v>6300</v>
      </c>
      <c r="I2226" s="214">
        <v>0</v>
      </c>
      <c r="J2226" s="214">
        <f t="shared" si="104"/>
        <v>-6300</v>
      </c>
      <c r="K2226" s="212" t="s">
        <v>6617</v>
      </c>
      <c r="L2226" s="213"/>
      <c r="M2226" s="212"/>
    </row>
    <row r="2227" spans="1:13" ht="21" customHeight="1">
      <c r="A2227" s="213" t="s">
        <v>6613</v>
      </c>
      <c r="B2227" s="215">
        <f t="shared" si="102"/>
        <v>45800</v>
      </c>
      <c r="C2227" s="213" t="s">
        <v>4382</v>
      </c>
      <c r="D2227" s="213" t="s">
        <v>4366</v>
      </c>
      <c r="E2227" s="213" t="s">
        <v>333</v>
      </c>
      <c r="F2227" s="212" t="s">
        <v>4365</v>
      </c>
      <c r="G2227" s="212" t="str">
        <f t="shared" si="103"/>
        <v>101현금</v>
      </c>
      <c r="H2227" s="214">
        <v>0</v>
      </c>
      <c r="I2227" s="214">
        <v>6300</v>
      </c>
      <c r="J2227" s="214">
        <f t="shared" si="104"/>
        <v>6300</v>
      </c>
      <c r="K2227" s="212" t="s">
        <v>6369</v>
      </c>
      <c r="L2227" s="213"/>
      <c r="M2227" s="212"/>
    </row>
    <row r="2228" spans="1:13" ht="21" customHeight="1">
      <c r="A2228" s="213" t="s">
        <v>6613</v>
      </c>
      <c r="B2228" s="215">
        <f t="shared" si="102"/>
        <v>45800</v>
      </c>
      <c r="C2228" s="213" t="s">
        <v>4381</v>
      </c>
      <c r="D2228" s="213" t="s">
        <v>4366</v>
      </c>
      <c r="E2228" s="213" t="s">
        <v>333</v>
      </c>
      <c r="F2228" s="212" t="s">
        <v>4365</v>
      </c>
      <c r="G2228" s="212" t="str">
        <f t="shared" si="103"/>
        <v>101현금</v>
      </c>
      <c r="H2228" s="214">
        <v>0</v>
      </c>
      <c r="I2228" s="214">
        <v>4000</v>
      </c>
      <c r="J2228" s="214">
        <f t="shared" si="104"/>
        <v>4000</v>
      </c>
      <c r="K2228" s="212" t="s">
        <v>6369</v>
      </c>
      <c r="L2228" s="213"/>
      <c r="M2228" s="212"/>
    </row>
    <row r="2229" spans="1:13" ht="21" customHeight="1">
      <c r="A2229" s="213" t="s">
        <v>6613</v>
      </c>
      <c r="B2229" s="215">
        <f t="shared" si="102"/>
        <v>45800</v>
      </c>
      <c r="C2229" s="213" t="s">
        <v>4381</v>
      </c>
      <c r="D2229" s="213" t="s">
        <v>4369</v>
      </c>
      <c r="E2229" s="213" t="s">
        <v>4380</v>
      </c>
      <c r="F2229" s="212" t="s">
        <v>6515</v>
      </c>
      <c r="G2229" s="212" t="str">
        <f t="shared" si="103"/>
        <v>812여비교통비(판)</v>
      </c>
      <c r="H2229" s="214">
        <v>4000</v>
      </c>
      <c r="I2229" s="214">
        <v>0</v>
      </c>
      <c r="J2229" s="214">
        <f t="shared" si="104"/>
        <v>-4000</v>
      </c>
      <c r="K2229" s="212" t="s">
        <v>6616</v>
      </c>
      <c r="L2229" s="213"/>
      <c r="M2229" s="212"/>
    </row>
    <row r="2230" spans="1:13" ht="21" customHeight="1">
      <c r="A2230" s="213" t="s">
        <v>6613</v>
      </c>
      <c r="B2230" s="215">
        <f t="shared" si="102"/>
        <v>45800</v>
      </c>
      <c r="C2230" s="213" t="s">
        <v>4379</v>
      </c>
      <c r="D2230" s="213" t="s">
        <v>4369</v>
      </c>
      <c r="E2230" s="213" t="s">
        <v>6157</v>
      </c>
      <c r="F2230" s="212" t="s">
        <v>6524</v>
      </c>
      <c r="G2230" s="212" t="str">
        <f t="shared" si="103"/>
        <v>813접대비(기업업무추진비)(판)</v>
      </c>
      <c r="H2230" s="214">
        <v>65000</v>
      </c>
      <c r="I2230" s="214">
        <v>0</v>
      </c>
      <c r="J2230" s="214">
        <f t="shared" si="104"/>
        <v>-65000</v>
      </c>
      <c r="K2230" s="212" t="s">
        <v>6615</v>
      </c>
      <c r="L2230" s="213" t="s">
        <v>1327</v>
      </c>
      <c r="M2230" s="212" t="s">
        <v>6356</v>
      </c>
    </row>
    <row r="2231" spans="1:13" ht="21" customHeight="1">
      <c r="A2231" s="213" t="s">
        <v>6613</v>
      </c>
      <c r="B2231" s="215">
        <f t="shared" si="102"/>
        <v>45800</v>
      </c>
      <c r="C2231" s="213" t="s">
        <v>4379</v>
      </c>
      <c r="D2231" s="213" t="s">
        <v>4366</v>
      </c>
      <c r="E2231" s="213" t="s">
        <v>333</v>
      </c>
      <c r="F2231" s="212" t="s">
        <v>4365</v>
      </c>
      <c r="G2231" s="212" t="str">
        <f t="shared" si="103"/>
        <v>101현금</v>
      </c>
      <c r="H2231" s="214">
        <v>0</v>
      </c>
      <c r="I2231" s="214">
        <v>65000</v>
      </c>
      <c r="J2231" s="214">
        <f t="shared" si="104"/>
        <v>65000</v>
      </c>
      <c r="K2231" s="212" t="s">
        <v>6369</v>
      </c>
      <c r="L2231" s="213"/>
      <c r="M2231" s="212"/>
    </row>
    <row r="2232" spans="1:13" ht="21" customHeight="1">
      <c r="A2232" s="213" t="s">
        <v>6613</v>
      </c>
      <c r="B2232" s="215">
        <f t="shared" si="102"/>
        <v>45800</v>
      </c>
      <c r="C2232" s="213" t="s">
        <v>4385</v>
      </c>
      <c r="D2232" s="213" t="s">
        <v>4369</v>
      </c>
      <c r="E2232" s="213" t="s">
        <v>4499</v>
      </c>
      <c r="F2232" s="212" t="s">
        <v>6517</v>
      </c>
      <c r="G2232" s="212" t="str">
        <f t="shared" si="103"/>
        <v>811복리후생비(판)</v>
      </c>
      <c r="H2232" s="214">
        <v>23900</v>
      </c>
      <c r="I2232" s="214">
        <v>0</v>
      </c>
      <c r="J2232" s="214">
        <f t="shared" si="104"/>
        <v>-23900</v>
      </c>
      <c r="K2232" s="212" t="s">
        <v>6614</v>
      </c>
      <c r="L2232" s="213"/>
      <c r="M2232" s="212"/>
    </row>
    <row r="2233" spans="1:13" ht="21" customHeight="1">
      <c r="A2233" s="213" t="s">
        <v>6613</v>
      </c>
      <c r="B2233" s="215">
        <f t="shared" si="102"/>
        <v>45800</v>
      </c>
      <c r="C2233" s="213" t="s">
        <v>4385</v>
      </c>
      <c r="D2233" s="213" t="s">
        <v>4366</v>
      </c>
      <c r="E2233" s="213" t="s">
        <v>333</v>
      </c>
      <c r="F2233" s="212" t="s">
        <v>4365</v>
      </c>
      <c r="G2233" s="212" t="str">
        <f t="shared" si="103"/>
        <v>101현금</v>
      </c>
      <c r="H2233" s="214">
        <v>0</v>
      </c>
      <c r="I2233" s="214">
        <v>23900</v>
      </c>
      <c r="J2233" s="214">
        <f t="shared" si="104"/>
        <v>23900</v>
      </c>
      <c r="K2233" s="212" t="s">
        <v>6614</v>
      </c>
      <c r="L2233" s="213"/>
      <c r="M2233" s="212"/>
    </row>
    <row r="2234" spans="1:13" ht="21" customHeight="1">
      <c r="A2234" s="213" t="s">
        <v>6613</v>
      </c>
      <c r="B2234" s="215">
        <f t="shared" si="102"/>
        <v>45800</v>
      </c>
      <c r="C2234" s="213" t="s">
        <v>4367</v>
      </c>
      <c r="D2234" s="213" t="s">
        <v>4366</v>
      </c>
      <c r="E2234" s="213" t="s">
        <v>6176</v>
      </c>
      <c r="F2234" s="212" t="s">
        <v>6177</v>
      </c>
      <c r="G2234" s="212" t="str">
        <f t="shared" si="103"/>
        <v>255부가세예수금</v>
      </c>
      <c r="H2234" s="214">
        <v>0</v>
      </c>
      <c r="I2234" s="214">
        <v>7000</v>
      </c>
      <c r="J2234" s="214">
        <f t="shared" si="104"/>
        <v>7000</v>
      </c>
      <c r="K2234" s="212" t="s">
        <v>6247</v>
      </c>
      <c r="L2234" s="213"/>
      <c r="M2234" s="212" t="s">
        <v>6287</v>
      </c>
    </row>
    <row r="2235" spans="1:13" ht="21" customHeight="1">
      <c r="A2235" s="213" t="s">
        <v>6613</v>
      </c>
      <c r="B2235" s="215">
        <f t="shared" si="102"/>
        <v>45800</v>
      </c>
      <c r="C2235" s="213" t="s">
        <v>4367</v>
      </c>
      <c r="D2235" s="213" t="s">
        <v>4366</v>
      </c>
      <c r="E2235" s="213" t="s">
        <v>334</v>
      </c>
      <c r="F2235" s="212" t="s">
        <v>6158</v>
      </c>
      <c r="G2235" s="212" t="str">
        <f t="shared" si="103"/>
        <v>401용역매출</v>
      </c>
      <c r="H2235" s="214">
        <v>0</v>
      </c>
      <c r="I2235" s="214">
        <v>70000</v>
      </c>
      <c r="J2235" s="214">
        <f t="shared" si="104"/>
        <v>70000</v>
      </c>
      <c r="K2235" s="212" t="s">
        <v>6247</v>
      </c>
      <c r="L2235" s="213"/>
      <c r="M2235" s="212" t="s">
        <v>6287</v>
      </c>
    </row>
    <row r="2236" spans="1:13" ht="21" customHeight="1">
      <c r="A2236" s="213" t="s">
        <v>6613</v>
      </c>
      <c r="B2236" s="215">
        <f t="shared" si="102"/>
        <v>45800</v>
      </c>
      <c r="C2236" s="213" t="s">
        <v>4367</v>
      </c>
      <c r="D2236" s="213" t="s">
        <v>4369</v>
      </c>
      <c r="E2236" s="213" t="s">
        <v>333</v>
      </c>
      <c r="F2236" s="212" t="s">
        <v>4365</v>
      </c>
      <c r="G2236" s="212" t="str">
        <f t="shared" si="103"/>
        <v>101현금</v>
      </c>
      <c r="H2236" s="214">
        <v>77000</v>
      </c>
      <c r="I2236" s="214">
        <v>0</v>
      </c>
      <c r="J2236" s="214">
        <f t="shared" si="104"/>
        <v>-77000</v>
      </c>
      <c r="K2236" s="212" t="s">
        <v>6247</v>
      </c>
      <c r="L2236" s="213"/>
      <c r="M2236" s="212" t="s">
        <v>6287</v>
      </c>
    </row>
    <row r="2237" spans="1:13" ht="21" customHeight="1">
      <c r="A2237" s="217" t="s">
        <v>6608</v>
      </c>
      <c r="B2237" s="215">
        <f t="shared" si="102"/>
        <v>45801</v>
      </c>
      <c r="C2237" s="213" t="s">
        <v>4373</v>
      </c>
      <c r="D2237" s="213" t="s">
        <v>4369</v>
      </c>
      <c r="E2237" s="213" t="s">
        <v>4499</v>
      </c>
      <c r="F2237" s="212" t="s">
        <v>6517</v>
      </c>
      <c r="G2237" s="212" t="str">
        <f t="shared" si="103"/>
        <v>811복리후생비(판)</v>
      </c>
      <c r="H2237" s="214">
        <v>27260</v>
      </c>
      <c r="I2237" s="214">
        <v>0</v>
      </c>
      <c r="J2237" s="214">
        <f t="shared" si="104"/>
        <v>-27260</v>
      </c>
      <c r="K2237" s="212" t="s">
        <v>6612</v>
      </c>
      <c r="L2237" s="213"/>
      <c r="M2237" s="212"/>
    </row>
    <row r="2238" spans="1:13" ht="21" customHeight="1">
      <c r="A2238" s="217" t="s">
        <v>6608</v>
      </c>
      <c r="B2238" s="215">
        <f t="shared" si="102"/>
        <v>45801</v>
      </c>
      <c r="C2238" s="213" t="s">
        <v>4373</v>
      </c>
      <c r="D2238" s="213" t="s">
        <v>4366</v>
      </c>
      <c r="E2238" s="213" t="s">
        <v>333</v>
      </c>
      <c r="F2238" s="212" t="s">
        <v>4365</v>
      </c>
      <c r="G2238" s="212" t="str">
        <f t="shared" si="103"/>
        <v>101현금</v>
      </c>
      <c r="H2238" s="214">
        <v>0</v>
      </c>
      <c r="I2238" s="214">
        <v>27260</v>
      </c>
      <c r="J2238" s="214">
        <f t="shared" si="104"/>
        <v>27260</v>
      </c>
      <c r="K2238" s="212" t="s">
        <v>6371</v>
      </c>
      <c r="L2238" s="213"/>
      <c r="M2238" s="212"/>
    </row>
    <row r="2239" spans="1:13" ht="21" customHeight="1">
      <c r="A2239" s="217" t="s">
        <v>6608</v>
      </c>
      <c r="B2239" s="215">
        <f t="shared" si="102"/>
        <v>45801</v>
      </c>
      <c r="C2239" s="213" t="s">
        <v>4382</v>
      </c>
      <c r="D2239" s="213" t="s">
        <v>4369</v>
      </c>
      <c r="E2239" s="213" t="s">
        <v>4383</v>
      </c>
      <c r="F2239" s="212" t="s">
        <v>6525</v>
      </c>
      <c r="G2239" s="212" t="str">
        <f t="shared" si="103"/>
        <v>830소모품비(판)</v>
      </c>
      <c r="H2239" s="214">
        <v>2200</v>
      </c>
      <c r="I2239" s="214">
        <v>0</v>
      </c>
      <c r="J2239" s="214">
        <f t="shared" si="104"/>
        <v>-2200</v>
      </c>
      <c r="K2239" s="212" t="s">
        <v>6367</v>
      </c>
      <c r="L2239" s="213"/>
      <c r="M2239" s="212"/>
    </row>
    <row r="2240" spans="1:13" ht="21" customHeight="1">
      <c r="A2240" s="217" t="s">
        <v>6608</v>
      </c>
      <c r="B2240" s="215">
        <f t="shared" si="102"/>
        <v>45801</v>
      </c>
      <c r="C2240" s="213" t="s">
        <v>4382</v>
      </c>
      <c r="D2240" s="213" t="s">
        <v>4366</v>
      </c>
      <c r="E2240" s="213" t="s">
        <v>333</v>
      </c>
      <c r="F2240" s="212" t="s">
        <v>4365</v>
      </c>
      <c r="G2240" s="212" t="str">
        <f t="shared" si="103"/>
        <v>101현금</v>
      </c>
      <c r="H2240" s="214">
        <v>0</v>
      </c>
      <c r="I2240" s="214">
        <v>2200</v>
      </c>
      <c r="J2240" s="214">
        <f t="shared" si="104"/>
        <v>2200</v>
      </c>
      <c r="K2240" s="212" t="s">
        <v>6369</v>
      </c>
      <c r="L2240" s="213"/>
      <c r="M2240" s="212"/>
    </row>
    <row r="2241" spans="1:13" ht="21" customHeight="1">
      <c r="A2241" s="217" t="s">
        <v>6608</v>
      </c>
      <c r="B2241" s="215">
        <f t="shared" si="102"/>
        <v>45801</v>
      </c>
      <c r="C2241" s="213" t="s">
        <v>4381</v>
      </c>
      <c r="D2241" s="213" t="s">
        <v>4369</v>
      </c>
      <c r="E2241" s="213" t="s">
        <v>4383</v>
      </c>
      <c r="F2241" s="212" t="s">
        <v>6525</v>
      </c>
      <c r="G2241" s="212" t="str">
        <f t="shared" si="103"/>
        <v>830소모품비(판)</v>
      </c>
      <c r="H2241" s="214">
        <v>7600</v>
      </c>
      <c r="I2241" s="214">
        <v>0</v>
      </c>
      <c r="J2241" s="214">
        <f t="shared" si="104"/>
        <v>-7600</v>
      </c>
      <c r="K2241" s="212" t="s">
        <v>6198</v>
      </c>
      <c r="L2241" s="213"/>
      <c r="M2241" s="212"/>
    </row>
    <row r="2242" spans="1:13" ht="21" customHeight="1">
      <c r="A2242" s="217" t="s">
        <v>6608</v>
      </c>
      <c r="B2242" s="215">
        <f t="shared" ref="B2242:B2305" si="105">DATEVALUE(A2242)</f>
        <v>45801</v>
      </c>
      <c r="C2242" s="213" t="s">
        <v>4381</v>
      </c>
      <c r="D2242" s="213" t="s">
        <v>4366</v>
      </c>
      <c r="E2242" s="213" t="s">
        <v>333</v>
      </c>
      <c r="F2242" s="212" t="s">
        <v>4365</v>
      </c>
      <c r="G2242" s="212" t="str">
        <f t="shared" ref="G2242:G2305" si="106">E2242&amp;F2242</f>
        <v>101현금</v>
      </c>
      <c r="H2242" s="214">
        <v>0</v>
      </c>
      <c r="I2242" s="214">
        <v>7600</v>
      </c>
      <c r="J2242" s="214">
        <f t="shared" ref="J2242:J2305" si="107">I2242-H2242</f>
        <v>7600</v>
      </c>
      <c r="K2242" s="212" t="s">
        <v>6371</v>
      </c>
      <c r="L2242" s="213"/>
      <c r="M2242" s="212"/>
    </row>
    <row r="2243" spans="1:13" ht="21" customHeight="1">
      <c r="A2243" s="217" t="s">
        <v>6608</v>
      </c>
      <c r="B2243" s="215">
        <f t="shared" si="105"/>
        <v>45801</v>
      </c>
      <c r="C2243" s="213" t="s">
        <v>4379</v>
      </c>
      <c r="D2243" s="213" t="s">
        <v>4369</v>
      </c>
      <c r="E2243" s="213" t="s">
        <v>4380</v>
      </c>
      <c r="F2243" s="212" t="s">
        <v>6515</v>
      </c>
      <c r="G2243" s="212" t="str">
        <f t="shared" si="106"/>
        <v>812여비교통비(판)</v>
      </c>
      <c r="H2243" s="214">
        <v>1800</v>
      </c>
      <c r="I2243" s="214">
        <v>0</v>
      </c>
      <c r="J2243" s="214">
        <f t="shared" si="107"/>
        <v>-1800</v>
      </c>
      <c r="K2243" s="212" t="s">
        <v>6611</v>
      </c>
      <c r="L2243" s="213"/>
      <c r="M2243" s="212"/>
    </row>
    <row r="2244" spans="1:13" ht="21" customHeight="1">
      <c r="A2244" s="217" t="s">
        <v>6608</v>
      </c>
      <c r="B2244" s="215">
        <f t="shared" si="105"/>
        <v>45801</v>
      </c>
      <c r="C2244" s="213" t="s">
        <v>4379</v>
      </c>
      <c r="D2244" s="213" t="s">
        <v>4366</v>
      </c>
      <c r="E2244" s="213" t="s">
        <v>333</v>
      </c>
      <c r="F2244" s="212" t="s">
        <v>4365</v>
      </c>
      <c r="G2244" s="212" t="str">
        <f t="shared" si="106"/>
        <v>101현금</v>
      </c>
      <c r="H2244" s="214">
        <v>0</v>
      </c>
      <c r="I2244" s="214">
        <v>1800</v>
      </c>
      <c r="J2244" s="214">
        <f t="shared" si="107"/>
        <v>1800</v>
      </c>
      <c r="K2244" s="212" t="s">
        <v>6369</v>
      </c>
      <c r="L2244" s="213"/>
      <c r="M2244" s="212"/>
    </row>
    <row r="2245" spans="1:13" ht="21" customHeight="1">
      <c r="A2245" s="217" t="s">
        <v>6608</v>
      </c>
      <c r="B2245" s="215">
        <f t="shared" si="105"/>
        <v>45801</v>
      </c>
      <c r="C2245" s="213" t="s">
        <v>4385</v>
      </c>
      <c r="D2245" s="213" t="s">
        <v>4369</v>
      </c>
      <c r="E2245" s="213" t="s">
        <v>4380</v>
      </c>
      <c r="F2245" s="212" t="s">
        <v>6515</v>
      </c>
      <c r="G2245" s="212" t="str">
        <f t="shared" si="106"/>
        <v>812여비교통비(판)</v>
      </c>
      <c r="H2245" s="214">
        <v>1800</v>
      </c>
      <c r="I2245" s="214">
        <v>0</v>
      </c>
      <c r="J2245" s="214">
        <f t="shared" si="107"/>
        <v>-1800</v>
      </c>
      <c r="K2245" s="212" t="s">
        <v>6305</v>
      </c>
      <c r="L2245" s="213"/>
      <c r="M2245" s="212"/>
    </row>
    <row r="2246" spans="1:13" ht="21" customHeight="1">
      <c r="A2246" s="217" t="s">
        <v>6608</v>
      </c>
      <c r="B2246" s="215">
        <f t="shared" si="105"/>
        <v>45801</v>
      </c>
      <c r="C2246" s="213" t="s">
        <v>4385</v>
      </c>
      <c r="D2246" s="213" t="s">
        <v>4366</v>
      </c>
      <c r="E2246" s="213" t="s">
        <v>333</v>
      </c>
      <c r="F2246" s="212" t="s">
        <v>4365</v>
      </c>
      <c r="G2246" s="212" t="str">
        <f t="shared" si="106"/>
        <v>101현금</v>
      </c>
      <c r="H2246" s="214">
        <v>0</v>
      </c>
      <c r="I2246" s="214">
        <v>1800</v>
      </c>
      <c r="J2246" s="214">
        <f t="shared" si="107"/>
        <v>1800</v>
      </c>
      <c r="K2246" s="212" t="s">
        <v>6369</v>
      </c>
      <c r="L2246" s="213"/>
      <c r="M2246" s="212"/>
    </row>
    <row r="2247" spans="1:13" ht="21" customHeight="1">
      <c r="A2247" s="217" t="s">
        <v>6608</v>
      </c>
      <c r="B2247" s="215">
        <f t="shared" si="105"/>
        <v>45801</v>
      </c>
      <c r="C2247" s="213" t="s">
        <v>4501</v>
      </c>
      <c r="D2247" s="213" t="s">
        <v>4369</v>
      </c>
      <c r="E2247" s="213" t="s">
        <v>4380</v>
      </c>
      <c r="F2247" s="212" t="s">
        <v>6515</v>
      </c>
      <c r="G2247" s="212" t="str">
        <f t="shared" si="106"/>
        <v>812여비교통비(판)</v>
      </c>
      <c r="H2247" s="214">
        <v>3600</v>
      </c>
      <c r="I2247" s="214">
        <v>0</v>
      </c>
      <c r="J2247" s="214">
        <f t="shared" si="107"/>
        <v>-3600</v>
      </c>
      <c r="K2247" s="212" t="s">
        <v>6305</v>
      </c>
      <c r="L2247" s="213"/>
      <c r="M2247" s="212"/>
    </row>
    <row r="2248" spans="1:13" ht="21" customHeight="1">
      <c r="A2248" s="217" t="s">
        <v>6608</v>
      </c>
      <c r="B2248" s="215">
        <f t="shared" si="105"/>
        <v>45801</v>
      </c>
      <c r="C2248" s="213" t="s">
        <v>4501</v>
      </c>
      <c r="D2248" s="213" t="s">
        <v>4366</v>
      </c>
      <c r="E2248" s="213" t="s">
        <v>333</v>
      </c>
      <c r="F2248" s="212" t="s">
        <v>4365</v>
      </c>
      <c r="G2248" s="212" t="str">
        <f t="shared" si="106"/>
        <v>101현금</v>
      </c>
      <c r="H2248" s="214">
        <v>0</v>
      </c>
      <c r="I2248" s="214">
        <v>3600</v>
      </c>
      <c r="J2248" s="214">
        <f t="shared" si="107"/>
        <v>3600</v>
      </c>
      <c r="K2248" s="212" t="s">
        <v>6369</v>
      </c>
      <c r="L2248" s="213"/>
      <c r="M2248" s="212"/>
    </row>
    <row r="2249" spans="1:13" ht="21" customHeight="1">
      <c r="A2249" s="217" t="s">
        <v>6608</v>
      </c>
      <c r="B2249" s="215">
        <f t="shared" si="105"/>
        <v>45801</v>
      </c>
      <c r="C2249" s="213" t="s">
        <v>4502</v>
      </c>
      <c r="D2249" s="213" t="s">
        <v>4369</v>
      </c>
      <c r="E2249" s="213" t="s">
        <v>4500</v>
      </c>
      <c r="F2249" s="212" t="s">
        <v>6418</v>
      </c>
      <c r="G2249" s="212" t="str">
        <f t="shared" si="106"/>
        <v>822차량유지비(판)</v>
      </c>
      <c r="H2249" s="214">
        <v>50000</v>
      </c>
      <c r="I2249" s="214">
        <v>0</v>
      </c>
      <c r="J2249" s="214">
        <f t="shared" si="107"/>
        <v>-50000</v>
      </c>
      <c r="K2249" s="212" t="s">
        <v>6610</v>
      </c>
      <c r="L2249" s="213"/>
      <c r="M2249" s="212"/>
    </row>
    <row r="2250" spans="1:13" ht="21" customHeight="1">
      <c r="A2250" s="217" t="s">
        <v>6608</v>
      </c>
      <c r="B2250" s="215">
        <f t="shared" si="105"/>
        <v>45801</v>
      </c>
      <c r="C2250" s="213" t="s">
        <v>4502</v>
      </c>
      <c r="D2250" s="213" t="s">
        <v>4366</v>
      </c>
      <c r="E2250" s="213" t="s">
        <v>333</v>
      </c>
      <c r="F2250" s="212" t="s">
        <v>4365</v>
      </c>
      <c r="G2250" s="212" t="str">
        <f t="shared" si="106"/>
        <v>101현금</v>
      </c>
      <c r="H2250" s="214">
        <v>0</v>
      </c>
      <c r="I2250" s="214">
        <v>50000</v>
      </c>
      <c r="J2250" s="214">
        <f t="shared" si="107"/>
        <v>50000</v>
      </c>
      <c r="K2250" s="212" t="s">
        <v>6371</v>
      </c>
      <c r="L2250" s="213"/>
      <c r="M2250" s="212"/>
    </row>
    <row r="2251" spans="1:13" ht="21" customHeight="1">
      <c r="A2251" s="217" t="s">
        <v>6608</v>
      </c>
      <c r="B2251" s="215">
        <f t="shared" si="105"/>
        <v>45801</v>
      </c>
      <c r="C2251" s="213" t="s">
        <v>4503</v>
      </c>
      <c r="D2251" s="213" t="s">
        <v>4369</v>
      </c>
      <c r="E2251" s="213" t="s">
        <v>4500</v>
      </c>
      <c r="F2251" s="212" t="s">
        <v>6418</v>
      </c>
      <c r="G2251" s="212" t="str">
        <f t="shared" si="106"/>
        <v>822차량유지비(판)</v>
      </c>
      <c r="H2251" s="214">
        <v>77000</v>
      </c>
      <c r="I2251" s="214">
        <v>0</v>
      </c>
      <c r="J2251" s="214">
        <f t="shared" si="107"/>
        <v>-77000</v>
      </c>
      <c r="K2251" s="212" t="s">
        <v>6609</v>
      </c>
      <c r="L2251" s="213"/>
      <c r="M2251" s="212"/>
    </row>
    <row r="2252" spans="1:13" ht="21" customHeight="1">
      <c r="A2252" s="217" t="s">
        <v>6608</v>
      </c>
      <c r="B2252" s="215">
        <f t="shared" si="105"/>
        <v>45801</v>
      </c>
      <c r="C2252" s="213" t="s">
        <v>4503</v>
      </c>
      <c r="D2252" s="213" t="s">
        <v>4366</v>
      </c>
      <c r="E2252" s="213" t="s">
        <v>333</v>
      </c>
      <c r="F2252" s="212" t="s">
        <v>4365</v>
      </c>
      <c r="G2252" s="212" t="str">
        <f t="shared" si="106"/>
        <v>101현금</v>
      </c>
      <c r="H2252" s="214">
        <v>0</v>
      </c>
      <c r="I2252" s="214">
        <v>77000</v>
      </c>
      <c r="J2252" s="214">
        <f t="shared" si="107"/>
        <v>77000</v>
      </c>
      <c r="K2252" s="212" t="s">
        <v>6371</v>
      </c>
      <c r="L2252" s="213"/>
      <c r="M2252" s="212"/>
    </row>
    <row r="2253" spans="1:13" ht="21" customHeight="1">
      <c r="A2253" s="216" t="s">
        <v>6606</v>
      </c>
      <c r="B2253" s="215">
        <f t="shared" si="105"/>
        <v>45802</v>
      </c>
      <c r="C2253" s="213" t="s">
        <v>4373</v>
      </c>
      <c r="D2253" s="213" t="s">
        <v>4369</v>
      </c>
      <c r="E2253" s="213" t="s">
        <v>4499</v>
      </c>
      <c r="F2253" s="212" t="s">
        <v>6517</v>
      </c>
      <c r="G2253" s="212" t="str">
        <f t="shared" si="106"/>
        <v>811복리후생비(판)</v>
      </c>
      <c r="H2253" s="214">
        <v>32000</v>
      </c>
      <c r="I2253" s="214">
        <v>0</v>
      </c>
      <c r="J2253" s="214">
        <f t="shared" si="107"/>
        <v>-32000</v>
      </c>
      <c r="K2253" s="212" t="s">
        <v>6607</v>
      </c>
      <c r="L2253" s="213"/>
      <c r="M2253" s="212"/>
    </row>
    <row r="2254" spans="1:13" ht="21" customHeight="1">
      <c r="A2254" s="216" t="s">
        <v>6606</v>
      </c>
      <c r="B2254" s="215">
        <f t="shared" si="105"/>
        <v>45802</v>
      </c>
      <c r="C2254" s="213" t="s">
        <v>4373</v>
      </c>
      <c r="D2254" s="213" t="s">
        <v>4366</v>
      </c>
      <c r="E2254" s="213" t="s">
        <v>333</v>
      </c>
      <c r="F2254" s="212" t="s">
        <v>4365</v>
      </c>
      <c r="G2254" s="212" t="str">
        <f t="shared" si="106"/>
        <v>101현금</v>
      </c>
      <c r="H2254" s="214">
        <v>0</v>
      </c>
      <c r="I2254" s="214">
        <v>32000</v>
      </c>
      <c r="J2254" s="214">
        <f t="shared" si="107"/>
        <v>32000</v>
      </c>
      <c r="K2254" s="212" t="s">
        <v>6371</v>
      </c>
      <c r="L2254" s="213"/>
      <c r="M2254" s="212"/>
    </row>
    <row r="2255" spans="1:13" ht="21" customHeight="1">
      <c r="A2255" s="216" t="s">
        <v>6606</v>
      </c>
      <c r="B2255" s="215">
        <f t="shared" si="105"/>
        <v>45802</v>
      </c>
      <c r="C2255" s="213" t="s">
        <v>4382</v>
      </c>
      <c r="D2255" s="213" t="s">
        <v>4369</v>
      </c>
      <c r="E2255" s="213" t="s">
        <v>4383</v>
      </c>
      <c r="F2255" s="212" t="s">
        <v>6525</v>
      </c>
      <c r="G2255" s="212" t="str">
        <f t="shared" si="106"/>
        <v>830소모품비(판)</v>
      </c>
      <c r="H2255" s="214">
        <v>7000</v>
      </c>
      <c r="I2255" s="214">
        <v>0</v>
      </c>
      <c r="J2255" s="214">
        <f t="shared" si="107"/>
        <v>-7000</v>
      </c>
      <c r="K2255" s="212" t="s">
        <v>6550</v>
      </c>
      <c r="L2255" s="213"/>
      <c r="M2255" s="212"/>
    </row>
    <row r="2256" spans="1:13" ht="21" customHeight="1">
      <c r="A2256" s="216" t="s">
        <v>6606</v>
      </c>
      <c r="B2256" s="215">
        <f t="shared" si="105"/>
        <v>45802</v>
      </c>
      <c r="C2256" s="213" t="s">
        <v>4382</v>
      </c>
      <c r="D2256" s="213" t="s">
        <v>4366</v>
      </c>
      <c r="E2256" s="213" t="s">
        <v>333</v>
      </c>
      <c r="F2256" s="212" t="s">
        <v>4365</v>
      </c>
      <c r="G2256" s="212" t="str">
        <f t="shared" si="106"/>
        <v>101현금</v>
      </c>
      <c r="H2256" s="214">
        <v>0</v>
      </c>
      <c r="I2256" s="214">
        <v>7000</v>
      </c>
      <c r="J2256" s="214">
        <f t="shared" si="107"/>
        <v>7000</v>
      </c>
      <c r="K2256" s="212" t="s">
        <v>6369</v>
      </c>
      <c r="L2256" s="213"/>
      <c r="M2256" s="212"/>
    </row>
    <row r="2257" spans="1:13" ht="21" customHeight="1">
      <c r="A2257" s="216" t="s">
        <v>6606</v>
      </c>
      <c r="B2257" s="215">
        <f t="shared" si="105"/>
        <v>45802</v>
      </c>
      <c r="C2257" s="213" t="s">
        <v>4381</v>
      </c>
      <c r="D2257" s="213" t="s">
        <v>4369</v>
      </c>
      <c r="E2257" s="213" t="s">
        <v>4380</v>
      </c>
      <c r="F2257" s="212" t="s">
        <v>6515</v>
      </c>
      <c r="G2257" s="212" t="str">
        <f t="shared" si="106"/>
        <v>812여비교통비(판)</v>
      </c>
      <c r="H2257" s="214">
        <v>6500</v>
      </c>
      <c r="I2257" s="214">
        <v>0</v>
      </c>
      <c r="J2257" s="214">
        <f t="shared" si="107"/>
        <v>-6500</v>
      </c>
      <c r="K2257" s="212" t="s">
        <v>6305</v>
      </c>
      <c r="L2257" s="213"/>
      <c r="M2257" s="212"/>
    </row>
    <row r="2258" spans="1:13" ht="21" customHeight="1">
      <c r="A2258" s="216" t="s">
        <v>6606</v>
      </c>
      <c r="B2258" s="215">
        <f t="shared" si="105"/>
        <v>45802</v>
      </c>
      <c r="C2258" s="213" t="s">
        <v>4381</v>
      </c>
      <c r="D2258" s="213" t="s">
        <v>4366</v>
      </c>
      <c r="E2258" s="213" t="s">
        <v>333</v>
      </c>
      <c r="F2258" s="212" t="s">
        <v>4365</v>
      </c>
      <c r="G2258" s="212" t="str">
        <f t="shared" si="106"/>
        <v>101현금</v>
      </c>
      <c r="H2258" s="214">
        <v>0</v>
      </c>
      <c r="I2258" s="214">
        <v>6500</v>
      </c>
      <c r="J2258" s="214">
        <f t="shared" si="107"/>
        <v>6500</v>
      </c>
      <c r="K2258" s="212" t="s">
        <v>6369</v>
      </c>
      <c r="L2258" s="213"/>
      <c r="M2258" s="212"/>
    </row>
    <row r="2259" spans="1:13" ht="21" customHeight="1">
      <c r="A2259" s="216" t="s">
        <v>6606</v>
      </c>
      <c r="B2259" s="215">
        <f t="shared" si="105"/>
        <v>45802</v>
      </c>
      <c r="C2259" s="213" t="s">
        <v>4367</v>
      </c>
      <c r="D2259" s="213" t="s">
        <v>4366</v>
      </c>
      <c r="E2259" s="213" t="s">
        <v>333</v>
      </c>
      <c r="F2259" s="212" t="s">
        <v>4365</v>
      </c>
      <c r="G2259" s="212" t="str">
        <f t="shared" si="106"/>
        <v>101현금</v>
      </c>
      <c r="H2259" s="214">
        <v>0</v>
      </c>
      <c r="I2259" s="214">
        <v>16000</v>
      </c>
      <c r="J2259" s="214">
        <f t="shared" si="107"/>
        <v>16000</v>
      </c>
      <c r="K2259" s="212" t="s">
        <v>6371</v>
      </c>
      <c r="L2259" s="213"/>
      <c r="M2259" s="212"/>
    </row>
    <row r="2260" spans="1:13" ht="21" customHeight="1">
      <c r="A2260" s="216" t="s">
        <v>6606</v>
      </c>
      <c r="B2260" s="215">
        <f t="shared" si="105"/>
        <v>45802</v>
      </c>
      <c r="C2260" s="213" t="s">
        <v>4367</v>
      </c>
      <c r="D2260" s="213" t="s">
        <v>4369</v>
      </c>
      <c r="E2260" s="213" t="s">
        <v>4383</v>
      </c>
      <c r="F2260" s="212" t="s">
        <v>6525</v>
      </c>
      <c r="G2260" s="212" t="str">
        <f t="shared" si="106"/>
        <v>830소모품비(판)</v>
      </c>
      <c r="H2260" s="214">
        <v>14544</v>
      </c>
      <c r="I2260" s="214">
        <v>0</v>
      </c>
      <c r="J2260" s="214">
        <f t="shared" si="107"/>
        <v>-14544</v>
      </c>
      <c r="K2260" s="212" t="s">
        <v>6202</v>
      </c>
      <c r="L2260" s="213" t="s">
        <v>6411</v>
      </c>
      <c r="M2260" s="212"/>
    </row>
    <row r="2261" spans="1:13" ht="21" customHeight="1">
      <c r="A2261" s="216" t="s">
        <v>6606</v>
      </c>
      <c r="B2261" s="215">
        <f t="shared" si="105"/>
        <v>45802</v>
      </c>
      <c r="C2261" s="213" t="s">
        <v>4367</v>
      </c>
      <c r="D2261" s="213" t="s">
        <v>4369</v>
      </c>
      <c r="E2261" s="213" t="s">
        <v>4371</v>
      </c>
      <c r="F2261" s="212" t="s">
        <v>4370</v>
      </c>
      <c r="G2261" s="212" t="str">
        <f t="shared" si="106"/>
        <v>135부가세대급금</v>
      </c>
      <c r="H2261" s="214">
        <v>1456</v>
      </c>
      <c r="I2261" s="214">
        <v>0</v>
      </c>
      <c r="J2261" s="214">
        <f t="shared" si="107"/>
        <v>-1456</v>
      </c>
      <c r="K2261" s="212" t="s">
        <v>6202</v>
      </c>
      <c r="L2261" s="213" t="s">
        <v>6411</v>
      </c>
      <c r="M2261" s="212"/>
    </row>
    <row r="2262" spans="1:13" ht="21" customHeight="1">
      <c r="A2262" s="213" t="s">
        <v>6605</v>
      </c>
      <c r="B2262" s="215">
        <f t="shared" si="105"/>
        <v>45803</v>
      </c>
      <c r="C2262" s="213" t="s">
        <v>4373</v>
      </c>
      <c r="D2262" s="213" t="s">
        <v>4369</v>
      </c>
      <c r="E2262" s="213" t="s">
        <v>4499</v>
      </c>
      <c r="F2262" s="212" t="s">
        <v>6517</v>
      </c>
      <c r="G2262" s="212" t="str">
        <f t="shared" si="106"/>
        <v>811복리후생비(판)</v>
      </c>
      <c r="H2262" s="214">
        <v>16000</v>
      </c>
      <c r="I2262" s="214">
        <v>0</v>
      </c>
      <c r="J2262" s="214">
        <f t="shared" si="107"/>
        <v>-16000</v>
      </c>
      <c r="K2262" s="212" t="s">
        <v>6516</v>
      </c>
      <c r="L2262" s="213"/>
      <c r="M2262" s="212"/>
    </row>
    <row r="2263" spans="1:13" ht="21" customHeight="1">
      <c r="A2263" s="213" t="s">
        <v>6605</v>
      </c>
      <c r="B2263" s="215">
        <f t="shared" si="105"/>
        <v>45803</v>
      </c>
      <c r="C2263" s="213" t="s">
        <v>4373</v>
      </c>
      <c r="D2263" s="213" t="s">
        <v>4366</v>
      </c>
      <c r="E2263" s="213" t="s">
        <v>333</v>
      </c>
      <c r="F2263" s="212" t="s">
        <v>4365</v>
      </c>
      <c r="G2263" s="212" t="str">
        <f t="shared" si="106"/>
        <v>101현금</v>
      </c>
      <c r="H2263" s="214">
        <v>0</v>
      </c>
      <c r="I2263" s="214">
        <v>16000</v>
      </c>
      <c r="J2263" s="214">
        <f t="shared" si="107"/>
        <v>16000</v>
      </c>
      <c r="K2263" s="212" t="s">
        <v>6369</v>
      </c>
      <c r="L2263" s="213"/>
      <c r="M2263" s="212"/>
    </row>
    <row r="2264" spans="1:13" ht="21" customHeight="1">
      <c r="A2264" s="213" t="s">
        <v>6605</v>
      </c>
      <c r="B2264" s="215">
        <f t="shared" si="105"/>
        <v>45803</v>
      </c>
      <c r="C2264" s="213" t="s">
        <v>4382</v>
      </c>
      <c r="D2264" s="213" t="s">
        <v>4369</v>
      </c>
      <c r="E2264" s="213" t="s">
        <v>4383</v>
      </c>
      <c r="F2264" s="212" t="s">
        <v>6525</v>
      </c>
      <c r="G2264" s="212" t="str">
        <f t="shared" si="106"/>
        <v>830소모품비(판)</v>
      </c>
      <c r="H2264" s="214">
        <v>11700</v>
      </c>
      <c r="I2264" s="214">
        <v>0</v>
      </c>
      <c r="J2264" s="214">
        <f t="shared" si="107"/>
        <v>-11700</v>
      </c>
      <c r="K2264" s="212" t="s">
        <v>6563</v>
      </c>
      <c r="L2264" s="213"/>
      <c r="M2264" s="212"/>
    </row>
    <row r="2265" spans="1:13" ht="21" customHeight="1">
      <c r="A2265" s="213" t="s">
        <v>6605</v>
      </c>
      <c r="B2265" s="215">
        <f t="shared" si="105"/>
        <v>45803</v>
      </c>
      <c r="C2265" s="213" t="s">
        <v>4382</v>
      </c>
      <c r="D2265" s="213" t="s">
        <v>4366</v>
      </c>
      <c r="E2265" s="213" t="s">
        <v>333</v>
      </c>
      <c r="F2265" s="212" t="s">
        <v>4365</v>
      </c>
      <c r="G2265" s="212" t="str">
        <f t="shared" si="106"/>
        <v>101현금</v>
      </c>
      <c r="H2265" s="214">
        <v>0</v>
      </c>
      <c r="I2265" s="214">
        <v>11700</v>
      </c>
      <c r="J2265" s="214">
        <f t="shared" si="107"/>
        <v>11700</v>
      </c>
      <c r="K2265" s="212" t="s">
        <v>6369</v>
      </c>
      <c r="L2265" s="213"/>
      <c r="M2265" s="212"/>
    </row>
    <row r="2266" spans="1:13" ht="21" customHeight="1">
      <c r="A2266" s="213" t="s">
        <v>6605</v>
      </c>
      <c r="B2266" s="215">
        <f t="shared" si="105"/>
        <v>45803</v>
      </c>
      <c r="C2266" s="213" t="s">
        <v>4381</v>
      </c>
      <c r="D2266" s="213" t="s">
        <v>4366</v>
      </c>
      <c r="E2266" s="213" t="s">
        <v>333</v>
      </c>
      <c r="F2266" s="212" t="s">
        <v>4365</v>
      </c>
      <c r="G2266" s="212" t="str">
        <f t="shared" si="106"/>
        <v>101현금</v>
      </c>
      <c r="H2266" s="214">
        <v>0</v>
      </c>
      <c r="I2266" s="214">
        <v>9160</v>
      </c>
      <c r="J2266" s="214">
        <f t="shared" si="107"/>
        <v>9160</v>
      </c>
      <c r="K2266" s="212" t="s">
        <v>6369</v>
      </c>
      <c r="L2266" s="213"/>
      <c r="M2266" s="212"/>
    </row>
    <row r="2267" spans="1:13" ht="21" customHeight="1">
      <c r="A2267" s="213" t="s">
        <v>6605</v>
      </c>
      <c r="B2267" s="215">
        <f t="shared" si="105"/>
        <v>45803</v>
      </c>
      <c r="C2267" s="213" t="s">
        <v>4381</v>
      </c>
      <c r="D2267" s="213" t="s">
        <v>4369</v>
      </c>
      <c r="E2267" s="213" t="s">
        <v>6290</v>
      </c>
      <c r="F2267" s="212" t="s">
        <v>6570</v>
      </c>
      <c r="G2267" s="212" t="str">
        <f t="shared" si="106"/>
        <v>824운반비(판)</v>
      </c>
      <c r="H2267" s="214">
        <v>9160</v>
      </c>
      <c r="I2267" s="214">
        <v>0</v>
      </c>
      <c r="J2267" s="214">
        <f t="shared" si="107"/>
        <v>-9160</v>
      </c>
      <c r="K2267" s="212" t="s">
        <v>6291</v>
      </c>
      <c r="L2267" s="213"/>
      <c r="M2267" s="212"/>
    </row>
    <row r="2268" spans="1:13" ht="21" customHeight="1">
      <c r="A2268" s="213" t="s">
        <v>6605</v>
      </c>
      <c r="B2268" s="215">
        <f t="shared" si="105"/>
        <v>45803</v>
      </c>
      <c r="C2268" s="213" t="s">
        <v>4367</v>
      </c>
      <c r="D2268" s="213" t="s">
        <v>4366</v>
      </c>
      <c r="E2268" s="213" t="s">
        <v>6176</v>
      </c>
      <c r="F2268" s="212" t="s">
        <v>6177</v>
      </c>
      <c r="G2268" s="212" t="str">
        <f t="shared" si="106"/>
        <v>255부가세예수금</v>
      </c>
      <c r="H2268" s="214">
        <v>0</v>
      </c>
      <c r="I2268" s="214">
        <v>20000</v>
      </c>
      <c r="J2268" s="214">
        <f t="shared" si="107"/>
        <v>20000</v>
      </c>
      <c r="K2268" s="212" t="s">
        <v>6245</v>
      </c>
      <c r="L2268" s="213"/>
      <c r="M2268" s="212" t="s">
        <v>6231</v>
      </c>
    </row>
    <row r="2269" spans="1:13" ht="21" customHeight="1">
      <c r="A2269" s="213" t="s">
        <v>6605</v>
      </c>
      <c r="B2269" s="215">
        <f t="shared" si="105"/>
        <v>45803</v>
      </c>
      <c r="C2269" s="213" t="s">
        <v>4367</v>
      </c>
      <c r="D2269" s="213" t="s">
        <v>4366</v>
      </c>
      <c r="E2269" s="213" t="s">
        <v>334</v>
      </c>
      <c r="F2269" s="212" t="s">
        <v>6158</v>
      </c>
      <c r="G2269" s="212" t="str">
        <f t="shared" si="106"/>
        <v>401용역매출</v>
      </c>
      <c r="H2269" s="214">
        <v>0</v>
      </c>
      <c r="I2269" s="214">
        <v>200000</v>
      </c>
      <c r="J2269" s="214">
        <f t="shared" si="107"/>
        <v>200000</v>
      </c>
      <c r="K2269" s="212" t="s">
        <v>6245</v>
      </c>
      <c r="L2269" s="213"/>
      <c r="M2269" s="212" t="s">
        <v>6231</v>
      </c>
    </row>
    <row r="2270" spans="1:13" ht="21" customHeight="1">
      <c r="A2270" s="213" t="s">
        <v>6605</v>
      </c>
      <c r="B2270" s="215">
        <f t="shared" si="105"/>
        <v>45803</v>
      </c>
      <c r="C2270" s="213" t="s">
        <v>4367</v>
      </c>
      <c r="D2270" s="213" t="s">
        <v>4369</v>
      </c>
      <c r="E2270" s="213" t="s">
        <v>333</v>
      </c>
      <c r="F2270" s="212" t="s">
        <v>4365</v>
      </c>
      <c r="G2270" s="212" t="str">
        <f t="shared" si="106"/>
        <v>101현금</v>
      </c>
      <c r="H2270" s="214">
        <v>220000</v>
      </c>
      <c r="I2270" s="214">
        <v>0</v>
      </c>
      <c r="J2270" s="214">
        <f t="shared" si="107"/>
        <v>-220000</v>
      </c>
      <c r="K2270" s="212" t="s">
        <v>6245</v>
      </c>
      <c r="L2270" s="213"/>
      <c r="M2270" s="212" t="s">
        <v>6231</v>
      </c>
    </row>
    <row r="2271" spans="1:13" ht="21" customHeight="1">
      <c r="A2271" s="213" t="s">
        <v>6605</v>
      </c>
      <c r="B2271" s="215">
        <f t="shared" si="105"/>
        <v>45803</v>
      </c>
      <c r="C2271" s="213" t="s">
        <v>4374</v>
      </c>
      <c r="D2271" s="213" t="s">
        <v>4366</v>
      </c>
      <c r="E2271" s="213" t="s">
        <v>6176</v>
      </c>
      <c r="F2271" s="212" t="s">
        <v>6177</v>
      </c>
      <c r="G2271" s="212" t="str">
        <f t="shared" si="106"/>
        <v>255부가세예수금</v>
      </c>
      <c r="H2271" s="214">
        <v>0</v>
      </c>
      <c r="I2271" s="214">
        <v>15000</v>
      </c>
      <c r="J2271" s="214">
        <f t="shared" si="107"/>
        <v>15000</v>
      </c>
      <c r="K2271" s="212" t="s">
        <v>6372</v>
      </c>
      <c r="L2271" s="213"/>
      <c r="M2271" s="212" t="s">
        <v>6179</v>
      </c>
    </row>
    <row r="2272" spans="1:13" ht="21" customHeight="1">
      <c r="A2272" s="213" t="s">
        <v>6605</v>
      </c>
      <c r="B2272" s="215">
        <f t="shared" si="105"/>
        <v>45803</v>
      </c>
      <c r="C2272" s="213" t="s">
        <v>4374</v>
      </c>
      <c r="D2272" s="213" t="s">
        <v>4366</v>
      </c>
      <c r="E2272" s="213" t="s">
        <v>334</v>
      </c>
      <c r="F2272" s="212" t="s">
        <v>6158</v>
      </c>
      <c r="G2272" s="212" t="str">
        <f t="shared" si="106"/>
        <v>401용역매출</v>
      </c>
      <c r="H2272" s="214">
        <v>0</v>
      </c>
      <c r="I2272" s="214">
        <v>150000</v>
      </c>
      <c r="J2272" s="214">
        <f t="shared" si="107"/>
        <v>150000</v>
      </c>
      <c r="K2272" s="212" t="s">
        <v>6372</v>
      </c>
      <c r="L2272" s="213"/>
      <c r="M2272" s="212" t="s">
        <v>6179</v>
      </c>
    </row>
    <row r="2273" spans="1:13" ht="21" customHeight="1">
      <c r="A2273" s="213" t="s">
        <v>6605</v>
      </c>
      <c r="B2273" s="215">
        <f t="shared" si="105"/>
        <v>45803</v>
      </c>
      <c r="C2273" s="213" t="s">
        <v>4374</v>
      </c>
      <c r="D2273" s="213" t="s">
        <v>4369</v>
      </c>
      <c r="E2273" s="213" t="s">
        <v>333</v>
      </c>
      <c r="F2273" s="212" t="s">
        <v>4365</v>
      </c>
      <c r="G2273" s="212" t="str">
        <f t="shared" si="106"/>
        <v>101현금</v>
      </c>
      <c r="H2273" s="214">
        <v>165000</v>
      </c>
      <c r="I2273" s="214">
        <v>0</v>
      </c>
      <c r="J2273" s="214">
        <f t="shared" si="107"/>
        <v>-165000</v>
      </c>
      <c r="K2273" s="212" t="s">
        <v>6372</v>
      </c>
      <c r="L2273" s="213"/>
      <c r="M2273" s="212" t="s">
        <v>6179</v>
      </c>
    </row>
    <row r="2274" spans="1:13" ht="21" customHeight="1">
      <c r="A2274" s="213" t="s">
        <v>6605</v>
      </c>
      <c r="B2274" s="215">
        <f t="shared" si="105"/>
        <v>45803</v>
      </c>
      <c r="C2274" s="213" t="s">
        <v>6182</v>
      </c>
      <c r="D2274" s="213" t="s">
        <v>4366</v>
      </c>
      <c r="E2274" s="213" t="s">
        <v>333</v>
      </c>
      <c r="F2274" s="212" t="s">
        <v>4365</v>
      </c>
      <c r="G2274" s="212" t="str">
        <f t="shared" si="106"/>
        <v>101현금</v>
      </c>
      <c r="H2274" s="214">
        <v>0</v>
      </c>
      <c r="I2274" s="214">
        <v>106700</v>
      </c>
      <c r="J2274" s="214">
        <f t="shared" si="107"/>
        <v>106700</v>
      </c>
      <c r="K2274" s="212" t="s">
        <v>6370</v>
      </c>
      <c r="L2274" s="213"/>
      <c r="M2274" s="212"/>
    </row>
    <row r="2275" spans="1:13" ht="21" customHeight="1">
      <c r="A2275" s="213" t="s">
        <v>6605</v>
      </c>
      <c r="B2275" s="215">
        <f t="shared" si="105"/>
        <v>45803</v>
      </c>
      <c r="C2275" s="213" t="s">
        <v>6182</v>
      </c>
      <c r="D2275" s="213" t="s">
        <v>4369</v>
      </c>
      <c r="E2275" s="213" t="s">
        <v>4383</v>
      </c>
      <c r="F2275" s="212" t="s">
        <v>6525</v>
      </c>
      <c r="G2275" s="212" t="str">
        <f t="shared" si="106"/>
        <v>830소모품비(판)</v>
      </c>
      <c r="H2275" s="214">
        <v>97000</v>
      </c>
      <c r="I2275" s="214">
        <v>0</v>
      </c>
      <c r="J2275" s="214">
        <f t="shared" si="107"/>
        <v>-97000</v>
      </c>
      <c r="K2275" s="212" t="s">
        <v>6174</v>
      </c>
      <c r="L2275" s="213" t="s">
        <v>6411</v>
      </c>
      <c r="M2275" s="212"/>
    </row>
    <row r="2276" spans="1:13" ht="21" customHeight="1">
      <c r="A2276" s="213" t="s">
        <v>6605</v>
      </c>
      <c r="B2276" s="215">
        <f t="shared" si="105"/>
        <v>45803</v>
      </c>
      <c r="C2276" s="213" t="s">
        <v>6182</v>
      </c>
      <c r="D2276" s="213" t="s">
        <v>4369</v>
      </c>
      <c r="E2276" s="213" t="s">
        <v>4371</v>
      </c>
      <c r="F2276" s="212" t="s">
        <v>4370</v>
      </c>
      <c r="G2276" s="212" t="str">
        <f t="shared" si="106"/>
        <v>135부가세대급금</v>
      </c>
      <c r="H2276" s="214">
        <v>9700</v>
      </c>
      <c r="I2276" s="214">
        <v>0</v>
      </c>
      <c r="J2276" s="214">
        <f t="shared" si="107"/>
        <v>-9700</v>
      </c>
      <c r="K2276" s="212" t="s">
        <v>6174</v>
      </c>
      <c r="L2276" s="213" t="s">
        <v>6411</v>
      </c>
      <c r="M2276" s="212"/>
    </row>
    <row r="2277" spans="1:13" ht="21" customHeight="1">
      <c r="A2277" s="213" t="s">
        <v>6604</v>
      </c>
      <c r="B2277" s="215">
        <f t="shared" si="105"/>
        <v>45804</v>
      </c>
      <c r="C2277" s="213" t="s">
        <v>4373</v>
      </c>
      <c r="D2277" s="213" t="s">
        <v>4369</v>
      </c>
      <c r="E2277" s="213" t="s">
        <v>4499</v>
      </c>
      <c r="F2277" s="212" t="s">
        <v>6517</v>
      </c>
      <c r="G2277" s="212" t="str">
        <f t="shared" si="106"/>
        <v>811복리후생비(판)</v>
      </c>
      <c r="H2277" s="214">
        <v>5100</v>
      </c>
      <c r="I2277" s="214">
        <v>0</v>
      </c>
      <c r="J2277" s="214">
        <f t="shared" si="107"/>
        <v>-5100</v>
      </c>
      <c r="K2277" s="212" t="s">
        <v>6352</v>
      </c>
      <c r="L2277" s="213"/>
      <c r="M2277" s="212"/>
    </row>
    <row r="2278" spans="1:13" ht="21" customHeight="1">
      <c r="A2278" s="213" t="s">
        <v>6604</v>
      </c>
      <c r="B2278" s="215">
        <f t="shared" si="105"/>
        <v>45804</v>
      </c>
      <c r="C2278" s="213" t="s">
        <v>4373</v>
      </c>
      <c r="D2278" s="213" t="s">
        <v>4366</v>
      </c>
      <c r="E2278" s="213" t="s">
        <v>333</v>
      </c>
      <c r="F2278" s="212" t="s">
        <v>4365</v>
      </c>
      <c r="G2278" s="212" t="str">
        <f t="shared" si="106"/>
        <v>101현금</v>
      </c>
      <c r="H2278" s="214">
        <v>0</v>
      </c>
      <c r="I2278" s="214">
        <v>5100</v>
      </c>
      <c r="J2278" s="214">
        <f t="shared" si="107"/>
        <v>5100</v>
      </c>
      <c r="K2278" s="212" t="s">
        <v>6369</v>
      </c>
      <c r="L2278" s="213"/>
      <c r="M2278" s="212"/>
    </row>
    <row r="2279" spans="1:13" ht="21" customHeight="1">
      <c r="A2279" s="213" t="s">
        <v>6604</v>
      </c>
      <c r="B2279" s="215">
        <f t="shared" si="105"/>
        <v>45804</v>
      </c>
      <c r="C2279" s="213" t="s">
        <v>4382</v>
      </c>
      <c r="D2279" s="213" t="s">
        <v>4369</v>
      </c>
      <c r="E2279" s="213" t="s">
        <v>4499</v>
      </c>
      <c r="F2279" s="212" t="s">
        <v>6517</v>
      </c>
      <c r="G2279" s="212" t="str">
        <f t="shared" si="106"/>
        <v>811복리후생비(판)</v>
      </c>
      <c r="H2279" s="214">
        <v>22000</v>
      </c>
      <c r="I2279" s="214">
        <v>0</v>
      </c>
      <c r="J2279" s="214">
        <f t="shared" si="107"/>
        <v>-22000</v>
      </c>
      <c r="K2279" s="212" t="s">
        <v>6600</v>
      </c>
      <c r="L2279" s="213"/>
      <c r="M2279" s="212"/>
    </row>
    <row r="2280" spans="1:13" ht="21" customHeight="1">
      <c r="A2280" s="213" t="s">
        <v>6604</v>
      </c>
      <c r="B2280" s="215">
        <f t="shared" si="105"/>
        <v>45804</v>
      </c>
      <c r="C2280" s="213" t="s">
        <v>4382</v>
      </c>
      <c r="D2280" s="213" t="s">
        <v>4366</v>
      </c>
      <c r="E2280" s="213" t="s">
        <v>333</v>
      </c>
      <c r="F2280" s="212" t="s">
        <v>4365</v>
      </c>
      <c r="G2280" s="212" t="str">
        <f t="shared" si="106"/>
        <v>101현금</v>
      </c>
      <c r="H2280" s="214">
        <v>0</v>
      </c>
      <c r="I2280" s="214">
        <v>22000</v>
      </c>
      <c r="J2280" s="214">
        <f t="shared" si="107"/>
        <v>22000</v>
      </c>
      <c r="K2280" s="212" t="s">
        <v>6369</v>
      </c>
      <c r="L2280" s="213"/>
      <c r="M2280" s="212"/>
    </row>
    <row r="2281" spans="1:13" ht="21" customHeight="1">
      <c r="A2281" s="213" t="s">
        <v>6604</v>
      </c>
      <c r="B2281" s="215">
        <f t="shared" si="105"/>
        <v>45804</v>
      </c>
      <c r="C2281" s="213" t="s">
        <v>4381</v>
      </c>
      <c r="D2281" s="213" t="s">
        <v>4369</v>
      </c>
      <c r="E2281" s="213" t="s">
        <v>4383</v>
      </c>
      <c r="F2281" s="212" t="s">
        <v>6525</v>
      </c>
      <c r="G2281" s="212" t="str">
        <f t="shared" si="106"/>
        <v>830소모품비(판)</v>
      </c>
      <c r="H2281" s="214">
        <v>69706</v>
      </c>
      <c r="I2281" s="214">
        <v>0</v>
      </c>
      <c r="J2281" s="214">
        <f t="shared" si="107"/>
        <v>-69706</v>
      </c>
      <c r="K2281" s="212" t="s">
        <v>4384</v>
      </c>
      <c r="L2281" s="213"/>
      <c r="M2281" s="212"/>
    </row>
    <row r="2282" spans="1:13" ht="21" customHeight="1">
      <c r="A2282" s="213" t="s">
        <v>6604</v>
      </c>
      <c r="B2282" s="215">
        <f t="shared" si="105"/>
        <v>45804</v>
      </c>
      <c r="C2282" s="213" t="s">
        <v>4381</v>
      </c>
      <c r="D2282" s="213" t="s">
        <v>4366</v>
      </c>
      <c r="E2282" s="213" t="s">
        <v>333</v>
      </c>
      <c r="F2282" s="212" t="s">
        <v>4365</v>
      </c>
      <c r="G2282" s="212" t="str">
        <f t="shared" si="106"/>
        <v>101현금</v>
      </c>
      <c r="H2282" s="214">
        <v>0</v>
      </c>
      <c r="I2282" s="214">
        <v>69706</v>
      </c>
      <c r="J2282" s="214">
        <f t="shared" si="107"/>
        <v>69706</v>
      </c>
      <c r="K2282" s="212" t="s">
        <v>6371</v>
      </c>
      <c r="L2282" s="213"/>
      <c r="M2282" s="212"/>
    </row>
    <row r="2283" spans="1:13" ht="21" customHeight="1">
      <c r="A2283" s="213" t="s">
        <v>6604</v>
      </c>
      <c r="B2283" s="215">
        <f t="shared" si="105"/>
        <v>45804</v>
      </c>
      <c r="C2283" s="213" t="s">
        <v>4379</v>
      </c>
      <c r="D2283" s="213" t="s">
        <v>4369</v>
      </c>
      <c r="E2283" s="213" t="s">
        <v>4383</v>
      </c>
      <c r="F2283" s="212" t="s">
        <v>6525</v>
      </c>
      <c r="G2283" s="212" t="str">
        <f t="shared" si="106"/>
        <v>830소모품비(판)</v>
      </c>
      <c r="H2283" s="214">
        <v>2200</v>
      </c>
      <c r="I2283" s="214">
        <v>0</v>
      </c>
      <c r="J2283" s="214">
        <f t="shared" si="107"/>
        <v>-2200</v>
      </c>
      <c r="K2283" s="212" t="s">
        <v>6358</v>
      </c>
      <c r="L2283" s="213"/>
      <c r="M2283" s="212"/>
    </row>
    <row r="2284" spans="1:13" ht="21" customHeight="1">
      <c r="A2284" s="213" t="s">
        <v>6604</v>
      </c>
      <c r="B2284" s="215">
        <f t="shared" si="105"/>
        <v>45804</v>
      </c>
      <c r="C2284" s="213" t="s">
        <v>4379</v>
      </c>
      <c r="D2284" s="213" t="s">
        <v>4366</v>
      </c>
      <c r="E2284" s="213" t="s">
        <v>333</v>
      </c>
      <c r="F2284" s="212" t="s">
        <v>4365</v>
      </c>
      <c r="G2284" s="212" t="str">
        <f t="shared" si="106"/>
        <v>101현금</v>
      </c>
      <c r="H2284" s="214">
        <v>0</v>
      </c>
      <c r="I2284" s="214">
        <v>2200</v>
      </c>
      <c r="J2284" s="214">
        <f t="shared" si="107"/>
        <v>2200</v>
      </c>
      <c r="K2284" s="212" t="s">
        <v>6369</v>
      </c>
      <c r="L2284" s="213"/>
      <c r="M2284" s="212"/>
    </row>
    <row r="2285" spans="1:13" ht="21" customHeight="1">
      <c r="A2285" s="213" t="s">
        <v>6604</v>
      </c>
      <c r="B2285" s="215">
        <f t="shared" si="105"/>
        <v>45804</v>
      </c>
      <c r="C2285" s="213" t="s">
        <v>4385</v>
      </c>
      <c r="D2285" s="213" t="s">
        <v>4369</v>
      </c>
      <c r="E2285" s="213" t="s">
        <v>4499</v>
      </c>
      <c r="F2285" s="212" t="s">
        <v>6517</v>
      </c>
      <c r="G2285" s="212" t="str">
        <f t="shared" si="106"/>
        <v>811복리후생비(판)</v>
      </c>
      <c r="H2285" s="214">
        <v>35070</v>
      </c>
      <c r="I2285" s="214">
        <v>0</v>
      </c>
      <c r="J2285" s="214">
        <f t="shared" si="107"/>
        <v>-35070</v>
      </c>
      <c r="K2285" s="212" t="s">
        <v>6365</v>
      </c>
      <c r="L2285" s="213"/>
      <c r="M2285" s="212"/>
    </row>
    <row r="2286" spans="1:13" ht="21" customHeight="1">
      <c r="A2286" s="213" t="s">
        <v>6604</v>
      </c>
      <c r="B2286" s="215">
        <f t="shared" si="105"/>
        <v>45804</v>
      </c>
      <c r="C2286" s="213" t="s">
        <v>4385</v>
      </c>
      <c r="D2286" s="213" t="s">
        <v>4366</v>
      </c>
      <c r="E2286" s="213" t="s">
        <v>333</v>
      </c>
      <c r="F2286" s="212" t="s">
        <v>4365</v>
      </c>
      <c r="G2286" s="212" t="str">
        <f t="shared" si="106"/>
        <v>101현금</v>
      </c>
      <c r="H2286" s="214">
        <v>0</v>
      </c>
      <c r="I2286" s="214">
        <v>35070</v>
      </c>
      <c r="J2286" s="214">
        <f t="shared" si="107"/>
        <v>35070</v>
      </c>
      <c r="K2286" s="212" t="s">
        <v>6365</v>
      </c>
      <c r="L2286" s="213"/>
      <c r="M2286" s="212"/>
    </row>
    <row r="2287" spans="1:13" ht="21" customHeight="1">
      <c r="A2287" s="213" t="s">
        <v>6604</v>
      </c>
      <c r="B2287" s="215">
        <f t="shared" si="105"/>
        <v>45804</v>
      </c>
      <c r="C2287" s="213" t="s">
        <v>4367</v>
      </c>
      <c r="D2287" s="213" t="s">
        <v>4366</v>
      </c>
      <c r="E2287" s="213" t="s">
        <v>6176</v>
      </c>
      <c r="F2287" s="212" t="s">
        <v>6177</v>
      </c>
      <c r="G2287" s="212" t="str">
        <f t="shared" si="106"/>
        <v>255부가세예수금</v>
      </c>
      <c r="H2287" s="214">
        <v>0</v>
      </c>
      <c r="I2287" s="214">
        <v>10000</v>
      </c>
      <c r="J2287" s="214">
        <f t="shared" si="107"/>
        <v>10000</v>
      </c>
      <c r="K2287" s="212" t="s">
        <v>6394</v>
      </c>
      <c r="L2287" s="213"/>
      <c r="M2287" s="212" t="s">
        <v>6185</v>
      </c>
    </row>
    <row r="2288" spans="1:13" ht="21" customHeight="1">
      <c r="A2288" s="213" t="s">
        <v>6604</v>
      </c>
      <c r="B2288" s="215">
        <f t="shared" si="105"/>
        <v>45804</v>
      </c>
      <c r="C2288" s="213" t="s">
        <v>4367</v>
      </c>
      <c r="D2288" s="213" t="s">
        <v>4366</v>
      </c>
      <c r="E2288" s="213" t="s">
        <v>334</v>
      </c>
      <c r="F2288" s="212" t="s">
        <v>6158</v>
      </c>
      <c r="G2288" s="212" t="str">
        <f t="shared" si="106"/>
        <v>401용역매출</v>
      </c>
      <c r="H2288" s="214">
        <v>0</v>
      </c>
      <c r="I2288" s="214">
        <v>100000</v>
      </c>
      <c r="J2288" s="214">
        <f t="shared" si="107"/>
        <v>100000</v>
      </c>
      <c r="K2288" s="212" t="s">
        <v>6394</v>
      </c>
      <c r="L2288" s="213"/>
      <c r="M2288" s="212" t="s">
        <v>6185</v>
      </c>
    </row>
    <row r="2289" spans="1:13" ht="21" customHeight="1">
      <c r="A2289" s="213" t="s">
        <v>6604</v>
      </c>
      <c r="B2289" s="215">
        <f t="shared" si="105"/>
        <v>45804</v>
      </c>
      <c r="C2289" s="213" t="s">
        <v>4367</v>
      </c>
      <c r="D2289" s="213" t="s">
        <v>4369</v>
      </c>
      <c r="E2289" s="213" t="s">
        <v>333</v>
      </c>
      <c r="F2289" s="212" t="s">
        <v>4365</v>
      </c>
      <c r="G2289" s="212" t="str">
        <f t="shared" si="106"/>
        <v>101현금</v>
      </c>
      <c r="H2289" s="214">
        <v>110000</v>
      </c>
      <c r="I2289" s="214">
        <v>0</v>
      </c>
      <c r="J2289" s="214">
        <f t="shared" si="107"/>
        <v>-110000</v>
      </c>
      <c r="K2289" s="212" t="s">
        <v>6394</v>
      </c>
      <c r="L2289" s="213"/>
      <c r="M2289" s="212" t="s">
        <v>6185</v>
      </c>
    </row>
    <row r="2290" spans="1:13" ht="21" customHeight="1">
      <c r="A2290" s="213" t="s">
        <v>6604</v>
      </c>
      <c r="B2290" s="215">
        <f t="shared" si="105"/>
        <v>45804</v>
      </c>
      <c r="C2290" s="213" t="s">
        <v>4374</v>
      </c>
      <c r="D2290" s="213" t="s">
        <v>4366</v>
      </c>
      <c r="E2290" s="213" t="s">
        <v>6176</v>
      </c>
      <c r="F2290" s="212" t="s">
        <v>6177</v>
      </c>
      <c r="G2290" s="212" t="str">
        <f t="shared" si="106"/>
        <v>255부가세예수금</v>
      </c>
      <c r="H2290" s="214">
        <v>0</v>
      </c>
      <c r="I2290" s="214">
        <v>20000</v>
      </c>
      <c r="J2290" s="214">
        <f t="shared" si="107"/>
        <v>20000</v>
      </c>
      <c r="K2290" s="212" t="s">
        <v>6236</v>
      </c>
      <c r="L2290" s="213"/>
      <c r="M2290" s="212" t="s">
        <v>6231</v>
      </c>
    </row>
    <row r="2291" spans="1:13" ht="21" customHeight="1">
      <c r="A2291" s="213" t="s">
        <v>6604</v>
      </c>
      <c r="B2291" s="215">
        <f t="shared" si="105"/>
        <v>45804</v>
      </c>
      <c r="C2291" s="213" t="s">
        <v>4374</v>
      </c>
      <c r="D2291" s="213" t="s">
        <v>4366</v>
      </c>
      <c r="E2291" s="213" t="s">
        <v>334</v>
      </c>
      <c r="F2291" s="212" t="s">
        <v>6158</v>
      </c>
      <c r="G2291" s="212" t="str">
        <f t="shared" si="106"/>
        <v>401용역매출</v>
      </c>
      <c r="H2291" s="214">
        <v>0</v>
      </c>
      <c r="I2291" s="214">
        <v>200000</v>
      </c>
      <c r="J2291" s="214">
        <f t="shared" si="107"/>
        <v>200000</v>
      </c>
      <c r="K2291" s="212" t="s">
        <v>6236</v>
      </c>
      <c r="L2291" s="213"/>
      <c r="M2291" s="212" t="s">
        <v>6231</v>
      </c>
    </row>
    <row r="2292" spans="1:13" ht="21" customHeight="1">
      <c r="A2292" s="213" t="s">
        <v>6604</v>
      </c>
      <c r="B2292" s="215">
        <f t="shared" si="105"/>
        <v>45804</v>
      </c>
      <c r="C2292" s="213" t="s">
        <v>4374</v>
      </c>
      <c r="D2292" s="213" t="s">
        <v>4369</v>
      </c>
      <c r="E2292" s="213" t="s">
        <v>333</v>
      </c>
      <c r="F2292" s="212" t="s">
        <v>4365</v>
      </c>
      <c r="G2292" s="212" t="str">
        <f t="shared" si="106"/>
        <v>101현금</v>
      </c>
      <c r="H2292" s="214">
        <v>220000</v>
      </c>
      <c r="I2292" s="214">
        <v>0</v>
      </c>
      <c r="J2292" s="214">
        <f t="shared" si="107"/>
        <v>-220000</v>
      </c>
      <c r="K2292" s="212" t="s">
        <v>6236</v>
      </c>
      <c r="L2292" s="213"/>
      <c r="M2292" s="212" t="s">
        <v>6231</v>
      </c>
    </row>
    <row r="2293" spans="1:13" ht="21" customHeight="1">
      <c r="A2293" s="213" t="s">
        <v>6604</v>
      </c>
      <c r="B2293" s="215">
        <f t="shared" si="105"/>
        <v>45804</v>
      </c>
      <c r="C2293" s="213" t="s">
        <v>6182</v>
      </c>
      <c r="D2293" s="213" t="s">
        <v>4366</v>
      </c>
      <c r="E2293" s="213" t="s">
        <v>6176</v>
      </c>
      <c r="F2293" s="212" t="s">
        <v>6177</v>
      </c>
      <c r="G2293" s="212" t="str">
        <f t="shared" si="106"/>
        <v>255부가세예수금</v>
      </c>
      <c r="H2293" s="214">
        <v>0</v>
      </c>
      <c r="I2293" s="214">
        <v>9091</v>
      </c>
      <c r="J2293" s="214">
        <f t="shared" si="107"/>
        <v>9091</v>
      </c>
      <c r="K2293" s="212" t="s">
        <v>6295</v>
      </c>
      <c r="L2293" s="213"/>
      <c r="M2293" s="212" t="s">
        <v>6296</v>
      </c>
    </row>
    <row r="2294" spans="1:13" ht="21" customHeight="1">
      <c r="A2294" s="213" t="s">
        <v>6604</v>
      </c>
      <c r="B2294" s="215">
        <f t="shared" si="105"/>
        <v>45804</v>
      </c>
      <c r="C2294" s="213" t="s">
        <v>6182</v>
      </c>
      <c r="D2294" s="213" t="s">
        <v>4366</v>
      </c>
      <c r="E2294" s="213" t="s">
        <v>334</v>
      </c>
      <c r="F2294" s="212" t="s">
        <v>6158</v>
      </c>
      <c r="G2294" s="212" t="str">
        <f t="shared" si="106"/>
        <v>401용역매출</v>
      </c>
      <c r="H2294" s="214">
        <v>0</v>
      </c>
      <c r="I2294" s="214">
        <v>90909</v>
      </c>
      <c r="J2294" s="214">
        <f t="shared" si="107"/>
        <v>90909</v>
      </c>
      <c r="K2294" s="212" t="s">
        <v>6295</v>
      </c>
      <c r="L2294" s="213"/>
      <c r="M2294" s="212" t="s">
        <v>6296</v>
      </c>
    </row>
    <row r="2295" spans="1:13" ht="21" customHeight="1">
      <c r="A2295" s="213" t="s">
        <v>6604</v>
      </c>
      <c r="B2295" s="215">
        <f t="shared" si="105"/>
        <v>45804</v>
      </c>
      <c r="C2295" s="213" t="s">
        <v>6182</v>
      </c>
      <c r="D2295" s="213" t="s">
        <v>4369</v>
      </c>
      <c r="E2295" s="213" t="s">
        <v>333</v>
      </c>
      <c r="F2295" s="212" t="s">
        <v>4365</v>
      </c>
      <c r="G2295" s="212" t="str">
        <f t="shared" si="106"/>
        <v>101현금</v>
      </c>
      <c r="H2295" s="214">
        <v>100000</v>
      </c>
      <c r="I2295" s="214">
        <v>0</v>
      </c>
      <c r="J2295" s="214">
        <f t="shared" si="107"/>
        <v>-100000</v>
      </c>
      <c r="K2295" s="212" t="s">
        <v>6295</v>
      </c>
      <c r="L2295" s="213"/>
      <c r="M2295" s="212" t="s">
        <v>6296</v>
      </c>
    </row>
    <row r="2296" spans="1:13" ht="21" customHeight="1">
      <c r="A2296" s="213" t="s">
        <v>6604</v>
      </c>
      <c r="B2296" s="215">
        <f t="shared" si="105"/>
        <v>45804</v>
      </c>
      <c r="C2296" s="213" t="s">
        <v>6184</v>
      </c>
      <c r="D2296" s="213" t="s">
        <v>4366</v>
      </c>
      <c r="E2296" s="213" t="s">
        <v>6176</v>
      </c>
      <c r="F2296" s="212" t="s">
        <v>6177</v>
      </c>
      <c r="G2296" s="212" t="str">
        <f t="shared" si="106"/>
        <v>255부가세예수금</v>
      </c>
      <c r="H2296" s="214">
        <v>0</v>
      </c>
      <c r="I2296" s="214">
        <v>5000</v>
      </c>
      <c r="J2296" s="214">
        <f t="shared" si="107"/>
        <v>5000</v>
      </c>
      <c r="K2296" s="212" t="s">
        <v>6242</v>
      </c>
      <c r="L2296" s="213"/>
      <c r="M2296" s="212" t="s">
        <v>6282</v>
      </c>
    </row>
    <row r="2297" spans="1:13" ht="21" customHeight="1">
      <c r="A2297" s="213" t="s">
        <v>6604</v>
      </c>
      <c r="B2297" s="215">
        <f t="shared" si="105"/>
        <v>45804</v>
      </c>
      <c r="C2297" s="213" t="s">
        <v>6184</v>
      </c>
      <c r="D2297" s="213" t="s">
        <v>4366</v>
      </c>
      <c r="E2297" s="213" t="s">
        <v>334</v>
      </c>
      <c r="F2297" s="212" t="s">
        <v>6158</v>
      </c>
      <c r="G2297" s="212" t="str">
        <f t="shared" si="106"/>
        <v>401용역매출</v>
      </c>
      <c r="H2297" s="214">
        <v>0</v>
      </c>
      <c r="I2297" s="214">
        <v>50000</v>
      </c>
      <c r="J2297" s="214">
        <f t="shared" si="107"/>
        <v>50000</v>
      </c>
      <c r="K2297" s="212" t="s">
        <v>6242</v>
      </c>
      <c r="L2297" s="213"/>
      <c r="M2297" s="212" t="s">
        <v>6282</v>
      </c>
    </row>
    <row r="2298" spans="1:13" ht="21" customHeight="1">
      <c r="A2298" s="213" t="s">
        <v>6604</v>
      </c>
      <c r="B2298" s="215">
        <f t="shared" si="105"/>
        <v>45804</v>
      </c>
      <c r="C2298" s="213" t="s">
        <v>6184</v>
      </c>
      <c r="D2298" s="213" t="s">
        <v>4369</v>
      </c>
      <c r="E2298" s="213" t="s">
        <v>333</v>
      </c>
      <c r="F2298" s="212" t="s">
        <v>4365</v>
      </c>
      <c r="G2298" s="212" t="str">
        <f t="shared" si="106"/>
        <v>101현금</v>
      </c>
      <c r="H2298" s="214">
        <v>55000</v>
      </c>
      <c r="I2298" s="214">
        <v>0</v>
      </c>
      <c r="J2298" s="214">
        <f t="shared" si="107"/>
        <v>-55000</v>
      </c>
      <c r="K2298" s="212" t="s">
        <v>6242</v>
      </c>
      <c r="L2298" s="213"/>
      <c r="M2298" s="212" t="s">
        <v>6282</v>
      </c>
    </row>
    <row r="2299" spans="1:13" ht="21" customHeight="1">
      <c r="A2299" s="213" t="s">
        <v>6604</v>
      </c>
      <c r="B2299" s="215">
        <f t="shared" si="105"/>
        <v>45804</v>
      </c>
      <c r="C2299" s="213" t="s">
        <v>6186</v>
      </c>
      <c r="D2299" s="213" t="s">
        <v>4366</v>
      </c>
      <c r="E2299" s="213" t="s">
        <v>6176</v>
      </c>
      <c r="F2299" s="212" t="s">
        <v>6177</v>
      </c>
      <c r="G2299" s="212" t="str">
        <f t="shared" si="106"/>
        <v>255부가세예수금</v>
      </c>
      <c r="H2299" s="214">
        <v>0</v>
      </c>
      <c r="I2299" s="214">
        <v>12000</v>
      </c>
      <c r="J2299" s="214">
        <f t="shared" si="107"/>
        <v>12000</v>
      </c>
      <c r="K2299" s="212" t="s">
        <v>6281</v>
      </c>
      <c r="L2299" s="213"/>
      <c r="M2299" s="212" t="s">
        <v>6225</v>
      </c>
    </row>
    <row r="2300" spans="1:13" ht="21" customHeight="1">
      <c r="A2300" s="213" t="s">
        <v>6604</v>
      </c>
      <c r="B2300" s="215">
        <f t="shared" si="105"/>
        <v>45804</v>
      </c>
      <c r="C2300" s="213" t="s">
        <v>6186</v>
      </c>
      <c r="D2300" s="213" t="s">
        <v>4366</v>
      </c>
      <c r="E2300" s="213" t="s">
        <v>334</v>
      </c>
      <c r="F2300" s="212" t="s">
        <v>6158</v>
      </c>
      <c r="G2300" s="212" t="str">
        <f t="shared" si="106"/>
        <v>401용역매출</v>
      </c>
      <c r="H2300" s="214">
        <v>0</v>
      </c>
      <c r="I2300" s="214">
        <v>120000</v>
      </c>
      <c r="J2300" s="214">
        <f t="shared" si="107"/>
        <v>120000</v>
      </c>
      <c r="K2300" s="212" t="s">
        <v>6281</v>
      </c>
      <c r="L2300" s="213"/>
      <c r="M2300" s="212" t="s">
        <v>6225</v>
      </c>
    </row>
    <row r="2301" spans="1:13" ht="21" customHeight="1">
      <c r="A2301" s="213" t="s">
        <v>6604</v>
      </c>
      <c r="B2301" s="215">
        <f t="shared" si="105"/>
        <v>45804</v>
      </c>
      <c r="C2301" s="213" t="s">
        <v>6186</v>
      </c>
      <c r="D2301" s="213" t="s">
        <v>4369</v>
      </c>
      <c r="E2301" s="213" t="s">
        <v>333</v>
      </c>
      <c r="F2301" s="212" t="s">
        <v>4365</v>
      </c>
      <c r="G2301" s="212" t="str">
        <f t="shared" si="106"/>
        <v>101현금</v>
      </c>
      <c r="H2301" s="214">
        <v>132000</v>
      </c>
      <c r="I2301" s="214">
        <v>0</v>
      </c>
      <c r="J2301" s="214">
        <f t="shared" si="107"/>
        <v>-132000</v>
      </c>
      <c r="K2301" s="212" t="s">
        <v>6281</v>
      </c>
      <c r="L2301" s="213"/>
      <c r="M2301" s="212" t="s">
        <v>6225</v>
      </c>
    </row>
    <row r="2302" spans="1:13" ht="21" customHeight="1">
      <c r="A2302" s="213" t="s">
        <v>6604</v>
      </c>
      <c r="B2302" s="215">
        <f t="shared" si="105"/>
        <v>45804</v>
      </c>
      <c r="C2302" s="213" t="s">
        <v>6189</v>
      </c>
      <c r="D2302" s="213" t="s">
        <v>4366</v>
      </c>
      <c r="E2302" s="213" t="s">
        <v>6176</v>
      </c>
      <c r="F2302" s="212" t="s">
        <v>6177</v>
      </c>
      <c r="G2302" s="212" t="str">
        <f t="shared" si="106"/>
        <v>255부가세예수금</v>
      </c>
      <c r="H2302" s="214">
        <v>0</v>
      </c>
      <c r="I2302" s="214">
        <v>10000</v>
      </c>
      <c r="J2302" s="214">
        <f t="shared" si="107"/>
        <v>10000</v>
      </c>
      <c r="K2302" s="212" t="s">
        <v>6221</v>
      </c>
      <c r="L2302" s="213"/>
      <c r="M2302" s="212" t="s">
        <v>6185</v>
      </c>
    </row>
    <row r="2303" spans="1:13" ht="21" customHeight="1">
      <c r="A2303" s="213" t="s">
        <v>6604</v>
      </c>
      <c r="B2303" s="215">
        <f t="shared" si="105"/>
        <v>45804</v>
      </c>
      <c r="C2303" s="213" t="s">
        <v>6189</v>
      </c>
      <c r="D2303" s="213" t="s">
        <v>4366</v>
      </c>
      <c r="E2303" s="213" t="s">
        <v>334</v>
      </c>
      <c r="F2303" s="212" t="s">
        <v>6158</v>
      </c>
      <c r="G2303" s="212" t="str">
        <f t="shared" si="106"/>
        <v>401용역매출</v>
      </c>
      <c r="H2303" s="214">
        <v>0</v>
      </c>
      <c r="I2303" s="214">
        <v>100000</v>
      </c>
      <c r="J2303" s="214">
        <f t="shared" si="107"/>
        <v>100000</v>
      </c>
      <c r="K2303" s="212" t="s">
        <v>6221</v>
      </c>
      <c r="L2303" s="213"/>
      <c r="M2303" s="212" t="s">
        <v>6185</v>
      </c>
    </row>
    <row r="2304" spans="1:13" ht="21" customHeight="1">
      <c r="A2304" s="213" t="s">
        <v>6604</v>
      </c>
      <c r="B2304" s="215">
        <f t="shared" si="105"/>
        <v>45804</v>
      </c>
      <c r="C2304" s="213" t="s">
        <v>6189</v>
      </c>
      <c r="D2304" s="213" t="s">
        <v>4369</v>
      </c>
      <c r="E2304" s="213" t="s">
        <v>333</v>
      </c>
      <c r="F2304" s="212" t="s">
        <v>4365</v>
      </c>
      <c r="G2304" s="212" t="str">
        <f t="shared" si="106"/>
        <v>101현금</v>
      </c>
      <c r="H2304" s="214">
        <v>110000</v>
      </c>
      <c r="I2304" s="214">
        <v>0</v>
      </c>
      <c r="J2304" s="214">
        <f t="shared" si="107"/>
        <v>-110000</v>
      </c>
      <c r="K2304" s="212" t="s">
        <v>6221</v>
      </c>
      <c r="L2304" s="213"/>
      <c r="M2304" s="212" t="s">
        <v>6185</v>
      </c>
    </row>
    <row r="2305" spans="1:13" ht="21" customHeight="1">
      <c r="A2305" s="213" t="s">
        <v>6604</v>
      </c>
      <c r="B2305" s="215">
        <f t="shared" si="105"/>
        <v>45804</v>
      </c>
      <c r="C2305" s="213" t="s">
        <v>6191</v>
      </c>
      <c r="D2305" s="213" t="s">
        <v>4366</v>
      </c>
      <c r="E2305" s="213" t="s">
        <v>6176</v>
      </c>
      <c r="F2305" s="212" t="s">
        <v>6177</v>
      </c>
      <c r="G2305" s="212" t="str">
        <f t="shared" si="106"/>
        <v>255부가세예수금</v>
      </c>
      <c r="H2305" s="214">
        <v>0</v>
      </c>
      <c r="I2305" s="214">
        <v>11819</v>
      </c>
      <c r="J2305" s="214">
        <f t="shared" si="107"/>
        <v>11819</v>
      </c>
      <c r="K2305" s="212" t="s">
        <v>6220</v>
      </c>
      <c r="L2305" s="213"/>
      <c r="M2305" s="212" t="s">
        <v>6362</v>
      </c>
    </row>
    <row r="2306" spans="1:13" ht="21" customHeight="1">
      <c r="A2306" s="213" t="s">
        <v>6604</v>
      </c>
      <c r="B2306" s="215">
        <f t="shared" ref="B2306:B2369" si="108">DATEVALUE(A2306)</f>
        <v>45804</v>
      </c>
      <c r="C2306" s="213" t="s">
        <v>6191</v>
      </c>
      <c r="D2306" s="213" t="s">
        <v>4366</v>
      </c>
      <c r="E2306" s="213" t="s">
        <v>334</v>
      </c>
      <c r="F2306" s="212" t="s">
        <v>6158</v>
      </c>
      <c r="G2306" s="212" t="str">
        <f t="shared" ref="G2306:G2369" si="109">E2306&amp;F2306</f>
        <v>401용역매출</v>
      </c>
      <c r="H2306" s="214">
        <v>0</v>
      </c>
      <c r="I2306" s="214">
        <v>118181</v>
      </c>
      <c r="J2306" s="214">
        <f t="shared" ref="J2306:J2369" si="110">I2306-H2306</f>
        <v>118181</v>
      </c>
      <c r="K2306" s="212" t="s">
        <v>6220</v>
      </c>
      <c r="L2306" s="213"/>
      <c r="M2306" s="212" t="s">
        <v>6362</v>
      </c>
    </row>
    <row r="2307" spans="1:13" ht="21" customHeight="1">
      <c r="A2307" s="213" t="s">
        <v>6604</v>
      </c>
      <c r="B2307" s="215">
        <f t="shared" si="108"/>
        <v>45804</v>
      </c>
      <c r="C2307" s="213" t="s">
        <v>6191</v>
      </c>
      <c r="D2307" s="213" t="s">
        <v>4369</v>
      </c>
      <c r="E2307" s="213" t="s">
        <v>333</v>
      </c>
      <c r="F2307" s="212" t="s">
        <v>4365</v>
      </c>
      <c r="G2307" s="212" t="str">
        <f t="shared" si="109"/>
        <v>101현금</v>
      </c>
      <c r="H2307" s="214">
        <v>130000</v>
      </c>
      <c r="I2307" s="214">
        <v>0</v>
      </c>
      <c r="J2307" s="214">
        <f t="shared" si="110"/>
        <v>-130000</v>
      </c>
      <c r="K2307" s="212" t="s">
        <v>6220</v>
      </c>
      <c r="L2307" s="213"/>
      <c r="M2307" s="212" t="s">
        <v>6362</v>
      </c>
    </row>
    <row r="2308" spans="1:13" ht="21" customHeight="1">
      <c r="A2308" s="213" t="s">
        <v>6603</v>
      </c>
      <c r="B2308" s="215">
        <f t="shared" si="108"/>
        <v>45805</v>
      </c>
      <c r="C2308" s="213" t="s">
        <v>4373</v>
      </c>
      <c r="D2308" s="213" t="s">
        <v>4369</v>
      </c>
      <c r="E2308" s="213" t="s">
        <v>4383</v>
      </c>
      <c r="F2308" s="212" t="s">
        <v>6525</v>
      </c>
      <c r="G2308" s="212" t="str">
        <f t="shared" si="109"/>
        <v>830소모품비(판)</v>
      </c>
      <c r="H2308" s="214">
        <v>2700</v>
      </c>
      <c r="I2308" s="214">
        <v>0</v>
      </c>
      <c r="J2308" s="214">
        <f t="shared" si="110"/>
        <v>-2700</v>
      </c>
      <c r="K2308" s="212" t="s">
        <v>6324</v>
      </c>
      <c r="L2308" s="213"/>
      <c r="M2308" s="212"/>
    </row>
    <row r="2309" spans="1:13" ht="21" customHeight="1">
      <c r="A2309" s="213" t="s">
        <v>6603</v>
      </c>
      <c r="B2309" s="215">
        <f t="shared" si="108"/>
        <v>45805</v>
      </c>
      <c r="C2309" s="213" t="s">
        <v>4373</v>
      </c>
      <c r="D2309" s="213" t="s">
        <v>4366</v>
      </c>
      <c r="E2309" s="213" t="s">
        <v>333</v>
      </c>
      <c r="F2309" s="212" t="s">
        <v>4365</v>
      </c>
      <c r="G2309" s="212" t="str">
        <f t="shared" si="109"/>
        <v>101현금</v>
      </c>
      <c r="H2309" s="214">
        <v>0</v>
      </c>
      <c r="I2309" s="214">
        <v>2700</v>
      </c>
      <c r="J2309" s="214">
        <f t="shared" si="110"/>
        <v>2700</v>
      </c>
      <c r="K2309" s="212" t="s">
        <v>6369</v>
      </c>
      <c r="L2309" s="213"/>
      <c r="M2309" s="212"/>
    </row>
    <row r="2310" spans="1:13" ht="21" customHeight="1">
      <c r="A2310" s="213" t="s">
        <v>6603</v>
      </c>
      <c r="B2310" s="215">
        <f t="shared" si="108"/>
        <v>45805</v>
      </c>
      <c r="C2310" s="213" t="s">
        <v>4382</v>
      </c>
      <c r="D2310" s="213" t="s">
        <v>4369</v>
      </c>
      <c r="E2310" s="213" t="s">
        <v>4383</v>
      </c>
      <c r="F2310" s="212" t="s">
        <v>6525</v>
      </c>
      <c r="G2310" s="212" t="str">
        <f t="shared" si="109"/>
        <v>830소모품비(판)</v>
      </c>
      <c r="H2310" s="214">
        <v>10960</v>
      </c>
      <c r="I2310" s="214">
        <v>0</v>
      </c>
      <c r="J2310" s="214">
        <f t="shared" si="110"/>
        <v>-10960</v>
      </c>
      <c r="K2310" s="212" t="s">
        <v>6541</v>
      </c>
      <c r="L2310" s="213"/>
      <c r="M2310" s="212"/>
    </row>
    <row r="2311" spans="1:13" ht="21" customHeight="1">
      <c r="A2311" s="213" t="s">
        <v>6603</v>
      </c>
      <c r="B2311" s="215">
        <f t="shared" si="108"/>
        <v>45805</v>
      </c>
      <c r="C2311" s="213" t="s">
        <v>4382</v>
      </c>
      <c r="D2311" s="213" t="s">
        <v>4366</v>
      </c>
      <c r="E2311" s="213" t="s">
        <v>333</v>
      </c>
      <c r="F2311" s="212" t="s">
        <v>4365</v>
      </c>
      <c r="G2311" s="212" t="str">
        <f t="shared" si="109"/>
        <v>101현금</v>
      </c>
      <c r="H2311" s="214">
        <v>0</v>
      </c>
      <c r="I2311" s="214">
        <v>10960</v>
      </c>
      <c r="J2311" s="214">
        <f t="shared" si="110"/>
        <v>10960</v>
      </c>
      <c r="K2311" s="212" t="s">
        <v>6369</v>
      </c>
      <c r="L2311" s="213"/>
      <c r="M2311" s="212"/>
    </row>
    <row r="2312" spans="1:13" ht="21" customHeight="1">
      <c r="A2312" s="213" t="s">
        <v>6603</v>
      </c>
      <c r="B2312" s="215">
        <f t="shared" si="108"/>
        <v>45805</v>
      </c>
      <c r="C2312" s="213" t="s">
        <v>4367</v>
      </c>
      <c r="D2312" s="213" t="s">
        <v>4366</v>
      </c>
      <c r="E2312" s="213" t="s">
        <v>6176</v>
      </c>
      <c r="F2312" s="212" t="s">
        <v>6177</v>
      </c>
      <c r="G2312" s="212" t="str">
        <f t="shared" si="109"/>
        <v>255부가세예수금</v>
      </c>
      <c r="H2312" s="214">
        <v>0</v>
      </c>
      <c r="I2312" s="214">
        <v>10000</v>
      </c>
      <c r="J2312" s="214">
        <f t="shared" si="110"/>
        <v>10000</v>
      </c>
      <c r="K2312" s="212" t="s">
        <v>6271</v>
      </c>
      <c r="L2312" s="213"/>
      <c r="M2312" s="212" t="s">
        <v>6185</v>
      </c>
    </row>
    <row r="2313" spans="1:13" ht="21" customHeight="1">
      <c r="A2313" s="213" t="s">
        <v>6603</v>
      </c>
      <c r="B2313" s="215">
        <f t="shared" si="108"/>
        <v>45805</v>
      </c>
      <c r="C2313" s="213" t="s">
        <v>4367</v>
      </c>
      <c r="D2313" s="213" t="s">
        <v>4366</v>
      </c>
      <c r="E2313" s="213" t="s">
        <v>334</v>
      </c>
      <c r="F2313" s="212" t="s">
        <v>6158</v>
      </c>
      <c r="G2313" s="212" t="str">
        <f t="shared" si="109"/>
        <v>401용역매출</v>
      </c>
      <c r="H2313" s="214">
        <v>0</v>
      </c>
      <c r="I2313" s="214">
        <v>100000</v>
      </c>
      <c r="J2313" s="214">
        <f t="shared" si="110"/>
        <v>100000</v>
      </c>
      <c r="K2313" s="212" t="s">
        <v>6271</v>
      </c>
      <c r="L2313" s="213"/>
      <c r="M2313" s="212" t="s">
        <v>6185</v>
      </c>
    </row>
    <row r="2314" spans="1:13" ht="21" customHeight="1">
      <c r="A2314" s="213" t="s">
        <v>6603</v>
      </c>
      <c r="B2314" s="215">
        <f t="shared" si="108"/>
        <v>45805</v>
      </c>
      <c r="C2314" s="213" t="s">
        <v>4367</v>
      </c>
      <c r="D2314" s="213" t="s">
        <v>4369</v>
      </c>
      <c r="E2314" s="213" t="s">
        <v>333</v>
      </c>
      <c r="F2314" s="212" t="s">
        <v>4365</v>
      </c>
      <c r="G2314" s="212" t="str">
        <f t="shared" si="109"/>
        <v>101현금</v>
      </c>
      <c r="H2314" s="214">
        <v>110000</v>
      </c>
      <c r="I2314" s="214">
        <v>0</v>
      </c>
      <c r="J2314" s="214">
        <f t="shared" si="110"/>
        <v>-110000</v>
      </c>
      <c r="K2314" s="212" t="s">
        <v>6271</v>
      </c>
      <c r="L2314" s="213"/>
      <c r="M2314" s="212" t="s">
        <v>6185</v>
      </c>
    </row>
    <row r="2315" spans="1:13" ht="21" customHeight="1">
      <c r="A2315" s="213" t="s">
        <v>6603</v>
      </c>
      <c r="B2315" s="215">
        <f t="shared" si="108"/>
        <v>45805</v>
      </c>
      <c r="C2315" s="213" t="s">
        <v>4374</v>
      </c>
      <c r="D2315" s="213" t="s">
        <v>4366</v>
      </c>
      <c r="E2315" s="213" t="s">
        <v>6176</v>
      </c>
      <c r="F2315" s="212" t="s">
        <v>6177</v>
      </c>
      <c r="G2315" s="212" t="str">
        <f t="shared" si="109"/>
        <v>255부가세예수금</v>
      </c>
      <c r="H2315" s="214">
        <v>0</v>
      </c>
      <c r="I2315" s="214">
        <v>15000</v>
      </c>
      <c r="J2315" s="214">
        <f t="shared" si="110"/>
        <v>15000</v>
      </c>
      <c r="K2315" s="212" t="s">
        <v>6237</v>
      </c>
      <c r="L2315" s="213"/>
      <c r="M2315" s="212" t="s">
        <v>6179</v>
      </c>
    </row>
    <row r="2316" spans="1:13" ht="21" customHeight="1">
      <c r="A2316" s="213" t="s">
        <v>6603</v>
      </c>
      <c r="B2316" s="215">
        <f t="shared" si="108"/>
        <v>45805</v>
      </c>
      <c r="C2316" s="213" t="s">
        <v>4374</v>
      </c>
      <c r="D2316" s="213" t="s">
        <v>4366</v>
      </c>
      <c r="E2316" s="213" t="s">
        <v>334</v>
      </c>
      <c r="F2316" s="212" t="s">
        <v>6158</v>
      </c>
      <c r="G2316" s="212" t="str">
        <f t="shared" si="109"/>
        <v>401용역매출</v>
      </c>
      <c r="H2316" s="214">
        <v>0</v>
      </c>
      <c r="I2316" s="214">
        <v>150000</v>
      </c>
      <c r="J2316" s="214">
        <f t="shared" si="110"/>
        <v>150000</v>
      </c>
      <c r="K2316" s="212" t="s">
        <v>6237</v>
      </c>
      <c r="L2316" s="213"/>
      <c r="M2316" s="212" t="s">
        <v>6179</v>
      </c>
    </row>
    <row r="2317" spans="1:13" ht="21" customHeight="1">
      <c r="A2317" s="213" t="s">
        <v>6603</v>
      </c>
      <c r="B2317" s="215">
        <f t="shared" si="108"/>
        <v>45805</v>
      </c>
      <c r="C2317" s="213" t="s">
        <v>4374</v>
      </c>
      <c r="D2317" s="213" t="s">
        <v>4369</v>
      </c>
      <c r="E2317" s="213" t="s">
        <v>333</v>
      </c>
      <c r="F2317" s="212" t="s">
        <v>4365</v>
      </c>
      <c r="G2317" s="212" t="str">
        <f t="shared" si="109"/>
        <v>101현금</v>
      </c>
      <c r="H2317" s="214">
        <v>165000</v>
      </c>
      <c r="I2317" s="214">
        <v>0</v>
      </c>
      <c r="J2317" s="214">
        <f t="shared" si="110"/>
        <v>-165000</v>
      </c>
      <c r="K2317" s="212" t="s">
        <v>6237</v>
      </c>
      <c r="L2317" s="213"/>
      <c r="M2317" s="212" t="s">
        <v>6179</v>
      </c>
    </row>
    <row r="2318" spans="1:13" ht="21" customHeight="1">
      <c r="A2318" s="213" t="s">
        <v>6603</v>
      </c>
      <c r="B2318" s="215">
        <f t="shared" si="108"/>
        <v>45805</v>
      </c>
      <c r="C2318" s="213" t="s">
        <v>6182</v>
      </c>
      <c r="D2318" s="213" t="s">
        <v>4366</v>
      </c>
      <c r="E2318" s="213" t="s">
        <v>6176</v>
      </c>
      <c r="F2318" s="212" t="s">
        <v>6177</v>
      </c>
      <c r="G2318" s="212" t="str">
        <f t="shared" si="109"/>
        <v>255부가세예수금</v>
      </c>
      <c r="H2318" s="214">
        <v>0</v>
      </c>
      <c r="I2318" s="214">
        <v>15000</v>
      </c>
      <c r="J2318" s="214">
        <f t="shared" si="110"/>
        <v>15000</v>
      </c>
      <c r="K2318" s="212" t="s">
        <v>6239</v>
      </c>
      <c r="L2318" s="213"/>
      <c r="M2318" s="212" t="s">
        <v>6179</v>
      </c>
    </row>
    <row r="2319" spans="1:13" ht="21" customHeight="1">
      <c r="A2319" s="213" t="s">
        <v>6603</v>
      </c>
      <c r="B2319" s="215">
        <f t="shared" si="108"/>
        <v>45805</v>
      </c>
      <c r="C2319" s="213" t="s">
        <v>6182</v>
      </c>
      <c r="D2319" s="213" t="s">
        <v>4366</v>
      </c>
      <c r="E2319" s="213" t="s">
        <v>334</v>
      </c>
      <c r="F2319" s="212" t="s">
        <v>6158</v>
      </c>
      <c r="G2319" s="212" t="str">
        <f t="shared" si="109"/>
        <v>401용역매출</v>
      </c>
      <c r="H2319" s="214">
        <v>0</v>
      </c>
      <c r="I2319" s="214">
        <v>150000</v>
      </c>
      <c r="J2319" s="214">
        <f t="shared" si="110"/>
        <v>150000</v>
      </c>
      <c r="K2319" s="212" t="s">
        <v>6239</v>
      </c>
      <c r="L2319" s="213"/>
      <c r="M2319" s="212" t="s">
        <v>6179</v>
      </c>
    </row>
    <row r="2320" spans="1:13" ht="21" customHeight="1">
      <c r="A2320" s="213" t="s">
        <v>6603</v>
      </c>
      <c r="B2320" s="215">
        <f t="shared" si="108"/>
        <v>45805</v>
      </c>
      <c r="C2320" s="213" t="s">
        <v>6182</v>
      </c>
      <c r="D2320" s="213" t="s">
        <v>4369</v>
      </c>
      <c r="E2320" s="213" t="s">
        <v>333</v>
      </c>
      <c r="F2320" s="212" t="s">
        <v>4365</v>
      </c>
      <c r="G2320" s="212" t="str">
        <f t="shared" si="109"/>
        <v>101현금</v>
      </c>
      <c r="H2320" s="214">
        <v>165000</v>
      </c>
      <c r="I2320" s="214">
        <v>0</v>
      </c>
      <c r="J2320" s="214">
        <f t="shared" si="110"/>
        <v>-165000</v>
      </c>
      <c r="K2320" s="212" t="s">
        <v>6239</v>
      </c>
      <c r="L2320" s="213"/>
      <c r="M2320" s="212" t="s">
        <v>6179</v>
      </c>
    </row>
    <row r="2321" spans="1:13" ht="21" customHeight="1">
      <c r="A2321" s="213" t="s">
        <v>6601</v>
      </c>
      <c r="B2321" s="215">
        <f t="shared" si="108"/>
        <v>45806</v>
      </c>
      <c r="C2321" s="213" t="s">
        <v>4373</v>
      </c>
      <c r="D2321" s="213" t="s">
        <v>4369</v>
      </c>
      <c r="E2321" s="213" t="s">
        <v>4380</v>
      </c>
      <c r="F2321" s="212" t="s">
        <v>6515</v>
      </c>
      <c r="G2321" s="212" t="str">
        <f t="shared" si="109"/>
        <v>812여비교통비(판)</v>
      </c>
      <c r="H2321" s="214">
        <v>1600</v>
      </c>
      <c r="I2321" s="214">
        <v>0</v>
      </c>
      <c r="J2321" s="214">
        <f t="shared" si="110"/>
        <v>-1600</v>
      </c>
      <c r="K2321" s="212" t="s">
        <v>6377</v>
      </c>
      <c r="L2321" s="213"/>
      <c r="M2321" s="212"/>
    </row>
    <row r="2322" spans="1:13" ht="21" customHeight="1">
      <c r="A2322" s="213" t="s">
        <v>6601</v>
      </c>
      <c r="B2322" s="215">
        <f t="shared" si="108"/>
        <v>45806</v>
      </c>
      <c r="C2322" s="213" t="s">
        <v>4373</v>
      </c>
      <c r="D2322" s="213" t="s">
        <v>4366</v>
      </c>
      <c r="E2322" s="213" t="s">
        <v>333</v>
      </c>
      <c r="F2322" s="212" t="s">
        <v>4365</v>
      </c>
      <c r="G2322" s="212" t="str">
        <f t="shared" si="109"/>
        <v>101현금</v>
      </c>
      <c r="H2322" s="214">
        <v>0</v>
      </c>
      <c r="I2322" s="214">
        <v>1600</v>
      </c>
      <c r="J2322" s="214">
        <f t="shared" si="110"/>
        <v>1600</v>
      </c>
      <c r="K2322" s="212" t="s">
        <v>6369</v>
      </c>
      <c r="L2322" s="213"/>
      <c r="M2322" s="212"/>
    </row>
    <row r="2323" spans="1:13" ht="21" customHeight="1">
      <c r="A2323" s="213" t="s">
        <v>6601</v>
      </c>
      <c r="B2323" s="215">
        <f t="shared" si="108"/>
        <v>45806</v>
      </c>
      <c r="C2323" s="213" t="s">
        <v>4382</v>
      </c>
      <c r="D2323" s="213" t="s">
        <v>4369</v>
      </c>
      <c r="E2323" s="213" t="s">
        <v>4380</v>
      </c>
      <c r="F2323" s="212" t="s">
        <v>6515</v>
      </c>
      <c r="G2323" s="212" t="str">
        <f t="shared" si="109"/>
        <v>812여비교통비(판)</v>
      </c>
      <c r="H2323" s="214">
        <v>3300</v>
      </c>
      <c r="I2323" s="214">
        <v>0</v>
      </c>
      <c r="J2323" s="214">
        <f t="shared" si="110"/>
        <v>-3300</v>
      </c>
      <c r="K2323" s="212" t="s">
        <v>6602</v>
      </c>
      <c r="L2323" s="213"/>
      <c r="M2323" s="212"/>
    </row>
    <row r="2324" spans="1:13" ht="21" customHeight="1">
      <c r="A2324" s="213" t="s">
        <v>6601</v>
      </c>
      <c r="B2324" s="215">
        <f t="shared" si="108"/>
        <v>45806</v>
      </c>
      <c r="C2324" s="213" t="s">
        <v>4382</v>
      </c>
      <c r="D2324" s="213" t="s">
        <v>4366</v>
      </c>
      <c r="E2324" s="213" t="s">
        <v>333</v>
      </c>
      <c r="F2324" s="212" t="s">
        <v>4365</v>
      </c>
      <c r="G2324" s="212" t="str">
        <f t="shared" si="109"/>
        <v>101현금</v>
      </c>
      <c r="H2324" s="214">
        <v>0</v>
      </c>
      <c r="I2324" s="214">
        <v>3300</v>
      </c>
      <c r="J2324" s="214">
        <f t="shared" si="110"/>
        <v>3300</v>
      </c>
      <c r="K2324" s="212" t="s">
        <v>6369</v>
      </c>
      <c r="L2324" s="213"/>
      <c r="M2324" s="212"/>
    </row>
    <row r="2325" spans="1:13" ht="21" customHeight="1">
      <c r="A2325" s="213" t="s">
        <v>6598</v>
      </c>
      <c r="B2325" s="215">
        <f t="shared" si="108"/>
        <v>45807</v>
      </c>
      <c r="C2325" s="213" t="s">
        <v>4373</v>
      </c>
      <c r="D2325" s="213" t="s">
        <v>4369</v>
      </c>
      <c r="E2325" s="213" t="s">
        <v>4499</v>
      </c>
      <c r="F2325" s="212" t="s">
        <v>6517</v>
      </c>
      <c r="G2325" s="212" t="str">
        <f t="shared" si="109"/>
        <v>811복리후생비(판)</v>
      </c>
      <c r="H2325" s="214">
        <v>33000</v>
      </c>
      <c r="I2325" s="214">
        <v>0</v>
      </c>
      <c r="J2325" s="214">
        <f t="shared" si="110"/>
        <v>-33000</v>
      </c>
      <c r="K2325" s="212" t="s">
        <v>6600</v>
      </c>
      <c r="L2325" s="213"/>
      <c r="M2325" s="212"/>
    </row>
    <row r="2326" spans="1:13" ht="21" customHeight="1">
      <c r="A2326" s="213" t="s">
        <v>6598</v>
      </c>
      <c r="B2326" s="215">
        <f t="shared" si="108"/>
        <v>45807</v>
      </c>
      <c r="C2326" s="213" t="s">
        <v>4373</v>
      </c>
      <c r="D2326" s="213" t="s">
        <v>4366</v>
      </c>
      <c r="E2326" s="213" t="s">
        <v>333</v>
      </c>
      <c r="F2326" s="212" t="s">
        <v>4365</v>
      </c>
      <c r="G2326" s="212" t="str">
        <f t="shared" si="109"/>
        <v>101현금</v>
      </c>
      <c r="H2326" s="214">
        <v>0</v>
      </c>
      <c r="I2326" s="214">
        <v>33000</v>
      </c>
      <c r="J2326" s="214">
        <f t="shared" si="110"/>
        <v>33000</v>
      </c>
      <c r="K2326" s="212" t="s">
        <v>6369</v>
      </c>
      <c r="L2326" s="213"/>
      <c r="M2326" s="212"/>
    </row>
    <row r="2327" spans="1:13" ht="21" customHeight="1">
      <c r="A2327" s="213" t="s">
        <v>6598</v>
      </c>
      <c r="B2327" s="215">
        <f t="shared" si="108"/>
        <v>45807</v>
      </c>
      <c r="C2327" s="213" t="s">
        <v>4382</v>
      </c>
      <c r="D2327" s="213" t="s">
        <v>4369</v>
      </c>
      <c r="E2327" s="213" t="s">
        <v>4383</v>
      </c>
      <c r="F2327" s="212" t="s">
        <v>6525</v>
      </c>
      <c r="G2327" s="212" t="str">
        <f t="shared" si="109"/>
        <v>830소모품비(판)</v>
      </c>
      <c r="H2327" s="214">
        <v>11700</v>
      </c>
      <c r="I2327" s="214">
        <v>0</v>
      </c>
      <c r="J2327" s="214">
        <f t="shared" si="110"/>
        <v>-11700</v>
      </c>
      <c r="K2327" s="212" t="s">
        <v>6563</v>
      </c>
      <c r="L2327" s="213"/>
      <c r="M2327" s="212"/>
    </row>
    <row r="2328" spans="1:13" ht="21" customHeight="1">
      <c r="A2328" s="213" t="s">
        <v>6598</v>
      </c>
      <c r="B2328" s="215">
        <f t="shared" si="108"/>
        <v>45807</v>
      </c>
      <c r="C2328" s="213" t="s">
        <v>4382</v>
      </c>
      <c r="D2328" s="213" t="s">
        <v>4366</v>
      </c>
      <c r="E2328" s="213" t="s">
        <v>333</v>
      </c>
      <c r="F2328" s="212" t="s">
        <v>4365</v>
      </c>
      <c r="G2328" s="212" t="str">
        <f t="shared" si="109"/>
        <v>101현금</v>
      </c>
      <c r="H2328" s="214">
        <v>0</v>
      </c>
      <c r="I2328" s="214">
        <v>11700</v>
      </c>
      <c r="J2328" s="214">
        <f t="shared" si="110"/>
        <v>11700</v>
      </c>
      <c r="K2328" s="212" t="s">
        <v>6369</v>
      </c>
      <c r="L2328" s="213"/>
      <c r="M2328" s="212"/>
    </row>
    <row r="2329" spans="1:13" ht="21" customHeight="1">
      <c r="A2329" s="213" t="s">
        <v>6598</v>
      </c>
      <c r="B2329" s="215">
        <f t="shared" si="108"/>
        <v>45807</v>
      </c>
      <c r="C2329" s="213" t="s">
        <v>4381</v>
      </c>
      <c r="D2329" s="213" t="s">
        <v>4369</v>
      </c>
      <c r="E2329" s="213" t="s">
        <v>4383</v>
      </c>
      <c r="F2329" s="212" t="s">
        <v>6525</v>
      </c>
      <c r="G2329" s="212" t="str">
        <f t="shared" si="109"/>
        <v>830소모품비(판)</v>
      </c>
      <c r="H2329" s="214">
        <v>8800</v>
      </c>
      <c r="I2329" s="214">
        <v>0</v>
      </c>
      <c r="J2329" s="214">
        <f t="shared" si="110"/>
        <v>-8800</v>
      </c>
      <c r="K2329" s="212" t="s">
        <v>6599</v>
      </c>
      <c r="L2329" s="213"/>
      <c r="M2329" s="212"/>
    </row>
    <row r="2330" spans="1:13" ht="21" customHeight="1">
      <c r="A2330" s="213" t="s">
        <v>6598</v>
      </c>
      <c r="B2330" s="215">
        <f t="shared" si="108"/>
        <v>45807</v>
      </c>
      <c r="C2330" s="213" t="s">
        <v>4381</v>
      </c>
      <c r="D2330" s="213" t="s">
        <v>4366</v>
      </c>
      <c r="E2330" s="213" t="s">
        <v>333</v>
      </c>
      <c r="F2330" s="212" t="s">
        <v>4365</v>
      </c>
      <c r="G2330" s="212" t="str">
        <f t="shared" si="109"/>
        <v>101현금</v>
      </c>
      <c r="H2330" s="214">
        <v>0</v>
      </c>
      <c r="I2330" s="214">
        <v>8800</v>
      </c>
      <c r="J2330" s="214">
        <f t="shared" si="110"/>
        <v>8800</v>
      </c>
      <c r="K2330" s="212" t="s">
        <v>6369</v>
      </c>
      <c r="L2330" s="213"/>
      <c r="M2330" s="212"/>
    </row>
    <row r="2331" spans="1:13" ht="21" customHeight="1">
      <c r="A2331" s="213" t="s">
        <v>6598</v>
      </c>
      <c r="B2331" s="215">
        <f t="shared" si="108"/>
        <v>45807</v>
      </c>
      <c r="C2331" s="213" t="s">
        <v>4379</v>
      </c>
      <c r="D2331" s="213" t="s">
        <v>4369</v>
      </c>
      <c r="E2331" s="213" t="s">
        <v>4368</v>
      </c>
      <c r="F2331" s="212" t="s">
        <v>6388</v>
      </c>
      <c r="G2331" s="212" t="str">
        <f t="shared" si="109"/>
        <v>831지급수수료(판)</v>
      </c>
      <c r="H2331" s="214">
        <v>27900</v>
      </c>
      <c r="I2331" s="214">
        <v>0</v>
      </c>
      <c r="J2331" s="214">
        <f t="shared" si="110"/>
        <v>-27900</v>
      </c>
      <c r="K2331" s="212" t="s">
        <v>6351</v>
      </c>
      <c r="L2331" s="213"/>
      <c r="M2331" s="212"/>
    </row>
    <row r="2332" spans="1:13" ht="21" customHeight="1">
      <c r="A2332" s="213" t="s">
        <v>6598</v>
      </c>
      <c r="B2332" s="215">
        <f t="shared" si="108"/>
        <v>45807</v>
      </c>
      <c r="C2332" s="213" t="s">
        <v>4379</v>
      </c>
      <c r="D2332" s="213" t="s">
        <v>4366</v>
      </c>
      <c r="E2332" s="213" t="s">
        <v>333</v>
      </c>
      <c r="F2332" s="212" t="s">
        <v>4365</v>
      </c>
      <c r="G2332" s="212" t="str">
        <f t="shared" si="109"/>
        <v>101현금</v>
      </c>
      <c r="H2332" s="214">
        <v>0</v>
      </c>
      <c r="I2332" s="214">
        <v>27900</v>
      </c>
      <c r="J2332" s="214">
        <f t="shared" si="110"/>
        <v>27900</v>
      </c>
      <c r="K2332" s="212" t="s">
        <v>6371</v>
      </c>
      <c r="L2332" s="213"/>
      <c r="M2332" s="212"/>
    </row>
    <row r="2333" spans="1:13" ht="21" customHeight="1">
      <c r="A2333" s="213" t="s">
        <v>6598</v>
      </c>
      <c r="B2333" s="215">
        <f t="shared" si="108"/>
        <v>45807</v>
      </c>
      <c r="C2333" s="213" t="s">
        <v>4367</v>
      </c>
      <c r="D2333" s="213" t="s">
        <v>4369</v>
      </c>
      <c r="E2333" s="213" t="s">
        <v>4371</v>
      </c>
      <c r="F2333" s="212" t="s">
        <v>4370</v>
      </c>
      <c r="G2333" s="212" t="str">
        <f t="shared" si="109"/>
        <v>135부가세대급금</v>
      </c>
      <c r="H2333" s="214">
        <v>4000</v>
      </c>
      <c r="I2333" s="214">
        <v>0</v>
      </c>
      <c r="J2333" s="214">
        <f t="shared" si="110"/>
        <v>-4000</v>
      </c>
      <c r="K2333" s="212" t="s">
        <v>6227</v>
      </c>
      <c r="L2333" s="213"/>
      <c r="M2333" s="212" t="s">
        <v>6314</v>
      </c>
    </row>
    <row r="2334" spans="1:13" ht="21" customHeight="1">
      <c r="A2334" s="213" t="s">
        <v>6598</v>
      </c>
      <c r="B2334" s="215">
        <f t="shared" si="108"/>
        <v>45807</v>
      </c>
      <c r="C2334" s="213" t="s">
        <v>4367</v>
      </c>
      <c r="D2334" s="213" t="s">
        <v>4369</v>
      </c>
      <c r="E2334" s="213" t="s">
        <v>4368</v>
      </c>
      <c r="F2334" s="212" t="s">
        <v>6388</v>
      </c>
      <c r="G2334" s="212" t="str">
        <f t="shared" si="109"/>
        <v>831지급수수료(판)</v>
      </c>
      <c r="H2334" s="214">
        <v>40000</v>
      </c>
      <c r="I2334" s="214">
        <v>0</v>
      </c>
      <c r="J2334" s="214">
        <f t="shared" si="110"/>
        <v>-40000</v>
      </c>
      <c r="K2334" s="212" t="s">
        <v>6227</v>
      </c>
      <c r="L2334" s="213"/>
      <c r="M2334" s="212" t="s">
        <v>6314</v>
      </c>
    </row>
    <row r="2335" spans="1:13" ht="21" customHeight="1">
      <c r="A2335" s="213" t="s">
        <v>6598</v>
      </c>
      <c r="B2335" s="215">
        <f t="shared" si="108"/>
        <v>45807</v>
      </c>
      <c r="C2335" s="213" t="s">
        <v>4367</v>
      </c>
      <c r="D2335" s="213" t="s">
        <v>4366</v>
      </c>
      <c r="E2335" s="213" t="s">
        <v>333</v>
      </c>
      <c r="F2335" s="212" t="s">
        <v>4365</v>
      </c>
      <c r="G2335" s="212" t="str">
        <f t="shared" si="109"/>
        <v>101현금</v>
      </c>
      <c r="H2335" s="214">
        <v>0</v>
      </c>
      <c r="I2335" s="214">
        <v>44000</v>
      </c>
      <c r="J2335" s="214">
        <f t="shared" si="110"/>
        <v>44000</v>
      </c>
      <c r="K2335" s="212" t="s">
        <v>6227</v>
      </c>
      <c r="L2335" s="213"/>
      <c r="M2335" s="212" t="s">
        <v>6314</v>
      </c>
    </row>
    <row r="2336" spans="1:13" ht="21" customHeight="1">
      <c r="A2336" s="213" t="s">
        <v>6598</v>
      </c>
      <c r="B2336" s="215">
        <f t="shared" si="108"/>
        <v>45807</v>
      </c>
      <c r="C2336" s="213" t="s">
        <v>4374</v>
      </c>
      <c r="D2336" s="213" t="s">
        <v>4369</v>
      </c>
      <c r="E2336" s="213" t="s">
        <v>4371</v>
      </c>
      <c r="F2336" s="212" t="s">
        <v>4370</v>
      </c>
      <c r="G2336" s="212" t="str">
        <f t="shared" si="109"/>
        <v>135부가세대급금</v>
      </c>
      <c r="H2336" s="214">
        <v>1155</v>
      </c>
      <c r="I2336" s="214">
        <v>0</v>
      </c>
      <c r="J2336" s="214">
        <f t="shared" si="110"/>
        <v>-1155</v>
      </c>
      <c r="K2336" s="212" t="s">
        <v>6227</v>
      </c>
      <c r="L2336" s="213"/>
      <c r="M2336" s="212" t="s">
        <v>6315</v>
      </c>
    </row>
    <row r="2337" spans="1:13" ht="21" customHeight="1">
      <c r="A2337" s="213" t="s">
        <v>6598</v>
      </c>
      <c r="B2337" s="215">
        <f t="shared" si="108"/>
        <v>45807</v>
      </c>
      <c r="C2337" s="213" t="s">
        <v>4374</v>
      </c>
      <c r="D2337" s="213" t="s">
        <v>4369</v>
      </c>
      <c r="E2337" s="213" t="s">
        <v>4368</v>
      </c>
      <c r="F2337" s="212" t="s">
        <v>6388</v>
      </c>
      <c r="G2337" s="212" t="str">
        <f t="shared" si="109"/>
        <v>831지급수수료(판)</v>
      </c>
      <c r="H2337" s="214">
        <v>11550</v>
      </c>
      <c r="I2337" s="214">
        <v>0</v>
      </c>
      <c r="J2337" s="214">
        <f t="shared" si="110"/>
        <v>-11550</v>
      </c>
      <c r="K2337" s="212" t="s">
        <v>6227</v>
      </c>
      <c r="L2337" s="213"/>
      <c r="M2337" s="212" t="s">
        <v>6315</v>
      </c>
    </row>
    <row r="2338" spans="1:13" ht="21" customHeight="1">
      <c r="A2338" s="213" t="s">
        <v>6598</v>
      </c>
      <c r="B2338" s="215">
        <f t="shared" si="108"/>
        <v>45807</v>
      </c>
      <c r="C2338" s="213" t="s">
        <v>4374</v>
      </c>
      <c r="D2338" s="213" t="s">
        <v>4366</v>
      </c>
      <c r="E2338" s="213" t="s">
        <v>333</v>
      </c>
      <c r="F2338" s="212" t="s">
        <v>4365</v>
      </c>
      <c r="G2338" s="212" t="str">
        <f t="shared" si="109"/>
        <v>101현금</v>
      </c>
      <c r="H2338" s="214">
        <v>0</v>
      </c>
      <c r="I2338" s="214">
        <v>12705</v>
      </c>
      <c r="J2338" s="214">
        <f t="shared" si="110"/>
        <v>12705</v>
      </c>
      <c r="K2338" s="212" t="s">
        <v>6227</v>
      </c>
      <c r="L2338" s="213"/>
      <c r="M2338" s="212" t="s">
        <v>6315</v>
      </c>
    </row>
    <row r="2339" spans="1:13" ht="21" customHeight="1">
      <c r="A2339" s="213" t="s">
        <v>6598</v>
      </c>
      <c r="B2339" s="215">
        <f t="shared" si="108"/>
        <v>45807</v>
      </c>
      <c r="C2339" s="213" t="s">
        <v>6182</v>
      </c>
      <c r="D2339" s="213" t="s">
        <v>4366</v>
      </c>
      <c r="E2339" s="213" t="s">
        <v>6176</v>
      </c>
      <c r="F2339" s="212" t="s">
        <v>6177</v>
      </c>
      <c r="G2339" s="212" t="str">
        <f t="shared" si="109"/>
        <v>255부가세예수금</v>
      </c>
      <c r="H2339" s="214">
        <v>0</v>
      </c>
      <c r="I2339" s="214">
        <v>15000</v>
      </c>
      <c r="J2339" s="214">
        <f t="shared" si="110"/>
        <v>15000</v>
      </c>
      <c r="K2339" s="212" t="s">
        <v>6390</v>
      </c>
      <c r="L2339" s="213"/>
      <c r="M2339" s="212" t="s">
        <v>6179</v>
      </c>
    </row>
    <row r="2340" spans="1:13" ht="21" customHeight="1">
      <c r="A2340" s="213" t="s">
        <v>6598</v>
      </c>
      <c r="B2340" s="215">
        <f t="shared" si="108"/>
        <v>45807</v>
      </c>
      <c r="C2340" s="213" t="s">
        <v>6182</v>
      </c>
      <c r="D2340" s="213" t="s">
        <v>4366</v>
      </c>
      <c r="E2340" s="213" t="s">
        <v>334</v>
      </c>
      <c r="F2340" s="212" t="s">
        <v>6158</v>
      </c>
      <c r="G2340" s="212" t="str">
        <f t="shared" si="109"/>
        <v>401용역매출</v>
      </c>
      <c r="H2340" s="214">
        <v>0</v>
      </c>
      <c r="I2340" s="214">
        <v>150000</v>
      </c>
      <c r="J2340" s="214">
        <f t="shared" si="110"/>
        <v>150000</v>
      </c>
      <c r="K2340" s="212" t="s">
        <v>6390</v>
      </c>
      <c r="L2340" s="213"/>
      <c r="M2340" s="212" t="s">
        <v>6179</v>
      </c>
    </row>
    <row r="2341" spans="1:13" ht="21" customHeight="1">
      <c r="A2341" s="213" t="s">
        <v>6598</v>
      </c>
      <c r="B2341" s="215">
        <f t="shared" si="108"/>
        <v>45807</v>
      </c>
      <c r="C2341" s="213" t="s">
        <v>6182</v>
      </c>
      <c r="D2341" s="213" t="s">
        <v>4369</v>
      </c>
      <c r="E2341" s="213" t="s">
        <v>333</v>
      </c>
      <c r="F2341" s="212" t="s">
        <v>4365</v>
      </c>
      <c r="G2341" s="212" t="str">
        <f t="shared" si="109"/>
        <v>101현금</v>
      </c>
      <c r="H2341" s="214">
        <v>165000</v>
      </c>
      <c r="I2341" s="214">
        <v>0</v>
      </c>
      <c r="J2341" s="214">
        <f t="shared" si="110"/>
        <v>-165000</v>
      </c>
      <c r="K2341" s="212" t="s">
        <v>6390</v>
      </c>
      <c r="L2341" s="213"/>
      <c r="M2341" s="212" t="s">
        <v>6179</v>
      </c>
    </row>
    <row r="2342" spans="1:13" ht="21" customHeight="1">
      <c r="A2342" s="213" t="s">
        <v>6598</v>
      </c>
      <c r="B2342" s="215">
        <f t="shared" si="108"/>
        <v>45807</v>
      </c>
      <c r="C2342" s="213" t="s">
        <v>6184</v>
      </c>
      <c r="D2342" s="213" t="s">
        <v>4366</v>
      </c>
      <c r="E2342" s="213" t="s">
        <v>6176</v>
      </c>
      <c r="F2342" s="212" t="s">
        <v>6177</v>
      </c>
      <c r="G2342" s="212" t="str">
        <f t="shared" si="109"/>
        <v>255부가세예수금</v>
      </c>
      <c r="H2342" s="214">
        <v>0</v>
      </c>
      <c r="I2342" s="214">
        <v>30000</v>
      </c>
      <c r="J2342" s="214">
        <f t="shared" si="110"/>
        <v>30000</v>
      </c>
      <c r="K2342" s="212" t="s">
        <v>6180</v>
      </c>
      <c r="L2342" s="213"/>
      <c r="M2342" s="212" t="s">
        <v>6190</v>
      </c>
    </row>
    <row r="2343" spans="1:13" ht="21" customHeight="1">
      <c r="A2343" s="213" t="s">
        <v>6598</v>
      </c>
      <c r="B2343" s="215">
        <f t="shared" si="108"/>
        <v>45807</v>
      </c>
      <c r="C2343" s="213" t="s">
        <v>6184</v>
      </c>
      <c r="D2343" s="213" t="s">
        <v>4366</v>
      </c>
      <c r="E2343" s="213" t="s">
        <v>334</v>
      </c>
      <c r="F2343" s="212" t="s">
        <v>6158</v>
      </c>
      <c r="G2343" s="212" t="str">
        <f t="shared" si="109"/>
        <v>401용역매출</v>
      </c>
      <c r="H2343" s="214">
        <v>0</v>
      </c>
      <c r="I2343" s="214">
        <v>300000</v>
      </c>
      <c r="J2343" s="214">
        <f t="shared" si="110"/>
        <v>300000</v>
      </c>
      <c r="K2343" s="212" t="s">
        <v>6180</v>
      </c>
      <c r="L2343" s="213"/>
      <c r="M2343" s="212" t="s">
        <v>6190</v>
      </c>
    </row>
    <row r="2344" spans="1:13" ht="21" customHeight="1">
      <c r="A2344" s="213" t="s">
        <v>6598</v>
      </c>
      <c r="B2344" s="215">
        <f t="shared" si="108"/>
        <v>45807</v>
      </c>
      <c r="C2344" s="213" t="s">
        <v>6184</v>
      </c>
      <c r="D2344" s="213" t="s">
        <v>4369</v>
      </c>
      <c r="E2344" s="213" t="s">
        <v>333</v>
      </c>
      <c r="F2344" s="212" t="s">
        <v>4365</v>
      </c>
      <c r="G2344" s="212" t="str">
        <f t="shared" si="109"/>
        <v>101현금</v>
      </c>
      <c r="H2344" s="214">
        <v>330000</v>
      </c>
      <c r="I2344" s="214">
        <v>0</v>
      </c>
      <c r="J2344" s="214">
        <f t="shared" si="110"/>
        <v>-330000</v>
      </c>
      <c r="K2344" s="212" t="s">
        <v>6180</v>
      </c>
      <c r="L2344" s="213"/>
      <c r="M2344" s="212" t="s">
        <v>6190</v>
      </c>
    </row>
    <row r="2345" spans="1:13" ht="21" customHeight="1">
      <c r="A2345" s="213" t="s">
        <v>6598</v>
      </c>
      <c r="B2345" s="215">
        <f t="shared" si="108"/>
        <v>45807</v>
      </c>
      <c r="C2345" s="213" t="s">
        <v>6186</v>
      </c>
      <c r="D2345" s="213" t="s">
        <v>4366</v>
      </c>
      <c r="E2345" s="213" t="s">
        <v>6176</v>
      </c>
      <c r="F2345" s="212" t="s">
        <v>6177</v>
      </c>
      <c r="G2345" s="212" t="str">
        <f t="shared" si="109"/>
        <v>255부가세예수금</v>
      </c>
      <c r="H2345" s="214">
        <v>0</v>
      </c>
      <c r="I2345" s="214">
        <v>12000</v>
      </c>
      <c r="J2345" s="214">
        <f t="shared" si="110"/>
        <v>12000</v>
      </c>
      <c r="K2345" s="212" t="s">
        <v>6224</v>
      </c>
      <c r="L2345" s="213"/>
      <c r="M2345" s="212" t="s">
        <v>6225</v>
      </c>
    </row>
    <row r="2346" spans="1:13" ht="21" customHeight="1">
      <c r="A2346" s="213" t="s">
        <v>6598</v>
      </c>
      <c r="B2346" s="215">
        <f t="shared" si="108"/>
        <v>45807</v>
      </c>
      <c r="C2346" s="213" t="s">
        <v>6186</v>
      </c>
      <c r="D2346" s="213" t="s">
        <v>4366</v>
      </c>
      <c r="E2346" s="213" t="s">
        <v>334</v>
      </c>
      <c r="F2346" s="212" t="s">
        <v>6158</v>
      </c>
      <c r="G2346" s="212" t="str">
        <f t="shared" si="109"/>
        <v>401용역매출</v>
      </c>
      <c r="H2346" s="214">
        <v>0</v>
      </c>
      <c r="I2346" s="214">
        <v>120000</v>
      </c>
      <c r="J2346" s="214">
        <f t="shared" si="110"/>
        <v>120000</v>
      </c>
      <c r="K2346" s="212" t="s">
        <v>6224</v>
      </c>
      <c r="L2346" s="213"/>
      <c r="M2346" s="212" t="s">
        <v>6225</v>
      </c>
    </row>
    <row r="2347" spans="1:13" ht="21" customHeight="1">
      <c r="A2347" s="213" t="s">
        <v>6598</v>
      </c>
      <c r="B2347" s="215">
        <f t="shared" si="108"/>
        <v>45807</v>
      </c>
      <c r="C2347" s="213" t="s">
        <v>6186</v>
      </c>
      <c r="D2347" s="213" t="s">
        <v>4369</v>
      </c>
      <c r="E2347" s="213" t="s">
        <v>333</v>
      </c>
      <c r="F2347" s="212" t="s">
        <v>4365</v>
      </c>
      <c r="G2347" s="212" t="str">
        <f t="shared" si="109"/>
        <v>101현금</v>
      </c>
      <c r="H2347" s="214">
        <v>132000</v>
      </c>
      <c r="I2347" s="214">
        <v>0</v>
      </c>
      <c r="J2347" s="214">
        <f t="shared" si="110"/>
        <v>-132000</v>
      </c>
      <c r="K2347" s="212" t="s">
        <v>6224</v>
      </c>
      <c r="L2347" s="213"/>
      <c r="M2347" s="212" t="s">
        <v>6225</v>
      </c>
    </row>
    <row r="2348" spans="1:13" ht="21" customHeight="1">
      <c r="A2348" s="213" t="s">
        <v>6598</v>
      </c>
      <c r="B2348" s="215">
        <f t="shared" si="108"/>
        <v>45807</v>
      </c>
      <c r="C2348" s="213" t="s">
        <v>6189</v>
      </c>
      <c r="D2348" s="213" t="s">
        <v>4366</v>
      </c>
      <c r="E2348" s="213" t="s">
        <v>6176</v>
      </c>
      <c r="F2348" s="212" t="s">
        <v>6177</v>
      </c>
      <c r="G2348" s="212" t="str">
        <f t="shared" si="109"/>
        <v>255부가세예수금</v>
      </c>
      <c r="H2348" s="214">
        <v>0</v>
      </c>
      <c r="I2348" s="214">
        <v>7000</v>
      </c>
      <c r="J2348" s="214">
        <f t="shared" si="110"/>
        <v>7000</v>
      </c>
      <c r="K2348" s="212" t="s">
        <v>6336</v>
      </c>
      <c r="L2348" s="213"/>
      <c r="M2348" s="212" t="s">
        <v>6287</v>
      </c>
    </row>
    <row r="2349" spans="1:13" ht="21" customHeight="1">
      <c r="A2349" s="213" t="s">
        <v>6598</v>
      </c>
      <c r="B2349" s="215">
        <f t="shared" si="108"/>
        <v>45807</v>
      </c>
      <c r="C2349" s="213" t="s">
        <v>6189</v>
      </c>
      <c r="D2349" s="213" t="s">
        <v>4366</v>
      </c>
      <c r="E2349" s="213" t="s">
        <v>334</v>
      </c>
      <c r="F2349" s="212" t="s">
        <v>6158</v>
      </c>
      <c r="G2349" s="212" t="str">
        <f t="shared" si="109"/>
        <v>401용역매출</v>
      </c>
      <c r="H2349" s="214">
        <v>0</v>
      </c>
      <c r="I2349" s="214">
        <v>70000</v>
      </c>
      <c r="J2349" s="214">
        <f t="shared" si="110"/>
        <v>70000</v>
      </c>
      <c r="K2349" s="212" t="s">
        <v>6336</v>
      </c>
      <c r="L2349" s="213"/>
      <c r="M2349" s="212" t="s">
        <v>6287</v>
      </c>
    </row>
    <row r="2350" spans="1:13" ht="21" customHeight="1">
      <c r="A2350" s="213" t="s">
        <v>6598</v>
      </c>
      <c r="B2350" s="215">
        <f t="shared" si="108"/>
        <v>45807</v>
      </c>
      <c r="C2350" s="213" t="s">
        <v>6189</v>
      </c>
      <c r="D2350" s="213" t="s">
        <v>4369</v>
      </c>
      <c r="E2350" s="213" t="s">
        <v>333</v>
      </c>
      <c r="F2350" s="212" t="s">
        <v>4365</v>
      </c>
      <c r="G2350" s="212" t="str">
        <f t="shared" si="109"/>
        <v>101현금</v>
      </c>
      <c r="H2350" s="214">
        <v>77000</v>
      </c>
      <c r="I2350" s="214">
        <v>0</v>
      </c>
      <c r="J2350" s="214">
        <f t="shared" si="110"/>
        <v>-77000</v>
      </c>
      <c r="K2350" s="212" t="s">
        <v>6336</v>
      </c>
      <c r="L2350" s="213"/>
      <c r="M2350" s="212" t="s">
        <v>6287</v>
      </c>
    </row>
    <row r="2351" spans="1:13" ht="21" customHeight="1">
      <c r="A2351" s="213" t="s">
        <v>6598</v>
      </c>
      <c r="B2351" s="215">
        <f t="shared" si="108"/>
        <v>45807</v>
      </c>
      <c r="C2351" s="213" t="s">
        <v>6191</v>
      </c>
      <c r="D2351" s="213" t="s">
        <v>4366</v>
      </c>
      <c r="E2351" s="213" t="s">
        <v>6176</v>
      </c>
      <c r="F2351" s="212" t="s">
        <v>6177</v>
      </c>
      <c r="G2351" s="212" t="str">
        <f t="shared" si="109"/>
        <v>255부가세예수금</v>
      </c>
      <c r="H2351" s="214">
        <v>0</v>
      </c>
      <c r="I2351" s="214">
        <v>15000</v>
      </c>
      <c r="J2351" s="214">
        <f t="shared" si="110"/>
        <v>15000</v>
      </c>
      <c r="K2351" s="212" t="s">
        <v>6223</v>
      </c>
      <c r="L2351" s="213"/>
      <c r="M2351" s="212" t="s">
        <v>6179</v>
      </c>
    </row>
    <row r="2352" spans="1:13" ht="21" customHeight="1">
      <c r="A2352" s="213" t="s">
        <v>6598</v>
      </c>
      <c r="B2352" s="215">
        <f t="shared" si="108"/>
        <v>45807</v>
      </c>
      <c r="C2352" s="213" t="s">
        <v>6191</v>
      </c>
      <c r="D2352" s="213" t="s">
        <v>4366</v>
      </c>
      <c r="E2352" s="213" t="s">
        <v>334</v>
      </c>
      <c r="F2352" s="212" t="s">
        <v>6158</v>
      </c>
      <c r="G2352" s="212" t="str">
        <f t="shared" si="109"/>
        <v>401용역매출</v>
      </c>
      <c r="H2352" s="214">
        <v>0</v>
      </c>
      <c r="I2352" s="214">
        <v>150000</v>
      </c>
      <c r="J2352" s="214">
        <f t="shared" si="110"/>
        <v>150000</v>
      </c>
      <c r="K2352" s="212" t="s">
        <v>6223</v>
      </c>
      <c r="L2352" s="213"/>
      <c r="M2352" s="212" t="s">
        <v>6179</v>
      </c>
    </row>
    <row r="2353" spans="1:13" ht="21" customHeight="1">
      <c r="A2353" s="213" t="s">
        <v>6598</v>
      </c>
      <c r="B2353" s="215">
        <f t="shared" si="108"/>
        <v>45807</v>
      </c>
      <c r="C2353" s="213" t="s">
        <v>6191</v>
      </c>
      <c r="D2353" s="213" t="s">
        <v>4369</v>
      </c>
      <c r="E2353" s="213" t="s">
        <v>333</v>
      </c>
      <c r="F2353" s="212" t="s">
        <v>4365</v>
      </c>
      <c r="G2353" s="212" t="str">
        <f t="shared" si="109"/>
        <v>101현금</v>
      </c>
      <c r="H2353" s="214">
        <v>165000</v>
      </c>
      <c r="I2353" s="214">
        <v>0</v>
      </c>
      <c r="J2353" s="214">
        <f t="shared" si="110"/>
        <v>-165000</v>
      </c>
      <c r="K2353" s="212" t="s">
        <v>6223</v>
      </c>
      <c r="L2353" s="213"/>
      <c r="M2353" s="212" t="s">
        <v>6179</v>
      </c>
    </row>
    <row r="2354" spans="1:13" ht="21" customHeight="1">
      <c r="A2354" s="213" t="s">
        <v>6598</v>
      </c>
      <c r="B2354" s="215">
        <f t="shared" si="108"/>
        <v>45807</v>
      </c>
      <c r="C2354" s="213" t="s">
        <v>6216</v>
      </c>
      <c r="D2354" s="213" t="s">
        <v>4366</v>
      </c>
      <c r="E2354" s="213" t="s">
        <v>6176</v>
      </c>
      <c r="F2354" s="212" t="s">
        <v>6177</v>
      </c>
      <c r="G2354" s="212" t="str">
        <f t="shared" si="109"/>
        <v>255부가세예수금</v>
      </c>
      <c r="H2354" s="214">
        <v>0</v>
      </c>
      <c r="I2354" s="214">
        <v>10000</v>
      </c>
      <c r="J2354" s="214">
        <f t="shared" si="110"/>
        <v>10000</v>
      </c>
      <c r="K2354" s="212" t="s">
        <v>6226</v>
      </c>
      <c r="L2354" s="213"/>
      <c r="M2354" s="212" t="s">
        <v>6185</v>
      </c>
    </row>
    <row r="2355" spans="1:13" ht="21" customHeight="1">
      <c r="A2355" s="213" t="s">
        <v>6598</v>
      </c>
      <c r="B2355" s="215">
        <f t="shared" si="108"/>
        <v>45807</v>
      </c>
      <c r="C2355" s="213" t="s">
        <v>6216</v>
      </c>
      <c r="D2355" s="213" t="s">
        <v>4366</v>
      </c>
      <c r="E2355" s="213" t="s">
        <v>334</v>
      </c>
      <c r="F2355" s="212" t="s">
        <v>6158</v>
      </c>
      <c r="G2355" s="212" t="str">
        <f t="shared" si="109"/>
        <v>401용역매출</v>
      </c>
      <c r="H2355" s="214">
        <v>0</v>
      </c>
      <c r="I2355" s="214">
        <v>100000</v>
      </c>
      <c r="J2355" s="214">
        <f t="shared" si="110"/>
        <v>100000</v>
      </c>
      <c r="K2355" s="212" t="s">
        <v>6226</v>
      </c>
      <c r="L2355" s="213"/>
      <c r="M2355" s="212" t="s">
        <v>6185</v>
      </c>
    </row>
    <row r="2356" spans="1:13" ht="21" customHeight="1">
      <c r="A2356" s="213" t="s">
        <v>6598</v>
      </c>
      <c r="B2356" s="215">
        <f t="shared" si="108"/>
        <v>45807</v>
      </c>
      <c r="C2356" s="213" t="s">
        <v>6216</v>
      </c>
      <c r="D2356" s="213" t="s">
        <v>4369</v>
      </c>
      <c r="E2356" s="213" t="s">
        <v>333</v>
      </c>
      <c r="F2356" s="212" t="s">
        <v>4365</v>
      </c>
      <c r="G2356" s="212" t="str">
        <f t="shared" si="109"/>
        <v>101현금</v>
      </c>
      <c r="H2356" s="214">
        <v>110000</v>
      </c>
      <c r="I2356" s="214">
        <v>0</v>
      </c>
      <c r="J2356" s="214">
        <f t="shared" si="110"/>
        <v>-110000</v>
      </c>
      <c r="K2356" s="212" t="s">
        <v>6226</v>
      </c>
      <c r="L2356" s="213"/>
      <c r="M2356" s="212" t="s">
        <v>6185</v>
      </c>
    </row>
    <row r="2357" spans="1:13" ht="21" customHeight="1">
      <c r="A2357" s="217" t="s">
        <v>6595</v>
      </c>
      <c r="B2357" s="215">
        <f t="shared" si="108"/>
        <v>45808</v>
      </c>
      <c r="C2357" s="213" t="s">
        <v>4373</v>
      </c>
      <c r="D2357" s="213" t="s">
        <v>4369</v>
      </c>
      <c r="E2357" s="213" t="s">
        <v>4513</v>
      </c>
      <c r="F2357" s="212" t="s">
        <v>6519</v>
      </c>
      <c r="G2357" s="212" t="str">
        <f t="shared" si="109"/>
        <v>802직원급여(판)</v>
      </c>
      <c r="H2357" s="214">
        <v>1700000</v>
      </c>
      <c r="I2357" s="214">
        <v>0</v>
      </c>
      <c r="J2357" s="214">
        <f t="shared" si="110"/>
        <v>-1700000</v>
      </c>
      <c r="K2357" s="212"/>
      <c r="L2357" s="213" t="s">
        <v>6411</v>
      </c>
      <c r="M2357" s="212" t="s">
        <v>4514</v>
      </c>
    </row>
    <row r="2358" spans="1:13" ht="21" customHeight="1">
      <c r="A2358" s="217" t="s">
        <v>6595</v>
      </c>
      <c r="B2358" s="215">
        <f t="shared" si="108"/>
        <v>45808</v>
      </c>
      <c r="C2358" s="213" t="s">
        <v>4373</v>
      </c>
      <c r="D2358" s="213" t="s">
        <v>4366</v>
      </c>
      <c r="E2358" s="213" t="s">
        <v>333</v>
      </c>
      <c r="F2358" s="212" t="s">
        <v>4365</v>
      </c>
      <c r="G2358" s="212" t="str">
        <f t="shared" si="109"/>
        <v>101현금</v>
      </c>
      <c r="H2358" s="214">
        <v>0</v>
      </c>
      <c r="I2358" s="214">
        <v>1476240</v>
      </c>
      <c r="J2358" s="214">
        <f t="shared" si="110"/>
        <v>1476240</v>
      </c>
      <c r="K2358" s="212"/>
      <c r="L2358" s="213" t="s">
        <v>6411</v>
      </c>
      <c r="M2358" s="212" t="s">
        <v>4514</v>
      </c>
    </row>
    <row r="2359" spans="1:13" ht="21" customHeight="1">
      <c r="A2359" s="217" t="s">
        <v>6595</v>
      </c>
      <c r="B2359" s="215">
        <f t="shared" si="108"/>
        <v>45808</v>
      </c>
      <c r="C2359" s="213" t="s">
        <v>4373</v>
      </c>
      <c r="D2359" s="213" t="s">
        <v>4366</v>
      </c>
      <c r="E2359" s="213" t="s">
        <v>4505</v>
      </c>
      <c r="F2359" s="212" t="s">
        <v>4506</v>
      </c>
      <c r="G2359" s="212" t="str">
        <f t="shared" si="109"/>
        <v>254예수금</v>
      </c>
      <c r="H2359" s="214">
        <v>0</v>
      </c>
      <c r="I2359" s="214">
        <v>149400</v>
      </c>
      <c r="J2359" s="214">
        <f t="shared" si="110"/>
        <v>149400</v>
      </c>
      <c r="K2359" s="212" t="s">
        <v>4523</v>
      </c>
      <c r="L2359" s="213" t="s">
        <v>6411</v>
      </c>
      <c r="M2359" s="212" t="s">
        <v>4515</v>
      </c>
    </row>
    <row r="2360" spans="1:13" ht="21" customHeight="1">
      <c r="A2360" s="217" t="s">
        <v>6595</v>
      </c>
      <c r="B2360" s="215">
        <f t="shared" si="108"/>
        <v>45808</v>
      </c>
      <c r="C2360" s="213" t="s">
        <v>4373</v>
      </c>
      <c r="D2360" s="213" t="s">
        <v>4366</v>
      </c>
      <c r="E2360" s="213" t="s">
        <v>4505</v>
      </c>
      <c r="F2360" s="212" t="s">
        <v>4506</v>
      </c>
      <c r="G2360" s="212" t="str">
        <f t="shared" si="109"/>
        <v>254예수금</v>
      </c>
      <c r="H2360" s="214">
        <v>0</v>
      </c>
      <c r="I2360" s="214">
        <v>60260</v>
      </c>
      <c r="J2360" s="214">
        <f t="shared" si="110"/>
        <v>60260</v>
      </c>
      <c r="K2360" s="212" t="s">
        <v>4522</v>
      </c>
      <c r="L2360" s="213" t="s">
        <v>6411</v>
      </c>
      <c r="M2360" s="212" t="s">
        <v>6518</v>
      </c>
    </row>
    <row r="2361" spans="1:13" ht="21" customHeight="1">
      <c r="A2361" s="217" t="s">
        <v>6595</v>
      </c>
      <c r="B2361" s="215">
        <f t="shared" si="108"/>
        <v>45808</v>
      </c>
      <c r="C2361" s="213" t="s">
        <v>4373</v>
      </c>
      <c r="D2361" s="213" t="s">
        <v>4366</v>
      </c>
      <c r="E2361" s="213" t="s">
        <v>4505</v>
      </c>
      <c r="F2361" s="212" t="s">
        <v>4506</v>
      </c>
      <c r="G2361" s="212" t="str">
        <f t="shared" si="109"/>
        <v>254예수금</v>
      </c>
      <c r="H2361" s="214">
        <v>0</v>
      </c>
      <c r="I2361" s="214">
        <v>6300</v>
      </c>
      <c r="J2361" s="214">
        <f t="shared" si="110"/>
        <v>6300</v>
      </c>
      <c r="K2361" s="212" t="s">
        <v>4508</v>
      </c>
      <c r="L2361" s="213" t="s">
        <v>6411</v>
      </c>
      <c r="M2361" s="212" t="s">
        <v>4516</v>
      </c>
    </row>
    <row r="2362" spans="1:13" ht="21" customHeight="1">
      <c r="A2362" s="217" t="s">
        <v>6595</v>
      </c>
      <c r="B2362" s="215">
        <f t="shared" si="108"/>
        <v>45808</v>
      </c>
      <c r="C2362" s="213" t="s">
        <v>4373</v>
      </c>
      <c r="D2362" s="213" t="s">
        <v>4366</v>
      </c>
      <c r="E2362" s="213" t="s">
        <v>4505</v>
      </c>
      <c r="F2362" s="212" t="s">
        <v>4506</v>
      </c>
      <c r="G2362" s="212" t="str">
        <f t="shared" si="109"/>
        <v>254예수금</v>
      </c>
      <c r="H2362" s="214">
        <v>0</v>
      </c>
      <c r="I2362" s="214">
        <v>7800</v>
      </c>
      <c r="J2362" s="214">
        <f t="shared" si="110"/>
        <v>7800</v>
      </c>
      <c r="K2362" s="212" t="s">
        <v>4522</v>
      </c>
      <c r="L2362" s="213" t="s">
        <v>6411</v>
      </c>
      <c r="M2362" s="212" t="s">
        <v>4517</v>
      </c>
    </row>
    <row r="2363" spans="1:13" ht="21" customHeight="1">
      <c r="A2363" s="217" t="s">
        <v>6595</v>
      </c>
      <c r="B2363" s="215">
        <f t="shared" si="108"/>
        <v>45808</v>
      </c>
      <c r="C2363" s="213" t="s">
        <v>4382</v>
      </c>
      <c r="D2363" s="213" t="s">
        <v>4369</v>
      </c>
      <c r="E2363" s="213" t="s">
        <v>4380</v>
      </c>
      <c r="F2363" s="212" t="s">
        <v>6515</v>
      </c>
      <c r="G2363" s="212" t="str">
        <f t="shared" si="109"/>
        <v>812여비교통비(판)</v>
      </c>
      <c r="H2363" s="214">
        <v>3600</v>
      </c>
      <c r="I2363" s="214">
        <v>0</v>
      </c>
      <c r="J2363" s="214">
        <f t="shared" si="110"/>
        <v>-3600</v>
      </c>
      <c r="K2363" s="212" t="s">
        <v>6305</v>
      </c>
      <c r="L2363" s="213"/>
      <c r="M2363" s="212"/>
    </row>
    <row r="2364" spans="1:13" ht="21" customHeight="1">
      <c r="A2364" s="217" t="s">
        <v>6595</v>
      </c>
      <c r="B2364" s="215">
        <f t="shared" si="108"/>
        <v>45808</v>
      </c>
      <c r="C2364" s="213" t="s">
        <v>4382</v>
      </c>
      <c r="D2364" s="213" t="s">
        <v>4366</v>
      </c>
      <c r="E2364" s="213" t="s">
        <v>333</v>
      </c>
      <c r="F2364" s="212" t="s">
        <v>4365</v>
      </c>
      <c r="G2364" s="212" t="str">
        <f t="shared" si="109"/>
        <v>101현금</v>
      </c>
      <c r="H2364" s="214">
        <v>0</v>
      </c>
      <c r="I2364" s="214">
        <v>3600</v>
      </c>
      <c r="J2364" s="214">
        <f t="shared" si="110"/>
        <v>3600</v>
      </c>
      <c r="K2364" s="212" t="s">
        <v>6369</v>
      </c>
      <c r="L2364" s="213"/>
      <c r="M2364" s="212"/>
    </row>
    <row r="2365" spans="1:13" ht="21" customHeight="1">
      <c r="A2365" s="217" t="s">
        <v>6595</v>
      </c>
      <c r="B2365" s="215">
        <f t="shared" si="108"/>
        <v>45808</v>
      </c>
      <c r="C2365" s="213" t="s">
        <v>4381</v>
      </c>
      <c r="D2365" s="213" t="s">
        <v>4369</v>
      </c>
      <c r="E2365" s="213" t="s">
        <v>4500</v>
      </c>
      <c r="F2365" s="212" t="s">
        <v>6418</v>
      </c>
      <c r="G2365" s="212" t="str">
        <f t="shared" si="109"/>
        <v>822차량유지비(판)</v>
      </c>
      <c r="H2365" s="214">
        <v>50000</v>
      </c>
      <c r="I2365" s="214">
        <v>0</v>
      </c>
      <c r="J2365" s="214">
        <f t="shared" si="110"/>
        <v>-50000</v>
      </c>
      <c r="K2365" s="212" t="s">
        <v>6272</v>
      </c>
      <c r="L2365" s="213"/>
      <c r="M2365" s="212"/>
    </row>
    <row r="2366" spans="1:13" ht="21" customHeight="1">
      <c r="A2366" s="217" t="s">
        <v>6595</v>
      </c>
      <c r="B2366" s="215">
        <f t="shared" si="108"/>
        <v>45808</v>
      </c>
      <c r="C2366" s="213" t="s">
        <v>4381</v>
      </c>
      <c r="D2366" s="213" t="s">
        <v>4366</v>
      </c>
      <c r="E2366" s="213" t="s">
        <v>333</v>
      </c>
      <c r="F2366" s="212" t="s">
        <v>4365</v>
      </c>
      <c r="G2366" s="212" t="str">
        <f t="shared" si="109"/>
        <v>101현금</v>
      </c>
      <c r="H2366" s="214">
        <v>0</v>
      </c>
      <c r="I2366" s="214">
        <v>50000</v>
      </c>
      <c r="J2366" s="214">
        <f t="shared" si="110"/>
        <v>50000</v>
      </c>
      <c r="K2366" s="212" t="s">
        <v>6371</v>
      </c>
      <c r="L2366" s="213"/>
      <c r="M2366" s="212"/>
    </row>
    <row r="2367" spans="1:13" ht="21" customHeight="1">
      <c r="A2367" s="217" t="s">
        <v>6595</v>
      </c>
      <c r="B2367" s="215">
        <f t="shared" si="108"/>
        <v>45808</v>
      </c>
      <c r="C2367" s="213" t="s">
        <v>4379</v>
      </c>
      <c r="D2367" s="213" t="s">
        <v>4369</v>
      </c>
      <c r="E2367" s="213" t="s">
        <v>6157</v>
      </c>
      <c r="F2367" s="212" t="s">
        <v>6524</v>
      </c>
      <c r="G2367" s="212" t="str">
        <f t="shared" si="109"/>
        <v>813접대비(기업업무추진비)(판)</v>
      </c>
      <c r="H2367" s="214">
        <v>60000</v>
      </c>
      <c r="I2367" s="214">
        <v>0</v>
      </c>
      <c r="J2367" s="214">
        <f t="shared" si="110"/>
        <v>-60000</v>
      </c>
      <c r="K2367" s="212" t="s">
        <v>6597</v>
      </c>
      <c r="L2367" s="213"/>
      <c r="M2367" s="212"/>
    </row>
    <row r="2368" spans="1:13" ht="21" customHeight="1">
      <c r="A2368" s="217" t="s">
        <v>6595</v>
      </c>
      <c r="B2368" s="215">
        <f t="shared" si="108"/>
        <v>45808</v>
      </c>
      <c r="C2368" s="213" t="s">
        <v>4379</v>
      </c>
      <c r="D2368" s="213" t="s">
        <v>4366</v>
      </c>
      <c r="E2368" s="213" t="s">
        <v>333</v>
      </c>
      <c r="F2368" s="212" t="s">
        <v>4365</v>
      </c>
      <c r="G2368" s="212" t="str">
        <f t="shared" si="109"/>
        <v>101현금</v>
      </c>
      <c r="H2368" s="214">
        <v>0</v>
      </c>
      <c r="I2368" s="214">
        <v>60000</v>
      </c>
      <c r="J2368" s="214">
        <f t="shared" si="110"/>
        <v>60000</v>
      </c>
      <c r="K2368" s="212" t="s">
        <v>6371</v>
      </c>
      <c r="L2368" s="213"/>
      <c r="M2368" s="212"/>
    </row>
    <row r="2369" spans="1:13" ht="21" customHeight="1">
      <c r="A2369" s="217" t="s">
        <v>6595</v>
      </c>
      <c r="B2369" s="215">
        <f t="shared" si="108"/>
        <v>45808</v>
      </c>
      <c r="C2369" s="213" t="s">
        <v>4367</v>
      </c>
      <c r="D2369" s="213" t="s">
        <v>4369</v>
      </c>
      <c r="E2369" s="213" t="s">
        <v>4371</v>
      </c>
      <c r="F2369" s="212" t="s">
        <v>4370</v>
      </c>
      <c r="G2369" s="212" t="str">
        <f t="shared" si="109"/>
        <v>135부가세대급금</v>
      </c>
      <c r="H2369" s="214">
        <v>68150</v>
      </c>
      <c r="I2369" s="214">
        <v>0</v>
      </c>
      <c r="J2369" s="214">
        <f t="shared" si="110"/>
        <v>-68150</v>
      </c>
      <c r="K2369" s="212" t="s">
        <v>6159</v>
      </c>
      <c r="L2369" s="213"/>
      <c r="M2369" s="212" t="s">
        <v>6160</v>
      </c>
    </row>
    <row r="2370" spans="1:13" ht="21" customHeight="1">
      <c r="A2370" s="217" t="s">
        <v>6595</v>
      </c>
      <c r="B2370" s="215">
        <f t="shared" ref="B2370:B2433" si="111">DATEVALUE(A2370)</f>
        <v>45808</v>
      </c>
      <c r="C2370" s="213" t="s">
        <v>4367</v>
      </c>
      <c r="D2370" s="213" t="s">
        <v>4369</v>
      </c>
      <c r="E2370" s="213" t="s">
        <v>4368</v>
      </c>
      <c r="F2370" s="212" t="s">
        <v>6388</v>
      </c>
      <c r="G2370" s="212" t="str">
        <f t="shared" ref="G2370:G2433" si="112">E2370&amp;F2370</f>
        <v>831지급수수료(판)</v>
      </c>
      <c r="H2370" s="214">
        <v>681580</v>
      </c>
      <c r="I2370" s="214">
        <v>0</v>
      </c>
      <c r="J2370" s="214">
        <f t="shared" ref="J2370:J2433" si="113">I2370-H2370</f>
        <v>-681580</v>
      </c>
      <c r="K2370" s="212" t="s">
        <v>6159</v>
      </c>
      <c r="L2370" s="213"/>
      <c r="M2370" s="212" t="s">
        <v>6160</v>
      </c>
    </row>
    <row r="2371" spans="1:13" ht="21" customHeight="1">
      <c r="A2371" s="217" t="s">
        <v>6595</v>
      </c>
      <c r="B2371" s="215">
        <f t="shared" si="111"/>
        <v>45808</v>
      </c>
      <c r="C2371" s="213" t="s">
        <v>4367</v>
      </c>
      <c r="D2371" s="213" t="s">
        <v>4366</v>
      </c>
      <c r="E2371" s="213" t="s">
        <v>333</v>
      </c>
      <c r="F2371" s="212" t="s">
        <v>4365</v>
      </c>
      <c r="G2371" s="212" t="str">
        <f t="shared" si="112"/>
        <v>101현금</v>
      </c>
      <c r="H2371" s="214">
        <v>0</v>
      </c>
      <c r="I2371" s="214">
        <v>749730</v>
      </c>
      <c r="J2371" s="214">
        <f t="shared" si="113"/>
        <v>749730</v>
      </c>
      <c r="K2371" s="212" t="s">
        <v>6159</v>
      </c>
      <c r="L2371" s="213"/>
      <c r="M2371" s="212" t="s">
        <v>6160</v>
      </c>
    </row>
    <row r="2372" spans="1:13" ht="21" customHeight="1">
      <c r="A2372" s="217" t="s">
        <v>6595</v>
      </c>
      <c r="B2372" s="215">
        <f t="shared" si="111"/>
        <v>45808</v>
      </c>
      <c r="C2372" s="213" t="s">
        <v>4374</v>
      </c>
      <c r="D2372" s="213" t="s">
        <v>4369</v>
      </c>
      <c r="E2372" s="213" t="s">
        <v>4371</v>
      </c>
      <c r="F2372" s="212" t="s">
        <v>4370</v>
      </c>
      <c r="G2372" s="212" t="str">
        <f t="shared" si="112"/>
        <v>135부가세대급금</v>
      </c>
      <c r="H2372" s="214">
        <v>10000</v>
      </c>
      <c r="I2372" s="214">
        <v>0</v>
      </c>
      <c r="J2372" s="214">
        <f t="shared" si="113"/>
        <v>-10000</v>
      </c>
      <c r="K2372" s="212" t="s">
        <v>6159</v>
      </c>
      <c r="L2372" s="213"/>
      <c r="M2372" s="212" t="s">
        <v>4364</v>
      </c>
    </row>
    <row r="2373" spans="1:13" ht="21" customHeight="1">
      <c r="A2373" s="217" t="s">
        <v>6595</v>
      </c>
      <c r="B2373" s="215">
        <f t="shared" si="111"/>
        <v>45808</v>
      </c>
      <c r="C2373" s="213" t="s">
        <v>4374</v>
      </c>
      <c r="D2373" s="213" t="s">
        <v>4369</v>
      </c>
      <c r="E2373" s="213" t="s">
        <v>4368</v>
      </c>
      <c r="F2373" s="212" t="s">
        <v>6388</v>
      </c>
      <c r="G2373" s="212" t="str">
        <f t="shared" si="112"/>
        <v>831지급수수료(판)</v>
      </c>
      <c r="H2373" s="214">
        <v>100000</v>
      </c>
      <c r="I2373" s="214">
        <v>0</v>
      </c>
      <c r="J2373" s="214">
        <f t="shared" si="113"/>
        <v>-100000</v>
      </c>
      <c r="K2373" s="212" t="s">
        <v>6159</v>
      </c>
      <c r="L2373" s="213"/>
      <c r="M2373" s="212" t="s">
        <v>4364</v>
      </c>
    </row>
    <row r="2374" spans="1:13" ht="21" customHeight="1">
      <c r="A2374" s="217" t="s">
        <v>6595</v>
      </c>
      <c r="B2374" s="215">
        <f t="shared" si="111"/>
        <v>45808</v>
      </c>
      <c r="C2374" s="213" t="s">
        <v>4374</v>
      </c>
      <c r="D2374" s="213" t="s">
        <v>4366</v>
      </c>
      <c r="E2374" s="213" t="s">
        <v>333</v>
      </c>
      <c r="F2374" s="212" t="s">
        <v>4365</v>
      </c>
      <c r="G2374" s="212" t="str">
        <f t="shared" si="112"/>
        <v>101현금</v>
      </c>
      <c r="H2374" s="214">
        <v>0</v>
      </c>
      <c r="I2374" s="214">
        <v>110000</v>
      </c>
      <c r="J2374" s="214">
        <f t="shared" si="113"/>
        <v>110000</v>
      </c>
      <c r="K2374" s="212" t="s">
        <v>6159</v>
      </c>
      <c r="L2374" s="213"/>
      <c r="M2374" s="212" t="s">
        <v>4364</v>
      </c>
    </row>
    <row r="2375" spans="1:13" ht="21" customHeight="1">
      <c r="A2375" s="217" t="s">
        <v>6595</v>
      </c>
      <c r="B2375" s="215">
        <f t="shared" si="111"/>
        <v>45808</v>
      </c>
      <c r="C2375" s="213" t="s">
        <v>6182</v>
      </c>
      <c r="D2375" s="213" t="s">
        <v>4369</v>
      </c>
      <c r="E2375" s="213" t="s">
        <v>4371</v>
      </c>
      <c r="F2375" s="212" t="s">
        <v>4370</v>
      </c>
      <c r="G2375" s="212" t="str">
        <f t="shared" si="112"/>
        <v>135부가세대급금</v>
      </c>
      <c r="H2375" s="214">
        <v>723</v>
      </c>
      <c r="I2375" s="214">
        <v>0</v>
      </c>
      <c r="J2375" s="214">
        <f t="shared" si="113"/>
        <v>-723</v>
      </c>
      <c r="K2375" s="212" t="s">
        <v>6274</v>
      </c>
      <c r="L2375" s="213"/>
      <c r="M2375" s="212" t="s">
        <v>6596</v>
      </c>
    </row>
    <row r="2376" spans="1:13" ht="21" customHeight="1">
      <c r="A2376" s="217" t="s">
        <v>6595</v>
      </c>
      <c r="B2376" s="215">
        <f t="shared" si="111"/>
        <v>45808</v>
      </c>
      <c r="C2376" s="213" t="s">
        <v>6182</v>
      </c>
      <c r="D2376" s="213" t="s">
        <v>4369</v>
      </c>
      <c r="E2376" s="213" t="s">
        <v>4368</v>
      </c>
      <c r="F2376" s="212" t="s">
        <v>6388</v>
      </c>
      <c r="G2376" s="212" t="str">
        <f t="shared" si="112"/>
        <v>831지급수수료(판)</v>
      </c>
      <c r="H2376" s="214">
        <v>7227</v>
      </c>
      <c r="I2376" s="214">
        <v>0</v>
      </c>
      <c r="J2376" s="214">
        <f t="shared" si="113"/>
        <v>-7227</v>
      </c>
      <c r="K2376" s="212" t="s">
        <v>6274</v>
      </c>
      <c r="L2376" s="213"/>
      <c r="M2376" s="212" t="s">
        <v>6596</v>
      </c>
    </row>
    <row r="2377" spans="1:13" ht="21" customHeight="1">
      <c r="A2377" s="217" t="s">
        <v>6595</v>
      </c>
      <c r="B2377" s="215">
        <f t="shared" si="111"/>
        <v>45808</v>
      </c>
      <c r="C2377" s="213" t="s">
        <v>6182</v>
      </c>
      <c r="D2377" s="213" t="s">
        <v>4366</v>
      </c>
      <c r="E2377" s="213" t="s">
        <v>333</v>
      </c>
      <c r="F2377" s="212" t="s">
        <v>4365</v>
      </c>
      <c r="G2377" s="212" t="str">
        <f t="shared" si="112"/>
        <v>101현금</v>
      </c>
      <c r="H2377" s="214">
        <v>0</v>
      </c>
      <c r="I2377" s="214">
        <v>7950</v>
      </c>
      <c r="J2377" s="214">
        <f t="shared" si="113"/>
        <v>7950</v>
      </c>
      <c r="K2377" s="212" t="s">
        <v>6274</v>
      </c>
      <c r="L2377" s="213"/>
      <c r="M2377" s="212" t="s">
        <v>6596</v>
      </c>
    </row>
    <row r="2378" spans="1:13" ht="21" customHeight="1">
      <c r="A2378" s="217" t="s">
        <v>6595</v>
      </c>
      <c r="B2378" s="215">
        <f t="shared" si="111"/>
        <v>45808</v>
      </c>
      <c r="C2378" s="213" t="s">
        <v>6184</v>
      </c>
      <c r="D2378" s="216" t="s">
        <v>4372</v>
      </c>
      <c r="E2378" s="213" t="s">
        <v>6176</v>
      </c>
      <c r="F2378" s="212" t="s">
        <v>6177</v>
      </c>
      <c r="G2378" s="212" t="str">
        <f t="shared" si="112"/>
        <v>255부가세예수금</v>
      </c>
      <c r="H2378" s="214">
        <v>0</v>
      </c>
      <c r="I2378" s="214">
        <v>40363</v>
      </c>
      <c r="J2378" s="214">
        <f t="shared" si="113"/>
        <v>40363</v>
      </c>
      <c r="K2378" s="212" t="s">
        <v>6277</v>
      </c>
      <c r="L2378" s="213" t="s">
        <v>6411</v>
      </c>
      <c r="M2378" s="212" t="s">
        <v>6512</v>
      </c>
    </row>
    <row r="2379" spans="1:13" ht="21" customHeight="1">
      <c r="A2379" s="217" t="s">
        <v>6595</v>
      </c>
      <c r="B2379" s="215">
        <f t="shared" si="111"/>
        <v>45808</v>
      </c>
      <c r="C2379" s="213" t="s">
        <v>6184</v>
      </c>
      <c r="D2379" s="216" t="s">
        <v>4372</v>
      </c>
      <c r="E2379" s="213" t="s">
        <v>333</v>
      </c>
      <c r="F2379" s="212" t="s">
        <v>4365</v>
      </c>
      <c r="G2379" s="212" t="str">
        <f t="shared" si="112"/>
        <v>101현금</v>
      </c>
      <c r="H2379" s="214">
        <v>40363</v>
      </c>
      <c r="I2379" s="214">
        <v>0</v>
      </c>
      <c r="J2379" s="214">
        <f t="shared" si="113"/>
        <v>-40363</v>
      </c>
      <c r="K2379" s="212" t="s">
        <v>6277</v>
      </c>
      <c r="L2379" s="213" t="s">
        <v>6411</v>
      </c>
      <c r="M2379" s="212" t="s">
        <v>6512</v>
      </c>
    </row>
    <row r="2380" spans="1:13" ht="21" customHeight="1">
      <c r="A2380" s="217" t="s">
        <v>6595</v>
      </c>
      <c r="B2380" s="215">
        <f t="shared" si="111"/>
        <v>45808</v>
      </c>
      <c r="C2380" s="213" t="s">
        <v>6184</v>
      </c>
      <c r="D2380" s="216" t="s">
        <v>4372</v>
      </c>
      <c r="E2380" s="213" t="s">
        <v>334</v>
      </c>
      <c r="F2380" s="212" t="s">
        <v>6158</v>
      </c>
      <c r="G2380" s="212" t="str">
        <f t="shared" si="112"/>
        <v>401용역매출</v>
      </c>
      <c r="H2380" s="214">
        <v>0</v>
      </c>
      <c r="I2380" s="214">
        <v>403637</v>
      </c>
      <c r="J2380" s="214">
        <f t="shared" si="113"/>
        <v>403637</v>
      </c>
      <c r="K2380" s="212" t="s">
        <v>6277</v>
      </c>
      <c r="L2380" s="213" t="s">
        <v>6411</v>
      </c>
      <c r="M2380" s="212" t="s">
        <v>6512</v>
      </c>
    </row>
    <row r="2381" spans="1:13" ht="21" customHeight="1">
      <c r="A2381" s="217" t="s">
        <v>6595</v>
      </c>
      <c r="B2381" s="215">
        <f t="shared" si="111"/>
        <v>45808</v>
      </c>
      <c r="C2381" s="213" t="s">
        <v>6184</v>
      </c>
      <c r="D2381" s="216" t="s">
        <v>4372</v>
      </c>
      <c r="E2381" s="213" t="s">
        <v>333</v>
      </c>
      <c r="F2381" s="212" t="s">
        <v>4365</v>
      </c>
      <c r="G2381" s="212" t="str">
        <f t="shared" si="112"/>
        <v>101현금</v>
      </c>
      <c r="H2381" s="214">
        <v>403637</v>
      </c>
      <c r="I2381" s="214">
        <v>0</v>
      </c>
      <c r="J2381" s="214">
        <f t="shared" si="113"/>
        <v>-403637</v>
      </c>
      <c r="K2381" s="212" t="s">
        <v>6277</v>
      </c>
      <c r="L2381" s="213" t="s">
        <v>6411</v>
      </c>
      <c r="M2381" s="212" t="s">
        <v>6512</v>
      </c>
    </row>
    <row r="2382" spans="1:13" ht="21" customHeight="1">
      <c r="A2382" s="216" t="s">
        <v>6594</v>
      </c>
      <c r="B2382" s="215">
        <f t="shared" si="111"/>
        <v>45809</v>
      </c>
      <c r="C2382" s="213" t="s">
        <v>4367</v>
      </c>
      <c r="D2382" s="213" t="s">
        <v>4366</v>
      </c>
      <c r="E2382" s="213" t="s">
        <v>6176</v>
      </c>
      <c r="F2382" s="212" t="s">
        <v>6177</v>
      </c>
      <c r="G2382" s="212" t="str">
        <f t="shared" si="112"/>
        <v>255부가세예수금</v>
      </c>
      <c r="H2382" s="214">
        <v>0</v>
      </c>
      <c r="I2382" s="214">
        <v>15000</v>
      </c>
      <c r="J2382" s="214">
        <f t="shared" si="113"/>
        <v>15000</v>
      </c>
      <c r="K2382" s="212" t="s">
        <v>6233</v>
      </c>
      <c r="L2382" s="213"/>
      <c r="M2382" s="212" t="s">
        <v>6179</v>
      </c>
    </row>
    <row r="2383" spans="1:13" ht="21" customHeight="1">
      <c r="A2383" s="216" t="s">
        <v>6594</v>
      </c>
      <c r="B2383" s="215">
        <f t="shared" si="111"/>
        <v>45809</v>
      </c>
      <c r="C2383" s="213" t="s">
        <v>4367</v>
      </c>
      <c r="D2383" s="213" t="s">
        <v>4366</v>
      </c>
      <c r="E2383" s="213" t="s">
        <v>334</v>
      </c>
      <c r="F2383" s="212" t="s">
        <v>6158</v>
      </c>
      <c r="G2383" s="212" t="str">
        <f t="shared" si="112"/>
        <v>401용역매출</v>
      </c>
      <c r="H2383" s="214">
        <v>0</v>
      </c>
      <c r="I2383" s="214">
        <v>150000</v>
      </c>
      <c r="J2383" s="214">
        <f t="shared" si="113"/>
        <v>150000</v>
      </c>
      <c r="K2383" s="212" t="s">
        <v>6233</v>
      </c>
      <c r="L2383" s="213"/>
      <c r="M2383" s="212" t="s">
        <v>6179</v>
      </c>
    </row>
    <row r="2384" spans="1:13" ht="21" customHeight="1">
      <c r="A2384" s="216" t="s">
        <v>6594</v>
      </c>
      <c r="B2384" s="215">
        <f t="shared" si="111"/>
        <v>45809</v>
      </c>
      <c r="C2384" s="213" t="s">
        <v>4367</v>
      </c>
      <c r="D2384" s="213" t="s">
        <v>4369</v>
      </c>
      <c r="E2384" s="213" t="s">
        <v>333</v>
      </c>
      <c r="F2384" s="212" t="s">
        <v>4365</v>
      </c>
      <c r="G2384" s="212" t="str">
        <f t="shared" si="112"/>
        <v>101현금</v>
      </c>
      <c r="H2384" s="214">
        <v>165000</v>
      </c>
      <c r="I2384" s="214">
        <v>0</v>
      </c>
      <c r="J2384" s="214">
        <f t="shared" si="113"/>
        <v>-165000</v>
      </c>
      <c r="K2384" s="212" t="s">
        <v>6233</v>
      </c>
      <c r="L2384" s="213"/>
      <c r="M2384" s="212" t="s">
        <v>6179</v>
      </c>
    </row>
    <row r="2385" spans="1:13" ht="21" customHeight="1">
      <c r="A2385" s="216" t="s">
        <v>6594</v>
      </c>
      <c r="B2385" s="215">
        <f t="shared" si="111"/>
        <v>45809</v>
      </c>
      <c r="C2385" s="213" t="s">
        <v>4374</v>
      </c>
      <c r="D2385" s="213" t="s">
        <v>4366</v>
      </c>
      <c r="E2385" s="213" t="s">
        <v>6176</v>
      </c>
      <c r="F2385" s="212" t="s">
        <v>6177</v>
      </c>
      <c r="G2385" s="212" t="str">
        <f t="shared" si="112"/>
        <v>255부가세예수금</v>
      </c>
      <c r="H2385" s="214">
        <v>0</v>
      </c>
      <c r="I2385" s="214">
        <v>20000</v>
      </c>
      <c r="J2385" s="214">
        <f t="shared" si="113"/>
        <v>20000</v>
      </c>
      <c r="K2385" s="212" t="s">
        <v>6230</v>
      </c>
      <c r="L2385" s="213"/>
      <c r="M2385" s="212" t="s">
        <v>6231</v>
      </c>
    </row>
    <row r="2386" spans="1:13" ht="21" customHeight="1">
      <c r="A2386" s="216" t="s">
        <v>6594</v>
      </c>
      <c r="B2386" s="215">
        <f t="shared" si="111"/>
        <v>45809</v>
      </c>
      <c r="C2386" s="213" t="s">
        <v>4374</v>
      </c>
      <c r="D2386" s="213" t="s">
        <v>4366</v>
      </c>
      <c r="E2386" s="213" t="s">
        <v>334</v>
      </c>
      <c r="F2386" s="212" t="s">
        <v>6158</v>
      </c>
      <c r="G2386" s="212" t="str">
        <f t="shared" si="112"/>
        <v>401용역매출</v>
      </c>
      <c r="H2386" s="214">
        <v>0</v>
      </c>
      <c r="I2386" s="214">
        <v>200000</v>
      </c>
      <c r="J2386" s="214">
        <f t="shared" si="113"/>
        <v>200000</v>
      </c>
      <c r="K2386" s="212" t="s">
        <v>6230</v>
      </c>
      <c r="L2386" s="213"/>
      <c r="M2386" s="212" t="s">
        <v>6231</v>
      </c>
    </row>
    <row r="2387" spans="1:13" ht="21" customHeight="1">
      <c r="A2387" s="216" t="s">
        <v>6594</v>
      </c>
      <c r="B2387" s="215">
        <f t="shared" si="111"/>
        <v>45809</v>
      </c>
      <c r="C2387" s="213" t="s">
        <v>4374</v>
      </c>
      <c r="D2387" s="213" t="s">
        <v>4369</v>
      </c>
      <c r="E2387" s="213" t="s">
        <v>333</v>
      </c>
      <c r="F2387" s="212" t="s">
        <v>4365</v>
      </c>
      <c r="G2387" s="212" t="str">
        <f t="shared" si="112"/>
        <v>101현금</v>
      </c>
      <c r="H2387" s="214">
        <v>220000</v>
      </c>
      <c r="I2387" s="214">
        <v>0</v>
      </c>
      <c r="J2387" s="214">
        <f t="shared" si="113"/>
        <v>-220000</v>
      </c>
      <c r="K2387" s="212" t="s">
        <v>6230</v>
      </c>
      <c r="L2387" s="213"/>
      <c r="M2387" s="212" t="s">
        <v>6231</v>
      </c>
    </row>
    <row r="2388" spans="1:13" ht="21" customHeight="1">
      <c r="A2388" s="216" t="s">
        <v>6594</v>
      </c>
      <c r="B2388" s="215">
        <f t="shared" si="111"/>
        <v>45809</v>
      </c>
      <c r="C2388" s="213" t="s">
        <v>6182</v>
      </c>
      <c r="D2388" s="213" t="s">
        <v>4366</v>
      </c>
      <c r="E2388" s="213" t="s">
        <v>6176</v>
      </c>
      <c r="F2388" s="212" t="s">
        <v>6177</v>
      </c>
      <c r="G2388" s="212" t="str">
        <f t="shared" si="112"/>
        <v>255부가세예수금</v>
      </c>
      <c r="H2388" s="214">
        <v>0</v>
      </c>
      <c r="I2388" s="214">
        <v>9091</v>
      </c>
      <c r="J2388" s="214">
        <f t="shared" si="113"/>
        <v>9091</v>
      </c>
      <c r="K2388" s="212" t="s">
        <v>6300</v>
      </c>
      <c r="L2388" s="213"/>
      <c r="M2388" s="212" t="s">
        <v>6296</v>
      </c>
    </row>
    <row r="2389" spans="1:13" ht="21" customHeight="1">
      <c r="A2389" s="216" t="s">
        <v>6594</v>
      </c>
      <c r="B2389" s="215">
        <f t="shared" si="111"/>
        <v>45809</v>
      </c>
      <c r="C2389" s="213" t="s">
        <v>6182</v>
      </c>
      <c r="D2389" s="213" t="s">
        <v>4366</v>
      </c>
      <c r="E2389" s="213" t="s">
        <v>334</v>
      </c>
      <c r="F2389" s="212" t="s">
        <v>6158</v>
      </c>
      <c r="G2389" s="212" t="str">
        <f t="shared" si="112"/>
        <v>401용역매출</v>
      </c>
      <c r="H2389" s="214">
        <v>0</v>
      </c>
      <c r="I2389" s="214">
        <v>90909</v>
      </c>
      <c r="J2389" s="214">
        <f t="shared" si="113"/>
        <v>90909</v>
      </c>
      <c r="K2389" s="212" t="s">
        <v>6300</v>
      </c>
      <c r="L2389" s="213"/>
      <c r="M2389" s="212" t="s">
        <v>6296</v>
      </c>
    </row>
    <row r="2390" spans="1:13" ht="21" customHeight="1">
      <c r="A2390" s="216" t="s">
        <v>6594</v>
      </c>
      <c r="B2390" s="215">
        <f t="shared" si="111"/>
        <v>45809</v>
      </c>
      <c r="C2390" s="213" t="s">
        <v>6182</v>
      </c>
      <c r="D2390" s="213" t="s">
        <v>4369</v>
      </c>
      <c r="E2390" s="213" t="s">
        <v>333</v>
      </c>
      <c r="F2390" s="212" t="s">
        <v>4365</v>
      </c>
      <c r="G2390" s="212" t="str">
        <f t="shared" si="112"/>
        <v>101현금</v>
      </c>
      <c r="H2390" s="214">
        <v>100000</v>
      </c>
      <c r="I2390" s="214">
        <v>0</v>
      </c>
      <c r="J2390" s="214">
        <f t="shared" si="113"/>
        <v>-100000</v>
      </c>
      <c r="K2390" s="212" t="s">
        <v>6300</v>
      </c>
      <c r="L2390" s="213"/>
      <c r="M2390" s="212" t="s">
        <v>6296</v>
      </c>
    </row>
    <row r="2391" spans="1:13" ht="21" customHeight="1">
      <c r="A2391" s="216" t="s">
        <v>6594</v>
      </c>
      <c r="B2391" s="215">
        <f t="shared" si="111"/>
        <v>45809</v>
      </c>
      <c r="C2391" s="213" t="s">
        <v>6184</v>
      </c>
      <c r="D2391" s="213" t="s">
        <v>4366</v>
      </c>
      <c r="E2391" s="213" t="s">
        <v>6176</v>
      </c>
      <c r="F2391" s="212" t="s">
        <v>6177</v>
      </c>
      <c r="G2391" s="212" t="str">
        <f t="shared" si="112"/>
        <v>255부가세예수금</v>
      </c>
      <c r="H2391" s="214">
        <v>0</v>
      </c>
      <c r="I2391" s="214">
        <v>10000</v>
      </c>
      <c r="J2391" s="214">
        <f t="shared" si="113"/>
        <v>10000</v>
      </c>
      <c r="K2391" s="212" t="s">
        <v>6317</v>
      </c>
      <c r="L2391" s="213"/>
      <c r="M2391" s="212" t="s">
        <v>6185</v>
      </c>
    </row>
    <row r="2392" spans="1:13" ht="21" customHeight="1">
      <c r="A2392" s="216" t="s">
        <v>6594</v>
      </c>
      <c r="B2392" s="215">
        <f t="shared" si="111"/>
        <v>45809</v>
      </c>
      <c r="C2392" s="213" t="s">
        <v>6184</v>
      </c>
      <c r="D2392" s="213" t="s">
        <v>4366</v>
      </c>
      <c r="E2392" s="213" t="s">
        <v>334</v>
      </c>
      <c r="F2392" s="212" t="s">
        <v>6158</v>
      </c>
      <c r="G2392" s="212" t="str">
        <f t="shared" si="112"/>
        <v>401용역매출</v>
      </c>
      <c r="H2392" s="214">
        <v>0</v>
      </c>
      <c r="I2392" s="214">
        <v>100000</v>
      </c>
      <c r="J2392" s="214">
        <f t="shared" si="113"/>
        <v>100000</v>
      </c>
      <c r="K2392" s="212" t="s">
        <v>6317</v>
      </c>
      <c r="L2392" s="213"/>
      <c r="M2392" s="212" t="s">
        <v>6185</v>
      </c>
    </row>
    <row r="2393" spans="1:13" ht="21" customHeight="1">
      <c r="A2393" s="216" t="s">
        <v>6594</v>
      </c>
      <c r="B2393" s="215">
        <f t="shared" si="111"/>
        <v>45809</v>
      </c>
      <c r="C2393" s="213" t="s">
        <v>6184</v>
      </c>
      <c r="D2393" s="213" t="s">
        <v>4369</v>
      </c>
      <c r="E2393" s="213" t="s">
        <v>333</v>
      </c>
      <c r="F2393" s="212" t="s">
        <v>4365</v>
      </c>
      <c r="G2393" s="212" t="str">
        <f t="shared" si="112"/>
        <v>101현금</v>
      </c>
      <c r="H2393" s="214">
        <v>110000</v>
      </c>
      <c r="I2393" s="214">
        <v>0</v>
      </c>
      <c r="J2393" s="214">
        <f t="shared" si="113"/>
        <v>-110000</v>
      </c>
      <c r="K2393" s="212" t="s">
        <v>6317</v>
      </c>
      <c r="L2393" s="213"/>
      <c r="M2393" s="212" t="s">
        <v>6185</v>
      </c>
    </row>
    <row r="2394" spans="1:13" ht="21" customHeight="1">
      <c r="A2394" s="216" t="s">
        <v>6594</v>
      </c>
      <c r="B2394" s="215">
        <f t="shared" si="111"/>
        <v>45809</v>
      </c>
      <c r="C2394" s="213" t="s">
        <v>6186</v>
      </c>
      <c r="D2394" s="213" t="s">
        <v>4366</v>
      </c>
      <c r="E2394" s="213" t="s">
        <v>6176</v>
      </c>
      <c r="F2394" s="212" t="s">
        <v>6177</v>
      </c>
      <c r="G2394" s="212" t="str">
        <f t="shared" si="112"/>
        <v>255부가세예수금</v>
      </c>
      <c r="H2394" s="214">
        <v>0</v>
      </c>
      <c r="I2394" s="214">
        <v>15000</v>
      </c>
      <c r="J2394" s="214">
        <f t="shared" si="113"/>
        <v>15000</v>
      </c>
      <c r="K2394" s="212" t="s">
        <v>6267</v>
      </c>
      <c r="L2394" s="213"/>
      <c r="M2394" s="212" t="s">
        <v>6179</v>
      </c>
    </row>
    <row r="2395" spans="1:13" ht="21" customHeight="1">
      <c r="A2395" s="216" t="s">
        <v>6594</v>
      </c>
      <c r="B2395" s="215">
        <f t="shared" si="111"/>
        <v>45809</v>
      </c>
      <c r="C2395" s="213" t="s">
        <v>6186</v>
      </c>
      <c r="D2395" s="213" t="s">
        <v>4366</v>
      </c>
      <c r="E2395" s="213" t="s">
        <v>334</v>
      </c>
      <c r="F2395" s="212" t="s">
        <v>6158</v>
      </c>
      <c r="G2395" s="212" t="str">
        <f t="shared" si="112"/>
        <v>401용역매출</v>
      </c>
      <c r="H2395" s="214">
        <v>0</v>
      </c>
      <c r="I2395" s="214">
        <v>150000</v>
      </c>
      <c r="J2395" s="214">
        <f t="shared" si="113"/>
        <v>150000</v>
      </c>
      <c r="K2395" s="212" t="s">
        <v>6267</v>
      </c>
      <c r="L2395" s="213"/>
      <c r="M2395" s="212" t="s">
        <v>6179</v>
      </c>
    </row>
    <row r="2396" spans="1:13" ht="21" customHeight="1">
      <c r="A2396" s="216" t="s">
        <v>6594</v>
      </c>
      <c r="B2396" s="215">
        <f t="shared" si="111"/>
        <v>45809</v>
      </c>
      <c r="C2396" s="213" t="s">
        <v>6186</v>
      </c>
      <c r="D2396" s="213" t="s">
        <v>4369</v>
      </c>
      <c r="E2396" s="213" t="s">
        <v>333</v>
      </c>
      <c r="F2396" s="212" t="s">
        <v>4365</v>
      </c>
      <c r="G2396" s="212" t="str">
        <f t="shared" si="112"/>
        <v>101현금</v>
      </c>
      <c r="H2396" s="214">
        <v>165000</v>
      </c>
      <c r="I2396" s="214">
        <v>0</v>
      </c>
      <c r="J2396" s="214">
        <f t="shared" si="113"/>
        <v>-165000</v>
      </c>
      <c r="K2396" s="212" t="s">
        <v>6267</v>
      </c>
      <c r="L2396" s="213"/>
      <c r="M2396" s="212" t="s">
        <v>6179</v>
      </c>
    </row>
    <row r="2397" spans="1:13" ht="21" customHeight="1">
      <c r="A2397" s="216" t="s">
        <v>6594</v>
      </c>
      <c r="B2397" s="215">
        <f t="shared" si="111"/>
        <v>45809</v>
      </c>
      <c r="C2397" s="213" t="s">
        <v>6189</v>
      </c>
      <c r="D2397" s="213" t="s">
        <v>4366</v>
      </c>
      <c r="E2397" s="213" t="s">
        <v>333</v>
      </c>
      <c r="F2397" s="212" t="s">
        <v>4365</v>
      </c>
      <c r="G2397" s="212" t="str">
        <f t="shared" si="112"/>
        <v>101현금</v>
      </c>
      <c r="H2397" s="214">
        <v>0</v>
      </c>
      <c r="I2397" s="214">
        <v>29500</v>
      </c>
      <c r="J2397" s="214">
        <f t="shared" si="113"/>
        <v>29500</v>
      </c>
      <c r="K2397" s="212" t="s">
        <v>6371</v>
      </c>
      <c r="L2397" s="213"/>
      <c r="M2397" s="212"/>
    </row>
    <row r="2398" spans="1:13" ht="21" customHeight="1">
      <c r="A2398" s="216" t="s">
        <v>6594</v>
      </c>
      <c r="B2398" s="215">
        <f t="shared" si="111"/>
        <v>45809</v>
      </c>
      <c r="C2398" s="213" t="s">
        <v>6189</v>
      </c>
      <c r="D2398" s="213" t="s">
        <v>4369</v>
      </c>
      <c r="E2398" s="213" t="s">
        <v>4383</v>
      </c>
      <c r="F2398" s="212" t="s">
        <v>6525</v>
      </c>
      <c r="G2398" s="212" t="str">
        <f t="shared" si="112"/>
        <v>830소모품비(판)</v>
      </c>
      <c r="H2398" s="214">
        <v>26816</v>
      </c>
      <c r="I2398" s="214">
        <v>0</v>
      </c>
      <c r="J2398" s="214">
        <f t="shared" si="113"/>
        <v>-26816</v>
      </c>
      <c r="K2398" s="212" t="s">
        <v>6202</v>
      </c>
      <c r="L2398" s="213" t="s">
        <v>6411</v>
      </c>
      <c r="M2398" s="212"/>
    </row>
    <row r="2399" spans="1:13" ht="21" customHeight="1">
      <c r="A2399" s="216" t="s">
        <v>6594</v>
      </c>
      <c r="B2399" s="215">
        <f t="shared" si="111"/>
        <v>45809</v>
      </c>
      <c r="C2399" s="213" t="s">
        <v>6189</v>
      </c>
      <c r="D2399" s="213" t="s">
        <v>4369</v>
      </c>
      <c r="E2399" s="213" t="s">
        <v>4371</v>
      </c>
      <c r="F2399" s="212" t="s">
        <v>4370</v>
      </c>
      <c r="G2399" s="212" t="str">
        <f t="shared" si="112"/>
        <v>135부가세대급금</v>
      </c>
      <c r="H2399" s="214">
        <v>2684</v>
      </c>
      <c r="I2399" s="214">
        <v>0</v>
      </c>
      <c r="J2399" s="214">
        <f t="shared" si="113"/>
        <v>-2684</v>
      </c>
      <c r="K2399" s="212" t="s">
        <v>6202</v>
      </c>
      <c r="L2399" s="213" t="s">
        <v>6411</v>
      </c>
      <c r="M2399" s="212"/>
    </row>
    <row r="2400" spans="1:13" ht="21" customHeight="1">
      <c r="A2400" s="213" t="s">
        <v>6593</v>
      </c>
      <c r="B2400" s="215">
        <f t="shared" si="111"/>
        <v>45810</v>
      </c>
      <c r="C2400" s="213" t="s">
        <v>4373</v>
      </c>
      <c r="D2400" s="213" t="s">
        <v>4369</v>
      </c>
      <c r="E2400" s="213" t="s">
        <v>4499</v>
      </c>
      <c r="F2400" s="212" t="s">
        <v>6517</v>
      </c>
      <c r="G2400" s="212" t="str">
        <f t="shared" si="112"/>
        <v>811복리후생비(판)</v>
      </c>
      <c r="H2400" s="214">
        <v>16000</v>
      </c>
      <c r="I2400" s="214">
        <v>0</v>
      </c>
      <c r="J2400" s="214">
        <f t="shared" si="113"/>
        <v>-16000</v>
      </c>
      <c r="K2400" s="212" t="s">
        <v>6516</v>
      </c>
      <c r="L2400" s="213"/>
      <c r="M2400" s="212"/>
    </row>
    <row r="2401" spans="1:13" ht="21" customHeight="1">
      <c r="A2401" s="213" t="s">
        <v>6593</v>
      </c>
      <c r="B2401" s="215">
        <f t="shared" si="111"/>
        <v>45810</v>
      </c>
      <c r="C2401" s="213" t="s">
        <v>4373</v>
      </c>
      <c r="D2401" s="213" t="s">
        <v>4366</v>
      </c>
      <c r="E2401" s="213" t="s">
        <v>333</v>
      </c>
      <c r="F2401" s="212" t="s">
        <v>4365</v>
      </c>
      <c r="G2401" s="212" t="str">
        <f t="shared" si="112"/>
        <v>101현금</v>
      </c>
      <c r="H2401" s="214">
        <v>0</v>
      </c>
      <c r="I2401" s="214">
        <v>16000</v>
      </c>
      <c r="J2401" s="214">
        <f t="shared" si="113"/>
        <v>16000</v>
      </c>
      <c r="K2401" s="212" t="s">
        <v>6369</v>
      </c>
      <c r="L2401" s="213"/>
      <c r="M2401" s="212"/>
    </row>
    <row r="2402" spans="1:13" ht="21" customHeight="1">
      <c r="A2402" s="213" t="s">
        <v>6593</v>
      </c>
      <c r="B2402" s="215">
        <f t="shared" si="111"/>
        <v>45810</v>
      </c>
      <c r="C2402" s="213" t="s">
        <v>4367</v>
      </c>
      <c r="D2402" s="213" t="s">
        <v>4366</v>
      </c>
      <c r="E2402" s="213" t="s">
        <v>6176</v>
      </c>
      <c r="F2402" s="212" t="s">
        <v>6177</v>
      </c>
      <c r="G2402" s="212" t="str">
        <f t="shared" si="112"/>
        <v>255부가세예수금</v>
      </c>
      <c r="H2402" s="214">
        <v>0</v>
      </c>
      <c r="I2402" s="214">
        <v>15000</v>
      </c>
      <c r="J2402" s="214">
        <f t="shared" si="113"/>
        <v>15000</v>
      </c>
      <c r="K2402" s="212" t="s">
        <v>6310</v>
      </c>
      <c r="L2402" s="213"/>
      <c r="M2402" s="212" t="s">
        <v>6179</v>
      </c>
    </row>
    <row r="2403" spans="1:13" ht="21" customHeight="1">
      <c r="A2403" s="213" t="s">
        <v>6593</v>
      </c>
      <c r="B2403" s="215">
        <f t="shared" si="111"/>
        <v>45810</v>
      </c>
      <c r="C2403" s="213" t="s">
        <v>4367</v>
      </c>
      <c r="D2403" s="213" t="s">
        <v>4366</v>
      </c>
      <c r="E2403" s="213" t="s">
        <v>334</v>
      </c>
      <c r="F2403" s="212" t="s">
        <v>6158</v>
      </c>
      <c r="G2403" s="212" t="str">
        <f t="shared" si="112"/>
        <v>401용역매출</v>
      </c>
      <c r="H2403" s="214">
        <v>0</v>
      </c>
      <c r="I2403" s="214">
        <v>150000</v>
      </c>
      <c r="J2403" s="214">
        <f t="shared" si="113"/>
        <v>150000</v>
      </c>
      <c r="K2403" s="212" t="s">
        <v>6310</v>
      </c>
      <c r="L2403" s="213"/>
      <c r="M2403" s="212" t="s">
        <v>6179</v>
      </c>
    </row>
    <row r="2404" spans="1:13" ht="21" customHeight="1">
      <c r="A2404" s="213" t="s">
        <v>6593</v>
      </c>
      <c r="B2404" s="215">
        <f t="shared" si="111"/>
        <v>45810</v>
      </c>
      <c r="C2404" s="213" t="s">
        <v>4367</v>
      </c>
      <c r="D2404" s="213" t="s">
        <v>4369</v>
      </c>
      <c r="E2404" s="213" t="s">
        <v>333</v>
      </c>
      <c r="F2404" s="212" t="s">
        <v>4365</v>
      </c>
      <c r="G2404" s="212" t="str">
        <f t="shared" si="112"/>
        <v>101현금</v>
      </c>
      <c r="H2404" s="214">
        <v>165000</v>
      </c>
      <c r="I2404" s="214">
        <v>0</v>
      </c>
      <c r="J2404" s="214">
        <f t="shared" si="113"/>
        <v>-165000</v>
      </c>
      <c r="K2404" s="212" t="s">
        <v>6310</v>
      </c>
      <c r="L2404" s="213"/>
      <c r="M2404" s="212" t="s">
        <v>6179</v>
      </c>
    </row>
    <row r="2405" spans="1:13" ht="21" customHeight="1">
      <c r="A2405" s="213" t="s">
        <v>6593</v>
      </c>
      <c r="B2405" s="215">
        <f t="shared" si="111"/>
        <v>45810</v>
      </c>
      <c r="C2405" s="213" t="s">
        <v>4374</v>
      </c>
      <c r="D2405" s="213" t="s">
        <v>4366</v>
      </c>
      <c r="E2405" s="213" t="s">
        <v>6176</v>
      </c>
      <c r="F2405" s="212" t="s">
        <v>6177</v>
      </c>
      <c r="G2405" s="212" t="str">
        <f t="shared" si="112"/>
        <v>255부가세예수금</v>
      </c>
      <c r="H2405" s="214">
        <v>0</v>
      </c>
      <c r="I2405" s="214">
        <v>13000</v>
      </c>
      <c r="J2405" s="214">
        <f t="shared" si="113"/>
        <v>13000</v>
      </c>
      <c r="K2405" s="212" t="s">
        <v>6429</v>
      </c>
      <c r="L2405" s="213"/>
      <c r="M2405" s="212" t="s">
        <v>6427</v>
      </c>
    </row>
    <row r="2406" spans="1:13" ht="21" customHeight="1">
      <c r="A2406" s="213" t="s">
        <v>6593</v>
      </c>
      <c r="B2406" s="215">
        <f t="shared" si="111"/>
        <v>45810</v>
      </c>
      <c r="C2406" s="213" t="s">
        <v>4374</v>
      </c>
      <c r="D2406" s="213" t="s">
        <v>4366</v>
      </c>
      <c r="E2406" s="213" t="s">
        <v>334</v>
      </c>
      <c r="F2406" s="212" t="s">
        <v>6158</v>
      </c>
      <c r="G2406" s="212" t="str">
        <f t="shared" si="112"/>
        <v>401용역매출</v>
      </c>
      <c r="H2406" s="214">
        <v>0</v>
      </c>
      <c r="I2406" s="214">
        <v>130000</v>
      </c>
      <c r="J2406" s="214">
        <f t="shared" si="113"/>
        <v>130000</v>
      </c>
      <c r="K2406" s="212" t="s">
        <v>6429</v>
      </c>
      <c r="L2406" s="213"/>
      <c r="M2406" s="212" t="s">
        <v>6427</v>
      </c>
    </row>
    <row r="2407" spans="1:13" ht="21" customHeight="1">
      <c r="A2407" s="213" t="s">
        <v>6593</v>
      </c>
      <c r="B2407" s="215">
        <f t="shared" si="111"/>
        <v>45810</v>
      </c>
      <c r="C2407" s="213" t="s">
        <v>4374</v>
      </c>
      <c r="D2407" s="213" t="s">
        <v>4369</v>
      </c>
      <c r="E2407" s="213" t="s">
        <v>333</v>
      </c>
      <c r="F2407" s="212" t="s">
        <v>4365</v>
      </c>
      <c r="G2407" s="212" t="str">
        <f t="shared" si="112"/>
        <v>101현금</v>
      </c>
      <c r="H2407" s="214">
        <v>143000</v>
      </c>
      <c r="I2407" s="214">
        <v>0</v>
      </c>
      <c r="J2407" s="214">
        <f t="shared" si="113"/>
        <v>-143000</v>
      </c>
      <c r="K2407" s="212" t="s">
        <v>6429</v>
      </c>
      <c r="L2407" s="213"/>
      <c r="M2407" s="212" t="s">
        <v>6427</v>
      </c>
    </row>
    <row r="2408" spans="1:13" ht="21" customHeight="1">
      <c r="A2408" s="213" t="s">
        <v>6593</v>
      </c>
      <c r="B2408" s="215">
        <f t="shared" si="111"/>
        <v>45810</v>
      </c>
      <c r="C2408" s="213" t="s">
        <v>6182</v>
      </c>
      <c r="D2408" s="213" t="s">
        <v>4366</v>
      </c>
      <c r="E2408" s="213" t="s">
        <v>6176</v>
      </c>
      <c r="F2408" s="212" t="s">
        <v>6177</v>
      </c>
      <c r="G2408" s="212" t="str">
        <f t="shared" si="112"/>
        <v>255부가세예수금</v>
      </c>
      <c r="H2408" s="214">
        <v>0</v>
      </c>
      <c r="I2408" s="214">
        <v>13000</v>
      </c>
      <c r="J2408" s="214">
        <f t="shared" si="113"/>
        <v>13000</v>
      </c>
      <c r="K2408" s="212" t="s">
        <v>6428</v>
      </c>
      <c r="L2408" s="213"/>
      <c r="M2408" s="212" t="s">
        <v>6427</v>
      </c>
    </row>
    <row r="2409" spans="1:13" ht="21" customHeight="1">
      <c r="A2409" s="213" t="s">
        <v>6593</v>
      </c>
      <c r="B2409" s="215">
        <f t="shared" si="111"/>
        <v>45810</v>
      </c>
      <c r="C2409" s="213" t="s">
        <v>6182</v>
      </c>
      <c r="D2409" s="213" t="s">
        <v>4366</v>
      </c>
      <c r="E2409" s="213" t="s">
        <v>334</v>
      </c>
      <c r="F2409" s="212" t="s">
        <v>6158</v>
      </c>
      <c r="G2409" s="212" t="str">
        <f t="shared" si="112"/>
        <v>401용역매출</v>
      </c>
      <c r="H2409" s="214">
        <v>0</v>
      </c>
      <c r="I2409" s="214">
        <v>130000</v>
      </c>
      <c r="J2409" s="214">
        <f t="shared" si="113"/>
        <v>130000</v>
      </c>
      <c r="K2409" s="212" t="s">
        <v>6428</v>
      </c>
      <c r="L2409" s="213"/>
      <c r="M2409" s="212" t="s">
        <v>6427</v>
      </c>
    </row>
    <row r="2410" spans="1:13" ht="21" customHeight="1">
      <c r="A2410" s="213" t="s">
        <v>6593</v>
      </c>
      <c r="B2410" s="215">
        <f t="shared" si="111"/>
        <v>45810</v>
      </c>
      <c r="C2410" s="213" t="s">
        <v>6182</v>
      </c>
      <c r="D2410" s="213" t="s">
        <v>4369</v>
      </c>
      <c r="E2410" s="213" t="s">
        <v>333</v>
      </c>
      <c r="F2410" s="212" t="s">
        <v>4365</v>
      </c>
      <c r="G2410" s="212" t="str">
        <f t="shared" si="112"/>
        <v>101현금</v>
      </c>
      <c r="H2410" s="214">
        <v>143000</v>
      </c>
      <c r="I2410" s="214">
        <v>0</v>
      </c>
      <c r="J2410" s="214">
        <f t="shared" si="113"/>
        <v>-143000</v>
      </c>
      <c r="K2410" s="212" t="s">
        <v>6428</v>
      </c>
      <c r="L2410" s="213"/>
      <c r="M2410" s="212" t="s">
        <v>6427</v>
      </c>
    </row>
    <row r="2411" spans="1:13" ht="21" customHeight="1">
      <c r="A2411" s="213" t="s">
        <v>6593</v>
      </c>
      <c r="B2411" s="215">
        <f t="shared" si="111"/>
        <v>45810</v>
      </c>
      <c r="C2411" s="213" t="s">
        <v>6184</v>
      </c>
      <c r="D2411" s="213" t="s">
        <v>4366</v>
      </c>
      <c r="E2411" s="213" t="s">
        <v>6176</v>
      </c>
      <c r="F2411" s="212" t="s">
        <v>6177</v>
      </c>
      <c r="G2411" s="212" t="str">
        <f t="shared" si="112"/>
        <v>255부가세예수금</v>
      </c>
      <c r="H2411" s="214">
        <v>0</v>
      </c>
      <c r="I2411" s="214">
        <v>12000</v>
      </c>
      <c r="J2411" s="214">
        <f t="shared" si="113"/>
        <v>12000</v>
      </c>
      <c r="K2411" s="212" t="s">
        <v>6270</v>
      </c>
      <c r="L2411" s="213"/>
      <c r="M2411" s="212" t="s">
        <v>6225</v>
      </c>
    </row>
    <row r="2412" spans="1:13" ht="21" customHeight="1">
      <c r="A2412" s="213" t="s">
        <v>6593</v>
      </c>
      <c r="B2412" s="215">
        <f t="shared" si="111"/>
        <v>45810</v>
      </c>
      <c r="C2412" s="213" t="s">
        <v>6184</v>
      </c>
      <c r="D2412" s="213" t="s">
        <v>4366</v>
      </c>
      <c r="E2412" s="213" t="s">
        <v>334</v>
      </c>
      <c r="F2412" s="212" t="s">
        <v>6158</v>
      </c>
      <c r="G2412" s="212" t="str">
        <f t="shared" si="112"/>
        <v>401용역매출</v>
      </c>
      <c r="H2412" s="214">
        <v>0</v>
      </c>
      <c r="I2412" s="214">
        <v>120000</v>
      </c>
      <c r="J2412" s="214">
        <f t="shared" si="113"/>
        <v>120000</v>
      </c>
      <c r="K2412" s="212" t="s">
        <v>6270</v>
      </c>
      <c r="L2412" s="213"/>
      <c r="M2412" s="212" t="s">
        <v>6225</v>
      </c>
    </row>
    <row r="2413" spans="1:13" ht="21" customHeight="1">
      <c r="A2413" s="213" t="s">
        <v>6593</v>
      </c>
      <c r="B2413" s="215">
        <f t="shared" si="111"/>
        <v>45810</v>
      </c>
      <c r="C2413" s="213" t="s">
        <v>6184</v>
      </c>
      <c r="D2413" s="213" t="s">
        <v>4369</v>
      </c>
      <c r="E2413" s="213" t="s">
        <v>333</v>
      </c>
      <c r="F2413" s="212" t="s">
        <v>4365</v>
      </c>
      <c r="G2413" s="212" t="str">
        <f t="shared" si="112"/>
        <v>101현금</v>
      </c>
      <c r="H2413" s="214">
        <v>132000</v>
      </c>
      <c r="I2413" s="214">
        <v>0</v>
      </c>
      <c r="J2413" s="214">
        <f t="shared" si="113"/>
        <v>-132000</v>
      </c>
      <c r="K2413" s="212" t="s">
        <v>6270</v>
      </c>
      <c r="L2413" s="213"/>
      <c r="M2413" s="212" t="s">
        <v>6225</v>
      </c>
    </row>
    <row r="2414" spans="1:13" ht="21" customHeight="1">
      <c r="A2414" s="213" t="s">
        <v>6593</v>
      </c>
      <c r="B2414" s="215">
        <f t="shared" si="111"/>
        <v>45810</v>
      </c>
      <c r="C2414" s="213" t="s">
        <v>6186</v>
      </c>
      <c r="D2414" s="213" t="s">
        <v>4366</v>
      </c>
      <c r="E2414" s="213" t="s">
        <v>6176</v>
      </c>
      <c r="F2414" s="212" t="s">
        <v>6177</v>
      </c>
      <c r="G2414" s="212" t="str">
        <f t="shared" si="112"/>
        <v>255부가세예수금</v>
      </c>
      <c r="H2414" s="214">
        <v>0</v>
      </c>
      <c r="I2414" s="214">
        <v>15000</v>
      </c>
      <c r="J2414" s="214">
        <f t="shared" si="113"/>
        <v>15000</v>
      </c>
      <c r="K2414" s="212" t="s">
        <v>6232</v>
      </c>
      <c r="L2414" s="213"/>
      <c r="M2414" s="212" t="s">
        <v>6179</v>
      </c>
    </row>
    <row r="2415" spans="1:13" ht="21" customHeight="1">
      <c r="A2415" s="213" t="s">
        <v>6593</v>
      </c>
      <c r="B2415" s="215">
        <f t="shared" si="111"/>
        <v>45810</v>
      </c>
      <c r="C2415" s="213" t="s">
        <v>6186</v>
      </c>
      <c r="D2415" s="213" t="s">
        <v>4366</v>
      </c>
      <c r="E2415" s="213" t="s">
        <v>334</v>
      </c>
      <c r="F2415" s="212" t="s">
        <v>6158</v>
      </c>
      <c r="G2415" s="212" t="str">
        <f t="shared" si="112"/>
        <v>401용역매출</v>
      </c>
      <c r="H2415" s="214">
        <v>0</v>
      </c>
      <c r="I2415" s="214">
        <v>150000</v>
      </c>
      <c r="J2415" s="214">
        <f t="shared" si="113"/>
        <v>150000</v>
      </c>
      <c r="K2415" s="212" t="s">
        <v>6232</v>
      </c>
      <c r="L2415" s="213"/>
      <c r="M2415" s="212" t="s">
        <v>6179</v>
      </c>
    </row>
    <row r="2416" spans="1:13" ht="21" customHeight="1">
      <c r="A2416" s="213" t="s">
        <v>6593</v>
      </c>
      <c r="B2416" s="215">
        <f t="shared" si="111"/>
        <v>45810</v>
      </c>
      <c r="C2416" s="213" t="s">
        <v>6186</v>
      </c>
      <c r="D2416" s="213" t="s">
        <v>4369</v>
      </c>
      <c r="E2416" s="213" t="s">
        <v>333</v>
      </c>
      <c r="F2416" s="212" t="s">
        <v>4365</v>
      </c>
      <c r="G2416" s="212" t="str">
        <f t="shared" si="112"/>
        <v>101현금</v>
      </c>
      <c r="H2416" s="214">
        <v>165000</v>
      </c>
      <c r="I2416" s="214">
        <v>0</v>
      </c>
      <c r="J2416" s="214">
        <f t="shared" si="113"/>
        <v>-165000</v>
      </c>
      <c r="K2416" s="212" t="s">
        <v>6232</v>
      </c>
      <c r="L2416" s="213"/>
      <c r="M2416" s="212" t="s">
        <v>6179</v>
      </c>
    </row>
    <row r="2417" spans="1:13" ht="21" customHeight="1">
      <c r="A2417" s="213" t="s">
        <v>6593</v>
      </c>
      <c r="B2417" s="215">
        <f t="shared" si="111"/>
        <v>45810</v>
      </c>
      <c r="C2417" s="213" t="s">
        <v>6189</v>
      </c>
      <c r="D2417" s="213" t="s">
        <v>4366</v>
      </c>
      <c r="E2417" s="213" t="s">
        <v>6176</v>
      </c>
      <c r="F2417" s="212" t="s">
        <v>6177</v>
      </c>
      <c r="G2417" s="212" t="str">
        <f t="shared" si="112"/>
        <v>255부가세예수금</v>
      </c>
      <c r="H2417" s="214">
        <v>0</v>
      </c>
      <c r="I2417" s="214">
        <v>10000</v>
      </c>
      <c r="J2417" s="214">
        <f t="shared" si="113"/>
        <v>10000</v>
      </c>
      <c r="K2417" s="212" t="s">
        <v>6269</v>
      </c>
      <c r="L2417" s="213"/>
      <c r="M2417" s="212" t="s">
        <v>6185</v>
      </c>
    </row>
    <row r="2418" spans="1:13" ht="21" customHeight="1">
      <c r="A2418" s="213" t="s">
        <v>6593</v>
      </c>
      <c r="B2418" s="215">
        <f t="shared" si="111"/>
        <v>45810</v>
      </c>
      <c r="C2418" s="213" t="s">
        <v>6189</v>
      </c>
      <c r="D2418" s="213" t="s">
        <v>4366</v>
      </c>
      <c r="E2418" s="213" t="s">
        <v>334</v>
      </c>
      <c r="F2418" s="212" t="s">
        <v>6158</v>
      </c>
      <c r="G2418" s="212" t="str">
        <f t="shared" si="112"/>
        <v>401용역매출</v>
      </c>
      <c r="H2418" s="214">
        <v>0</v>
      </c>
      <c r="I2418" s="214">
        <v>100000</v>
      </c>
      <c r="J2418" s="214">
        <f t="shared" si="113"/>
        <v>100000</v>
      </c>
      <c r="K2418" s="212" t="s">
        <v>6269</v>
      </c>
      <c r="L2418" s="213"/>
      <c r="M2418" s="212" t="s">
        <v>6185</v>
      </c>
    </row>
    <row r="2419" spans="1:13" ht="21" customHeight="1">
      <c r="A2419" s="213" t="s">
        <v>6593</v>
      </c>
      <c r="B2419" s="215">
        <f t="shared" si="111"/>
        <v>45810</v>
      </c>
      <c r="C2419" s="213" t="s">
        <v>6189</v>
      </c>
      <c r="D2419" s="213" t="s">
        <v>4369</v>
      </c>
      <c r="E2419" s="213" t="s">
        <v>333</v>
      </c>
      <c r="F2419" s="212" t="s">
        <v>4365</v>
      </c>
      <c r="G2419" s="212" t="str">
        <f t="shared" si="112"/>
        <v>101현금</v>
      </c>
      <c r="H2419" s="214">
        <v>110000</v>
      </c>
      <c r="I2419" s="214">
        <v>0</v>
      </c>
      <c r="J2419" s="214">
        <f t="shared" si="113"/>
        <v>-110000</v>
      </c>
      <c r="K2419" s="212" t="s">
        <v>6269</v>
      </c>
      <c r="L2419" s="213"/>
      <c r="M2419" s="212" t="s">
        <v>6185</v>
      </c>
    </row>
    <row r="2420" spans="1:13" ht="21" customHeight="1">
      <c r="A2420" s="213" t="s">
        <v>6593</v>
      </c>
      <c r="B2420" s="215">
        <f t="shared" si="111"/>
        <v>45810</v>
      </c>
      <c r="C2420" s="213" t="s">
        <v>6191</v>
      </c>
      <c r="D2420" s="213" t="s">
        <v>4366</v>
      </c>
      <c r="E2420" s="213" t="s">
        <v>6176</v>
      </c>
      <c r="F2420" s="212" t="s">
        <v>6177</v>
      </c>
      <c r="G2420" s="212" t="str">
        <f t="shared" si="112"/>
        <v>255부가세예수금</v>
      </c>
      <c r="H2420" s="214">
        <v>0</v>
      </c>
      <c r="I2420" s="214">
        <v>10000</v>
      </c>
      <c r="J2420" s="214">
        <f t="shared" si="113"/>
        <v>10000</v>
      </c>
      <c r="K2420" s="212" t="s">
        <v>6279</v>
      </c>
      <c r="L2420" s="213"/>
      <c r="M2420" s="212" t="s">
        <v>6185</v>
      </c>
    </row>
    <row r="2421" spans="1:13" ht="21" customHeight="1">
      <c r="A2421" s="213" t="s">
        <v>6593</v>
      </c>
      <c r="B2421" s="215">
        <f t="shared" si="111"/>
        <v>45810</v>
      </c>
      <c r="C2421" s="213" t="s">
        <v>6191</v>
      </c>
      <c r="D2421" s="213" t="s">
        <v>4366</v>
      </c>
      <c r="E2421" s="213" t="s">
        <v>334</v>
      </c>
      <c r="F2421" s="212" t="s">
        <v>6158</v>
      </c>
      <c r="G2421" s="212" t="str">
        <f t="shared" si="112"/>
        <v>401용역매출</v>
      </c>
      <c r="H2421" s="214">
        <v>0</v>
      </c>
      <c r="I2421" s="214">
        <v>100000</v>
      </c>
      <c r="J2421" s="214">
        <f t="shared" si="113"/>
        <v>100000</v>
      </c>
      <c r="K2421" s="212" t="s">
        <v>6279</v>
      </c>
      <c r="L2421" s="213"/>
      <c r="M2421" s="212" t="s">
        <v>6185</v>
      </c>
    </row>
    <row r="2422" spans="1:13" ht="21" customHeight="1">
      <c r="A2422" s="213" t="s">
        <v>6593</v>
      </c>
      <c r="B2422" s="215">
        <f t="shared" si="111"/>
        <v>45810</v>
      </c>
      <c r="C2422" s="213" t="s">
        <v>6191</v>
      </c>
      <c r="D2422" s="213" t="s">
        <v>4369</v>
      </c>
      <c r="E2422" s="213" t="s">
        <v>333</v>
      </c>
      <c r="F2422" s="212" t="s">
        <v>4365</v>
      </c>
      <c r="G2422" s="212" t="str">
        <f t="shared" si="112"/>
        <v>101현금</v>
      </c>
      <c r="H2422" s="214">
        <v>110000</v>
      </c>
      <c r="I2422" s="214">
        <v>0</v>
      </c>
      <c r="J2422" s="214">
        <f t="shared" si="113"/>
        <v>-110000</v>
      </c>
      <c r="K2422" s="212" t="s">
        <v>6279</v>
      </c>
      <c r="L2422" s="213"/>
      <c r="M2422" s="212" t="s">
        <v>6185</v>
      </c>
    </row>
    <row r="2423" spans="1:13" ht="21" customHeight="1">
      <c r="A2423" s="216" t="s">
        <v>6592</v>
      </c>
      <c r="B2423" s="215">
        <f t="shared" si="111"/>
        <v>45811</v>
      </c>
      <c r="C2423" s="213" t="s">
        <v>4373</v>
      </c>
      <c r="D2423" s="213" t="s">
        <v>4366</v>
      </c>
      <c r="E2423" s="213" t="s">
        <v>333</v>
      </c>
      <c r="F2423" s="212" t="s">
        <v>4365</v>
      </c>
      <c r="G2423" s="212" t="str">
        <f t="shared" si="112"/>
        <v>101현금</v>
      </c>
      <c r="H2423" s="214">
        <v>0</v>
      </c>
      <c r="I2423" s="214">
        <v>2000</v>
      </c>
      <c r="J2423" s="214">
        <f t="shared" si="113"/>
        <v>2000</v>
      </c>
      <c r="K2423" s="212" t="s">
        <v>6369</v>
      </c>
      <c r="L2423" s="213"/>
      <c r="M2423" s="212"/>
    </row>
    <row r="2424" spans="1:13" ht="21" customHeight="1">
      <c r="A2424" s="216" t="s">
        <v>6592</v>
      </c>
      <c r="B2424" s="215">
        <f t="shared" si="111"/>
        <v>45811</v>
      </c>
      <c r="C2424" s="213" t="s">
        <v>4373</v>
      </c>
      <c r="D2424" s="213" t="s">
        <v>4369</v>
      </c>
      <c r="E2424" s="213" t="s">
        <v>4380</v>
      </c>
      <c r="F2424" s="212" t="s">
        <v>6515</v>
      </c>
      <c r="G2424" s="212" t="str">
        <f t="shared" si="112"/>
        <v>812여비교통비(판)</v>
      </c>
      <c r="H2424" s="214">
        <v>2000</v>
      </c>
      <c r="I2424" s="214">
        <v>0</v>
      </c>
      <c r="J2424" s="214">
        <f t="shared" si="113"/>
        <v>-2000</v>
      </c>
      <c r="K2424" s="212" t="s">
        <v>6292</v>
      </c>
      <c r="L2424" s="213"/>
      <c r="M2424" s="212"/>
    </row>
    <row r="2425" spans="1:13" ht="21" customHeight="1">
      <c r="A2425" s="216" t="s">
        <v>6592</v>
      </c>
      <c r="B2425" s="215">
        <f t="shared" si="111"/>
        <v>45811</v>
      </c>
      <c r="C2425" s="213" t="s">
        <v>4367</v>
      </c>
      <c r="D2425" s="213" t="s">
        <v>4366</v>
      </c>
      <c r="E2425" s="213" t="s">
        <v>6176</v>
      </c>
      <c r="F2425" s="212" t="s">
        <v>6177</v>
      </c>
      <c r="G2425" s="212" t="str">
        <f t="shared" si="112"/>
        <v>255부가세예수금</v>
      </c>
      <c r="H2425" s="214">
        <v>0</v>
      </c>
      <c r="I2425" s="214">
        <v>12000</v>
      </c>
      <c r="J2425" s="214">
        <f t="shared" si="113"/>
        <v>12000</v>
      </c>
      <c r="K2425" s="212" t="s">
        <v>6308</v>
      </c>
      <c r="L2425" s="213"/>
      <c r="M2425" s="212" t="s">
        <v>6225</v>
      </c>
    </row>
    <row r="2426" spans="1:13" ht="21" customHeight="1">
      <c r="A2426" s="216" t="s">
        <v>6592</v>
      </c>
      <c r="B2426" s="215">
        <f t="shared" si="111"/>
        <v>45811</v>
      </c>
      <c r="C2426" s="213" t="s">
        <v>4367</v>
      </c>
      <c r="D2426" s="213" t="s">
        <v>4366</v>
      </c>
      <c r="E2426" s="213" t="s">
        <v>334</v>
      </c>
      <c r="F2426" s="212" t="s">
        <v>6158</v>
      </c>
      <c r="G2426" s="212" t="str">
        <f t="shared" si="112"/>
        <v>401용역매출</v>
      </c>
      <c r="H2426" s="214">
        <v>0</v>
      </c>
      <c r="I2426" s="214">
        <v>120000</v>
      </c>
      <c r="J2426" s="214">
        <f t="shared" si="113"/>
        <v>120000</v>
      </c>
      <c r="K2426" s="212" t="s">
        <v>6308</v>
      </c>
      <c r="L2426" s="213"/>
      <c r="M2426" s="212" t="s">
        <v>6225</v>
      </c>
    </row>
    <row r="2427" spans="1:13" ht="21" customHeight="1">
      <c r="A2427" s="216" t="s">
        <v>6592</v>
      </c>
      <c r="B2427" s="215">
        <f t="shared" si="111"/>
        <v>45811</v>
      </c>
      <c r="C2427" s="213" t="s">
        <v>4367</v>
      </c>
      <c r="D2427" s="213" t="s">
        <v>4369</v>
      </c>
      <c r="E2427" s="213" t="s">
        <v>333</v>
      </c>
      <c r="F2427" s="212" t="s">
        <v>4365</v>
      </c>
      <c r="G2427" s="212" t="str">
        <f t="shared" si="112"/>
        <v>101현금</v>
      </c>
      <c r="H2427" s="214">
        <v>132000</v>
      </c>
      <c r="I2427" s="214">
        <v>0</v>
      </c>
      <c r="J2427" s="214">
        <f t="shared" si="113"/>
        <v>-132000</v>
      </c>
      <c r="K2427" s="212" t="s">
        <v>6308</v>
      </c>
      <c r="L2427" s="213"/>
      <c r="M2427" s="212" t="s">
        <v>6225</v>
      </c>
    </row>
    <row r="2428" spans="1:13" ht="21" customHeight="1">
      <c r="A2428" s="216" t="s">
        <v>6592</v>
      </c>
      <c r="B2428" s="215">
        <f t="shared" si="111"/>
        <v>45811</v>
      </c>
      <c r="C2428" s="213" t="s">
        <v>4374</v>
      </c>
      <c r="D2428" s="213" t="s">
        <v>4366</v>
      </c>
      <c r="E2428" s="213" t="s">
        <v>6176</v>
      </c>
      <c r="F2428" s="212" t="s">
        <v>6177</v>
      </c>
      <c r="G2428" s="212" t="str">
        <f t="shared" si="112"/>
        <v>255부가세예수금</v>
      </c>
      <c r="H2428" s="214">
        <v>0</v>
      </c>
      <c r="I2428" s="214">
        <v>15000</v>
      </c>
      <c r="J2428" s="214">
        <f t="shared" si="113"/>
        <v>15000</v>
      </c>
      <c r="K2428" s="212" t="s">
        <v>6181</v>
      </c>
      <c r="L2428" s="213"/>
      <c r="M2428" s="212" t="s">
        <v>6179</v>
      </c>
    </row>
    <row r="2429" spans="1:13" ht="21" customHeight="1">
      <c r="A2429" s="216" t="s">
        <v>6592</v>
      </c>
      <c r="B2429" s="215">
        <f t="shared" si="111"/>
        <v>45811</v>
      </c>
      <c r="C2429" s="213" t="s">
        <v>4374</v>
      </c>
      <c r="D2429" s="213" t="s">
        <v>4366</v>
      </c>
      <c r="E2429" s="213" t="s">
        <v>334</v>
      </c>
      <c r="F2429" s="212" t="s">
        <v>6158</v>
      </c>
      <c r="G2429" s="212" t="str">
        <f t="shared" si="112"/>
        <v>401용역매출</v>
      </c>
      <c r="H2429" s="214">
        <v>0</v>
      </c>
      <c r="I2429" s="214">
        <v>150000</v>
      </c>
      <c r="J2429" s="214">
        <f t="shared" si="113"/>
        <v>150000</v>
      </c>
      <c r="K2429" s="212" t="s">
        <v>6181</v>
      </c>
      <c r="L2429" s="213"/>
      <c r="M2429" s="212" t="s">
        <v>6179</v>
      </c>
    </row>
    <row r="2430" spans="1:13" ht="21" customHeight="1">
      <c r="A2430" s="216" t="s">
        <v>6592</v>
      </c>
      <c r="B2430" s="215">
        <f t="shared" si="111"/>
        <v>45811</v>
      </c>
      <c r="C2430" s="213" t="s">
        <v>4374</v>
      </c>
      <c r="D2430" s="213" t="s">
        <v>4369</v>
      </c>
      <c r="E2430" s="213" t="s">
        <v>333</v>
      </c>
      <c r="F2430" s="212" t="s">
        <v>4365</v>
      </c>
      <c r="G2430" s="212" t="str">
        <f t="shared" si="112"/>
        <v>101현금</v>
      </c>
      <c r="H2430" s="214">
        <v>165000</v>
      </c>
      <c r="I2430" s="214">
        <v>0</v>
      </c>
      <c r="J2430" s="214">
        <f t="shared" si="113"/>
        <v>-165000</v>
      </c>
      <c r="K2430" s="212" t="s">
        <v>6181</v>
      </c>
      <c r="L2430" s="213"/>
      <c r="M2430" s="212" t="s">
        <v>6179</v>
      </c>
    </row>
    <row r="2431" spans="1:13" ht="21" customHeight="1">
      <c r="A2431" s="216" t="s">
        <v>6592</v>
      </c>
      <c r="B2431" s="215">
        <f t="shared" si="111"/>
        <v>45811</v>
      </c>
      <c r="C2431" s="213" t="s">
        <v>6182</v>
      </c>
      <c r="D2431" s="213" t="s">
        <v>4366</v>
      </c>
      <c r="E2431" s="213" t="s">
        <v>6176</v>
      </c>
      <c r="F2431" s="212" t="s">
        <v>6177</v>
      </c>
      <c r="G2431" s="212" t="str">
        <f t="shared" si="112"/>
        <v>255부가세예수금</v>
      </c>
      <c r="H2431" s="214">
        <v>0</v>
      </c>
      <c r="I2431" s="214">
        <v>15000</v>
      </c>
      <c r="J2431" s="214">
        <f t="shared" si="113"/>
        <v>15000</v>
      </c>
      <c r="K2431" s="212" t="s">
        <v>6183</v>
      </c>
      <c r="L2431" s="213"/>
      <c r="M2431" s="212" t="s">
        <v>6179</v>
      </c>
    </row>
    <row r="2432" spans="1:13" ht="21" customHeight="1">
      <c r="A2432" s="216" t="s">
        <v>6592</v>
      </c>
      <c r="B2432" s="215">
        <f t="shared" si="111"/>
        <v>45811</v>
      </c>
      <c r="C2432" s="213" t="s">
        <v>6182</v>
      </c>
      <c r="D2432" s="213" t="s">
        <v>4366</v>
      </c>
      <c r="E2432" s="213" t="s">
        <v>334</v>
      </c>
      <c r="F2432" s="212" t="s">
        <v>6158</v>
      </c>
      <c r="G2432" s="212" t="str">
        <f t="shared" si="112"/>
        <v>401용역매출</v>
      </c>
      <c r="H2432" s="214">
        <v>0</v>
      </c>
      <c r="I2432" s="214">
        <v>150000</v>
      </c>
      <c r="J2432" s="214">
        <f t="shared" si="113"/>
        <v>150000</v>
      </c>
      <c r="K2432" s="212" t="s">
        <v>6183</v>
      </c>
      <c r="L2432" s="213"/>
      <c r="M2432" s="212" t="s">
        <v>6179</v>
      </c>
    </row>
    <row r="2433" spans="1:13" ht="21" customHeight="1">
      <c r="A2433" s="216" t="s">
        <v>6592</v>
      </c>
      <c r="B2433" s="215">
        <f t="shared" si="111"/>
        <v>45811</v>
      </c>
      <c r="C2433" s="213" t="s">
        <v>6182</v>
      </c>
      <c r="D2433" s="213" t="s">
        <v>4369</v>
      </c>
      <c r="E2433" s="213" t="s">
        <v>333</v>
      </c>
      <c r="F2433" s="212" t="s">
        <v>4365</v>
      </c>
      <c r="G2433" s="212" t="str">
        <f t="shared" si="112"/>
        <v>101현금</v>
      </c>
      <c r="H2433" s="214">
        <v>165000</v>
      </c>
      <c r="I2433" s="214">
        <v>0</v>
      </c>
      <c r="J2433" s="214">
        <f t="shared" si="113"/>
        <v>-165000</v>
      </c>
      <c r="K2433" s="212" t="s">
        <v>6183</v>
      </c>
      <c r="L2433" s="213"/>
      <c r="M2433" s="212" t="s">
        <v>6179</v>
      </c>
    </row>
    <row r="2434" spans="1:13" ht="21" customHeight="1">
      <c r="A2434" s="213" t="s">
        <v>6588</v>
      </c>
      <c r="B2434" s="215">
        <f t="shared" ref="B2434:B2497" si="114">DATEVALUE(A2434)</f>
        <v>45812</v>
      </c>
      <c r="C2434" s="213" t="s">
        <v>4373</v>
      </c>
      <c r="D2434" s="213" t="s">
        <v>4369</v>
      </c>
      <c r="E2434" s="213" t="s">
        <v>4499</v>
      </c>
      <c r="F2434" s="212" t="s">
        <v>6517</v>
      </c>
      <c r="G2434" s="212" t="str">
        <f t="shared" ref="G2434:G2497" si="115">E2434&amp;F2434</f>
        <v>811복리후생비(판)</v>
      </c>
      <c r="H2434" s="214">
        <v>16000</v>
      </c>
      <c r="I2434" s="214">
        <v>0</v>
      </c>
      <c r="J2434" s="214">
        <f t="shared" ref="J2434:J2497" si="116">I2434-H2434</f>
        <v>-16000</v>
      </c>
      <c r="K2434" s="212" t="s">
        <v>6516</v>
      </c>
      <c r="L2434" s="213"/>
      <c r="M2434" s="212"/>
    </row>
    <row r="2435" spans="1:13" ht="21" customHeight="1">
      <c r="A2435" s="213" t="s">
        <v>6588</v>
      </c>
      <c r="B2435" s="215">
        <f t="shared" si="114"/>
        <v>45812</v>
      </c>
      <c r="C2435" s="213" t="s">
        <v>4373</v>
      </c>
      <c r="D2435" s="213" t="s">
        <v>4366</v>
      </c>
      <c r="E2435" s="213" t="s">
        <v>333</v>
      </c>
      <c r="F2435" s="212" t="s">
        <v>4365</v>
      </c>
      <c r="G2435" s="212" t="str">
        <f t="shared" si="115"/>
        <v>101현금</v>
      </c>
      <c r="H2435" s="214">
        <v>0</v>
      </c>
      <c r="I2435" s="214">
        <v>16000</v>
      </c>
      <c r="J2435" s="214">
        <f t="shared" si="116"/>
        <v>16000</v>
      </c>
      <c r="K2435" s="212" t="s">
        <v>6369</v>
      </c>
      <c r="L2435" s="213"/>
      <c r="M2435" s="212"/>
    </row>
    <row r="2436" spans="1:13" ht="21" customHeight="1">
      <c r="A2436" s="213" t="s">
        <v>6588</v>
      </c>
      <c r="B2436" s="215">
        <f t="shared" si="114"/>
        <v>45812</v>
      </c>
      <c r="C2436" s="213" t="s">
        <v>4382</v>
      </c>
      <c r="D2436" s="213" t="s">
        <v>4369</v>
      </c>
      <c r="E2436" s="213" t="s">
        <v>4380</v>
      </c>
      <c r="F2436" s="212" t="s">
        <v>6515</v>
      </c>
      <c r="G2436" s="212" t="str">
        <f t="shared" si="115"/>
        <v>812여비교통비(판)</v>
      </c>
      <c r="H2436" s="214">
        <v>2000</v>
      </c>
      <c r="I2436" s="214">
        <v>0</v>
      </c>
      <c r="J2436" s="214">
        <f t="shared" si="116"/>
        <v>-2000</v>
      </c>
      <c r="K2436" s="212" t="s">
        <v>6591</v>
      </c>
      <c r="L2436" s="213"/>
      <c r="M2436" s="212"/>
    </row>
    <row r="2437" spans="1:13" ht="21" customHeight="1">
      <c r="A2437" s="213" t="s">
        <v>6588</v>
      </c>
      <c r="B2437" s="215">
        <f t="shared" si="114"/>
        <v>45812</v>
      </c>
      <c r="C2437" s="213" t="s">
        <v>4382</v>
      </c>
      <c r="D2437" s="213" t="s">
        <v>4366</v>
      </c>
      <c r="E2437" s="213" t="s">
        <v>333</v>
      </c>
      <c r="F2437" s="212" t="s">
        <v>4365</v>
      </c>
      <c r="G2437" s="212" t="str">
        <f t="shared" si="115"/>
        <v>101현금</v>
      </c>
      <c r="H2437" s="214">
        <v>0</v>
      </c>
      <c r="I2437" s="214">
        <v>2000</v>
      </c>
      <c r="J2437" s="214">
        <f t="shared" si="116"/>
        <v>2000</v>
      </c>
      <c r="K2437" s="212" t="s">
        <v>6369</v>
      </c>
      <c r="L2437" s="213"/>
      <c r="M2437" s="212"/>
    </row>
    <row r="2438" spans="1:13" ht="21" customHeight="1">
      <c r="A2438" s="213" t="s">
        <v>6588</v>
      </c>
      <c r="B2438" s="215">
        <f t="shared" si="114"/>
        <v>45812</v>
      </c>
      <c r="C2438" s="213" t="s">
        <v>4381</v>
      </c>
      <c r="D2438" s="213" t="s">
        <v>4369</v>
      </c>
      <c r="E2438" s="213" t="s">
        <v>4380</v>
      </c>
      <c r="F2438" s="212" t="s">
        <v>6515</v>
      </c>
      <c r="G2438" s="212" t="str">
        <f t="shared" si="115"/>
        <v>812여비교통비(판)</v>
      </c>
      <c r="H2438" s="214">
        <v>10580</v>
      </c>
      <c r="I2438" s="214">
        <v>0</v>
      </c>
      <c r="J2438" s="214">
        <f t="shared" si="116"/>
        <v>-10580</v>
      </c>
      <c r="K2438" s="212" t="s">
        <v>6590</v>
      </c>
      <c r="L2438" s="213"/>
      <c r="M2438" s="212"/>
    </row>
    <row r="2439" spans="1:13" ht="21" customHeight="1">
      <c r="A2439" s="213" t="s">
        <v>6588</v>
      </c>
      <c r="B2439" s="215">
        <f t="shared" si="114"/>
        <v>45812</v>
      </c>
      <c r="C2439" s="213" t="s">
        <v>4381</v>
      </c>
      <c r="D2439" s="213" t="s">
        <v>4366</v>
      </c>
      <c r="E2439" s="213" t="s">
        <v>333</v>
      </c>
      <c r="F2439" s="212" t="s">
        <v>4365</v>
      </c>
      <c r="G2439" s="212" t="str">
        <f t="shared" si="115"/>
        <v>101현금</v>
      </c>
      <c r="H2439" s="214">
        <v>0</v>
      </c>
      <c r="I2439" s="214">
        <v>10580</v>
      </c>
      <c r="J2439" s="214">
        <f t="shared" si="116"/>
        <v>10580</v>
      </c>
      <c r="K2439" s="212" t="s">
        <v>6371</v>
      </c>
      <c r="L2439" s="213"/>
      <c r="M2439" s="212"/>
    </row>
    <row r="2440" spans="1:13" ht="21" customHeight="1">
      <c r="A2440" s="213" t="s">
        <v>6588</v>
      </c>
      <c r="B2440" s="215">
        <f t="shared" si="114"/>
        <v>45812</v>
      </c>
      <c r="C2440" s="213" t="s">
        <v>4367</v>
      </c>
      <c r="D2440" s="213" t="s">
        <v>4369</v>
      </c>
      <c r="E2440" s="213" t="s">
        <v>4371</v>
      </c>
      <c r="F2440" s="212" t="s">
        <v>4370</v>
      </c>
      <c r="G2440" s="212" t="str">
        <f t="shared" si="115"/>
        <v>135부가세대급금</v>
      </c>
      <c r="H2440" s="214">
        <v>1359</v>
      </c>
      <c r="I2440" s="214">
        <v>0</v>
      </c>
      <c r="J2440" s="214">
        <f t="shared" si="116"/>
        <v>-1359</v>
      </c>
      <c r="K2440" s="212" t="s">
        <v>6193</v>
      </c>
      <c r="L2440" s="213"/>
      <c r="M2440" s="212" t="s">
        <v>6589</v>
      </c>
    </row>
    <row r="2441" spans="1:13" ht="21" customHeight="1">
      <c r="A2441" s="213" t="s">
        <v>6588</v>
      </c>
      <c r="B2441" s="215">
        <f t="shared" si="114"/>
        <v>45812</v>
      </c>
      <c r="C2441" s="213" t="s">
        <v>4367</v>
      </c>
      <c r="D2441" s="213" t="s">
        <v>4369</v>
      </c>
      <c r="E2441" s="213" t="s">
        <v>4386</v>
      </c>
      <c r="F2441" s="212" t="s">
        <v>6420</v>
      </c>
      <c r="G2441" s="212" t="str">
        <f t="shared" si="115"/>
        <v>814통신비(판)</v>
      </c>
      <c r="H2441" s="214">
        <v>13597</v>
      </c>
      <c r="I2441" s="214">
        <v>0</v>
      </c>
      <c r="J2441" s="214">
        <f t="shared" si="116"/>
        <v>-13597</v>
      </c>
      <c r="K2441" s="212" t="s">
        <v>6193</v>
      </c>
      <c r="L2441" s="213"/>
      <c r="M2441" s="212" t="s">
        <v>6589</v>
      </c>
    </row>
    <row r="2442" spans="1:13" ht="21" customHeight="1">
      <c r="A2442" s="213" t="s">
        <v>6588</v>
      </c>
      <c r="B2442" s="215">
        <f t="shared" si="114"/>
        <v>45812</v>
      </c>
      <c r="C2442" s="213" t="s">
        <v>4367</v>
      </c>
      <c r="D2442" s="213" t="s">
        <v>4366</v>
      </c>
      <c r="E2442" s="213" t="s">
        <v>333</v>
      </c>
      <c r="F2442" s="212" t="s">
        <v>4365</v>
      </c>
      <c r="G2442" s="212" t="str">
        <f t="shared" si="115"/>
        <v>101현금</v>
      </c>
      <c r="H2442" s="214">
        <v>0</v>
      </c>
      <c r="I2442" s="214">
        <v>14956</v>
      </c>
      <c r="J2442" s="214">
        <f t="shared" si="116"/>
        <v>14956</v>
      </c>
      <c r="K2442" s="212" t="s">
        <v>6193</v>
      </c>
      <c r="L2442" s="213"/>
      <c r="M2442" s="212" t="s">
        <v>6589</v>
      </c>
    </row>
    <row r="2443" spans="1:13" ht="21" customHeight="1">
      <c r="A2443" s="213" t="s">
        <v>6588</v>
      </c>
      <c r="B2443" s="215">
        <f t="shared" si="114"/>
        <v>45812</v>
      </c>
      <c r="C2443" s="213" t="s">
        <v>4374</v>
      </c>
      <c r="D2443" s="213" t="s">
        <v>4366</v>
      </c>
      <c r="E2443" s="213" t="s">
        <v>6176</v>
      </c>
      <c r="F2443" s="212" t="s">
        <v>6177</v>
      </c>
      <c r="G2443" s="212" t="str">
        <f t="shared" si="115"/>
        <v>255부가세예수금</v>
      </c>
      <c r="H2443" s="214">
        <v>0</v>
      </c>
      <c r="I2443" s="214">
        <v>10000</v>
      </c>
      <c r="J2443" s="214">
        <f t="shared" si="116"/>
        <v>10000</v>
      </c>
      <c r="K2443" s="212" t="s">
        <v>6252</v>
      </c>
      <c r="L2443" s="213"/>
      <c r="M2443" s="212" t="s">
        <v>6185</v>
      </c>
    </row>
    <row r="2444" spans="1:13" ht="21" customHeight="1">
      <c r="A2444" s="213" t="s">
        <v>6588</v>
      </c>
      <c r="B2444" s="215">
        <f t="shared" si="114"/>
        <v>45812</v>
      </c>
      <c r="C2444" s="213" t="s">
        <v>4374</v>
      </c>
      <c r="D2444" s="213" t="s">
        <v>4366</v>
      </c>
      <c r="E2444" s="213" t="s">
        <v>334</v>
      </c>
      <c r="F2444" s="212" t="s">
        <v>6158</v>
      </c>
      <c r="G2444" s="212" t="str">
        <f t="shared" si="115"/>
        <v>401용역매출</v>
      </c>
      <c r="H2444" s="214">
        <v>0</v>
      </c>
      <c r="I2444" s="214">
        <v>100000</v>
      </c>
      <c r="J2444" s="214">
        <f t="shared" si="116"/>
        <v>100000</v>
      </c>
      <c r="K2444" s="212" t="s">
        <v>6252</v>
      </c>
      <c r="L2444" s="213"/>
      <c r="M2444" s="212" t="s">
        <v>6185</v>
      </c>
    </row>
    <row r="2445" spans="1:13" ht="21" customHeight="1">
      <c r="A2445" s="213" t="s">
        <v>6588</v>
      </c>
      <c r="B2445" s="215">
        <f t="shared" si="114"/>
        <v>45812</v>
      </c>
      <c r="C2445" s="213" t="s">
        <v>4374</v>
      </c>
      <c r="D2445" s="213" t="s">
        <v>4369</v>
      </c>
      <c r="E2445" s="213" t="s">
        <v>333</v>
      </c>
      <c r="F2445" s="212" t="s">
        <v>4365</v>
      </c>
      <c r="G2445" s="212" t="str">
        <f t="shared" si="115"/>
        <v>101현금</v>
      </c>
      <c r="H2445" s="214">
        <v>110000</v>
      </c>
      <c r="I2445" s="214">
        <v>0</v>
      </c>
      <c r="J2445" s="214">
        <f t="shared" si="116"/>
        <v>-110000</v>
      </c>
      <c r="K2445" s="212" t="s">
        <v>6252</v>
      </c>
      <c r="L2445" s="213"/>
      <c r="M2445" s="212" t="s">
        <v>6185</v>
      </c>
    </row>
    <row r="2446" spans="1:13" ht="21" customHeight="1">
      <c r="A2446" s="213" t="s">
        <v>6588</v>
      </c>
      <c r="B2446" s="215">
        <f t="shared" si="114"/>
        <v>45812</v>
      </c>
      <c r="C2446" s="213" t="s">
        <v>6182</v>
      </c>
      <c r="D2446" s="213" t="s">
        <v>4366</v>
      </c>
      <c r="E2446" s="213" t="s">
        <v>6176</v>
      </c>
      <c r="F2446" s="212" t="s">
        <v>6177</v>
      </c>
      <c r="G2446" s="212" t="str">
        <f t="shared" si="115"/>
        <v>255부가세예수금</v>
      </c>
      <c r="H2446" s="214">
        <v>0</v>
      </c>
      <c r="I2446" s="214">
        <v>40000</v>
      </c>
      <c r="J2446" s="214">
        <f t="shared" si="116"/>
        <v>40000</v>
      </c>
      <c r="K2446" s="212" t="s">
        <v>6187</v>
      </c>
      <c r="L2446" s="213"/>
      <c r="M2446" s="212" t="s">
        <v>6188</v>
      </c>
    </row>
    <row r="2447" spans="1:13" ht="21" customHeight="1">
      <c r="A2447" s="213" t="s">
        <v>6588</v>
      </c>
      <c r="B2447" s="215">
        <f t="shared" si="114"/>
        <v>45812</v>
      </c>
      <c r="C2447" s="213" t="s">
        <v>6182</v>
      </c>
      <c r="D2447" s="213" t="s">
        <v>4366</v>
      </c>
      <c r="E2447" s="213" t="s">
        <v>334</v>
      </c>
      <c r="F2447" s="212" t="s">
        <v>6158</v>
      </c>
      <c r="G2447" s="212" t="str">
        <f t="shared" si="115"/>
        <v>401용역매출</v>
      </c>
      <c r="H2447" s="214">
        <v>0</v>
      </c>
      <c r="I2447" s="214">
        <v>400000</v>
      </c>
      <c r="J2447" s="214">
        <f t="shared" si="116"/>
        <v>400000</v>
      </c>
      <c r="K2447" s="212" t="s">
        <v>6187</v>
      </c>
      <c r="L2447" s="213"/>
      <c r="M2447" s="212" t="s">
        <v>6188</v>
      </c>
    </row>
    <row r="2448" spans="1:13" ht="21" customHeight="1">
      <c r="A2448" s="213" t="s">
        <v>6588</v>
      </c>
      <c r="B2448" s="215">
        <f t="shared" si="114"/>
        <v>45812</v>
      </c>
      <c r="C2448" s="213" t="s">
        <v>6182</v>
      </c>
      <c r="D2448" s="213" t="s">
        <v>4369</v>
      </c>
      <c r="E2448" s="213" t="s">
        <v>333</v>
      </c>
      <c r="F2448" s="212" t="s">
        <v>4365</v>
      </c>
      <c r="G2448" s="212" t="str">
        <f t="shared" si="115"/>
        <v>101현금</v>
      </c>
      <c r="H2448" s="214">
        <v>440000</v>
      </c>
      <c r="I2448" s="214">
        <v>0</v>
      </c>
      <c r="J2448" s="214">
        <f t="shared" si="116"/>
        <v>-440000</v>
      </c>
      <c r="K2448" s="212" t="s">
        <v>6187</v>
      </c>
      <c r="L2448" s="213"/>
      <c r="M2448" s="212" t="s">
        <v>6188</v>
      </c>
    </row>
    <row r="2449" spans="1:13" ht="21" customHeight="1">
      <c r="A2449" s="213" t="s">
        <v>6588</v>
      </c>
      <c r="B2449" s="215">
        <f t="shared" si="114"/>
        <v>45812</v>
      </c>
      <c r="C2449" s="213" t="s">
        <v>6184</v>
      </c>
      <c r="D2449" s="213" t="s">
        <v>4366</v>
      </c>
      <c r="E2449" s="213" t="s">
        <v>6176</v>
      </c>
      <c r="F2449" s="212" t="s">
        <v>6177</v>
      </c>
      <c r="G2449" s="212" t="str">
        <f t="shared" si="115"/>
        <v>255부가세예수금</v>
      </c>
      <c r="H2449" s="214">
        <v>0</v>
      </c>
      <c r="I2449" s="214">
        <v>15000</v>
      </c>
      <c r="J2449" s="214">
        <f t="shared" si="116"/>
        <v>15000</v>
      </c>
      <c r="K2449" s="212" t="s">
        <v>6178</v>
      </c>
      <c r="L2449" s="213"/>
      <c r="M2449" s="212" t="s">
        <v>6179</v>
      </c>
    </row>
    <row r="2450" spans="1:13" ht="21" customHeight="1">
      <c r="A2450" s="213" t="s">
        <v>6588</v>
      </c>
      <c r="B2450" s="215">
        <f t="shared" si="114"/>
        <v>45812</v>
      </c>
      <c r="C2450" s="213" t="s">
        <v>6184</v>
      </c>
      <c r="D2450" s="213" t="s">
        <v>4366</v>
      </c>
      <c r="E2450" s="213" t="s">
        <v>334</v>
      </c>
      <c r="F2450" s="212" t="s">
        <v>6158</v>
      </c>
      <c r="G2450" s="212" t="str">
        <f t="shared" si="115"/>
        <v>401용역매출</v>
      </c>
      <c r="H2450" s="214">
        <v>0</v>
      </c>
      <c r="I2450" s="214">
        <v>150000</v>
      </c>
      <c r="J2450" s="214">
        <f t="shared" si="116"/>
        <v>150000</v>
      </c>
      <c r="K2450" s="212" t="s">
        <v>6178</v>
      </c>
      <c r="L2450" s="213"/>
      <c r="M2450" s="212" t="s">
        <v>6179</v>
      </c>
    </row>
    <row r="2451" spans="1:13" ht="21" customHeight="1">
      <c r="A2451" s="213" t="s">
        <v>6588</v>
      </c>
      <c r="B2451" s="215">
        <f t="shared" si="114"/>
        <v>45812</v>
      </c>
      <c r="C2451" s="213" t="s">
        <v>6184</v>
      </c>
      <c r="D2451" s="213" t="s">
        <v>4369</v>
      </c>
      <c r="E2451" s="213" t="s">
        <v>333</v>
      </c>
      <c r="F2451" s="212" t="s">
        <v>4365</v>
      </c>
      <c r="G2451" s="212" t="str">
        <f t="shared" si="115"/>
        <v>101현금</v>
      </c>
      <c r="H2451" s="214">
        <v>165000</v>
      </c>
      <c r="I2451" s="214">
        <v>0</v>
      </c>
      <c r="J2451" s="214">
        <f t="shared" si="116"/>
        <v>-165000</v>
      </c>
      <c r="K2451" s="212" t="s">
        <v>6178</v>
      </c>
      <c r="L2451" s="213"/>
      <c r="M2451" s="212" t="s">
        <v>6179</v>
      </c>
    </row>
    <row r="2452" spans="1:13" ht="21" customHeight="1">
      <c r="A2452" s="213" t="s">
        <v>6588</v>
      </c>
      <c r="B2452" s="215">
        <f t="shared" si="114"/>
        <v>45812</v>
      </c>
      <c r="C2452" s="213" t="s">
        <v>6186</v>
      </c>
      <c r="D2452" s="213" t="s">
        <v>4366</v>
      </c>
      <c r="E2452" s="213" t="s">
        <v>333</v>
      </c>
      <c r="F2452" s="212" t="s">
        <v>4365</v>
      </c>
      <c r="G2452" s="212" t="str">
        <f t="shared" si="115"/>
        <v>101현금</v>
      </c>
      <c r="H2452" s="214">
        <v>0</v>
      </c>
      <c r="I2452" s="214">
        <v>32500</v>
      </c>
      <c r="J2452" s="214">
        <f t="shared" si="116"/>
        <v>32500</v>
      </c>
      <c r="K2452" s="212" t="s">
        <v>6371</v>
      </c>
      <c r="L2452" s="213"/>
      <c r="M2452" s="212"/>
    </row>
    <row r="2453" spans="1:13" ht="21" customHeight="1">
      <c r="A2453" s="213" t="s">
        <v>6588</v>
      </c>
      <c r="B2453" s="215">
        <f t="shared" si="114"/>
        <v>45812</v>
      </c>
      <c r="C2453" s="213" t="s">
        <v>6186</v>
      </c>
      <c r="D2453" s="213" t="s">
        <v>4369</v>
      </c>
      <c r="E2453" s="213" t="s">
        <v>4383</v>
      </c>
      <c r="F2453" s="212" t="s">
        <v>6525</v>
      </c>
      <c r="G2453" s="212" t="str">
        <f t="shared" si="115"/>
        <v>830소모품비(판)</v>
      </c>
      <c r="H2453" s="214">
        <v>29543</v>
      </c>
      <c r="I2453" s="214">
        <v>0</v>
      </c>
      <c r="J2453" s="214">
        <f t="shared" si="116"/>
        <v>-29543</v>
      </c>
      <c r="K2453" s="212" t="s">
        <v>6202</v>
      </c>
      <c r="L2453" s="213" t="s">
        <v>6411</v>
      </c>
      <c r="M2453" s="212"/>
    </row>
    <row r="2454" spans="1:13" ht="21" customHeight="1">
      <c r="A2454" s="213" t="s">
        <v>6588</v>
      </c>
      <c r="B2454" s="215">
        <f t="shared" si="114"/>
        <v>45812</v>
      </c>
      <c r="C2454" s="213" t="s">
        <v>6186</v>
      </c>
      <c r="D2454" s="213" t="s">
        <v>4369</v>
      </c>
      <c r="E2454" s="213" t="s">
        <v>4371</v>
      </c>
      <c r="F2454" s="212" t="s">
        <v>4370</v>
      </c>
      <c r="G2454" s="212" t="str">
        <f t="shared" si="115"/>
        <v>135부가세대급금</v>
      </c>
      <c r="H2454" s="214">
        <v>2957</v>
      </c>
      <c r="I2454" s="214">
        <v>0</v>
      </c>
      <c r="J2454" s="214">
        <f t="shared" si="116"/>
        <v>-2957</v>
      </c>
      <c r="K2454" s="212" t="s">
        <v>6202</v>
      </c>
      <c r="L2454" s="213" t="s">
        <v>6411</v>
      </c>
      <c r="M2454" s="212"/>
    </row>
    <row r="2455" spans="1:13" ht="21" customHeight="1">
      <c r="A2455" s="213" t="s">
        <v>6584</v>
      </c>
      <c r="B2455" s="215">
        <f t="shared" si="114"/>
        <v>45813</v>
      </c>
      <c r="C2455" s="213" t="s">
        <v>4373</v>
      </c>
      <c r="D2455" s="213" t="s">
        <v>4366</v>
      </c>
      <c r="E2455" s="213" t="s">
        <v>333</v>
      </c>
      <c r="F2455" s="212" t="s">
        <v>4365</v>
      </c>
      <c r="G2455" s="212" t="str">
        <f t="shared" si="115"/>
        <v>101현금</v>
      </c>
      <c r="H2455" s="214">
        <v>0</v>
      </c>
      <c r="I2455" s="214">
        <v>1500</v>
      </c>
      <c r="J2455" s="214">
        <f t="shared" si="116"/>
        <v>1500</v>
      </c>
      <c r="K2455" s="212" t="s">
        <v>6369</v>
      </c>
      <c r="L2455" s="213"/>
      <c r="M2455" s="212"/>
    </row>
    <row r="2456" spans="1:13" ht="21" customHeight="1">
      <c r="A2456" s="213" t="s">
        <v>6584</v>
      </c>
      <c r="B2456" s="215">
        <f t="shared" si="114"/>
        <v>45813</v>
      </c>
      <c r="C2456" s="213" t="s">
        <v>4373</v>
      </c>
      <c r="D2456" s="213" t="s">
        <v>4369</v>
      </c>
      <c r="E2456" s="213" t="s">
        <v>4499</v>
      </c>
      <c r="F2456" s="212" t="s">
        <v>6517</v>
      </c>
      <c r="G2456" s="212" t="str">
        <f t="shared" si="115"/>
        <v>811복리후생비(판)</v>
      </c>
      <c r="H2456" s="214">
        <v>1500</v>
      </c>
      <c r="I2456" s="214">
        <v>0</v>
      </c>
      <c r="J2456" s="214">
        <f t="shared" si="116"/>
        <v>-1500</v>
      </c>
      <c r="K2456" s="212" t="s">
        <v>6587</v>
      </c>
      <c r="L2456" s="213"/>
      <c r="M2456" s="212"/>
    </row>
    <row r="2457" spans="1:13" ht="21" customHeight="1">
      <c r="A2457" s="213" t="s">
        <v>6584</v>
      </c>
      <c r="B2457" s="215">
        <f t="shared" si="114"/>
        <v>45813</v>
      </c>
      <c r="C2457" s="213" t="s">
        <v>4382</v>
      </c>
      <c r="D2457" s="213" t="s">
        <v>4369</v>
      </c>
      <c r="E2457" s="213" t="s">
        <v>4380</v>
      </c>
      <c r="F2457" s="212" t="s">
        <v>6515</v>
      </c>
      <c r="G2457" s="212" t="str">
        <f t="shared" si="115"/>
        <v>812여비교통비(판)</v>
      </c>
      <c r="H2457" s="214">
        <v>3600</v>
      </c>
      <c r="I2457" s="214">
        <v>0</v>
      </c>
      <c r="J2457" s="214">
        <f t="shared" si="116"/>
        <v>-3600</v>
      </c>
      <c r="K2457" s="212" t="s">
        <v>6305</v>
      </c>
      <c r="L2457" s="213"/>
      <c r="M2457" s="212"/>
    </row>
    <row r="2458" spans="1:13" ht="21" customHeight="1">
      <c r="A2458" s="213" t="s">
        <v>6584</v>
      </c>
      <c r="B2458" s="215">
        <f t="shared" si="114"/>
        <v>45813</v>
      </c>
      <c r="C2458" s="213" t="s">
        <v>4382</v>
      </c>
      <c r="D2458" s="213" t="s">
        <v>4366</v>
      </c>
      <c r="E2458" s="213" t="s">
        <v>333</v>
      </c>
      <c r="F2458" s="212" t="s">
        <v>4365</v>
      </c>
      <c r="G2458" s="212" t="str">
        <f t="shared" si="115"/>
        <v>101현금</v>
      </c>
      <c r="H2458" s="214">
        <v>0</v>
      </c>
      <c r="I2458" s="214">
        <v>3600</v>
      </c>
      <c r="J2458" s="214">
        <f t="shared" si="116"/>
        <v>3600</v>
      </c>
      <c r="K2458" s="212" t="s">
        <v>6369</v>
      </c>
      <c r="L2458" s="213"/>
      <c r="M2458" s="212"/>
    </row>
    <row r="2459" spans="1:13" ht="21" customHeight="1">
      <c r="A2459" s="213" t="s">
        <v>6584</v>
      </c>
      <c r="B2459" s="215">
        <f t="shared" si="114"/>
        <v>45813</v>
      </c>
      <c r="C2459" s="213" t="s">
        <v>4381</v>
      </c>
      <c r="D2459" s="213" t="s">
        <v>4369</v>
      </c>
      <c r="E2459" s="213" t="s">
        <v>4380</v>
      </c>
      <c r="F2459" s="212" t="s">
        <v>6515</v>
      </c>
      <c r="G2459" s="212" t="str">
        <f t="shared" si="115"/>
        <v>812여비교통비(판)</v>
      </c>
      <c r="H2459" s="214">
        <v>27900</v>
      </c>
      <c r="I2459" s="214">
        <v>0</v>
      </c>
      <c r="J2459" s="214">
        <f t="shared" si="116"/>
        <v>-27900</v>
      </c>
      <c r="K2459" s="212" t="s">
        <v>6586</v>
      </c>
      <c r="L2459" s="213"/>
      <c r="M2459" s="212"/>
    </row>
    <row r="2460" spans="1:13" ht="21" customHeight="1">
      <c r="A2460" s="213" t="s">
        <v>6584</v>
      </c>
      <c r="B2460" s="215">
        <f t="shared" si="114"/>
        <v>45813</v>
      </c>
      <c r="C2460" s="213" t="s">
        <v>4381</v>
      </c>
      <c r="D2460" s="213" t="s">
        <v>4366</v>
      </c>
      <c r="E2460" s="213" t="s">
        <v>333</v>
      </c>
      <c r="F2460" s="212" t="s">
        <v>4365</v>
      </c>
      <c r="G2460" s="212" t="str">
        <f t="shared" si="115"/>
        <v>101현금</v>
      </c>
      <c r="H2460" s="214">
        <v>0</v>
      </c>
      <c r="I2460" s="214">
        <v>27900</v>
      </c>
      <c r="J2460" s="214">
        <f t="shared" si="116"/>
        <v>27900</v>
      </c>
      <c r="K2460" s="212" t="s">
        <v>6369</v>
      </c>
      <c r="L2460" s="213"/>
      <c r="M2460" s="212"/>
    </row>
    <row r="2461" spans="1:13" ht="21" customHeight="1">
      <c r="A2461" s="213" t="s">
        <v>6584</v>
      </c>
      <c r="B2461" s="215">
        <f t="shared" si="114"/>
        <v>45813</v>
      </c>
      <c r="C2461" s="213" t="s">
        <v>4379</v>
      </c>
      <c r="D2461" s="213" t="s">
        <v>4369</v>
      </c>
      <c r="E2461" s="213" t="s">
        <v>4380</v>
      </c>
      <c r="F2461" s="212" t="s">
        <v>6515</v>
      </c>
      <c r="G2461" s="212" t="str">
        <f t="shared" si="115"/>
        <v>812여비교통비(판)</v>
      </c>
      <c r="H2461" s="214">
        <v>1000</v>
      </c>
      <c r="I2461" s="214">
        <v>0</v>
      </c>
      <c r="J2461" s="214">
        <f t="shared" si="116"/>
        <v>-1000</v>
      </c>
      <c r="K2461" s="212" t="s">
        <v>6585</v>
      </c>
      <c r="L2461" s="213"/>
      <c r="M2461" s="212"/>
    </row>
    <row r="2462" spans="1:13" ht="21" customHeight="1">
      <c r="A2462" s="213" t="s">
        <v>6584</v>
      </c>
      <c r="B2462" s="215">
        <f t="shared" si="114"/>
        <v>45813</v>
      </c>
      <c r="C2462" s="213" t="s">
        <v>4379</v>
      </c>
      <c r="D2462" s="213" t="s">
        <v>4366</v>
      </c>
      <c r="E2462" s="213" t="s">
        <v>333</v>
      </c>
      <c r="F2462" s="212" t="s">
        <v>4365</v>
      </c>
      <c r="G2462" s="212" t="str">
        <f t="shared" si="115"/>
        <v>101현금</v>
      </c>
      <c r="H2462" s="214">
        <v>0</v>
      </c>
      <c r="I2462" s="214">
        <v>1000</v>
      </c>
      <c r="J2462" s="214">
        <f t="shared" si="116"/>
        <v>1000</v>
      </c>
      <c r="K2462" s="212" t="s">
        <v>6369</v>
      </c>
      <c r="L2462" s="213"/>
      <c r="M2462" s="212"/>
    </row>
    <row r="2463" spans="1:13" ht="21" customHeight="1">
      <c r="A2463" s="213" t="s">
        <v>6584</v>
      </c>
      <c r="B2463" s="215">
        <f t="shared" si="114"/>
        <v>45813</v>
      </c>
      <c r="C2463" s="213" t="s">
        <v>4385</v>
      </c>
      <c r="D2463" s="213" t="s">
        <v>4369</v>
      </c>
      <c r="E2463" s="213" t="s">
        <v>4500</v>
      </c>
      <c r="F2463" s="212" t="s">
        <v>6418</v>
      </c>
      <c r="G2463" s="212" t="str">
        <f t="shared" si="115"/>
        <v>822차량유지비(판)</v>
      </c>
      <c r="H2463" s="214">
        <v>150000</v>
      </c>
      <c r="I2463" s="214">
        <v>0</v>
      </c>
      <c r="J2463" s="214">
        <f t="shared" si="116"/>
        <v>-150000</v>
      </c>
      <c r="K2463" s="212" t="s">
        <v>6196</v>
      </c>
      <c r="L2463" s="213"/>
      <c r="M2463" s="212"/>
    </row>
    <row r="2464" spans="1:13" ht="21" customHeight="1">
      <c r="A2464" s="213" t="s">
        <v>6584</v>
      </c>
      <c r="B2464" s="215">
        <f t="shared" si="114"/>
        <v>45813</v>
      </c>
      <c r="C2464" s="213" t="s">
        <v>4385</v>
      </c>
      <c r="D2464" s="213" t="s">
        <v>4366</v>
      </c>
      <c r="E2464" s="213" t="s">
        <v>333</v>
      </c>
      <c r="F2464" s="212" t="s">
        <v>4365</v>
      </c>
      <c r="G2464" s="212" t="str">
        <f t="shared" si="115"/>
        <v>101현금</v>
      </c>
      <c r="H2464" s="214">
        <v>0</v>
      </c>
      <c r="I2464" s="214">
        <v>150000</v>
      </c>
      <c r="J2464" s="214">
        <f t="shared" si="116"/>
        <v>150000</v>
      </c>
      <c r="K2464" s="212" t="s">
        <v>6200</v>
      </c>
      <c r="L2464" s="213"/>
      <c r="M2464" s="212"/>
    </row>
    <row r="2465" spans="1:13" ht="21" customHeight="1">
      <c r="A2465" s="216" t="s">
        <v>6582</v>
      </c>
      <c r="B2465" s="215">
        <f t="shared" si="114"/>
        <v>45814</v>
      </c>
      <c r="C2465" s="213" t="s">
        <v>4373</v>
      </c>
      <c r="D2465" s="213" t="s">
        <v>4369</v>
      </c>
      <c r="E2465" s="213" t="s">
        <v>4380</v>
      </c>
      <c r="F2465" s="212" t="s">
        <v>6515</v>
      </c>
      <c r="G2465" s="212" t="str">
        <f t="shared" si="115"/>
        <v>812여비교통비(판)</v>
      </c>
      <c r="H2465" s="214">
        <v>38400</v>
      </c>
      <c r="I2465" s="214">
        <v>0</v>
      </c>
      <c r="J2465" s="214">
        <f t="shared" si="116"/>
        <v>-38400</v>
      </c>
      <c r="K2465" s="212" t="s">
        <v>6583</v>
      </c>
      <c r="L2465" s="213"/>
      <c r="M2465" s="212"/>
    </row>
    <row r="2466" spans="1:13" ht="21" customHeight="1">
      <c r="A2466" s="216" t="s">
        <v>6582</v>
      </c>
      <c r="B2466" s="215">
        <f t="shared" si="114"/>
        <v>45814</v>
      </c>
      <c r="C2466" s="213" t="s">
        <v>4373</v>
      </c>
      <c r="D2466" s="213" t="s">
        <v>4366</v>
      </c>
      <c r="E2466" s="213" t="s">
        <v>333</v>
      </c>
      <c r="F2466" s="212" t="s">
        <v>4365</v>
      </c>
      <c r="G2466" s="212" t="str">
        <f t="shared" si="115"/>
        <v>101현금</v>
      </c>
      <c r="H2466" s="214">
        <v>0</v>
      </c>
      <c r="I2466" s="214">
        <v>38400</v>
      </c>
      <c r="J2466" s="214">
        <f t="shared" si="116"/>
        <v>38400</v>
      </c>
      <c r="K2466" s="212" t="s">
        <v>6369</v>
      </c>
      <c r="L2466" s="213"/>
      <c r="M2466" s="212"/>
    </row>
    <row r="2467" spans="1:13" ht="21" customHeight="1">
      <c r="A2467" s="216" t="s">
        <v>6582</v>
      </c>
      <c r="B2467" s="215">
        <f t="shared" si="114"/>
        <v>45814</v>
      </c>
      <c r="C2467" s="213" t="s">
        <v>4382</v>
      </c>
      <c r="D2467" s="213" t="s">
        <v>4366</v>
      </c>
      <c r="E2467" s="213" t="s">
        <v>333</v>
      </c>
      <c r="F2467" s="212" t="s">
        <v>4365</v>
      </c>
      <c r="G2467" s="212" t="str">
        <f t="shared" si="115"/>
        <v>101현금</v>
      </c>
      <c r="H2467" s="214">
        <v>0</v>
      </c>
      <c r="I2467" s="214">
        <v>16000</v>
      </c>
      <c r="J2467" s="214">
        <f t="shared" si="116"/>
        <v>16000</v>
      </c>
      <c r="K2467" s="212" t="s">
        <v>6369</v>
      </c>
      <c r="L2467" s="213"/>
      <c r="M2467" s="212"/>
    </row>
    <row r="2468" spans="1:13" ht="21" customHeight="1">
      <c r="A2468" s="216" t="s">
        <v>6582</v>
      </c>
      <c r="B2468" s="215">
        <f t="shared" si="114"/>
        <v>45814</v>
      </c>
      <c r="C2468" s="213" t="s">
        <v>4382</v>
      </c>
      <c r="D2468" s="213" t="s">
        <v>4369</v>
      </c>
      <c r="E2468" s="213" t="s">
        <v>4380</v>
      </c>
      <c r="F2468" s="212" t="s">
        <v>6515</v>
      </c>
      <c r="G2468" s="212" t="str">
        <f t="shared" si="115"/>
        <v>812여비교통비(판)</v>
      </c>
      <c r="H2468" s="214">
        <v>16000</v>
      </c>
      <c r="I2468" s="214">
        <v>0</v>
      </c>
      <c r="J2468" s="214">
        <f t="shared" si="116"/>
        <v>-16000</v>
      </c>
      <c r="K2468" s="212" t="s">
        <v>6581</v>
      </c>
      <c r="L2468" s="213"/>
      <c r="M2468" s="212"/>
    </row>
    <row r="2469" spans="1:13" ht="21" customHeight="1">
      <c r="A2469" s="217" t="s">
        <v>6580</v>
      </c>
      <c r="B2469" s="215">
        <f t="shared" si="114"/>
        <v>45815</v>
      </c>
      <c r="C2469" s="213" t="s">
        <v>4367</v>
      </c>
      <c r="D2469" s="213" t="s">
        <v>4369</v>
      </c>
      <c r="E2469" s="213" t="s">
        <v>4371</v>
      </c>
      <c r="F2469" s="212" t="s">
        <v>4370</v>
      </c>
      <c r="G2469" s="212" t="str">
        <f t="shared" si="115"/>
        <v>135부가세대급금</v>
      </c>
      <c r="H2469" s="214">
        <v>1920</v>
      </c>
      <c r="I2469" s="214">
        <v>0</v>
      </c>
      <c r="J2469" s="214">
        <f t="shared" si="116"/>
        <v>-1920</v>
      </c>
      <c r="K2469" s="212" t="s">
        <v>4524</v>
      </c>
      <c r="L2469" s="213"/>
      <c r="M2469" s="212" t="s">
        <v>6199</v>
      </c>
    </row>
    <row r="2470" spans="1:13" ht="21" customHeight="1">
      <c r="A2470" s="217" t="s">
        <v>6580</v>
      </c>
      <c r="B2470" s="215">
        <f t="shared" si="114"/>
        <v>45815</v>
      </c>
      <c r="C2470" s="213" t="s">
        <v>4367</v>
      </c>
      <c r="D2470" s="213" t="s">
        <v>4369</v>
      </c>
      <c r="E2470" s="213" t="s">
        <v>4386</v>
      </c>
      <c r="F2470" s="212" t="s">
        <v>6420</v>
      </c>
      <c r="G2470" s="212" t="str">
        <f t="shared" si="115"/>
        <v>814통신비(판)</v>
      </c>
      <c r="H2470" s="214">
        <v>19200</v>
      </c>
      <c r="I2470" s="214">
        <v>0</v>
      </c>
      <c r="J2470" s="214">
        <f t="shared" si="116"/>
        <v>-19200</v>
      </c>
      <c r="K2470" s="212" t="s">
        <v>4524</v>
      </c>
      <c r="L2470" s="213"/>
      <c r="M2470" s="212" t="s">
        <v>6199</v>
      </c>
    </row>
    <row r="2471" spans="1:13" ht="21" customHeight="1">
      <c r="A2471" s="217" t="s">
        <v>6580</v>
      </c>
      <c r="B2471" s="215">
        <f t="shared" si="114"/>
        <v>45815</v>
      </c>
      <c r="C2471" s="213" t="s">
        <v>4367</v>
      </c>
      <c r="D2471" s="213" t="s">
        <v>4366</v>
      </c>
      <c r="E2471" s="213" t="s">
        <v>333</v>
      </c>
      <c r="F2471" s="212" t="s">
        <v>4365</v>
      </c>
      <c r="G2471" s="212" t="str">
        <f t="shared" si="115"/>
        <v>101현금</v>
      </c>
      <c r="H2471" s="214">
        <v>0</v>
      </c>
      <c r="I2471" s="214">
        <v>21120</v>
      </c>
      <c r="J2471" s="214">
        <f t="shared" si="116"/>
        <v>21120</v>
      </c>
      <c r="K2471" s="212" t="s">
        <v>4524</v>
      </c>
      <c r="L2471" s="213"/>
      <c r="M2471" s="212" t="s">
        <v>6199</v>
      </c>
    </row>
    <row r="2472" spans="1:13" ht="21" customHeight="1">
      <c r="A2472" s="217" t="s">
        <v>6580</v>
      </c>
      <c r="B2472" s="215">
        <f t="shared" si="114"/>
        <v>45815</v>
      </c>
      <c r="C2472" s="213" t="s">
        <v>4374</v>
      </c>
      <c r="D2472" s="213" t="s">
        <v>4369</v>
      </c>
      <c r="E2472" s="213" t="s">
        <v>4500</v>
      </c>
      <c r="F2472" s="212" t="s">
        <v>6418</v>
      </c>
      <c r="G2472" s="212" t="str">
        <f t="shared" si="115"/>
        <v>822차량유지비(판)</v>
      </c>
      <c r="H2472" s="214">
        <v>5500</v>
      </c>
      <c r="I2472" s="214">
        <v>0</v>
      </c>
      <c r="J2472" s="214">
        <f t="shared" si="116"/>
        <v>-5500</v>
      </c>
      <c r="K2472" s="212" t="s">
        <v>6284</v>
      </c>
      <c r="L2472" s="213"/>
      <c r="M2472" s="212" t="s">
        <v>6285</v>
      </c>
    </row>
    <row r="2473" spans="1:13" ht="21" customHeight="1">
      <c r="A2473" s="217" t="s">
        <v>6580</v>
      </c>
      <c r="B2473" s="215">
        <f t="shared" si="114"/>
        <v>45815</v>
      </c>
      <c r="C2473" s="213" t="s">
        <v>4374</v>
      </c>
      <c r="D2473" s="213" t="s">
        <v>4366</v>
      </c>
      <c r="E2473" s="213" t="s">
        <v>333</v>
      </c>
      <c r="F2473" s="212" t="s">
        <v>4365</v>
      </c>
      <c r="G2473" s="212" t="str">
        <f t="shared" si="115"/>
        <v>101현금</v>
      </c>
      <c r="H2473" s="214">
        <v>0</v>
      </c>
      <c r="I2473" s="214">
        <v>5500</v>
      </c>
      <c r="J2473" s="214">
        <f t="shared" si="116"/>
        <v>5500</v>
      </c>
      <c r="K2473" s="212" t="s">
        <v>6284</v>
      </c>
      <c r="L2473" s="213"/>
      <c r="M2473" s="212" t="s">
        <v>6285</v>
      </c>
    </row>
    <row r="2474" spans="1:13" ht="21" customHeight="1">
      <c r="A2474" s="213" t="s">
        <v>6579</v>
      </c>
      <c r="B2474" s="215">
        <f t="shared" si="114"/>
        <v>45817</v>
      </c>
      <c r="C2474" s="213" t="s">
        <v>4373</v>
      </c>
      <c r="D2474" s="213" t="s">
        <v>4369</v>
      </c>
      <c r="E2474" s="213" t="s">
        <v>4383</v>
      </c>
      <c r="F2474" s="212" t="s">
        <v>6525</v>
      </c>
      <c r="G2474" s="212" t="str">
        <f t="shared" si="115"/>
        <v>830소모품비(판)</v>
      </c>
      <c r="H2474" s="214">
        <v>4233</v>
      </c>
      <c r="I2474" s="214">
        <v>0</v>
      </c>
      <c r="J2474" s="214">
        <f t="shared" si="116"/>
        <v>-4233</v>
      </c>
      <c r="K2474" s="212" t="s">
        <v>6576</v>
      </c>
      <c r="L2474" s="213"/>
      <c r="M2474" s="212"/>
    </row>
    <row r="2475" spans="1:13" ht="21" customHeight="1">
      <c r="A2475" s="213" t="s">
        <v>6579</v>
      </c>
      <c r="B2475" s="215">
        <f t="shared" si="114"/>
        <v>45817</v>
      </c>
      <c r="C2475" s="213" t="s">
        <v>4373</v>
      </c>
      <c r="D2475" s="213" t="s">
        <v>4366</v>
      </c>
      <c r="E2475" s="213" t="s">
        <v>333</v>
      </c>
      <c r="F2475" s="212" t="s">
        <v>4365</v>
      </c>
      <c r="G2475" s="212" t="str">
        <f t="shared" si="115"/>
        <v>101현금</v>
      </c>
      <c r="H2475" s="214">
        <v>0</v>
      </c>
      <c r="I2475" s="214">
        <v>4233</v>
      </c>
      <c r="J2475" s="214">
        <f t="shared" si="116"/>
        <v>4233</v>
      </c>
      <c r="K2475" s="212" t="s">
        <v>6371</v>
      </c>
      <c r="L2475" s="213"/>
      <c r="M2475" s="212"/>
    </row>
    <row r="2476" spans="1:13" ht="21" customHeight="1">
      <c r="A2476" s="213" t="s">
        <v>6573</v>
      </c>
      <c r="B2476" s="215">
        <f t="shared" si="114"/>
        <v>45818</v>
      </c>
      <c r="C2476" s="213" t="s">
        <v>4373</v>
      </c>
      <c r="D2476" s="213" t="s">
        <v>4369</v>
      </c>
      <c r="E2476" s="213" t="s">
        <v>4505</v>
      </c>
      <c r="F2476" s="212" t="s">
        <v>4506</v>
      </c>
      <c r="G2476" s="212" t="str">
        <f t="shared" si="115"/>
        <v>254예수금</v>
      </c>
      <c r="H2476" s="214">
        <v>149400</v>
      </c>
      <c r="I2476" s="214">
        <v>0</v>
      </c>
      <c r="J2476" s="214">
        <f t="shared" si="116"/>
        <v>-149400</v>
      </c>
      <c r="K2476" s="212" t="s">
        <v>4523</v>
      </c>
      <c r="L2476" s="213" t="s">
        <v>6411</v>
      </c>
      <c r="M2476" s="212" t="s">
        <v>6578</v>
      </c>
    </row>
    <row r="2477" spans="1:13" ht="21" customHeight="1">
      <c r="A2477" s="213" t="s">
        <v>6573</v>
      </c>
      <c r="B2477" s="215">
        <f t="shared" si="114"/>
        <v>45818</v>
      </c>
      <c r="C2477" s="213" t="s">
        <v>4373</v>
      </c>
      <c r="D2477" s="213" t="s">
        <v>4366</v>
      </c>
      <c r="E2477" s="213" t="s">
        <v>333</v>
      </c>
      <c r="F2477" s="212" t="s">
        <v>4365</v>
      </c>
      <c r="G2477" s="212" t="str">
        <f t="shared" si="115"/>
        <v>101현금</v>
      </c>
      <c r="H2477" s="214">
        <v>0</v>
      </c>
      <c r="I2477" s="214">
        <v>298800</v>
      </c>
      <c r="J2477" s="214">
        <f t="shared" si="116"/>
        <v>298800</v>
      </c>
      <c r="K2477" s="212" t="s">
        <v>4523</v>
      </c>
      <c r="L2477" s="213" t="s">
        <v>6411</v>
      </c>
      <c r="M2477" s="212" t="s">
        <v>6578</v>
      </c>
    </row>
    <row r="2478" spans="1:13" ht="21" customHeight="1">
      <c r="A2478" s="213" t="s">
        <v>6573</v>
      </c>
      <c r="B2478" s="215">
        <f t="shared" si="114"/>
        <v>45818</v>
      </c>
      <c r="C2478" s="213" t="s">
        <v>4373</v>
      </c>
      <c r="D2478" s="213" t="s">
        <v>4369</v>
      </c>
      <c r="E2478" s="213" t="s">
        <v>4507</v>
      </c>
      <c r="F2478" s="212" t="s">
        <v>6468</v>
      </c>
      <c r="G2478" s="212" t="str">
        <f t="shared" si="115"/>
        <v>817세금과공과금(판)</v>
      </c>
      <c r="H2478" s="214">
        <v>149400</v>
      </c>
      <c r="I2478" s="214">
        <v>0</v>
      </c>
      <c r="J2478" s="214">
        <f t="shared" si="116"/>
        <v>-149400</v>
      </c>
      <c r="K2478" s="212" t="s">
        <v>4523</v>
      </c>
      <c r="L2478" s="213" t="s">
        <v>6411</v>
      </c>
      <c r="M2478" s="212" t="s">
        <v>6578</v>
      </c>
    </row>
    <row r="2479" spans="1:13" ht="21" customHeight="1">
      <c r="A2479" s="213" t="s">
        <v>6573</v>
      </c>
      <c r="B2479" s="215">
        <f t="shared" si="114"/>
        <v>45818</v>
      </c>
      <c r="C2479" s="213" t="s">
        <v>4382</v>
      </c>
      <c r="D2479" s="213" t="s">
        <v>4369</v>
      </c>
      <c r="E2479" s="213" t="s">
        <v>4505</v>
      </c>
      <c r="F2479" s="212" t="s">
        <v>4506</v>
      </c>
      <c r="G2479" s="212" t="str">
        <f t="shared" si="115"/>
        <v>254예수금</v>
      </c>
      <c r="H2479" s="214">
        <v>6300</v>
      </c>
      <c r="I2479" s="214">
        <v>0</v>
      </c>
      <c r="J2479" s="214">
        <f t="shared" si="116"/>
        <v>-6300</v>
      </c>
      <c r="K2479" s="212" t="s">
        <v>4508</v>
      </c>
      <c r="L2479" s="213" t="s">
        <v>6411</v>
      </c>
      <c r="M2479" s="212" t="s">
        <v>6577</v>
      </c>
    </row>
    <row r="2480" spans="1:13" ht="21" customHeight="1">
      <c r="A2480" s="213" t="s">
        <v>6573</v>
      </c>
      <c r="B2480" s="215">
        <f t="shared" si="114"/>
        <v>45818</v>
      </c>
      <c r="C2480" s="213" t="s">
        <v>4382</v>
      </c>
      <c r="D2480" s="213" t="s">
        <v>4366</v>
      </c>
      <c r="E2480" s="213" t="s">
        <v>333</v>
      </c>
      <c r="F2480" s="212" t="s">
        <v>4365</v>
      </c>
      <c r="G2480" s="212" t="str">
        <f t="shared" si="115"/>
        <v>101현금</v>
      </c>
      <c r="H2480" s="214">
        <v>0</v>
      </c>
      <c r="I2480" s="214">
        <v>14350</v>
      </c>
      <c r="J2480" s="214">
        <f t="shared" si="116"/>
        <v>14350</v>
      </c>
      <c r="K2480" s="212" t="s">
        <v>4508</v>
      </c>
      <c r="L2480" s="213" t="s">
        <v>6411</v>
      </c>
      <c r="M2480" s="212" t="s">
        <v>6577</v>
      </c>
    </row>
    <row r="2481" spans="1:13" ht="21" customHeight="1">
      <c r="A2481" s="213" t="s">
        <v>6573</v>
      </c>
      <c r="B2481" s="215">
        <f t="shared" si="114"/>
        <v>45818</v>
      </c>
      <c r="C2481" s="213" t="s">
        <v>4382</v>
      </c>
      <c r="D2481" s="213" t="s">
        <v>4369</v>
      </c>
      <c r="E2481" s="213" t="s">
        <v>4509</v>
      </c>
      <c r="F2481" s="212" t="s">
        <v>6491</v>
      </c>
      <c r="G2481" s="212" t="str">
        <f t="shared" si="115"/>
        <v>821보험료(판)</v>
      </c>
      <c r="H2481" s="214">
        <v>8050</v>
      </c>
      <c r="I2481" s="214">
        <v>0</v>
      </c>
      <c r="J2481" s="214">
        <f t="shared" si="116"/>
        <v>-8050</v>
      </c>
      <c r="K2481" s="212" t="s">
        <v>4508</v>
      </c>
      <c r="L2481" s="213" t="s">
        <v>6411</v>
      </c>
      <c r="M2481" s="212" t="s">
        <v>6577</v>
      </c>
    </row>
    <row r="2482" spans="1:13" ht="21" customHeight="1">
      <c r="A2482" s="213" t="s">
        <v>6573</v>
      </c>
      <c r="B2482" s="215">
        <f t="shared" si="114"/>
        <v>45818</v>
      </c>
      <c r="C2482" s="213" t="s">
        <v>4381</v>
      </c>
      <c r="D2482" s="213" t="s">
        <v>4369</v>
      </c>
      <c r="E2482" s="213" t="s">
        <v>4383</v>
      </c>
      <c r="F2482" s="212" t="s">
        <v>6525</v>
      </c>
      <c r="G2482" s="212" t="str">
        <f t="shared" si="115"/>
        <v>830소모품비(판)</v>
      </c>
      <c r="H2482" s="214">
        <v>9900</v>
      </c>
      <c r="I2482" s="214">
        <v>0</v>
      </c>
      <c r="J2482" s="214">
        <f t="shared" si="116"/>
        <v>-9900</v>
      </c>
      <c r="K2482" s="212" t="s">
        <v>6576</v>
      </c>
      <c r="L2482" s="213"/>
      <c r="M2482" s="212"/>
    </row>
    <row r="2483" spans="1:13" ht="21" customHeight="1">
      <c r="A2483" s="213" t="s">
        <v>6573</v>
      </c>
      <c r="B2483" s="215">
        <f t="shared" si="114"/>
        <v>45818</v>
      </c>
      <c r="C2483" s="213" t="s">
        <v>4381</v>
      </c>
      <c r="D2483" s="213" t="s">
        <v>4366</v>
      </c>
      <c r="E2483" s="213" t="s">
        <v>333</v>
      </c>
      <c r="F2483" s="212" t="s">
        <v>4365</v>
      </c>
      <c r="G2483" s="212" t="str">
        <f t="shared" si="115"/>
        <v>101현금</v>
      </c>
      <c r="H2483" s="214">
        <v>0</v>
      </c>
      <c r="I2483" s="214">
        <v>9900</v>
      </c>
      <c r="J2483" s="214">
        <f t="shared" si="116"/>
        <v>9900</v>
      </c>
      <c r="K2483" s="212" t="s">
        <v>6371</v>
      </c>
      <c r="L2483" s="213"/>
      <c r="M2483" s="212"/>
    </row>
    <row r="2484" spans="1:13" ht="21" customHeight="1">
      <c r="A2484" s="213" t="s">
        <v>6573</v>
      </c>
      <c r="B2484" s="215">
        <f t="shared" si="114"/>
        <v>45818</v>
      </c>
      <c r="C2484" s="213" t="s">
        <v>4379</v>
      </c>
      <c r="D2484" s="213" t="s">
        <v>4369</v>
      </c>
      <c r="E2484" s="213" t="s">
        <v>4380</v>
      </c>
      <c r="F2484" s="212" t="s">
        <v>6515</v>
      </c>
      <c r="G2484" s="212" t="str">
        <f t="shared" si="115"/>
        <v>812여비교통비(판)</v>
      </c>
      <c r="H2484" s="214">
        <v>7400</v>
      </c>
      <c r="I2484" s="214">
        <v>0</v>
      </c>
      <c r="J2484" s="214">
        <f t="shared" si="116"/>
        <v>-7400</v>
      </c>
      <c r="K2484" s="212" t="s">
        <v>6575</v>
      </c>
      <c r="L2484" s="213"/>
      <c r="M2484" s="212"/>
    </row>
    <row r="2485" spans="1:13" ht="21" customHeight="1">
      <c r="A2485" s="213" t="s">
        <v>6573</v>
      </c>
      <c r="B2485" s="215">
        <f t="shared" si="114"/>
        <v>45818</v>
      </c>
      <c r="C2485" s="213" t="s">
        <v>4379</v>
      </c>
      <c r="D2485" s="213" t="s">
        <v>4366</v>
      </c>
      <c r="E2485" s="213" t="s">
        <v>333</v>
      </c>
      <c r="F2485" s="212" t="s">
        <v>4365</v>
      </c>
      <c r="G2485" s="212" t="str">
        <f t="shared" si="115"/>
        <v>101현금</v>
      </c>
      <c r="H2485" s="214">
        <v>0</v>
      </c>
      <c r="I2485" s="214">
        <v>7400</v>
      </c>
      <c r="J2485" s="214">
        <f t="shared" si="116"/>
        <v>7400</v>
      </c>
      <c r="K2485" s="212" t="s">
        <v>6369</v>
      </c>
      <c r="L2485" s="213"/>
      <c r="M2485" s="212"/>
    </row>
    <row r="2486" spans="1:13" ht="21" customHeight="1">
      <c r="A2486" s="213" t="s">
        <v>6573</v>
      </c>
      <c r="B2486" s="215">
        <f t="shared" si="114"/>
        <v>45818</v>
      </c>
      <c r="C2486" s="213" t="s">
        <v>4385</v>
      </c>
      <c r="D2486" s="213" t="s">
        <v>4369</v>
      </c>
      <c r="E2486" s="213" t="s">
        <v>4386</v>
      </c>
      <c r="F2486" s="212" t="s">
        <v>6420</v>
      </c>
      <c r="G2486" s="212" t="str">
        <f t="shared" si="115"/>
        <v>814통신비(판)</v>
      </c>
      <c r="H2486" s="214">
        <v>5500</v>
      </c>
      <c r="I2486" s="214">
        <v>0</v>
      </c>
      <c r="J2486" s="214">
        <f t="shared" si="116"/>
        <v>-5500</v>
      </c>
      <c r="K2486" s="212" t="s">
        <v>4524</v>
      </c>
      <c r="L2486" s="213"/>
      <c r="M2486" s="212"/>
    </row>
    <row r="2487" spans="1:13" ht="21" customHeight="1">
      <c r="A2487" s="213" t="s">
        <v>6573</v>
      </c>
      <c r="B2487" s="215">
        <f t="shared" si="114"/>
        <v>45818</v>
      </c>
      <c r="C2487" s="213" t="s">
        <v>4385</v>
      </c>
      <c r="D2487" s="213" t="s">
        <v>4366</v>
      </c>
      <c r="E2487" s="213" t="s">
        <v>333</v>
      </c>
      <c r="F2487" s="212" t="s">
        <v>4365</v>
      </c>
      <c r="G2487" s="212" t="str">
        <f t="shared" si="115"/>
        <v>101현금</v>
      </c>
      <c r="H2487" s="214">
        <v>0</v>
      </c>
      <c r="I2487" s="214">
        <v>5500</v>
      </c>
      <c r="J2487" s="214">
        <f t="shared" si="116"/>
        <v>5500</v>
      </c>
      <c r="K2487" s="212" t="s">
        <v>6369</v>
      </c>
      <c r="L2487" s="213"/>
      <c r="M2487" s="212"/>
    </row>
    <row r="2488" spans="1:13" ht="21" customHeight="1">
      <c r="A2488" s="213" t="s">
        <v>6573</v>
      </c>
      <c r="B2488" s="215">
        <f t="shared" si="114"/>
        <v>45818</v>
      </c>
      <c r="C2488" s="213" t="s">
        <v>4367</v>
      </c>
      <c r="D2488" s="213" t="s">
        <v>4366</v>
      </c>
      <c r="E2488" s="213" t="s">
        <v>6176</v>
      </c>
      <c r="F2488" s="212" t="s">
        <v>6177</v>
      </c>
      <c r="G2488" s="212" t="str">
        <f t="shared" si="115"/>
        <v>255부가세예수금</v>
      </c>
      <c r="H2488" s="214">
        <v>0</v>
      </c>
      <c r="I2488" s="214">
        <v>7000</v>
      </c>
      <c r="J2488" s="214">
        <f t="shared" si="116"/>
        <v>7000</v>
      </c>
      <c r="K2488" s="212" t="s">
        <v>6336</v>
      </c>
      <c r="L2488" s="213"/>
      <c r="M2488" s="212" t="s">
        <v>6287</v>
      </c>
    </row>
    <row r="2489" spans="1:13" ht="21" customHeight="1">
      <c r="A2489" s="213" t="s">
        <v>6573</v>
      </c>
      <c r="B2489" s="215">
        <f t="shared" si="114"/>
        <v>45818</v>
      </c>
      <c r="C2489" s="213" t="s">
        <v>4367</v>
      </c>
      <c r="D2489" s="213" t="s">
        <v>4366</v>
      </c>
      <c r="E2489" s="213" t="s">
        <v>334</v>
      </c>
      <c r="F2489" s="212" t="s">
        <v>6158</v>
      </c>
      <c r="G2489" s="212" t="str">
        <f t="shared" si="115"/>
        <v>401용역매출</v>
      </c>
      <c r="H2489" s="214">
        <v>0</v>
      </c>
      <c r="I2489" s="214">
        <v>70000</v>
      </c>
      <c r="J2489" s="214">
        <f t="shared" si="116"/>
        <v>70000</v>
      </c>
      <c r="K2489" s="212" t="s">
        <v>6336</v>
      </c>
      <c r="L2489" s="213"/>
      <c r="M2489" s="212" t="s">
        <v>6287</v>
      </c>
    </row>
    <row r="2490" spans="1:13" ht="21" customHeight="1">
      <c r="A2490" s="213" t="s">
        <v>6573</v>
      </c>
      <c r="B2490" s="215">
        <f t="shared" si="114"/>
        <v>45818</v>
      </c>
      <c r="C2490" s="213" t="s">
        <v>4367</v>
      </c>
      <c r="D2490" s="213" t="s">
        <v>4369</v>
      </c>
      <c r="E2490" s="213" t="s">
        <v>333</v>
      </c>
      <c r="F2490" s="212" t="s">
        <v>4365</v>
      </c>
      <c r="G2490" s="212" t="str">
        <f t="shared" si="115"/>
        <v>101현금</v>
      </c>
      <c r="H2490" s="214">
        <v>77000</v>
      </c>
      <c r="I2490" s="214">
        <v>0</v>
      </c>
      <c r="J2490" s="214">
        <f t="shared" si="116"/>
        <v>-77000</v>
      </c>
      <c r="K2490" s="212" t="s">
        <v>6336</v>
      </c>
      <c r="L2490" s="213"/>
      <c r="M2490" s="212" t="s">
        <v>6287</v>
      </c>
    </row>
    <row r="2491" spans="1:13" ht="21" customHeight="1">
      <c r="A2491" s="213" t="s">
        <v>6573</v>
      </c>
      <c r="B2491" s="215">
        <f t="shared" si="114"/>
        <v>45818</v>
      </c>
      <c r="C2491" s="213" t="s">
        <v>4374</v>
      </c>
      <c r="D2491" s="213" t="s">
        <v>4366</v>
      </c>
      <c r="E2491" s="213" t="s">
        <v>6176</v>
      </c>
      <c r="F2491" s="212" t="s">
        <v>6177</v>
      </c>
      <c r="G2491" s="212" t="str">
        <f t="shared" si="115"/>
        <v>255부가세예수금</v>
      </c>
      <c r="H2491" s="214">
        <v>0</v>
      </c>
      <c r="I2491" s="214">
        <v>-7000</v>
      </c>
      <c r="J2491" s="214">
        <f t="shared" si="116"/>
        <v>-7000</v>
      </c>
      <c r="K2491" s="212" t="s">
        <v>6414</v>
      </c>
      <c r="L2491" s="213"/>
      <c r="M2491" s="212" t="s">
        <v>6574</v>
      </c>
    </row>
    <row r="2492" spans="1:13" ht="21" customHeight="1">
      <c r="A2492" s="213" t="s">
        <v>6573</v>
      </c>
      <c r="B2492" s="215">
        <f t="shared" si="114"/>
        <v>45818</v>
      </c>
      <c r="C2492" s="213" t="s">
        <v>4374</v>
      </c>
      <c r="D2492" s="213" t="s">
        <v>4366</v>
      </c>
      <c r="E2492" s="213" t="s">
        <v>334</v>
      </c>
      <c r="F2492" s="212" t="s">
        <v>6158</v>
      </c>
      <c r="G2492" s="212" t="str">
        <f t="shared" si="115"/>
        <v>401용역매출</v>
      </c>
      <c r="H2492" s="214">
        <v>0</v>
      </c>
      <c r="I2492" s="214">
        <v>-70000</v>
      </c>
      <c r="J2492" s="214">
        <f t="shared" si="116"/>
        <v>-70000</v>
      </c>
      <c r="K2492" s="212" t="s">
        <v>6414</v>
      </c>
      <c r="L2492" s="213"/>
      <c r="M2492" s="212" t="s">
        <v>6574</v>
      </c>
    </row>
    <row r="2493" spans="1:13" ht="21" customHeight="1">
      <c r="A2493" s="213" t="s">
        <v>6573</v>
      </c>
      <c r="B2493" s="215">
        <f t="shared" si="114"/>
        <v>45818</v>
      </c>
      <c r="C2493" s="213" t="s">
        <v>4374</v>
      </c>
      <c r="D2493" s="213" t="s">
        <v>4369</v>
      </c>
      <c r="E2493" s="213" t="s">
        <v>333</v>
      </c>
      <c r="F2493" s="212" t="s">
        <v>4365</v>
      </c>
      <c r="G2493" s="212" t="str">
        <f t="shared" si="115"/>
        <v>101현금</v>
      </c>
      <c r="H2493" s="214">
        <v>-77000</v>
      </c>
      <c r="I2493" s="214">
        <v>0</v>
      </c>
      <c r="J2493" s="214">
        <f t="shared" si="116"/>
        <v>77000</v>
      </c>
      <c r="K2493" s="212" t="s">
        <v>6414</v>
      </c>
      <c r="L2493" s="213"/>
      <c r="M2493" s="212" t="s">
        <v>6574</v>
      </c>
    </row>
    <row r="2494" spans="1:13" ht="21" customHeight="1">
      <c r="A2494" s="213" t="s">
        <v>6573</v>
      </c>
      <c r="B2494" s="215">
        <f t="shared" si="114"/>
        <v>45818</v>
      </c>
      <c r="C2494" s="213" t="s">
        <v>6182</v>
      </c>
      <c r="D2494" s="213" t="s">
        <v>4366</v>
      </c>
      <c r="E2494" s="213" t="s">
        <v>6176</v>
      </c>
      <c r="F2494" s="212" t="s">
        <v>6177</v>
      </c>
      <c r="G2494" s="212" t="str">
        <f t="shared" si="115"/>
        <v>255부가세예수금</v>
      </c>
      <c r="H2494" s="214">
        <v>0</v>
      </c>
      <c r="I2494" s="214">
        <v>7000</v>
      </c>
      <c r="J2494" s="214">
        <f t="shared" si="116"/>
        <v>7000</v>
      </c>
      <c r="K2494" s="212" t="s">
        <v>6414</v>
      </c>
      <c r="L2494" s="213"/>
      <c r="M2494" s="212" t="s">
        <v>6287</v>
      </c>
    </row>
    <row r="2495" spans="1:13" ht="21" customHeight="1">
      <c r="A2495" s="213" t="s">
        <v>6573</v>
      </c>
      <c r="B2495" s="215">
        <f t="shared" si="114"/>
        <v>45818</v>
      </c>
      <c r="C2495" s="213" t="s">
        <v>6182</v>
      </c>
      <c r="D2495" s="213" t="s">
        <v>4366</v>
      </c>
      <c r="E2495" s="213" t="s">
        <v>334</v>
      </c>
      <c r="F2495" s="212" t="s">
        <v>6158</v>
      </c>
      <c r="G2495" s="212" t="str">
        <f t="shared" si="115"/>
        <v>401용역매출</v>
      </c>
      <c r="H2495" s="214">
        <v>0</v>
      </c>
      <c r="I2495" s="214">
        <v>70000</v>
      </c>
      <c r="J2495" s="214">
        <f t="shared" si="116"/>
        <v>70000</v>
      </c>
      <c r="K2495" s="212" t="s">
        <v>6414</v>
      </c>
      <c r="L2495" s="213"/>
      <c r="M2495" s="212" t="s">
        <v>6287</v>
      </c>
    </row>
    <row r="2496" spans="1:13" ht="21" customHeight="1">
      <c r="A2496" s="213" t="s">
        <v>6573</v>
      </c>
      <c r="B2496" s="215">
        <f t="shared" si="114"/>
        <v>45818</v>
      </c>
      <c r="C2496" s="213" t="s">
        <v>6182</v>
      </c>
      <c r="D2496" s="213" t="s">
        <v>4369</v>
      </c>
      <c r="E2496" s="213" t="s">
        <v>333</v>
      </c>
      <c r="F2496" s="212" t="s">
        <v>4365</v>
      </c>
      <c r="G2496" s="212" t="str">
        <f t="shared" si="115"/>
        <v>101현금</v>
      </c>
      <c r="H2496" s="214">
        <v>77000</v>
      </c>
      <c r="I2496" s="214">
        <v>0</v>
      </c>
      <c r="J2496" s="214">
        <f t="shared" si="116"/>
        <v>-77000</v>
      </c>
      <c r="K2496" s="212" t="s">
        <v>6414</v>
      </c>
      <c r="L2496" s="213"/>
      <c r="M2496" s="212" t="s">
        <v>6287</v>
      </c>
    </row>
    <row r="2497" spans="1:13" ht="21" customHeight="1">
      <c r="A2497" s="213" t="s">
        <v>6573</v>
      </c>
      <c r="B2497" s="215">
        <f t="shared" si="114"/>
        <v>45818</v>
      </c>
      <c r="C2497" s="213" t="s">
        <v>6184</v>
      </c>
      <c r="D2497" s="213" t="s">
        <v>4366</v>
      </c>
      <c r="E2497" s="213" t="s">
        <v>6176</v>
      </c>
      <c r="F2497" s="212" t="s">
        <v>6177</v>
      </c>
      <c r="G2497" s="212" t="str">
        <f t="shared" si="115"/>
        <v>255부가세예수금</v>
      </c>
      <c r="H2497" s="214">
        <v>0</v>
      </c>
      <c r="I2497" s="214">
        <v>10000</v>
      </c>
      <c r="J2497" s="214">
        <f t="shared" si="116"/>
        <v>10000</v>
      </c>
      <c r="K2497" s="212" t="s">
        <v>6235</v>
      </c>
      <c r="L2497" s="213"/>
      <c r="M2497" s="212" t="s">
        <v>6185</v>
      </c>
    </row>
    <row r="2498" spans="1:13" ht="21" customHeight="1">
      <c r="A2498" s="213" t="s">
        <v>6573</v>
      </c>
      <c r="B2498" s="215">
        <f t="shared" ref="B2498:B2561" si="117">DATEVALUE(A2498)</f>
        <v>45818</v>
      </c>
      <c r="C2498" s="213" t="s">
        <v>6184</v>
      </c>
      <c r="D2498" s="213" t="s">
        <v>4366</v>
      </c>
      <c r="E2498" s="213" t="s">
        <v>334</v>
      </c>
      <c r="F2498" s="212" t="s">
        <v>6158</v>
      </c>
      <c r="G2498" s="212" t="str">
        <f t="shared" ref="G2498:G2561" si="118">E2498&amp;F2498</f>
        <v>401용역매출</v>
      </c>
      <c r="H2498" s="214">
        <v>0</v>
      </c>
      <c r="I2498" s="214">
        <v>100000</v>
      </c>
      <c r="J2498" s="214">
        <f t="shared" ref="J2498:J2561" si="119">I2498-H2498</f>
        <v>100000</v>
      </c>
      <c r="K2498" s="212" t="s">
        <v>6235</v>
      </c>
      <c r="L2498" s="213"/>
      <c r="M2498" s="212" t="s">
        <v>6185</v>
      </c>
    </row>
    <row r="2499" spans="1:13" ht="21" customHeight="1">
      <c r="A2499" s="213" t="s">
        <v>6573</v>
      </c>
      <c r="B2499" s="215">
        <f t="shared" si="117"/>
        <v>45818</v>
      </c>
      <c r="C2499" s="213" t="s">
        <v>6184</v>
      </c>
      <c r="D2499" s="213" t="s">
        <v>4369</v>
      </c>
      <c r="E2499" s="213" t="s">
        <v>333</v>
      </c>
      <c r="F2499" s="212" t="s">
        <v>4365</v>
      </c>
      <c r="G2499" s="212" t="str">
        <f t="shared" si="118"/>
        <v>101현금</v>
      </c>
      <c r="H2499" s="214">
        <v>110000</v>
      </c>
      <c r="I2499" s="214">
        <v>0</v>
      </c>
      <c r="J2499" s="214">
        <f t="shared" si="119"/>
        <v>-110000</v>
      </c>
      <c r="K2499" s="212" t="s">
        <v>6235</v>
      </c>
      <c r="L2499" s="213"/>
      <c r="M2499" s="212" t="s">
        <v>6185</v>
      </c>
    </row>
    <row r="2500" spans="1:13" ht="21" customHeight="1">
      <c r="A2500" s="213" t="s">
        <v>6571</v>
      </c>
      <c r="B2500" s="215">
        <f t="shared" si="117"/>
        <v>45819</v>
      </c>
      <c r="C2500" s="213" t="s">
        <v>4373</v>
      </c>
      <c r="D2500" s="213" t="s">
        <v>4369</v>
      </c>
      <c r="E2500" s="213" t="s">
        <v>4380</v>
      </c>
      <c r="F2500" s="212" t="s">
        <v>6515</v>
      </c>
      <c r="G2500" s="212" t="str">
        <f t="shared" si="118"/>
        <v>812여비교통비(판)</v>
      </c>
      <c r="H2500" s="214">
        <v>5000</v>
      </c>
      <c r="I2500" s="214">
        <v>0</v>
      </c>
      <c r="J2500" s="214">
        <f t="shared" si="119"/>
        <v>-5000</v>
      </c>
      <c r="K2500" s="212" t="s">
        <v>6164</v>
      </c>
      <c r="L2500" s="213"/>
      <c r="M2500" s="212"/>
    </row>
    <row r="2501" spans="1:13" ht="21" customHeight="1">
      <c r="A2501" s="213" t="s">
        <v>6571</v>
      </c>
      <c r="B2501" s="215">
        <f t="shared" si="117"/>
        <v>45819</v>
      </c>
      <c r="C2501" s="213" t="s">
        <v>4373</v>
      </c>
      <c r="D2501" s="213" t="s">
        <v>4366</v>
      </c>
      <c r="E2501" s="213" t="s">
        <v>333</v>
      </c>
      <c r="F2501" s="212" t="s">
        <v>4365</v>
      </c>
      <c r="G2501" s="212" t="str">
        <f t="shared" si="118"/>
        <v>101현금</v>
      </c>
      <c r="H2501" s="214">
        <v>0</v>
      </c>
      <c r="I2501" s="214">
        <v>5000</v>
      </c>
      <c r="J2501" s="214">
        <f t="shared" si="119"/>
        <v>5000</v>
      </c>
      <c r="K2501" s="212" t="s">
        <v>6369</v>
      </c>
      <c r="L2501" s="213"/>
      <c r="M2501" s="212"/>
    </row>
    <row r="2502" spans="1:13" ht="21" customHeight="1">
      <c r="A2502" s="213" t="s">
        <v>6571</v>
      </c>
      <c r="B2502" s="215">
        <f t="shared" si="117"/>
        <v>45819</v>
      </c>
      <c r="C2502" s="213" t="s">
        <v>4382</v>
      </c>
      <c r="D2502" s="213" t="s">
        <v>4369</v>
      </c>
      <c r="E2502" s="213" t="s">
        <v>4380</v>
      </c>
      <c r="F2502" s="212" t="s">
        <v>6515</v>
      </c>
      <c r="G2502" s="212" t="str">
        <f t="shared" si="118"/>
        <v>812여비교통비(판)</v>
      </c>
      <c r="H2502" s="214">
        <v>1000</v>
      </c>
      <c r="I2502" s="214">
        <v>0</v>
      </c>
      <c r="J2502" s="214">
        <f t="shared" si="119"/>
        <v>-1000</v>
      </c>
      <c r="K2502" s="212" t="s">
        <v>6164</v>
      </c>
      <c r="L2502" s="213"/>
      <c r="M2502" s="212"/>
    </row>
    <row r="2503" spans="1:13" ht="21" customHeight="1">
      <c r="A2503" s="213" t="s">
        <v>6571</v>
      </c>
      <c r="B2503" s="215">
        <f t="shared" si="117"/>
        <v>45819</v>
      </c>
      <c r="C2503" s="213" t="s">
        <v>4382</v>
      </c>
      <c r="D2503" s="213" t="s">
        <v>4366</v>
      </c>
      <c r="E2503" s="213" t="s">
        <v>333</v>
      </c>
      <c r="F2503" s="212" t="s">
        <v>4365</v>
      </c>
      <c r="G2503" s="212" t="str">
        <f t="shared" si="118"/>
        <v>101현금</v>
      </c>
      <c r="H2503" s="214">
        <v>0</v>
      </c>
      <c r="I2503" s="214">
        <v>1000</v>
      </c>
      <c r="J2503" s="214">
        <f t="shared" si="119"/>
        <v>1000</v>
      </c>
      <c r="K2503" s="212" t="s">
        <v>6369</v>
      </c>
      <c r="L2503" s="213"/>
      <c r="M2503" s="212"/>
    </row>
    <row r="2504" spans="1:13" ht="21" customHeight="1">
      <c r="A2504" s="213" t="s">
        <v>6571</v>
      </c>
      <c r="B2504" s="215">
        <f t="shared" si="117"/>
        <v>45819</v>
      </c>
      <c r="C2504" s="213" t="s">
        <v>4381</v>
      </c>
      <c r="D2504" s="213" t="s">
        <v>4369</v>
      </c>
      <c r="E2504" s="213" t="s">
        <v>4380</v>
      </c>
      <c r="F2504" s="212" t="s">
        <v>6515</v>
      </c>
      <c r="G2504" s="212" t="str">
        <f t="shared" si="118"/>
        <v>812여비교통비(판)</v>
      </c>
      <c r="H2504" s="214">
        <v>5100</v>
      </c>
      <c r="I2504" s="214">
        <v>0</v>
      </c>
      <c r="J2504" s="214">
        <f t="shared" si="119"/>
        <v>-5100</v>
      </c>
      <c r="K2504" s="212" t="s">
        <v>6572</v>
      </c>
      <c r="L2504" s="213"/>
      <c r="M2504" s="212"/>
    </row>
    <row r="2505" spans="1:13" ht="21" customHeight="1">
      <c r="A2505" s="213" t="s">
        <v>6571</v>
      </c>
      <c r="B2505" s="215">
        <f t="shared" si="117"/>
        <v>45819</v>
      </c>
      <c r="C2505" s="213" t="s">
        <v>4381</v>
      </c>
      <c r="D2505" s="213" t="s">
        <v>4366</v>
      </c>
      <c r="E2505" s="213" t="s">
        <v>333</v>
      </c>
      <c r="F2505" s="212" t="s">
        <v>4365</v>
      </c>
      <c r="G2505" s="212" t="str">
        <f t="shared" si="118"/>
        <v>101현금</v>
      </c>
      <c r="H2505" s="214">
        <v>0</v>
      </c>
      <c r="I2505" s="214">
        <v>5100</v>
      </c>
      <c r="J2505" s="214">
        <f t="shared" si="119"/>
        <v>5100</v>
      </c>
      <c r="K2505" s="212" t="s">
        <v>6369</v>
      </c>
      <c r="L2505" s="213"/>
      <c r="M2505" s="212"/>
    </row>
    <row r="2506" spans="1:13" ht="21" customHeight="1">
      <c r="A2506" s="213" t="s">
        <v>6571</v>
      </c>
      <c r="B2506" s="215">
        <f t="shared" si="117"/>
        <v>45819</v>
      </c>
      <c r="C2506" s="213" t="s">
        <v>4379</v>
      </c>
      <c r="D2506" s="213" t="s">
        <v>4369</v>
      </c>
      <c r="E2506" s="213" t="s">
        <v>6157</v>
      </c>
      <c r="F2506" s="212" t="s">
        <v>6524</v>
      </c>
      <c r="G2506" s="212" t="str">
        <f t="shared" si="118"/>
        <v>813접대비(기업업무추진비)(판)</v>
      </c>
      <c r="H2506" s="214">
        <v>63700</v>
      </c>
      <c r="I2506" s="214">
        <v>0</v>
      </c>
      <c r="J2506" s="214">
        <f t="shared" si="119"/>
        <v>-63700</v>
      </c>
      <c r="K2506" s="212" t="s">
        <v>6393</v>
      </c>
      <c r="L2506" s="213" t="s">
        <v>1327</v>
      </c>
      <c r="M2506" s="212" t="s">
        <v>6356</v>
      </c>
    </row>
    <row r="2507" spans="1:13" ht="21" customHeight="1">
      <c r="A2507" s="213" t="s">
        <v>6571</v>
      </c>
      <c r="B2507" s="215">
        <f t="shared" si="117"/>
        <v>45819</v>
      </c>
      <c r="C2507" s="213" t="s">
        <v>4379</v>
      </c>
      <c r="D2507" s="213" t="s">
        <v>4366</v>
      </c>
      <c r="E2507" s="213" t="s">
        <v>333</v>
      </c>
      <c r="F2507" s="212" t="s">
        <v>4365</v>
      </c>
      <c r="G2507" s="212" t="str">
        <f t="shared" si="118"/>
        <v>101현금</v>
      </c>
      <c r="H2507" s="214">
        <v>0</v>
      </c>
      <c r="I2507" s="214">
        <v>63700</v>
      </c>
      <c r="J2507" s="214">
        <f t="shared" si="119"/>
        <v>63700</v>
      </c>
      <c r="K2507" s="212" t="s">
        <v>6369</v>
      </c>
      <c r="L2507" s="213"/>
      <c r="M2507" s="212"/>
    </row>
    <row r="2508" spans="1:13" ht="21" customHeight="1">
      <c r="A2508" s="213" t="s">
        <v>6571</v>
      </c>
      <c r="B2508" s="215">
        <f t="shared" si="117"/>
        <v>45819</v>
      </c>
      <c r="C2508" s="213" t="s">
        <v>4367</v>
      </c>
      <c r="D2508" s="213" t="s">
        <v>4366</v>
      </c>
      <c r="E2508" s="213" t="s">
        <v>6176</v>
      </c>
      <c r="F2508" s="212" t="s">
        <v>6177</v>
      </c>
      <c r="G2508" s="212" t="str">
        <f t="shared" si="118"/>
        <v>255부가세예수금</v>
      </c>
      <c r="H2508" s="214">
        <v>0</v>
      </c>
      <c r="I2508" s="214">
        <v>10000</v>
      </c>
      <c r="J2508" s="214">
        <f t="shared" si="119"/>
        <v>10000</v>
      </c>
      <c r="K2508" s="212" t="s">
        <v>6317</v>
      </c>
      <c r="L2508" s="213"/>
      <c r="M2508" s="212" t="s">
        <v>6185</v>
      </c>
    </row>
    <row r="2509" spans="1:13" ht="21" customHeight="1">
      <c r="A2509" s="213" t="s">
        <v>6571</v>
      </c>
      <c r="B2509" s="215">
        <f t="shared" si="117"/>
        <v>45819</v>
      </c>
      <c r="C2509" s="213" t="s">
        <v>4367</v>
      </c>
      <c r="D2509" s="213" t="s">
        <v>4366</v>
      </c>
      <c r="E2509" s="213" t="s">
        <v>334</v>
      </c>
      <c r="F2509" s="212" t="s">
        <v>6158</v>
      </c>
      <c r="G2509" s="212" t="str">
        <f t="shared" si="118"/>
        <v>401용역매출</v>
      </c>
      <c r="H2509" s="214">
        <v>0</v>
      </c>
      <c r="I2509" s="214">
        <v>100000</v>
      </c>
      <c r="J2509" s="214">
        <f t="shared" si="119"/>
        <v>100000</v>
      </c>
      <c r="K2509" s="212" t="s">
        <v>6317</v>
      </c>
      <c r="L2509" s="213"/>
      <c r="M2509" s="212" t="s">
        <v>6185</v>
      </c>
    </row>
    <row r="2510" spans="1:13" ht="21" customHeight="1">
      <c r="A2510" s="213" t="s">
        <v>6571</v>
      </c>
      <c r="B2510" s="215">
        <f t="shared" si="117"/>
        <v>45819</v>
      </c>
      <c r="C2510" s="213" t="s">
        <v>4367</v>
      </c>
      <c r="D2510" s="213" t="s">
        <v>4369</v>
      </c>
      <c r="E2510" s="213" t="s">
        <v>333</v>
      </c>
      <c r="F2510" s="212" t="s">
        <v>4365</v>
      </c>
      <c r="G2510" s="212" t="str">
        <f t="shared" si="118"/>
        <v>101현금</v>
      </c>
      <c r="H2510" s="214">
        <v>110000</v>
      </c>
      <c r="I2510" s="214">
        <v>0</v>
      </c>
      <c r="J2510" s="214">
        <f t="shared" si="119"/>
        <v>-110000</v>
      </c>
      <c r="K2510" s="212" t="s">
        <v>6317</v>
      </c>
      <c r="L2510" s="213"/>
      <c r="M2510" s="212" t="s">
        <v>6185</v>
      </c>
    </row>
    <row r="2511" spans="1:13" ht="21" customHeight="1">
      <c r="A2511" s="213" t="s">
        <v>6569</v>
      </c>
      <c r="B2511" s="215">
        <f t="shared" si="117"/>
        <v>45820</v>
      </c>
      <c r="C2511" s="213" t="s">
        <v>4373</v>
      </c>
      <c r="D2511" s="213" t="s">
        <v>4369</v>
      </c>
      <c r="E2511" s="213" t="s">
        <v>4499</v>
      </c>
      <c r="F2511" s="212" t="s">
        <v>6517</v>
      </c>
      <c r="G2511" s="212" t="str">
        <f t="shared" si="118"/>
        <v>811복리후생비(판)</v>
      </c>
      <c r="H2511" s="214">
        <v>13000</v>
      </c>
      <c r="I2511" s="214">
        <v>0</v>
      </c>
      <c r="J2511" s="214">
        <f t="shared" si="119"/>
        <v>-13000</v>
      </c>
      <c r="K2511" s="212" t="s">
        <v>6539</v>
      </c>
      <c r="L2511" s="213"/>
      <c r="M2511" s="212"/>
    </row>
    <row r="2512" spans="1:13" ht="21" customHeight="1">
      <c r="A2512" s="213" t="s">
        <v>6569</v>
      </c>
      <c r="B2512" s="215">
        <f t="shared" si="117"/>
        <v>45820</v>
      </c>
      <c r="C2512" s="213" t="s">
        <v>4373</v>
      </c>
      <c r="D2512" s="213" t="s">
        <v>4366</v>
      </c>
      <c r="E2512" s="213" t="s">
        <v>333</v>
      </c>
      <c r="F2512" s="212" t="s">
        <v>4365</v>
      </c>
      <c r="G2512" s="212" t="str">
        <f t="shared" si="118"/>
        <v>101현금</v>
      </c>
      <c r="H2512" s="214">
        <v>0</v>
      </c>
      <c r="I2512" s="214">
        <v>13000</v>
      </c>
      <c r="J2512" s="214">
        <f t="shared" si="119"/>
        <v>13000</v>
      </c>
      <c r="K2512" s="212" t="s">
        <v>6369</v>
      </c>
      <c r="L2512" s="213"/>
      <c r="M2512" s="212"/>
    </row>
    <row r="2513" spans="1:13" ht="21" customHeight="1">
      <c r="A2513" s="213" t="s">
        <v>6569</v>
      </c>
      <c r="B2513" s="215">
        <f t="shared" si="117"/>
        <v>45820</v>
      </c>
      <c r="C2513" s="213" t="s">
        <v>4382</v>
      </c>
      <c r="D2513" s="213" t="s">
        <v>4369</v>
      </c>
      <c r="E2513" s="213" t="s">
        <v>4383</v>
      </c>
      <c r="F2513" s="212" t="s">
        <v>6525</v>
      </c>
      <c r="G2513" s="212" t="str">
        <f t="shared" si="118"/>
        <v>830소모품비(판)</v>
      </c>
      <c r="H2513" s="214">
        <v>9200</v>
      </c>
      <c r="I2513" s="214">
        <v>0</v>
      </c>
      <c r="J2513" s="214">
        <f t="shared" si="119"/>
        <v>-9200</v>
      </c>
      <c r="K2513" s="212" t="s">
        <v>6198</v>
      </c>
      <c r="L2513" s="213"/>
      <c r="M2513" s="212"/>
    </row>
    <row r="2514" spans="1:13" ht="21" customHeight="1">
      <c r="A2514" s="213" t="s">
        <v>6569</v>
      </c>
      <c r="B2514" s="215">
        <f t="shared" si="117"/>
        <v>45820</v>
      </c>
      <c r="C2514" s="213" t="s">
        <v>4382</v>
      </c>
      <c r="D2514" s="213" t="s">
        <v>4366</v>
      </c>
      <c r="E2514" s="213" t="s">
        <v>333</v>
      </c>
      <c r="F2514" s="212" t="s">
        <v>4365</v>
      </c>
      <c r="G2514" s="212" t="str">
        <f t="shared" si="118"/>
        <v>101현금</v>
      </c>
      <c r="H2514" s="214">
        <v>0</v>
      </c>
      <c r="I2514" s="214">
        <v>9200</v>
      </c>
      <c r="J2514" s="214">
        <f t="shared" si="119"/>
        <v>9200</v>
      </c>
      <c r="K2514" s="212" t="s">
        <v>6369</v>
      </c>
      <c r="L2514" s="213"/>
      <c r="M2514" s="212"/>
    </row>
    <row r="2515" spans="1:13" ht="21" customHeight="1">
      <c r="A2515" s="213" t="s">
        <v>6569</v>
      </c>
      <c r="B2515" s="215">
        <f t="shared" si="117"/>
        <v>45820</v>
      </c>
      <c r="C2515" s="213" t="s">
        <v>4381</v>
      </c>
      <c r="D2515" s="213" t="s">
        <v>4366</v>
      </c>
      <c r="E2515" s="213" t="s">
        <v>333</v>
      </c>
      <c r="F2515" s="212" t="s">
        <v>4365</v>
      </c>
      <c r="G2515" s="212" t="str">
        <f t="shared" si="118"/>
        <v>101현금</v>
      </c>
      <c r="H2515" s="214">
        <v>0</v>
      </c>
      <c r="I2515" s="214">
        <v>4280</v>
      </c>
      <c r="J2515" s="214">
        <f t="shared" si="119"/>
        <v>4280</v>
      </c>
      <c r="K2515" s="212" t="s">
        <v>6369</v>
      </c>
      <c r="L2515" s="213"/>
      <c r="M2515" s="212"/>
    </row>
    <row r="2516" spans="1:13" ht="21" customHeight="1">
      <c r="A2516" s="213" t="s">
        <v>6569</v>
      </c>
      <c r="B2516" s="215">
        <f t="shared" si="117"/>
        <v>45820</v>
      </c>
      <c r="C2516" s="213" t="s">
        <v>4381</v>
      </c>
      <c r="D2516" s="213" t="s">
        <v>4369</v>
      </c>
      <c r="E2516" s="213" t="s">
        <v>6290</v>
      </c>
      <c r="F2516" s="212" t="s">
        <v>6570</v>
      </c>
      <c r="G2516" s="212" t="str">
        <f t="shared" si="118"/>
        <v>824운반비(판)</v>
      </c>
      <c r="H2516" s="214">
        <v>4280</v>
      </c>
      <c r="I2516" s="214">
        <v>0</v>
      </c>
      <c r="J2516" s="214">
        <f t="shared" si="119"/>
        <v>-4280</v>
      </c>
      <c r="K2516" s="212" t="s">
        <v>6291</v>
      </c>
      <c r="L2516" s="213"/>
      <c r="M2516" s="212"/>
    </row>
    <row r="2517" spans="1:13" ht="21" customHeight="1">
      <c r="A2517" s="213" t="s">
        <v>6569</v>
      </c>
      <c r="B2517" s="215">
        <f t="shared" si="117"/>
        <v>45820</v>
      </c>
      <c r="C2517" s="213" t="s">
        <v>4379</v>
      </c>
      <c r="D2517" s="213" t="s">
        <v>4369</v>
      </c>
      <c r="E2517" s="213" t="s">
        <v>4368</v>
      </c>
      <c r="F2517" s="212" t="s">
        <v>6388</v>
      </c>
      <c r="G2517" s="212" t="str">
        <f t="shared" si="118"/>
        <v>831지급수수료(판)</v>
      </c>
      <c r="H2517" s="214">
        <v>1990</v>
      </c>
      <c r="I2517" s="214">
        <v>0</v>
      </c>
      <c r="J2517" s="214">
        <f t="shared" si="119"/>
        <v>-1990</v>
      </c>
      <c r="K2517" s="212" t="s">
        <v>6351</v>
      </c>
      <c r="L2517" s="213"/>
      <c r="M2517" s="212"/>
    </row>
    <row r="2518" spans="1:13" ht="21" customHeight="1">
      <c r="A2518" s="213" t="s">
        <v>6569</v>
      </c>
      <c r="B2518" s="215">
        <f t="shared" si="117"/>
        <v>45820</v>
      </c>
      <c r="C2518" s="213" t="s">
        <v>4379</v>
      </c>
      <c r="D2518" s="213" t="s">
        <v>4366</v>
      </c>
      <c r="E2518" s="213" t="s">
        <v>333</v>
      </c>
      <c r="F2518" s="212" t="s">
        <v>4365</v>
      </c>
      <c r="G2518" s="212" t="str">
        <f t="shared" si="118"/>
        <v>101현금</v>
      </c>
      <c r="H2518" s="214">
        <v>0</v>
      </c>
      <c r="I2518" s="214">
        <v>1990</v>
      </c>
      <c r="J2518" s="214">
        <f t="shared" si="119"/>
        <v>1990</v>
      </c>
      <c r="K2518" s="212" t="s">
        <v>6369</v>
      </c>
      <c r="L2518" s="213"/>
      <c r="M2518" s="212"/>
    </row>
    <row r="2519" spans="1:13" ht="21" customHeight="1">
      <c r="A2519" s="213" t="s">
        <v>6569</v>
      </c>
      <c r="B2519" s="215">
        <f t="shared" si="117"/>
        <v>45820</v>
      </c>
      <c r="C2519" s="213" t="s">
        <v>4367</v>
      </c>
      <c r="D2519" s="213" t="s">
        <v>4366</v>
      </c>
      <c r="E2519" s="213" t="s">
        <v>6176</v>
      </c>
      <c r="F2519" s="212" t="s">
        <v>6177</v>
      </c>
      <c r="G2519" s="212" t="str">
        <f t="shared" si="118"/>
        <v>255부가세예수금</v>
      </c>
      <c r="H2519" s="214">
        <v>0</v>
      </c>
      <c r="I2519" s="214">
        <v>15000</v>
      </c>
      <c r="J2519" s="214">
        <f t="shared" si="119"/>
        <v>15000</v>
      </c>
      <c r="K2519" s="212" t="s">
        <v>6201</v>
      </c>
      <c r="L2519" s="213"/>
      <c r="M2519" s="212" t="s">
        <v>6179</v>
      </c>
    </row>
    <row r="2520" spans="1:13" ht="21" customHeight="1">
      <c r="A2520" s="213" t="s">
        <v>6569</v>
      </c>
      <c r="B2520" s="215">
        <f t="shared" si="117"/>
        <v>45820</v>
      </c>
      <c r="C2520" s="213" t="s">
        <v>4367</v>
      </c>
      <c r="D2520" s="213" t="s">
        <v>4366</v>
      </c>
      <c r="E2520" s="213" t="s">
        <v>334</v>
      </c>
      <c r="F2520" s="212" t="s">
        <v>6158</v>
      </c>
      <c r="G2520" s="212" t="str">
        <f t="shared" si="118"/>
        <v>401용역매출</v>
      </c>
      <c r="H2520" s="214">
        <v>0</v>
      </c>
      <c r="I2520" s="214">
        <v>150000</v>
      </c>
      <c r="J2520" s="214">
        <f t="shared" si="119"/>
        <v>150000</v>
      </c>
      <c r="K2520" s="212" t="s">
        <v>6201</v>
      </c>
      <c r="L2520" s="213"/>
      <c r="M2520" s="212" t="s">
        <v>6179</v>
      </c>
    </row>
    <row r="2521" spans="1:13" ht="21" customHeight="1">
      <c r="A2521" s="213" t="s">
        <v>6569</v>
      </c>
      <c r="B2521" s="215">
        <f t="shared" si="117"/>
        <v>45820</v>
      </c>
      <c r="C2521" s="213" t="s">
        <v>4367</v>
      </c>
      <c r="D2521" s="213" t="s">
        <v>4369</v>
      </c>
      <c r="E2521" s="213" t="s">
        <v>333</v>
      </c>
      <c r="F2521" s="212" t="s">
        <v>4365</v>
      </c>
      <c r="G2521" s="212" t="str">
        <f t="shared" si="118"/>
        <v>101현금</v>
      </c>
      <c r="H2521" s="214">
        <v>165000</v>
      </c>
      <c r="I2521" s="214">
        <v>0</v>
      </c>
      <c r="J2521" s="214">
        <f t="shared" si="119"/>
        <v>-165000</v>
      </c>
      <c r="K2521" s="212" t="s">
        <v>6201</v>
      </c>
      <c r="L2521" s="213"/>
      <c r="M2521" s="212" t="s">
        <v>6179</v>
      </c>
    </row>
    <row r="2522" spans="1:13" ht="21" customHeight="1">
      <c r="A2522" s="213" t="s">
        <v>6567</v>
      </c>
      <c r="B2522" s="215">
        <f t="shared" si="117"/>
        <v>45821</v>
      </c>
      <c r="C2522" s="213" t="s">
        <v>4373</v>
      </c>
      <c r="D2522" s="213" t="s">
        <v>4369</v>
      </c>
      <c r="E2522" s="213" t="s">
        <v>4499</v>
      </c>
      <c r="F2522" s="212" t="s">
        <v>6517</v>
      </c>
      <c r="G2522" s="212" t="str">
        <f t="shared" si="118"/>
        <v>811복리후생비(판)</v>
      </c>
      <c r="H2522" s="214">
        <v>9000</v>
      </c>
      <c r="I2522" s="214">
        <v>0</v>
      </c>
      <c r="J2522" s="214">
        <f t="shared" si="119"/>
        <v>-9000</v>
      </c>
      <c r="K2522" s="212" t="s">
        <v>6532</v>
      </c>
      <c r="L2522" s="213"/>
      <c r="M2522" s="212"/>
    </row>
    <row r="2523" spans="1:13" ht="21" customHeight="1">
      <c r="A2523" s="213" t="s">
        <v>6567</v>
      </c>
      <c r="B2523" s="215">
        <f t="shared" si="117"/>
        <v>45821</v>
      </c>
      <c r="C2523" s="213" t="s">
        <v>4373</v>
      </c>
      <c r="D2523" s="213" t="s">
        <v>4366</v>
      </c>
      <c r="E2523" s="213" t="s">
        <v>333</v>
      </c>
      <c r="F2523" s="212" t="s">
        <v>4365</v>
      </c>
      <c r="G2523" s="212" t="str">
        <f t="shared" si="118"/>
        <v>101현금</v>
      </c>
      <c r="H2523" s="214">
        <v>0</v>
      </c>
      <c r="I2523" s="214">
        <v>9000</v>
      </c>
      <c r="J2523" s="214">
        <f t="shared" si="119"/>
        <v>9000</v>
      </c>
      <c r="K2523" s="212" t="s">
        <v>6369</v>
      </c>
      <c r="L2523" s="213"/>
      <c r="M2523" s="212"/>
    </row>
    <row r="2524" spans="1:13" ht="21" customHeight="1">
      <c r="A2524" s="213" t="s">
        <v>6567</v>
      </c>
      <c r="B2524" s="215">
        <f t="shared" si="117"/>
        <v>45821</v>
      </c>
      <c r="C2524" s="213" t="s">
        <v>4382</v>
      </c>
      <c r="D2524" s="213" t="s">
        <v>4369</v>
      </c>
      <c r="E2524" s="213" t="s">
        <v>4380</v>
      </c>
      <c r="F2524" s="212" t="s">
        <v>6515</v>
      </c>
      <c r="G2524" s="212" t="str">
        <f t="shared" si="118"/>
        <v>812여비교통비(판)</v>
      </c>
      <c r="H2524" s="214">
        <v>4000</v>
      </c>
      <c r="I2524" s="214">
        <v>0</v>
      </c>
      <c r="J2524" s="214">
        <f t="shared" si="119"/>
        <v>-4000</v>
      </c>
      <c r="K2524" s="212" t="s">
        <v>6568</v>
      </c>
      <c r="L2524" s="213"/>
      <c r="M2524" s="212"/>
    </row>
    <row r="2525" spans="1:13" ht="21" customHeight="1">
      <c r="A2525" s="213" t="s">
        <v>6567</v>
      </c>
      <c r="B2525" s="215">
        <f t="shared" si="117"/>
        <v>45821</v>
      </c>
      <c r="C2525" s="213" t="s">
        <v>4382</v>
      </c>
      <c r="D2525" s="213" t="s">
        <v>4366</v>
      </c>
      <c r="E2525" s="213" t="s">
        <v>333</v>
      </c>
      <c r="F2525" s="212" t="s">
        <v>4365</v>
      </c>
      <c r="G2525" s="212" t="str">
        <f t="shared" si="118"/>
        <v>101현금</v>
      </c>
      <c r="H2525" s="214">
        <v>0</v>
      </c>
      <c r="I2525" s="214">
        <v>4000</v>
      </c>
      <c r="J2525" s="214">
        <f t="shared" si="119"/>
        <v>4000</v>
      </c>
      <c r="K2525" s="212" t="s">
        <v>6369</v>
      </c>
      <c r="L2525" s="213"/>
      <c r="M2525" s="212"/>
    </row>
    <row r="2526" spans="1:13" ht="21" customHeight="1">
      <c r="A2526" s="217" t="s">
        <v>6565</v>
      </c>
      <c r="B2526" s="215">
        <f t="shared" si="117"/>
        <v>45822</v>
      </c>
      <c r="C2526" s="213" t="s">
        <v>4373</v>
      </c>
      <c r="D2526" s="213" t="s">
        <v>4369</v>
      </c>
      <c r="E2526" s="213" t="s">
        <v>4383</v>
      </c>
      <c r="F2526" s="212" t="s">
        <v>6525</v>
      </c>
      <c r="G2526" s="212" t="str">
        <f t="shared" si="118"/>
        <v>830소모품비(판)</v>
      </c>
      <c r="H2526" s="214">
        <v>940500</v>
      </c>
      <c r="I2526" s="214">
        <v>0</v>
      </c>
      <c r="J2526" s="214">
        <f t="shared" si="119"/>
        <v>-940500</v>
      </c>
      <c r="K2526" s="212" t="s">
        <v>6566</v>
      </c>
      <c r="L2526" s="213"/>
      <c r="M2526" s="212"/>
    </row>
    <row r="2527" spans="1:13" ht="21" customHeight="1">
      <c r="A2527" s="217" t="s">
        <v>6565</v>
      </c>
      <c r="B2527" s="215">
        <f t="shared" si="117"/>
        <v>45822</v>
      </c>
      <c r="C2527" s="213" t="s">
        <v>4373</v>
      </c>
      <c r="D2527" s="213" t="s">
        <v>4366</v>
      </c>
      <c r="E2527" s="213" t="s">
        <v>333</v>
      </c>
      <c r="F2527" s="212" t="s">
        <v>4365</v>
      </c>
      <c r="G2527" s="212" t="str">
        <f t="shared" si="118"/>
        <v>101현금</v>
      </c>
      <c r="H2527" s="214">
        <v>0</v>
      </c>
      <c r="I2527" s="214">
        <v>940500</v>
      </c>
      <c r="J2527" s="214">
        <f t="shared" si="119"/>
        <v>940500</v>
      </c>
      <c r="K2527" s="212" t="s">
        <v>6370</v>
      </c>
      <c r="L2527" s="213"/>
      <c r="M2527" s="212"/>
    </row>
    <row r="2528" spans="1:13" ht="21" customHeight="1">
      <c r="A2528" s="217" t="s">
        <v>6565</v>
      </c>
      <c r="B2528" s="215">
        <f t="shared" si="117"/>
        <v>45822</v>
      </c>
      <c r="C2528" s="213" t="s">
        <v>4382</v>
      </c>
      <c r="D2528" s="213" t="s">
        <v>4369</v>
      </c>
      <c r="E2528" s="213" t="s">
        <v>4383</v>
      </c>
      <c r="F2528" s="212" t="s">
        <v>6525</v>
      </c>
      <c r="G2528" s="212" t="str">
        <f t="shared" si="118"/>
        <v>830소모품비(판)</v>
      </c>
      <c r="H2528" s="214">
        <v>18550</v>
      </c>
      <c r="I2528" s="214">
        <v>0</v>
      </c>
      <c r="J2528" s="214">
        <f t="shared" si="119"/>
        <v>-18550</v>
      </c>
      <c r="K2528" s="212" t="s">
        <v>6203</v>
      </c>
      <c r="L2528" s="213"/>
      <c r="M2528" s="212"/>
    </row>
    <row r="2529" spans="1:13" ht="21" customHeight="1">
      <c r="A2529" s="217" t="s">
        <v>6565</v>
      </c>
      <c r="B2529" s="215">
        <f t="shared" si="117"/>
        <v>45822</v>
      </c>
      <c r="C2529" s="213" t="s">
        <v>4382</v>
      </c>
      <c r="D2529" s="213" t="s">
        <v>4366</v>
      </c>
      <c r="E2529" s="213" t="s">
        <v>333</v>
      </c>
      <c r="F2529" s="212" t="s">
        <v>4365</v>
      </c>
      <c r="G2529" s="212" t="str">
        <f t="shared" si="118"/>
        <v>101현금</v>
      </c>
      <c r="H2529" s="214">
        <v>0</v>
      </c>
      <c r="I2529" s="214">
        <v>18550</v>
      </c>
      <c r="J2529" s="214">
        <f t="shared" si="119"/>
        <v>18550</v>
      </c>
      <c r="K2529" s="212" t="s">
        <v>6369</v>
      </c>
      <c r="L2529" s="213"/>
      <c r="M2529" s="212"/>
    </row>
    <row r="2530" spans="1:13" ht="21" customHeight="1">
      <c r="A2530" s="216" t="s">
        <v>6561</v>
      </c>
      <c r="B2530" s="215">
        <f t="shared" si="117"/>
        <v>45823</v>
      </c>
      <c r="C2530" s="213" t="s">
        <v>4373</v>
      </c>
      <c r="D2530" s="213" t="s">
        <v>4369</v>
      </c>
      <c r="E2530" s="213" t="s">
        <v>4499</v>
      </c>
      <c r="F2530" s="212" t="s">
        <v>6517</v>
      </c>
      <c r="G2530" s="212" t="str">
        <f t="shared" si="118"/>
        <v>811복리후생비(판)</v>
      </c>
      <c r="H2530" s="214">
        <v>18700</v>
      </c>
      <c r="I2530" s="214">
        <v>0</v>
      </c>
      <c r="J2530" s="214">
        <f t="shared" si="119"/>
        <v>-18700</v>
      </c>
      <c r="K2530" s="212" t="s">
        <v>6564</v>
      </c>
      <c r="L2530" s="213"/>
      <c r="M2530" s="212"/>
    </row>
    <row r="2531" spans="1:13" ht="21" customHeight="1">
      <c r="A2531" s="216" t="s">
        <v>6561</v>
      </c>
      <c r="B2531" s="215">
        <f t="shared" si="117"/>
        <v>45823</v>
      </c>
      <c r="C2531" s="213" t="s">
        <v>4373</v>
      </c>
      <c r="D2531" s="213" t="s">
        <v>4366</v>
      </c>
      <c r="E2531" s="213" t="s">
        <v>333</v>
      </c>
      <c r="F2531" s="212" t="s">
        <v>4365</v>
      </c>
      <c r="G2531" s="212" t="str">
        <f t="shared" si="118"/>
        <v>101현금</v>
      </c>
      <c r="H2531" s="214">
        <v>0</v>
      </c>
      <c r="I2531" s="214">
        <v>18700</v>
      </c>
      <c r="J2531" s="214">
        <f t="shared" si="119"/>
        <v>18700</v>
      </c>
      <c r="K2531" s="212" t="s">
        <v>6371</v>
      </c>
      <c r="L2531" s="213"/>
      <c r="M2531" s="212"/>
    </row>
    <row r="2532" spans="1:13" ht="21" customHeight="1">
      <c r="A2532" s="216" t="s">
        <v>6561</v>
      </c>
      <c r="B2532" s="215">
        <f t="shared" si="117"/>
        <v>45823</v>
      </c>
      <c r="C2532" s="213" t="s">
        <v>4382</v>
      </c>
      <c r="D2532" s="213" t="s">
        <v>4369</v>
      </c>
      <c r="E2532" s="213" t="s">
        <v>4383</v>
      </c>
      <c r="F2532" s="212" t="s">
        <v>6525</v>
      </c>
      <c r="G2532" s="212" t="str">
        <f t="shared" si="118"/>
        <v>830소모품비(판)</v>
      </c>
      <c r="H2532" s="214">
        <v>13380</v>
      </c>
      <c r="I2532" s="214">
        <v>0</v>
      </c>
      <c r="J2532" s="214">
        <f t="shared" si="119"/>
        <v>-13380</v>
      </c>
      <c r="K2532" s="212" t="s">
        <v>6563</v>
      </c>
      <c r="L2532" s="213"/>
      <c r="M2532" s="212"/>
    </row>
    <row r="2533" spans="1:13" ht="21" customHeight="1">
      <c r="A2533" s="216" t="s">
        <v>6561</v>
      </c>
      <c r="B2533" s="215">
        <f t="shared" si="117"/>
        <v>45823</v>
      </c>
      <c r="C2533" s="213" t="s">
        <v>4382</v>
      </c>
      <c r="D2533" s="213" t="s">
        <v>4366</v>
      </c>
      <c r="E2533" s="213" t="s">
        <v>333</v>
      </c>
      <c r="F2533" s="212" t="s">
        <v>4365</v>
      </c>
      <c r="G2533" s="212" t="str">
        <f t="shared" si="118"/>
        <v>101현금</v>
      </c>
      <c r="H2533" s="214">
        <v>0</v>
      </c>
      <c r="I2533" s="214">
        <v>13380</v>
      </c>
      <c r="J2533" s="214">
        <f t="shared" si="119"/>
        <v>13380</v>
      </c>
      <c r="K2533" s="212" t="s">
        <v>6369</v>
      </c>
      <c r="L2533" s="213"/>
      <c r="M2533" s="212"/>
    </row>
    <row r="2534" spans="1:13" ht="21" customHeight="1">
      <c r="A2534" s="216" t="s">
        <v>6561</v>
      </c>
      <c r="B2534" s="215">
        <f t="shared" si="117"/>
        <v>45823</v>
      </c>
      <c r="C2534" s="213" t="s">
        <v>4381</v>
      </c>
      <c r="D2534" s="213" t="s">
        <v>4369</v>
      </c>
      <c r="E2534" s="213" t="s">
        <v>4380</v>
      </c>
      <c r="F2534" s="212" t="s">
        <v>6515</v>
      </c>
      <c r="G2534" s="212" t="str">
        <f t="shared" si="118"/>
        <v>812여비교통비(판)</v>
      </c>
      <c r="H2534" s="214">
        <v>3600</v>
      </c>
      <c r="I2534" s="214">
        <v>0</v>
      </c>
      <c r="J2534" s="214">
        <f t="shared" si="119"/>
        <v>-3600</v>
      </c>
      <c r="K2534" s="212" t="s">
        <v>6305</v>
      </c>
      <c r="L2534" s="213"/>
      <c r="M2534" s="212"/>
    </row>
    <row r="2535" spans="1:13" ht="21" customHeight="1">
      <c r="A2535" s="216" t="s">
        <v>6561</v>
      </c>
      <c r="B2535" s="215">
        <f t="shared" si="117"/>
        <v>45823</v>
      </c>
      <c r="C2535" s="213" t="s">
        <v>4381</v>
      </c>
      <c r="D2535" s="213" t="s">
        <v>4366</v>
      </c>
      <c r="E2535" s="213" t="s">
        <v>333</v>
      </c>
      <c r="F2535" s="212" t="s">
        <v>4365</v>
      </c>
      <c r="G2535" s="212" t="str">
        <f t="shared" si="118"/>
        <v>101현금</v>
      </c>
      <c r="H2535" s="214">
        <v>0</v>
      </c>
      <c r="I2535" s="214">
        <v>3600</v>
      </c>
      <c r="J2535" s="214">
        <f t="shared" si="119"/>
        <v>3600</v>
      </c>
      <c r="K2535" s="212" t="s">
        <v>6369</v>
      </c>
      <c r="L2535" s="213"/>
      <c r="M2535" s="212"/>
    </row>
    <row r="2536" spans="1:13" ht="21" customHeight="1">
      <c r="A2536" s="216" t="s">
        <v>6561</v>
      </c>
      <c r="B2536" s="215">
        <f t="shared" si="117"/>
        <v>45823</v>
      </c>
      <c r="C2536" s="213" t="s">
        <v>4379</v>
      </c>
      <c r="D2536" s="213" t="s">
        <v>4369</v>
      </c>
      <c r="E2536" s="213" t="s">
        <v>4500</v>
      </c>
      <c r="F2536" s="212" t="s">
        <v>6418</v>
      </c>
      <c r="G2536" s="212" t="str">
        <f t="shared" si="118"/>
        <v>822차량유지비(판)</v>
      </c>
      <c r="H2536" s="214">
        <v>50000</v>
      </c>
      <c r="I2536" s="214">
        <v>0</v>
      </c>
      <c r="J2536" s="214">
        <f t="shared" si="119"/>
        <v>-50000</v>
      </c>
      <c r="K2536" s="212" t="s">
        <v>6272</v>
      </c>
      <c r="L2536" s="213"/>
      <c r="M2536" s="212"/>
    </row>
    <row r="2537" spans="1:13" ht="21" customHeight="1">
      <c r="A2537" s="216" t="s">
        <v>6561</v>
      </c>
      <c r="B2537" s="215">
        <f t="shared" si="117"/>
        <v>45823</v>
      </c>
      <c r="C2537" s="213" t="s">
        <v>4379</v>
      </c>
      <c r="D2537" s="213" t="s">
        <v>4366</v>
      </c>
      <c r="E2537" s="213" t="s">
        <v>333</v>
      </c>
      <c r="F2537" s="212" t="s">
        <v>4365</v>
      </c>
      <c r="G2537" s="212" t="str">
        <f t="shared" si="118"/>
        <v>101현금</v>
      </c>
      <c r="H2537" s="214">
        <v>0</v>
      </c>
      <c r="I2537" s="214">
        <v>50000</v>
      </c>
      <c r="J2537" s="214">
        <f t="shared" si="119"/>
        <v>50000</v>
      </c>
      <c r="K2537" s="212" t="s">
        <v>6371</v>
      </c>
      <c r="L2537" s="213"/>
      <c r="M2537" s="212"/>
    </row>
    <row r="2538" spans="1:13" ht="21" customHeight="1">
      <c r="A2538" s="216" t="s">
        <v>6561</v>
      </c>
      <c r="B2538" s="215">
        <f t="shared" si="117"/>
        <v>45823</v>
      </c>
      <c r="C2538" s="213" t="s">
        <v>4385</v>
      </c>
      <c r="D2538" s="213" t="s">
        <v>4369</v>
      </c>
      <c r="E2538" s="213" t="s">
        <v>4499</v>
      </c>
      <c r="F2538" s="212" t="s">
        <v>6517</v>
      </c>
      <c r="G2538" s="212" t="str">
        <f t="shared" si="118"/>
        <v>811복리후생비(판)</v>
      </c>
      <c r="H2538" s="214">
        <v>61963</v>
      </c>
      <c r="I2538" s="214">
        <v>0</v>
      </c>
      <c r="J2538" s="214">
        <f t="shared" si="119"/>
        <v>-61963</v>
      </c>
      <c r="K2538" s="212" t="s">
        <v>6562</v>
      </c>
      <c r="L2538" s="213"/>
      <c r="M2538" s="212"/>
    </row>
    <row r="2539" spans="1:13" ht="21" customHeight="1">
      <c r="A2539" s="216" t="s">
        <v>6561</v>
      </c>
      <c r="B2539" s="215">
        <f t="shared" si="117"/>
        <v>45823</v>
      </c>
      <c r="C2539" s="213" t="s">
        <v>4385</v>
      </c>
      <c r="D2539" s="213" t="s">
        <v>4366</v>
      </c>
      <c r="E2539" s="213" t="s">
        <v>333</v>
      </c>
      <c r="F2539" s="212" t="s">
        <v>4365</v>
      </c>
      <c r="G2539" s="212" t="str">
        <f t="shared" si="118"/>
        <v>101현금</v>
      </c>
      <c r="H2539" s="214">
        <v>0</v>
      </c>
      <c r="I2539" s="214">
        <v>61963</v>
      </c>
      <c r="J2539" s="214">
        <f t="shared" si="119"/>
        <v>61963</v>
      </c>
      <c r="K2539" s="212" t="s">
        <v>6562</v>
      </c>
      <c r="L2539" s="213"/>
      <c r="M2539" s="212"/>
    </row>
    <row r="2540" spans="1:13" ht="21" customHeight="1">
      <c r="A2540" s="216" t="s">
        <v>6561</v>
      </c>
      <c r="B2540" s="215">
        <f t="shared" si="117"/>
        <v>45823</v>
      </c>
      <c r="C2540" s="213" t="s">
        <v>4501</v>
      </c>
      <c r="D2540" s="213" t="s">
        <v>4366</v>
      </c>
      <c r="E2540" s="213" t="s">
        <v>333</v>
      </c>
      <c r="F2540" s="212" t="s">
        <v>4365</v>
      </c>
      <c r="G2540" s="212" t="str">
        <f t="shared" si="118"/>
        <v>101현금</v>
      </c>
      <c r="H2540" s="214">
        <v>0</v>
      </c>
      <c r="I2540" s="214">
        <v>29800</v>
      </c>
      <c r="J2540" s="214">
        <f t="shared" si="119"/>
        <v>29800</v>
      </c>
      <c r="K2540" s="212" t="s">
        <v>6560</v>
      </c>
      <c r="L2540" s="213"/>
      <c r="M2540" s="212"/>
    </row>
    <row r="2541" spans="1:13" ht="21" customHeight="1">
      <c r="A2541" s="216" t="s">
        <v>6561</v>
      </c>
      <c r="B2541" s="215">
        <f t="shared" si="117"/>
        <v>45823</v>
      </c>
      <c r="C2541" s="213" t="s">
        <v>4501</v>
      </c>
      <c r="D2541" s="213" t="s">
        <v>4369</v>
      </c>
      <c r="E2541" s="213" t="s">
        <v>4383</v>
      </c>
      <c r="F2541" s="212" t="s">
        <v>6525</v>
      </c>
      <c r="G2541" s="212" t="str">
        <f t="shared" si="118"/>
        <v>830소모품비(판)</v>
      </c>
      <c r="H2541" s="214">
        <v>29800</v>
      </c>
      <c r="I2541" s="214">
        <v>0</v>
      </c>
      <c r="J2541" s="214">
        <f t="shared" si="119"/>
        <v>-29800</v>
      </c>
      <c r="K2541" s="212" t="s">
        <v>6560</v>
      </c>
      <c r="L2541" s="213"/>
      <c r="M2541" s="212"/>
    </row>
    <row r="2542" spans="1:13" ht="21" customHeight="1">
      <c r="A2542" s="213" t="s">
        <v>6559</v>
      </c>
      <c r="B2542" s="215">
        <f t="shared" si="117"/>
        <v>45824</v>
      </c>
      <c r="C2542" s="213" t="s">
        <v>4373</v>
      </c>
      <c r="D2542" s="213" t="s">
        <v>4369</v>
      </c>
      <c r="E2542" s="213" t="s">
        <v>4499</v>
      </c>
      <c r="F2542" s="212" t="s">
        <v>6517</v>
      </c>
      <c r="G2542" s="212" t="str">
        <f t="shared" si="118"/>
        <v>811복리후생비(판)</v>
      </c>
      <c r="H2542" s="214">
        <v>16000</v>
      </c>
      <c r="I2542" s="214">
        <v>0</v>
      </c>
      <c r="J2542" s="214">
        <f t="shared" si="119"/>
        <v>-16000</v>
      </c>
      <c r="K2542" s="212" t="s">
        <v>6516</v>
      </c>
      <c r="L2542" s="213"/>
      <c r="M2542" s="212"/>
    </row>
    <row r="2543" spans="1:13" ht="21" customHeight="1">
      <c r="A2543" s="213" t="s">
        <v>6559</v>
      </c>
      <c r="B2543" s="215">
        <f t="shared" si="117"/>
        <v>45824</v>
      </c>
      <c r="C2543" s="213" t="s">
        <v>4373</v>
      </c>
      <c r="D2543" s="213" t="s">
        <v>4366</v>
      </c>
      <c r="E2543" s="213" t="s">
        <v>333</v>
      </c>
      <c r="F2543" s="212" t="s">
        <v>4365</v>
      </c>
      <c r="G2543" s="212" t="str">
        <f t="shared" si="118"/>
        <v>101현금</v>
      </c>
      <c r="H2543" s="214">
        <v>0</v>
      </c>
      <c r="I2543" s="214">
        <v>16000</v>
      </c>
      <c r="J2543" s="214">
        <f t="shared" si="119"/>
        <v>16000</v>
      </c>
      <c r="K2543" s="212" t="s">
        <v>6369</v>
      </c>
      <c r="L2543" s="213"/>
      <c r="M2543" s="212"/>
    </row>
    <row r="2544" spans="1:13" ht="21" customHeight="1">
      <c r="A2544" s="213" t="s">
        <v>6559</v>
      </c>
      <c r="B2544" s="215">
        <f t="shared" si="117"/>
        <v>45824</v>
      </c>
      <c r="C2544" s="213" t="s">
        <v>4382</v>
      </c>
      <c r="D2544" s="213" t="s">
        <v>4366</v>
      </c>
      <c r="E2544" s="213" t="s">
        <v>333</v>
      </c>
      <c r="F2544" s="212" t="s">
        <v>4365</v>
      </c>
      <c r="G2544" s="212" t="str">
        <f t="shared" si="118"/>
        <v>101현금</v>
      </c>
      <c r="H2544" s="214">
        <v>0</v>
      </c>
      <c r="I2544" s="214">
        <v>13300</v>
      </c>
      <c r="J2544" s="214">
        <f t="shared" si="119"/>
        <v>13300</v>
      </c>
      <c r="K2544" s="212" t="s">
        <v>6369</v>
      </c>
      <c r="L2544" s="213"/>
      <c r="M2544" s="212"/>
    </row>
    <row r="2545" spans="1:13" ht="21" customHeight="1">
      <c r="A2545" s="213" t="s">
        <v>6559</v>
      </c>
      <c r="B2545" s="215">
        <f t="shared" si="117"/>
        <v>45824</v>
      </c>
      <c r="C2545" s="213" t="s">
        <v>4382</v>
      </c>
      <c r="D2545" s="213" t="s">
        <v>4369</v>
      </c>
      <c r="E2545" s="213" t="s">
        <v>4380</v>
      </c>
      <c r="F2545" s="212" t="s">
        <v>6515</v>
      </c>
      <c r="G2545" s="212" t="str">
        <f t="shared" si="118"/>
        <v>812여비교통비(판)</v>
      </c>
      <c r="H2545" s="214">
        <v>13300</v>
      </c>
      <c r="I2545" s="214">
        <v>0</v>
      </c>
      <c r="J2545" s="214">
        <f t="shared" si="119"/>
        <v>-13300</v>
      </c>
      <c r="K2545" s="212" t="s">
        <v>6558</v>
      </c>
      <c r="L2545" s="213"/>
      <c r="M2545" s="212"/>
    </row>
    <row r="2546" spans="1:13" ht="21" customHeight="1">
      <c r="A2546" s="213" t="s">
        <v>6557</v>
      </c>
      <c r="B2546" s="215">
        <f t="shared" si="117"/>
        <v>45825</v>
      </c>
      <c r="C2546" s="213" t="s">
        <v>4373</v>
      </c>
      <c r="D2546" s="213" t="s">
        <v>4369</v>
      </c>
      <c r="E2546" s="213" t="s">
        <v>4499</v>
      </c>
      <c r="F2546" s="212" t="s">
        <v>6517</v>
      </c>
      <c r="G2546" s="212" t="str">
        <f t="shared" si="118"/>
        <v>811복리후생비(판)</v>
      </c>
      <c r="H2546" s="214">
        <v>5100</v>
      </c>
      <c r="I2546" s="214">
        <v>0</v>
      </c>
      <c r="J2546" s="214">
        <f t="shared" si="119"/>
        <v>-5100</v>
      </c>
      <c r="K2546" s="212" t="s">
        <v>6352</v>
      </c>
      <c r="L2546" s="213"/>
      <c r="M2546" s="212"/>
    </row>
    <row r="2547" spans="1:13" ht="21" customHeight="1">
      <c r="A2547" s="213" t="s">
        <v>6557</v>
      </c>
      <c r="B2547" s="215">
        <f t="shared" si="117"/>
        <v>45825</v>
      </c>
      <c r="C2547" s="213" t="s">
        <v>4373</v>
      </c>
      <c r="D2547" s="213" t="s">
        <v>4366</v>
      </c>
      <c r="E2547" s="213" t="s">
        <v>333</v>
      </c>
      <c r="F2547" s="212" t="s">
        <v>4365</v>
      </c>
      <c r="G2547" s="212" t="str">
        <f t="shared" si="118"/>
        <v>101현금</v>
      </c>
      <c r="H2547" s="214">
        <v>0</v>
      </c>
      <c r="I2547" s="214">
        <v>5100</v>
      </c>
      <c r="J2547" s="214">
        <f t="shared" si="119"/>
        <v>5100</v>
      </c>
      <c r="K2547" s="212" t="s">
        <v>6371</v>
      </c>
      <c r="L2547" s="213"/>
      <c r="M2547" s="212"/>
    </row>
    <row r="2548" spans="1:13" ht="21" customHeight="1">
      <c r="A2548" s="213" t="s">
        <v>6557</v>
      </c>
      <c r="B2548" s="215">
        <f t="shared" si="117"/>
        <v>45825</v>
      </c>
      <c r="C2548" s="213" t="s">
        <v>4382</v>
      </c>
      <c r="D2548" s="213" t="s">
        <v>4366</v>
      </c>
      <c r="E2548" s="213" t="s">
        <v>333</v>
      </c>
      <c r="F2548" s="212" t="s">
        <v>4365</v>
      </c>
      <c r="G2548" s="212" t="str">
        <f t="shared" si="118"/>
        <v>101현금</v>
      </c>
      <c r="H2548" s="214">
        <v>0</v>
      </c>
      <c r="I2548" s="214">
        <v>2000</v>
      </c>
      <c r="J2548" s="214">
        <f t="shared" si="119"/>
        <v>2000</v>
      </c>
      <c r="K2548" s="212" t="s">
        <v>6371</v>
      </c>
      <c r="L2548" s="213"/>
      <c r="M2548" s="212"/>
    </row>
    <row r="2549" spans="1:13" ht="21" customHeight="1">
      <c r="A2549" s="213" t="s">
        <v>6557</v>
      </c>
      <c r="B2549" s="215">
        <f t="shared" si="117"/>
        <v>45825</v>
      </c>
      <c r="C2549" s="213" t="s">
        <v>4382</v>
      </c>
      <c r="D2549" s="213" t="s">
        <v>4369</v>
      </c>
      <c r="E2549" s="213" t="s">
        <v>4380</v>
      </c>
      <c r="F2549" s="212" t="s">
        <v>6515</v>
      </c>
      <c r="G2549" s="212" t="str">
        <f t="shared" si="118"/>
        <v>812여비교통비(판)</v>
      </c>
      <c r="H2549" s="214">
        <v>2000</v>
      </c>
      <c r="I2549" s="214">
        <v>0</v>
      </c>
      <c r="J2549" s="214">
        <f t="shared" si="119"/>
        <v>-2000</v>
      </c>
      <c r="K2549" s="212" t="s">
        <v>6292</v>
      </c>
      <c r="L2549" s="213"/>
      <c r="M2549" s="212"/>
    </row>
    <row r="2550" spans="1:13" ht="21" customHeight="1">
      <c r="A2550" s="213" t="s">
        <v>6557</v>
      </c>
      <c r="B2550" s="215">
        <f t="shared" si="117"/>
        <v>45825</v>
      </c>
      <c r="C2550" s="213" t="s">
        <v>4367</v>
      </c>
      <c r="D2550" s="213" t="s">
        <v>4366</v>
      </c>
      <c r="E2550" s="213" t="s">
        <v>6176</v>
      </c>
      <c r="F2550" s="212" t="s">
        <v>6177</v>
      </c>
      <c r="G2550" s="212" t="str">
        <f t="shared" si="118"/>
        <v>255부가세예수금</v>
      </c>
      <c r="H2550" s="214">
        <v>0</v>
      </c>
      <c r="I2550" s="214">
        <v>13637</v>
      </c>
      <c r="J2550" s="214">
        <f t="shared" si="119"/>
        <v>13637</v>
      </c>
      <c r="K2550" s="212" t="s">
        <v>6204</v>
      </c>
      <c r="L2550" s="213"/>
      <c r="M2550" s="212" t="s">
        <v>6380</v>
      </c>
    </row>
    <row r="2551" spans="1:13" ht="21" customHeight="1">
      <c r="A2551" s="213" t="s">
        <v>6557</v>
      </c>
      <c r="B2551" s="215">
        <f t="shared" si="117"/>
        <v>45825</v>
      </c>
      <c r="C2551" s="213" t="s">
        <v>4367</v>
      </c>
      <c r="D2551" s="213" t="s">
        <v>4366</v>
      </c>
      <c r="E2551" s="213" t="s">
        <v>334</v>
      </c>
      <c r="F2551" s="212" t="s">
        <v>6158</v>
      </c>
      <c r="G2551" s="212" t="str">
        <f t="shared" si="118"/>
        <v>401용역매출</v>
      </c>
      <c r="H2551" s="214">
        <v>0</v>
      </c>
      <c r="I2551" s="214">
        <v>136363</v>
      </c>
      <c r="J2551" s="214">
        <f t="shared" si="119"/>
        <v>136363</v>
      </c>
      <c r="K2551" s="212" t="s">
        <v>6204</v>
      </c>
      <c r="L2551" s="213"/>
      <c r="M2551" s="212" t="s">
        <v>6380</v>
      </c>
    </row>
    <row r="2552" spans="1:13" ht="21" customHeight="1">
      <c r="A2552" s="213" t="s">
        <v>6557</v>
      </c>
      <c r="B2552" s="215">
        <f t="shared" si="117"/>
        <v>45825</v>
      </c>
      <c r="C2552" s="213" t="s">
        <v>4367</v>
      </c>
      <c r="D2552" s="213" t="s">
        <v>4369</v>
      </c>
      <c r="E2552" s="213" t="s">
        <v>333</v>
      </c>
      <c r="F2552" s="212" t="s">
        <v>4365</v>
      </c>
      <c r="G2552" s="212" t="str">
        <f t="shared" si="118"/>
        <v>101현금</v>
      </c>
      <c r="H2552" s="214">
        <v>150000</v>
      </c>
      <c r="I2552" s="214">
        <v>0</v>
      </c>
      <c r="J2552" s="214">
        <f t="shared" si="119"/>
        <v>-150000</v>
      </c>
      <c r="K2552" s="212" t="s">
        <v>6204</v>
      </c>
      <c r="L2552" s="213"/>
      <c r="M2552" s="212" t="s">
        <v>6380</v>
      </c>
    </row>
    <row r="2553" spans="1:13" ht="21" customHeight="1">
      <c r="A2553" s="213" t="s">
        <v>6553</v>
      </c>
      <c r="B2553" s="215">
        <f t="shared" si="117"/>
        <v>45826</v>
      </c>
      <c r="C2553" s="213" t="s">
        <v>4373</v>
      </c>
      <c r="D2553" s="213" t="s">
        <v>4369</v>
      </c>
      <c r="E2553" s="213" t="s">
        <v>4499</v>
      </c>
      <c r="F2553" s="212" t="s">
        <v>6517</v>
      </c>
      <c r="G2553" s="212" t="str">
        <f t="shared" si="118"/>
        <v>811복리후생비(판)</v>
      </c>
      <c r="H2553" s="214">
        <v>3000</v>
      </c>
      <c r="I2553" s="214">
        <v>0</v>
      </c>
      <c r="J2553" s="214">
        <f t="shared" si="119"/>
        <v>-3000</v>
      </c>
      <c r="K2553" s="212" t="s">
        <v>6288</v>
      </c>
      <c r="L2553" s="213"/>
      <c r="M2553" s="212"/>
    </row>
    <row r="2554" spans="1:13" ht="21" customHeight="1">
      <c r="A2554" s="213" t="s">
        <v>6553</v>
      </c>
      <c r="B2554" s="215">
        <f t="shared" si="117"/>
        <v>45826</v>
      </c>
      <c r="C2554" s="213" t="s">
        <v>4373</v>
      </c>
      <c r="D2554" s="213" t="s">
        <v>4366</v>
      </c>
      <c r="E2554" s="213" t="s">
        <v>333</v>
      </c>
      <c r="F2554" s="212" t="s">
        <v>4365</v>
      </c>
      <c r="G2554" s="212" t="str">
        <f t="shared" si="118"/>
        <v>101현금</v>
      </c>
      <c r="H2554" s="214">
        <v>0</v>
      </c>
      <c r="I2554" s="214">
        <v>3000</v>
      </c>
      <c r="J2554" s="214">
        <f t="shared" si="119"/>
        <v>3000</v>
      </c>
      <c r="K2554" s="212" t="s">
        <v>6369</v>
      </c>
      <c r="L2554" s="213"/>
      <c r="M2554" s="212"/>
    </row>
    <row r="2555" spans="1:13" ht="21" customHeight="1">
      <c r="A2555" s="213" t="s">
        <v>6553</v>
      </c>
      <c r="B2555" s="215">
        <f t="shared" si="117"/>
        <v>45826</v>
      </c>
      <c r="C2555" s="213" t="s">
        <v>4382</v>
      </c>
      <c r="D2555" s="213" t="s">
        <v>4369</v>
      </c>
      <c r="E2555" s="213" t="s">
        <v>4499</v>
      </c>
      <c r="F2555" s="212" t="s">
        <v>6517</v>
      </c>
      <c r="G2555" s="212" t="str">
        <f t="shared" si="118"/>
        <v>811복리후생비(판)</v>
      </c>
      <c r="H2555" s="214">
        <v>22000</v>
      </c>
      <c r="I2555" s="214">
        <v>0</v>
      </c>
      <c r="J2555" s="214">
        <f t="shared" si="119"/>
        <v>-22000</v>
      </c>
      <c r="K2555" s="212" t="s">
        <v>6556</v>
      </c>
      <c r="L2555" s="213"/>
      <c r="M2555" s="212"/>
    </row>
    <row r="2556" spans="1:13" ht="21" customHeight="1">
      <c r="A2556" s="213" t="s">
        <v>6553</v>
      </c>
      <c r="B2556" s="215">
        <f t="shared" si="117"/>
        <v>45826</v>
      </c>
      <c r="C2556" s="213" t="s">
        <v>4382</v>
      </c>
      <c r="D2556" s="213" t="s">
        <v>4366</v>
      </c>
      <c r="E2556" s="213" t="s">
        <v>333</v>
      </c>
      <c r="F2556" s="212" t="s">
        <v>4365</v>
      </c>
      <c r="G2556" s="212" t="str">
        <f t="shared" si="118"/>
        <v>101현금</v>
      </c>
      <c r="H2556" s="214">
        <v>0</v>
      </c>
      <c r="I2556" s="214">
        <v>22000</v>
      </c>
      <c r="J2556" s="214">
        <f t="shared" si="119"/>
        <v>22000</v>
      </c>
      <c r="K2556" s="212" t="s">
        <v>6369</v>
      </c>
      <c r="L2556" s="213"/>
      <c r="M2556" s="212"/>
    </row>
    <row r="2557" spans="1:13" ht="21" customHeight="1">
      <c r="A2557" s="213" t="s">
        <v>6553</v>
      </c>
      <c r="B2557" s="215">
        <f t="shared" si="117"/>
        <v>45826</v>
      </c>
      <c r="C2557" s="213" t="s">
        <v>4381</v>
      </c>
      <c r="D2557" s="213" t="s">
        <v>4369</v>
      </c>
      <c r="E2557" s="213" t="s">
        <v>4383</v>
      </c>
      <c r="F2557" s="212" t="s">
        <v>6525</v>
      </c>
      <c r="G2557" s="212" t="str">
        <f t="shared" si="118"/>
        <v>830소모품비(판)</v>
      </c>
      <c r="H2557" s="214">
        <v>20800</v>
      </c>
      <c r="I2557" s="214">
        <v>0</v>
      </c>
      <c r="J2557" s="214">
        <f t="shared" si="119"/>
        <v>-20800</v>
      </c>
      <c r="K2557" s="212" t="s">
        <v>6198</v>
      </c>
      <c r="L2557" s="213"/>
      <c r="M2557" s="212"/>
    </row>
    <row r="2558" spans="1:13" ht="21" customHeight="1">
      <c r="A2558" s="213" t="s">
        <v>6553</v>
      </c>
      <c r="B2558" s="215">
        <f t="shared" si="117"/>
        <v>45826</v>
      </c>
      <c r="C2558" s="213" t="s">
        <v>4381</v>
      </c>
      <c r="D2558" s="213" t="s">
        <v>4366</v>
      </c>
      <c r="E2558" s="213" t="s">
        <v>333</v>
      </c>
      <c r="F2558" s="212" t="s">
        <v>4365</v>
      </c>
      <c r="G2558" s="212" t="str">
        <f t="shared" si="118"/>
        <v>101현금</v>
      </c>
      <c r="H2558" s="214">
        <v>0</v>
      </c>
      <c r="I2558" s="214">
        <v>20800</v>
      </c>
      <c r="J2558" s="214">
        <f t="shared" si="119"/>
        <v>20800</v>
      </c>
      <c r="K2558" s="212" t="s">
        <v>6369</v>
      </c>
      <c r="L2558" s="213"/>
      <c r="M2558" s="212"/>
    </row>
    <row r="2559" spans="1:13" ht="21" customHeight="1">
      <c r="A2559" s="213" t="s">
        <v>6553</v>
      </c>
      <c r="B2559" s="215">
        <f t="shared" si="117"/>
        <v>45826</v>
      </c>
      <c r="C2559" s="213" t="s">
        <v>4379</v>
      </c>
      <c r="D2559" s="213" t="s">
        <v>4369</v>
      </c>
      <c r="E2559" s="213" t="s">
        <v>4380</v>
      </c>
      <c r="F2559" s="212" t="s">
        <v>6515</v>
      </c>
      <c r="G2559" s="212" t="str">
        <f t="shared" si="118"/>
        <v>812여비교통비(판)</v>
      </c>
      <c r="H2559" s="214">
        <v>1400</v>
      </c>
      <c r="I2559" s="214">
        <v>0</v>
      </c>
      <c r="J2559" s="214">
        <f t="shared" si="119"/>
        <v>-1400</v>
      </c>
      <c r="K2559" s="212" t="s">
        <v>6555</v>
      </c>
      <c r="L2559" s="213"/>
      <c r="M2559" s="212"/>
    </row>
    <row r="2560" spans="1:13" ht="21" customHeight="1">
      <c r="A2560" s="213" t="s">
        <v>6553</v>
      </c>
      <c r="B2560" s="215">
        <f t="shared" si="117"/>
        <v>45826</v>
      </c>
      <c r="C2560" s="213" t="s">
        <v>4379</v>
      </c>
      <c r="D2560" s="213" t="s">
        <v>4366</v>
      </c>
      <c r="E2560" s="213" t="s">
        <v>333</v>
      </c>
      <c r="F2560" s="212" t="s">
        <v>4365</v>
      </c>
      <c r="G2560" s="212" t="str">
        <f t="shared" si="118"/>
        <v>101현금</v>
      </c>
      <c r="H2560" s="214">
        <v>0</v>
      </c>
      <c r="I2560" s="214">
        <v>1400</v>
      </c>
      <c r="J2560" s="214">
        <f t="shared" si="119"/>
        <v>1400</v>
      </c>
      <c r="K2560" s="212" t="s">
        <v>6369</v>
      </c>
      <c r="L2560" s="213"/>
      <c r="M2560" s="212"/>
    </row>
    <row r="2561" spans="1:13" ht="21" customHeight="1">
      <c r="A2561" s="213" t="s">
        <v>6553</v>
      </c>
      <c r="B2561" s="215">
        <f t="shared" si="117"/>
        <v>45826</v>
      </c>
      <c r="C2561" s="213" t="s">
        <v>4385</v>
      </c>
      <c r="D2561" s="213" t="s">
        <v>4369</v>
      </c>
      <c r="E2561" s="213" t="s">
        <v>4380</v>
      </c>
      <c r="F2561" s="212" t="s">
        <v>6515</v>
      </c>
      <c r="G2561" s="212" t="str">
        <f t="shared" si="118"/>
        <v>812여비교통비(판)</v>
      </c>
      <c r="H2561" s="214">
        <v>2000</v>
      </c>
      <c r="I2561" s="214">
        <v>0</v>
      </c>
      <c r="J2561" s="214">
        <f t="shared" si="119"/>
        <v>-2000</v>
      </c>
      <c r="K2561" s="212" t="s">
        <v>6554</v>
      </c>
      <c r="L2561" s="213"/>
      <c r="M2561" s="212"/>
    </row>
    <row r="2562" spans="1:13" ht="21" customHeight="1">
      <c r="A2562" s="213" t="s">
        <v>6553</v>
      </c>
      <c r="B2562" s="215">
        <f t="shared" ref="B2562:B2625" si="120">DATEVALUE(A2562)</f>
        <v>45826</v>
      </c>
      <c r="C2562" s="213" t="s">
        <v>4385</v>
      </c>
      <c r="D2562" s="213" t="s">
        <v>4366</v>
      </c>
      <c r="E2562" s="213" t="s">
        <v>333</v>
      </c>
      <c r="F2562" s="212" t="s">
        <v>4365</v>
      </c>
      <c r="G2562" s="212" t="str">
        <f t="shared" ref="G2562:G2625" si="121">E2562&amp;F2562</f>
        <v>101현금</v>
      </c>
      <c r="H2562" s="214">
        <v>0</v>
      </c>
      <c r="I2562" s="214">
        <v>2000</v>
      </c>
      <c r="J2562" s="214">
        <f t="shared" ref="J2562:J2625" si="122">I2562-H2562</f>
        <v>2000</v>
      </c>
      <c r="K2562" s="212" t="s">
        <v>6369</v>
      </c>
      <c r="L2562" s="213"/>
      <c r="M2562" s="212"/>
    </row>
    <row r="2563" spans="1:13" ht="21" customHeight="1">
      <c r="A2563" s="213" t="s">
        <v>6552</v>
      </c>
      <c r="B2563" s="215">
        <f t="shared" si="120"/>
        <v>45827</v>
      </c>
      <c r="C2563" s="213" t="s">
        <v>4373</v>
      </c>
      <c r="D2563" s="213" t="s">
        <v>4369</v>
      </c>
      <c r="E2563" s="213" t="s">
        <v>4499</v>
      </c>
      <c r="F2563" s="212" t="s">
        <v>6517</v>
      </c>
      <c r="G2563" s="212" t="str">
        <f t="shared" si="121"/>
        <v>811복리후생비(판)</v>
      </c>
      <c r="H2563" s="214">
        <v>16000</v>
      </c>
      <c r="I2563" s="214">
        <v>0</v>
      </c>
      <c r="J2563" s="214">
        <f t="shared" si="122"/>
        <v>-16000</v>
      </c>
      <c r="K2563" s="212" t="s">
        <v>6516</v>
      </c>
      <c r="L2563" s="213"/>
      <c r="M2563" s="212"/>
    </row>
    <row r="2564" spans="1:13" ht="21" customHeight="1">
      <c r="A2564" s="213" t="s">
        <v>6552</v>
      </c>
      <c r="B2564" s="215">
        <f t="shared" si="120"/>
        <v>45827</v>
      </c>
      <c r="C2564" s="213" t="s">
        <v>4373</v>
      </c>
      <c r="D2564" s="213" t="s">
        <v>4366</v>
      </c>
      <c r="E2564" s="213" t="s">
        <v>333</v>
      </c>
      <c r="F2564" s="212" t="s">
        <v>4365</v>
      </c>
      <c r="G2564" s="212" t="str">
        <f t="shared" si="121"/>
        <v>101현금</v>
      </c>
      <c r="H2564" s="214">
        <v>0</v>
      </c>
      <c r="I2564" s="214">
        <v>16000</v>
      </c>
      <c r="J2564" s="214">
        <f t="shared" si="122"/>
        <v>16000</v>
      </c>
      <c r="K2564" s="212" t="s">
        <v>6369</v>
      </c>
      <c r="L2564" s="213"/>
      <c r="M2564" s="212"/>
    </row>
    <row r="2565" spans="1:13" ht="21" customHeight="1">
      <c r="A2565" s="213" t="s">
        <v>6552</v>
      </c>
      <c r="B2565" s="215">
        <f t="shared" si="120"/>
        <v>45827</v>
      </c>
      <c r="C2565" s="213" t="s">
        <v>4382</v>
      </c>
      <c r="D2565" s="213" t="s">
        <v>4369</v>
      </c>
      <c r="E2565" s="213" t="s">
        <v>4383</v>
      </c>
      <c r="F2565" s="212" t="s">
        <v>6525</v>
      </c>
      <c r="G2565" s="212" t="str">
        <f t="shared" si="121"/>
        <v>830소모품비(판)</v>
      </c>
      <c r="H2565" s="214">
        <v>8400</v>
      </c>
      <c r="I2565" s="214">
        <v>0</v>
      </c>
      <c r="J2565" s="214">
        <f t="shared" si="122"/>
        <v>-8400</v>
      </c>
      <c r="K2565" s="212" t="s">
        <v>6198</v>
      </c>
      <c r="L2565" s="213"/>
      <c r="M2565" s="212"/>
    </row>
    <row r="2566" spans="1:13" ht="21" customHeight="1">
      <c r="A2566" s="213" t="s">
        <v>6552</v>
      </c>
      <c r="B2566" s="215">
        <f t="shared" si="120"/>
        <v>45827</v>
      </c>
      <c r="C2566" s="213" t="s">
        <v>4382</v>
      </c>
      <c r="D2566" s="213" t="s">
        <v>4366</v>
      </c>
      <c r="E2566" s="213" t="s">
        <v>333</v>
      </c>
      <c r="F2566" s="212" t="s">
        <v>4365</v>
      </c>
      <c r="G2566" s="212" t="str">
        <f t="shared" si="121"/>
        <v>101현금</v>
      </c>
      <c r="H2566" s="214">
        <v>0</v>
      </c>
      <c r="I2566" s="214">
        <v>8400</v>
      </c>
      <c r="J2566" s="214">
        <f t="shared" si="122"/>
        <v>8400</v>
      </c>
      <c r="K2566" s="212" t="s">
        <v>6369</v>
      </c>
      <c r="L2566" s="213"/>
      <c r="M2566" s="212"/>
    </row>
    <row r="2567" spans="1:13" ht="21" customHeight="1">
      <c r="A2567" s="213" t="s">
        <v>6547</v>
      </c>
      <c r="B2567" s="215">
        <f t="shared" si="120"/>
        <v>45828</v>
      </c>
      <c r="C2567" s="213" t="s">
        <v>4373</v>
      </c>
      <c r="D2567" s="213" t="s">
        <v>4369</v>
      </c>
      <c r="E2567" s="213" t="s">
        <v>4499</v>
      </c>
      <c r="F2567" s="212" t="s">
        <v>6517</v>
      </c>
      <c r="G2567" s="212" t="str">
        <f t="shared" si="121"/>
        <v>811복리후생비(판)</v>
      </c>
      <c r="H2567" s="214">
        <v>20000</v>
      </c>
      <c r="I2567" s="214">
        <v>0</v>
      </c>
      <c r="J2567" s="214">
        <f t="shared" si="122"/>
        <v>-20000</v>
      </c>
      <c r="K2567" s="212" t="s">
        <v>6551</v>
      </c>
      <c r="L2567" s="213"/>
      <c r="M2567" s="212"/>
    </row>
    <row r="2568" spans="1:13" ht="21" customHeight="1">
      <c r="A2568" s="213" t="s">
        <v>6547</v>
      </c>
      <c r="B2568" s="215">
        <f t="shared" si="120"/>
        <v>45828</v>
      </c>
      <c r="C2568" s="213" t="s">
        <v>4373</v>
      </c>
      <c r="D2568" s="213" t="s">
        <v>4366</v>
      </c>
      <c r="E2568" s="213" t="s">
        <v>333</v>
      </c>
      <c r="F2568" s="212" t="s">
        <v>4365</v>
      </c>
      <c r="G2568" s="212" t="str">
        <f t="shared" si="121"/>
        <v>101현금</v>
      </c>
      <c r="H2568" s="214">
        <v>0</v>
      </c>
      <c r="I2568" s="214">
        <v>20000</v>
      </c>
      <c r="J2568" s="214">
        <f t="shared" si="122"/>
        <v>20000</v>
      </c>
      <c r="K2568" s="212" t="s">
        <v>6369</v>
      </c>
      <c r="L2568" s="213"/>
      <c r="M2568" s="212"/>
    </row>
    <row r="2569" spans="1:13" ht="21" customHeight="1">
      <c r="A2569" s="213" t="s">
        <v>6547</v>
      </c>
      <c r="B2569" s="215">
        <f t="shared" si="120"/>
        <v>45828</v>
      </c>
      <c r="C2569" s="213" t="s">
        <v>4382</v>
      </c>
      <c r="D2569" s="213" t="s">
        <v>4369</v>
      </c>
      <c r="E2569" s="213" t="s">
        <v>4499</v>
      </c>
      <c r="F2569" s="212" t="s">
        <v>6517</v>
      </c>
      <c r="G2569" s="212" t="str">
        <f t="shared" si="121"/>
        <v>811복리후생비(판)</v>
      </c>
      <c r="H2569" s="214">
        <v>4000</v>
      </c>
      <c r="I2569" s="214">
        <v>0</v>
      </c>
      <c r="J2569" s="214">
        <f t="shared" si="122"/>
        <v>-4000</v>
      </c>
      <c r="K2569" s="212" t="s">
        <v>6551</v>
      </c>
      <c r="L2569" s="213"/>
      <c r="M2569" s="212"/>
    </row>
    <row r="2570" spans="1:13" ht="21" customHeight="1">
      <c r="A2570" s="213" t="s">
        <v>6547</v>
      </c>
      <c r="B2570" s="215">
        <f t="shared" si="120"/>
        <v>45828</v>
      </c>
      <c r="C2570" s="213" t="s">
        <v>4382</v>
      </c>
      <c r="D2570" s="213" t="s">
        <v>4366</v>
      </c>
      <c r="E2570" s="213" t="s">
        <v>333</v>
      </c>
      <c r="F2570" s="212" t="s">
        <v>4365</v>
      </c>
      <c r="G2570" s="212" t="str">
        <f t="shared" si="121"/>
        <v>101현금</v>
      </c>
      <c r="H2570" s="214">
        <v>0</v>
      </c>
      <c r="I2570" s="214">
        <v>4000</v>
      </c>
      <c r="J2570" s="214">
        <f t="shared" si="122"/>
        <v>4000</v>
      </c>
      <c r="K2570" s="212" t="s">
        <v>6369</v>
      </c>
      <c r="L2570" s="213"/>
      <c r="M2570" s="212"/>
    </row>
    <row r="2571" spans="1:13" ht="21" customHeight="1">
      <c r="A2571" s="213" t="s">
        <v>6547</v>
      </c>
      <c r="B2571" s="215">
        <f t="shared" si="120"/>
        <v>45828</v>
      </c>
      <c r="C2571" s="213" t="s">
        <v>4381</v>
      </c>
      <c r="D2571" s="213" t="s">
        <v>4369</v>
      </c>
      <c r="E2571" s="213" t="s">
        <v>4383</v>
      </c>
      <c r="F2571" s="212" t="s">
        <v>6525</v>
      </c>
      <c r="G2571" s="212" t="str">
        <f t="shared" si="121"/>
        <v>830소모품비(판)</v>
      </c>
      <c r="H2571" s="214">
        <v>9000</v>
      </c>
      <c r="I2571" s="214">
        <v>0</v>
      </c>
      <c r="J2571" s="214">
        <f t="shared" si="122"/>
        <v>-9000</v>
      </c>
      <c r="K2571" s="212" t="s">
        <v>6550</v>
      </c>
      <c r="L2571" s="213"/>
      <c r="M2571" s="212"/>
    </row>
    <row r="2572" spans="1:13" ht="21" customHeight="1">
      <c r="A2572" s="213" t="s">
        <v>6547</v>
      </c>
      <c r="B2572" s="215">
        <f t="shared" si="120"/>
        <v>45828</v>
      </c>
      <c r="C2572" s="213" t="s">
        <v>4381</v>
      </c>
      <c r="D2572" s="213" t="s">
        <v>4366</v>
      </c>
      <c r="E2572" s="213" t="s">
        <v>333</v>
      </c>
      <c r="F2572" s="212" t="s">
        <v>4365</v>
      </c>
      <c r="G2572" s="212" t="str">
        <f t="shared" si="121"/>
        <v>101현금</v>
      </c>
      <c r="H2572" s="214">
        <v>0</v>
      </c>
      <c r="I2572" s="214">
        <v>9000</v>
      </c>
      <c r="J2572" s="214">
        <f t="shared" si="122"/>
        <v>9000</v>
      </c>
      <c r="K2572" s="212" t="s">
        <v>6369</v>
      </c>
      <c r="L2572" s="213"/>
      <c r="M2572" s="212"/>
    </row>
    <row r="2573" spans="1:13" ht="21" customHeight="1">
      <c r="A2573" s="213" t="s">
        <v>6547</v>
      </c>
      <c r="B2573" s="215">
        <f t="shared" si="120"/>
        <v>45828</v>
      </c>
      <c r="C2573" s="213" t="s">
        <v>4379</v>
      </c>
      <c r="D2573" s="213" t="s">
        <v>4366</v>
      </c>
      <c r="E2573" s="213" t="s">
        <v>333</v>
      </c>
      <c r="F2573" s="212" t="s">
        <v>4365</v>
      </c>
      <c r="G2573" s="212" t="str">
        <f t="shared" si="121"/>
        <v>101현금</v>
      </c>
      <c r="H2573" s="214">
        <v>0</v>
      </c>
      <c r="I2573" s="214">
        <v>24130</v>
      </c>
      <c r="J2573" s="214">
        <f t="shared" si="122"/>
        <v>24130</v>
      </c>
      <c r="K2573" s="212" t="s">
        <v>6370</v>
      </c>
      <c r="L2573" s="213"/>
      <c r="M2573" s="212"/>
    </row>
    <row r="2574" spans="1:13" ht="21" customHeight="1">
      <c r="A2574" s="213" t="s">
        <v>6547</v>
      </c>
      <c r="B2574" s="215">
        <f t="shared" si="120"/>
        <v>45828</v>
      </c>
      <c r="C2574" s="213" t="s">
        <v>4379</v>
      </c>
      <c r="D2574" s="213" t="s">
        <v>4369</v>
      </c>
      <c r="E2574" s="213" t="s">
        <v>4368</v>
      </c>
      <c r="F2574" s="212" t="s">
        <v>6388</v>
      </c>
      <c r="G2574" s="212" t="str">
        <f t="shared" si="121"/>
        <v>831지급수수료(판)</v>
      </c>
      <c r="H2574" s="214">
        <v>24130</v>
      </c>
      <c r="I2574" s="214">
        <v>0</v>
      </c>
      <c r="J2574" s="214">
        <f t="shared" si="122"/>
        <v>-24130</v>
      </c>
      <c r="K2574" s="212" t="s">
        <v>6549</v>
      </c>
      <c r="L2574" s="213"/>
      <c r="M2574" s="212"/>
    </row>
    <row r="2575" spans="1:13" ht="21" customHeight="1">
      <c r="A2575" s="213" t="s">
        <v>6547</v>
      </c>
      <c r="B2575" s="215">
        <f t="shared" si="120"/>
        <v>45828</v>
      </c>
      <c r="C2575" s="213" t="s">
        <v>4385</v>
      </c>
      <c r="D2575" s="213" t="s">
        <v>4366</v>
      </c>
      <c r="E2575" s="213" t="s">
        <v>333</v>
      </c>
      <c r="F2575" s="212" t="s">
        <v>4365</v>
      </c>
      <c r="G2575" s="212" t="str">
        <f t="shared" si="121"/>
        <v>101현금</v>
      </c>
      <c r="H2575" s="214">
        <v>0</v>
      </c>
      <c r="I2575" s="214">
        <v>42650</v>
      </c>
      <c r="J2575" s="214">
        <f t="shared" si="122"/>
        <v>42650</v>
      </c>
      <c r="K2575" s="212" t="s">
        <v>6370</v>
      </c>
      <c r="L2575" s="213"/>
      <c r="M2575" s="212"/>
    </row>
    <row r="2576" spans="1:13" ht="21" customHeight="1">
      <c r="A2576" s="213" t="s">
        <v>6547</v>
      </c>
      <c r="B2576" s="215">
        <f t="shared" si="120"/>
        <v>45828</v>
      </c>
      <c r="C2576" s="213" t="s">
        <v>4385</v>
      </c>
      <c r="D2576" s="213" t="s">
        <v>4369</v>
      </c>
      <c r="E2576" s="213" t="s">
        <v>4368</v>
      </c>
      <c r="F2576" s="212" t="s">
        <v>6388</v>
      </c>
      <c r="G2576" s="212" t="str">
        <f t="shared" si="121"/>
        <v>831지급수수료(판)</v>
      </c>
      <c r="H2576" s="214">
        <v>42650</v>
      </c>
      <c r="I2576" s="214">
        <v>0</v>
      </c>
      <c r="J2576" s="214">
        <f t="shared" si="122"/>
        <v>-42650</v>
      </c>
      <c r="K2576" s="212" t="s">
        <v>6549</v>
      </c>
      <c r="L2576" s="213"/>
      <c r="M2576" s="212"/>
    </row>
    <row r="2577" spans="1:13" ht="21" customHeight="1">
      <c r="A2577" s="213" t="s">
        <v>6547</v>
      </c>
      <c r="B2577" s="215">
        <f t="shared" si="120"/>
        <v>45828</v>
      </c>
      <c r="C2577" s="213" t="s">
        <v>4501</v>
      </c>
      <c r="D2577" s="213" t="s">
        <v>4369</v>
      </c>
      <c r="E2577" s="213" t="s">
        <v>4500</v>
      </c>
      <c r="F2577" s="212" t="s">
        <v>6418</v>
      </c>
      <c r="G2577" s="212" t="str">
        <f t="shared" si="121"/>
        <v>822차량유지비(판)</v>
      </c>
      <c r="H2577" s="214">
        <v>50000</v>
      </c>
      <c r="I2577" s="214">
        <v>0</v>
      </c>
      <c r="J2577" s="214">
        <f t="shared" si="122"/>
        <v>-50000</v>
      </c>
      <c r="K2577" s="212" t="s">
        <v>6195</v>
      </c>
      <c r="L2577" s="213"/>
      <c r="M2577" s="212"/>
    </row>
    <row r="2578" spans="1:13" ht="21" customHeight="1">
      <c r="A2578" s="213" t="s">
        <v>6547</v>
      </c>
      <c r="B2578" s="215">
        <f t="shared" si="120"/>
        <v>45828</v>
      </c>
      <c r="C2578" s="213" t="s">
        <v>4501</v>
      </c>
      <c r="D2578" s="213" t="s">
        <v>4366</v>
      </c>
      <c r="E2578" s="213" t="s">
        <v>333</v>
      </c>
      <c r="F2578" s="212" t="s">
        <v>4365</v>
      </c>
      <c r="G2578" s="212" t="str">
        <f t="shared" si="121"/>
        <v>101현금</v>
      </c>
      <c r="H2578" s="214">
        <v>0</v>
      </c>
      <c r="I2578" s="214">
        <v>50000</v>
      </c>
      <c r="J2578" s="214">
        <f t="shared" si="122"/>
        <v>50000</v>
      </c>
      <c r="K2578" s="212" t="s">
        <v>6370</v>
      </c>
      <c r="L2578" s="213"/>
      <c r="M2578" s="212"/>
    </row>
    <row r="2579" spans="1:13" ht="21" customHeight="1">
      <c r="A2579" s="213" t="s">
        <v>6547</v>
      </c>
      <c r="B2579" s="215">
        <f t="shared" si="120"/>
        <v>45828</v>
      </c>
      <c r="C2579" s="213" t="s">
        <v>4502</v>
      </c>
      <c r="D2579" s="213" t="s">
        <v>4369</v>
      </c>
      <c r="E2579" s="213" t="s">
        <v>4499</v>
      </c>
      <c r="F2579" s="212" t="s">
        <v>6517</v>
      </c>
      <c r="G2579" s="212" t="str">
        <f t="shared" si="121"/>
        <v>811복리후생비(판)</v>
      </c>
      <c r="H2579" s="214">
        <v>23042</v>
      </c>
      <c r="I2579" s="214">
        <v>0</v>
      </c>
      <c r="J2579" s="214">
        <f t="shared" si="122"/>
        <v>-23042</v>
      </c>
      <c r="K2579" s="212" t="s">
        <v>6548</v>
      </c>
      <c r="L2579" s="213"/>
      <c r="M2579" s="212"/>
    </row>
    <row r="2580" spans="1:13" ht="21" customHeight="1">
      <c r="A2580" s="213" t="s">
        <v>6547</v>
      </c>
      <c r="B2580" s="215">
        <f t="shared" si="120"/>
        <v>45828</v>
      </c>
      <c r="C2580" s="213" t="s">
        <v>4502</v>
      </c>
      <c r="D2580" s="213" t="s">
        <v>4366</v>
      </c>
      <c r="E2580" s="213" t="s">
        <v>333</v>
      </c>
      <c r="F2580" s="212" t="s">
        <v>4365</v>
      </c>
      <c r="G2580" s="212" t="str">
        <f t="shared" si="121"/>
        <v>101현금</v>
      </c>
      <c r="H2580" s="214">
        <v>0</v>
      </c>
      <c r="I2580" s="214">
        <v>23042</v>
      </c>
      <c r="J2580" s="214">
        <f t="shared" si="122"/>
        <v>23042</v>
      </c>
      <c r="K2580" s="212" t="s">
        <v>6548</v>
      </c>
      <c r="L2580" s="213"/>
      <c r="M2580" s="212"/>
    </row>
    <row r="2581" spans="1:13" ht="21" customHeight="1">
      <c r="A2581" s="213" t="s">
        <v>6547</v>
      </c>
      <c r="B2581" s="215">
        <f t="shared" si="120"/>
        <v>45828</v>
      </c>
      <c r="C2581" s="213" t="s">
        <v>4367</v>
      </c>
      <c r="D2581" s="213" t="s">
        <v>4369</v>
      </c>
      <c r="E2581" s="213" t="s">
        <v>6212</v>
      </c>
      <c r="F2581" s="212" t="s">
        <v>6402</v>
      </c>
      <c r="G2581" s="212" t="str">
        <f t="shared" si="121"/>
        <v>837건물관리비(판)</v>
      </c>
      <c r="H2581" s="214">
        <v>157360</v>
      </c>
      <c r="I2581" s="214">
        <v>0</v>
      </c>
      <c r="J2581" s="214">
        <f t="shared" si="122"/>
        <v>-157360</v>
      </c>
      <c r="K2581" s="212" t="s">
        <v>6213</v>
      </c>
      <c r="L2581" s="213"/>
      <c r="M2581" s="212" t="s">
        <v>6214</v>
      </c>
    </row>
    <row r="2582" spans="1:13" ht="21" customHeight="1">
      <c r="A2582" s="213" t="s">
        <v>6547</v>
      </c>
      <c r="B2582" s="215">
        <f t="shared" si="120"/>
        <v>45828</v>
      </c>
      <c r="C2582" s="213" t="s">
        <v>4367</v>
      </c>
      <c r="D2582" s="213" t="s">
        <v>4366</v>
      </c>
      <c r="E2582" s="213" t="s">
        <v>333</v>
      </c>
      <c r="F2582" s="212" t="s">
        <v>4365</v>
      </c>
      <c r="G2582" s="212" t="str">
        <f t="shared" si="121"/>
        <v>101현금</v>
      </c>
      <c r="H2582" s="214">
        <v>0</v>
      </c>
      <c r="I2582" s="214">
        <v>157360</v>
      </c>
      <c r="J2582" s="214">
        <f t="shared" si="122"/>
        <v>157360</v>
      </c>
      <c r="K2582" s="212" t="s">
        <v>6213</v>
      </c>
      <c r="L2582" s="213"/>
      <c r="M2582" s="212" t="s">
        <v>6214</v>
      </c>
    </row>
    <row r="2583" spans="1:13" ht="21" customHeight="1">
      <c r="A2583" s="217" t="s">
        <v>6546</v>
      </c>
      <c r="B2583" s="215">
        <f t="shared" si="120"/>
        <v>45829</v>
      </c>
      <c r="C2583" s="213" t="s">
        <v>4373</v>
      </c>
      <c r="D2583" s="213" t="s">
        <v>4369</v>
      </c>
      <c r="E2583" s="213" t="s">
        <v>4499</v>
      </c>
      <c r="F2583" s="212" t="s">
        <v>6517</v>
      </c>
      <c r="G2583" s="212" t="str">
        <f t="shared" si="121"/>
        <v>811복리후생비(판)</v>
      </c>
      <c r="H2583" s="214">
        <v>4500</v>
      </c>
      <c r="I2583" s="214">
        <v>0</v>
      </c>
      <c r="J2583" s="214">
        <f t="shared" si="122"/>
        <v>-4500</v>
      </c>
      <c r="K2583" s="212" t="s">
        <v>6378</v>
      </c>
      <c r="L2583" s="213"/>
      <c r="M2583" s="212"/>
    </row>
    <row r="2584" spans="1:13" ht="21" customHeight="1">
      <c r="A2584" s="217" t="s">
        <v>6546</v>
      </c>
      <c r="B2584" s="215">
        <f t="shared" si="120"/>
        <v>45829</v>
      </c>
      <c r="C2584" s="213" t="s">
        <v>4373</v>
      </c>
      <c r="D2584" s="213" t="s">
        <v>4366</v>
      </c>
      <c r="E2584" s="213" t="s">
        <v>333</v>
      </c>
      <c r="F2584" s="212" t="s">
        <v>4365</v>
      </c>
      <c r="G2584" s="212" t="str">
        <f t="shared" si="121"/>
        <v>101현금</v>
      </c>
      <c r="H2584" s="214">
        <v>0</v>
      </c>
      <c r="I2584" s="214">
        <v>4500</v>
      </c>
      <c r="J2584" s="214">
        <f t="shared" si="122"/>
        <v>4500</v>
      </c>
      <c r="K2584" s="212" t="s">
        <v>6369</v>
      </c>
      <c r="L2584" s="213"/>
      <c r="M2584" s="212"/>
    </row>
    <row r="2585" spans="1:13" ht="21" customHeight="1">
      <c r="A2585" s="217" t="s">
        <v>6546</v>
      </c>
      <c r="B2585" s="215">
        <f t="shared" si="120"/>
        <v>45829</v>
      </c>
      <c r="C2585" s="213" t="s">
        <v>4382</v>
      </c>
      <c r="D2585" s="213" t="s">
        <v>4369</v>
      </c>
      <c r="E2585" s="213" t="s">
        <v>4380</v>
      </c>
      <c r="F2585" s="212" t="s">
        <v>6515</v>
      </c>
      <c r="G2585" s="212" t="str">
        <f t="shared" si="121"/>
        <v>812여비교통비(판)</v>
      </c>
      <c r="H2585" s="214">
        <v>3600</v>
      </c>
      <c r="I2585" s="214">
        <v>0</v>
      </c>
      <c r="J2585" s="214">
        <f t="shared" si="122"/>
        <v>-3600</v>
      </c>
      <c r="K2585" s="212" t="s">
        <v>6305</v>
      </c>
      <c r="L2585" s="213"/>
      <c r="M2585" s="212"/>
    </row>
    <row r="2586" spans="1:13" ht="21" customHeight="1">
      <c r="A2586" s="217" t="s">
        <v>6546</v>
      </c>
      <c r="B2586" s="215">
        <f t="shared" si="120"/>
        <v>45829</v>
      </c>
      <c r="C2586" s="213" t="s">
        <v>4382</v>
      </c>
      <c r="D2586" s="213" t="s">
        <v>4366</v>
      </c>
      <c r="E2586" s="213" t="s">
        <v>333</v>
      </c>
      <c r="F2586" s="212" t="s">
        <v>4365</v>
      </c>
      <c r="G2586" s="212" t="str">
        <f t="shared" si="121"/>
        <v>101현금</v>
      </c>
      <c r="H2586" s="214">
        <v>0</v>
      </c>
      <c r="I2586" s="214">
        <v>3600</v>
      </c>
      <c r="J2586" s="214">
        <f t="shared" si="122"/>
        <v>3600</v>
      </c>
      <c r="K2586" s="212" t="s">
        <v>6369</v>
      </c>
      <c r="L2586" s="213"/>
      <c r="M2586" s="212"/>
    </row>
    <row r="2587" spans="1:13" ht="21" customHeight="1">
      <c r="A2587" s="217" t="s">
        <v>6546</v>
      </c>
      <c r="B2587" s="215">
        <f t="shared" si="120"/>
        <v>45829</v>
      </c>
      <c r="C2587" s="213" t="s">
        <v>4367</v>
      </c>
      <c r="D2587" s="213" t="s">
        <v>4369</v>
      </c>
      <c r="E2587" s="213" t="s">
        <v>4371</v>
      </c>
      <c r="F2587" s="212" t="s">
        <v>4370</v>
      </c>
      <c r="G2587" s="212" t="str">
        <f t="shared" si="121"/>
        <v>135부가세대급금</v>
      </c>
      <c r="H2587" s="214">
        <v>11518</v>
      </c>
      <c r="I2587" s="214">
        <v>0</v>
      </c>
      <c r="J2587" s="214">
        <f t="shared" si="122"/>
        <v>-11518</v>
      </c>
      <c r="K2587" s="212" t="s">
        <v>6197</v>
      </c>
      <c r="L2587" s="213"/>
      <c r="M2587" s="212"/>
    </row>
    <row r="2588" spans="1:13" ht="21" customHeight="1">
      <c r="A2588" s="217" t="s">
        <v>6546</v>
      </c>
      <c r="B2588" s="215">
        <f t="shared" si="120"/>
        <v>45829</v>
      </c>
      <c r="C2588" s="213" t="s">
        <v>4367</v>
      </c>
      <c r="D2588" s="213" t="s">
        <v>4369</v>
      </c>
      <c r="E2588" s="213" t="s">
        <v>4383</v>
      </c>
      <c r="F2588" s="212" t="s">
        <v>6525</v>
      </c>
      <c r="G2588" s="212" t="str">
        <f t="shared" si="121"/>
        <v>830소모품비(판)</v>
      </c>
      <c r="H2588" s="214">
        <v>115182</v>
      </c>
      <c r="I2588" s="214">
        <v>0</v>
      </c>
      <c r="J2588" s="214">
        <f t="shared" si="122"/>
        <v>-115182</v>
      </c>
      <c r="K2588" s="212" t="s">
        <v>6197</v>
      </c>
      <c r="L2588" s="213"/>
      <c r="M2588" s="212"/>
    </row>
    <row r="2589" spans="1:13" ht="21" customHeight="1">
      <c r="A2589" s="217" t="s">
        <v>6546</v>
      </c>
      <c r="B2589" s="215">
        <f t="shared" si="120"/>
        <v>45829</v>
      </c>
      <c r="C2589" s="213" t="s">
        <v>4367</v>
      </c>
      <c r="D2589" s="213" t="s">
        <v>4366</v>
      </c>
      <c r="E2589" s="213" t="s">
        <v>333</v>
      </c>
      <c r="F2589" s="212" t="s">
        <v>4365</v>
      </c>
      <c r="G2589" s="212" t="str">
        <f t="shared" si="121"/>
        <v>101현금</v>
      </c>
      <c r="H2589" s="214">
        <v>0</v>
      </c>
      <c r="I2589" s="214">
        <v>126700</v>
      </c>
      <c r="J2589" s="214">
        <f t="shared" si="122"/>
        <v>126700</v>
      </c>
      <c r="K2589" s="212" t="s">
        <v>6371</v>
      </c>
      <c r="L2589" s="213"/>
      <c r="M2589" s="212"/>
    </row>
    <row r="2590" spans="1:13" ht="21" customHeight="1">
      <c r="A2590" s="216" t="s">
        <v>6542</v>
      </c>
      <c r="B2590" s="215">
        <f t="shared" si="120"/>
        <v>45830</v>
      </c>
      <c r="C2590" s="213" t="s">
        <v>4373</v>
      </c>
      <c r="D2590" s="213" t="s">
        <v>4369</v>
      </c>
      <c r="E2590" s="213" t="s">
        <v>4504</v>
      </c>
      <c r="F2590" s="212" t="s">
        <v>6545</v>
      </c>
      <c r="G2590" s="212" t="str">
        <f t="shared" si="121"/>
        <v>826도서인쇄비(판)</v>
      </c>
      <c r="H2590" s="214">
        <v>29300</v>
      </c>
      <c r="I2590" s="214">
        <v>0</v>
      </c>
      <c r="J2590" s="214">
        <f t="shared" si="122"/>
        <v>-29300</v>
      </c>
      <c r="K2590" s="212" t="s">
        <v>6289</v>
      </c>
      <c r="L2590" s="213"/>
      <c r="M2590" s="212"/>
    </row>
    <row r="2591" spans="1:13" ht="21" customHeight="1">
      <c r="A2591" s="216" t="s">
        <v>6542</v>
      </c>
      <c r="B2591" s="215">
        <f t="shared" si="120"/>
        <v>45830</v>
      </c>
      <c r="C2591" s="213" t="s">
        <v>4373</v>
      </c>
      <c r="D2591" s="213" t="s">
        <v>4366</v>
      </c>
      <c r="E2591" s="213" t="s">
        <v>333</v>
      </c>
      <c r="F2591" s="212" t="s">
        <v>4365</v>
      </c>
      <c r="G2591" s="212" t="str">
        <f t="shared" si="121"/>
        <v>101현금</v>
      </c>
      <c r="H2591" s="214">
        <v>0</v>
      </c>
      <c r="I2591" s="214">
        <v>29300</v>
      </c>
      <c r="J2591" s="214">
        <f t="shared" si="122"/>
        <v>29300</v>
      </c>
      <c r="K2591" s="212" t="s">
        <v>6371</v>
      </c>
      <c r="L2591" s="213"/>
      <c r="M2591" s="212"/>
    </row>
    <row r="2592" spans="1:13" ht="21" customHeight="1">
      <c r="A2592" s="216" t="s">
        <v>6542</v>
      </c>
      <c r="B2592" s="215">
        <f t="shared" si="120"/>
        <v>45830</v>
      </c>
      <c r="C2592" s="213" t="s">
        <v>4382</v>
      </c>
      <c r="D2592" s="213" t="s">
        <v>4369</v>
      </c>
      <c r="E2592" s="213" t="s">
        <v>4499</v>
      </c>
      <c r="F2592" s="212" t="s">
        <v>6517</v>
      </c>
      <c r="G2592" s="212" t="str">
        <f t="shared" si="121"/>
        <v>811복리후생비(판)</v>
      </c>
      <c r="H2592" s="214">
        <v>21000</v>
      </c>
      <c r="I2592" s="214">
        <v>0</v>
      </c>
      <c r="J2592" s="214">
        <f t="shared" si="122"/>
        <v>-21000</v>
      </c>
      <c r="K2592" s="212" t="s">
        <v>6544</v>
      </c>
      <c r="L2592" s="213"/>
      <c r="M2592" s="212"/>
    </row>
    <row r="2593" spans="1:13" ht="21" customHeight="1">
      <c r="A2593" s="216" t="s">
        <v>6542</v>
      </c>
      <c r="B2593" s="215">
        <f t="shared" si="120"/>
        <v>45830</v>
      </c>
      <c r="C2593" s="213" t="s">
        <v>4382</v>
      </c>
      <c r="D2593" s="213" t="s">
        <v>4366</v>
      </c>
      <c r="E2593" s="213" t="s">
        <v>333</v>
      </c>
      <c r="F2593" s="212" t="s">
        <v>4365</v>
      </c>
      <c r="G2593" s="212" t="str">
        <f t="shared" si="121"/>
        <v>101현금</v>
      </c>
      <c r="H2593" s="214">
        <v>0</v>
      </c>
      <c r="I2593" s="214">
        <v>21000</v>
      </c>
      <c r="J2593" s="214">
        <f t="shared" si="122"/>
        <v>21000</v>
      </c>
      <c r="K2593" s="212" t="s">
        <v>6369</v>
      </c>
      <c r="L2593" s="213"/>
      <c r="M2593" s="212"/>
    </row>
    <row r="2594" spans="1:13" ht="21" customHeight="1">
      <c r="A2594" s="216" t="s">
        <v>6542</v>
      </c>
      <c r="B2594" s="215">
        <f t="shared" si="120"/>
        <v>45830</v>
      </c>
      <c r="C2594" s="213" t="s">
        <v>4381</v>
      </c>
      <c r="D2594" s="213" t="s">
        <v>4369</v>
      </c>
      <c r="E2594" s="213" t="s">
        <v>4499</v>
      </c>
      <c r="F2594" s="212" t="s">
        <v>6517</v>
      </c>
      <c r="G2594" s="212" t="str">
        <f t="shared" si="121"/>
        <v>811복리후생비(판)</v>
      </c>
      <c r="H2594" s="214">
        <v>12100</v>
      </c>
      <c r="I2594" s="214">
        <v>0</v>
      </c>
      <c r="J2594" s="214">
        <f t="shared" si="122"/>
        <v>-12100</v>
      </c>
      <c r="K2594" s="212" t="s">
        <v>6543</v>
      </c>
      <c r="L2594" s="213"/>
      <c r="M2594" s="212"/>
    </row>
    <row r="2595" spans="1:13" ht="21" customHeight="1">
      <c r="A2595" s="216" t="s">
        <v>6542</v>
      </c>
      <c r="B2595" s="215">
        <f t="shared" si="120"/>
        <v>45830</v>
      </c>
      <c r="C2595" s="213" t="s">
        <v>4381</v>
      </c>
      <c r="D2595" s="213" t="s">
        <v>4366</v>
      </c>
      <c r="E2595" s="213" t="s">
        <v>333</v>
      </c>
      <c r="F2595" s="212" t="s">
        <v>4365</v>
      </c>
      <c r="G2595" s="212" t="str">
        <f t="shared" si="121"/>
        <v>101현금</v>
      </c>
      <c r="H2595" s="214">
        <v>0</v>
      </c>
      <c r="I2595" s="214">
        <v>12100</v>
      </c>
      <c r="J2595" s="214">
        <f t="shared" si="122"/>
        <v>12100</v>
      </c>
      <c r="K2595" s="212" t="s">
        <v>6369</v>
      </c>
      <c r="L2595" s="213"/>
      <c r="M2595" s="212"/>
    </row>
    <row r="2596" spans="1:13" ht="21" customHeight="1">
      <c r="A2596" s="216" t="s">
        <v>6542</v>
      </c>
      <c r="B2596" s="215">
        <f t="shared" si="120"/>
        <v>45830</v>
      </c>
      <c r="C2596" s="213" t="s">
        <v>4379</v>
      </c>
      <c r="D2596" s="213" t="s">
        <v>4369</v>
      </c>
      <c r="E2596" s="213" t="s">
        <v>4383</v>
      </c>
      <c r="F2596" s="212" t="s">
        <v>6525</v>
      </c>
      <c r="G2596" s="212" t="str">
        <f t="shared" si="121"/>
        <v>830소모품비(판)</v>
      </c>
      <c r="H2596" s="214">
        <v>5480</v>
      </c>
      <c r="I2596" s="214">
        <v>0</v>
      </c>
      <c r="J2596" s="214">
        <f t="shared" si="122"/>
        <v>-5480</v>
      </c>
      <c r="K2596" s="212" t="s">
        <v>6203</v>
      </c>
      <c r="L2596" s="213"/>
      <c r="M2596" s="212"/>
    </row>
    <row r="2597" spans="1:13" ht="21" customHeight="1">
      <c r="A2597" s="216" t="s">
        <v>6542</v>
      </c>
      <c r="B2597" s="215">
        <f t="shared" si="120"/>
        <v>45830</v>
      </c>
      <c r="C2597" s="213" t="s">
        <v>4379</v>
      </c>
      <c r="D2597" s="213" t="s">
        <v>4366</v>
      </c>
      <c r="E2597" s="213" t="s">
        <v>333</v>
      </c>
      <c r="F2597" s="212" t="s">
        <v>4365</v>
      </c>
      <c r="G2597" s="212" t="str">
        <f t="shared" si="121"/>
        <v>101현금</v>
      </c>
      <c r="H2597" s="214">
        <v>0</v>
      </c>
      <c r="I2597" s="214">
        <v>5480</v>
      </c>
      <c r="J2597" s="214">
        <f t="shared" si="122"/>
        <v>5480</v>
      </c>
      <c r="K2597" s="212" t="s">
        <v>6369</v>
      </c>
      <c r="L2597" s="213"/>
      <c r="M2597" s="212"/>
    </row>
    <row r="2598" spans="1:13" ht="21" customHeight="1">
      <c r="A2598" s="216" t="s">
        <v>6542</v>
      </c>
      <c r="B2598" s="215">
        <f t="shared" si="120"/>
        <v>45830</v>
      </c>
      <c r="C2598" s="213" t="s">
        <v>4385</v>
      </c>
      <c r="D2598" s="213" t="s">
        <v>4369</v>
      </c>
      <c r="E2598" s="213" t="s">
        <v>4380</v>
      </c>
      <c r="F2598" s="212" t="s">
        <v>6515</v>
      </c>
      <c r="G2598" s="212" t="str">
        <f t="shared" si="121"/>
        <v>812여비교통비(판)</v>
      </c>
      <c r="H2598" s="214">
        <v>1800</v>
      </c>
      <c r="I2598" s="214">
        <v>0</v>
      </c>
      <c r="J2598" s="214">
        <f t="shared" si="122"/>
        <v>-1800</v>
      </c>
      <c r="K2598" s="212" t="s">
        <v>6305</v>
      </c>
      <c r="L2598" s="213"/>
      <c r="M2598" s="212"/>
    </row>
    <row r="2599" spans="1:13" ht="21" customHeight="1">
      <c r="A2599" s="216" t="s">
        <v>6542</v>
      </c>
      <c r="B2599" s="215">
        <f t="shared" si="120"/>
        <v>45830</v>
      </c>
      <c r="C2599" s="213" t="s">
        <v>4385</v>
      </c>
      <c r="D2599" s="213" t="s">
        <v>4366</v>
      </c>
      <c r="E2599" s="213" t="s">
        <v>333</v>
      </c>
      <c r="F2599" s="212" t="s">
        <v>4365</v>
      </c>
      <c r="G2599" s="212" t="str">
        <f t="shared" si="121"/>
        <v>101현금</v>
      </c>
      <c r="H2599" s="214">
        <v>0</v>
      </c>
      <c r="I2599" s="214">
        <v>1800</v>
      </c>
      <c r="J2599" s="214">
        <f t="shared" si="122"/>
        <v>1800</v>
      </c>
      <c r="K2599" s="212" t="s">
        <v>6369</v>
      </c>
      <c r="L2599" s="213"/>
      <c r="M2599" s="212"/>
    </row>
    <row r="2600" spans="1:13" ht="21" customHeight="1">
      <c r="A2600" s="216" t="s">
        <v>6542</v>
      </c>
      <c r="B2600" s="215">
        <f t="shared" si="120"/>
        <v>45830</v>
      </c>
      <c r="C2600" s="213" t="s">
        <v>4501</v>
      </c>
      <c r="D2600" s="213" t="s">
        <v>4369</v>
      </c>
      <c r="E2600" s="213" t="s">
        <v>4368</v>
      </c>
      <c r="F2600" s="212" t="s">
        <v>6388</v>
      </c>
      <c r="G2600" s="212" t="str">
        <f t="shared" si="121"/>
        <v>831지급수수료(판)</v>
      </c>
      <c r="H2600" s="214">
        <v>9000</v>
      </c>
      <c r="I2600" s="214">
        <v>0</v>
      </c>
      <c r="J2600" s="214">
        <f t="shared" si="122"/>
        <v>-9000</v>
      </c>
      <c r="K2600" s="212" t="s">
        <v>6351</v>
      </c>
      <c r="L2600" s="213"/>
      <c r="M2600" s="212"/>
    </row>
    <row r="2601" spans="1:13" ht="21" customHeight="1">
      <c r="A2601" s="216" t="s">
        <v>6542</v>
      </c>
      <c r="B2601" s="215">
        <f t="shared" si="120"/>
        <v>45830</v>
      </c>
      <c r="C2601" s="213" t="s">
        <v>4501</v>
      </c>
      <c r="D2601" s="213" t="s">
        <v>4366</v>
      </c>
      <c r="E2601" s="213" t="s">
        <v>333</v>
      </c>
      <c r="F2601" s="212" t="s">
        <v>4365</v>
      </c>
      <c r="G2601" s="212" t="str">
        <f t="shared" si="121"/>
        <v>101현금</v>
      </c>
      <c r="H2601" s="214">
        <v>0</v>
      </c>
      <c r="I2601" s="214">
        <v>9000</v>
      </c>
      <c r="J2601" s="214">
        <f t="shared" si="122"/>
        <v>9000</v>
      </c>
      <c r="K2601" s="212" t="s">
        <v>6369</v>
      </c>
      <c r="L2601" s="213"/>
      <c r="M2601" s="212"/>
    </row>
    <row r="2602" spans="1:13" ht="21" customHeight="1">
      <c r="A2602" s="213" t="s">
        <v>6540</v>
      </c>
      <c r="B2602" s="215">
        <f t="shared" si="120"/>
        <v>45831</v>
      </c>
      <c r="C2602" s="213" t="s">
        <v>4373</v>
      </c>
      <c r="D2602" s="213" t="s">
        <v>4369</v>
      </c>
      <c r="E2602" s="213" t="s">
        <v>4383</v>
      </c>
      <c r="F2602" s="212" t="s">
        <v>6525</v>
      </c>
      <c r="G2602" s="212" t="str">
        <f t="shared" si="121"/>
        <v>830소모품비(판)</v>
      </c>
      <c r="H2602" s="214">
        <v>15420</v>
      </c>
      <c r="I2602" s="214">
        <v>0</v>
      </c>
      <c r="J2602" s="214">
        <f t="shared" si="122"/>
        <v>-15420</v>
      </c>
      <c r="K2602" s="212" t="s">
        <v>6215</v>
      </c>
      <c r="L2602" s="213"/>
      <c r="M2602" s="212"/>
    </row>
    <row r="2603" spans="1:13" ht="21" customHeight="1">
      <c r="A2603" s="213" t="s">
        <v>6540</v>
      </c>
      <c r="B2603" s="215">
        <f t="shared" si="120"/>
        <v>45831</v>
      </c>
      <c r="C2603" s="213" t="s">
        <v>4373</v>
      </c>
      <c r="D2603" s="213" t="s">
        <v>4366</v>
      </c>
      <c r="E2603" s="213" t="s">
        <v>333</v>
      </c>
      <c r="F2603" s="212" t="s">
        <v>4365</v>
      </c>
      <c r="G2603" s="212" t="str">
        <f t="shared" si="121"/>
        <v>101현금</v>
      </c>
      <c r="H2603" s="214">
        <v>0</v>
      </c>
      <c r="I2603" s="214">
        <v>15420</v>
      </c>
      <c r="J2603" s="214">
        <f t="shared" si="122"/>
        <v>15420</v>
      </c>
      <c r="K2603" s="212" t="s">
        <v>6371</v>
      </c>
      <c r="L2603" s="213"/>
      <c r="M2603" s="212"/>
    </row>
    <row r="2604" spans="1:13" ht="21" customHeight="1">
      <c r="A2604" s="213" t="s">
        <v>6540</v>
      </c>
      <c r="B2604" s="215">
        <f t="shared" si="120"/>
        <v>45831</v>
      </c>
      <c r="C2604" s="213" t="s">
        <v>4382</v>
      </c>
      <c r="D2604" s="213" t="s">
        <v>4369</v>
      </c>
      <c r="E2604" s="213" t="s">
        <v>4383</v>
      </c>
      <c r="F2604" s="212" t="s">
        <v>6525</v>
      </c>
      <c r="G2604" s="212" t="str">
        <f t="shared" si="121"/>
        <v>830소모품비(판)</v>
      </c>
      <c r="H2604" s="214">
        <v>18120</v>
      </c>
      <c r="I2604" s="214">
        <v>0</v>
      </c>
      <c r="J2604" s="214">
        <f t="shared" si="122"/>
        <v>-18120</v>
      </c>
      <c r="K2604" s="212" t="s">
        <v>6215</v>
      </c>
      <c r="L2604" s="213"/>
      <c r="M2604" s="212"/>
    </row>
    <row r="2605" spans="1:13" ht="21" customHeight="1">
      <c r="A2605" s="213" t="s">
        <v>6540</v>
      </c>
      <c r="B2605" s="215">
        <f t="shared" si="120"/>
        <v>45831</v>
      </c>
      <c r="C2605" s="213" t="s">
        <v>4382</v>
      </c>
      <c r="D2605" s="213" t="s">
        <v>4366</v>
      </c>
      <c r="E2605" s="213" t="s">
        <v>333</v>
      </c>
      <c r="F2605" s="212" t="s">
        <v>4365</v>
      </c>
      <c r="G2605" s="212" t="str">
        <f t="shared" si="121"/>
        <v>101현금</v>
      </c>
      <c r="H2605" s="214">
        <v>0</v>
      </c>
      <c r="I2605" s="214">
        <v>18120</v>
      </c>
      <c r="J2605" s="214">
        <f t="shared" si="122"/>
        <v>18120</v>
      </c>
      <c r="K2605" s="212" t="s">
        <v>6371</v>
      </c>
      <c r="L2605" s="213"/>
      <c r="M2605" s="212"/>
    </row>
    <row r="2606" spans="1:13" ht="21" customHeight="1">
      <c r="A2606" s="213" t="s">
        <v>6540</v>
      </c>
      <c r="B2606" s="215">
        <f t="shared" si="120"/>
        <v>45831</v>
      </c>
      <c r="C2606" s="213" t="s">
        <v>4381</v>
      </c>
      <c r="D2606" s="213" t="s">
        <v>4369</v>
      </c>
      <c r="E2606" s="213" t="s">
        <v>4383</v>
      </c>
      <c r="F2606" s="212" t="s">
        <v>6525</v>
      </c>
      <c r="G2606" s="212" t="str">
        <f t="shared" si="121"/>
        <v>830소모품비(판)</v>
      </c>
      <c r="H2606" s="214">
        <v>25340</v>
      </c>
      <c r="I2606" s="214">
        <v>0</v>
      </c>
      <c r="J2606" s="214">
        <f t="shared" si="122"/>
        <v>-25340</v>
      </c>
      <c r="K2606" s="212" t="s">
        <v>6215</v>
      </c>
      <c r="L2606" s="213"/>
      <c r="M2606" s="212"/>
    </row>
    <row r="2607" spans="1:13" ht="21" customHeight="1">
      <c r="A2607" s="213" t="s">
        <v>6540</v>
      </c>
      <c r="B2607" s="215">
        <f t="shared" si="120"/>
        <v>45831</v>
      </c>
      <c r="C2607" s="213" t="s">
        <v>4381</v>
      </c>
      <c r="D2607" s="213" t="s">
        <v>4366</v>
      </c>
      <c r="E2607" s="213" t="s">
        <v>333</v>
      </c>
      <c r="F2607" s="212" t="s">
        <v>4365</v>
      </c>
      <c r="G2607" s="212" t="str">
        <f t="shared" si="121"/>
        <v>101현금</v>
      </c>
      <c r="H2607" s="214">
        <v>0</v>
      </c>
      <c r="I2607" s="214">
        <v>25340</v>
      </c>
      <c r="J2607" s="214">
        <f t="shared" si="122"/>
        <v>25340</v>
      </c>
      <c r="K2607" s="212" t="s">
        <v>6371</v>
      </c>
      <c r="L2607" s="213"/>
      <c r="M2607" s="212"/>
    </row>
    <row r="2608" spans="1:13" ht="21" customHeight="1">
      <c r="A2608" s="213" t="s">
        <v>6540</v>
      </c>
      <c r="B2608" s="215">
        <f t="shared" si="120"/>
        <v>45831</v>
      </c>
      <c r="C2608" s="213" t="s">
        <v>4379</v>
      </c>
      <c r="D2608" s="213" t="s">
        <v>4369</v>
      </c>
      <c r="E2608" s="213" t="s">
        <v>4383</v>
      </c>
      <c r="F2608" s="212" t="s">
        <v>6525</v>
      </c>
      <c r="G2608" s="212" t="str">
        <f t="shared" si="121"/>
        <v>830소모품비(판)</v>
      </c>
      <c r="H2608" s="214">
        <v>20120</v>
      </c>
      <c r="I2608" s="214">
        <v>0</v>
      </c>
      <c r="J2608" s="214">
        <f t="shared" si="122"/>
        <v>-20120</v>
      </c>
      <c r="K2608" s="212" t="s">
        <v>6541</v>
      </c>
      <c r="L2608" s="213"/>
      <c r="M2608" s="212"/>
    </row>
    <row r="2609" spans="1:13" ht="21" customHeight="1">
      <c r="A2609" s="213" t="s">
        <v>6540</v>
      </c>
      <c r="B2609" s="215">
        <f t="shared" si="120"/>
        <v>45831</v>
      </c>
      <c r="C2609" s="213" t="s">
        <v>4379</v>
      </c>
      <c r="D2609" s="213" t="s">
        <v>4366</v>
      </c>
      <c r="E2609" s="213" t="s">
        <v>333</v>
      </c>
      <c r="F2609" s="212" t="s">
        <v>4365</v>
      </c>
      <c r="G2609" s="212" t="str">
        <f t="shared" si="121"/>
        <v>101현금</v>
      </c>
      <c r="H2609" s="214">
        <v>0</v>
      </c>
      <c r="I2609" s="214">
        <v>20120</v>
      </c>
      <c r="J2609" s="214">
        <f t="shared" si="122"/>
        <v>20120</v>
      </c>
      <c r="K2609" s="212" t="s">
        <v>6371</v>
      </c>
      <c r="L2609" s="213"/>
      <c r="M2609" s="212"/>
    </row>
    <row r="2610" spans="1:13" ht="21" customHeight="1">
      <c r="A2610" s="213" t="s">
        <v>6538</v>
      </c>
      <c r="B2610" s="215">
        <f t="shared" si="120"/>
        <v>45832</v>
      </c>
      <c r="C2610" s="213" t="s">
        <v>4373</v>
      </c>
      <c r="D2610" s="213" t="s">
        <v>4369</v>
      </c>
      <c r="E2610" s="213" t="s">
        <v>4499</v>
      </c>
      <c r="F2610" s="212" t="s">
        <v>6517</v>
      </c>
      <c r="G2610" s="212" t="str">
        <f t="shared" si="121"/>
        <v>811복리후생비(판)</v>
      </c>
      <c r="H2610" s="214">
        <v>16000</v>
      </c>
      <c r="I2610" s="214">
        <v>0</v>
      </c>
      <c r="J2610" s="214">
        <f t="shared" si="122"/>
        <v>-16000</v>
      </c>
      <c r="K2610" s="212" t="s">
        <v>6539</v>
      </c>
      <c r="L2610" s="213"/>
      <c r="M2610" s="212"/>
    </row>
    <row r="2611" spans="1:13" ht="21" customHeight="1">
      <c r="A2611" s="213" t="s">
        <v>6538</v>
      </c>
      <c r="B2611" s="215">
        <f t="shared" si="120"/>
        <v>45832</v>
      </c>
      <c r="C2611" s="213" t="s">
        <v>4373</v>
      </c>
      <c r="D2611" s="213" t="s">
        <v>4366</v>
      </c>
      <c r="E2611" s="213" t="s">
        <v>333</v>
      </c>
      <c r="F2611" s="212" t="s">
        <v>4365</v>
      </c>
      <c r="G2611" s="212" t="str">
        <f t="shared" si="121"/>
        <v>101현금</v>
      </c>
      <c r="H2611" s="214">
        <v>0</v>
      </c>
      <c r="I2611" s="214">
        <v>16000</v>
      </c>
      <c r="J2611" s="214">
        <f t="shared" si="122"/>
        <v>16000</v>
      </c>
      <c r="K2611" s="212" t="s">
        <v>6370</v>
      </c>
      <c r="L2611" s="213"/>
      <c r="M2611" s="212"/>
    </row>
    <row r="2612" spans="1:13" ht="21" customHeight="1">
      <c r="A2612" s="213" t="s">
        <v>6538</v>
      </c>
      <c r="B2612" s="215">
        <f t="shared" si="120"/>
        <v>45832</v>
      </c>
      <c r="C2612" s="213" t="s">
        <v>4382</v>
      </c>
      <c r="D2612" s="213" t="s">
        <v>4369</v>
      </c>
      <c r="E2612" s="213" t="s">
        <v>4383</v>
      </c>
      <c r="F2612" s="212" t="s">
        <v>6525</v>
      </c>
      <c r="G2612" s="212" t="str">
        <f t="shared" si="121"/>
        <v>830소모품비(판)</v>
      </c>
      <c r="H2612" s="214">
        <v>4300</v>
      </c>
      <c r="I2612" s="214">
        <v>0</v>
      </c>
      <c r="J2612" s="214">
        <f t="shared" si="122"/>
        <v>-4300</v>
      </c>
      <c r="K2612" s="212" t="s">
        <v>6198</v>
      </c>
      <c r="L2612" s="213"/>
      <c r="M2612" s="212"/>
    </row>
    <row r="2613" spans="1:13" ht="21" customHeight="1">
      <c r="A2613" s="213" t="s">
        <v>6538</v>
      </c>
      <c r="B2613" s="215">
        <f t="shared" si="120"/>
        <v>45832</v>
      </c>
      <c r="C2613" s="213" t="s">
        <v>4382</v>
      </c>
      <c r="D2613" s="213" t="s">
        <v>4366</v>
      </c>
      <c r="E2613" s="213" t="s">
        <v>333</v>
      </c>
      <c r="F2613" s="212" t="s">
        <v>4365</v>
      </c>
      <c r="G2613" s="212" t="str">
        <f t="shared" si="121"/>
        <v>101현금</v>
      </c>
      <c r="H2613" s="214">
        <v>0</v>
      </c>
      <c r="I2613" s="214">
        <v>4300</v>
      </c>
      <c r="J2613" s="214">
        <f t="shared" si="122"/>
        <v>4300</v>
      </c>
      <c r="K2613" s="212" t="s">
        <v>6369</v>
      </c>
      <c r="L2613" s="213"/>
      <c r="M2613" s="212"/>
    </row>
    <row r="2614" spans="1:13" ht="21" customHeight="1">
      <c r="A2614" s="213" t="s">
        <v>6538</v>
      </c>
      <c r="B2614" s="215">
        <f t="shared" si="120"/>
        <v>45832</v>
      </c>
      <c r="C2614" s="213" t="s">
        <v>4381</v>
      </c>
      <c r="D2614" s="213" t="s">
        <v>4366</v>
      </c>
      <c r="E2614" s="213" t="s">
        <v>333</v>
      </c>
      <c r="F2614" s="212" t="s">
        <v>4365</v>
      </c>
      <c r="G2614" s="212" t="str">
        <f t="shared" si="121"/>
        <v>101현금</v>
      </c>
      <c r="H2614" s="214">
        <v>0</v>
      </c>
      <c r="I2614" s="214">
        <v>2000</v>
      </c>
      <c r="J2614" s="214">
        <f t="shared" si="122"/>
        <v>2000</v>
      </c>
      <c r="K2614" s="212" t="s">
        <v>6369</v>
      </c>
      <c r="L2614" s="213"/>
      <c r="M2614" s="212"/>
    </row>
    <row r="2615" spans="1:13" ht="21" customHeight="1">
      <c r="A2615" s="213" t="s">
        <v>6538</v>
      </c>
      <c r="B2615" s="215">
        <f t="shared" si="120"/>
        <v>45832</v>
      </c>
      <c r="C2615" s="213" t="s">
        <v>4381</v>
      </c>
      <c r="D2615" s="213" t="s">
        <v>4369</v>
      </c>
      <c r="E2615" s="213" t="s">
        <v>4380</v>
      </c>
      <c r="F2615" s="212" t="s">
        <v>6515</v>
      </c>
      <c r="G2615" s="212" t="str">
        <f t="shared" si="121"/>
        <v>812여비교통비(판)</v>
      </c>
      <c r="H2615" s="214">
        <v>2000</v>
      </c>
      <c r="I2615" s="214">
        <v>0</v>
      </c>
      <c r="J2615" s="214">
        <f t="shared" si="122"/>
        <v>-2000</v>
      </c>
      <c r="K2615" s="212" t="s">
        <v>6292</v>
      </c>
      <c r="L2615" s="213"/>
      <c r="M2615" s="212"/>
    </row>
    <row r="2616" spans="1:13" ht="21" customHeight="1">
      <c r="A2616" s="213" t="s">
        <v>6536</v>
      </c>
      <c r="B2616" s="215">
        <f t="shared" si="120"/>
        <v>45833</v>
      </c>
      <c r="C2616" s="213" t="s">
        <v>4373</v>
      </c>
      <c r="D2616" s="213" t="s">
        <v>4369</v>
      </c>
      <c r="E2616" s="213" t="s">
        <v>4500</v>
      </c>
      <c r="F2616" s="212" t="s">
        <v>6418</v>
      </c>
      <c r="G2616" s="212" t="str">
        <f t="shared" si="121"/>
        <v>822차량유지비(판)</v>
      </c>
      <c r="H2616" s="214">
        <v>70000</v>
      </c>
      <c r="I2616" s="214">
        <v>0</v>
      </c>
      <c r="J2616" s="214">
        <f t="shared" si="122"/>
        <v>-70000</v>
      </c>
      <c r="K2616" s="212" t="s">
        <v>6272</v>
      </c>
      <c r="L2616" s="213"/>
      <c r="M2616" s="212"/>
    </row>
    <row r="2617" spans="1:13" ht="21" customHeight="1">
      <c r="A2617" s="213" t="s">
        <v>6536</v>
      </c>
      <c r="B2617" s="215">
        <f t="shared" si="120"/>
        <v>45833</v>
      </c>
      <c r="C2617" s="213" t="s">
        <v>4373</v>
      </c>
      <c r="D2617" s="213" t="s">
        <v>4366</v>
      </c>
      <c r="E2617" s="213" t="s">
        <v>333</v>
      </c>
      <c r="F2617" s="212" t="s">
        <v>4365</v>
      </c>
      <c r="G2617" s="212" t="str">
        <f t="shared" si="121"/>
        <v>101현금</v>
      </c>
      <c r="H2617" s="214">
        <v>0</v>
      </c>
      <c r="I2617" s="214">
        <v>70000</v>
      </c>
      <c r="J2617" s="214">
        <f t="shared" si="122"/>
        <v>70000</v>
      </c>
      <c r="K2617" s="212" t="s">
        <v>6371</v>
      </c>
      <c r="L2617" s="213"/>
      <c r="M2617" s="212"/>
    </row>
    <row r="2618" spans="1:13" ht="21" customHeight="1">
      <c r="A2618" s="213" t="s">
        <v>6536</v>
      </c>
      <c r="B2618" s="215">
        <f t="shared" si="120"/>
        <v>45833</v>
      </c>
      <c r="C2618" s="213" t="s">
        <v>4382</v>
      </c>
      <c r="D2618" s="213" t="s">
        <v>4369</v>
      </c>
      <c r="E2618" s="213" t="s">
        <v>4499</v>
      </c>
      <c r="F2618" s="212" t="s">
        <v>6517</v>
      </c>
      <c r="G2618" s="212" t="str">
        <f t="shared" si="121"/>
        <v>811복리후생비(판)</v>
      </c>
      <c r="H2618" s="214">
        <v>16000</v>
      </c>
      <c r="I2618" s="214">
        <v>0</v>
      </c>
      <c r="J2618" s="214">
        <f t="shared" si="122"/>
        <v>-16000</v>
      </c>
      <c r="K2618" s="212" t="s">
        <v>6516</v>
      </c>
      <c r="L2618" s="213"/>
      <c r="M2618" s="212"/>
    </row>
    <row r="2619" spans="1:13" ht="21" customHeight="1">
      <c r="A2619" s="213" t="s">
        <v>6536</v>
      </c>
      <c r="B2619" s="215">
        <f t="shared" si="120"/>
        <v>45833</v>
      </c>
      <c r="C2619" s="213" t="s">
        <v>4382</v>
      </c>
      <c r="D2619" s="213" t="s">
        <v>4366</v>
      </c>
      <c r="E2619" s="213" t="s">
        <v>333</v>
      </c>
      <c r="F2619" s="212" t="s">
        <v>4365</v>
      </c>
      <c r="G2619" s="212" t="str">
        <f t="shared" si="121"/>
        <v>101현금</v>
      </c>
      <c r="H2619" s="214">
        <v>0</v>
      </c>
      <c r="I2619" s="214">
        <v>16000</v>
      </c>
      <c r="J2619" s="214">
        <f t="shared" si="122"/>
        <v>16000</v>
      </c>
      <c r="K2619" s="212" t="s">
        <v>6369</v>
      </c>
      <c r="L2619" s="213"/>
      <c r="M2619" s="212"/>
    </row>
    <row r="2620" spans="1:13" ht="21" customHeight="1">
      <c r="A2620" s="213" t="s">
        <v>6536</v>
      </c>
      <c r="B2620" s="215">
        <f t="shared" si="120"/>
        <v>45833</v>
      </c>
      <c r="C2620" s="213" t="s">
        <v>4381</v>
      </c>
      <c r="D2620" s="213" t="s">
        <v>4369</v>
      </c>
      <c r="E2620" s="213" t="s">
        <v>4383</v>
      </c>
      <c r="F2620" s="212" t="s">
        <v>6525</v>
      </c>
      <c r="G2620" s="212" t="str">
        <f t="shared" si="121"/>
        <v>830소모품비(판)</v>
      </c>
      <c r="H2620" s="214">
        <v>6000</v>
      </c>
      <c r="I2620" s="214">
        <v>0</v>
      </c>
      <c r="J2620" s="214">
        <f t="shared" si="122"/>
        <v>-6000</v>
      </c>
      <c r="K2620" s="212" t="s">
        <v>6198</v>
      </c>
      <c r="L2620" s="213"/>
      <c r="M2620" s="212"/>
    </row>
    <row r="2621" spans="1:13" ht="21" customHeight="1">
      <c r="A2621" s="213" t="s">
        <v>6536</v>
      </c>
      <c r="B2621" s="215">
        <f t="shared" si="120"/>
        <v>45833</v>
      </c>
      <c r="C2621" s="213" t="s">
        <v>4381</v>
      </c>
      <c r="D2621" s="213" t="s">
        <v>4366</v>
      </c>
      <c r="E2621" s="213" t="s">
        <v>333</v>
      </c>
      <c r="F2621" s="212" t="s">
        <v>4365</v>
      </c>
      <c r="G2621" s="212" t="str">
        <f t="shared" si="121"/>
        <v>101현금</v>
      </c>
      <c r="H2621" s="214">
        <v>0</v>
      </c>
      <c r="I2621" s="214">
        <v>6000</v>
      </c>
      <c r="J2621" s="214">
        <f t="shared" si="122"/>
        <v>6000</v>
      </c>
      <c r="K2621" s="212" t="s">
        <v>6369</v>
      </c>
      <c r="L2621" s="213"/>
      <c r="M2621" s="212"/>
    </row>
    <row r="2622" spans="1:13" ht="21" customHeight="1">
      <c r="A2622" s="213" t="s">
        <v>6536</v>
      </c>
      <c r="B2622" s="215">
        <f t="shared" si="120"/>
        <v>45833</v>
      </c>
      <c r="C2622" s="213" t="s">
        <v>4379</v>
      </c>
      <c r="D2622" s="213" t="s">
        <v>4366</v>
      </c>
      <c r="E2622" s="213" t="s">
        <v>333</v>
      </c>
      <c r="F2622" s="212" t="s">
        <v>4365</v>
      </c>
      <c r="G2622" s="212" t="str">
        <f t="shared" si="121"/>
        <v>101현금</v>
      </c>
      <c r="H2622" s="214">
        <v>0</v>
      </c>
      <c r="I2622" s="214">
        <v>19300</v>
      </c>
      <c r="J2622" s="214">
        <f t="shared" si="122"/>
        <v>19300</v>
      </c>
      <c r="K2622" s="212" t="s">
        <v>6537</v>
      </c>
      <c r="L2622" s="213"/>
      <c r="M2622" s="212"/>
    </row>
    <row r="2623" spans="1:13" ht="21" customHeight="1">
      <c r="A2623" s="213" t="s">
        <v>6536</v>
      </c>
      <c r="B2623" s="215">
        <f t="shared" si="120"/>
        <v>45833</v>
      </c>
      <c r="C2623" s="213" t="s">
        <v>4379</v>
      </c>
      <c r="D2623" s="213" t="s">
        <v>4369</v>
      </c>
      <c r="E2623" s="213" t="s">
        <v>4383</v>
      </c>
      <c r="F2623" s="212" t="s">
        <v>6525</v>
      </c>
      <c r="G2623" s="212" t="str">
        <f t="shared" si="121"/>
        <v>830소모품비(판)</v>
      </c>
      <c r="H2623" s="214">
        <v>19300</v>
      </c>
      <c r="I2623" s="214">
        <v>0</v>
      </c>
      <c r="J2623" s="214">
        <f t="shared" si="122"/>
        <v>-19300</v>
      </c>
      <c r="K2623" s="212" t="s">
        <v>6537</v>
      </c>
      <c r="L2623" s="213"/>
      <c r="M2623" s="212"/>
    </row>
    <row r="2624" spans="1:13" ht="21" customHeight="1">
      <c r="A2624" s="213" t="s">
        <v>6536</v>
      </c>
      <c r="B2624" s="215">
        <f t="shared" si="120"/>
        <v>45833</v>
      </c>
      <c r="C2624" s="213" t="s">
        <v>4385</v>
      </c>
      <c r="D2624" s="213" t="s">
        <v>4366</v>
      </c>
      <c r="E2624" s="213" t="s">
        <v>333</v>
      </c>
      <c r="F2624" s="212" t="s">
        <v>4365</v>
      </c>
      <c r="G2624" s="212" t="str">
        <f t="shared" si="121"/>
        <v>101현금</v>
      </c>
      <c r="H2624" s="214">
        <v>0</v>
      </c>
      <c r="I2624" s="214">
        <v>31000</v>
      </c>
      <c r="J2624" s="214">
        <f t="shared" si="122"/>
        <v>31000</v>
      </c>
      <c r="K2624" s="212" t="s">
        <v>6537</v>
      </c>
      <c r="L2624" s="213"/>
      <c r="M2624" s="212"/>
    </row>
    <row r="2625" spans="1:13" ht="21" customHeight="1">
      <c r="A2625" s="213" t="s">
        <v>6536</v>
      </c>
      <c r="B2625" s="215">
        <f t="shared" si="120"/>
        <v>45833</v>
      </c>
      <c r="C2625" s="213" t="s">
        <v>4385</v>
      </c>
      <c r="D2625" s="213" t="s">
        <v>4369</v>
      </c>
      <c r="E2625" s="213" t="s">
        <v>4383</v>
      </c>
      <c r="F2625" s="212" t="s">
        <v>6525</v>
      </c>
      <c r="G2625" s="212" t="str">
        <f t="shared" si="121"/>
        <v>830소모품비(판)</v>
      </c>
      <c r="H2625" s="214">
        <v>31000</v>
      </c>
      <c r="I2625" s="214">
        <v>0</v>
      </c>
      <c r="J2625" s="214">
        <f t="shared" si="122"/>
        <v>-31000</v>
      </c>
      <c r="K2625" s="212" t="s">
        <v>6537</v>
      </c>
      <c r="L2625" s="213"/>
      <c r="M2625" s="212"/>
    </row>
    <row r="2626" spans="1:13" ht="21" customHeight="1">
      <c r="A2626" s="213" t="s">
        <v>6536</v>
      </c>
      <c r="B2626" s="215">
        <f t="shared" ref="B2626:B2689" si="123">DATEVALUE(A2626)</f>
        <v>45833</v>
      </c>
      <c r="C2626" s="213" t="s">
        <v>4501</v>
      </c>
      <c r="D2626" s="213" t="s">
        <v>4369</v>
      </c>
      <c r="E2626" s="213" t="s">
        <v>4383</v>
      </c>
      <c r="F2626" s="212" t="s">
        <v>6525</v>
      </c>
      <c r="G2626" s="212" t="str">
        <f t="shared" ref="G2626:G2689" si="124">E2626&amp;F2626</f>
        <v>830소모품비(판)</v>
      </c>
      <c r="H2626" s="214">
        <v>12111</v>
      </c>
      <c r="I2626" s="214">
        <v>0</v>
      </c>
      <c r="J2626" s="214">
        <f t="shared" ref="J2626:J2689" si="125">I2626-H2626</f>
        <v>-12111</v>
      </c>
      <c r="K2626" s="212" t="s">
        <v>6535</v>
      </c>
      <c r="L2626" s="213"/>
      <c r="M2626" s="212"/>
    </row>
    <row r="2627" spans="1:13" ht="21" customHeight="1">
      <c r="A2627" s="213" t="s">
        <v>6536</v>
      </c>
      <c r="B2627" s="215">
        <f t="shared" si="123"/>
        <v>45833</v>
      </c>
      <c r="C2627" s="213" t="s">
        <v>4501</v>
      </c>
      <c r="D2627" s="213" t="s">
        <v>4366</v>
      </c>
      <c r="E2627" s="213" t="s">
        <v>333</v>
      </c>
      <c r="F2627" s="212" t="s">
        <v>4365</v>
      </c>
      <c r="G2627" s="212" t="str">
        <f t="shared" si="124"/>
        <v>101현금</v>
      </c>
      <c r="H2627" s="214">
        <v>0</v>
      </c>
      <c r="I2627" s="214">
        <v>12111</v>
      </c>
      <c r="J2627" s="214">
        <f t="shared" si="125"/>
        <v>12111</v>
      </c>
      <c r="K2627" s="212" t="s">
        <v>6535</v>
      </c>
      <c r="L2627" s="213"/>
      <c r="M2627" s="212"/>
    </row>
    <row r="2628" spans="1:13" ht="21" customHeight="1">
      <c r="A2628" s="213" t="s">
        <v>6536</v>
      </c>
      <c r="B2628" s="215">
        <f t="shared" si="123"/>
        <v>45833</v>
      </c>
      <c r="C2628" s="213" t="s">
        <v>4502</v>
      </c>
      <c r="D2628" s="213" t="s">
        <v>4369</v>
      </c>
      <c r="E2628" s="213" t="s">
        <v>4383</v>
      </c>
      <c r="F2628" s="212" t="s">
        <v>6525</v>
      </c>
      <c r="G2628" s="212" t="str">
        <f t="shared" si="124"/>
        <v>830소모품비(판)</v>
      </c>
      <c r="H2628" s="214">
        <v>2737</v>
      </c>
      <c r="I2628" s="214">
        <v>0</v>
      </c>
      <c r="J2628" s="214">
        <f t="shared" si="125"/>
        <v>-2737</v>
      </c>
      <c r="K2628" s="212" t="s">
        <v>6535</v>
      </c>
      <c r="L2628" s="213"/>
      <c r="M2628" s="212"/>
    </row>
    <row r="2629" spans="1:13" ht="21" customHeight="1">
      <c r="A2629" s="213" t="s">
        <v>6536</v>
      </c>
      <c r="B2629" s="215">
        <f t="shared" si="123"/>
        <v>45833</v>
      </c>
      <c r="C2629" s="213" t="s">
        <v>4502</v>
      </c>
      <c r="D2629" s="213" t="s">
        <v>4366</v>
      </c>
      <c r="E2629" s="213" t="s">
        <v>333</v>
      </c>
      <c r="F2629" s="212" t="s">
        <v>4365</v>
      </c>
      <c r="G2629" s="212" t="str">
        <f t="shared" si="124"/>
        <v>101현금</v>
      </c>
      <c r="H2629" s="214">
        <v>0</v>
      </c>
      <c r="I2629" s="214">
        <v>2737</v>
      </c>
      <c r="J2629" s="214">
        <f t="shared" si="125"/>
        <v>2737</v>
      </c>
      <c r="K2629" s="212" t="s">
        <v>6535</v>
      </c>
      <c r="L2629" s="213"/>
      <c r="M2629" s="212"/>
    </row>
    <row r="2630" spans="1:13" ht="21" customHeight="1">
      <c r="A2630" s="213" t="s">
        <v>6533</v>
      </c>
      <c r="B2630" s="215">
        <f t="shared" si="123"/>
        <v>45834</v>
      </c>
      <c r="C2630" s="213" t="s">
        <v>4373</v>
      </c>
      <c r="D2630" s="213" t="s">
        <v>4369</v>
      </c>
      <c r="E2630" s="213" t="s">
        <v>4499</v>
      </c>
      <c r="F2630" s="212" t="s">
        <v>6517</v>
      </c>
      <c r="G2630" s="212" t="str">
        <f t="shared" si="124"/>
        <v>811복리후생비(판)</v>
      </c>
      <c r="H2630" s="214">
        <v>16000</v>
      </c>
      <c r="I2630" s="214">
        <v>0</v>
      </c>
      <c r="J2630" s="214">
        <f t="shared" si="125"/>
        <v>-16000</v>
      </c>
      <c r="K2630" s="212" t="s">
        <v>6516</v>
      </c>
      <c r="L2630" s="213"/>
      <c r="M2630" s="212"/>
    </row>
    <row r="2631" spans="1:13" ht="21" customHeight="1">
      <c r="A2631" s="213" t="s">
        <v>6533</v>
      </c>
      <c r="B2631" s="215">
        <f t="shared" si="123"/>
        <v>45834</v>
      </c>
      <c r="C2631" s="213" t="s">
        <v>4373</v>
      </c>
      <c r="D2631" s="213" t="s">
        <v>4366</v>
      </c>
      <c r="E2631" s="213" t="s">
        <v>333</v>
      </c>
      <c r="F2631" s="212" t="s">
        <v>4365</v>
      </c>
      <c r="G2631" s="212" t="str">
        <f t="shared" si="124"/>
        <v>101현금</v>
      </c>
      <c r="H2631" s="214">
        <v>0</v>
      </c>
      <c r="I2631" s="214">
        <v>16000</v>
      </c>
      <c r="J2631" s="214">
        <f t="shared" si="125"/>
        <v>16000</v>
      </c>
      <c r="K2631" s="212" t="s">
        <v>6369</v>
      </c>
      <c r="L2631" s="213"/>
      <c r="M2631" s="212"/>
    </row>
    <row r="2632" spans="1:13" ht="21" customHeight="1">
      <c r="A2632" s="213" t="s">
        <v>6533</v>
      </c>
      <c r="B2632" s="215">
        <f t="shared" si="123"/>
        <v>45834</v>
      </c>
      <c r="C2632" s="213" t="s">
        <v>4382</v>
      </c>
      <c r="D2632" s="213" t="s">
        <v>4369</v>
      </c>
      <c r="E2632" s="213" t="s">
        <v>4380</v>
      </c>
      <c r="F2632" s="212" t="s">
        <v>6515</v>
      </c>
      <c r="G2632" s="212" t="str">
        <f t="shared" si="124"/>
        <v>812여비교통비(판)</v>
      </c>
      <c r="H2632" s="214">
        <v>8300</v>
      </c>
      <c r="I2632" s="214">
        <v>0</v>
      </c>
      <c r="J2632" s="214">
        <f t="shared" si="125"/>
        <v>-8300</v>
      </c>
      <c r="K2632" s="212" t="s">
        <v>6534</v>
      </c>
      <c r="L2632" s="213"/>
      <c r="M2632" s="212"/>
    </row>
    <row r="2633" spans="1:13" ht="21" customHeight="1">
      <c r="A2633" s="213" t="s">
        <v>6533</v>
      </c>
      <c r="B2633" s="215">
        <f t="shared" si="123"/>
        <v>45834</v>
      </c>
      <c r="C2633" s="213" t="s">
        <v>4382</v>
      </c>
      <c r="D2633" s="213" t="s">
        <v>4366</v>
      </c>
      <c r="E2633" s="213" t="s">
        <v>333</v>
      </c>
      <c r="F2633" s="212" t="s">
        <v>4365</v>
      </c>
      <c r="G2633" s="212" t="str">
        <f t="shared" si="124"/>
        <v>101현금</v>
      </c>
      <c r="H2633" s="214">
        <v>0</v>
      </c>
      <c r="I2633" s="214">
        <v>8300</v>
      </c>
      <c r="J2633" s="214">
        <f t="shared" si="125"/>
        <v>8300</v>
      </c>
      <c r="K2633" s="212" t="s">
        <v>6371</v>
      </c>
      <c r="L2633" s="213"/>
      <c r="M2633" s="212"/>
    </row>
    <row r="2634" spans="1:13" ht="21" customHeight="1">
      <c r="A2634" s="213" t="s">
        <v>6533</v>
      </c>
      <c r="B2634" s="215">
        <f t="shared" si="123"/>
        <v>45834</v>
      </c>
      <c r="C2634" s="213" t="s">
        <v>4367</v>
      </c>
      <c r="D2634" s="213" t="s">
        <v>4366</v>
      </c>
      <c r="E2634" s="213" t="s">
        <v>6176</v>
      </c>
      <c r="F2634" s="212" t="s">
        <v>6177</v>
      </c>
      <c r="G2634" s="212" t="str">
        <f t="shared" si="124"/>
        <v>255부가세예수금</v>
      </c>
      <c r="H2634" s="214">
        <v>0</v>
      </c>
      <c r="I2634" s="214">
        <v>10000</v>
      </c>
      <c r="J2634" s="214">
        <f t="shared" si="125"/>
        <v>10000</v>
      </c>
      <c r="K2634" s="212" t="s">
        <v>6221</v>
      </c>
      <c r="L2634" s="213"/>
      <c r="M2634" s="212" t="s">
        <v>6185</v>
      </c>
    </row>
    <row r="2635" spans="1:13" ht="21" customHeight="1">
      <c r="A2635" s="213" t="s">
        <v>6533</v>
      </c>
      <c r="B2635" s="215">
        <f t="shared" si="123"/>
        <v>45834</v>
      </c>
      <c r="C2635" s="213" t="s">
        <v>4367</v>
      </c>
      <c r="D2635" s="213" t="s">
        <v>4366</v>
      </c>
      <c r="E2635" s="213" t="s">
        <v>334</v>
      </c>
      <c r="F2635" s="212" t="s">
        <v>6158</v>
      </c>
      <c r="G2635" s="212" t="str">
        <f t="shared" si="124"/>
        <v>401용역매출</v>
      </c>
      <c r="H2635" s="214">
        <v>0</v>
      </c>
      <c r="I2635" s="214">
        <v>100000</v>
      </c>
      <c r="J2635" s="214">
        <f t="shared" si="125"/>
        <v>100000</v>
      </c>
      <c r="K2635" s="212" t="s">
        <v>6221</v>
      </c>
      <c r="L2635" s="213"/>
      <c r="M2635" s="212" t="s">
        <v>6185</v>
      </c>
    </row>
    <row r="2636" spans="1:13" ht="21" customHeight="1">
      <c r="A2636" s="213" t="s">
        <v>6533</v>
      </c>
      <c r="B2636" s="215">
        <f t="shared" si="123"/>
        <v>45834</v>
      </c>
      <c r="C2636" s="213" t="s">
        <v>4367</v>
      </c>
      <c r="D2636" s="213" t="s">
        <v>4369</v>
      </c>
      <c r="E2636" s="213" t="s">
        <v>333</v>
      </c>
      <c r="F2636" s="212" t="s">
        <v>4365</v>
      </c>
      <c r="G2636" s="212" t="str">
        <f t="shared" si="124"/>
        <v>101현금</v>
      </c>
      <c r="H2636" s="214">
        <v>110000</v>
      </c>
      <c r="I2636" s="214">
        <v>0</v>
      </c>
      <c r="J2636" s="214">
        <f t="shared" si="125"/>
        <v>-110000</v>
      </c>
      <c r="K2636" s="212" t="s">
        <v>6221</v>
      </c>
      <c r="L2636" s="213"/>
      <c r="M2636" s="212" t="s">
        <v>6185</v>
      </c>
    </row>
    <row r="2637" spans="1:13" ht="21" customHeight="1">
      <c r="A2637" s="213" t="s">
        <v>6533</v>
      </c>
      <c r="B2637" s="215">
        <f t="shared" si="123"/>
        <v>45834</v>
      </c>
      <c r="C2637" s="213" t="s">
        <v>4374</v>
      </c>
      <c r="D2637" s="213" t="s">
        <v>4366</v>
      </c>
      <c r="E2637" s="213" t="s">
        <v>6176</v>
      </c>
      <c r="F2637" s="212" t="s">
        <v>6177</v>
      </c>
      <c r="G2637" s="212" t="str">
        <f t="shared" si="124"/>
        <v>255부가세예수금</v>
      </c>
      <c r="H2637" s="214">
        <v>0</v>
      </c>
      <c r="I2637" s="214">
        <v>11819</v>
      </c>
      <c r="J2637" s="214">
        <f t="shared" si="125"/>
        <v>11819</v>
      </c>
      <c r="K2637" s="212" t="s">
        <v>6220</v>
      </c>
      <c r="L2637" s="213"/>
      <c r="M2637" s="212" t="s">
        <v>6362</v>
      </c>
    </row>
    <row r="2638" spans="1:13" ht="21" customHeight="1">
      <c r="A2638" s="213" t="s">
        <v>6533</v>
      </c>
      <c r="B2638" s="215">
        <f t="shared" si="123"/>
        <v>45834</v>
      </c>
      <c r="C2638" s="213" t="s">
        <v>4374</v>
      </c>
      <c r="D2638" s="213" t="s">
        <v>4366</v>
      </c>
      <c r="E2638" s="213" t="s">
        <v>334</v>
      </c>
      <c r="F2638" s="212" t="s">
        <v>6158</v>
      </c>
      <c r="G2638" s="212" t="str">
        <f t="shared" si="124"/>
        <v>401용역매출</v>
      </c>
      <c r="H2638" s="214">
        <v>0</v>
      </c>
      <c r="I2638" s="214">
        <v>118181</v>
      </c>
      <c r="J2638" s="214">
        <f t="shared" si="125"/>
        <v>118181</v>
      </c>
      <c r="K2638" s="212" t="s">
        <v>6220</v>
      </c>
      <c r="L2638" s="213"/>
      <c r="M2638" s="212" t="s">
        <v>6362</v>
      </c>
    </row>
    <row r="2639" spans="1:13" ht="21" customHeight="1">
      <c r="A2639" s="213" t="s">
        <v>6533</v>
      </c>
      <c r="B2639" s="215">
        <f t="shared" si="123"/>
        <v>45834</v>
      </c>
      <c r="C2639" s="213" t="s">
        <v>4374</v>
      </c>
      <c r="D2639" s="213" t="s">
        <v>4369</v>
      </c>
      <c r="E2639" s="213" t="s">
        <v>333</v>
      </c>
      <c r="F2639" s="212" t="s">
        <v>4365</v>
      </c>
      <c r="G2639" s="212" t="str">
        <f t="shared" si="124"/>
        <v>101현금</v>
      </c>
      <c r="H2639" s="214">
        <v>130000</v>
      </c>
      <c r="I2639" s="214">
        <v>0</v>
      </c>
      <c r="J2639" s="214">
        <f t="shared" si="125"/>
        <v>-130000</v>
      </c>
      <c r="K2639" s="212" t="s">
        <v>6220</v>
      </c>
      <c r="L2639" s="213"/>
      <c r="M2639" s="212" t="s">
        <v>6362</v>
      </c>
    </row>
    <row r="2640" spans="1:13" ht="21" customHeight="1">
      <c r="A2640" s="213" t="s">
        <v>6533</v>
      </c>
      <c r="B2640" s="215">
        <f t="shared" si="123"/>
        <v>45834</v>
      </c>
      <c r="C2640" s="213" t="s">
        <v>6182</v>
      </c>
      <c r="D2640" s="213" t="s">
        <v>4366</v>
      </c>
      <c r="E2640" s="213" t="s">
        <v>6176</v>
      </c>
      <c r="F2640" s="212" t="s">
        <v>6177</v>
      </c>
      <c r="G2640" s="212" t="str">
        <f t="shared" si="124"/>
        <v>255부가세예수금</v>
      </c>
      <c r="H2640" s="214">
        <v>0</v>
      </c>
      <c r="I2640" s="214">
        <v>15000</v>
      </c>
      <c r="J2640" s="214">
        <f t="shared" si="125"/>
        <v>15000</v>
      </c>
      <c r="K2640" s="212" t="s">
        <v>6372</v>
      </c>
      <c r="L2640" s="213"/>
      <c r="M2640" s="212" t="s">
        <v>6179</v>
      </c>
    </row>
    <row r="2641" spans="1:13" ht="21" customHeight="1">
      <c r="A2641" s="213" t="s">
        <v>6533</v>
      </c>
      <c r="B2641" s="215">
        <f t="shared" si="123"/>
        <v>45834</v>
      </c>
      <c r="C2641" s="213" t="s">
        <v>6182</v>
      </c>
      <c r="D2641" s="213" t="s">
        <v>4366</v>
      </c>
      <c r="E2641" s="213" t="s">
        <v>334</v>
      </c>
      <c r="F2641" s="212" t="s">
        <v>6158</v>
      </c>
      <c r="G2641" s="212" t="str">
        <f t="shared" si="124"/>
        <v>401용역매출</v>
      </c>
      <c r="H2641" s="214">
        <v>0</v>
      </c>
      <c r="I2641" s="214">
        <v>150000</v>
      </c>
      <c r="J2641" s="214">
        <f t="shared" si="125"/>
        <v>150000</v>
      </c>
      <c r="K2641" s="212" t="s">
        <v>6372</v>
      </c>
      <c r="L2641" s="213"/>
      <c r="M2641" s="212" t="s">
        <v>6179</v>
      </c>
    </row>
    <row r="2642" spans="1:13" ht="21" customHeight="1">
      <c r="A2642" s="213" t="s">
        <v>6533</v>
      </c>
      <c r="B2642" s="215">
        <f t="shared" si="123"/>
        <v>45834</v>
      </c>
      <c r="C2642" s="213" t="s">
        <v>6182</v>
      </c>
      <c r="D2642" s="213" t="s">
        <v>4369</v>
      </c>
      <c r="E2642" s="213" t="s">
        <v>333</v>
      </c>
      <c r="F2642" s="212" t="s">
        <v>4365</v>
      </c>
      <c r="G2642" s="212" t="str">
        <f t="shared" si="124"/>
        <v>101현금</v>
      </c>
      <c r="H2642" s="214">
        <v>165000</v>
      </c>
      <c r="I2642" s="214">
        <v>0</v>
      </c>
      <c r="J2642" s="214">
        <f t="shared" si="125"/>
        <v>-165000</v>
      </c>
      <c r="K2642" s="212" t="s">
        <v>6372</v>
      </c>
      <c r="L2642" s="213"/>
      <c r="M2642" s="212" t="s">
        <v>6179</v>
      </c>
    </row>
    <row r="2643" spans="1:13" ht="21" customHeight="1">
      <c r="A2643" s="213" t="s">
        <v>6533</v>
      </c>
      <c r="B2643" s="215">
        <f t="shared" si="123"/>
        <v>45834</v>
      </c>
      <c r="C2643" s="213" t="s">
        <v>6184</v>
      </c>
      <c r="D2643" s="213" t="s">
        <v>4366</v>
      </c>
      <c r="E2643" s="213" t="s">
        <v>6176</v>
      </c>
      <c r="F2643" s="212" t="s">
        <v>6177</v>
      </c>
      <c r="G2643" s="212" t="str">
        <f t="shared" si="124"/>
        <v>255부가세예수금</v>
      </c>
      <c r="H2643" s="214">
        <v>0</v>
      </c>
      <c r="I2643" s="214">
        <v>10000</v>
      </c>
      <c r="J2643" s="214">
        <f t="shared" si="125"/>
        <v>10000</v>
      </c>
      <c r="K2643" s="212" t="s">
        <v>6209</v>
      </c>
      <c r="L2643" s="213"/>
      <c r="M2643" s="212" t="s">
        <v>6185</v>
      </c>
    </row>
    <row r="2644" spans="1:13" ht="21" customHeight="1">
      <c r="A2644" s="213" t="s">
        <v>6533</v>
      </c>
      <c r="B2644" s="215">
        <f t="shared" si="123"/>
        <v>45834</v>
      </c>
      <c r="C2644" s="213" t="s">
        <v>6184</v>
      </c>
      <c r="D2644" s="213" t="s">
        <v>4366</v>
      </c>
      <c r="E2644" s="213" t="s">
        <v>334</v>
      </c>
      <c r="F2644" s="212" t="s">
        <v>6158</v>
      </c>
      <c r="G2644" s="212" t="str">
        <f t="shared" si="124"/>
        <v>401용역매출</v>
      </c>
      <c r="H2644" s="214">
        <v>0</v>
      </c>
      <c r="I2644" s="214">
        <v>100000</v>
      </c>
      <c r="J2644" s="214">
        <f t="shared" si="125"/>
        <v>100000</v>
      </c>
      <c r="K2644" s="212" t="s">
        <v>6209</v>
      </c>
      <c r="L2644" s="213"/>
      <c r="M2644" s="212" t="s">
        <v>6185</v>
      </c>
    </row>
    <row r="2645" spans="1:13" ht="21" customHeight="1">
      <c r="A2645" s="213" t="s">
        <v>6533</v>
      </c>
      <c r="B2645" s="215">
        <f t="shared" si="123"/>
        <v>45834</v>
      </c>
      <c r="C2645" s="213" t="s">
        <v>6184</v>
      </c>
      <c r="D2645" s="213" t="s">
        <v>4369</v>
      </c>
      <c r="E2645" s="213" t="s">
        <v>333</v>
      </c>
      <c r="F2645" s="212" t="s">
        <v>4365</v>
      </c>
      <c r="G2645" s="212" t="str">
        <f t="shared" si="124"/>
        <v>101현금</v>
      </c>
      <c r="H2645" s="214">
        <v>110000</v>
      </c>
      <c r="I2645" s="214">
        <v>0</v>
      </c>
      <c r="J2645" s="214">
        <f t="shared" si="125"/>
        <v>-110000</v>
      </c>
      <c r="K2645" s="212" t="s">
        <v>6209</v>
      </c>
      <c r="L2645" s="213"/>
      <c r="M2645" s="212" t="s">
        <v>6185</v>
      </c>
    </row>
    <row r="2646" spans="1:13" ht="21" customHeight="1">
      <c r="A2646" s="213" t="s">
        <v>6533</v>
      </c>
      <c r="B2646" s="215">
        <f t="shared" si="123"/>
        <v>45834</v>
      </c>
      <c r="C2646" s="213" t="s">
        <v>6186</v>
      </c>
      <c r="D2646" s="213" t="s">
        <v>4366</v>
      </c>
      <c r="E2646" s="213" t="s">
        <v>6176</v>
      </c>
      <c r="F2646" s="212" t="s">
        <v>6177</v>
      </c>
      <c r="G2646" s="212" t="str">
        <f t="shared" si="124"/>
        <v>255부가세예수금</v>
      </c>
      <c r="H2646" s="214">
        <v>0</v>
      </c>
      <c r="I2646" s="214">
        <v>10000</v>
      </c>
      <c r="J2646" s="214">
        <f t="shared" si="125"/>
        <v>10000</v>
      </c>
      <c r="K2646" s="212" t="s">
        <v>6210</v>
      </c>
      <c r="L2646" s="213"/>
      <c r="M2646" s="212" t="s">
        <v>6185</v>
      </c>
    </row>
    <row r="2647" spans="1:13" ht="21" customHeight="1">
      <c r="A2647" s="213" t="s">
        <v>6533</v>
      </c>
      <c r="B2647" s="215">
        <f t="shared" si="123"/>
        <v>45834</v>
      </c>
      <c r="C2647" s="213" t="s">
        <v>6186</v>
      </c>
      <c r="D2647" s="213" t="s">
        <v>4366</v>
      </c>
      <c r="E2647" s="213" t="s">
        <v>334</v>
      </c>
      <c r="F2647" s="212" t="s">
        <v>6158</v>
      </c>
      <c r="G2647" s="212" t="str">
        <f t="shared" si="124"/>
        <v>401용역매출</v>
      </c>
      <c r="H2647" s="214">
        <v>0</v>
      </c>
      <c r="I2647" s="214">
        <v>100000</v>
      </c>
      <c r="J2647" s="214">
        <f t="shared" si="125"/>
        <v>100000</v>
      </c>
      <c r="K2647" s="212" t="s">
        <v>6210</v>
      </c>
      <c r="L2647" s="213"/>
      <c r="M2647" s="212" t="s">
        <v>6185</v>
      </c>
    </row>
    <row r="2648" spans="1:13" ht="21" customHeight="1">
      <c r="A2648" s="213" t="s">
        <v>6533</v>
      </c>
      <c r="B2648" s="215">
        <f t="shared" si="123"/>
        <v>45834</v>
      </c>
      <c r="C2648" s="213" t="s">
        <v>6186</v>
      </c>
      <c r="D2648" s="213" t="s">
        <v>4369</v>
      </c>
      <c r="E2648" s="213" t="s">
        <v>333</v>
      </c>
      <c r="F2648" s="212" t="s">
        <v>4365</v>
      </c>
      <c r="G2648" s="212" t="str">
        <f t="shared" si="124"/>
        <v>101현금</v>
      </c>
      <c r="H2648" s="214">
        <v>110000</v>
      </c>
      <c r="I2648" s="214">
        <v>0</v>
      </c>
      <c r="J2648" s="214">
        <f t="shared" si="125"/>
        <v>-110000</v>
      </c>
      <c r="K2648" s="212" t="s">
        <v>6210</v>
      </c>
      <c r="L2648" s="213"/>
      <c r="M2648" s="212" t="s">
        <v>6185</v>
      </c>
    </row>
    <row r="2649" spans="1:13" ht="21" customHeight="1">
      <c r="A2649" s="213" t="s">
        <v>6533</v>
      </c>
      <c r="B2649" s="215">
        <f t="shared" si="123"/>
        <v>45834</v>
      </c>
      <c r="C2649" s="213" t="s">
        <v>6189</v>
      </c>
      <c r="D2649" s="213" t="s">
        <v>4366</v>
      </c>
      <c r="E2649" s="213" t="s">
        <v>6176</v>
      </c>
      <c r="F2649" s="212" t="s">
        <v>6177</v>
      </c>
      <c r="G2649" s="212" t="str">
        <f t="shared" si="124"/>
        <v>255부가세예수금</v>
      </c>
      <c r="H2649" s="214">
        <v>0</v>
      </c>
      <c r="I2649" s="214">
        <v>15000</v>
      </c>
      <c r="J2649" s="214">
        <f t="shared" si="125"/>
        <v>15000</v>
      </c>
      <c r="K2649" s="212" t="s">
        <v>6211</v>
      </c>
      <c r="L2649" s="213"/>
      <c r="M2649" s="212" t="s">
        <v>6179</v>
      </c>
    </row>
    <row r="2650" spans="1:13" ht="21" customHeight="1">
      <c r="A2650" s="213" t="s">
        <v>6533</v>
      </c>
      <c r="B2650" s="215">
        <f t="shared" si="123"/>
        <v>45834</v>
      </c>
      <c r="C2650" s="213" t="s">
        <v>6189</v>
      </c>
      <c r="D2650" s="213" t="s">
        <v>4366</v>
      </c>
      <c r="E2650" s="213" t="s">
        <v>334</v>
      </c>
      <c r="F2650" s="212" t="s">
        <v>6158</v>
      </c>
      <c r="G2650" s="212" t="str">
        <f t="shared" si="124"/>
        <v>401용역매출</v>
      </c>
      <c r="H2650" s="214">
        <v>0</v>
      </c>
      <c r="I2650" s="214">
        <v>150000</v>
      </c>
      <c r="J2650" s="214">
        <f t="shared" si="125"/>
        <v>150000</v>
      </c>
      <c r="K2650" s="212" t="s">
        <v>6211</v>
      </c>
      <c r="L2650" s="213"/>
      <c r="M2650" s="212" t="s">
        <v>6179</v>
      </c>
    </row>
    <row r="2651" spans="1:13" ht="21" customHeight="1">
      <c r="A2651" s="213" t="s">
        <v>6533</v>
      </c>
      <c r="B2651" s="215">
        <f t="shared" si="123"/>
        <v>45834</v>
      </c>
      <c r="C2651" s="213" t="s">
        <v>6189</v>
      </c>
      <c r="D2651" s="213" t="s">
        <v>4369</v>
      </c>
      <c r="E2651" s="213" t="s">
        <v>333</v>
      </c>
      <c r="F2651" s="212" t="s">
        <v>4365</v>
      </c>
      <c r="G2651" s="212" t="str">
        <f t="shared" si="124"/>
        <v>101현금</v>
      </c>
      <c r="H2651" s="214">
        <v>165000</v>
      </c>
      <c r="I2651" s="214">
        <v>0</v>
      </c>
      <c r="J2651" s="214">
        <f t="shared" si="125"/>
        <v>-165000</v>
      </c>
      <c r="K2651" s="212" t="s">
        <v>6211</v>
      </c>
      <c r="L2651" s="213"/>
      <c r="M2651" s="212" t="s">
        <v>6179</v>
      </c>
    </row>
    <row r="2652" spans="1:13" ht="21" customHeight="1">
      <c r="A2652" s="213" t="s">
        <v>6528</v>
      </c>
      <c r="B2652" s="215">
        <f t="shared" si="123"/>
        <v>45835</v>
      </c>
      <c r="C2652" s="213" t="s">
        <v>4373</v>
      </c>
      <c r="D2652" s="213" t="s">
        <v>4369</v>
      </c>
      <c r="E2652" s="213" t="s">
        <v>4499</v>
      </c>
      <c r="F2652" s="212" t="s">
        <v>6517</v>
      </c>
      <c r="G2652" s="212" t="str">
        <f t="shared" si="124"/>
        <v>811복리후생비(판)</v>
      </c>
      <c r="H2652" s="214">
        <v>12500</v>
      </c>
      <c r="I2652" s="214">
        <v>0</v>
      </c>
      <c r="J2652" s="214">
        <f t="shared" si="125"/>
        <v>-12500</v>
      </c>
      <c r="K2652" s="212" t="s">
        <v>6532</v>
      </c>
      <c r="L2652" s="213"/>
      <c r="M2652" s="212"/>
    </row>
    <row r="2653" spans="1:13" ht="21" customHeight="1">
      <c r="A2653" s="213" t="s">
        <v>6528</v>
      </c>
      <c r="B2653" s="215">
        <f t="shared" si="123"/>
        <v>45835</v>
      </c>
      <c r="C2653" s="213" t="s">
        <v>4373</v>
      </c>
      <c r="D2653" s="213" t="s">
        <v>4366</v>
      </c>
      <c r="E2653" s="213" t="s">
        <v>333</v>
      </c>
      <c r="F2653" s="212" t="s">
        <v>4365</v>
      </c>
      <c r="G2653" s="212" t="str">
        <f t="shared" si="124"/>
        <v>101현금</v>
      </c>
      <c r="H2653" s="214">
        <v>0</v>
      </c>
      <c r="I2653" s="214">
        <v>12500</v>
      </c>
      <c r="J2653" s="214">
        <f t="shared" si="125"/>
        <v>12500</v>
      </c>
      <c r="K2653" s="212" t="s">
        <v>6370</v>
      </c>
      <c r="L2653" s="213"/>
      <c r="M2653" s="212"/>
    </row>
    <row r="2654" spans="1:13" ht="21" customHeight="1">
      <c r="A2654" s="213" t="s">
        <v>6528</v>
      </c>
      <c r="B2654" s="215">
        <f t="shared" si="123"/>
        <v>45835</v>
      </c>
      <c r="C2654" s="213" t="s">
        <v>4382</v>
      </c>
      <c r="D2654" s="213" t="s">
        <v>4369</v>
      </c>
      <c r="E2654" s="213" t="s">
        <v>4380</v>
      </c>
      <c r="F2654" s="212" t="s">
        <v>6515</v>
      </c>
      <c r="G2654" s="212" t="str">
        <f t="shared" si="124"/>
        <v>812여비교통비(판)</v>
      </c>
      <c r="H2654" s="214">
        <v>5500</v>
      </c>
      <c r="I2654" s="214">
        <v>0</v>
      </c>
      <c r="J2654" s="214">
        <f t="shared" si="125"/>
        <v>-5500</v>
      </c>
      <c r="K2654" s="212" t="s">
        <v>6531</v>
      </c>
      <c r="L2654" s="213"/>
      <c r="M2654" s="212"/>
    </row>
    <row r="2655" spans="1:13" ht="21" customHeight="1">
      <c r="A2655" s="213" t="s">
        <v>6528</v>
      </c>
      <c r="B2655" s="215">
        <f t="shared" si="123"/>
        <v>45835</v>
      </c>
      <c r="C2655" s="213" t="s">
        <v>4382</v>
      </c>
      <c r="D2655" s="213" t="s">
        <v>4366</v>
      </c>
      <c r="E2655" s="213" t="s">
        <v>333</v>
      </c>
      <c r="F2655" s="212" t="s">
        <v>4365</v>
      </c>
      <c r="G2655" s="212" t="str">
        <f t="shared" si="124"/>
        <v>101현금</v>
      </c>
      <c r="H2655" s="214">
        <v>0</v>
      </c>
      <c r="I2655" s="214">
        <v>5500</v>
      </c>
      <c r="J2655" s="214">
        <f t="shared" si="125"/>
        <v>5500</v>
      </c>
      <c r="K2655" s="212" t="s">
        <v>6369</v>
      </c>
      <c r="L2655" s="213"/>
      <c r="M2655" s="212"/>
    </row>
    <row r="2656" spans="1:13" ht="21" customHeight="1">
      <c r="A2656" s="213" t="s">
        <v>6528</v>
      </c>
      <c r="B2656" s="215">
        <f t="shared" si="123"/>
        <v>45835</v>
      </c>
      <c r="C2656" s="213" t="s">
        <v>4381</v>
      </c>
      <c r="D2656" s="213" t="s">
        <v>4369</v>
      </c>
      <c r="E2656" s="213" t="s">
        <v>4380</v>
      </c>
      <c r="F2656" s="212" t="s">
        <v>6515</v>
      </c>
      <c r="G2656" s="212" t="str">
        <f t="shared" si="124"/>
        <v>812여비교통비(판)</v>
      </c>
      <c r="H2656" s="214">
        <v>6800</v>
      </c>
      <c r="I2656" s="214">
        <v>0</v>
      </c>
      <c r="J2656" s="214">
        <f t="shared" si="125"/>
        <v>-6800</v>
      </c>
      <c r="K2656" s="212" t="s">
        <v>6530</v>
      </c>
      <c r="L2656" s="213"/>
      <c r="M2656" s="212"/>
    </row>
    <row r="2657" spans="1:13" ht="21" customHeight="1">
      <c r="A2657" s="213" t="s">
        <v>6528</v>
      </c>
      <c r="B2657" s="215">
        <f t="shared" si="123"/>
        <v>45835</v>
      </c>
      <c r="C2657" s="213" t="s">
        <v>4381</v>
      </c>
      <c r="D2657" s="213" t="s">
        <v>4366</v>
      </c>
      <c r="E2657" s="213" t="s">
        <v>333</v>
      </c>
      <c r="F2657" s="212" t="s">
        <v>4365</v>
      </c>
      <c r="G2657" s="212" t="str">
        <f t="shared" si="124"/>
        <v>101현금</v>
      </c>
      <c r="H2657" s="214">
        <v>0</v>
      </c>
      <c r="I2657" s="214">
        <v>6800</v>
      </c>
      <c r="J2657" s="214">
        <f t="shared" si="125"/>
        <v>6800</v>
      </c>
      <c r="K2657" s="212" t="s">
        <v>6370</v>
      </c>
      <c r="L2657" s="213"/>
      <c r="M2657" s="212"/>
    </row>
    <row r="2658" spans="1:13" ht="21" customHeight="1">
      <c r="A2658" s="213" t="s">
        <v>6528</v>
      </c>
      <c r="B2658" s="215">
        <f t="shared" si="123"/>
        <v>45835</v>
      </c>
      <c r="C2658" s="213" t="s">
        <v>4379</v>
      </c>
      <c r="D2658" s="213" t="s">
        <v>4369</v>
      </c>
      <c r="E2658" s="213" t="s">
        <v>6157</v>
      </c>
      <c r="F2658" s="212" t="s">
        <v>6524</v>
      </c>
      <c r="G2658" s="212" t="str">
        <f t="shared" si="124"/>
        <v>813접대비(기업업무추진비)(판)</v>
      </c>
      <c r="H2658" s="214">
        <v>49000</v>
      </c>
      <c r="I2658" s="214">
        <v>0</v>
      </c>
      <c r="J2658" s="214">
        <f t="shared" si="125"/>
        <v>-49000</v>
      </c>
      <c r="K2658" s="212" t="s">
        <v>6529</v>
      </c>
      <c r="L2658" s="213" t="s">
        <v>1327</v>
      </c>
      <c r="M2658" s="212" t="s">
        <v>6356</v>
      </c>
    </row>
    <row r="2659" spans="1:13" ht="21" customHeight="1">
      <c r="A2659" s="213" t="s">
        <v>6528</v>
      </c>
      <c r="B2659" s="215">
        <f t="shared" si="123"/>
        <v>45835</v>
      </c>
      <c r="C2659" s="213" t="s">
        <v>4379</v>
      </c>
      <c r="D2659" s="213" t="s">
        <v>4366</v>
      </c>
      <c r="E2659" s="213" t="s">
        <v>333</v>
      </c>
      <c r="F2659" s="212" t="s">
        <v>4365</v>
      </c>
      <c r="G2659" s="212" t="str">
        <f t="shared" si="124"/>
        <v>101현금</v>
      </c>
      <c r="H2659" s="214">
        <v>0</v>
      </c>
      <c r="I2659" s="214">
        <v>49000</v>
      </c>
      <c r="J2659" s="214">
        <f t="shared" si="125"/>
        <v>49000</v>
      </c>
      <c r="K2659" s="212" t="s">
        <v>6369</v>
      </c>
      <c r="L2659" s="213"/>
      <c r="M2659" s="212"/>
    </row>
    <row r="2660" spans="1:13" ht="21" customHeight="1">
      <c r="A2660" s="217" t="s">
        <v>6526</v>
      </c>
      <c r="B2660" s="215">
        <f t="shared" si="123"/>
        <v>45836</v>
      </c>
      <c r="C2660" s="213" t="s">
        <v>4373</v>
      </c>
      <c r="D2660" s="213" t="s">
        <v>4369</v>
      </c>
      <c r="E2660" s="213" t="s">
        <v>4380</v>
      </c>
      <c r="F2660" s="212" t="s">
        <v>6515</v>
      </c>
      <c r="G2660" s="212" t="str">
        <f t="shared" si="124"/>
        <v>812여비교통비(판)</v>
      </c>
      <c r="H2660" s="214">
        <v>1200</v>
      </c>
      <c r="I2660" s="214">
        <v>0</v>
      </c>
      <c r="J2660" s="214">
        <f t="shared" si="125"/>
        <v>-1200</v>
      </c>
      <c r="K2660" s="212" t="s">
        <v>6527</v>
      </c>
      <c r="L2660" s="213"/>
      <c r="M2660" s="212"/>
    </row>
    <row r="2661" spans="1:13" ht="21" customHeight="1">
      <c r="A2661" s="217" t="s">
        <v>6526</v>
      </c>
      <c r="B2661" s="215">
        <f t="shared" si="123"/>
        <v>45836</v>
      </c>
      <c r="C2661" s="213" t="s">
        <v>4373</v>
      </c>
      <c r="D2661" s="213" t="s">
        <v>4366</v>
      </c>
      <c r="E2661" s="213" t="s">
        <v>333</v>
      </c>
      <c r="F2661" s="212" t="s">
        <v>4365</v>
      </c>
      <c r="G2661" s="212" t="str">
        <f t="shared" si="124"/>
        <v>101현금</v>
      </c>
      <c r="H2661" s="214">
        <v>0</v>
      </c>
      <c r="I2661" s="214">
        <v>1200</v>
      </c>
      <c r="J2661" s="214">
        <f t="shared" si="125"/>
        <v>1200</v>
      </c>
      <c r="K2661" s="212" t="s">
        <v>6369</v>
      </c>
      <c r="L2661" s="213"/>
      <c r="M2661" s="212"/>
    </row>
    <row r="2662" spans="1:13" ht="21" customHeight="1">
      <c r="A2662" s="217" t="s">
        <v>6526</v>
      </c>
      <c r="B2662" s="215">
        <f t="shared" si="123"/>
        <v>45836</v>
      </c>
      <c r="C2662" s="213" t="s">
        <v>4382</v>
      </c>
      <c r="D2662" s="213" t="s">
        <v>4369</v>
      </c>
      <c r="E2662" s="213" t="s">
        <v>4380</v>
      </c>
      <c r="F2662" s="212" t="s">
        <v>6515</v>
      </c>
      <c r="G2662" s="212" t="str">
        <f t="shared" si="124"/>
        <v>812여비교통비(판)</v>
      </c>
      <c r="H2662" s="214">
        <v>1000</v>
      </c>
      <c r="I2662" s="214">
        <v>0</v>
      </c>
      <c r="J2662" s="214">
        <f t="shared" si="125"/>
        <v>-1000</v>
      </c>
      <c r="K2662" s="212" t="s">
        <v>6527</v>
      </c>
      <c r="L2662" s="213"/>
      <c r="M2662" s="212"/>
    </row>
    <row r="2663" spans="1:13" ht="21" customHeight="1">
      <c r="A2663" s="217" t="s">
        <v>6526</v>
      </c>
      <c r="B2663" s="215">
        <f t="shared" si="123"/>
        <v>45836</v>
      </c>
      <c r="C2663" s="213" t="s">
        <v>4382</v>
      </c>
      <c r="D2663" s="213" t="s">
        <v>4366</v>
      </c>
      <c r="E2663" s="213" t="s">
        <v>333</v>
      </c>
      <c r="F2663" s="212" t="s">
        <v>4365</v>
      </c>
      <c r="G2663" s="212" t="str">
        <f t="shared" si="124"/>
        <v>101현금</v>
      </c>
      <c r="H2663" s="214">
        <v>0</v>
      </c>
      <c r="I2663" s="214">
        <v>1000</v>
      </c>
      <c r="J2663" s="214">
        <f t="shared" si="125"/>
        <v>1000</v>
      </c>
      <c r="K2663" s="212" t="s">
        <v>6369</v>
      </c>
      <c r="L2663" s="213"/>
      <c r="M2663" s="212"/>
    </row>
    <row r="2664" spans="1:13" ht="21" customHeight="1">
      <c r="A2664" s="217" t="s">
        <v>6526</v>
      </c>
      <c r="B2664" s="215">
        <f t="shared" si="123"/>
        <v>45836</v>
      </c>
      <c r="C2664" s="213" t="s">
        <v>4381</v>
      </c>
      <c r="D2664" s="213" t="s">
        <v>4369</v>
      </c>
      <c r="E2664" s="213" t="s">
        <v>4380</v>
      </c>
      <c r="F2664" s="212" t="s">
        <v>6515</v>
      </c>
      <c r="G2664" s="212" t="str">
        <f t="shared" si="124"/>
        <v>812여비교통비(판)</v>
      </c>
      <c r="H2664" s="214">
        <v>1000</v>
      </c>
      <c r="I2664" s="214">
        <v>0</v>
      </c>
      <c r="J2664" s="214">
        <f t="shared" si="125"/>
        <v>-1000</v>
      </c>
      <c r="K2664" s="212" t="s">
        <v>6527</v>
      </c>
      <c r="L2664" s="213"/>
      <c r="M2664" s="212"/>
    </row>
    <row r="2665" spans="1:13" ht="21" customHeight="1">
      <c r="A2665" s="217" t="s">
        <v>6526</v>
      </c>
      <c r="B2665" s="215">
        <f t="shared" si="123"/>
        <v>45836</v>
      </c>
      <c r="C2665" s="213" t="s">
        <v>4381</v>
      </c>
      <c r="D2665" s="213" t="s">
        <v>4366</v>
      </c>
      <c r="E2665" s="213" t="s">
        <v>333</v>
      </c>
      <c r="F2665" s="212" t="s">
        <v>4365</v>
      </c>
      <c r="G2665" s="212" t="str">
        <f t="shared" si="124"/>
        <v>101현금</v>
      </c>
      <c r="H2665" s="214">
        <v>0</v>
      </c>
      <c r="I2665" s="214">
        <v>1000</v>
      </c>
      <c r="J2665" s="214">
        <f t="shared" si="125"/>
        <v>1000</v>
      </c>
      <c r="K2665" s="212" t="s">
        <v>6369</v>
      </c>
      <c r="L2665" s="213"/>
      <c r="M2665" s="212"/>
    </row>
    <row r="2666" spans="1:13" ht="21" customHeight="1">
      <c r="A2666" s="216" t="s">
        <v>6522</v>
      </c>
      <c r="B2666" s="215">
        <f t="shared" si="123"/>
        <v>45837</v>
      </c>
      <c r="C2666" s="213" t="s">
        <v>4373</v>
      </c>
      <c r="D2666" s="213" t="s">
        <v>4369</v>
      </c>
      <c r="E2666" s="213" t="s">
        <v>4383</v>
      </c>
      <c r="F2666" s="212" t="s">
        <v>6525</v>
      </c>
      <c r="G2666" s="212" t="str">
        <f t="shared" si="124"/>
        <v>830소모품비(판)</v>
      </c>
      <c r="H2666" s="214">
        <v>6300</v>
      </c>
      <c r="I2666" s="214">
        <v>0</v>
      </c>
      <c r="J2666" s="214">
        <f t="shared" si="125"/>
        <v>-6300</v>
      </c>
      <c r="K2666" s="212" t="s">
        <v>6203</v>
      </c>
      <c r="L2666" s="213"/>
      <c r="M2666" s="212"/>
    </row>
    <row r="2667" spans="1:13" ht="21" customHeight="1">
      <c r="A2667" s="216" t="s">
        <v>6522</v>
      </c>
      <c r="B2667" s="215">
        <f t="shared" si="123"/>
        <v>45837</v>
      </c>
      <c r="C2667" s="213" t="s">
        <v>4373</v>
      </c>
      <c r="D2667" s="213" t="s">
        <v>4366</v>
      </c>
      <c r="E2667" s="213" t="s">
        <v>333</v>
      </c>
      <c r="F2667" s="212" t="s">
        <v>4365</v>
      </c>
      <c r="G2667" s="212" t="str">
        <f t="shared" si="124"/>
        <v>101현금</v>
      </c>
      <c r="H2667" s="214">
        <v>0</v>
      </c>
      <c r="I2667" s="214">
        <v>6300</v>
      </c>
      <c r="J2667" s="214">
        <f t="shared" si="125"/>
        <v>6300</v>
      </c>
      <c r="K2667" s="212" t="s">
        <v>6369</v>
      </c>
      <c r="L2667" s="213"/>
      <c r="M2667" s="212"/>
    </row>
    <row r="2668" spans="1:13" ht="21" customHeight="1">
      <c r="A2668" s="216" t="s">
        <v>6522</v>
      </c>
      <c r="B2668" s="215">
        <f t="shared" si="123"/>
        <v>45837</v>
      </c>
      <c r="C2668" s="213" t="s">
        <v>4382</v>
      </c>
      <c r="D2668" s="213" t="s">
        <v>4369</v>
      </c>
      <c r="E2668" s="213" t="s">
        <v>4383</v>
      </c>
      <c r="F2668" s="212" t="s">
        <v>6525</v>
      </c>
      <c r="G2668" s="212" t="str">
        <f t="shared" si="124"/>
        <v>830소모품비(판)</v>
      </c>
      <c r="H2668" s="214">
        <v>6500</v>
      </c>
      <c r="I2668" s="214">
        <v>0</v>
      </c>
      <c r="J2668" s="214">
        <f t="shared" si="125"/>
        <v>-6500</v>
      </c>
      <c r="K2668" s="212" t="s">
        <v>6203</v>
      </c>
      <c r="L2668" s="213"/>
      <c r="M2668" s="212"/>
    </row>
    <row r="2669" spans="1:13" ht="21" customHeight="1">
      <c r="A2669" s="216" t="s">
        <v>6522</v>
      </c>
      <c r="B2669" s="215">
        <f t="shared" si="123"/>
        <v>45837</v>
      </c>
      <c r="C2669" s="213" t="s">
        <v>4382</v>
      </c>
      <c r="D2669" s="213" t="s">
        <v>4366</v>
      </c>
      <c r="E2669" s="213" t="s">
        <v>333</v>
      </c>
      <c r="F2669" s="212" t="s">
        <v>4365</v>
      </c>
      <c r="G2669" s="212" t="str">
        <f t="shared" si="124"/>
        <v>101현금</v>
      </c>
      <c r="H2669" s="214">
        <v>0</v>
      </c>
      <c r="I2669" s="214">
        <v>6500</v>
      </c>
      <c r="J2669" s="214">
        <f t="shared" si="125"/>
        <v>6500</v>
      </c>
      <c r="K2669" s="212" t="s">
        <v>6369</v>
      </c>
      <c r="L2669" s="213"/>
      <c r="M2669" s="212"/>
    </row>
    <row r="2670" spans="1:13" ht="21" customHeight="1">
      <c r="A2670" s="216" t="s">
        <v>6522</v>
      </c>
      <c r="B2670" s="215">
        <f t="shared" si="123"/>
        <v>45837</v>
      </c>
      <c r="C2670" s="213" t="s">
        <v>4381</v>
      </c>
      <c r="D2670" s="213" t="s">
        <v>4369</v>
      </c>
      <c r="E2670" s="213" t="s">
        <v>4380</v>
      </c>
      <c r="F2670" s="212" t="s">
        <v>6515</v>
      </c>
      <c r="G2670" s="212" t="str">
        <f t="shared" si="124"/>
        <v>812여비교통비(판)</v>
      </c>
      <c r="H2670" s="214">
        <v>3600</v>
      </c>
      <c r="I2670" s="214">
        <v>0</v>
      </c>
      <c r="J2670" s="214">
        <f t="shared" si="125"/>
        <v>-3600</v>
      </c>
      <c r="K2670" s="212" t="s">
        <v>6305</v>
      </c>
      <c r="L2670" s="213"/>
      <c r="M2670" s="212"/>
    </row>
    <row r="2671" spans="1:13" ht="21" customHeight="1">
      <c r="A2671" s="216" t="s">
        <v>6522</v>
      </c>
      <c r="B2671" s="215">
        <f t="shared" si="123"/>
        <v>45837</v>
      </c>
      <c r="C2671" s="213" t="s">
        <v>4381</v>
      </c>
      <c r="D2671" s="213" t="s">
        <v>4366</v>
      </c>
      <c r="E2671" s="213" t="s">
        <v>333</v>
      </c>
      <c r="F2671" s="212" t="s">
        <v>4365</v>
      </c>
      <c r="G2671" s="212" t="str">
        <f t="shared" si="124"/>
        <v>101현금</v>
      </c>
      <c r="H2671" s="214">
        <v>0</v>
      </c>
      <c r="I2671" s="214">
        <v>3600</v>
      </c>
      <c r="J2671" s="214">
        <f t="shared" si="125"/>
        <v>3600</v>
      </c>
      <c r="K2671" s="212" t="s">
        <v>6369</v>
      </c>
      <c r="L2671" s="213"/>
      <c r="M2671" s="212"/>
    </row>
    <row r="2672" spans="1:13" ht="21" customHeight="1">
      <c r="A2672" s="216" t="s">
        <v>6522</v>
      </c>
      <c r="B2672" s="215">
        <f t="shared" si="123"/>
        <v>45837</v>
      </c>
      <c r="C2672" s="213" t="s">
        <v>4379</v>
      </c>
      <c r="D2672" s="213" t="s">
        <v>4369</v>
      </c>
      <c r="E2672" s="213" t="s">
        <v>6157</v>
      </c>
      <c r="F2672" s="212" t="s">
        <v>6524</v>
      </c>
      <c r="G2672" s="212" t="str">
        <f t="shared" si="124"/>
        <v>813접대비(기업업무추진비)(판)</v>
      </c>
      <c r="H2672" s="214">
        <v>89000</v>
      </c>
      <c r="I2672" s="214">
        <v>0</v>
      </c>
      <c r="J2672" s="214">
        <f t="shared" si="125"/>
        <v>-89000</v>
      </c>
      <c r="K2672" s="212" t="s">
        <v>6523</v>
      </c>
      <c r="L2672" s="213" t="s">
        <v>1327</v>
      </c>
      <c r="M2672" s="212" t="s">
        <v>6356</v>
      </c>
    </row>
    <row r="2673" spans="1:13" ht="21" customHeight="1">
      <c r="A2673" s="216" t="s">
        <v>6522</v>
      </c>
      <c r="B2673" s="215">
        <f t="shared" si="123"/>
        <v>45837</v>
      </c>
      <c r="C2673" s="213" t="s">
        <v>4379</v>
      </c>
      <c r="D2673" s="213" t="s">
        <v>4366</v>
      </c>
      <c r="E2673" s="213" t="s">
        <v>333</v>
      </c>
      <c r="F2673" s="212" t="s">
        <v>4365</v>
      </c>
      <c r="G2673" s="212" t="str">
        <f t="shared" si="124"/>
        <v>101현금</v>
      </c>
      <c r="H2673" s="214">
        <v>0</v>
      </c>
      <c r="I2673" s="214">
        <v>89000</v>
      </c>
      <c r="J2673" s="214">
        <f t="shared" si="125"/>
        <v>89000</v>
      </c>
      <c r="K2673" s="212" t="s">
        <v>6369</v>
      </c>
      <c r="L2673" s="213"/>
      <c r="M2673" s="212"/>
    </row>
    <row r="2674" spans="1:13" ht="21" customHeight="1">
      <c r="A2674" s="213" t="s">
        <v>6513</v>
      </c>
      <c r="B2674" s="215">
        <f t="shared" si="123"/>
        <v>45838</v>
      </c>
      <c r="C2674" s="213" t="s">
        <v>4373</v>
      </c>
      <c r="D2674" s="213" t="s">
        <v>4369</v>
      </c>
      <c r="E2674" s="213" t="s">
        <v>6176</v>
      </c>
      <c r="F2674" s="212" t="s">
        <v>6177</v>
      </c>
      <c r="G2674" s="212" t="str">
        <f t="shared" si="124"/>
        <v>255부가세예수금</v>
      </c>
      <c r="H2674" s="214">
        <v>9108186</v>
      </c>
      <c r="I2674" s="214">
        <v>0</v>
      </c>
      <c r="J2674" s="214">
        <f t="shared" si="125"/>
        <v>-9108186</v>
      </c>
      <c r="K2674" s="212"/>
      <c r="L2674" s="213" t="s">
        <v>1272</v>
      </c>
      <c r="M2674" s="212" t="s">
        <v>6318</v>
      </c>
    </row>
    <row r="2675" spans="1:13" ht="21" customHeight="1">
      <c r="A2675" s="213" t="s">
        <v>6513</v>
      </c>
      <c r="B2675" s="215">
        <f t="shared" si="123"/>
        <v>45838</v>
      </c>
      <c r="C2675" s="213" t="s">
        <v>4373</v>
      </c>
      <c r="D2675" s="213" t="s">
        <v>4366</v>
      </c>
      <c r="E2675" s="213" t="s">
        <v>4371</v>
      </c>
      <c r="F2675" s="212" t="s">
        <v>4370</v>
      </c>
      <c r="G2675" s="212" t="str">
        <f t="shared" si="124"/>
        <v>135부가세대급금</v>
      </c>
      <c r="H2675" s="214">
        <v>0</v>
      </c>
      <c r="I2675" s="214">
        <v>637187</v>
      </c>
      <c r="J2675" s="214">
        <f t="shared" si="125"/>
        <v>637187</v>
      </c>
      <c r="K2675" s="212"/>
      <c r="L2675" s="213" t="s">
        <v>1376</v>
      </c>
      <c r="M2675" s="212" t="s">
        <v>4520</v>
      </c>
    </row>
    <row r="2676" spans="1:13" ht="21" customHeight="1">
      <c r="A2676" s="213" t="s">
        <v>6513</v>
      </c>
      <c r="B2676" s="215">
        <f t="shared" si="123"/>
        <v>45838</v>
      </c>
      <c r="C2676" s="213" t="s">
        <v>4373</v>
      </c>
      <c r="D2676" s="213" t="s">
        <v>4366</v>
      </c>
      <c r="E2676" s="213" t="s">
        <v>1791</v>
      </c>
      <c r="F2676" s="212" t="s">
        <v>6319</v>
      </c>
      <c r="G2676" s="212" t="str">
        <f t="shared" si="124"/>
        <v>261미지급세금</v>
      </c>
      <c r="H2676" s="214">
        <v>0</v>
      </c>
      <c r="I2676" s="214">
        <v>4092930</v>
      </c>
      <c r="J2676" s="214">
        <f t="shared" si="125"/>
        <v>4092930</v>
      </c>
      <c r="K2676" s="212" t="s">
        <v>6299</v>
      </c>
      <c r="L2676" s="213" t="s">
        <v>6411</v>
      </c>
      <c r="M2676" s="212" t="s">
        <v>6521</v>
      </c>
    </row>
    <row r="2677" spans="1:13" ht="21" customHeight="1">
      <c r="A2677" s="213" t="s">
        <v>6513</v>
      </c>
      <c r="B2677" s="215">
        <f t="shared" si="123"/>
        <v>45838</v>
      </c>
      <c r="C2677" s="213" t="s">
        <v>4373</v>
      </c>
      <c r="D2677" s="213" t="s">
        <v>4366</v>
      </c>
      <c r="E2677" s="213" t="s">
        <v>6297</v>
      </c>
      <c r="F2677" s="212" t="s">
        <v>6298</v>
      </c>
      <c r="G2677" s="212" t="str">
        <f t="shared" si="124"/>
        <v>136선납세금</v>
      </c>
      <c r="H2677" s="214">
        <v>0</v>
      </c>
      <c r="I2677" s="214">
        <v>3743000</v>
      </c>
      <c r="J2677" s="214">
        <f t="shared" si="125"/>
        <v>3743000</v>
      </c>
      <c r="K2677" s="212" t="s">
        <v>6299</v>
      </c>
      <c r="L2677" s="213" t="s">
        <v>6411</v>
      </c>
      <c r="M2677" s="212" t="s">
        <v>6520</v>
      </c>
    </row>
    <row r="2678" spans="1:13" ht="21" customHeight="1">
      <c r="A2678" s="213" t="s">
        <v>6513</v>
      </c>
      <c r="B2678" s="215">
        <f t="shared" si="123"/>
        <v>45838</v>
      </c>
      <c r="C2678" s="213" t="s">
        <v>4373</v>
      </c>
      <c r="D2678" s="213" t="s">
        <v>4366</v>
      </c>
      <c r="E2678" s="213" t="s">
        <v>3564</v>
      </c>
      <c r="F2678" s="212" t="s">
        <v>6320</v>
      </c>
      <c r="G2678" s="212" t="str">
        <f t="shared" si="124"/>
        <v>930잡이익</v>
      </c>
      <c r="H2678" s="214">
        <v>0</v>
      </c>
      <c r="I2678" s="214">
        <v>73600</v>
      </c>
      <c r="J2678" s="214">
        <f t="shared" si="125"/>
        <v>73600</v>
      </c>
      <c r="K2678" s="212" t="s">
        <v>6299</v>
      </c>
      <c r="L2678" s="213" t="s">
        <v>6411</v>
      </c>
      <c r="M2678" s="212" t="s">
        <v>6379</v>
      </c>
    </row>
    <row r="2679" spans="1:13" ht="21" customHeight="1">
      <c r="A2679" s="213" t="s">
        <v>6513</v>
      </c>
      <c r="B2679" s="215">
        <f t="shared" si="123"/>
        <v>45838</v>
      </c>
      <c r="C2679" s="213" t="s">
        <v>4373</v>
      </c>
      <c r="D2679" s="213" t="s">
        <v>4366</v>
      </c>
      <c r="E2679" s="213" t="s">
        <v>3564</v>
      </c>
      <c r="F2679" s="212" t="s">
        <v>6320</v>
      </c>
      <c r="G2679" s="212" t="str">
        <f t="shared" si="124"/>
        <v>930잡이익</v>
      </c>
      <c r="H2679" s="214">
        <v>0</v>
      </c>
      <c r="I2679" s="214">
        <v>561457</v>
      </c>
      <c r="J2679" s="214">
        <f t="shared" si="125"/>
        <v>561457</v>
      </c>
      <c r="K2679" s="212" t="s">
        <v>6299</v>
      </c>
      <c r="L2679" s="213" t="s">
        <v>6411</v>
      </c>
      <c r="M2679" s="212" t="s">
        <v>6321</v>
      </c>
    </row>
    <row r="2680" spans="1:13" ht="21" customHeight="1">
      <c r="A2680" s="213" t="s">
        <v>6513</v>
      </c>
      <c r="B2680" s="215">
        <f t="shared" si="123"/>
        <v>45838</v>
      </c>
      <c r="C2680" s="213" t="s">
        <v>4373</v>
      </c>
      <c r="D2680" s="213" t="s">
        <v>4366</v>
      </c>
      <c r="E2680" s="213" t="s">
        <v>3564</v>
      </c>
      <c r="F2680" s="212" t="s">
        <v>6320</v>
      </c>
      <c r="G2680" s="212" t="str">
        <f t="shared" si="124"/>
        <v>930잡이익</v>
      </c>
      <c r="H2680" s="214">
        <v>0</v>
      </c>
      <c r="I2680" s="214">
        <v>12</v>
      </c>
      <c r="J2680" s="214">
        <f t="shared" si="125"/>
        <v>12</v>
      </c>
      <c r="K2680" s="212" t="s">
        <v>6299</v>
      </c>
      <c r="L2680" s="213" t="s">
        <v>6411</v>
      </c>
      <c r="M2680" s="212" t="s">
        <v>4525</v>
      </c>
    </row>
    <row r="2681" spans="1:13" ht="21" customHeight="1">
      <c r="A2681" s="213" t="s">
        <v>6513</v>
      </c>
      <c r="B2681" s="215">
        <f t="shared" si="123"/>
        <v>45838</v>
      </c>
      <c r="C2681" s="213" t="s">
        <v>4382</v>
      </c>
      <c r="D2681" s="213" t="s">
        <v>4369</v>
      </c>
      <c r="E2681" s="213" t="s">
        <v>4513</v>
      </c>
      <c r="F2681" s="212" t="s">
        <v>6519</v>
      </c>
      <c r="G2681" s="212" t="str">
        <f t="shared" si="124"/>
        <v>802직원급여(판)</v>
      </c>
      <c r="H2681" s="214">
        <v>1700000</v>
      </c>
      <c r="I2681" s="214">
        <v>0</v>
      </c>
      <c r="J2681" s="214">
        <f t="shared" si="125"/>
        <v>-1700000</v>
      </c>
      <c r="K2681" s="212"/>
      <c r="L2681" s="213" t="s">
        <v>6411</v>
      </c>
      <c r="M2681" s="212" t="s">
        <v>4514</v>
      </c>
    </row>
    <row r="2682" spans="1:13" ht="21" customHeight="1">
      <c r="A2682" s="213" t="s">
        <v>6513</v>
      </c>
      <c r="B2682" s="215">
        <f t="shared" si="123"/>
        <v>45838</v>
      </c>
      <c r="C2682" s="213" t="s">
        <v>4382</v>
      </c>
      <c r="D2682" s="213" t="s">
        <v>4366</v>
      </c>
      <c r="E2682" s="213" t="s">
        <v>333</v>
      </c>
      <c r="F2682" s="212" t="s">
        <v>4365</v>
      </c>
      <c r="G2682" s="212" t="str">
        <f t="shared" si="124"/>
        <v>101현금</v>
      </c>
      <c r="H2682" s="214">
        <v>0</v>
      </c>
      <c r="I2682" s="214">
        <v>1476240</v>
      </c>
      <c r="J2682" s="214">
        <f t="shared" si="125"/>
        <v>1476240</v>
      </c>
      <c r="K2682" s="212"/>
      <c r="L2682" s="213" t="s">
        <v>6411</v>
      </c>
      <c r="M2682" s="212" t="s">
        <v>4514</v>
      </c>
    </row>
    <row r="2683" spans="1:13" ht="21" customHeight="1">
      <c r="A2683" s="213" t="s">
        <v>6513</v>
      </c>
      <c r="B2683" s="215">
        <f t="shared" si="123"/>
        <v>45838</v>
      </c>
      <c r="C2683" s="213" t="s">
        <v>4382</v>
      </c>
      <c r="D2683" s="213" t="s">
        <v>4366</v>
      </c>
      <c r="E2683" s="213" t="s">
        <v>4505</v>
      </c>
      <c r="F2683" s="212" t="s">
        <v>4506</v>
      </c>
      <c r="G2683" s="212" t="str">
        <f t="shared" si="124"/>
        <v>254예수금</v>
      </c>
      <c r="H2683" s="214">
        <v>0</v>
      </c>
      <c r="I2683" s="214">
        <v>149400</v>
      </c>
      <c r="J2683" s="214">
        <f t="shared" si="125"/>
        <v>149400</v>
      </c>
      <c r="K2683" s="212" t="s">
        <v>4523</v>
      </c>
      <c r="L2683" s="213" t="s">
        <v>6411</v>
      </c>
      <c r="M2683" s="212" t="s">
        <v>4515</v>
      </c>
    </row>
    <row r="2684" spans="1:13" ht="21" customHeight="1">
      <c r="A2684" s="213" t="s">
        <v>6513</v>
      </c>
      <c r="B2684" s="215">
        <f t="shared" si="123"/>
        <v>45838</v>
      </c>
      <c r="C2684" s="213" t="s">
        <v>4382</v>
      </c>
      <c r="D2684" s="213" t="s">
        <v>4366</v>
      </c>
      <c r="E2684" s="213" t="s">
        <v>4505</v>
      </c>
      <c r="F2684" s="212" t="s">
        <v>4506</v>
      </c>
      <c r="G2684" s="212" t="str">
        <f t="shared" si="124"/>
        <v>254예수금</v>
      </c>
      <c r="H2684" s="214">
        <v>0</v>
      </c>
      <c r="I2684" s="214">
        <v>60260</v>
      </c>
      <c r="J2684" s="214">
        <f t="shared" si="125"/>
        <v>60260</v>
      </c>
      <c r="K2684" s="212" t="s">
        <v>4522</v>
      </c>
      <c r="L2684" s="213" t="s">
        <v>6411</v>
      </c>
      <c r="M2684" s="212" t="s">
        <v>6518</v>
      </c>
    </row>
    <row r="2685" spans="1:13" ht="21" customHeight="1">
      <c r="A2685" s="213" t="s">
        <v>6513</v>
      </c>
      <c r="B2685" s="215">
        <f t="shared" si="123"/>
        <v>45838</v>
      </c>
      <c r="C2685" s="213" t="s">
        <v>4382</v>
      </c>
      <c r="D2685" s="213" t="s">
        <v>4366</v>
      </c>
      <c r="E2685" s="213" t="s">
        <v>4505</v>
      </c>
      <c r="F2685" s="212" t="s">
        <v>4506</v>
      </c>
      <c r="G2685" s="212" t="str">
        <f t="shared" si="124"/>
        <v>254예수금</v>
      </c>
      <c r="H2685" s="214">
        <v>0</v>
      </c>
      <c r="I2685" s="214">
        <v>6300</v>
      </c>
      <c r="J2685" s="214">
        <f t="shared" si="125"/>
        <v>6300</v>
      </c>
      <c r="K2685" s="212" t="s">
        <v>4508</v>
      </c>
      <c r="L2685" s="213" t="s">
        <v>6411</v>
      </c>
      <c r="M2685" s="212" t="s">
        <v>4516</v>
      </c>
    </row>
    <row r="2686" spans="1:13" ht="21" customHeight="1">
      <c r="A2686" s="213" t="s">
        <v>6513</v>
      </c>
      <c r="B2686" s="215">
        <f t="shared" si="123"/>
        <v>45838</v>
      </c>
      <c r="C2686" s="213" t="s">
        <v>4382</v>
      </c>
      <c r="D2686" s="213" t="s">
        <v>4366</v>
      </c>
      <c r="E2686" s="213" t="s">
        <v>4505</v>
      </c>
      <c r="F2686" s="212" t="s">
        <v>4506</v>
      </c>
      <c r="G2686" s="212" t="str">
        <f t="shared" si="124"/>
        <v>254예수금</v>
      </c>
      <c r="H2686" s="214">
        <v>0</v>
      </c>
      <c r="I2686" s="214">
        <v>7800</v>
      </c>
      <c r="J2686" s="214">
        <f t="shared" si="125"/>
        <v>7800</v>
      </c>
      <c r="K2686" s="212" t="s">
        <v>4522</v>
      </c>
      <c r="L2686" s="213" t="s">
        <v>6411</v>
      </c>
      <c r="M2686" s="212" t="s">
        <v>4517</v>
      </c>
    </row>
    <row r="2687" spans="1:13" ht="21" customHeight="1">
      <c r="A2687" s="213" t="s">
        <v>6513</v>
      </c>
      <c r="B2687" s="215">
        <f t="shared" si="123"/>
        <v>45838</v>
      </c>
      <c r="C2687" s="213" t="s">
        <v>4381</v>
      </c>
      <c r="D2687" s="213" t="s">
        <v>4369</v>
      </c>
      <c r="E2687" s="213" t="s">
        <v>4499</v>
      </c>
      <c r="F2687" s="212" t="s">
        <v>6517</v>
      </c>
      <c r="G2687" s="212" t="str">
        <f t="shared" si="124"/>
        <v>811복리후생비(판)</v>
      </c>
      <c r="H2687" s="214">
        <v>16000</v>
      </c>
      <c r="I2687" s="214">
        <v>0</v>
      </c>
      <c r="J2687" s="214">
        <f t="shared" si="125"/>
        <v>-16000</v>
      </c>
      <c r="K2687" s="212" t="s">
        <v>6516</v>
      </c>
      <c r="L2687" s="213"/>
      <c r="M2687" s="212"/>
    </row>
    <row r="2688" spans="1:13" ht="21" customHeight="1">
      <c r="A2688" s="213" t="s">
        <v>6513</v>
      </c>
      <c r="B2688" s="215">
        <f t="shared" si="123"/>
        <v>45838</v>
      </c>
      <c r="C2688" s="213" t="s">
        <v>4381</v>
      </c>
      <c r="D2688" s="213" t="s">
        <v>4366</v>
      </c>
      <c r="E2688" s="213" t="s">
        <v>333</v>
      </c>
      <c r="F2688" s="212" t="s">
        <v>4365</v>
      </c>
      <c r="G2688" s="212" t="str">
        <f t="shared" si="124"/>
        <v>101현금</v>
      </c>
      <c r="H2688" s="214">
        <v>0</v>
      </c>
      <c r="I2688" s="214">
        <v>16000</v>
      </c>
      <c r="J2688" s="214">
        <f t="shared" si="125"/>
        <v>16000</v>
      </c>
      <c r="K2688" s="212" t="s">
        <v>6369</v>
      </c>
      <c r="L2688" s="213"/>
      <c r="M2688" s="212"/>
    </row>
    <row r="2689" spans="1:13" ht="21" customHeight="1">
      <c r="A2689" s="213" t="s">
        <v>6513</v>
      </c>
      <c r="B2689" s="215">
        <f t="shared" si="123"/>
        <v>45838</v>
      </c>
      <c r="C2689" s="213" t="s">
        <v>4379</v>
      </c>
      <c r="D2689" s="213" t="s">
        <v>4366</v>
      </c>
      <c r="E2689" s="213" t="s">
        <v>333</v>
      </c>
      <c r="F2689" s="212" t="s">
        <v>4365</v>
      </c>
      <c r="G2689" s="212" t="str">
        <f t="shared" si="124"/>
        <v>101현금</v>
      </c>
      <c r="H2689" s="214">
        <v>0</v>
      </c>
      <c r="I2689" s="214">
        <v>2000</v>
      </c>
      <c r="J2689" s="214">
        <f t="shared" si="125"/>
        <v>2000</v>
      </c>
      <c r="K2689" s="212" t="s">
        <v>6370</v>
      </c>
      <c r="L2689" s="213"/>
      <c r="M2689" s="212"/>
    </row>
    <row r="2690" spans="1:13" ht="21" customHeight="1">
      <c r="A2690" s="213" t="s">
        <v>6513</v>
      </c>
      <c r="B2690" s="215">
        <f t="shared" ref="B2690:B2753" si="126">DATEVALUE(A2690)</f>
        <v>45838</v>
      </c>
      <c r="C2690" s="213" t="s">
        <v>4379</v>
      </c>
      <c r="D2690" s="213" t="s">
        <v>4369</v>
      </c>
      <c r="E2690" s="213" t="s">
        <v>4380</v>
      </c>
      <c r="F2690" s="212" t="s">
        <v>6515</v>
      </c>
      <c r="G2690" s="212" t="str">
        <f t="shared" ref="G2690:G2753" si="127">E2690&amp;F2690</f>
        <v>812여비교통비(판)</v>
      </c>
      <c r="H2690" s="214">
        <v>2000</v>
      </c>
      <c r="I2690" s="214">
        <v>0</v>
      </c>
      <c r="J2690" s="214">
        <f t="shared" ref="J2690:J2753" si="128">I2690-H2690</f>
        <v>-2000</v>
      </c>
      <c r="K2690" s="212" t="s">
        <v>6292</v>
      </c>
      <c r="L2690" s="213"/>
      <c r="M2690" s="212"/>
    </row>
    <row r="2691" spans="1:13" ht="21" customHeight="1">
      <c r="A2691" s="213" t="s">
        <v>6513</v>
      </c>
      <c r="B2691" s="215">
        <f t="shared" si="126"/>
        <v>45838</v>
      </c>
      <c r="C2691" s="213" t="s">
        <v>4367</v>
      </c>
      <c r="D2691" s="213" t="s">
        <v>4369</v>
      </c>
      <c r="E2691" s="213" t="s">
        <v>4371</v>
      </c>
      <c r="F2691" s="212" t="s">
        <v>4370</v>
      </c>
      <c r="G2691" s="212" t="str">
        <f t="shared" si="127"/>
        <v>135부가세대급금</v>
      </c>
      <c r="H2691" s="214">
        <v>10000</v>
      </c>
      <c r="I2691" s="214">
        <v>0</v>
      </c>
      <c r="J2691" s="214">
        <f t="shared" si="128"/>
        <v>-10000</v>
      </c>
      <c r="K2691" s="212" t="s">
        <v>6159</v>
      </c>
      <c r="L2691" s="213"/>
      <c r="M2691" s="212" t="s">
        <v>4364</v>
      </c>
    </row>
    <row r="2692" spans="1:13" ht="21" customHeight="1">
      <c r="A2692" s="213" t="s">
        <v>6513</v>
      </c>
      <c r="B2692" s="215">
        <f t="shared" si="126"/>
        <v>45838</v>
      </c>
      <c r="C2692" s="213" t="s">
        <v>4367</v>
      </c>
      <c r="D2692" s="213" t="s">
        <v>4369</v>
      </c>
      <c r="E2692" s="213" t="s">
        <v>4368</v>
      </c>
      <c r="F2692" s="212" t="s">
        <v>6388</v>
      </c>
      <c r="G2692" s="212" t="str">
        <f t="shared" si="127"/>
        <v>831지급수수료(판)</v>
      </c>
      <c r="H2692" s="214">
        <v>100000</v>
      </c>
      <c r="I2692" s="214">
        <v>0</v>
      </c>
      <c r="J2692" s="214">
        <f t="shared" si="128"/>
        <v>-100000</v>
      </c>
      <c r="K2692" s="212" t="s">
        <v>6159</v>
      </c>
      <c r="L2692" s="213"/>
      <c r="M2692" s="212" t="s">
        <v>4364</v>
      </c>
    </row>
    <row r="2693" spans="1:13" ht="21" customHeight="1">
      <c r="A2693" s="213" t="s">
        <v>6513</v>
      </c>
      <c r="B2693" s="215">
        <f t="shared" si="126"/>
        <v>45838</v>
      </c>
      <c r="C2693" s="213" t="s">
        <v>4367</v>
      </c>
      <c r="D2693" s="213" t="s">
        <v>4366</v>
      </c>
      <c r="E2693" s="213" t="s">
        <v>333</v>
      </c>
      <c r="F2693" s="212" t="s">
        <v>4365</v>
      </c>
      <c r="G2693" s="212" t="str">
        <f t="shared" si="127"/>
        <v>101현금</v>
      </c>
      <c r="H2693" s="214">
        <v>0</v>
      </c>
      <c r="I2693" s="214">
        <v>110000</v>
      </c>
      <c r="J2693" s="214">
        <f t="shared" si="128"/>
        <v>110000</v>
      </c>
      <c r="K2693" s="212" t="s">
        <v>6159</v>
      </c>
      <c r="L2693" s="213"/>
      <c r="M2693" s="212" t="s">
        <v>4364</v>
      </c>
    </row>
    <row r="2694" spans="1:13" ht="21" customHeight="1">
      <c r="A2694" s="213" t="s">
        <v>6513</v>
      </c>
      <c r="B2694" s="215">
        <f t="shared" si="126"/>
        <v>45838</v>
      </c>
      <c r="C2694" s="213" t="s">
        <v>4374</v>
      </c>
      <c r="D2694" s="213" t="s">
        <v>4369</v>
      </c>
      <c r="E2694" s="213" t="s">
        <v>4371</v>
      </c>
      <c r="F2694" s="212" t="s">
        <v>4370</v>
      </c>
      <c r="G2694" s="212" t="str">
        <f t="shared" si="127"/>
        <v>135부가세대급금</v>
      </c>
      <c r="H2694" s="214">
        <v>664</v>
      </c>
      <c r="I2694" s="214">
        <v>0</v>
      </c>
      <c r="J2694" s="214">
        <f t="shared" si="128"/>
        <v>-664</v>
      </c>
      <c r="K2694" s="212" t="s">
        <v>6274</v>
      </c>
      <c r="L2694" s="213"/>
      <c r="M2694" s="212" t="s">
        <v>6514</v>
      </c>
    </row>
    <row r="2695" spans="1:13" ht="21" customHeight="1">
      <c r="A2695" s="213" t="s">
        <v>6513</v>
      </c>
      <c r="B2695" s="215">
        <f t="shared" si="126"/>
        <v>45838</v>
      </c>
      <c r="C2695" s="213" t="s">
        <v>4374</v>
      </c>
      <c r="D2695" s="213" t="s">
        <v>4369</v>
      </c>
      <c r="E2695" s="213" t="s">
        <v>4368</v>
      </c>
      <c r="F2695" s="212" t="s">
        <v>6388</v>
      </c>
      <c r="G2695" s="212" t="str">
        <f t="shared" si="127"/>
        <v>831지급수수료(판)</v>
      </c>
      <c r="H2695" s="214">
        <v>6636</v>
      </c>
      <c r="I2695" s="214">
        <v>0</v>
      </c>
      <c r="J2695" s="214">
        <f t="shared" si="128"/>
        <v>-6636</v>
      </c>
      <c r="K2695" s="212" t="s">
        <v>6274</v>
      </c>
      <c r="L2695" s="213"/>
      <c r="M2695" s="212" t="s">
        <v>6514</v>
      </c>
    </row>
    <row r="2696" spans="1:13" ht="21" customHeight="1">
      <c r="A2696" s="213" t="s">
        <v>6513</v>
      </c>
      <c r="B2696" s="215">
        <f t="shared" si="126"/>
        <v>45838</v>
      </c>
      <c r="C2696" s="213" t="s">
        <v>4374</v>
      </c>
      <c r="D2696" s="213" t="s">
        <v>4366</v>
      </c>
      <c r="E2696" s="213" t="s">
        <v>333</v>
      </c>
      <c r="F2696" s="212" t="s">
        <v>4365</v>
      </c>
      <c r="G2696" s="212" t="str">
        <f t="shared" si="127"/>
        <v>101현금</v>
      </c>
      <c r="H2696" s="214">
        <v>0</v>
      </c>
      <c r="I2696" s="214">
        <v>7300</v>
      </c>
      <c r="J2696" s="214">
        <f t="shared" si="128"/>
        <v>7300</v>
      </c>
      <c r="K2696" s="212" t="s">
        <v>6274</v>
      </c>
      <c r="L2696" s="213"/>
      <c r="M2696" s="212" t="s">
        <v>6514</v>
      </c>
    </row>
    <row r="2697" spans="1:13" ht="21" customHeight="1">
      <c r="A2697" s="213" t="s">
        <v>6513</v>
      </c>
      <c r="B2697" s="215">
        <f t="shared" si="126"/>
        <v>45838</v>
      </c>
      <c r="C2697" s="213" t="s">
        <v>6182</v>
      </c>
      <c r="D2697" s="213" t="s">
        <v>4369</v>
      </c>
      <c r="E2697" s="213" t="s">
        <v>4371</v>
      </c>
      <c r="F2697" s="212" t="s">
        <v>4370</v>
      </c>
      <c r="G2697" s="212" t="str">
        <f t="shared" si="127"/>
        <v>135부가세대급금</v>
      </c>
      <c r="H2697" s="214">
        <v>4000</v>
      </c>
      <c r="I2697" s="214">
        <v>0</v>
      </c>
      <c r="J2697" s="214">
        <f t="shared" si="128"/>
        <v>-4000</v>
      </c>
      <c r="K2697" s="212" t="s">
        <v>6227</v>
      </c>
      <c r="L2697" s="213"/>
      <c r="M2697" s="212" t="s">
        <v>6322</v>
      </c>
    </row>
    <row r="2698" spans="1:13" ht="21" customHeight="1">
      <c r="A2698" s="213" t="s">
        <v>6513</v>
      </c>
      <c r="B2698" s="215">
        <f t="shared" si="126"/>
        <v>45838</v>
      </c>
      <c r="C2698" s="213" t="s">
        <v>6182</v>
      </c>
      <c r="D2698" s="213" t="s">
        <v>4369</v>
      </c>
      <c r="E2698" s="213" t="s">
        <v>4368</v>
      </c>
      <c r="F2698" s="212" t="s">
        <v>6388</v>
      </c>
      <c r="G2698" s="212" t="str">
        <f t="shared" si="127"/>
        <v>831지급수수료(판)</v>
      </c>
      <c r="H2698" s="214">
        <v>40000</v>
      </c>
      <c r="I2698" s="214">
        <v>0</v>
      </c>
      <c r="J2698" s="214">
        <f t="shared" si="128"/>
        <v>-40000</v>
      </c>
      <c r="K2698" s="212" t="s">
        <v>6227</v>
      </c>
      <c r="L2698" s="213"/>
      <c r="M2698" s="212" t="s">
        <v>6322</v>
      </c>
    </row>
    <row r="2699" spans="1:13" ht="21" customHeight="1">
      <c r="A2699" s="213" t="s">
        <v>6513</v>
      </c>
      <c r="B2699" s="215">
        <f t="shared" si="126"/>
        <v>45838</v>
      </c>
      <c r="C2699" s="213" t="s">
        <v>6182</v>
      </c>
      <c r="D2699" s="213" t="s">
        <v>4366</v>
      </c>
      <c r="E2699" s="213" t="s">
        <v>333</v>
      </c>
      <c r="F2699" s="212" t="s">
        <v>4365</v>
      </c>
      <c r="G2699" s="212" t="str">
        <f t="shared" si="127"/>
        <v>101현금</v>
      </c>
      <c r="H2699" s="214">
        <v>0</v>
      </c>
      <c r="I2699" s="214">
        <v>44000</v>
      </c>
      <c r="J2699" s="214">
        <f t="shared" si="128"/>
        <v>44000</v>
      </c>
      <c r="K2699" s="212" t="s">
        <v>6227</v>
      </c>
      <c r="L2699" s="213"/>
      <c r="M2699" s="212" t="s">
        <v>6322</v>
      </c>
    </row>
    <row r="2700" spans="1:13" ht="21" customHeight="1">
      <c r="A2700" s="213" t="s">
        <v>6513</v>
      </c>
      <c r="B2700" s="215">
        <f t="shared" si="126"/>
        <v>45838</v>
      </c>
      <c r="C2700" s="213" t="s">
        <v>6184</v>
      </c>
      <c r="D2700" s="213" t="s">
        <v>4369</v>
      </c>
      <c r="E2700" s="213" t="s">
        <v>4371</v>
      </c>
      <c r="F2700" s="212" t="s">
        <v>4370</v>
      </c>
      <c r="G2700" s="212" t="str">
        <f t="shared" si="127"/>
        <v>135부가세대급금</v>
      </c>
      <c r="H2700" s="214">
        <v>1190</v>
      </c>
      <c r="I2700" s="214">
        <v>0</v>
      </c>
      <c r="J2700" s="214">
        <f t="shared" si="128"/>
        <v>-1190</v>
      </c>
      <c r="K2700" s="212" t="s">
        <v>6227</v>
      </c>
      <c r="L2700" s="213"/>
      <c r="M2700" s="212" t="s">
        <v>6323</v>
      </c>
    </row>
    <row r="2701" spans="1:13" ht="21" customHeight="1">
      <c r="A2701" s="213" t="s">
        <v>6513</v>
      </c>
      <c r="B2701" s="215">
        <f t="shared" si="126"/>
        <v>45838</v>
      </c>
      <c r="C2701" s="213" t="s">
        <v>6184</v>
      </c>
      <c r="D2701" s="213" t="s">
        <v>4369</v>
      </c>
      <c r="E2701" s="213" t="s">
        <v>4368</v>
      </c>
      <c r="F2701" s="212" t="s">
        <v>6388</v>
      </c>
      <c r="G2701" s="212" t="str">
        <f t="shared" si="127"/>
        <v>831지급수수료(판)</v>
      </c>
      <c r="H2701" s="214">
        <v>11900</v>
      </c>
      <c r="I2701" s="214">
        <v>0</v>
      </c>
      <c r="J2701" s="214">
        <f t="shared" si="128"/>
        <v>-11900</v>
      </c>
      <c r="K2701" s="212" t="s">
        <v>6227</v>
      </c>
      <c r="L2701" s="213"/>
      <c r="M2701" s="212" t="s">
        <v>6323</v>
      </c>
    </row>
    <row r="2702" spans="1:13" ht="21" customHeight="1">
      <c r="A2702" s="213" t="s">
        <v>6513</v>
      </c>
      <c r="B2702" s="215">
        <f t="shared" si="126"/>
        <v>45838</v>
      </c>
      <c r="C2702" s="213" t="s">
        <v>6184</v>
      </c>
      <c r="D2702" s="213" t="s">
        <v>4366</v>
      </c>
      <c r="E2702" s="213" t="s">
        <v>333</v>
      </c>
      <c r="F2702" s="212" t="s">
        <v>4365</v>
      </c>
      <c r="G2702" s="212" t="str">
        <f t="shared" si="127"/>
        <v>101현금</v>
      </c>
      <c r="H2702" s="214">
        <v>0</v>
      </c>
      <c r="I2702" s="214">
        <v>13090</v>
      </c>
      <c r="J2702" s="214">
        <f t="shared" si="128"/>
        <v>13090</v>
      </c>
      <c r="K2702" s="212" t="s">
        <v>6227</v>
      </c>
      <c r="L2702" s="213"/>
      <c r="M2702" s="212" t="s">
        <v>6323</v>
      </c>
    </row>
    <row r="2703" spans="1:13" ht="21" customHeight="1">
      <c r="A2703" s="213" t="s">
        <v>6513</v>
      </c>
      <c r="B2703" s="215">
        <f t="shared" si="126"/>
        <v>45838</v>
      </c>
      <c r="C2703" s="213" t="s">
        <v>6186</v>
      </c>
      <c r="D2703" s="213" t="s">
        <v>4366</v>
      </c>
      <c r="E2703" s="213" t="s">
        <v>6176</v>
      </c>
      <c r="F2703" s="212" t="s">
        <v>6177</v>
      </c>
      <c r="G2703" s="212" t="str">
        <f t="shared" si="127"/>
        <v>255부가세예수금</v>
      </c>
      <c r="H2703" s="214">
        <v>0</v>
      </c>
      <c r="I2703" s="214">
        <v>15000</v>
      </c>
      <c r="J2703" s="214">
        <f t="shared" si="128"/>
        <v>15000</v>
      </c>
      <c r="K2703" s="212" t="s">
        <v>6390</v>
      </c>
      <c r="L2703" s="213"/>
      <c r="M2703" s="212" t="s">
        <v>6179</v>
      </c>
    </row>
    <row r="2704" spans="1:13" ht="21" customHeight="1">
      <c r="A2704" s="213" t="s">
        <v>6513</v>
      </c>
      <c r="B2704" s="215">
        <f t="shared" si="126"/>
        <v>45838</v>
      </c>
      <c r="C2704" s="213" t="s">
        <v>6186</v>
      </c>
      <c r="D2704" s="213" t="s">
        <v>4366</v>
      </c>
      <c r="E2704" s="213" t="s">
        <v>334</v>
      </c>
      <c r="F2704" s="212" t="s">
        <v>6158</v>
      </c>
      <c r="G2704" s="212" t="str">
        <f t="shared" si="127"/>
        <v>401용역매출</v>
      </c>
      <c r="H2704" s="214">
        <v>0</v>
      </c>
      <c r="I2704" s="214">
        <v>150000</v>
      </c>
      <c r="J2704" s="214">
        <f t="shared" si="128"/>
        <v>150000</v>
      </c>
      <c r="K2704" s="212" t="s">
        <v>6390</v>
      </c>
      <c r="L2704" s="213"/>
      <c r="M2704" s="212" t="s">
        <v>6179</v>
      </c>
    </row>
    <row r="2705" spans="1:13" ht="21" customHeight="1">
      <c r="A2705" s="213" t="s">
        <v>6513</v>
      </c>
      <c r="B2705" s="215">
        <f t="shared" si="126"/>
        <v>45838</v>
      </c>
      <c r="C2705" s="213" t="s">
        <v>6186</v>
      </c>
      <c r="D2705" s="213" t="s">
        <v>4369</v>
      </c>
      <c r="E2705" s="213" t="s">
        <v>333</v>
      </c>
      <c r="F2705" s="212" t="s">
        <v>4365</v>
      </c>
      <c r="G2705" s="212" t="str">
        <f t="shared" si="127"/>
        <v>101현금</v>
      </c>
      <c r="H2705" s="214">
        <v>165000</v>
      </c>
      <c r="I2705" s="214">
        <v>0</v>
      </c>
      <c r="J2705" s="214">
        <f t="shared" si="128"/>
        <v>-165000</v>
      </c>
      <c r="K2705" s="212" t="s">
        <v>6390</v>
      </c>
      <c r="L2705" s="213"/>
      <c r="M2705" s="212" t="s">
        <v>6179</v>
      </c>
    </row>
    <row r="2706" spans="1:13" ht="21" customHeight="1">
      <c r="A2706" s="213" t="s">
        <v>6513</v>
      </c>
      <c r="B2706" s="215">
        <f t="shared" si="126"/>
        <v>45838</v>
      </c>
      <c r="C2706" s="213" t="s">
        <v>6189</v>
      </c>
      <c r="D2706" s="213" t="s">
        <v>4366</v>
      </c>
      <c r="E2706" s="213" t="s">
        <v>6176</v>
      </c>
      <c r="F2706" s="212" t="s">
        <v>6177</v>
      </c>
      <c r="G2706" s="212" t="str">
        <f t="shared" si="127"/>
        <v>255부가세예수금</v>
      </c>
      <c r="H2706" s="214">
        <v>0</v>
      </c>
      <c r="I2706" s="214">
        <v>30000</v>
      </c>
      <c r="J2706" s="214">
        <f t="shared" si="128"/>
        <v>30000</v>
      </c>
      <c r="K2706" s="212" t="s">
        <v>6180</v>
      </c>
      <c r="L2706" s="213"/>
      <c r="M2706" s="212" t="s">
        <v>6190</v>
      </c>
    </row>
    <row r="2707" spans="1:13" ht="21" customHeight="1">
      <c r="A2707" s="213" t="s">
        <v>6513</v>
      </c>
      <c r="B2707" s="215">
        <f t="shared" si="126"/>
        <v>45838</v>
      </c>
      <c r="C2707" s="213" t="s">
        <v>6189</v>
      </c>
      <c r="D2707" s="213" t="s">
        <v>4366</v>
      </c>
      <c r="E2707" s="213" t="s">
        <v>334</v>
      </c>
      <c r="F2707" s="212" t="s">
        <v>6158</v>
      </c>
      <c r="G2707" s="212" t="str">
        <f t="shared" si="127"/>
        <v>401용역매출</v>
      </c>
      <c r="H2707" s="214">
        <v>0</v>
      </c>
      <c r="I2707" s="214">
        <v>300000</v>
      </c>
      <c r="J2707" s="214">
        <f t="shared" si="128"/>
        <v>300000</v>
      </c>
      <c r="K2707" s="212" t="s">
        <v>6180</v>
      </c>
      <c r="L2707" s="213"/>
      <c r="M2707" s="212" t="s">
        <v>6190</v>
      </c>
    </row>
    <row r="2708" spans="1:13" ht="21" customHeight="1">
      <c r="A2708" s="213" t="s">
        <v>6513</v>
      </c>
      <c r="B2708" s="215">
        <f t="shared" si="126"/>
        <v>45838</v>
      </c>
      <c r="C2708" s="213" t="s">
        <v>6189</v>
      </c>
      <c r="D2708" s="213" t="s">
        <v>4369</v>
      </c>
      <c r="E2708" s="213" t="s">
        <v>333</v>
      </c>
      <c r="F2708" s="212" t="s">
        <v>4365</v>
      </c>
      <c r="G2708" s="212" t="str">
        <f t="shared" si="127"/>
        <v>101현금</v>
      </c>
      <c r="H2708" s="214">
        <v>330000</v>
      </c>
      <c r="I2708" s="214">
        <v>0</v>
      </c>
      <c r="J2708" s="214">
        <f t="shared" si="128"/>
        <v>-330000</v>
      </c>
      <c r="K2708" s="212" t="s">
        <v>6180</v>
      </c>
      <c r="L2708" s="213"/>
      <c r="M2708" s="212" t="s">
        <v>6190</v>
      </c>
    </row>
    <row r="2709" spans="1:13" ht="21" customHeight="1">
      <c r="A2709" s="213" t="s">
        <v>6513</v>
      </c>
      <c r="B2709" s="215">
        <f t="shared" si="126"/>
        <v>45838</v>
      </c>
      <c r="C2709" s="213" t="s">
        <v>6191</v>
      </c>
      <c r="D2709" s="213" t="s">
        <v>4366</v>
      </c>
      <c r="E2709" s="213" t="s">
        <v>6176</v>
      </c>
      <c r="F2709" s="212" t="s">
        <v>6177</v>
      </c>
      <c r="G2709" s="212" t="str">
        <f t="shared" si="127"/>
        <v>255부가세예수금</v>
      </c>
      <c r="H2709" s="214">
        <v>0</v>
      </c>
      <c r="I2709" s="214">
        <v>12000</v>
      </c>
      <c r="J2709" s="214">
        <f t="shared" si="128"/>
        <v>12000</v>
      </c>
      <c r="K2709" s="212" t="s">
        <v>6224</v>
      </c>
      <c r="L2709" s="213"/>
      <c r="M2709" s="212" t="s">
        <v>6225</v>
      </c>
    </row>
    <row r="2710" spans="1:13" ht="21" customHeight="1">
      <c r="A2710" s="213" t="s">
        <v>6513</v>
      </c>
      <c r="B2710" s="215">
        <f t="shared" si="126"/>
        <v>45838</v>
      </c>
      <c r="C2710" s="213" t="s">
        <v>6191</v>
      </c>
      <c r="D2710" s="213" t="s">
        <v>4366</v>
      </c>
      <c r="E2710" s="213" t="s">
        <v>334</v>
      </c>
      <c r="F2710" s="212" t="s">
        <v>6158</v>
      </c>
      <c r="G2710" s="212" t="str">
        <f t="shared" si="127"/>
        <v>401용역매출</v>
      </c>
      <c r="H2710" s="214">
        <v>0</v>
      </c>
      <c r="I2710" s="214">
        <v>120000</v>
      </c>
      <c r="J2710" s="214">
        <f t="shared" si="128"/>
        <v>120000</v>
      </c>
      <c r="K2710" s="212" t="s">
        <v>6224</v>
      </c>
      <c r="L2710" s="213"/>
      <c r="M2710" s="212" t="s">
        <v>6225</v>
      </c>
    </row>
    <row r="2711" spans="1:13" ht="21" customHeight="1">
      <c r="A2711" s="213" t="s">
        <v>6513</v>
      </c>
      <c r="B2711" s="215">
        <f t="shared" si="126"/>
        <v>45838</v>
      </c>
      <c r="C2711" s="213" t="s">
        <v>6191</v>
      </c>
      <c r="D2711" s="213" t="s">
        <v>4369</v>
      </c>
      <c r="E2711" s="213" t="s">
        <v>333</v>
      </c>
      <c r="F2711" s="212" t="s">
        <v>4365</v>
      </c>
      <c r="G2711" s="212" t="str">
        <f t="shared" si="127"/>
        <v>101현금</v>
      </c>
      <c r="H2711" s="214">
        <v>132000</v>
      </c>
      <c r="I2711" s="214">
        <v>0</v>
      </c>
      <c r="J2711" s="214">
        <f t="shared" si="128"/>
        <v>-132000</v>
      </c>
      <c r="K2711" s="212" t="s">
        <v>6224</v>
      </c>
      <c r="L2711" s="213"/>
      <c r="M2711" s="212" t="s">
        <v>6225</v>
      </c>
    </row>
    <row r="2712" spans="1:13" ht="21" customHeight="1">
      <c r="A2712" s="213" t="s">
        <v>6513</v>
      </c>
      <c r="B2712" s="215">
        <f t="shared" si="126"/>
        <v>45838</v>
      </c>
      <c r="C2712" s="213" t="s">
        <v>6216</v>
      </c>
      <c r="D2712" s="213" t="s">
        <v>4366</v>
      </c>
      <c r="E2712" s="213" t="s">
        <v>6176</v>
      </c>
      <c r="F2712" s="212" t="s">
        <v>6177</v>
      </c>
      <c r="G2712" s="212" t="str">
        <f t="shared" si="127"/>
        <v>255부가세예수금</v>
      </c>
      <c r="H2712" s="214">
        <v>0</v>
      </c>
      <c r="I2712" s="214">
        <v>15000</v>
      </c>
      <c r="J2712" s="214">
        <f t="shared" si="128"/>
        <v>15000</v>
      </c>
      <c r="K2712" s="212" t="s">
        <v>6223</v>
      </c>
      <c r="L2712" s="213"/>
      <c r="M2712" s="212" t="s">
        <v>6179</v>
      </c>
    </row>
    <row r="2713" spans="1:13" ht="21" customHeight="1">
      <c r="A2713" s="213" t="s">
        <v>6513</v>
      </c>
      <c r="B2713" s="215">
        <f t="shared" si="126"/>
        <v>45838</v>
      </c>
      <c r="C2713" s="213" t="s">
        <v>6216</v>
      </c>
      <c r="D2713" s="213" t="s">
        <v>4366</v>
      </c>
      <c r="E2713" s="213" t="s">
        <v>334</v>
      </c>
      <c r="F2713" s="212" t="s">
        <v>6158</v>
      </c>
      <c r="G2713" s="212" t="str">
        <f t="shared" si="127"/>
        <v>401용역매출</v>
      </c>
      <c r="H2713" s="214">
        <v>0</v>
      </c>
      <c r="I2713" s="214">
        <v>150000</v>
      </c>
      <c r="J2713" s="214">
        <f t="shared" si="128"/>
        <v>150000</v>
      </c>
      <c r="K2713" s="212" t="s">
        <v>6223</v>
      </c>
      <c r="L2713" s="213"/>
      <c r="M2713" s="212" t="s">
        <v>6179</v>
      </c>
    </row>
    <row r="2714" spans="1:13" ht="21" customHeight="1">
      <c r="A2714" s="213" t="s">
        <v>6513</v>
      </c>
      <c r="B2714" s="215">
        <f t="shared" si="126"/>
        <v>45838</v>
      </c>
      <c r="C2714" s="213" t="s">
        <v>6216</v>
      </c>
      <c r="D2714" s="213" t="s">
        <v>4369</v>
      </c>
      <c r="E2714" s="213" t="s">
        <v>333</v>
      </c>
      <c r="F2714" s="212" t="s">
        <v>4365</v>
      </c>
      <c r="G2714" s="212" t="str">
        <f t="shared" si="127"/>
        <v>101현금</v>
      </c>
      <c r="H2714" s="214">
        <v>165000</v>
      </c>
      <c r="I2714" s="214">
        <v>0</v>
      </c>
      <c r="J2714" s="214">
        <f t="shared" si="128"/>
        <v>-165000</v>
      </c>
      <c r="K2714" s="212" t="s">
        <v>6223</v>
      </c>
      <c r="L2714" s="213"/>
      <c r="M2714" s="212" t="s">
        <v>6179</v>
      </c>
    </row>
    <row r="2715" spans="1:13" ht="21" customHeight="1">
      <c r="A2715" s="213" t="s">
        <v>6513</v>
      </c>
      <c r="B2715" s="215">
        <f t="shared" si="126"/>
        <v>45838</v>
      </c>
      <c r="C2715" s="213" t="s">
        <v>6217</v>
      </c>
      <c r="D2715" s="213" t="s">
        <v>4366</v>
      </c>
      <c r="E2715" s="213" t="s">
        <v>6176</v>
      </c>
      <c r="F2715" s="212" t="s">
        <v>6177</v>
      </c>
      <c r="G2715" s="212" t="str">
        <f t="shared" si="127"/>
        <v>255부가세예수금</v>
      </c>
      <c r="H2715" s="214">
        <v>0</v>
      </c>
      <c r="I2715" s="214">
        <v>10000</v>
      </c>
      <c r="J2715" s="214">
        <f t="shared" si="128"/>
        <v>10000</v>
      </c>
      <c r="K2715" s="212" t="s">
        <v>6226</v>
      </c>
      <c r="L2715" s="213"/>
      <c r="M2715" s="212" t="s">
        <v>6185</v>
      </c>
    </row>
    <row r="2716" spans="1:13" ht="21" customHeight="1">
      <c r="A2716" s="213" t="s">
        <v>6513</v>
      </c>
      <c r="B2716" s="215">
        <f t="shared" si="126"/>
        <v>45838</v>
      </c>
      <c r="C2716" s="213" t="s">
        <v>6217</v>
      </c>
      <c r="D2716" s="213" t="s">
        <v>4366</v>
      </c>
      <c r="E2716" s="213" t="s">
        <v>334</v>
      </c>
      <c r="F2716" s="212" t="s">
        <v>6158</v>
      </c>
      <c r="G2716" s="212" t="str">
        <f t="shared" si="127"/>
        <v>401용역매출</v>
      </c>
      <c r="H2716" s="214">
        <v>0</v>
      </c>
      <c r="I2716" s="214">
        <v>100000</v>
      </c>
      <c r="J2716" s="214">
        <f t="shared" si="128"/>
        <v>100000</v>
      </c>
      <c r="K2716" s="212" t="s">
        <v>6226</v>
      </c>
      <c r="L2716" s="213"/>
      <c r="M2716" s="212" t="s">
        <v>6185</v>
      </c>
    </row>
    <row r="2717" spans="1:13" ht="21" customHeight="1">
      <c r="A2717" s="213" t="s">
        <v>6513</v>
      </c>
      <c r="B2717" s="215">
        <f t="shared" si="126"/>
        <v>45838</v>
      </c>
      <c r="C2717" s="213" t="s">
        <v>6217</v>
      </c>
      <c r="D2717" s="213" t="s">
        <v>4369</v>
      </c>
      <c r="E2717" s="213" t="s">
        <v>333</v>
      </c>
      <c r="F2717" s="212" t="s">
        <v>4365</v>
      </c>
      <c r="G2717" s="212" t="str">
        <f t="shared" si="127"/>
        <v>101현금</v>
      </c>
      <c r="H2717" s="214">
        <v>110000</v>
      </c>
      <c r="I2717" s="214">
        <v>0</v>
      </c>
      <c r="J2717" s="214">
        <f t="shared" si="128"/>
        <v>-110000</v>
      </c>
      <c r="K2717" s="212" t="s">
        <v>6226</v>
      </c>
      <c r="L2717" s="213"/>
      <c r="M2717" s="212" t="s">
        <v>6185</v>
      </c>
    </row>
    <row r="2718" spans="1:13" ht="21" customHeight="1">
      <c r="A2718" s="213" t="s">
        <v>6513</v>
      </c>
      <c r="B2718" s="215">
        <f t="shared" si="126"/>
        <v>45838</v>
      </c>
      <c r="C2718" s="213" t="s">
        <v>6218</v>
      </c>
      <c r="D2718" s="216" t="s">
        <v>4372</v>
      </c>
      <c r="E2718" s="213" t="s">
        <v>6176</v>
      </c>
      <c r="F2718" s="212" t="s">
        <v>6177</v>
      </c>
      <c r="G2718" s="212" t="str">
        <f t="shared" si="127"/>
        <v>255부가세예수금</v>
      </c>
      <c r="H2718" s="214">
        <v>0</v>
      </c>
      <c r="I2718" s="214">
        <v>935909</v>
      </c>
      <c r="J2718" s="214">
        <f t="shared" si="128"/>
        <v>935909</v>
      </c>
      <c r="K2718" s="212" t="s">
        <v>6277</v>
      </c>
      <c r="L2718" s="213" t="s">
        <v>6411</v>
      </c>
      <c r="M2718" s="212" t="s">
        <v>6512</v>
      </c>
    </row>
    <row r="2719" spans="1:13" ht="21" customHeight="1">
      <c r="A2719" s="213" t="s">
        <v>6513</v>
      </c>
      <c r="B2719" s="215">
        <f t="shared" si="126"/>
        <v>45838</v>
      </c>
      <c r="C2719" s="213" t="s">
        <v>6218</v>
      </c>
      <c r="D2719" s="216" t="s">
        <v>4372</v>
      </c>
      <c r="E2719" s="213" t="s">
        <v>333</v>
      </c>
      <c r="F2719" s="212" t="s">
        <v>4365</v>
      </c>
      <c r="G2719" s="212" t="str">
        <f t="shared" si="127"/>
        <v>101현금</v>
      </c>
      <c r="H2719" s="214">
        <v>935909</v>
      </c>
      <c r="I2719" s="214">
        <v>0</v>
      </c>
      <c r="J2719" s="214">
        <f t="shared" si="128"/>
        <v>-935909</v>
      </c>
      <c r="K2719" s="212" t="s">
        <v>6277</v>
      </c>
      <c r="L2719" s="213" t="s">
        <v>6411</v>
      </c>
      <c r="M2719" s="212" t="s">
        <v>6512</v>
      </c>
    </row>
    <row r="2720" spans="1:13" ht="21" customHeight="1">
      <c r="A2720" s="213" t="s">
        <v>6513</v>
      </c>
      <c r="B2720" s="215">
        <f t="shared" si="126"/>
        <v>45838</v>
      </c>
      <c r="C2720" s="213" t="s">
        <v>6218</v>
      </c>
      <c r="D2720" s="216" t="s">
        <v>4372</v>
      </c>
      <c r="E2720" s="213" t="s">
        <v>334</v>
      </c>
      <c r="F2720" s="212" t="s">
        <v>6158</v>
      </c>
      <c r="G2720" s="212" t="str">
        <f t="shared" si="127"/>
        <v>401용역매출</v>
      </c>
      <c r="H2720" s="214">
        <v>0</v>
      </c>
      <c r="I2720" s="214">
        <v>9359091</v>
      </c>
      <c r="J2720" s="214">
        <f t="shared" si="128"/>
        <v>9359091</v>
      </c>
      <c r="K2720" s="212" t="s">
        <v>6277</v>
      </c>
      <c r="L2720" s="213" t="s">
        <v>6411</v>
      </c>
      <c r="M2720" s="212" t="s">
        <v>6512</v>
      </c>
    </row>
    <row r="2721" spans="1:13" ht="21" customHeight="1">
      <c r="A2721" s="213" t="s">
        <v>6513</v>
      </c>
      <c r="B2721" s="215">
        <f t="shared" si="126"/>
        <v>45838</v>
      </c>
      <c r="C2721" s="213" t="s">
        <v>6218</v>
      </c>
      <c r="D2721" s="216" t="s">
        <v>4372</v>
      </c>
      <c r="E2721" s="213" t="s">
        <v>333</v>
      </c>
      <c r="F2721" s="212" t="s">
        <v>4365</v>
      </c>
      <c r="G2721" s="212" t="str">
        <f t="shared" si="127"/>
        <v>101현금</v>
      </c>
      <c r="H2721" s="214">
        <v>9359091</v>
      </c>
      <c r="I2721" s="214">
        <v>0</v>
      </c>
      <c r="J2721" s="214">
        <f t="shared" si="128"/>
        <v>-9359091</v>
      </c>
      <c r="K2721" s="212" t="s">
        <v>6277</v>
      </c>
      <c r="L2721" s="213" t="s">
        <v>6411</v>
      </c>
      <c r="M2721" s="212" t="s">
        <v>6512</v>
      </c>
    </row>
    <row r="2722" spans="1:13" ht="21" customHeight="1">
      <c r="A2722" s="213" t="s">
        <v>6502</v>
      </c>
      <c r="B2722" s="215">
        <f t="shared" si="126"/>
        <v>45839</v>
      </c>
      <c r="C2722" s="213" t="s">
        <v>4367</v>
      </c>
      <c r="D2722" s="213" t="s">
        <v>4366</v>
      </c>
      <c r="E2722" s="213" t="s">
        <v>6176</v>
      </c>
      <c r="F2722" s="212" t="s">
        <v>6177</v>
      </c>
      <c r="G2722" s="212" t="str">
        <f t="shared" si="127"/>
        <v>255부가세예수금</v>
      </c>
      <c r="H2722" s="214">
        <v>0</v>
      </c>
      <c r="I2722" s="214">
        <v>-20000</v>
      </c>
      <c r="J2722" s="214">
        <f t="shared" si="128"/>
        <v>-20000</v>
      </c>
      <c r="K2722" s="212" t="s">
        <v>6334</v>
      </c>
      <c r="L2722" s="213"/>
      <c r="M2722" s="212" t="s">
        <v>6361</v>
      </c>
    </row>
    <row r="2723" spans="1:13" ht="21" customHeight="1">
      <c r="A2723" s="213" t="s">
        <v>6502</v>
      </c>
      <c r="B2723" s="215">
        <f t="shared" si="126"/>
        <v>45839</v>
      </c>
      <c r="C2723" s="213" t="s">
        <v>4367</v>
      </c>
      <c r="D2723" s="213" t="s">
        <v>4366</v>
      </c>
      <c r="E2723" s="213" t="s">
        <v>334</v>
      </c>
      <c r="F2723" s="212" t="s">
        <v>6158</v>
      </c>
      <c r="G2723" s="212" t="str">
        <f t="shared" si="127"/>
        <v>401용역매출</v>
      </c>
      <c r="H2723" s="214">
        <v>0</v>
      </c>
      <c r="I2723" s="214">
        <v>-200000</v>
      </c>
      <c r="J2723" s="214">
        <f t="shared" si="128"/>
        <v>-200000</v>
      </c>
      <c r="K2723" s="212" t="s">
        <v>6334</v>
      </c>
      <c r="L2723" s="213"/>
      <c r="M2723" s="212" t="s">
        <v>6361</v>
      </c>
    </row>
    <row r="2724" spans="1:13" ht="21" customHeight="1">
      <c r="A2724" s="213" t="s">
        <v>6502</v>
      </c>
      <c r="B2724" s="215">
        <f t="shared" si="126"/>
        <v>45839</v>
      </c>
      <c r="C2724" s="213" t="s">
        <v>4367</v>
      </c>
      <c r="D2724" s="213" t="s">
        <v>4369</v>
      </c>
      <c r="E2724" s="213" t="s">
        <v>333</v>
      </c>
      <c r="F2724" s="212" t="s">
        <v>4365</v>
      </c>
      <c r="G2724" s="212" t="str">
        <f t="shared" si="127"/>
        <v>101현금</v>
      </c>
      <c r="H2724" s="214">
        <v>-220000</v>
      </c>
      <c r="I2724" s="214">
        <v>0</v>
      </c>
      <c r="J2724" s="214">
        <f t="shared" si="128"/>
        <v>220000</v>
      </c>
      <c r="K2724" s="212" t="s">
        <v>6334</v>
      </c>
      <c r="L2724" s="213"/>
      <c r="M2724" s="212" t="s">
        <v>6361</v>
      </c>
    </row>
    <row r="2725" spans="1:13" ht="21" customHeight="1">
      <c r="A2725" s="213" t="s">
        <v>6502</v>
      </c>
      <c r="B2725" s="215">
        <f t="shared" si="126"/>
        <v>45839</v>
      </c>
      <c r="C2725" s="213" t="s">
        <v>4374</v>
      </c>
      <c r="D2725" s="213" t="s">
        <v>4366</v>
      </c>
      <c r="E2725" s="213" t="s">
        <v>6176</v>
      </c>
      <c r="F2725" s="212" t="s">
        <v>6177</v>
      </c>
      <c r="G2725" s="212" t="str">
        <f t="shared" si="127"/>
        <v>255부가세예수금</v>
      </c>
      <c r="H2725" s="214">
        <v>0</v>
      </c>
      <c r="I2725" s="214">
        <v>13637</v>
      </c>
      <c r="J2725" s="214">
        <f t="shared" si="128"/>
        <v>13637</v>
      </c>
      <c r="K2725" s="212" t="s">
        <v>6435</v>
      </c>
      <c r="L2725" s="213"/>
      <c r="M2725" s="212" t="s">
        <v>6511</v>
      </c>
    </row>
    <row r="2726" spans="1:13" ht="21" customHeight="1">
      <c r="A2726" s="213" t="s">
        <v>6502</v>
      </c>
      <c r="B2726" s="215">
        <f t="shared" si="126"/>
        <v>45839</v>
      </c>
      <c r="C2726" s="213" t="s">
        <v>4374</v>
      </c>
      <c r="D2726" s="213" t="s">
        <v>4366</v>
      </c>
      <c r="E2726" s="213" t="s">
        <v>334</v>
      </c>
      <c r="F2726" s="212" t="s">
        <v>6158</v>
      </c>
      <c r="G2726" s="212" t="str">
        <f t="shared" si="127"/>
        <v>401용역매출</v>
      </c>
      <c r="H2726" s="214">
        <v>0</v>
      </c>
      <c r="I2726" s="214">
        <v>136363</v>
      </c>
      <c r="J2726" s="214">
        <f t="shared" si="128"/>
        <v>136363</v>
      </c>
      <c r="K2726" s="212" t="s">
        <v>6435</v>
      </c>
      <c r="L2726" s="213"/>
      <c r="M2726" s="212" t="s">
        <v>6511</v>
      </c>
    </row>
    <row r="2727" spans="1:13" ht="21" customHeight="1">
      <c r="A2727" s="213" t="s">
        <v>6502</v>
      </c>
      <c r="B2727" s="215">
        <f t="shared" si="126"/>
        <v>45839</v>
      </c>
      <c r="C2727" s="213" t="s">
        <v>4374</v>
      </c>
      <c r="D2727" s="213" t="s">
        <v>4369</v>
      </c>
      <c r="E2727" s="213" t="s">
        <v>333</v>
      </c>
      <c r="F2727" s="212" t="s">
        <v>4365</v>
      </c>
      <c r="G2727" s="212" t="str">
        <f t="shared" si="127"/>
        <v>101현금</v>
      </c>
      <c r="H2727" s="214">
        <v>150000</v>
      </c>
      <c r="I2727" s="214">
        <v>0</v>
      </c>
      <c r="J2727" s="214">
        <f t="shared" si="128"/>
        <v>-150000</v>
      </c>
      <c r="K2727" s="212" t="s">
        <v>6435</v>
      </c>
      <c r="L2727" s="213"/>
      <c r="M2727" s="212" t="s">
        <v>6511</v>
      </c>
    </row>
    <row r="2728" spans="1:13" ht="21" customHeight="1">
      <c r="A2728" s="213" t="s">
        <v>6502</v>
      </c>
      <c r="B2728" s="215">
        <f t="shared" si="126"/>
        <v>45839</v>
      </c>
      <c r="C2728" s="213" t="s">
        <v>6182</v>
      </c>
      <c r="D2728" s="213" t="s">
        <v>4366</v>
      </c>
      <c r="E2728" s="213" t="s">
        <v>6176</v>
      </c>
      <c r="F2728" s="212" t="s">
        <v>6177</v>
      </c>
      <c r="G2728" s="212" t="str">
        <f t="shared" si="127"/>
        <v>255부가세예수금</v>
      </c>
      <c r="H2728" s="214">
        <v>0</v>
      </c>
      <c r="I2728" s="214">
        <v>15000</v>
      </c>
      <c r="J2728" s="214">
        <f t="shared" si="128"/>
        <v>15000</v>
      </c>
      <c r="K2728" s="212" t="s">
        <v>6233</v>
      </c>
      <c r="L2728" s="213"/>
      <c r="M2728" s="212" t="s">
        <v>6179</v>
      </c>
    </row>
    <row r="2729" spans="1:13" ht="21" customHeight="1">
      <c r="A2729" s="213" t="s">
        <v>6502</v>
      </c>
      <c r="B2729" s="215">
        <f t="shared" si="126"/>
        <v>45839</v>
      </c>
      <c r="C2729" s="213" t="s">
        <v>6182</v>
      </c>
      <c r="D2729" s="213" t="s">
        <v>4366</v>
      </c>
      <c r="E2729" s="213" t="s">
        <v>334</v>
      </c>
      <c r="F2729" s="212" t="s">
        <v>6158</v>
      </c>
      <c r="G2729" s="212" t="str">
        <f t="shared" si="127"/>
        <v>401용역매출</v>
      </c>
      <c r="H2729" s="214">
        <v>0</v>
      </c>
      <c r="I2729" s="214">
        <v>150000</v>
      </c>
      <c r="J2729" s="214">
        <f t="shared" si="128"/>
        <v>150000</v>
      </c>
      <c r="K2729" s="212" t="s">
        <v>6233</v>
      </c>
      <c r="L2729" s="213"/>
      <c r="M2729" s="212" t="s">
        <v>6179</v>
      </c>
    </row>
    <row r="2730" spans="1:13" ht="21" customHeight="1">
      <c r="A2730" s="213" t="s">
        <v>6502</v>
      </c>
      <c r="B2730" s="215">
        <f t="shared" si="126"/>
        <v>45839</v>
      </c>
      <c r="C2730" s="213" t="s">
        <v>6182</v>
      </c>
      <c r="D2730" s="213" t="s">
        <v>4369</v>
      </c>
      <c r="E2730" s="213" t="s">
        <v>333</v>
      </c>
      <c r="F2730" s="212" t="s">
        <v>4365</v>
      </c>
      <c r="G2730" s="212" t="str">
        <f t="shared" si="127"/>
        <v>101현금</v>
      </c>
      <c r="H2730" s="214">
        <v>165000</v>
      </c>
      <c r="I2730" s="214">
        <v>0</v>
      </c>
      <c r="J2730" s="214">
        <f t="shared" si="128"/>
        <v>-165000</v>
      </c>
      <c r="K2730" s="212" t="s">
        <v>6233</v>
      </c>
      <c r="L2730" s="213"/>
      <c r="M2730" s="212" t="s">
        <v>6179</v>
      </c>
    </row>
    <row r="2731" spans="1:13" ht="21" customHeight="1">
      <c r="A2731" s="213" t="s">
        <v>6502</v>
      </c>
      <c r="B2731" s="215">
        <f t="shared" si="126"/>
        <v>45839</v>
      </c>
      <c r="C2731" s="213" t="s">
        <v>6184</v>
      </c>
      <c r="D2731" s="213" t="s">
        <v>4366</v>
      </c>
      <c r="E2731" s="213" t="s">
        <v>6176</v>
      </c>
      <c r="F2731" s="212" t="s">
        <v>6177</v>
      </c>
      <c r="G2731" s="212" t="str">
        <f t="shared" si="127"/>
        <v>255부가세예수금</v>
      </c>
      <c r="H2731" s="214">
        <v>0</v>
      </c>
      <c r="I2731" s="214">
        <v>10000</v>
      </c>
      <c r="J2731" s="214">
        <f t="shared" si="128"/>
        <v>10000</v>
      </c>
      <c r="K2731" s="212" t="s">
        <v>6317</v>
      </c>
      <c r="L2731" s="213"/>
      <c r="M2731" s="212" t="s">
        <v>6185</v>
      </c>
    </row>
    <row r="2732" spans="1:13" ht="21" customHeight="1">
      <c r="A2732" s="213" t="s">
        <v>6502</v>
      </c>
      <c r="B2732" s="215">
        <f t="shared" si="126"/>
        <v>45839</v>
      </c>
      <c r="C2732" s="213" t="s">
        <v>6184</v>
      </c>
      <c r="D2732" s="213" t="s">
        <v>4366</v>
      </c>
      <c r="E2732" s="213" t="s">
        <v>334</v>
      </c>
      <c r="F2732" s="212" t="s">
        <v>6158</v>
      </c>
      <c r="G2732" s="212" t="str">
        <f t="shared" si="127"/>
        <v>401용역매출</v>
      </c>
      <c r="H2732" s="214">
        <v>0</v>
      </c>
      <c r="I2732" s="214">
        <v>100000</v>
      </c>
      <c r="J2732" s="214">
        <f t="shared" si="128"/>
        <v>100000</v>
      </c>
      <c r="K2732" s="212" t="s">
        <v>6317</v>
      </c>
      <c r="L2732" s="213"/>
      <c r="M2732" s="212" t="s">
        <v>6185</v>
      </c>
    </row>
    <row r="2733" spans="1:13" ht="21" customHeight="1">
      <c r="A2733" s="213" t="s">
        <v>6502</v>
      </c>
      <c r="B2733" s="215">
        <f t="shared" si="126"/>
        <v>45839</v>
      </c>
      <c r="C2733" s="213" t="s">
        <v>6184</v>
      </c>
      <c r="D2733" s="213" t="s">
        <v>4369</v>
      </c>
      <c r="E2733" s="213" t="s">
        <v>333</v>
      </c>
      <c r="F2733" s="212" t="s">
        <v>4365</v>
      </c>
      <c r="G2733" s="212" t="str">
        <f t="shared" si="127"/>
        <v>101현금</v>
      </c>
      <c r="H2733" s="214">
        <v>110000</v>
      </c>
      <c r="I2733" s="214">
        <v>0</v>
      </c>
      <c r="J2733" s="214">
        <f t="shared" si="128"/>
        <v>-110000</v>
      </c>
      <c r="K2733" s="212" t="s">
        <v>6317</v>
      </c>
      <c r="L2733" s="213"/>
      <c r="M2733" s="212" t="s">
        <v>6185</v>
      </c>
    </row>
    <row r="2734" spans="1:13" ht="21" customHeight="1">
      <c r="A2734" s="213" t="s">
        <v>6502</v>
      </c>
      <c r="B2734" s="215">
        <f t="shared" si="126"/>
        <v>45839</v>
      </c>
      <c r="C2734" s="213" t="s">
        <v>6186</v>
      </c>
      <c r="D2734" s="213" t="s">
        <v>4366</v>
      </c>
      <c r="E2734" s="213" t="s">
        <v>6176</v>
      </c>
      <c r="F2734" s="212" t="s">
        <v>6177</v>
      </c>
      <c r="G2734" s="212" t="str">
        <f t="shared" si="127"/>
        <v>255부가세예수금</v>
      </c>
      <c r="H2734" s="214">
        <v>0</v>
      </c>
      <c r="I2734" s="214">
        <v>20000</v>
      </c>
      <c r="J2734" s="214">
        <f t="shared" si="128"/>
        <v>20000</v>
      </c>
      <c r="K2734" s="212" t="s">
        <v>6230</v>
      </c>
      <c r="L2734" s="213"/>
      <c r="M2734" s="212" t="s">
        <v>6504</v>
      </c>
    </row>
    <row r="2735" spans="1:13" ht="21" customHeight="1">
      <c r="A2735" s="213" t="s">
        <v>6502</v>
      </c>
      <c r="B2735" s="215">
        <f t="shared" si="126"/>
        <v>45839</v>
      </c>
      <c r="C2735" s="213" t="s">
        <v>6186</v>
      </c>
      <c r="D2735" s="213" t="s">
        <v>4366</v>
      </c>
      <c r="E2735" s="213" t="s">
        <v>334</v>
      </c>
      <c r="F2735" s="212" t="s">
        <v>6158</v>
      </c>
      <c r="G2735" s="212" t="str">
        <f t="shared" si="127"/>
        <v>401용역매출</v>
      </c>
      <c r="H2735" s="214">
        <v>0</v>
      </c>
      <c r="I2735" s="214">
        <v>200000</v>
      </c>
      <c r="J2735" s="214">
        <f t="shared" si="128"/>
        <v>200000</v>
      </c>
      <c r="K2735" s="212" t="s">
        <v>6230</v>
      </c>
      <c r="L2735" s="213"/>
      <c r="M2735" s="212" t="s">
        <v>6504</v>
      </c>
    </row>
    <row r="2736" spans="1:13" ht="21" customHeight="1">
      <c r="A2736" s="213" t="s">
        <v>6502</v>
      </c>
      <c r="B2736" s="215">
        <f t="shared" si="126"/>
        <v>45839</v>
      </c>
      <c r="C2736" s="213" t="s">
        <v>6186</v>
      </c>
      <c r="D2736" s="213" t="s">
        <v>4369</v>
      </c>
      <c r="E2736" s="213" t="s">
        <v>333</v>
      </c>
      <c r="F2736" s="212" t="s">
        <v>4365</v>
      </c>
      <c r="G2736" s="212" t="str">
        <f t="shared" si="127"/>
        <v>101현금</v>
      </c>
      <c r="H2736" s="214">
        <v>220000</v>
      </c>
      <c r="I2736" s="214">
        <v>0</v>
      </c>
      <c r="J2736" s="214">
        <f t="shared" si="128"/>
        <v>-220000</v>
      </c>
      <c r="K2736" s="212" t="s">
        <v>6230</v>
      </c>
      <c r="L2736" s="213"/>
      <c r="M2736" s="212" t="s">
        <v>6504</v>
      </c>
    </row>
    <row r="2737" spans="1:13" ht="21" customHeight="1">
      <c r="A2737" s="213" t="s">
        <v>6502</v>
      </c>
      <c r="B2737" s="215">
        <f t="shared" si="126"/>
        <v>45839</v>
      </c>
      <c r="C2737" s="213" t="s">
        <v>6189</v>
      </c>
      <c r="D2737" s="213" t="s">
        <v>4366</v>
      </c>
      <c r="E2737" s="213" t="s">
        <v>6176</v>
      </c>
      <c r="F2737" s="212" t="s">
        <v>6177</v>
      </c>
      <c r="G2737" s="212" t="str">
        <f t="shared" si="127"/>
        <v>255부가세예수금</v>
      </c>
      <c r="H2737" s="214">
        <v>0</v>
      </c>
      <c r="I2737" s="214">
        <v>9091</v>
      </c>
      <c r="J2737" s="214">
        <f t="shared" si="128"/>
        <v>9091</v>
      </c>
      <c r="K2737" s="212" t="s">
        <v>6300</v>
      </c>
      <c r="L2737" s="213"/>
      <c r="M2737" s="212" t="s">
        <v>6510</v>
      </c>
    </row>
    <row r="2738" spans="1:13" ht="21" customHeight="1">
      <c r="A2738" s="213" t="s">
        <v>6502</v>
      </c>
      <c r="B2738" s="215">
        <f t="shared" si="126"/>
        <v>45839</v>
      </c>
      <c r="C2738" s="213" t="s">
        <v>6189</v>
      </c>
      <c r="D2738" s="213" t="s">
        <v>4366</v>
      </c>
      <c r="E2738" s="213" t="s">
        <v>334</v>
      </c>
      <c r="F2738" s="212" t="s">
        <v>6158</v>
      </c>
      <c r="G2738" s="212" t="str">
        <f t="shared" si="127"/>
        <v>401용역매출</v>
      </c>
      <c r="H2738" s="214">
        <v>0</v>
      </c>
      <c r="I2738" s="214">
        <v>90909</v>
      </c>
      <c r="J2738" s="214">
        <f t="shared" si="128"/>
        <v>90909</v>
      </c>
      <c r="K2738" s="212" t="s">
        <v>6300</v>
      </c>
      <c r="L2738" s="213"/>
      <c r="M2738" s="212" t="s">
        <v>6510</v>
      </c>
    </row>
    <row r="2739" spans="1:13" ht="21" customHeight="1">
      <c r="A2739" s="213" t="s">
        <v>6502</v>
      </c>
      <c r="B2739" s="215">
        <f t="shared" si="126"/>
        <v>45839</v>
      </c>
      <c r="C2739" s="213" t="s">
        <v>6189</v>
      </c>
      <c r="D2739" s="213" t="s">
        <v>4369</v>
      </c>
      <c r="E2739" s="213" t="s">
        <v>333</v>
      </c>
      <c r="F2739" s="212" t="s">
        <v>4365</v>
      </c>
      <c r="G2739" s="212" t="str">
        <f t="shared" si="127"/>
        <v>101현금</v>
      </c>
      <c r="H2739" s="214">
        <v>100000</v>
      </c>
      <c r="I2739" s="214">
        <v>0</v>
      </c>
      <c r="J2739" s="214">
        <f t="shared" si="128"/>
        <v>-100000</v>
      </c>
      <c r="K2739" s="212" t="s">
        <v>6300</v>
      </c>
      <c r="L2739" s="213"/>
      <c r="M2739" s="212" t="s">
        <v>6510</v>
      </c>
    </row>
    <row r="2740" spans="1:13" ht="21" customHeight="1">
      <c r="A2740" s="213" t="s">
        <v>6502</v>
      </c>
      <c r="B2740" s="215">
        <f t="shared" si="126"/>
        <v>45839</v>
      </c>
      <c r="C2740" s="213" t="s">
        <v>6191</v>
      </c>
      <c r="D2740" s="213" t="s">
        <v>4366</v>
      </c>
      <c r="E2740" s="213" t="s">
        <v>6176</v>
      </c>
      <c r="F2740" s="212" t="s">
        <v>6177</v>
      </c>
      <c r="G2740" s="212" t="str">
        <f t="shared" si="127"/>
        <v>255부가세예수금</v>
      </c>
      <c r="H2740" s="214">
        <v>0</v>
      </c>
      <c r="I2740" s="214">
        <v>15000</v>
      </c>
      <c r="J2740" s="214">
        <f t="shared" si="128"/>
        <v>15000</v>
      </c>
      <c r="K2740" s="212" t="s">
        <v>6310</v>
      </c>
      <c r="L2740" s="213"/>
      <c r="M2740" s="212" t="s">
        <v>6179</v>
      </c>
    </row>
    <row r="2741" spans="1:13" ht="21" customHeight="1">
      <c r="A2741" s="213" t="s">
        <v>6502</v>
      </c>
      <c r="B2741" s="215">
        <f t="shared" si="126"/>
        <v>45839</v>
      </c>
      <c r="C2741" s="213" t="s">
        <v>6191</v>
      </c>
      <c r="D2741" s="213" t="s">
        <v>4366</v>
      </c>
      <c r="E2741" s="213" t="s">
        <v>334</v>
      </c>
      <c r="F2741" s="212" t="s">
        <v>6158</v>
      </c>
      <c r="G2741" s="212" t="str">
        <f t="shared" si="127"/>
        <v>401용역매출</v>
      </c>
      <c r="H2741" s="214">
        <v>0</v>
      </c>
      <c r="I2741" s="214">
        <v>150000</v>
      </c>
      <c r="J2741" s="214">
        <f t="shared" si="128"/>
        <v>150000</v>
      </c>
      <c r="K2741" s="212" t="s">
        <v>6310</v>
      </c>
      <c r="L2741" s="213"/>
      <c r="M2741" s="212" t="s">
        <v>6179</v>
      </c>
    </row>
    <row r="2742" spans="1:13" ht="21" customHeight="1">
      <c r="A2742" s="213" t="s">
        <v>6502</v>
      </c>
      <c r="B2742" s="215">
        <f t="shared" si="126"/>
        <v>45839</v>
      </c>
      <c r="C2742" s="213" t="s">
        <v>6191</v>
      </c>
      <c r="D2742" s="213" t="s">
        <v>4369</v>
      </c>
      <c r="E2742" s="213" t="s">
        <v>333</v>
      </c>
      <c r="F2742" s="212" t="s">
        <v>4365</v>
      </c>
      <c r="G2742" s="212" t="str">
        <f t="shared" si="127"/>
        <v>101현금</v>
      </c>
      <c r="H2742" s="214">
        <v>165000</v>
      </c>
      <c r="I2742" s="214">
        <v>0</v>
      </c>
      <c r="J2742" s="214">
        <f t="shared" si="128"/>
        <v>-165000</v>
      </c>
      <c r="K2742" s="212" t="s">
        <v>6310</v>
      </c>
      <c r="L2742" s="213"/>
      <c r="M2742" s="212" t="s">
        <v>6179</v>
      </c>
    </row>
    <row r="2743" spans="1:13" ht="21" customHeight="1">
      <c r="A2743" s="213" t="s">
        <v>6502</v>
      </c>
      <c r="B2743" s="215">
        <f t="shared" si="126"/>
        <v>45839</v>
      </c>
      <c r="C2743" s="213" t="s">
        <v>6216</v>
      </c>
      <c r="D2743" s="213" t="s">
        <v>4366</v>
      </c>
      <c r="E2743" s="213" t="s">
        <v>6176</v>
      </c>
      <c r="F2743" s="212" t="s">
        <v>6177</v>
      </c>
      <c r="G2743" s="212" t="str">
        <f t="shared" si="127"/>
        <v>255부가세예수금</v>
      </c>
      <c r="H2743" s="214">
        <v>0</v>
      </c>
      <c r="I2743" s="214">
        <v>12000</v>
      </c>
      <c r="J2743" s="214">
        <f t="shared" si="128"/>
        <v>12000</v>
      </c>
      <c r="K2743" s="212" t="s">
        <v>6270</v>
      </c>
      <c r="L2743" s="213"/>
      <c r="M2743" s="212" t="s">
        <v>6225</v>
      </c>
    </row>
    <row r="2744" spans="1:13" ht="21" customHeight="1">
      <c r="A2744" s="213" t="s">
        <v>6502</v>
      </c>
      <c r="B2744" s="215">
        <f t="shared" si="126"/>
        <v>45839</v>
      </c>
      <c r="C2744" s="213" t="s">
        <v>6216</v>
      </c>
      <c r="D2744" s="213" t="s">
        <v>4366</v>
      </c>
      <c r="E2744" s="213" t="s">
        <v>334</v>
      </c>
      <c r="F2744" s="212" t="s">
        <v>6158</v>
      </c>
      <c r="G2744" s="212" t="str">
        <f t="shared" si="127"/>
        <v>401용역매출</v>
      </c>
      <c r="H2744" s="214">
        <v>0</v>
      </c>
      <c r="I2744" s="214">
        <v>120000</v>
      </c>
      <c r="J2744" s="214">
        <f t="shared" si="128"/>
        <v>120000</v>
      </c>
      <c r="K2744" s="212" t="s">
        <v>6270</v>
      </c>
      <c r="L2744" s="213"/>
      <c r="M2744" s="212" t="s">
        <v>6225</v>
      </c>
    </row>
    <row r="2745" spans="1:13" ht="21" customHeight="1">
      <c r="A2745" s="213" t="s">
        <v>6502</v>
      </c>
      <c r="B2745" s="215">
        <f t="shared" si="126"/>
        <v>45839</v>
      </c>
      <c r="C2745" s="213" t="s">
        <v>6216</v>
      </c>
      <c r="D2745" s="213" t="s">
        <v>4369</v>
      </c>
      <c r="E2745" s="213" t="s">
        <v>333</v>
      </c>
      <c r="F2745" s="212" t="s">
        <v>4365</v>
      </c>
      <c r="G2745" s="212" t="str">
        <f t="shared" si="127"/>
        <v>101현금</v>
      </c>
      <c r="H2745" s="214">
        <v>132000</v>
      </c>
      <c r="I2745" s="214">
        <v>0</v>
      </c>
      <c r="J2745" s="214">
        <f t="shared" si="128"/>
        <v>-132000</v>
      </c>
      <c r="K2745" s="212" t="s">
        <v>6270</v>
      </c>
      <c r="L2745" s="213"/>
      <c r="M2745" s="212" t="s">
        <v>6225</v>
      </c>
    </row>
    <row r="2746" spans="1:13" ht="21" customHeight="1">
      <c r="A2746" s="213" t="s">
        <v>6502</v>
      </c>
      <c r="B2746" s="215">
        <f t="shared" si="126"/>
        <v>45839</v>
      </c>
      <c r="C2746" s="213" t="s">
        <v>6217</v>
      </c>
      <c r="D2746" s="213" t="s">
        <v>4366</v>
      </c>
      <c r="E2746" s="213" t="s">
        <v>6176</v>
      </c>
      <c r="F2746" s="212" t="s">
        <v>6177</v>
      </c>
      <c r="G2746" s="212" t="str">
        <f t="shared" si="127"/>
        <v>255부가세예수금</v>
      </c>
      <c r="H2746" s="214">
        <v>0</v>
      </c>
      <c r="I2746" s="214">
        <v>15000</v>
      </c>
      <c r="J2746" s="214">
        <f t="shared" si="128"/>
        <v>15000</v>
      </c>
      <c r="K2746" s="212" t="s">
        <v>6267</v>
      </c>
      <c r="L2746" s="213"/>
      <c r="M2746" s="212" t="s">
        <v>6179</v>
      </c>
    </row>
    <row r="2747" spans="1:13" ht="21" customHeight="1">
      <c r="A2747" s="213" t="s">
        <v>6502</v>
      </c>
      <c r="B2747" s="215">
        <f t="shared" si="126"/>
        <v>45839</v>
      </c>
      <c r="C2747" s="213" t="s">
        <v>6217</v>
      </c>
      <c r="D2747" s="213" t="s">
        <v>4366</v>
      </c>
      <c r="E2747" s="213" t="s">
        <v>334</v>
      </c>
      <c r="F2747" s="212" t="s">
        <v>6158</v>
      </c>
      <c r="G2747" s="212" t="str">
        <f t="shared" si="127"/>
        <v>401용역매출</v>
      </c>
      <c r="H2747" s="214">
        <v>0</v>
      </c>
      <c r="I2747" s="214">
        <v>150000</v>
      </c>
      <c r="J2747" s="214">
        <f t="shared" si="128"/>
        <v>150000</v>
      </c>
      <c r="K2747" s="212" t="s">
        <v>6267</v>
      </c>
      <c r="L2747" s="213"/>
      <c r="M2747" s="212" t="s">
        <v>6179</v>
      </c>
    </row>
    <row r="2748" spans="1:13" ht="21" customHeight="1">
      <c r="A2748" s="213" t="s">
        <v>6502</v>
      </c>
      <c r="B2748" s="215">
        <f t="shared" si="126"/>
        <v>45839</v>
      </c>
      <c r="C2748" s="213" t="s">
        <v>6217</v>
      </c>
      <c r="D2748" s="213" t="s">
        <v>4369</v>
      </c>
      <c r="E2748" s="213" t="s">
        <v>333</v>
      </c>
      <c r="F2748" s="212" t="s">
        <v>4365</v>
      </c>
      <c r="G2748" s="212" t="str">
        <f t="shared" si="127"/>
        <v>101현금</v>
      </c>
      <c r="H2748" s="214">
        <v>165000</v>
      </c>
      <c r="I2748" s="214">
        <v>0</v>
      </c>
      <c r="J2748" s="214">
        <f t="shared" si="128"/>
        <v>-165000</v>
      </c>
      <c r="K2748" s="212" t="s">
        <v>6267</v>
      </c>
      <c r="L2748" s="213"/>
      <c r="M2748" s="212" t="s">
        <v>6179</v>
      </c>
    </row>
    <row r="2749" spans="1:13" ht="21" customHeight="1">
      <c r="A2749" s="213" t="s">
        <v>6502</v>
      </c>
      <c r="B2749" s="215">
        <f t="shared" si="126"/>
        <v>45839</v>
      </c>
      <c r="C2749" s="213" t="s">
        <v>6218</v>
      </c>
      <c r="D2749" s="213" t="s">
        <v>4366</v>
      </c>
      <c r="E2749" s="213" t="s">
        <v>6176</v>
      </c>
      <c r="F2749" s="212" t="s">
        <v>6177</v>
      </c>
      <c r="G2749" s="212" t="str">
        <f t="shared" si="127"/>
        <v>255부가세예수금</v>
      </c>
      <c r="H2749" s="214">
        <v>0</v>
      </c>
      <c r="I2749" s="214">
        <v>13000</v>
      </c>
      <c r="J2749" s="214">
        <f t="shared" si="128"/>
        <v>13000</v>
      </c>
      <c r="K2749" s="212" t="s">
        <v>6429</v>
      </c>
      <c r="L2749" s="213"/>
      <c r="M2749" s="212" t="s">
        <v>6427</v>
      </c>
    </row>
    <row r="2750" spans="1:13" ht="21" customHeight="1">
      <c r="A2750" s="213" t="s">
        <v>6502</v>
      </c>
      <c r="B2750" s="215">
        <f t="shared" si="126"/>
        <v>45839</v>
      </c>
      <c r="C2750" s="213" t="s">
        <v>6218</v>
      </c>
      <c r="D2750" s="213" t="s">
        <v>4366</v>
      </c>
      <c r="E2750" s="213" t="s">
        <v>334</v>
      </c>
      <c r="F2750" s="212" t="s">
        <v>6158</v>
      </c>
      <c r="G2750" s="212" t="str">
        <f t="shared" si="127"/>
        <v>401용역매출</v>
      </c>
      <c r="H2750" s="214">
        <v>0</v>
      </c>
      <c r="I2750" s="214">
        <v>130000</v>
      </c>
      <c r="J2750" s="214">
        <f t="shared" si="128"/>
        <v>130000</v>
      </c>
      <c r="K2750" s="212" t="s">
        <v>6429</v>
      </c>
      <c r="L2750" s="213"/>
      <c r="M2750" s="212" t="s">
        <v>6427</v>
      </c>
    </row>
    <row r="2751" spans="1:13" ht="21" customHeight="1">
      <c r="A2751" s="213" t="s">
        <v>6502</v>
      </c>
      <c r="B2751" s="215">
        <f t="shared" si="126"/>
        <v>45839</v>
      </c>
      <c r="C2751" s="213" t="s">
        <v>6218</v>
      </c>
      <c r="D2751" s="213" t="s">
        <v>4369</v>
      </c>
      <c r="E2751" s="213" t="s">
        <v>333</v>
      </c>
      <c r="F2751" s="212" t="s">
        <v>4365</v>
      </c>
      <c r="G2751" s="212" t="str">
        <f t="shared" si="127"/>
        <v>101현금</v>
      </c>
      <c r="H2751" s="214">
        <v>143000</v>
      </c>
      <c r="I2751" s="214">
        <v>0</v>
      </c>
      <c r="J2751" s="214">
        <f t="shared" si="128"/>
        <v>-143000</v>
      </c>
      <c r="K2751" s="212" t="s">
        <v>6429</v>
      </c>
      <c r="L2751" s="213"/>
      <c r="M2751" s="212" t="s">
        <v>6427</v>
      </c>
    </row>
    <row r="2752" spans="1:13" ht="21" customHeight="1">
      <c r="A2752" s="213" t="s">
        <v>6502</v>
      </c>
      <c r="B2752" s="215">
        <f t="shared" si="126"/>
        <v>45839</v>
      </c>
      <c r="C2752" s="213" t="s">
        <v>6238</v>
      </c>
      <c r="D2752" s="213" t="s">
        <v>4366</v>
      </c>
      <c r="E2752" s="213" t="s">
        <v>6176</v>
      </c>
      <c r="F2752" s="212" t="s">
        <v>6177</v>
      </c>
      <c r="G2752" s="212" t="str">
        <f t="shared" si="127"/>
        <v>255부가세예수금</v>
      </c>
      <c r="H2752" s="214">
        <v>0</v>
      </c>
      <c r="I2752" s="214">
        <v>10000</v>
      </c>
      <c r="J2752" s="214">
        <f t="shared" si="128"/>
        <v>10000</v>
      </c>
      <c r="K2752" s="212" t="s">
        <v>6269</v>
      </c>
      <c r="L2752" s="213"/>
      <c r="M2752" s="212" t="s">
        <v>6185</v>
      </c>
    </row>
    <row r="2753" spans="1:13" ht="21" customHeight="1">
      <c r="A2753" s="213" t="s">
        <v>6502</v>
      </c>
      <c r="B2753" s="215">
        <f t="shared" si="126"/>
        <v>45839</v>
      </c>
      <c r="C2753" s="213" t="s">
        <v>6238</v>
      </c>
      <c r="D2753" s="213" t="s">
        <v>4366</v>
      </c>
      <c r="E2753" s="213" t="s">
        <v>334</v>
      </c>
      <c r="F2753" s="212" t="s">
        <v>6158</v>
      </c>
      <c r="G2753" s="212" t="str">
        <f t="shared" si="127"/>
        <v>401용역매출</v>
      </c>
      <c r="H2753" s="214">
        <v>0</v>
      </c>
      <c r="I2753" s="214">
        <v>100000</v>
      </c>
      <c r="J2753" s="214">
        <f t="shared" si="128"/>
        <v>100000</v>
      </c>
      <c r="K2753" s="212" t="s">
        <v>6269</v>
      </c>
      <c r="L2753" s="213"/>
      <c r="M2753" s="212" t="s">
        <v>6185</v>
      </c>
    </row>
    <row r="2754" spans="1:13" ht="21" customHeight="1">
      <c r="A2754" s="213" t="s">
        <v>6502</v>
      </c>
      <c r="B2754" s="215">
        <f t="shared" ref="B2754:B2817" si="129">DATEVALUE(A2754)</f>
        <v>45839</v>
      </c>
      <c r="C2754" s="213" t="s">
        <v>6238</v>
      </c>
      <c r="D2754" s="213" t="s">
        <v>4369</v>
      </c>
      <c r="E2754" s="213" t="s">
        <v>333</v>
      </c>
      <c r="F2754" s="212" t="s">
        <v>4365</v>
      </c>
      <c r="G2754" s="212" t="str">
        <f t="shared" ref="G2754:G2817" si="130">E2754&amp;F2754</f>
        <v>101현금</v>
      </c>
      <c r="H2754" s="214">
        <v>110000</v>
      </c>
      <c r="I2754" s="214">
        <v>0</v>
      </c>
      <c r="J2754" s="214">
        <f t="shared" ref="J2754:J2817" si="131">I2754-H2754</f>
        <v>-110000</v>
      </c>
      <c r="K2754" s="212" t="s">
        <v>6269</v>
      </c>
      <c r="L2754" s="213"/>
      <c r="M2754" s="212" t="s">
        <v>6185</v>
      </c>
    </row>
    <row r="2755" spans="1:13" ht="21" customHeight="1">
      <c r="A2755" s="213" t="s">
        <v>6502</v>
      </c>
      <c r="B2755" s="215">
        <f t="shared" si="129"/>
        <v>45839</v>
      </c>
      <c r="C2755" s="213" t="s">
        <v>6240</v>
      </c>
      <c r="D2755" s="213" t="s">
        <v>4366</v>
      </c>
      <c r="E2755" s="213" t="s">
        <v>6176</v>
      </c>
      <c r="F2755" s="212" t="s">
        <v>6177</v>
      </c>
      <c r="G2755" s="212" t="str">
        <f t="shared" si="130"/>
        <v>255부가세예수금</v>
      </c>
      <c r="H2755" s="214">
        <v>0</v>
      </c>
      <c r="I2755" s="214">
        <v>20000</v>
      </c>
      <c r="J2755" s="214">
        <f t="shared" si="131"/>
        <v>20000</v>
      </c>
      <c r="K2755" s="212" t="s">
        <v>6334</v>
      </c>
      <c r="L2755" s="213"/>
      <c r="M2755" s="212" t="s">
        <v>6231</v>
      </c>
    </row>
    <row r="2756" spans="1:13" ht="21" customHeight="1">
      <c r="A2756" s="213" t="s">
        <v>6502</v>
      </c>
      <c r="B2756" s="215">
        <f t="shared" si="129"/>
        <v>45839</v>
      </c>
      <c r="C2756" s="213" t="s">
        <v>6240</v>
      </c>
      <c r="D2756" s="213" t="s">
        <v>4366</v>
      </c>
      <c r="E2756" s="213" t="s">
        <v>334</v>
      </c>
      <c r="F2756" s="212" t="s">
        <v>6158</v>
      </c>
      <c r="G2756" s="212" t="str">
        <f t="shared" si="130"/>
        <v>401용역매출</v>
      </c>
      <c r="H2756" s="214">
        <v>0</v>
      </c>
      <c r="I2756" s="214">
        <v>200000</v>
      </c>
      <c r="J2756" s="214">
        <f t="shared" si="131"/>
        <v>200000</v>
      </c>
      <c r="K2756" s="212" t="s">
        <v>6334</v>
      </c>
      <c r="L2756" s="213"/>
      <c r="M2756" s="212" t="s">
        <v>6231</v>
      </c>
    </row>
    <row r="2757" spans="1:13" ht="21" customHeight="1">
      <c r="A2757" s="213" t="s">
        <v>6502</v>
      </c>
      <c r="B2757" s="215">
        <f t="shared" si="129"/>
        <v>45839</v>
      </c>
      <c r="C2757" s="213" t="s">
        <v>6240</v>
      </c>
      <c r="D2757" s="213" t="s">
        <v>4369</v>
      </c>
      <c r="E2757" s="213" t="s">
        <v>333</v>
      </c>
      <c r="F2757" s="212" t="s">
        <v>4365</v>
      </c>
      <c r="G2757" s="212" t="str">
        <f t="shared" si="130"/>
        <v>101현금</v>
      </c>
      <c r="H2757" s="214">
        <v>220000</v>
      </c>
      <c r="I2757" s="214">
        <v>0</v>
      </c>
      <c r="J2757" s="214">
        <f t="shared" si="131"/>
        <v>-220000</v>
      </c>
      <c r="K2757" s="212" t="s">
        <v>6334</v>
      </c>
      <c r="L2757" s="213"/>
      <c r="M2757" s="212" t="s">
        <v>6231</v>
      </c>
    </row>
    <row r="2758" spans="1:13" ht="21" customHeight="1">
      <c r="A2758" s="213" t="s">
        <v>6502</v>
      </c>
      <c r="B2758" s="215">
        <f t="shared" si="129"/>
        <v>45839</v>
      </c>
      <c r="C2758" s="213" t="s">
        <v>6241</v>
      </c>
      <c r="D2758" s="213" t="s">
        <v>4366</v>
      </c>
      <c r="E2758" s="213" t="s">
        <v>6176</v>
      </c>
      <c r="F2758" s="212" t="s">
        <v>6177</v>
      </c>
      <c r="G2758" s="212" t="str">
        <f t="shared" si="130"/>
        <v>255부가세예수금</v>
      </c>
      <c r="H2758" s="214">
        <v>0</v>
      </c>
      <c r="I2758" s="214">
        <v>-10000</v>
      </c>
      <c r="J2758" s="214">
        <f t="shared" si="131"/>
        <v>-10000</v>
      </c>
      <c r="K2758" s="212" t="s">
        <v>6334</v>
      </c>
      <c r="L2758" s="213"/>
      <c r="M2758" s="212" t="s">
        <v>6208</v>
      </c>
    </row>
    <row r="2759" spans="1:13" ht="21" customHeight="1">
      <c r="A2759" s="213" t="s">
        <v>6502</v>
      </c>
      <c r="B2759" s="215">
        <f t="shared" si="129"/>
        <v>45839</v>
      </c>
      <c r="C2759" s="213" t="s">
        <v>6241</v>
      </c>
      <c r="D2759" s="213" t="s">
        <v>4366</v>
      </c>
      <c r="E2759" s="213" t="s">
        <v>334</v>
      </c>
      <c r="F2759" s="212" t="s">
        <v>6158</v>
      </c>
      <c r="G2759" s="212" t="str">
        <f t="shared" si="130"/>
        <v>401용역매출</v>
      </c>
      <c r="H2759" s="214">
        <v>0</v>
      </c>
      <c r="I2759" s="214">
        <v>-100000</v>
      </c>
      <c r="J2759" s="214">
        <f t="shared" si="131"/>
        <v>-100000</v>
      </c>
      <c r="K2759" s="212" t="s">
        <v>6334</v>
      </c>
      <c r="L2759" s="213"/>
      <c r="M2759" s="212" t="s">
        <v>6208</v>
      </c>
    </row>
    <row r="2760" spans="1:13" ht="21" customHeight="1">
      <c r="A2760" s="213" t="s">
        <v>6502</v>
      </c>
      <c r="B2760" s="215">
        <f t="shared" si="129"/>
        <v>45839</v>
      </c>
      <c r="C2760" s="213" t="s">
        <v>6241</v>
      </c>
      <c r="D2760" s="213" t="s">
        <v>4369</v>
      </c>
      <c r="E2760" s="213" t="s">
        <v>333</v>
      </c>
      <c r="F2760" s="212" t="s">
        <v>4365</v>
      </c>
      <c r="G2760" s="212" t="str">
        <f t="shared" si="130"/>
        <v>101현금</v>
      </c>
      <c r="H2760" s="214">
        <v>-110000</v>
      </c>
      <c r="I2760" s="214">
        <v>0</v>
      </c>
      <c r="J2760" s="214">
        <f t="shared" si="131"/>
        <v>110000</v>
      </c>
      <c r="K2760" s="212" t="s">
        <v>6334</v>
      </c>
      <c r="L2760" s="213"/>
      <c r="M2760" s="212" t="s">
        <v>6208</v>
      </c>
    </row>
    <row r="2761" spans="1:13" ht="21" customHeight="1">
      <c r="A2761" s="213" t="s">
        <v>6502</v>
      </c>
      <c r="B2761" s="215">
        <f t="shared" si="129"/>
        <v>45839</v>
      </c>
      <c r="C2761" s="213" t="s">
        <v>6243</v>
      </c>
      <c r="D2761" s="213" t="s">
        <v>4366</v>
      </c>
      <c r="E2761" s="213" t="s">
        <v>6176</v>
      </c>
      <c r="F2761" s="212" t="s">
        <v>6177</v>
      </c>
      <c r="G2761" s="212" t="str">
        <f t="shared" si="130"/>
        <v>255부가세예수금</v>
      </c>
      <c r="H2761" s="214">
        <v>0</v>
      </c>
      <c r="I2761" s="214">
        <v>10000</v>
      </c>
      <c r="J2761" s="214">
        <f t="shared" si="131"/>
        <v>10000</v>
      </c>
      <c r="K2761" s="212" t="s">
        <v>6334</v>
      </c>
      <c r="L2761" s="213"/>
      <c r="M2761" s="212" t="s">
        <v>6185</v>
      </c>
    </row>
    <row r="2762" spans="1:13" ht="21" customHeight="1">
      <c r="A2762" s="213" t="s">
        <v>6502</v>
      </c>
      <c r="B2762" s="215">
        <f t="shared" si="129"/>
        <v>45839</v>
      </c>
      <c r="C2762" s="213" t="s">
        <v>6243</v>
      </c>
      <c r="D2762" s="213" t="s">
        <v>4366</v>
      </c>
      <c r="E2762" s="213" t="s">
        <v>334</v>
      </c>
      <c r="F2762" s="212" t="s">
        <v>6158</v>
      </c>
      <c r="G2762" s="212" t="str">
        <f t="shared" si="130"/>
        <v>401용역매출</v>
      </c>
      <c r="H2762" s="214">
        <v>0</v>
      </c>
      <c r="I2762" s="214">
        <v>100000</v>
      </c>
      <c r="J2762" s="214">
        <f t="shared" si="131"/>
        <v>100000</v>
      </c>
      <c r="K2762" s="212" t="s">
        <v>6334</v>
      </c>
      <c r="L2762" s="213"/>
      <c r="M2762" s="212" t="s">
        <v>6185</v>
      </c>
    </row>
    <row r="2763" spans="1:13" ht="21" customHeight="1">
      <c r="A2763" s="213" t="s">
        <v>6502</v>
      </c>
      <c r="B2763" s="215">
        <f t="shared" si="129"/>
        <v>45839</v>
      </c>
      <c r="C2763" s="213" t="s">
        <v>6243</v>
      </c>
      <c r="D2763" s="213" t="s">
        <v>4369</v>
      </c>
      <c r="E2763" s="213" t="s">
        <v>333</v>
      </c>
      <c r="F2763" s="212" t="s">
        <v>4365</v>
      </c>
      <c r="G2763" s="212" t="str">
        <f t="shared" si="130"/>
        <v>101현금</v>
      </c>
      <c r="H2763" s="214">
        <v>110000</v>
      </c>
      <c r="I2763" s="214">
        <v>0</v>
      </c>
      <c r="J2763" s="214">
        <f t="shared" si="131"/>
        <v>-110000</v>
      </c>
      <c r="K2763" s="212" t="s">
        <v>6334</v>
      </c>
      <c r="L2763" s="213"/>
      <c r="M2763" s="212" t="s">
        <v>6185</v>
      </c>
    </row>
    <row r="2764" spans="1:13" ht="21" customHeight="1">
      <c r="A2764" s="213" t="s">
        <v>6502</v>
      </c>
      <c r="B2764" s="215">
        <f t="shared" si="129"/>
        <v>45839</v>
      </c>
      <c r="C2764" s="213" t="s">
        <v>6244</v>
      </c>
      <c r="D2764" s="213" t="s">
        <v>4366</v>
      </c>
      <c r="E2764" s="213" t="s">
        <v>6176</v>
      </c>
      <c r="F2764" s="212" t="s">
        <v>6177</v>
      </c>
      <c r="G2764" s="212" t="str">
        <f t="shared" si="130"/>
        <v>255부가세예수금</v>
      </c>
      <c r="H2764" s="214">
        <v>0</v>
      </c>
      <c r="I2764" s="214">
        <v>13000</v>
      </c>
      <c r="J2764" s="214">
        <f t="shared" si="131"/>
        <v>13000</v>
      </c>
      <c r="K2764" s="212" t="s">
        <v>6428</v>
      </c>
      <c r="L2764" s="213"/>
      <c r="M2764" s="212" t="s">
        <v>6427</v>
      </c>
    </row>
    <row r="2765" spans="1:13" ht="21" customHeight="1">
      <c r="A2765" s="213" t="s">
        <v>6502</v>
      </c>
      <c r="B2765" s="215">
        <f t="shared" si="129"/>
        <v>45839</v>
      </c>
      <c r="C2765" s="213" t="s">
        <v>6244</v>
      </c>
      <c r="D2765" s="213" t="s">
        <v>4366</v>
      </c>
      <c r="E2765" s="213" t="s">
        <v>334</v>
      </c>
      <c r="F2765" s="212" t="s">
        <v>6158</v>
      </c>
      <c r="G2765" s="212" t="str">
        <f t="shared" si="130"/>
        <v>401용역매출</v>
      </c>
      <c r="H2765" s="214">
        <v>0</v>
      </c>
      <c r="I2765" s="214">
        <v>130000</v>
      </c>
      <c r="J2765" s="214">
        <f t="shared" si="131"/>
        <v>130000</v>
      </c>
      <c r="K2765" s="212" t="s">
        <v>6428</v>
      </c>
      <c r="L2765" s="213"/>
      <c r="M2765" s="212" t="s">
        <v>6427</v>
      </c>
    </row>
    <row r="2766" spans="1:13" ht="21" customHeight="1">
      <c r="A2766" s="213" t="s">
        <v>6502</v>
      </c>
      <c r="B2766" s="215">
        <f t="shared" si="129"/>
        <v>45839</v>
      </c>
      <c r="C2766" s="213" t="s">
        <v>6244</v>
      </c>
      <c r="D2766" s="213" t="s">
        <v>4369</v>
      </c>
      <c r="E2766" s="213" t="s">
        <v>333</v>
      </c>
      <c r="F2766" s="212" t="s">
        <v>4365</v>
      </c>
      <c r="G2766" s="212" t="str">
        <f t="shared" si="130"/>
        <v>101현금</v>
      </c>
      <c r="H2766" s="214">
        <v>143000</v>
      </c>
      <c r="I2766" s="214">
        <v>0</v>
      </c>
      <c r="J2766" s="214">
        <f t="shared" si="131"/>
        <v>-143000</v>
      </c>
      <c r="K2766" s="212" t="s">
        <v>6428</v>
      </c>
      <c r="L2766" s="213"/>
      <c r="M2766" s="212" t="s">
        <v>6427</v>
      </c>
    </row>
    <row r="2767" spans="1:13" ht="21" customHeight="1">
      <c r="A2767" s="213" t="s">
        <v>6502</v>
      </c>
      <c r="B2767" s="215">
        <f t="shared" si="129"/>
        <v>45839</v>
      </c>
      <c r="C2767" s="213" t="s">
        <v>6246</v>
      </c>
      <c r="D2767" s="213" t="s">
        <v>4366</v>
      </c>
      <c r="E2767" s="213" t="s">
        <v>6176</v>
      </c>
      <c r="F2767" s="212" t="s">
        <v>6177</v>
      </c>
      <c r="G2767" s="212" t="str">
        <f t="shared" si="130"/>
        <v>255부가세예수금</v>
      </c>
      <c r="H2767" s="214">
        <v>0</v>
      </c>
      <c r="I2767" s="214">
        <v>15000</v>
      </c>
      <c r="J2767" s="214">
        <f t="shared" si="131"/>
        <v>15000</v>
      </c>
      <c r="K2767" s="212" t="s">
        <v>6232</v>
      </c>
      <c r="L2767" s="213"/>
      <c r="M2767" s="212" t="s">
        <v>6179</v>
      </c>
    </row>
    <row r="2768" spans="1:13" ht="21" customHeight="1">
      <c r="A2768" s="213" t="s">
        <v>6502</v>
      </c>
      <c r="B2768" s="215">
        <f t="shared" si="129"/>
        <v>45839</v>
      </c>
      <c r="C2768" s="213" t="s">
        <v>6246</v>
      </c>
      <c r="D2768" s="213" t="s">
        <v>4366</v>
      </c>
      <c r="E2768" s="213" t="s">
        <v>334</v>
      </c>
      <c r="F2768" s="212" t="s">
        <v>6158</v>
      </c>
      <c r="G2768" s="212" t="str">
        <f t="shared" si="130"/>
        <v>401용역매출</v>
      </c>
      <c r="H2768" s="214">
        <v>0</v>
      </c>
      <c r="I2768" s="214">
        <v>150000</v>
      </c>
      <c r="J2768" s="214">
        <f t="shared" si="131"/>
        <v>150000</v>
      </c>
      <c r="K2768" s="212" t="s">
        <v>6232</v>
      </c>
      <c r="L2768" s="213"/>
      <c r="M2768" s="212" t="s">
        <v>6179</v>
      </c>
    </row>
    <row r="2769" spans="1:13" ht="21" customHeight="1">
      <c r="A2769" s="213" t="s">
        <v>6502</v>
      </c>
      <c r="B2769" s="215">
        <f t="shared" si="129"/>
        <v>45839</v>
      </c>
      <c r="C2769" s="213" t="s">
        <v>6246</v>
      </c>
      <c r="D2769" s="213" t="s">
        <v>4369</v>
      </c>
      <c r="E2769" s="213" t="s">
        <v>333</v>
      </c>
      <c r="F2769" s="212" t="s">
        <v>4365</v>
      </c>
      <c r="G2769" s="212" t="str">
        <f t="shared" si="130"/>
        <v>101현금</v>
      </c>
      <c r="H2769" s="214">
        <v>165000</v>
      </c>
      <c r="I2769" s="214">
        <v>0</v>
      </c>
      <c r="J2769" s="214">
        <f t="shared" si="131"/>
        <v>-165000</v>
      </c>
      <c r="K2769" s="212" t="s">
        <v>6232</v>
      </c>
      <c r="L2769" s="213"/>
      <c r="M2769" s="212" t="s">
        <v>6179</v>
      </c>
    </row>
    <row r="2770" spans="1:13" ht="21" customHeight="1">
      <c r="A2770" s="213" t="s">
        <v>6502</v>
      </c>
      <c r="B2770" s="215">
        <f t="shared" si="129"/>
        <v>45839</v>
      </c>
      <c r="C2770" s="213" t="s">
        <v>6248</v>
      </c>
      <c r="D2770" s="213" t="s">
        <v>4366</v>
      </c>
      <c r="E2770" s="213" t="s">
        <v>6176</v>
      </c>
      <c r="F2770" s="212" t="s">
        <v>6177</v>
      </c>
      <c r="G2770" s="212" t="str">
        <f t="shared" si="130"/>
        <v>255부가세예수금</v>
      </c>
      <c r="H2770" s="214">
        <v>0</v>
      </c>
      <c r="I2770" s="214">
        <v>15000</v>
      </c>
      <c r="J2770" s="214">
        <f t="shared" si="131"/>
        <v>15000</v>
      </c>
      <c r="K2770" s="212" t="s">
        <v>6237</v>
      </c>
      <c r="L2770" s="213"/>
      <c r="M2770" s="212" t="s">
        <v>6179</v>
      </c>
    </row>
    <row r="2771" spans="1:13" ht="21" customHeight="1">
      <c r="A2771" s="213" t="s">
        <v>6502</v>
      </c>
      <c r="B2771" s="215">
        <f t="shared" si="129"/>
        <v>45839</v>
      </c>
      <c r="C2771" s="213" t="s">
        <v>6248</v>
      </c>
      <c r="D2771" s="213" t="s">
        <v>4366</v>
      </c>
      <c r="E2771" s="213" t="s">
        <v>334</v>
      </c>
      <c r="F2771" s="212" t="s">
        <v>6158</v>
      </c>
      <c r="G2771" s="212" t="str">
        <f t="shared" si="130"/>
        <v>401용역매출</v>
      </c>
      <c r="H2771" s="214">
        <v>0</v>
      </c>
      <c r="I2771" s="214">
        <v>150000</v>
      </c>
      <c r="J2771" s="214">
        <f t="shared" si="131"/>
        <v>150000</v>
      </c>
      <c r="K2771" s="212" t="s">
        <v>6237</v>
      </c>
      <c r="L2771" s="213"/>
      <c r="M2771" s="212" t="s">
        <v>6179</v>
      </c>
    </row>
    <row r="2772" spans="1:13" ht="21" customHeight="1">
      <c r="A2772" s="213" t="s">
        <v>6502</v>
      </c>
      <c r="B2772" s="215">
        <f t="shared" si="129"/>
        <v>45839</v>
      </c>
      <c r="C2772" s="213" t="s">
        <v>6248</v>
      </c>
      <c r="D2772" s="213" t="s">
        <v>4369</v>
      </c>
      <c r="E2772" s="213" t="s">
        <v>333</v>
      </c>
      <c r="F2772" s="212" t="s">
        <v>4365</v>
      </c>
      <c r="G2772" s="212" t="str">
        <f t="shared" si="130"/>
        <v>101현금</v>
      </c>
      <c r="H2772" s="214">
        <v>165000</v>
      </c>
      <c r="I2772" s="214">
        <v>0</v>
      </c>
      <c r="J2772" s="214">
        <f t="shared" si="131"/>
        <v>-165000</v>
      </c>
      <c r="K2772" s="212" t="s">
        <v>6237</v>
      </c>
      <c r="L2772" s="213"/>
      <c r="M2772" s="212" t="s">
        <v>6179</v>
      </c>
    </row>
    <row r="2773" spans="1:13" ht="21" customHeight="1">
      <c r="A2773" s="213" t="s">
        <v>6502</v>
      </c>
      <c r="B2773" s="215">
        <f t="shared" si="129"/>
        <v>45839</v>
      </c>
      <c r="C2773" s="213" t="s">
        <v>6249</v>
      </c>
      <c r="D2773" s="213" t="s">
        <v>4366</v>
      </c>
      <c r="E2773" s="213" t="s">
        <v>6176</v>
      </c>
      <c r="F2773" s="212" t="s">
        <v>6177</v>
      </c>
      <c r="G2773" s="212" t="str">
        <f t="shared" si="130"/>
        <v>255부가세예수금</v>
      </c>
      <c r="H2773" s="214">
        <v>0</v>
      </c>
      <c r="I2773" s="214">
        <v>5000</v>
      </c>
      <c r="J2773" s="214">
        <f t="shared" si="131"/>
        <v>5000</v>
      </c>
      <c r="K2773" s="212" t="s">
        <v>6393</v>
      </c>
      <c r="L2773" s="213"/>
      <c r="M2773" s="212" t="s">
        <v>6282</v>
      </c>
    </row>
    <row r="2774" spans="1:13" ht="21" customHeight="1">
      <c r="A2774" s="213" t="s">
        <v>6502</v>
      </c>
      <c r="B2774" s="215">
        <f t="shared" si="129"/>
        <v>45839</v>
      </c>
      <c r="C2774" s="213" t="s">
        <v>6249</v>
      </c>
      <c r="D2774" s="213" t="s">
        <v>4366</v>
      </c>
      <c r="E2774" s="213" t="s">
        <v>334</v>
      </c>
      <c r="F2774" s="212" t="s">
        <v>6158</v>
      </c>
      <c r="G2774" s="212" t="str">
        <f t="shared" si="130"/>
        <v>401용역매출</v>
      </c>
      <c r="H2774" s="214">
        <v>0</v>
      </c>
      <c r="I2774" s="214">
        <v>50000</v>
      </c>
      <c r="J2774" s="214">
        <f t="shared" si="131"/>
        <v>50000</v>
      </c>
      <c r="K2774" s="212" t="s">
        <v>6393</v>
      </c>
      <c r="L2774" s="213"/>
      <c r="M2774" s="212" t="s">
        <v>6282</v>
      </c>
    </row>
    <row r="2775" spans="1:13" ht="21" customHeight="1">
      <c r="A2775" s="213" t="s">
        <v>6502</v>
      </c>
      <c r="B2775" s="215">
        <f t="shared" si="129"/>
        <v>45839</v>
      </c>
      <c r="C2775" s="213" t="s">
        <v>6249</v>
      </c>
      <c r="D2775" s="213" t="s">
        <v>4369</v>
      </c>
      <c r="E2775" s="213" t="s">
        <v>333</v>
      </c>
      <c r="F2775" s="212" t="s">
        <v>4365</v>
      </c>
      <c r="G2775" s="212" t="str">
        <f t="shared" si="130"/>
        <v>101현금</v>
      </c>
      <c r="H2775" s="214">
        <v>55000</v>
      </c>
      <c r="I2775" s="214">
        <v>0</v>
      </c>
      <c r="J2775" s="214">
        <f t="shared" si="131"/>
        <v>-55000</v>
      </c>
      <c r="K2775" s="212" t="s">
        <v>6393</v>
      </c>
      <c r="L2775" s="213"/>
      <c r="M2775" s="212" t="s">
        <v>6282</v>
      </c>
    </row>
    <row r="2776" spans="1:13" ht="21" customHeight="1">
      <c r="A2776" s="213" t="s">
        <v>6502</v>
      </c>
      <c r="B2776" s="215">
        <f t="shared" si="129"/>
        <v>45839</v>
      </c>
      <c r="C2776" s="213" t="s">
        <v>6250</v>
      </c>
      <c r="D2776" s="213" t="s">
        <v>4366</v>
      </c>
      <c r="E2776" s="213" t="s">
        <v>6176</v>
      </c>
      <c r="F2776" s="212" t="s">
        <v>6177</v>
      </c>
      <c r="G2776" s="212" t="str">
        <f t="shared" si="130"/>
        <v>255부가세예수금</v>
      </c>
      <c r="H2776" s="214">
        <v>0</v>
      </c>
      <c r="I2776" s="214">
        <v>10000</v>
      </c>
      <c r="J2776" s="214">
        <f t="shared" si="131"/>
        <v>10000</v>
      </c>
      <c r="K2776" s="212" t="s">
        <v>6394</v>
      </c>
      <c r="L2776" s="213"/>
      <c r="M2776" s="212" t="s">
        <v>6185</v>
      </c>
    </row>
    <row r="2777" spans="1:13" ht="21" customHeight="1">
      <c r="A2777" s="213" t="s">
        <v>6502</v>
      </c>
      <c r="B2777" s="215">
        <f t="shared" si="129"/>
        <v>45839</v>
      </c>
      <c r="C2777" s="213" t="s">
        <v>6250</v>
      </c>
      <c r="D2777" s="213" t="s">
        <v>4366</v>
      </c>
      <c r="E2777" s="213" t="s">
        <v>334</v>
      </c>
      <c r="F2777" s="212" t="s">
        <v>6158</v>
      </c>
      <c r="G2777" s="212" t="str">
        <f t="shared" si="130"/>
        <v>401용역매출</v>
      </c>
      <c r="H2777" s="214">
        <v>0</v>
      </c>
      <c r="I2777" s="214">
        <v>100000</v>
      </c>
      <c r="J2777" s="214">
        <f t="shared" si="131"/>
        <v>100000</v>
      </c>
      <c r="K2777" s="212" t="s">
        <v>6394</v>
      </c>
      <c r="L2777" s="213"/>
      <c r="M2777" s="212" t="s">
        <v>6185</v>
      </c>
    </row>
    <row r="2778" spans="1:13" ht="21" customHeight="1">
      <c r="A2778" s="213" t="s">
        <v>6502</v>
      </c>
      <c r="B2778" s="215">
        <f t="shared" si="129"/>
        <v>45839</v>
      </c>
      <c r="C2778" s="213" t="s">
        <v>6250</v>
      </c>
      <c r="D2778" s="213" t="s">
        <v>4369</v>
      </c>
      <c r="E2778" s="213" t="s">
        <v>333</v>
      </c>
      <c r="F2778" s="212" t="s">
        <v>4365</v>
      </c>
      <c r="G2778" s="212" t="str">
        <f t="shared" si="130"/>
        <v>101현금</v>
      </c>
      <c r="H2778" s="214">
        <v>110000</v>
      </c>
      <c r="I2778" s="214">
        <v>0</v>
      </c>
      <c r="J2778" s="214">
        <f t="shared" si="131"/>
        <v>-110000</v>
      </c>
      <c r="K2778" s="212" t="s">
        <v>6394</v>
      </c>
      <c r="L2778" s="213"/>
      <c r="M2778" s="212" t="s">
        <v>6185</v>
      </c>
    </row>
    <row r="2779" spans="1:13" ht="21" customHeight="1">
      <c r="A2779" s="213" t="s">
        <v>6502</v>
      </c>
      <c r="B2779" s="215">
        <f t="shared" si="129"/>
        <v>45839</v>
      </c>
      <c r="C2779" s="213" t="s">
        <v>6251</v>
      </c>
      <c r="D2779" s="213" t="s">
        <v>4366</v>
      </c>
      <c r="E2779" s="213" t="s">
        <v>6176</v>
      </c>
      <c r="F2779" s="212" t="s">
        <v>6177</v>
      </c>
      <c r="G2779" s="212" t="str">
        <f t="shared" si="130"/>
        <v>255부가세예수금</v>
      </c>
      <c r="H2779" s="214">
        <v>0</v>
      </c>
      <c r="I2779" s="214">
        <v>5000</v>
      </c>
      <c r="J2779" s="214">
        <f t="shared" si="131"/>
        <v>5000</v>
      </c>
      <c r="K2779" s="212" t="s">
        <v>6242</v>
      </c>
      <c r="L2779" s="213"/>
      <c r="M2779" s="212" t="s">
        <v>6282</v>
      </c>
    </row>
    <row r="2780" spans="1:13" ht="21" customHeight="1">
      <c r="A2780" s="213" t="s">
        <v>6502</v>
      </c>
      <c r="B2780" s="215">
        <f t="shared" si="129"/>
        <v>45839</v>
      </c>
      <c r="C2780" s="213" t="s">
        <v>6251</v>
      </c>
      <c r="D2780" s="213" t="s">
        <v>4366</v>
      </c>
      <c r="E2780" s="213" t="s">
        <v>334</v>
      </c>
      <c r="F2780" s="212" t="s">
        <v>6158</v>
      </c>
      <c r="G2780" s="212" t="str">
        <f t="shared" si="130"/>
        <v>401용역매출</v>
      </c>
      <c r="H2780" s="214">
        <v>0</v>
      </c>
      <c r="I2780" s="214">
        <v>50000</v>
      </c>
      <c r="J2780" s="214">
        <f t="shared" si="131"/>
        <v>50000</v>
      </c>
      <c r="K2780" s="212" t="s">
        <v>6242</v>
      </c>
      <c r="L2780" s="213"/>
      <c r="M2780" s="212" t="s">
        <v>6282</v>
      </c>
    </row>
    <row r="2781" spans="1:13" ht="21" customHeight="1">
      <c r="A2781" s="213" t="s">
        <v>6502</v>
      </c>
      <c r="B2781" s="215">
        <f t="shared" si="129"/>
        <v>45839</v>
      </c>
      <c r="C2781" s="213" t="s">
        <v>6251</v>
      </c>
      <c r="D2781" s="213" t="s">
        <v>4369</v>
      </c>
      <c r="E2781" s="213" t="s">
        <v>333</v>
      </c>
      <c r="F2781" s="212" t="s">
        <v>4365</v>
      </c>
      <c r="G2781" s="212" t="str">
        <f t="shared" si="130"/>
        <v>101현금</v>
      </c>
      <c r="H2781" s="214">
        <v>55000</v>
      </c>
      <c r="I2781" s="214">
        <v>0</v>
      </c>
      <c r="J2781" s="214">
        <f t="shared" si="131"/>
        <v>-55000</v>
      </c>
      <c r="K2781" s="212" t="s">
        <v>6242</v>
      </c>
      <c r="L2781" s="213"/>
      <c r="M2781" s="212" t="s">
        <v>6282</v>
      </c>
    </row>
    <row r="2782" spans="1:13" ht="21" customHeight="1">
      <c r="A2782" s="213" t="s">
        <v>6502</v>
      </c>
      <c r="B2782" s="215">
        <f t="shared" si="129"/>
        <v>45839</v>
      </c>
      <c r="C2782" s="213" t="s">
        <v>6253</v>
      </c>
      <c r="D2782" s="213" t="s">
        <v>4366</v>
      </c>
      <c r="E2782" s="213" t="s">
        <v>6176</v>
      </c>
      <c r="F2782" s="212" t="s">
        <v>6177</v>
      </c>
      <c r="G2782" s="212" t="str">
        <f t="shared" si="130"/>
        <v>255부가세예수금</v>
      </c>
      <c r="H2782" s="214">
        <v>0</v>
      </c>
      <c r="I2782" s="214">
        <v>20000</v>
      </c>
      <c r="J2782" s="214">
        <f t="shared" si="131"/>
        <v>20000</v>
      </c>
      <c r="K2782" s="212" t="s">
        <v>6236</v>
      </c>
      <c r="L2782" s="213"/>
      <c r="M2782" s="212" t="s">
        <v>6231</v>
      </c>
    </row>
    <row r="2783" spans="1:13" ht="21" customHeight="1">
      <c r="A2783" s="213" t="s">
        <v>6502</v>
      </c>
      <c r="B2783" s="215">
        <f t="shared" si="129"/>
        <v>45839</v>
      </c>
      <c r="C2783" s="213" t="s">
        <v>6253</v>
      </c>
      <c r="D2783" s="213" t="s">
        <v>4366</v>
      </c>
      <c r="E2783" s="213" t="s">
        <v>334</v>
      </c>
      <c r="F2783" s="212" t="s">
        <v>6158</v>
      </c>
      <c r="G2783" s="212" t="str">
        <f t="shared" si="130"/>
        <v>401용역매출</v>
      </c>
      <c r="H2783" s="214">
        <v>0</v>
      </c>
      <c r="I2783" s="214">
        <v>200000</v>
      </c>
      <c r="J2783" s="214">
        <f t="shared" si="131"/>
        <v>200000</v>
      </c>
      <c r="K2783" s="212" t="s">
        <v>6236</v>
      </c>
      <c r="L2783" s="213"/>
      <c r="M2783" s="212" t="s">
        <v>6231</v>
      </c>
    </row>
    <row r="2784" spans="1:13" ht="21" customHeight="1">
      <c r="A2784" s="213" t="s">
        <v>6502</v>
      </c>
      <c r="B2784" s="215">
        <f t="shared" si="129"/>
        <v>45839</v>
      </c>
      <c r="C2784" s="213" t="s">
        <v>6253</v>
      </c>
      <c r="D2784" s="213" t="s">
        <v>4369</v>
      </c>
      <c r="E2784" s="213" t="s">
        <v>333</v>
      </c>
      <c r="F2784" s="212" t="s">
        <v>4365</v>
      </c>
      <c r="G2784" s="212" t="str">
        <f t="shared" si="130"/>
        <v>101현금</v>
      </c>
      <c r="H2784" s="214">
        <v>220000</v>
      </c>
      <c r="I2784" s="214">
        <v>0</v>
      </c>
      <c r="J2784" s="214">
        <f t="shared" si="131"/>
        <v>-220000</v>
      </c>
      <c r="K2784" s="212" t="s">
        <v>6236</v>
      </c>
      <c r="L2784" s="213"/>
      <c r="M2784" s="212" t="s">
        <v>6231</v>
      </c>
    </row>
    <row r="2785" spans="1:13" ht="21" customHeight="1">
      <c r="A2785" s="213" t="s">
        <v>6502</v>
      </c>
      <c r="B2785" s="215">
        <f t="shared" si="129"/>
        <v>45839</v>
      </c>
      <c r="C2785" s="213" t="s">
        <v>6254</v>
      </c>
      <c r="D2785" s="213" t="s">
        <v>4366</v>
      </c>
      <c r="E2785" s="213" t="s">
        <v>6176</v>
      </c>
      <c r="F2785" s="212" t="s">
        <v>6177</v>
      </c>
      <c r="G2785" s="212" t="str">
        <f t="shared" si="130"/>
        <v>255부가세예수금</v>
      </c>
      <c r="H2785" s="214">
        <v>0</v>
      </c>
      <c r="I2785" s="214">
        <v>15000</v>
      </c>
      <c r="J2785" s="214">
        <f t="shared" si="131"/>
        <v>15000</v>
      </c>
      <c r="K2785" s="212" t="s">
        <v>6239</v>
      </c>
      <c r="L2785" s="213"/>
      <c r="M2785" s="212" t="s">
        <v>6505</v>
      </c>
    </row>
    <row r="2786" spans="1:13" ht="21" customHeight="1">
      <c r="A2786" s="213" t="s">
        <v>6502</v>
      </c>
      <c r="B2786" s="215">
        <f t="shared" si="129"/>
        <v>45839</v>
      </c>
      <c r="C2786" s="213" t="s">
        <v>6254</v>
      </c>
      <c r="D2786" s="213" t="s">
        <v>4366</v>
      </c>
      <c r="E2786" s="213" t="s">
        <v>334</v>
      </c>
      <c r="F2786" s="212" t="s">
        <v>6158</v>
      </c>
      <c r="G2786" s="212" t="str">
        <f t="shared" si="130"/>
        <v>401용역매출</v>
      </c>
      <c r="H2786" s="214">
        <v>0</v>
      </c>
      <c r="I2786" s="214">
        <v>150000</v>
      </c>
      <c r="J2786" s="214">
        <f t="shared" si="131"/>
        <v>150000</v>
      </c>
      <c r="K2786" s="212" t="s">
        <v>6239</v>
      </c>
      <c r="L2786" s="213"/>
      <c r="M2786" s="212" t="s">
        <v>6505</v>
      </c>
    </row>
    <row r="2787" spans="1:13" ht="21" customHeight="1">
      <c r="A2787" s="213" t="s">
        <v>6502</v>
      </c>
      <c r="B2787" s="215">
        <f t="shared" si="129"/>
        <v>45839</v>
      </c>
      <c r="C2787" s="213" t="s">
        <v>6254</v>
      </c>
      <c r="D2787" s="213" t="s">
        <v>4369</v>
      </c>
      <c r="E2787" s="213" t="s">
        <v>333</v>
      </c>
      <c r="F2787" s="212" t="s">
        <v>4365</v>
      </c>
      <c r="G2787" s="212" t="str">
        <f t="shared" si="130"/>
        <v>101현금</v>
      </c>
      <c r="H2787" s="214">
        <v>165000</v>
      </c>
      <c r="I2787" s="214">
        <v>0</v>
      </c>
      <c r="J2787" s="214">
        <f t="shared" si="131"/>
        <v>-165000</v>
      </c>
      <c r="K2787" s="212" t="s">
        <v>6239</v>
      </c>
      <c r="L2787" s="213"/>
      <c r="M2787" s="212" t="s">
        <v>6505</v>
      </c>
    </row>
    <row r="2788" spans="1:13" ht="21" customHeight="1">
      <c r="A2788" s="213" t="s">
        <v>6502</v>
      </c>
      <c r="B2788" s="215">
        <f t="shared" si="129"/>
        <v>45839</v>
      </c>
      <c r="C2788" s="213" t="s">
        <v>6256</v>
      </c>
      <c r="D2788" s="213" t="s">
        <v>4366</v>
      </c>
      <c r="E2788" s="213" t="s">
        <v>6176</v>
      </c>
      <c r="F2788" s="212" t="s">
        <v>6177</v>
      </c>
      <c r="G2788" s="212" t="str">
        <f t="shared" si="130"/>
        <v>255부가세예수금</v>
      </c>
      <c r="H2788" s="214">
        <v>0</v>
      </c>
      <c r="I2788" s="214">
        <v>12000</v>
      </c>
      <c r="J2788" s="214">
        <f t="shared" si="131"/>
        <v>12000</v>
      </c>
      <c r="K2788" s="212" t="s">
        <v>6281</v>
      </c>
      <c r="L2788" s="213"/>
      <c r="M2788" s="212" t="s">
        <v>6506</v>
      </c>
    </row>
    <row r="2789" spans="1:13" ht="21" customHeight="1">
      <c r="A2789" s="213" t="s">
        <v>6502</v>
      </c>
      <c r="B2789" s="215">
        <f t="shared" si="129"/>
        <v>45839</v>
      </c>
      <c r="C2789" s="213" t="s">
        <v>6256</v>
      </c>
      <c r="D2789" s="213" t="s">
        <v>4366</v>
      </c>
      <c r="E2789" s="213" t="s">
        <v>334</v>
      </c>
      <c r="F2789" s="212" t="s">
        <v>6158</v>
      </c>
      <c r="G2789" s="212" t="str">
        <f t="shared" si="130"/>
        <v>401용역매출</v>
      </c>
      <c r="H2789" s="214">
        <v>0</v>
      </c>
      <c r="I2789" s="214">
        <v>120000</v>
      </c>
      <c r="J2789" s="214">
        <f t="shared" si="131"/>
        <v>120000</v>
      </c>
      <c r="K2789" s="212" t="s">
        <v>6281</v>
      </c>
      <c r="L2789" s="213"/>
      <c r="M2789" s="212" t="s">
        <v>6506</v>
      </c>
    </row>
    <row r="2790" spans="1:13" ht="21" customHeight="1">
      <c r="A2790" s="213" t="s">
        <v>6502</v>
      </c>
      <c r="B2790" s="215">
        <f t="shared" si="129"/>
        <v>45839</v>
      </c>
      <c r="C2790" s="213" t="s">
        <v>6256</v>
      </c>
      <c r="D2790" s="213" t="s">
        <v>4369</v>
      </c>
      <c r="E2790" s="213" t="s">
        <v>333</v>
      </c>
      <c r="F2790" s="212" t="s">
        <v>4365</v>
      </c>
      <c r="G2790" s="212" t="str">
        <f t="shared" si="130"/>
        <v>101현금</v>
      </c>
      <c r="H2790" s="214">
        <v>132000</v>
      </c>
      <c r="I2790" s="214">
        <v>0</v>
      </c>
      <c r="J2790" s="214">
        <f t="shared" si="131"/>
        <v>-132000</v>
      </c>
      <c r="K2790" s="212" t="s">
        <v>6281</v>
      </c>
      <c r="L2790" s="213"/>
      <c r="M2790" s="212" t="s">
        <v>6506</v>
      </c>
    </row>
    <row r="2791" spans="1:13" ht="21" customHeight="1">
      <c r="A2791" s="213" t="s">
        <v>6502</v>
      </c>
      <c r="B2791" s="215">
        <f t="shared" si="129"/>
        <v>45839</v>
      </c>
      <c r="C2791" s="213" t="s">
        <v>6258</v>
      </c>
      <c r="D2791" s="213" t="s">
        <v>4366</v>
      </c>
      <c r="E2791" s="213" t="s">
        <v>6176</v>
      </c>
      <c r="F2791" s="212" t="s">
        <v>6177</v>
      </c>
      <c r="G2791" s="212" t="str">
        <f t="shared" si="130"/>
        <v>255부가세예수금</v>
      </c>
      <c r="H2791" s="214">
        <v>0</v>
      </c>
      <c r="I2791" s="214">
        <v>9091</v>
      </c>
      <c r="J2791" s="214">
        <f t="shared" si="131"/>
        <v>9091</v>
      </c>
      <c r="K2791" s="212" t="s">
        <v>6295</v>
      </c>
      <c r="L2791" s="213"/>
      <c r="M2791" s="212" t="s">
        <v>6510</v>
      </c>
    </row>
    <row r="2792" spans="1:13" ht="21" customHeight="1">
      <c r="A2792" s="213" t="s">
        <v>6502</v>
      </c>
      <c r="B2792" s="215">
        <f t="shared" si="129"/>
        <v>45839</v>
      </c>
      <c r="C2792" s="213" t="s">
        <v>6258</v>
      </c>
      <c r="D2792" s="213" t="s">
        <v>4366</v>
      </c>
      <c r="E2792" s="213" t="s">
        <v>334</v>
      </c>
      <c r="F2792" s="212" t="s">
        <v>6158</v>
      </c>
      <c r="G2792" s="212" t="str">
        <f t="shared" si="130"/>
        <v>401용역매출</v>
      </c>
      <c r="H2792" s="214">
        <v>0</v>
      </c>
      <c r="I2792" s="214">
        <v>90909</v>
      </c>
      <c r="J2792" s="214">
        <f t="shared" si="131"/>
        <v>90909</v>
      </c>
      <c r="K2792" s="212" t="s">
        <v>6295</v>
      </c>
      <c r="L2792" s="213"/>
      <c r="M2792" s="212" t="s">
        <v>6510</v>
      </c>
    </row>
    <row r="2793" spans="1:13" ht="21" customHeight="1">
      <c r="A2793" s="213" t="s">
        <v>6502</v>
      </c>
      <c r="B2793" s="215">
        <f t="shared" si="129"/>
        <v>45839</v>
      </c>
      <c r="C2793" s="213" t="s">
        <v>6258</v>
      </c>
      <c r="D2793" s="213" t="s">
        <v>4369</v>
      </c>
      <c r="E2793" s="213" t="s">
        <v>333</v>
      </c>
      <c r="F2793" s="212" t="s">
        <v>4365</v>
      </c>
      <c r="G2793" s="212" t="str">
        <f t="shared" si="130"/>
        <v>101현금</v>
      </c>
      <c r="H2793" s="214">
        <v>100000</v>
      </c>
      <c r="I2793" s="214">
        <v>0</v>
      </c>
      <c r="J2793" s="214">
        <f t="shared" si="131"/>
        <v>-100000</v>
      </c>
      <c r="K2793" s="212" t="s">
        <v>6295</v>
      </c>
      <c r="L2793" s="213"/>
      <c r="M2793" s="212" t="s">
        <v>6510</v>
      </c>
    </row>
    <row r="2794" spans="1:13" ht="21" customHeight="1">
      <c r="A2794" s="213" t="s">
        <v>6502</v>
      </c>
      <c r="B2794" s="215">
        <f t="shared" si="129"/>
        <v>45839</v>
      </c>
      <c r="C2794" s="213" t="s">
        <v>6464</v>
      </c>
      <c r="D2794" s="213" t="s">
        <v>4366</v>
      </c>
      <c r="E2794" s="213" t="s">
        <v>6176</v>
      </c>
      <c r="F2794" s="212" t="s">
        <v>6177</v>
      </c>
      <c r="G2794" s="212" t="str">
        <f t="shared" si="130"/>
        <v>255부가세예수금</v>
      </c>
      <c r="H2794" s="214">
        <v>0</v>
      </c>
      <c r="I2794" s="214">
        <v>10000</v>
      </c>
      <c r="J2794" s="214">
        <f t="shared" si="131"/>
        <v>10000</v>
      </c>
      <c r="K2794" s="212" t="s">
        <v>6245</v>
      </c>
      <c r="L2794" s="213"/>
      <c r="M2794" s="212" t="s">
        <v>6509</v>
      </c>
    </row>
    <row r="2795" spans="1:13" ht="21" customHeight="1">
      <c r="A2795" s="213" t="s">
        <v>6502</v>
      </c>
      <c r="B2795" s="215">
        <f t="shared" si="129"/>
        <v>45839</v>
      </c>
      <c r="C2795" s="213" t="s">
        <v>6464</v>
      </c>
      <c r="D2795" s="213" t="s">
        <v>4366</v>
      </c>
      <c r="E2795" s="213" t="s">
        <v>334</v>
      </c>
      <c r="F2795" s="212" t="s">
        <v>6158</v>
      </c>
      <c r="G2795" s="212" t="str">
        <f t="shared" si="130"/>
        <v>401용역매출</v>
      </c>
      <c r="H2795" s="214">
        <v>0</v>
      </c>
      <c r="I2795" s="214">
        <v>100000</v>
      </c>
      <c r="J2795" s="214">
        <f t="shared" si="131"/>
        <v>100000</v>
      </c>
      <c r="K2795" s="212" t="s">
        <v>6245</v>
      </c>
      <c r="L2795" s="213"/>
      <c r="M2795" s="212" t="s">
        <v>6509</v>
      </c>
    </row>
    <row r="2796" spans="1:13" ht="21" customHeight="1">
      <c r="A2796" s="213" t="s">
        <v>6502</v>
      </c>
      <c r="B2796" s="215">
        <f t="shared" si="129"/>
        <v>45839</v>
      </c>
      <c r="C2796" s="213" t="s">
        <v>6464</v>
      </c>
      <c r="D2796" s="213" t="s">
        <v>4369</v>
      </c>
      <c r="E2796" s="213" t="s">
        <v>333</v>
      </c>
      <c r="F2796" s="212" t="s">
        <v>4365</v>
      </c>
      <c r="G2796" s="212" t="str">
        <f t="shared" si="130"/>
        <v>101현금</v>
      </c>
      <c r="H2796" s="214">
        <v>110000</v>
      </c>
      <c r="I2796" s="214">
        <v>0</v>
      </c>
      <c r="J2796" s="214">
        <f t="shared" si="131"/>
        <v>-110000</v>
      </c>
      <c r="K2796" s="212" t="s">
        <v>6245</v>
      </c>
      <c r="L2796" s="213"/>
      <c r="M2796" s="212" t="s">
        <v>6509</v>
      </c>
    </row>
    <row r="2797" spans="1:13" ht="21" customHeight="1">
      <c r="A2797" s="213" t="s">
        <v>6502</v>
      </c>
      <c r="B2797" s="215">
        <f t="shared" si="129"/>
        <v>45839</v>
      </c>
      <c r="C2797" s="213" t="s">
        <v>6463</v>
      </c>
      <c r="D2797" s="213" t="s">
        <v>4366</v>
      </c>
      <c r="E2797" s="213" t="s">
        <v>6176</v>
      </c>
      <c r="F2797" s="212" t="s">
        <v>6177</v>
      </c>
      <c r="G2797" s="212" t="str">
        <f t="shared" si="130"/>
        <v>255부가세예수금</v>
      </c>
      <c r="H2797" s="214">
        <v>0</v>
      </c>
      <c r="I2797" s="214">
        <v>20000</v>
      </c>
      <c r="J2797" s="214">
        <f t="shared" si="131"/>
        <v>20000</v>
      </c>
      <c r="K2797" s="212" t="s">
        <v>6245</v>
      </c>
      <c r="L2797" s="213"/>
      <c r="M2797" s="212" t="s">
        <v>6504</v>
      </c>
    </row>
    <row r="2798" spans="1:13" ht="21" customHeight="1">
      <c r="A2798" s="213" t="s">
        <v>6502</v>
      </c>
      <c r="B2798" s="215">
        <f t="shared" si="129"/>
        <v>45839</v>
      </c>
      <c r="C2798" s="213" t="s">
        <v>6463</v>
      </c>
      <c r="D2798" s="213" t="s">
        <v>4366</v>
      </c>
      <c r="E2798" s="213" t="s">
        <v>334</v>
      </c>
      <c r="F2798" s="212" t="s">
        <v>6158</v>
      </c>
      <c r="G2798" s="212" t="str">
        <f t="shared" si="130"/>
        <v>401용역매출</v>
      </c>
      <c r="H2798" s="214">
        <v>0</v>
      </c>
      <c r="I2798" s="214">
        <v>200000</v>
      </c>
      <c r="J2798" s="214">
        <f t="shared" si="131"/>
        <v>200000</v>
      </c>
      <c r="K2798" s="212" t="s">
        <v>6245</v>
      </c>
      <c r="L2798" s="213"/>
      <c r="M2798" s="212" t="s">
        <v>6504</v>
      </c>
    </row>
    <row r="2799" spans="1:13" ht="21" customHeight="1">
      <c r="A2799" s="213" t="s">
        <v>6502</v>
      </c>
      <c r="B2799" s="215">
        <f t="shared" si="129"/>
        <v>45839</v>
      </c>
      <c r="C2799" s="213" t="s">
        <v>6463</v>
      </c>
      <c r="D2799" s="213" t="s">
        <v>4369</v>
      </c>
      <c r="E2799" s="213" t="s">
        <v>333</v>
      </c>
      <c r="F2799" s="212" t="s">
        <v>4365</v>
      </c>
      <c r="G2799" s="212" t="str">
        <f t="shared" si="130"/>
        <v>101현금</v>
      </c>
      <c r="H2799" s="214">
        <v>220000</v>
      </c>
      <c r="I2799" s="214">
        <v>0</v>
      </c>
      <c r="J2799" s="214">
        <f t="shared" si="131"/>
        <v>-220000</v>
      </c>
      <c r="K2799" s="212" t="s">
        <v>6245</v>
      </c>
      <c r="L2799" s="213"/>
      <c r="M2799" s="212" t="s">
        <v>6504</v>
      </c>
    </row>
    <row r="2800" spans="1:13" ht="21" customHeight="1">
      <c r="A2800" s="213" t="s">
        <v>6502</v>
      </c>
      <c r="B2800" s="215">
        <f t="shared" si="129"/>
        <v>45839</v>
      </c>
      <c r="C2800" s="213" t="s">
        <v>6461</v>
      </c>
      <c r="D2800" s="213" t="s">
        <v>4366</v>
      </c>
      <c r="E2800" s="213" t="s">
        <v>6176</v>
      </c>
      <c r="F2800" s="212" t="s">
        <v>6177</v>
      </c>
      <c r="G2800" s="212" t="str">
        <f t="shared" si="130"/>
        <v>255부가세예수금</v>
      </c>
      <c r="H2800" s="214">
        <v>0</v>
      </c>
      <c r="I2800" s="214">
        <v>7000</v>
      </c>
      <c r="J2800" s="214">
        <f t="shared" si="131"/>
        <v>7000</v>
      </c>
      <c r="K2800" s="212" t="s">
        <v>6247</v>
      </c>
      <c r="L2800" s="213"/>
      <c r="M2800" s="212" t="s">
        <v>6507</v>
      </c>
    </row>
    <row r="2801" spans="1:13" ht="21" customHeight="1">
      <c r="A2801" s="213" t="s">
        <v>6502</v>
      </c>
      <c r="B2801" s="215">
        <f t="shared" si="129"/>
        <v>45839</v>
      </c>
      <c r="C2801" s="213" t="s">
        <v>6461</v>
      </c>
      <c r="D2801" s="213" t="s">
        <v>4366</v>
      </c>
      <c r="E2801" s="213" t="s">
        <v>334</v>
      </c>
      <c r="F2801" s="212" t="s">
        <v>6158</v>
      </c>
      <c r="G2801" s="212" t="str">
        <f t="shared" si="130"/>
        <v>401용역매출</v>
      </c>
      <c r="H2801" s="214">
        <v>0</v>
      </c>
      <c r="I2801" s="214">
        <v>70000</v>
      </c>
      <c r="J2801" s="214">
        <f t="shared" si="131"/>
        <v>70000</v>
      </c>
      <c r="K2801" s="212" t="s">
        <v>6247</v>
      </c>
      <c r="L2801" s="213"/>
      <c r="M2801" s="212" t="s">
        <v>6507</v>
      </c>
    </row>
    <row r="2802" spans="1:13" ht="21" customHeight="1">
      <c r="A2802" s="213" t="s">
        <v>6502</v>
      </c>
      <c r="B2802" s="215">
        <f t="shared" si="129"/>
        <v>45839</v>
      </c>
      <c r="C2802" s="213" t="s">
        <v>6461</v>
      </c>
      <c r="D2802" s="213" t="s">
        <v>4369</v>
      </c>
      <c r="E2802" s="213" t="s">
        <v>333</v>
      </c>
      <c r="F2802" s="212" t="s">
        <v>4365</v>
      </c>
      <c r="G2802" s="212" t="str">
        <f t="shared" si="130"/>
        <v>101현금</v>
      </c>
      <c r="H2802" s="214">
        <v>77000</v>
      </c>
      <c r="I2802" s="214">
        <v>0</v>
      </c>
      <c r="J2802" s="214">
        <f t="shared" si="131"/>
        <v>-77000</v>
      </c>
      <c r="K2802" s="212" t="s">
        <v>6247</v>
      </c>
      <c r="L2802" s="213"/>
      <c r="M2802" s="212" t="s">
        <v>6507</v>
      </c>
    </row>
    <row r="2803" spans="1:13" ht="21" customHeight="1">
      <c r="A2803" s="213" t="s">
        <v>6502</v>
      </c>
      <c r="B2803" s="215">
        <f t="shared" si="129"/>
        <v>45839</v>
      </c>
      <c r="C2803" s="213" t="s">
        <v>6460</v>
      </c>
      <c r="D2803" s="213" t="s">
        <v>4366</v>
      </c>
      <c r="E2803" s="213" t="s">
        <v>6176</v>
      </c>
      <c r="F2803" s="212" t="s">
        <v>6177</v>
      </c>
      <c r="G2803" s="212" t="str">
        <f t="shared" si="130"/>
        <v>255부가세예수금</v>
      </c>
      <c r="H2803" s="214">
        <v>0</v>
      </c>
      <c r="I2803" s="214">
        <v>10000</v>
      </c>
      <c r="J2803" s="214">
        <f t="shared" si="131"/>
        <v>10000</v>
      </c>
      <c r="K2803" s="212" t="s">
        <v>6252</v>
      </c>
      <c r="L2803" s="213"/>
      <c r="M2803" s="212" t="s">
        <v>6500</v>
      </c>
    </row>
    <row r="2804" spans="1:13" ht="21" customHeight="1">
      <c r="A2804" s="213" t="s">
        <v>6502</v>
      </c>
      <c r="B2804" s="215">
        <f t="shared" si="129"/>
        <v>45839</v>
      </c>
      <c r="C2804" s="213" t="s">
        <v>6460</v>
      </c>
      <c r="D2804" s="213" t="s">
        <v>4366</v>
      </c>
      <c r="E2804" s="213" t="s">
        <v>334</v>
      </c>
      <c r="F2804" s="212" t="s">
        <v>6158</v>
      </c>
      <c r="G2804" s="212" t="str">
        <f t="shared" si="130"/>
        <v>401용역매출</v>
      </c>
      <c r="H2804" s="214">
        <v>0</v>
      </c>
      <c r="I2804" s="214">
        <v>100000</v>
      </c>
      <c r="J2804" s="214">
        <f t="shared" si="131"/>
        <v>100000</v>
      </c>
      <c r="K2804" s="212" t="s">
        <v>6252</v>
      </c>
      <c r="L2804" s="213"/>
      <c r="M2804" s="212" t="s">
        <v>6500</v>
      </c>
    </row>
    <row r="2805" spans="1:13" ht="21" customHeight="1">
      <c r="A2805" s="213" t="s">
        <v>6502</v>
      </c>
      <c r="B2805" s="215">
        <f t="shared" si="129"/>
        <v>45839</v>
      </c>
      <c r="C2805" s="213" t="s">
        <v>6460</v>
      </c>
      <c r="D2805" s="213" t="s">
        <v>4369</v>
      </c>
      <c r="E2805" s="213" t="s">
        <v>333</v>
      </c>
      <c r="F2805" s="212" t="s">
        <v>4365</v>
      </c>
      <c r="G2805" s="212" t="str">
        <f t="shared" si="130"/>
        <v>101현금</v>
      </c>
      <c r="H2805" s="214">
        <v>110000</v>
      </c>
      <c r="I2805" s="214">
        <v>0</v>
      </c>
      <c r="J2805" s="214">
        <f t="shared" si="131"/>
        <v>-110000</v>
      </c>
      <c r="K2805" s="212" t="s">
        <v>6252</v>
      </c>
      <c r="L2805" s="213"/>
      <c r="M2805" s="212" t="s">
        <v>6500</v>
      </c>
    </row>
    <row r="2806" spans="1:13" ht="21" customHeight="1">
      <c r="A2806" s="213" t="s">
        <v>6502</v>
      </c>
      <c r="B2806" s="215">
        <f t="shared" si="129"/>
        <v>45839</v>
      </c>
      <c r="C2806" s="213" t="s">
        <v>6459</v>
      </c>
      <c r="D2806" s="213" t="s">
        <v>4366</v>
      </c>
      <c r="E2806" s="213" t="s">
        <v>6176</v>
      </c>
      <c r="F2806" s="212" t="s">
        <v>6177</v>
      </c>
      <c r="G2806" s="212" t="str">
        <f t="shared" si="130"/>
        <v>255부가세예수금</v>
      </c>
      <c r="H2806" s="214">
        <v>0</v>
      </c>
      <c r="I2806" s="214">
        <v>15000</v>
      </c>
      <c r="J2806" s="214">
        <f t="shared" si="131"/>
        <v>15000</v>
      </c>
      <c r="K2806" s="212" t="s">
        <v>6400</v>
      </c>
      <c r="L2806" s="213"/>
      <c r="M2806" s="212" t="s">
        <v>6505</v>
      </c>
    </row>
    <row r="2807" spans="1:13" ht="21" customHeight="1">
      <c r="A2807" s="213" t="s">
        <v>6502</v>
      </c>
      <c r="B2807" s="215">
        <f t="shared" si="129"/>
        <v>45839</v>
      </c>
      <c r="C2807" s="213" t="s">
        <v>6459</v>
      </c>
      <c r="D2807" s="213" t="s">
        <v>4366</v>
      </c>
      <c r="E2807" s="213" t="s">
        <v>334</v>
      </c>
      <c r="F2807" s="212" t="s">
        <v>6158</v>
      </c>
      <c r="G2807" s="212" t="str">
        <f t="shared" si="130"/>
        <v>401용역매출</v>
      </c>
      <c r="H2807" s="214">
        <v>0</v>
      </c>
      <c r="I2807" s="214">
        <v>150000</v>
      </c>
      <c r="J2807" s="214">
        <f t="shared" si="131"/>
        <v>150000</v>
      </c>
      <c r="K2807" s="212" t="s">
        <v>6400</v>
      </c>
      <c r="L2807" s="213"/>
      <c r="M2807" s="212" t="s">
        <v>6505</v>
      </c>
    </row>
    <row r="2808" spans="1:13" ht="21" customHeight="1">
      <c r="A2808" s="213" t="s">
        <v>6502</v>
      </c>
      <c r="B2808" s="215">
        <f t="shared" si="129"/>
        <v>45839</v>
      </c>
      <c r="C2808" s="213" t="s">
        <v>6459</v>
      </c>
      <c r="D2808" s="213" t="s">
        <v>4369</v>
      </c>
      <c r="E2808" s="213" t="s">
        <v>333</v>
      </c>
      <c r="F2808" s="212" t="s">
        <v>4365</v>
      </c>
      <c r="G2808" s="212" t="str">
        <f t="shared" si="130"/>
        <v>101현금</v>
      </c>
      <c r="H2808" s="214">
        <v>165000</v>
      </c>
      <c r="I2808" s="214">
        <v>0</v>
      </c>
      <c r="J2808" s="214">
        <f t="shared" si="131"/>
        <v>-165000</v>
      </c>
      <c r="K2808" s="212" t="s">
        <v>6400</v>
      </c>
      <c r="L2808" s="213"/>
      <c r="M2808" s="212" t="s">
        <v>6505</v>
      </c>
    </row>
    <row r="2809" spans="1:13" ht="21" customHeight="1">
      <c r="A2809" s="213" t="s">
        <v>6502</v>
      </c>
      <c r="B2809" s="215">
        <f t="shared" si="129"/>
        <v>45839</v>
      </c>
      <c r="C2809" s="213" t="s">
        <v>6458</v>
      </c>
      <c r="D2809" s="213" t="s">
        <v>4366</v>
      </c>
      <c r="E2809" s="213" t="s">
        <v>6176</v>
      </c>
      <c r="F2809" s="212" t="s">
        <v>6177</v>
      </c>
      <c r="G2809" s="212" t="str">
        <f t="shared" si="130"/>
        <v>255부가세예수금</v>
      </c>
      <c r="H2809" s="214">
        <v>0</v>
      </c>
      <c r="I2809" s="214">
        <v>20000</v>
      </c>
      <c r="J2809" s="214">
        <f t="shared" si="131"/>
        <v>20000</v>
      </c>
      <c r="K2809" s="212" t="s">
        <v>6399</v>
      </c>
      <c r="L2809" s="213"/>
      <c r="M2809" s="212" t="s">
        <v>6504</v>
      </c>
    </row>
    <row r="2810" spans="1:13" ht="21" customHeight="1">
      <c r="A2810" s="213" t="s">
        <v>6502</v>
      </c>
      <c r="B2810" s="215">
        <f t="shared" si="129"/>
        <v>45839</v>
      </c>
      <c r="C2810" s="213" t="s">
        <v>6458</v>
      </c>
      <c r="D2810" s="213" t="s">
        <v>4366</v>
      </c>
      <c r="E2810" s="213" t="s">
        <v>334</v>
      </c>
      <c r="F2810" s="212" t="s">
        <v>6158</v>
      </c>
      <c r="G2810" s="212" t="str">
        <f t="shared" si="130"/>
        <v>401용역매출</v>
      </c>
      <c r="H2810" s="214">
        <v>0</v>
      </c>
      <c r="I2810" s="214">
        <v>200000</v>
      </c>
      <c r="J2810" s="214">
        <f t="shared" si="131"/>
        <v>200000</v>
      </c>
      <c r="K2810" s="212" t="s">
        <v>6399</v>
      </c>
      <c r="L2810" s="213"/>
      <c r="M2810" s="212" t="s">
        <v>6504</v>
      </c>
    </row>
    <row r="2811" spans="1:13" ht="21" customHeight="1">
      <c r="A2811" s="213" t="s">
        <v>6502</v>
      </c>
      <c r="B2811" s="215">
        <f t="shared" si="129"/>
        <v>45839</v>
      </c>
      <c r="C2811" s="213" t="s">
        <v>6458</v>
      </c>
      <c r="D2811" s="213" t="s">
        <v>4369</v>
      </c>
      <c r="E2811" s="213" t="s">
        <v>333</v>
      </c>
      <c r="F2811" s="212" t="s">
        <v>4365</v>
      </c>
      <c r="G2811" s="212" t="str">
        <f t="shared" si="130"/>
        <v>101현금</v>
      </c>
      <c r="H2811" s="214">
        <v>220000</v>
      </c>
      <c r="I2811" s="214">
        <v>0</v>
      </c>
      <c r="J2811" s="214">
        <f t="shared" si="131"/>
        <v>-220000</v>
      </c>
      <c r="K2811" s="212" t="s">
        <v>6399</v>
      </c>
      <c r="L2811" s="213"/>
      <c r="M2811" s="212" t="s">
        <v>6504</v>
      </c>
    </row>
    <row r="2812" spans="1:13" ht="21" customHeight="1">
      <c r="A2812" s="213" t="s">
        <v>6502</v>
      </c>
      <c r="B2812" s="215">
        <f t="shared" si="129"/>
        <v>45839</v>
      </c>
      <c r="C2812" s="213" t="s">
        <v>6457</v>
      </c>
      <c r="D2812" s="213" t="s">
        <v>4366</v>
      </c>
      <c r="E2812" s="213" t="s">
        <v>6176</v>
      </c>
      <c r="F2812" s="212" t="s">
        <v>6177</v>
      </c>
      <c r="G2812" s="212" t="str">
        <f t="shared" si="130"/>
        <v>255부가세예수금</v>
      </c>
      <c r="H2812" s="214">
        <v>0</v>
      </c>
      <c r="I2812" s="214">
        <v>10000</v>
      </c>
      <c r="J2812" s="214">
        <f t="shared" si="131"/>
        <v>10000</v>
      </c>
      <c r="K2812" s="212" t="s">
        <v>6255</v>
      </c>
      <c r="L2812" s="213"/>
      <c r="M2812" s="212" t="s">
        <v>6500</v>
      </c>
    </row>
    <row r="2813" spans="1:13" ht="21" customHeight="1">
      <c r="A2813" s="213" t="s">
        <v>6502</v>
      </c>
      <c r="B2813" s="215">
        <f t="shared" si="129"/>
        <v>45839</v>
      </c>
      <c r="C2813" s="213" t="s">
        <v>6457</v>
      </c>
      <c r="D2813" s="213" t="s">
        <v>4366</v>
      </c>
      <c r="E2813" s="213" t="s">
        <v>334</v>
      </c>
      <c r="F2813" s="212" t="s">
        <v>6158</v>
      </c>
      <c r="G2813" s="212" t="str">
        <f t="shared" si="130"/>
        <v>401용역매출</v>
      </c>
      <c r="H2813" s="214">
        <v>0</v>
      </c>
      <c r="I2813" s="214">
        <v>100000</v>
      </c>
      <c r="J2813" s="214">
        <f t="shared" si="131"/>
        <v>100000</v>
      </c>
      <c r="K2813" s="212" t="s">
        <v>6255</v>
      </c>
      <c r="L2813" s="213"/>
      <c r="M2813" s="212" t="s">
        <v>6500</v>
      </c>
    </row>
    <row r="2814" spans="1:13" ht="21" customHeight="1">
      <c r="A2814" s="213" t="s">
        <v>6502</v>
      </c>
      <c r="B2814" s="215">
        <f t="shared" si="129"/>
        <v>45839</v>
      </c>
      <c r="C2814" s="213" t="s">
        <v>6457</v>
      </c>
      <c r="D2814" s="213" t="s">
        <v>4369</v>
      </c>
      <c r="E2814" s="213" t="s">
        <v>333</v>
      </c>
      <c r="F2814" s="212" t="s">
        <v>4365</v>
      </c>
      <c r="G2814" s="212" t="str">
        <f t="shared" si="130"/>
        <v>101현금</v>
      </c>
      <c r="H2814" s="214">
        <v>110000</v>
      </c>
      <c r="I2814" s="214">
        <v>0</v>
      </c>
      <c r="J2814" s="214">
        <f t="shared" si="131"/>
        <v>-110000</v>
      </c>
      <c r="K2814" s="212" t="s">
        <v>6255</v>
      </c>
      <c r="L2814" s="213"/>
      <c r="M2814" s="212" t="s">
        <v>6500</v>
      </c>
    </row>
    <row r="2815" spans="1:13" ht="21" customHeight="1">
      <c r="A2815" s="213" t="s">
        <v>6502</v>
      </c>
      <c r="B2815" s="215">
        <f t="shared" si="129"/>
        <v>45839</v>
      </c>
      <c r="C2815" s="213" t="s">
        <v>6456</v>
      </c>
      <c r="D2815" s="213" t="s">
        <v>4366</v>
      </c>
      <c r="E2815" s="213" t="s">
        <v>6176</v>
      </c>
      <c r="F2815" s="212" t="s">
        <v>6177</v>
      </c>
      <c r="G2815" s="212" t="str">
        <f t="shared" si="130"/>
        <v>255부가세예수금</v>
      </c>
      <c r="H2815" s="214">
        <v>0</v>
      </c>
      <c r="I2815" s="214">
        <v>10000</v>
      </c>
      <c r="J2815" s="214">
        <f t="shared" si="131"/>
        <v>10000</v>
      </c>
      <c r="K2815" s="212" t="s">
        <v>6304</v>
      </c>
      <c r="L2815" s="213"/>
      <c r="M2815" s="212" t="s">
        <v>6500</v>
      </c>
    </row>
    <row r="2816" spans="1:13" ht="21" customHeight="1">
      <c r="A2816" s="213" t="s">
        <v>6502</v>
      </c>
      <c r="B2816" s="215">
        <f t="shared" si="129"/>
        <v>45839</v>
      </c>
      <c r="C2816" s="213" t="s">
        <v>6456</v>
      </c>
      <c r="D2816" s="213" t="s">
        <v>4366</v>
      </c>
      <c r="E2816" s="213" t="s">
        <v>334</v>
      </c>
      <c r="F2816" s="212" t="s">
        <v>6158</v>
      </c>
      <c r="G2816" s="212" t="str">
        <f t="shared" si="130"/>
        <v>401용역매출</v>
      </c>
      <c r="H2816" s="214">
        <v>0</v>
      </c>
      <c r="I2816" s="214">
        <v>100000</v>
      </c>
      <c r="J2816" s="214">
        <f t="shared" si="131"/>
        <v>100000</v>
      </c>
      <c r="K2816" s="212" t="s">
        <v>6304</v>
      </c>
      <c r="L2816" s="213"/>
      <c r="M2816" s="212" t="s">
        <v>6500</v>
      </c>
    </row>
    <row r="2817" spans="1:13" ht="21" customHeight="1">
      <c r="A2817" s="213" t="s">
        <v>6502</v>
      </c>
      <c r="B2817" s="215">
        <f t="shared" si="129"/>
        <v>45839</v>
      </c>
      <c r="C2817" s="213" t="s">
        <v>6456</v>
      </c>
      <c r="D2817" s="213" t="s">
        <v>4369</v>
      </c>
      <c r="E2817" s="213" t="s">
        <v>333</v>
      </c>
      <c r="F2817" s="212" t="s">
        <v>4365</v>
      </c>
      <c r="G2817" s="212" t="str">
        <f t="shared" si="130"/>
        <v>101현금</v>
      </c>
      <c r="H2817" s="214">
        <v>110000</v>
      </c>
      <c r="I2817" s="214">
        <v>0</v>
      </c>
      <c r="J2817" s="214">
        <f t="shared" si="131"/>
        <v>-110000</v>
      </c>
      <c r="K2817" s="212" t="s">
        <v>6304</v>
      </c>
      <c r="L2817" s="213"/>
      <c r="M2817" s="212" t="s">
        <v>6500</v>
      </c>
    </row>
    <row r="2818" spans="1:13" ht="21" customHeight="1">
      <c r="A2818" s="213" t="s">
        <v>6502</v>
      </c>
      <c r="B2818" s="215">
        <f t="shared" ref="B2818:B2881" si="132">DATEVALUE(A2818)</f>
        <v>45839</v>
      </c>
      <c r="C2818" s="213" t="s">
        <v>6455</v>
      </c>
      <c r="D2818" s="213" t="s">
        <v>4366</v>
      </c>
      <c r="E2818" s="213" t="s">
        <v>6176</v>
      </c>
      <c r="F2818" s="212" t="s">
        <v>6177</v>
      </c>
      <c r="G2818" s="212" t="str">
        <f t="shared" ref="G2818:G2881" si="133">E2818&amp;F2818</f>
        <v>255부가세예수금</v>
      </c>
      <c r="H2818" s="214">
        <v>0</v>
      </c>
      <c r="I2818" s="214">
        <v>6000</v>
      </c>
      <c r="J2818" s="214">
        <f t="shared" ref="J2818:J2881" si="134">I2818-H2818</f>
        <v>6000</v>
      </c>
      <c r="K2818" s="212" t="s">
        <v>6302</v>
      </c>
      <c r="L2818" s="213"/>
      <c r="M2818" s="212" t="s">
        <v>6508</v>
      </c>
    </row>
    <row r="2819" spans="1:13" ht="21" customHeight="1">
      <c r="A2819" s="213" t="s">
        <v>6502</v>
      </c>
      <c r="B2819" s="215">
        <f t="shared" si="132"/>
        <v>45839</v>
      </c>
      <c r="C2819" s="213" t="s">
        <v>6455</v>
      </c>
      <c r="D2819" s="213" t="s">
        <v>4366</v>
      </c>
      <c r="E2819" s="213" t="s">
        <v>334</v>
      </c>
      <c r="F2819" s="212" t="s">
        <v>6158</v>
      </c>
      <c r="G2819" s="212" t="str">
        <f t="shared" si="133"/>
        <v>401용역매출</v>
      </c>
      <c r="H2819" s="214">
        <v>0</v>
      </c>
      <c r="I2819" s="214">
        <v>60000</v>
      </c>
      <c r="J2819" s="214">
        <f t="shared" si="134"/>
        <v>60000</v>
      </c>
      <c r="K2819" s="212" t="s">
        <v>6302</v>
      </c>
      <c r="L2819" s="213"/>
      <c r="M2819" s="212" t="s">
        <v>6508</v>
      </c>
    </row>
    <row r="2820" spans="1:13" ht="21" customHeight="1">
      <c r="A2820" s="213" t="s">
        <v>6502</v>
      </c>
      <c r="B2820" s="215">
        <f t="shared" si="132"/>
        <v>45839</v>
      </c>
      <c r="C2820" s="213" t="s">
        <v>6455</v>
      </c>
      <c r="D2820" s="213" t="s">
        <v>4369</v>
      </c>
      <c r="E2820" s="213" t="s">
        <v>333</v>
      </c>
      <c r="F2820" s="212" t="s">
        <v>4365</v>
      </c>
      <c r="G2820" s="212" t="str">
        <f t="shared" si="133"/>
        <v>101현금</v>
      </c>
      <c r="H2820" s="214">
        <v>66000</v>
      </c>
      <c r="I2820" s="214">
        <v>0</v>
      </c>
      <c r="J2820" s="214">
        <f t="shared" si="134"/>
        <v>-66000</v>
      </c>
      <c r="K2820" s="212" t="s">
        <v>6302</v>
      </c>
      <c r="L2820" s="213"/>
      <c r="M2820" s="212" t="s">
        <v>6508</v>
      </c>
    </row>
    <row r="2821" spans="1:13" ht="21" customHeight="1">
      <c r="A2821" s="213" t="s">
        <v>6502</v>
      </c>
      <c r="B2821" s="215">
        <f t="shared" si="132"/>
        <v>45839</v>
      </c>
      <c r="C2821" s="213" t="s">
        <v>6454</v>
      </c>
      <c r="D2821" s="213" t="s">
        <v>4366</v>
      </c>
      <c r="E2821" s="213" t="s">
        <v>6176</v>
      </c>
      <c r="F2821" s="212" t="s">
        <v>6177</v>
      </c>
      <c r="G2821" s="212" t="str">
        <f t="shared" si="133"/>
        <v>255부가세예수금</v>
      </c>
      <c r="H2821" s="214">
        <v>0</v>
      </c>
      <c r="I2821" s="214">
        <v>10000</v>
      </c>
      <c r="J2821" s="214">
        <f t="shared" si="134"/>
        <v>10000</v>
      </c>
      <c r="K2821" s="212" t="s">
        <v>6280</v>
      </c>
      <c r="L2821" s="213"/>
      <c r="M2821" s="212" t="s">
        <v>6500</v>
      </c>
    </row>
    <row r="2822" spans="1:13" ht="21" customHeight="1">
      <c r="A2822" s="213" t="s">
        <v>6502</v>
      </c>
      <c r="B2822" s="215">
        <f t="shared" si="132"/>
        <v>45839</v>
      </c>
      <c r="C2822" s="213" t="s">
        <v>6454</v>
      </c>
      <c r="D2822" s="213" t="s">
        <v>4366</v>
      </c>
      <c r="E2822" s="213" t="s">
        <v>334</v>
      </c>
      <c r="F2822" s="212" t="s">
        <v>6158</v>
      </c>
      <c r="G2822" s="212" t="str">
        <f t="shared" si="133"/>
        <v>401용역매출</v>
      </c>
      <c r="H2822" s="214">
        <v>0</v>
      </c>
      <c r="I2822" s="214">
        <v>100000</v>
      </c>
      <c r="J2822" s="214">
        <f t="shared" si="134"/>
        <v>100000</v>
      </c>
      <c r="K2822" s="212" t="s">
        <v>6280</v>
      </c>
      <c r="L2822" s="213"/>
      <c r="M2822" s="212" t="s">
        <v>6500</v>
      </c>
    </row>
    <row r="2823" spans="1:13" ht="21" customHeight="1">
      <c r="A2823" s="213" t="s">
        <v>6502</v>
      </c>
      <c r="B2823" s="215">
        <f t="shared" si="132"/>
        <v>45839</v>
      </c>
      <c r="C2823" s="213" t="s">
        <v>6454</v>
      </c>
      <c r="D2823" s="213" t="s">
        <v>4369</v>
      </c>
      <c r="E2823" s="213" t="s">
        <v>333</v>
      </c>
      <c r="F2823" s="212" t="s">
        <v>4365</v>
      </c>
      <c r="G2823" s="212" t="str">
        <f t="shared" si="133"/>
        <v>101현금</v>
      </c>
      <c r="H2823" s="214">
        <v>110000</v>
      </c>
      <c r="I2823" s="214">
        <v>0</v>
      </c>
      <c r="J2823" s="214">
        <f t="shared" si="134"/>
        <v>-110000</v>
      </c>
      <c r="K2823" s="212" t="s">
        <v>6280</v>
      </c>
      <c r="L2823" s="213"/>
      <c r="M2823" s="212" t="s">
        <v>6500</v>
      </c>
    </row>
    <row r="2824" spans="1:13" ht="21" customHeight="1">
      <c r="A2824" s="213" t="s">
        <v>6502</v>
      </c>
      <c r="B2824" s="215">
        <f t="shared" si="132"/>
        <v>45839</v>
      </c>
      <c r="C2824" s="213" t="s">
        <v>6453</v>
      </c>
      <c r="D2824" s="213" t="s">
        <v>4366</v>
      </c>
      <c r="E2824" s="213" t="s">
        <v>6176</v>
      </c>
      <c r="F2824" s="212" t="s">
        <v>6177</v>
      </c>
      <c r="G2824" s="212" t="str">
        <f t="shared" si="133"/>
        <v>255부가세예수금</v>
      </c>
      <c r="H2824" s="214">
        <v>0</v>
      </c>
      <c r="I2824" s="214">
        <v>20000</v>
      </c>
      <c r="J2824" s="214">
        <f t="shared" si="134"/>
        <v>20000</v>
      </c>
      <c r="K2824" s="212" t="s">
        <v>6263</v>
      </c>
      <c r="L2824" s="213"/>
      <c r="M2824" s="212" t="s">
        <v>6504</v>
      </c>
    </row>
    <row r="2825" spans="1:13" ht="21" customHeight="1">
      <c r="A2825" s="213" t="s">
        <v>6502</v>
      </c>
      <c r="B2825" s="215">
        <f t="shared" si="132"/>
        <v>45839</v>
      </c>
      <c r="C2825" s="213" t="s">
        <v>6453</v>
      </c>
      <c r="D2825" s="213" t="s">
        <v>4366</v>
      </c>
      <c r="E2825" s="213" t="s">
        <v>334</v>
      </c>
      <c r="F2825" s="212" t="s">
        <v>6158</v>
      </c>
      <c r="G2825" s="212" t="str">
        <f t="shared" si="133"/>
        <v>401용역매출</v>
      </c>
      <c r="H2825" s="214">
        <v>0</v>
      </c>
      <c r="I2825" s="214">
        <v>200000</v>
      </c>
      <c r="J2825" s="214">
        <f t="shared" si="134"/>
        <v>200000</v>
      </c>
      <c r="K2825" s="212" t="s">
        <v>6263</v>
      </c>
      <c r="L2825" s="213"/>
      <c r="M2825" s="212" t="s">
        <v>6504</v>
      </c>
    </row>
    <row r="2826" spans="1:13" ht="21" customHeight="1">
      <c r="A2826" s="213" t="s">
        <v>6502</v>
      </c>
      <c r="B2826" s="215">
        <f t="shared" si="132"/>
        <v>45839</v>
      </c>
      <c r="C2826" s="213" t="s">
        <v>6453</v>
      </c>
      <c r="D2826" s="213" t="s">
        <v>4369</v>
      </c>
      <c r="E2826" s="213" t="s">
        <v>333</v>
      </c>
      <c r="F2826" s="212" t="s">
        <v>4365</v>
      </c>
      <c r="G2826" s="212" t="str">
        <f t="shared" si="133"/>
        <v>101현금</v>
      </c>
      <c r="H2826" s="214">
        <v>220000</v>
      </c>
      <c r="I2826" s="214">
        <v>0</v>
      </c>
      <c r="J2826" s="214">
        <f t="shared" si="134"/>
        <v>-220000</v>
      </c>
      <c r="K2826" s="212" t="s">
        <v>6263</v>
      </c>
      <c r="L2826" s="213"/>
      <c r="M2826" s="212" t="s">
        <v>6504</v>
      </c>
    </row>
    <row r="2827" spans="1:13" ht="21" customHeight="1">
      <c r="A2827" s="213" t="s">
        <v>6502</v>
      </c>
      <c r="B2827" s="215">
        <f t="shared" si="132"/>
        <v>45839</v>
      </c>
      <c r="C2827" s="213" t="s">
        <v>6452</v>
      </c>
      <c r="D2827" s="213" t="s">
        <v>4366</v>
      </c>
      <c r="E2827" s="213" t="s">
        <v>6176</v>
      </c>
      <c r="F2827" s="212" t="s">
        <v>6177</v>
      </c>
      <c r="G2827" s="212" t="str">
        <f t="shared" si="133"/>
        <v>255부가세예수금</v>
      </c>
      <c r="H2827" s="214">
        <v>0</v>
      </c>
      <c r="I2827" s="214">
        <v>10000</v>
      </c>
      <c r="J2827" s="214">
        <f t="shared" si="134"/>
        <v>10000</v>
      </c>
      <c r="K2827" s="212" t="s">
        <v>6264</v>
      </c>
      <c r="L2827" s="213"/>
      <c r="M2827" s="212" t="s">
        <v>6500</v>
      </c>
    </row>
    <row r="2828" spans="1:13" ht="21" customHeight="1">
      <c r="A2828" s="213" t="s">
        <v>6502</v>
      </c>
      <c r="B2828" s="215">
        <f t="shared" si="132"/>
        <v>45839</v>
      </c>
      <c r="C2828" s="213" t="s">
        <v>6452</v>
      </c>
      <c r="D2828" s="213" t="s">
        <v>4366</v>
      </c>
      <c r="E2828" s="213" t="s">
        <v>334</v>
      </c>
      <c r="F2828" s="212" t="s">
        <v>6158</v>
      </c>
      <c r="G2828" s="212" t="str">
        <f t="shared" si="133"/>
        <v>401용역매출</v>
      </c>
      <c r="H2828" s="214">
        <v>0</v>
      </c>
      <c r="I2828" s="214">
        <v>100000</v>
      </c>
      <c r="J2828" s="214">
        <f t="shared" si="134"/>
        <v>100000</v>
      </c>
      <c r="K2828" s="212" t="s">
        <v>6264</v>
      </c>
      <c r="L2828" s="213"/>
      <c r="M2828" s="212" t="s">
        <v>6500</v>
      </c>
    </row>
    <row r="2829" spans="1:13" ht="21" customHeight="1">
      <c r="A2829" s="213" t="s">
        <v>6502</v>
      </c>
      <c r="B2829" s="215">
        <f t="shared" si="132"/>
        <v>45839</v>
      </c>
      <c r="C2829" s="213" t="s">
        <v>6452</v>
      </c>
      <c r="D2829" s="213" t="s">
        <v>4369</v>
      </c>
      <c r="E2829" s="213" t="s">
        <v>333</v>
      </c>
      <c r="F2829" s="212" t="s">
        <v>4365</v>
      </c>
      <c r="G2829" s="212" t="str">
        <f t="shared" si="133"/>
        <v>101현금</v>
      </c>
      <c r="H2829" s="214">
        <v>110000</v>
      </c>
      <c r="I2829" s="214">
        <v>0</v>
      </c>
      <c r="J2829" s="214">
        <f t="shared" si="134"/>
        <v>-110000</v>
      </c>
      <c r="K2829" s="212" t="s">
        <v>6264</v>
      </c>
      <c r="L2829" s="213"/>
      <c r="M2829" s="212" t="s">
        <v>6500</v>
      </c>
    </row>
    <row r="2830" spans="1:13" ht="21" customHeight="1">
      <c r="A2830" s="213" t="s">
        <v>6502</v>
      </c>
      <c r="B2830" s="215">
        <f t="shared" si="132"/>
        <v>45839</v>
      </c>
      <c r="C2830" s="213" t="s">
        <v>6451</v>
      </c>
      <c r="D2830" s="213" t="s">
        <v>4366</v>
      </c>
      <c r="E2830" s="213" t="s">
        <v>6176</v>
      </c>
      <c r="F2830" s="212" t="s">
        <v>6177</v>
      </c>
      <c r="G2830" s="212" t="str">
        <f t="shared" si="133"/>
        <v>255부가세예수금</v>
      </c>
      <c r="H2830" s="214">
        <v>0</v>
      </c>
      <c r="I2830" s="214">
        <v>15000</v>
      </c>
      <c r="J2830" s="214">
        <f t="shared" si="134"/>
        <v>15000</v>
      </c>
      <c r="K2830" s="212" t="s">
        <v>6260</v>
      </c>
      <c r="L2830" s="213"/>
      <c r="M2830" s="212" t="s">
        <v>6505</v>
      </c>
    </row>
    <row r="2831" spans="1:13" ht="21" customHeight="1">
      <c r="A2831" s="213" t="s">
        <v>6502</v>
      </c>
      <c r="B2831" s="215">
        <f t="shared" si="132"/>
        <v>45839</v>
      </c>
      <c r="C2831" s="213" t="s">
        <v>6451</v>
      </c>
      <c r="D2831" s="213" t="s">
        <v>4366</v>
      </c>
      <c r="E2831" s="213" t="s">
        <v>334</v>
      </c>
      <c r="F2831" s="212" t="s">
        <v>6158</v>
      </c>
      <c r="G2831" s="212" t="str">
        <f t="shared" si="133"/>
        <v>401용역매출</v>
      </c>
      <c r="H2831" s="214">
        <v>0</v>
      </c>
      <c r="I2831" s="214">
        <v>150000</v>
      </c>
      <c r="J2831" s="214">
        <f t="shared" si="134"/>
        <v>150000</v>
      </c>
      <c r="K2831" s="212" t="s">
        <v>6260</v>
      </c>
      <c r="L2831" s="213"/>
      <c r="M2831" s="212" t="s">
        <v>6505</v>
      </c>
    </row>
    <row r="2832" spans="1:13" ht="21" customHeight="1">
      <c r="A2832" s="213" t="s">
        <v>6502</v>
      </c>
      <c r="B2832" s="215">
        <f t="shared" si="132"/>
        <v>45839</v>
      </c>
      <c r="C2832" s="213" t="s">
        <v>6451</v>
      </c>
      <c r="D2832" s="213" t="s">
        <v>4369</v>
      </c>
      <c r="E2832" s="213" t="s">
        <v>333</v>
      </c>
      <c r="F2832" s="212" t="s">
        <v>4365</v>
      </c>
      <c r="G2832" s="212" t="str">
        <f t="shared" si="133"/>
        <v>101현금</v>
      </c>
      <c r="H2832" s="214">
        <v>165000</v>
      </c>
      <c r="I2832" s="214">
        <v>0</v>
      </c>
      <c r="J2832" s="214">
        <f t="shared" si="134"/>
        <v>-165000</v>
      </c>
      <c r="K2832" s="212" t="s">
        <v>6260</v>
      </c>
      <c r="L2832" s="213"/>
      <c r="M2832" s="212" t="s">
        <v>6505</v>
      </c>
    </row>
    <row r="2833" spans="1:13" ht="21" customHeight="1">
      <c r="A2833" s="213" t="s">
        <v>6502</v>
      </c>
      <c r="B2833" s="215">
        <f t="shared" si="132"/>
        <v>45839</v>
      </c>
      <c r="C2833" s="213" t="s">
        <v>6450</v>
      </c>
      <c r="D2833" s="213" t="s">
        <v>4366</v>
      </c>
      <c r="E2833" s="213" t="s">
        <v>6176</v>
      </c>
      <c r="F2833" s="212" t="s">
        <v>6177</v>
      </c>
      <c r="G2833" s="212" t="str">
        <f t="shared" si="133"/>
        <v>255부가세예수금</v>
      </c>
      <c r="H2833" s="214">
        <v>0</v>
      </c>
      <c r="I2833" s="214">
        <v>10000</v>
      </c>
      <c r="J2833" s="214">
        <f t="shared" si="134"/>
        <v>10000</v>
      </c>
      <c r="K2833" s="212" t="s">
        <v>6261</v>
      </c>
      <c r="L2833" s="213"/>
      <c r="M2833" s="212" t="s">
        <v>6500</v>
      </c>
    </row>
    <row r="2834" spans="1:13" ht="21" customHeight="1">
      <c r="A2834" s="213" t="s">
        <v>6502</v>
      </c>
      <c r="B2834" s="215">
        <f t="shared" si="132"/>
        <v>45839</v>
      </c>
      <c r="C2834" s="213" t="s">
        <v>6450</v>
      </c>
      <c r="D2834" s="213" t="s">
        <v>4366</v>
      </c>
      <c r="E2834" s="213" t="s">
        <v>334</v>
      </c>
      <c r="F2834" s="212" t="s">
        <v>6158</v>
      </c>
      <c r="G2834" s="212" t="str">
        <f t="shared" si="133"/>
        <v>401용역매출</v>
      </c>
      <c r="H2834" s="214">
        <v>0</v>
      </c>
      <c r="I2834" s="214">
        <v>100000</v>
      </c>
      <c r="J2834" s="214">
        <f t="shared" si="134"/>
        <v>100000</v>
      </c>
      <c r="K2834" s="212" t="s">
        <v>6261</v>
      </c>
      <c r="L2834" s="213"/>
      <c r="M2834" s="212" t="s">
        <v>6500</v>
      </c>
    </row>
    <row r="2835" spans="1:13" ht="21" customHeight="1">
      <c r="A2835" s="213" t="s">
        <v>6502</v>
      </c>
      <c r="B2835" s="215">
        <f t="shared" si="132"/>
        <v>45839</v>
      </c>
      <c r="C2835" s="213" t="s">
        <v>6450</v>
      </c>
      <c r="D2835" s="213" t="s">
        <v>4369</v>
      </c>
      <c r="E2835" s="213" t="s">
        <v>333</v>
      </c>
      <c r="F2835" s="212" t="s">
        <v>4365</v>
      </c>
      <c r="G2835" s="212" t="str">
        <f t="shared" si="133"/>
        <v>101현금</v>
      </c>
      <c r="H2835" s="214">
        <v>110000</v>
      </c>
      <c r="I2835" s="214">
        <v>0</v>
      </c>
      <c r="J2835" s="214">
        <f t="shared" si="134"/>
        <v>-110000</v>
      </c>
      <c r="K2835" s="212" t="s">
        <v>6261</v>
      </c>
      <c r="L2835" s="213"/>
      <c r="M2835" s="212" t="s">
        <v>6500</v>
      </c>
    </row>
    <row r="2836" spans="1:13" ht="21" customHeight="1">
      <c r="A2836" s="213" t="s">
        <v>6502</v>
      </c>
      <c r="B2836" s="215">
        <f t="shared" si="132"/>
        <v>45839</v>
      </c>
      <c r="C2836" s="213" t="s">
        <v>6449</v>
      </c>
      <c r="D2836" s="213" t="s">
        <v>4366</v>
      </c>
      <c r="E2836" s="213" t="s">
        <v>6176</v>
      </c>
      <c r="F2836" s="212" t="s">
        <v>6177</v>
      </c>
      <c r="G2836" s="212" t="str">
        <f t="shared" si="133"/>
        <v>255부가세예수금</v>
      </c>
      <c r="H2836" s="214">
        <v>0</v>
      </c>
      <c r="I2836" s="214">
        <v>7000</v>
      </c>
      <c r="J2836" s="214">
        <f t="shared" si="134"/>
        <v>7000</v>
      </c>
      <c r="K2836" s="212" t="s">
        <v>6259</v>
      </c>
      <c r="L2836" s="213"/>
      <c r="M2836" s="212" t="s">
        <v>6507</v>
      </c>
    </row>
    <row r="2837" spans="1:13" ht="21" customHeight="1">
      <c r="A2837" s="213" t="s">
        <v>6502</v>
      </c>
      <c r="B2837" s="215">
        <f t="shared" si="132"/>
        <v>45839</v>
      </c>
      <c r="C2837" s="213" t="s">
        <v>6449</v>
      </c>
      <c r="D2837" s="213" t="s">
        <v>4366</v>
      </c>
      <c r="E2837" s="213" t="s">
        <v>334</v>
      </c>
      <c r="F2837" s="212" t="s">
        <v>6158</v>
      </c>
      <c r="G2837" s="212" t="str">
        <f t="shared" si="133"/>
        <v>401용역매출</v>
      </c>
      <c r="H2837" s="214">
        <v>0</v>
      </c>
      <c r="I2837" s="214">
        <v>70000</v>
      </c>
      <c r="J2837" s="214">
        <f t="shared" si="134"/>
        <v>70000</v>
      </c>
      <c r="K2837" s="212" t="s">
        <v>6259</v>
      </c>
      <c r="L2837" s="213"/>
      <c r="M2837" s="212" t="s">
        <v>6507</v>
      </c>
    </row>
    <row r="2838" spans="1:13" ht="21" customHeight="1">
      <c r="A2838" s="213" t="s">
        <v>6502</v>
      </c>
      <c r="B2838" s="215">
        <f t="shared" si="132"/>
        <v>45839</v>
      </c>
      <c r="C2838" s="213" t="s">
        <v>6449</v>
      </c>
      <c r="D2838" s="213" t="s">
        <v>4369</v>
      </c>
      <c r="E2838" s="213" t="s">
        <v>333</v>
      </c>
      <c r="F2838" s="212" t="s">
        <v>4365</v>
      </c>
      <c r="G2838" s="212" t="str">
        <f t="shared" si="133"/>
        <v>101현금</v>
      </c>
      <c r="H2838" s="214">
        <v>77000</v>
      </c>
      <c r="I2838" s="214">
        <v>0</v>
      </c>
      <c r="J2838" s="214">
        <f t="shared" si="134"/>
        <v>-77000</v>
      </c>
      <c r="K2838" s="212" t="s">
        <v>6259</v>
      </c>
      <c r="L2838" s="213"/>
      <c r="M2838" s="212" t="s">
        <v>6507</v>
      </c>
    </row>
    <row r="2839" spans="1:13" ht="21" customHeight="1">
      <c r="A2839" s="213" t="s">
        <v>6502</v>
      </c>
      <c r="B2839" s="215">
        <f t="shared" si="132"/>
        <v>45839</v>
      </c>
      <c r="C2839" s="213" t="s">
        <v>6448</v>
      </c>
      <c r="D2839" s="213" t="s">
        <v>4366</v>
      </c>
      <c r="E2839" s="213" t="s">
        <v>6176</v>
      </c>
      <c r="F2839" s="212" t="s">
        <v>6177</v>
      </c>
      <c r="G2839" s="212" t="str">
        <f t="shared" si="133"/>
        <v>255부가세예수금</v>
      </c>
      <c r="H2839" s="214">
        <v>0</v>
      </c>
      <c r="I2839" s="214">
        <v>10000</v>
      </c>
      <c r="J2839" s="214">
        <f t="shared" si="134"/>
        <v>10000</v>
      </c>
      <c r="K2839" s="212" t="s">
        <v>6262</v>
      </c>
      <c r="L2839" s="213"/>
      <c r="M2839" s="212" t="s">
        <v>6500</v>
      </c>
    </row>
    <row r="2840" spans="1:13" ht="21" customHeight="1">
      <c r="A2840" s="213" t="s">
        <v>6502</v>
      </c>
      <c r="B2840" s="215">
        <f t="shared" si="132"/>
        <v>45839</v>
      </c>
      <c r="C2840" s="213" t="s">
        <v>6448</v>
      </c>
      <c r="D2840" s="213" t="s">
        <v>4366</v>
      </c>
      <c r="E2840" s="213" t="s">
        <v>334</v>
      </c>
      <c r="F2840" s="212" t="s">
        <v>6158</v>
      </c>
      <c r="G2840" s="212" t="str">
        <f t="shared" si="133"/>
        <v>401용역매출</v>
      </c>
      <c r="H2840" s="214">
        <v>0</v>
      </c>
      <c r="I2840" s="214">
        <v>100000</v>
      </c>
      <c r="J2840" s="214">
        <f t="shared" si="134"/>
        <v>100000</v>
      </c>
      <c r="K2840" s="212" t="s">
        <v>6262</v>
      </c>
      <c r="L2840" s="213"/>
      <c r="M2840" s="212" t="s">
        <v>6500</v>
      </c>
    </row>
    <row r="2841" spans="1:13" ht="21" customHeight="1">
      <c r="A2841" s="213" t="s">
        <v>6502</v>
      </c>
      <c r="B2841" s="215">
        <f t="shared" si="132"/>
        <v>45839</v>
      </c>
      <c r="C2841" s="213" t="s">
        <v>6448</v>
      </c>
      <c r="D2841" s="213" t="s">
        <v>4369</v>
      </c>
      <c r="E2841" s="213" t="s">
        <v>333</v>
      </c>
      <c r="F2841" s="212" t="s">
        <v>4365</v>
      </c>
      <c r="G2841" s="212" t="str">
        <f t="shared" si="133"/>
        <v>101현금</v>
      </c>
      <c r="H2841" s="214">
        <v>110000</v>
      </c>
      <c r="I2841" s="214">
        <v>0</v>
      </c>
      <c r="J2841" s="214">
        <f t="shared" si="134"/>
        <v>-110000</v>
      </c>
      <c r="K2841" s="212" t="s">
        <v>6262</v>
      </c>
      <c r="L2841" s="213"/>
      <c r="M2841" s="212" t="s">
        <v>6500</v>
      </c>
    </row>
    <row r="2842" spans="1:13" ht="21" customHeight="1">
      <c r="A2842" s="213" t="s">
        <v>6502</v>
      </c>
      <c r="B2842" s="215">
        <f t="shared" si="132"/>
        <v>45839</v>
      </c>
      <c r="C2842" s="213" t="s">
        <v>6447</v>
      </c>
      <c r="D2842" s="213" t="s">
        <v>4366</v>
      </c>
      <c r="E2842" s="213" t="s">
        <v>6176</v>
      </c>
      <c r="F2842" s="212" t="s">
        <v>6177</v>
      </c>
      <c r="G2842" s="212" t="str">
        <f t="shared" si="133"/>
        <v>255부가세예수금</v>
      </c>
      <c r="H2842" s="214">
        <v>0</v>
      </c>
      <c r="I2842" s="214">
        <v>10000</v>
      </c>
      <c r="J2842" s="214">
        <f t="shared" si="134"/>
        <v>10000</v>
      </c>
      <c r="K2842" s="212" t="s">
        <v>6408</v>
      </c>
      <c r="L2842" s="213"/>
      <c r="M2842" s="212" t="s">
        <v>6500</v>
      </c>
    </row>
    <row r="2843" spans="1:13" ht="21" customHeight="1">
      <c r="A2843" s="213" t="s">
        <v>6502</v>
      </c>
      <c r="B2843" s="215">
        <f t="shared" si="132"/>
        <v>45839</v>
      </c>
      <c r="C2843" s="213" t="s">
        <v>6447</v>
      </c>
      <c r="D2843" s="213" t="s">
        <v>4366</v>
      </c>
      <c r="E2843" s="213" t="s">
        <v>334</v>
      </c>
      <c r="F2843" s="212" t="s">
        <v>6158</v>
      </c>
      <c r="G2843" s="212" t="str">
        <f t="shared" si="133"/>
        <v>401용역매출</v>
      </c>
      <c r="H2843" s="214">
        <v>0</v>
      </c>
      <c r="I2843" s="214">
        <v>100000</v>
      </c>
      <c r="J2843" s="214">
        <f t="shared" si="134"/>
        <v>100000</v>
      </c>
      <c r="K2843" s="212" t="s">
        <v>6408</v>
      </c>
      <c r="L2843" s="213"/>
      <c r="M2843" s="212" t="s">
        <v>6500</v>
      </c>
    </row>
    <row r="2844" spans="1:13" ht="21" customHeight="1">
      <c r="A2844" s="213" t="s">
        <v>6502</v>
      </c>
      <c r="B2844" s="215">
        <f t="shared" si="132"/>
        <v>45839</v>
      </c>
      <c r="C2844" s="213" t="s">
        <v>6447</v>
      </c>
      <c r="D2844" s="213" t="s">
        <v>4369</v>
      </c>
      <c r="E2844" s="213" t="s">
        <v>333</v>
      </c>
      <c r="F2844" s="212" t="s">
        <v>4365</v>
      </c>
      <c r="G2844" s="212" t="str">
        <f t="shared" si="133"/>
        <v>101현금</v>
      </c>
      <c r="H2844" s="214">
        <v>110000</v>
      </c>
      <c r="I2844" s="214">
        <v>0</v>
      </c>
      <c r="J2844" s="214">
        <f t="shared" si="134"/>
        <v>-110000</v>
      </c>
      <c r="K2844" s="212" t="s">
        <v>6408</v>
      </c>
      <c r="L2844" s="213"/>
      <c r="M2844" s="212" t="s">
        <v>6500</v>
      </c>
    </row>
    <row r="2845" spans="1:13" ht="21" customHeight="1">
      <c r="A2845" s="213" t="s">
        <v>6502</v>
      </c>
      <c r="B2845" s="215">
        <f t="shared" si="132"/>
        <v>45839</v>
      </c>
      <c r="C2845" s="213" t="s">
        <v>6446</v>
      </c>
      <c r="D2845" s="213" t="s">
        <v>4366</v>
      </c>
      <c r="E2845" s="213" t="s">
        <v>6176</v>
      </c>
      <c r="F2845" s="212" t="s">
        <v>6177</v>
      </c>
      <c r="G2845" s="212" t="str">
        <f t="shared" si="133"/>
        <v>255부가세예수금</v>
      </c>
      <c r="H2845" s="214">
        <v>0</v>
      </c>
      <c r="I2845" s="214">
        <v>12000</v>
      </c>
      <c r="J2845" s="214">
        <f t="shared" si="134"/>
        <v>12000</v>
      </c>
      <c r="K2845" s="212" t="s">
        <v>6309</v>
      </c>
      <c r="L2845" s="213"/>
      <c r="M2845" s="212" t="s">
        <v>6506</v>
      </c>
    </row>
    <row r="2846" spans="1:13" ht="21" customHeight="1">
      <c r="A2846" s="213" t="s">
        <v>6502</v>
      </c>
      <c r="B2846" s="215">
        <f t="shared" si="132"/>
        <v>45839</v>
      </c>
      <c r="C2846" s="213" t="s">
        <v>6446</v>
      </c>
      <c r="D2846" s="213" t="s">
        <v>4366</v>
      </c>
      <c r="E2846" s="213" t="s">
        <v>334</v>
      </c>
      <c r="F2846" s="212" t="s">
        <v>6158</v>
      </c>
      <c r="G2846" s="212" t="str">
        <f t="shared" si="133"/>
        <v>401용역매출</v>
      </c>
      <c r="H2846" s="214">
        <v>0</v>
      </c>
      <c r="I2846" s="214">
        <v>120000</v>
      </c>
      <c r="J2846" s="214">
        <f t="shared" si="134"/>
        <v>120000</v>
      </c>
      <c r="K2846" s="212" t="s">
        <v>6309</v>
      </c>
      <c r="L2846" s="213"/>
      <c r="M2846" s="212" t="s">
        <v>6506</v>
      </c>
    </row>
    <row r="2847" spans="1:13" ht="21" customHeight="1">
      <c r="A2847" s="213" t="s">
        <v>6502</v>
      </c>
      <c r="B2847" s="215">
        <f t="shared" si="132"/>
        <v>45839</v>
      </c>
      <c r="C2847" s="213" t="s">
        <v>6446</v>
      </c>
      <c r="D2847" s="213" t="s">
        <v>4369</v>
      </c>
      <c r="E2847" s="213" t="s">
        <v>333</v>
      </c>
      <c r="F2847" s="212" t="s">
        <v>4365</v>
      </c>
      <c r="G2847" s="212" t="str">
        <f t="shared" si="133"/>
        <v>101현금</v>
      </c>
      <c r="H2847" s="214">
        <v>132000</v>
      </c>
      <c r="I2847" s="214">
        <v>0</v>
      </c>
      <c r="J2847" s="214">
        <f t="shared" si="134"/>
        <v>-132000</v>
      </c>
      <c r="K2847" s="212" t="s">
        <v>6309</v>
      </c>
      <c r="L2847" s="213"/>
      <c r="M2847" s="212" t="s">
        <v>6506</v>
      </c>
    </row>
    <row r="2848" spans="1:13" ht="21" customHeight="1">
      <c r="A2848" s="213" t="s">
        <v>6502</v>
      </c>
      <c r="B2848" s="215">
        <f t="shared" si="132"/>
        <v>45839</v>
      </c>
      <c r="C2848" s="213" t="s">
        <v>6444</v>
      </c>
      <c r="D2848" s="213" t="s">
        <v>4366</v>
      </c>
      <c r="E2848" s="213" t="s">
        <v>6176</v>
      </c>
      <c r="F2848" s="212" t="s">
        <v>6177</v>
      </c>
      <c r="G2848" s="212" t="str">
        <f t="shared" si="133"/>
        <v>255부가세예수금</v>
      </c>
      <c r="H2848" s="214">
        <v>0</v>
      </c>
      <c r="I2848" s="214">
        <v>15000</v>
      </c>
      <c r="J2848" s="214">
        <f t="shared" si="134"/>
        <v>15000</v>
      </c>
      <c r="K2848" s="212" t="s">
        <v>6265</v>
      </c>
      <c r="L2848" s="213"/>
      <c r="M2848" s="212" t="s">
        <v>6505</v>
      </c>
    </row>
    <row r="2849" spans="1:13" ht="21" customHeight="1">
      <c r="A2849" s="213" t="s">
        <v>6502</v>
      </c>
      <c r="B2849" s="215">
        <f t="shared" si="132"/>
        <v>45839</v>
      </c>
      <c r="C2849" s="213" t="s">
        <v>6444</v>
      </c>
      <c r="D2849" s="213" t="s">
        <v>4366</v>
      </c>
      <c r="E2849" s="213" t="s">
        <v>334</v>
      </c>
      <c r="F2849" s="212" t="s">
        <v>6158</v>
      </c>
      <c r="G2849" s="212" t="str">
        <f t="shared" si="133"/>
        <v>401용역매출</v>
      </c>
      <c r="H2849" s="214">
        <v>0</v>
      </c>
      <c r="I2849" s="214">
        <v>150000</v>
      </c>
      <c r="J2849" s="214">
        <f t="shared" si="134"/>
        <v>150000</v>
      </c>
      <c r="K2849" s="212" t="s">
        <v>6265</v>
      </c>
      <c r="L2849" s="213"/>
      <c r="M2849" s="212" t="s">
        <v>6505</v>
      </c>
    </row>
    <row r="2850" spans="1:13" ht="21" customHeight="1">
      <c r="A2850" s="213" t="s">
        <v>6502</v>
      </c>
      <c r="B2850" s="215">
        <f t="shared" si="132"/>
        <v>45839</v>
      </c>
      <c r="C2850" s="213" t="s">
        <v>6444</v>
      </c>
      <c r="D2850" s="213" t="s">
        <v>4369</v>
      </c>
      <c r="E2850" s="213" t="s">
        <v>333</v>
      </c>
      <c r="F2850" s="212" t="s">
        <v>4365</v>
      </c>
      <c r="G2850" s="212" t="str">
        <f t="shared" si="133"/>
        <v>101현금</v>
      </c>
      <c r="H2850" s="214">
        <v>165000</v>
      </c>
      <c r="I2850" s="214">
        <v>0</v>
      </c>
      <c r="J2850" s="214">
        <f t="shared" si="134"/>
        <v>-165000</v>
      </c>
      <c r="K2850" s="212" t="s">
        <v>6265</v>
      </c>
      <c r="L2850" s="213"/>
      <c r="M2850" s="212" t="s">
        <v>6505</v>
      </c>
    </row>
    <row r="2851" spans="1:13" ht="21" customHeight="1">
      <c r="A2851" s="213" t="s">
        <v>6502</v>
      </c>
      <c r="B2851" s="215">
        <f t="shared" si="132"/>
        <v>45839</v>
      </c>
      <c r="C2851" s="213" t="s">
        <v>6443</v>
      </c>
      <c r="D2851" s="213" t="s">
        <v>4366</v>
      </c>
      <c r="E2851" s="213" t="s">
        <v>6176</v>
      </c>
      <c r="F2851" s="212" t="s">
        <v>6177</v>
      </c>
      <c r="G2851" s="212" t="str">
        <f t="shared" si="133"/>
        <v>255부가세예수금</v>
      </c>
      <c r="H2851" s="214">
        <v>0</v>
      </c>
      <c r="I2851" s="214">
        <v>10000</v>
      </c>
      <c r="J2851" s="214">
        <f t="shared" si="134"/>
        <v>10000</v>
      </c>
      <c r="K2851" s="212" t="s">
        <v>6266</v>
      </c>
      <c r="L2851" s="213"/>
      <c r="M2851" s="212" t="s">
        <v>6500</v>
      </c>
    </row>
    <row r="2852" spans="1:13" ht="21" customHeight="1">
      <c r="A2852" s="213" t="s">
        <v>6502</v>
      </c>
      <c r="B2852" s="215">
        <f t="shared" si="132"/>
        <v>45839</v>
      </c>
      <c r="C2852" s="213" t="s">
        <v>6443</v>
      </c>
      <c r="D2852" s="213" t="s">
        <v>4366</v>
      </c>
      <c r="E2852" s="213" t="s">
        <v>334</v>
      </c>
      <c r="F2852" s="212" t="s">
        <v>6158</v>
      </c>
      <c r="G2852" s="212" t="str">
        <f t="shared" si="133"/>
        <v>401용역매출</v>
      </c>
      <c r="H2852" s="214">
        <v>0</v>
      </c>
      <c r="I2852" s="214">
        <v>100000</v>
      </c>
      <c r="J2852" s="214">
        <f t="shared" si="134"/>
        <v>100000</v>
      </c>
      <c r="K2852" s="212" t="s">
        <v>6266</v>
      </c>
      <c r="L2852" s="213"/>
      <c r="M2852" s="212" t="s">
        <v>6500</v>
      </c>
    </row>
    <row r="2853" spans="1:13" ht="21" customHeight="1">
      <c r="A2853" s="213" t="s">
        <v>6502</v>
      </c>
      <c r="B2853" s="215">
        <f t="shared" si="132"/>
        <v>45839</v>
      </c>
      <c r="C2853" s="213" t="s">
        <v>6443</v>
      </c>
      <c r="D2853" s="213" t="s">
        <v>4369</v>
      </c>
      <c r="E2853" s="213" t="s">
        <v>333</v>
      </c>
      <c r="F2853" s="212" t="s">
        <v>4365</v>
      </c>
      <c r="G2853" s="212" t="str">
        <f t="shared" si="133"/>
        <v>101현금</v>
      </c>
      <c r="H2853" s="214">
        <v>110000</v>
      </c>
      <c r="I2853" s="214">
        <v>0</v>
      </c>
      <c r="J2853" s="214">
        <f t="shared" si="134"/>
        <v>-110000</v>
      </c>
      <c r="K2853" s="212" t="s">
        <v>6266</v>
      </c>
      <c r="L2853" s="213"/>
      <c r="M2853" s="212" t="s">
        <v>6500</v>
      </c>
    </row>
    <row r="2854" spans="1:13" ht="21" customHeight="1">
      <c r="A2854" s="213" t="s">
        <v>6502</v>
      </c>
      <c r="B2854" s="215">
        <f t="shared" si="132"/>
        <v>45839</v>
      </c>
      <c r="C2854" s="213" t="s">
        <v>6439</v>
      </c>
      <c r="D2854" s="213" t="s">
        <v>4366</v>
      </c>
      <c r="E2854" s="213" t="s">
        <v>6176</v>
      </c>
      <c r="F2854" s="212" t="s">
        <v>6177</v>
      </c>
      <c r="G2854" s="212" t="str">
        <f t="shared" si="133"/>
        <v>255부가세예수금</v>
      </c>
      <c r="H2854" s="214">
        <v>0</v>
      </c>
      <c r="I2854" s="214">
        <v>20000</v>
      </c>
      <c r="J2854" s="214">
        <f t="shared" si="134"/>
        <v>20000</v>
      </c>
      <c r="K2854" s="212" t="s">
        <v>6414</v>
      </c>
      <c r="L2854" s="213"/>
      <c r="M2854" s="212" t="s">
        <v>6504</v>
      </c>
    </row>
    <row r="2855" spans="1:13" ht="21" customHeight="1">
      <c r="A2855" s="213" t="s">
        <v>6502</v>
      </c>
      <c r="B2855" s="215">
        <f t="shared" si="132"/>
        <v>45839</v>
      </c>
      <c r="C2855" s="213" t="s">
        <v>6439</v>
      </c>
      <c r="D2855" s="213" t="s">
        <v>4366</v>
      </c>
      <c r="E2855" s="213" t="s">
        <v>334</v>
      </c>
      <c r="F2855" s="212" t="s">
        <v>6158</v>
      </c>
      <c r="G2855" s="212" t="str">
        <f t="shared" si="133"/>
        <v>401용역매출</v>
      </c>
      <c r="H2855" s="214">
        <v>0</v>
      </c>
      <c r="I2855" s="214">
        <v>200000</v>
      </c>
      <c r="J2855" s="214">
        <f t="shared" si="134"/>
        <v>200000</v>
      </c>
      <c r="K2855" s="212" t="s">
        <v>6414</v>
      </c>
      <c r="L2855" s="213"/>
      <c r="M2855" s="212" t="s">
        <v>6504</v>
      </c>
    </row>
    <row r="2856" spans="1:13" ht="21" customHeight="1">
      <c r="A2856" s="213" t="s">
        <v>6502</v>
      </c>
      <c r="B2856" s="215">
        <f t="shared" si="132"/>
        <v>45839</v>
      </c>
      <c r="C2856" s="213" t="s">
        <v>6439</v>
      </c>
      <c r="D2856" s="213" t="s">
        <v>4369</v>
      </c>
      <c r="E2856" s="213" t="s">
        <v>333</v>
      </c>
      <c r="F2856" s="212" t="s">
        <v>4365</v>
      </c>
      <c r="G2856" s="212" t="str">
        <f t="shared" si="133"/>
        <v>101현금</v>
      </c>
      <c r="H2856" s="214">
        <v>220000</v>
      </c>
      <c r="I2856" s="214">
        <v>0</v>
      </c>
      <c r="J2856" s="214">
        <f t="shared" si="134"/>
        <v>-220000</v>
      </c>
      <c r="K2856" s="212" t="s">
        <v>6414</v>
      </c>
      <c r="L2856" s="213"/>
      <c r="M2856" s="212" t="s">
        <v>6504</v>
      </c>
    </row>
    <row r="2857" spans="1:13" ht="21" customHeight="1">
      <c r="A2857" s="213" t="s">
        <v>6502</v>
      </c>
      <c r="B2857" s="215">
        <f t="shared" si="132"/>
        <v>45839</v>
      </c>
      <c r="C2857" s="213" t="s">
        <v>6503</v>
      </c>
      <c r="D2857" s="213" t="s">
        <v>4366</v>
      </c>
      <c r="E2857" s="213" t="s">
        <v>6176</v>
      </c>
      <c r="F2857" s="212" t="s">
        <v>6177</v>
      </c>
      <c r="G2857" s="212" t="str">
        <f t="shared" si="133"/>
        <v>255부가세예수금</v>
      </c>
      <c r="H2857" s="214">
        <v>0</v>
      </c>
      <c r="I2857" s="214">
        <v>10000</v>
      </c>
      <c r="J2857" s="214">
        <f t="shared" si="134"/>
        <v>10000</v>
      </c>
      <c r="K2857" s="212" t="s">
        <v>6416</v>
      </c>
      <c r="L2857" s="213"/>
      <c r="M2857" s="212" t="s">
        <v>6500</v>
      </c>
    </row>
    <row r="2858" spans="1:13" ht="21" customHeight="1">
      <c r="A2858" s="213" t="s">
        <v>6502</v>
      </c>
      <c r="B2858" s="215">
        <f t="shared" si="132"/>
        <v>45839</v>
      </c>
      <c r="C2858" s="213" t="s">
        <v>6503</v>
      </c>
      <c r="D2858" s="213" t="s">
        <v>4366</v>
      </c>
      <c r="E2858" s="213" t="s">
        <v>334</v>
      </c>
      <c r="F2858" s="212" t="s">
        <v>6158</v>
      </c>
      <c r="G2858" s="212" t="str">
        <f t="shared" si="133"/>
        <v>401용역매출</v>
      </c>
      <c r="H2858" s="214">
        <v>0</v>
      </c>
      <c r="I2858" s="214">
        <v>100000</v>
      </c>
      <c r="J2858" s="214">
        <f t="shared" si="134"/>
        <v>100000</v>
      </c>
      <c r="K2858" s="212" t="s">
        <v>6416</v>
      </c>
      <c r="L2858" s="213"/>
      <c r="M2858" s="212" t="s">
        <v>6500</v>
      </c>
    </row>
    <row r="2859" spans="1:13" ht="21" customHeight="1">
      <c r="A2859" s="213" t="s">
        <v>6502</v>
      </c>
      <c r="B2859" s="215">
        <f t="shared" si="132"/>
        <v>45839</v>
      </c>
      <c r="C2859" s="213" t="s">
        <v>6503</v>
      </c>
      <c r="D2859" s="213" t="s">
        <v>4369</v>
      </c>
      <c r="E2859" s="213" t="s">
        <v>333</v>
      </c>
      <c r="F2859" s="212" t="s">
        <v>4365</v>
      </c>
      <c r="G2859" s="212" t="str">
        <f t="shared" si="133"/>
        <v>101현금</v>
      </c>
      <c r="H2859" s="214">
        <v>110000</v>
      </c>
      <c r="I2859" s="214">
        <v>0</v>
      </c>
      <c r="J2859" s="214">
        <f t="shared" si="134"/>
        <v>-110000</v>
      </c>
      <c r="K2859" s="212" t="s">
        <v>6416</v>
      </c>
      <c r="L2859" s="213"/>
      <c r="M2859" s="212" t="s">
        <v>6500</v>
      </c>
    </row>
    <row r="2860" spans="1:13" ht="21" customHeight="1">
      <c r="A2860" s="213" t="s">
        <v>6502</v>
      </c>
      <c r="B2860" s="215">
        <f t="shared" si="132"/>
        <v>45839</v>
      </c>
      <c r="C2860" s="213" t="s">
        <v>6501</v>
      </c>
      <c r="D2860" s="213" t="s">
        <v>4366</v>
      </c>
      <c r="E2860" s="213" t="s">
        <v>6176</v>
      </c>
      <c r="F2860" s="212" t="s">
        <v>6177</v>
      </c>
      <c r="G2860" s="212" t="str">
        <f t="shared" si="133"/>
        <v>255부가세예수금</v>
      </c>
      <c r="H2860" s="214">
        <v>0</v>
      </c>
      <c r="I2860" s="214">
        <v>10000</v>
      </c>
      <c r="J2860" s="214">
        <f t="shared" si="134"/>
        <v>10000</v>
      </c>
      <c r="K2860" s="212" t="s">
        <v>6268</v>
      </c>
      <c r="L2860" s="213"/>
      <c r="M2860" s="212" t="s">
        <v>6500</v>
      </c>
    </row>
    <row r="2861" spans="1:13" ht="21" customHeight="1">
      <c r="A2861" s="213" t="s">
        <v>6502</v>
      </c>
      <c r="B2861" s="215">
        <f t="shared" si="132"/>
        <v>45839</v>
      </c>
      <c r="C2861" s="213" t="s">
        <v>6501</v>
      </c>
      <c r="D2861" s="213" t="s">
        <v>4366</v>
      </c>
      <c r="E2861" s="213" t="s">
        <v>334</v>
      </c>
      <c r="F2861" s="212" t="s">
        <v>6158</v>
      </c>
      <c r="G2861" s="212" t="str">
        <f t="shared" si="133"/>
        <v>401용역매출</v>
      </c>
      <c r="H2861" s="214">
        <v>0</v>
      </c>
      <c r="I2861" s="214">
        <v>100000</v>
      </c>
      <c r="J2861" s="214">
        <f t="shared" si="134"/>
        <v>100000</v>
      </c>
      <c r="K2861" s="212" t="s">
        <v>6268</v>
      </c>
      <c r="L2861" s="213"/>
      <c r="M2861" s="212" t="s">
        <v>6500</v>
      </c>
    </row>
    <row r="2862" spans="1:13" ht="21" customHeight="1">
      <c r="A2862" s="213" t="s">
        <v>6502</v>
      </c>
      <c r="B2862" s="215">
        <f t="shared" si="132"/>
        <v>45839</v>
      </c>
      <c r="C2862" s="213" t="s">
        <v>6501</v>
      </c>
      <c r="D2862" s="213" t="s">
        <v>4369</v>
      </c>
      <c r="E2862" s="213" t="s">
        <v>333</v>
      </c>
      <c r="F2862" s="212" t="s">
        <v>4365</v>
      </c>
      <c r="G2862" s="212" t="str">
        <f t="shared" si="133"/>
        <v>101현금</v>
      </c>
      <c r="H2862" s="214">
        <v>110000</v>
      </c>
      <c r="I2862" s="214">
        <v>0</v>
      </c>
      <c r="J2862" s="214">
        <f t="shared" si="134"/>
        <v>-110000</v>
      </c>
      <c r="K2862" s="212" t="s">
        <v>6268</v>
      </c>
      <c r="L2862" s="213"/>
      <c r="M2862" s="212" t="s">
        <v>6500</v>
      </c>
    </row>
    <row r="2863" spans="1:13" ht="21" customHeight="1">
      <c r="A2863" s="213" t="s">
        <v>6499</v>
      </c>
      <c r="B2863" s="215">
        <f t="shared" si="132"/>
        <v>45840</v>
      </c>
      <c r="C2863" s="213" t="s">
        <v>4367</v>
      </c>
      <c r="D2863" s="213" t="s">
        <v>4366</v>
      </c>
      <c r="E2863" s="213" t="s">
        <v>6176</v>
      </c>
      <c r="F2863" s="212" t="s">
        <v>6177</v>
      </c>
      <c r="G2863" s="212" t="str">
        <f t="shared" si="133"/>
        <v>255부가세예수금</v>
      </c>
      <c r="H2863" s="214">
        <v>0</v>
      </c>
      <c r="I2863" s="214">
        <v>13637</v>
      </c>
      <c r="J2863" s="214">
        <f t="shared" si="134"/>
        <v>13637</v>
      </c>
      <c r="K2863" s="212" t="s">
        <v>6435</v>
      </c>
      <c r="L2863" s="213"/>
      <c r="M2863" s="212" t="s">
        <v>6380</v>
      </c>
    </row>
    <row r="2864" spans="1:13" ht="21" customHeight="1">
      <c r="A2864" s="213" t="s">
        <v>6499</v>
      </c>
      <c r="B2864" s="215">
        <f t="shared" si="132"/>
        <v>45840</v>
      </c>
      <c r="C2864" s="213" t="s">
        <v>4367</v>
      </c>
      <c r="D2864" s="213" t="s">
        <v>4366</v>
      </c>
      <c r="E2864" s="213" t="s">
        <v>334</v>
      </c>
      <c r="F2864" s="212" t="s">
        <v>6158</v>
      </c>
      <c r="G2864" s="212" t="str">
        <f t="shared" si="133"/>
        <v>401용역매출</v>
      </c>
      <c r="H2864" s="214">
        <v>0</v>
      </c>
      <c r="I2864" s="214">
        <v>136363</v>
      </c>
      <c r="J2864" s="214">
        <f t="shared" si="134"/>
        <v>136363</v>
      </c>
      <c r="K2864" s="212" t="s">
        <v>6435</v>
      </c>
      <c r="L2864" s="213"/>
      <c r="M2864" s="212" t="s">
        <v>6380</v>
      </c>
    </row>
    <row r="2865" spans="1:13" ht="21" customHeight="1">
      <c r="A2865" s="213" t="s">
        <v>6499</v>
      </c>
      <c r="B2865" s="215">
        <f t="shared" si="132"/>
        <v>45840</v>
      </c>
      <c r="C2865" s="213" t="s">
        <v>4367</v>
      </c>
      <c r="D2865" s="213" t="s">
        <v>4369</v>
      </c>
      <c r="E2865" s="213" t="s">
        <v>333</v>
      </c>
      <c r="F2865" s="212" t="s">
        <v>4365</v>
      </c>
      <c r="G2865" s="212" t="str">
        <f t="shared" si="133"/>
        <v>101현금</v>
      </c>
      <c r="H2865" s="214">
        <v>150000</v>
      </c>
      <c r="I2865" s="214">
        <v>0</v>
      </c>
      <c r="J2865" s="214">
        <f t="shared" si="134"/>
        <v>-150000</v>
      </c>
      <c r="K2865" s="212" t="s">
        <v>6435</v>
      </c>
      <c r="L2865" s="213"/>
      <c r="M2865" s="212" t="s">
        <v>6380</v>
      </c>
    </row>
    <row r="2866" spans="1:13" ht="21" customHeight="1">
      <c r="A2866" s="213" t="s">
        <v>6499</v>
      </c>
      <c r="B2866" s="215">
        <f t="shared" si="132"/>
        <v>45840</v>
      </c>
      <c r="C2866" s="213" t="s">
        <v>4374</v>
      </c>
      <c r="D2866" s="213" t="s">
        <v>4366</v>
      </c>
      <c r="E2866" s="213" t="s">
        <v>6176</v>
      </c>
      <c r="F2866" s="212" t="s">
        <v>6177</v>
      </c>
      <c r="G2866" s="212" t="str">
        <f t="shared" si="133"/>
        <v>255부가세예수금</v>
      </c>
      <c r="H2866" s="214">
        <v>0</v>
      </c>
      <c r="I2866" s="214">
        <v>10000</v>
      </c>
      <c r="J2866" s="214">
        <f t="shared" si="134"/>
        <v>10000</v>
      </c>
      <c r="K2866" s="212" t="s">
        <v>6271</v>
      </c>
      <c r="L2866" s="213"/>
      <c r="M2866" s="212" t="s">
        <v>6185</v>
      </c>
    </row>
    <row r="2867" spans="1:13" ht="21" customHeight="1">
      <c r="A2867" s="213" t="s">
        <v>6499</v>
      </c>
      <c r="B2867" s="215">
        <f t="shared" si="132"/>
        <v>45840</v>
      </c>
      <c r="C2867" s="213" t="s">
        <v>4374</v>
      </c>
      <c r="D2867" s="213" t="s">
        <v>4366</v>
      </c>
      <c r="E2867" s="213" t="s">
        <v>334</v>
      </c>
      <c r="F2867" s="212" t="s">
        <v>6158</v>
      </c>
      <c r="G2867" s="212" t="str">
        <f t="shared" si="133"/>
        <v>401용역매출</v>
      </c>
      <c r="H2867" s="214">
        <v>0</v>
      </c>
      <c r="I2867" s="214">
        <v>100000</v>
      </c>
      <c r="J2867" s="214">
        <f t="shared" si="134"/>
        <v>100000</v>
      </c>
      <c r="K2867" s="212" t="s">
        <v>6271</v>
      </c>
      <c r="L2867" s="213"/>
      <c r="M2867" s="212" t="s">
        <v>6185</v>
      </c>
    </row>
    <row r="2868" spans="1:13" ht="21" customHeight="1">
      <c r="A2868" s="213" t="s">
        <v>6499</v>
      </c>
      <c r="B2868" s="215">
        <f t="shared" si="132"/>
        <v>45840</v>
      </c>
      <c r="C2868" s="213" t="s">
        <v>4374</v>
      </c>
      <c r="D2868" s="213" t="s">
        <v>4369</v>
      </c>
      <c r="E2868" s="213" t="s">
        <v>333</v>
      </c>
      <c r="F2868" s="212" t="s">
        <v>4365</v>
      </c>
      <c r="G2868" s="212" t="str">
        <f t="shared" si="133"/>
        <v>101현금</v>
      </c>
      <c r="H2868" s="214">
        <v>110000</v>
      </c>
      <c r="I2868" s="214">
        <v>0</v>
      </c>
      <c r="J2868" s="214">
        <f t="shared" si="134"/>
        <v>-110000</v>
      </c>
      <c r="K2868" s="212" t="s">
        <v>6271</v>
      </c>
      <c r="L2868" s="213"/>
      <c r="M2868" s="212" t="s">
        <v>6185</v>
      </c>
    </row>
    <row r="2869" spans="1:13" ht="21" customHeight="1">
      <c r="A2869" s="213" t="s">
        <v>6499</v>
      </c>
      <c r="B2869" s="215">
        <f t="shared" si="132"/>
        <v>45840</v>
      </c>
      <c r="C2869" s="213" t="s">
        <v>6182</v>
      </c>
      <c r="D2869" s="213" t="s">
        <v>4366</v>
      </c>
      <c r="E2869" s="213" t="s">
        <v>6176</v>
      </c>
      <c r="F2869" s="212" t="s">
        <v>6177</v>
      </c>
      <c r="G2869" s="212" t="str">
        <f t="shared" si="133"/>
        <v>255부가세예수금</v>
      </c>
      <c r="H2869" s="214">
        <v>0</v>
      </c>
      <c r="I2869" s="214">
        <v>10000</v>
      </c>
      <c r="J2869" s="214">
        <f t="shared" si="134"/>
        <v>10000</v>
      </c>
      <c r="K2869" s="212" t="s">
        <v>6279</v>
      </c>
      <c r="L2869" s="213"/>
      <c r="M2869" s="212" t="s">
        <v>6185</v>
      </c>
    </row>
    <row r="2870" spans="1:13" ht="21" customHeight="1">
      <c r="A2870" s="213" t="s">
        <v>6499</v>
      </c>
      <c r="B2870" s="215">
        <f t="shared" si="132"/>
        <v>45840</v>
      </c>
      <c r="C2870" s="213" t="s">
        <v>6182</v>
      </c>
      <c r="D2870" s="213" t="s">
        <v>4366</v>
      </c>
      <c r="E2870" s="213" t="s">
        <v>334</v>
      </c>
      <c r="F2870" s="212" t="s">
        <v>6158</v>
      </c>
      <c r="G2870" s="212" t="str">
        <f t="shared" si="133"/>
        <v>401용역매출</v>
      </c>
      <c r="H2870" s="214">
        <v>0</v>
      </c>
      <c r="I2870" s="214">
        <v>100000</v>
      </c>
      <c r="J2870" s="214">
        <f t="shared" si="134"/>
        <v>100000</v>
      </c>
      <c r="K2870" s="212" t="s">
        <v>6279</v>
      </c>
      <c r="L2870" s="213"/>
      <c r="M2870" s="212" t="s">
        <v>6185</v>
      </c>
    </row>
    <row r="2871" spans="1:13" ht="21" customHeight="1">
      <c r="A2871" s="213" t="s">
        <v>6499</v>
      </c>
      <c r="B2871" s="215">
        <f t="shared" si="132"/>
        <v>45840</v>
      </c>
      <c r="C2871" s="213" t="s">
        <v>6182</v>
      </c>
      <c r="D2871" s="213" t="s">
        <v>4369</v>
      </c>
      <c r="E2871" s="213" t="s">
        <v>333</v>
      </c>
      <c r="F2871" s="212" t="s">
        <v>4365</v>
      </c>
      <c r="G2871" s="212" t="str">
        <f t="shared" si="133"/>
        <v>101현금</v>
      </c>
      <c r="H2871" s="214">
        <v>110000</v>
      </c>
      <c r="I2871" s="214">
        <v>0</v>
      </c>
      <c r="J2871" s="214">
        <f t="shared" si="134"/>
        <v>-110000</v>
      </c>
      <c r="K2871" s="212" t="s">
        <v>6279</v>
      </c>
      <c r="L2871" s="213"/>
      <c r="M2871" s="212" t="s">
        <v>6185</v>
      </c>
    </row>
    <row r="2872" spans="1:13" ht="21" customHeight="1">
      <c r="A2872" s="213" t="s">
        <v>6499</v>
      </c>
      <c r="B2872" s="215">
        <f t="shared" si="132"/>
        <v>45840</v>
      </c>
      <c r="C2872" s="213" t="s">
        <v>6184</v>
      </c>
      <c r="D2872" s="213" t="s">
        <v>4366</v>
      </c>
      <c r="E2872" s="213" t="s">
        <v>6176</v>
      </c>
      <c r="F2872" s="212" t="s">
        <v>6177</v>
      </c>
      <c r="G2872" s="212" t="str">
        <f t="shared" si="133"/>
        <v>255부가세예수금</v>
      </c>
      <c r="H2872" s="214">
        <v>0</v>
      </c>
      <c r="I2872" s="214">
        <v>12000</v>
      </c>
      <c r="J2872" s="214">
        <f t="shared" si="134"/>
        <v>12000</v>
      </c>
      <c r="K2872" s="212" t="s">
        <v>6308</v>
      </c>
      <c r="L2872" s="213"/>
      <c r="M2872" s="212" t="s">
        <v>6225</v>
      </c>
    </row>
    <row r="2873" spans="1:13" ht="21" customHeight="1">
      <c r="A2873" s="213" t="s">
        <v>6499</v>
      </c>
      <c r="B2873" s="215">
        <f t="shared" si="132"/>
        <v>45840</v>
      </c>
      <c r="C2873" s="213" t="s">
        <v>6184</v>
      </c>
      <c r="D2873" s="213" t="s">
        <v>4366</v>
      </c>
      <c r="E2873" s="213" t="s">
        <v>334</v>
      </c>
      <c r="F2873" s="212" t="s">
        <v>6158</v>
      </c>
      <c r="G2873" s="212" t="str">
        <f t="shared" si="133"/>
        <v>401용역매출</v>
      </c>
      <c r="H2873" s="214">
        <v>0</v>
      </c>
      <c r="I2873" s="214">
        <v>120000</v>
      </c>
      <c r="J2873" s="214">
        <f t="shared" si="134"/>
        <v>120000</v>
      </c>
      <c r="K2873" s="212" t="s">
        <v>6308</v>
      </c>
      <c r="L2873" s="213"/>
      <c r="M2873" s="212" t="s">
        <v>6225</v>
      </c>
    </row>
    <row r="2874" spans="1:13" ht="21" customHeight="1">
      <c r="A2874" s="213" t="s">
        <v>6499</v>
      </c>
      <c r="B2874" s="215">
        <f t="shared" si="132"/>
        <v>45840</v>
      </c>
      <c r="C2874" s="213" t="s">
        <v>6184</v>
      </c>
      <c r="D2874" s="213" t="s">
        <v>4369</v>
      </c>
      <c r="E2874" s="213" t="s">
        <v>333</v>
      </c>
      <c r="F2874" s="212" t="s">
        <v>4365</v>
      </c>
      <c r="G2874" s="212" t="str">
        <f t="shared" si="133"/>
        <v>101현금</v>
      </c>
      <c r="H2874" s="214">
        <v>132000</v>
      </c>
      <c r="I2874" s="214">
        <v>0</v>
      </c>
      <c r="J2874" s="214">
        <f t="shared" si="134"/>
        <v>-132000</v>
      </c>
      <c r="K2874" s="212" t="s">
        <v>6308</v>
      </c>
      <c r="L2874" s="213"/>
      <c r="M2874" s="212" t="s">
        <v>6225</v>
      </c>
    </row>
    <row r="2875" spans="1:13" ht="21" customHeight="1">
      <c r="A2875" s="213" t="s">
        <v>6499</v>
      </c>
      <c r="B2875" s="215">
        <f t="shared" si="132"/>
        <v>45840</v>
      </c>
      <c r="C2875" s="213" t="s">
        <v>6186</v>
      </c>
      <c r="D2875" s="213" t="s">
        <v>4366</v>
      </c>
      <c r="E2875" s="213" t="s">
        <v>6176</v>
      </c>
      <c r="F2875" s="212" t="s">
        <v>6177</v>
      </c>
      <c r="G2875" s="212" t="str">
        <f t="shared" si="133"/>
        <v>255부가세예수금</v>
      </c>
      <c r="H2875" s="214">
        <v>0</v>
      </c>
      <c r="I2875" s="214">
        <v>15000</v>
      </c>
      <c r="J2875" s="214">
        <f t="shared" si="134"/>
        <v>15000</v>
      </c>
      <c r="K2875" s="212" t="s">
        <v>6181</v>
      </c>
      <c r="L2875" s="213"/>
      <c r="M2875" s="212" t="s">
        <v>6179</v>
      </c>
    </row>
    <row r="2876" spans="1:13" ht="21" customHeight="1">
      <c r="A2876" s="213" t="s">
        <v>6499</v>
      </c>
      <c r="B2876" s="215">
        <f t="shared" si="132"/>
        <v>45840</v>
      </c>
      <c r="C2876" s="213" t="s">
        <v>6186</v>
      </c>
      <c r="D2876" s="213" t="s">
        <v>4366</v>
      </c>
      <c r="E2876" s="213" t="s">
        <v>334</v>
      </c>
      <c r="F2876" s="212" t="s">
        <v>6158</v>
      </c>
      <c r="G2876" s="212" t="str">
        <f t="shared" si="133"/>
        <v>401용역매출</v>
      </c>
      <c r="H2876" s="214">
        <v>0</v>
      </c>
      <c r="I2876" s="214">
        <v>150000</v>
      </c>
      <c r="J2876" s="214">
        <f t="shared" si="134"/>
        <v>150000</v>
      </c>
      <c r="K2876" s="212" t="s">
        <v>6181</v>
      </c>
      <c r="L2876" s="213"/>
      <c r="M2876" s="212" t="s">
        <v>6179</v>
      </c>
    </row>
    <row r="2877" spans="1:13" ht="21" customHeight="1">
      <c r="A2877" s="213" t="s">
        <v>6499</v>
      </c>
      <c r="B2877" s="215">
        <f t="shared" si="132"/>
        <v>45840</v>
      </c>
      <c r="C2877" s="213" t="s">
        <v>6186</v>
      </c>
      <c r="D2877" s="213" t="s">
        <v>4369</v>
      </c>
      <c r="E2877" s="213" t="s">
        <v>333</v>
      </c>
      <c r="F2877" s="212" t="s">
        <v>4365</v>
      </c>
      <c r="G2877" s="212" t="str">
        <f t="shared" si="133"/>
        <v>101현금</v>
      </c>
      <c r="H2877" s="214">
        <v>165000</v>
      </c>
      <c r="I2877" s="214">
        <v>0</v>
      </c>
      <c r="J2877" s="214">
        <f t="shared" si="134"/>
        <v>-165000</v>
      </c>
      <c r="K2877" s="212" t="s">
        <v>6181</v>
      </c>
      <c r="L2877" s="213"/>
      <c r="M2877" s="212" t="s">
        <v>6179</v>
      </c>
    </row>
    <row r="2878" spans="1:13" ht="21" customHeight="1">
      <c r="A2878" s="213" t="s">
        <v>6499</v>
      </c>
      <c r="B2878" s="215">
        <f t="shared" si="132"/>
        <v>45840</v>
      </c>
      <c r="C2878" s="213" t="s">
        <v>6189</v>
      </c>
      <c r="D2878" s="213" t="s">
        <v>4366</v>
      </c>
      <c r="E2878" s="213" t="s">
        <v>6176</v>
      </c>
      <c r="F2878" s="212" t="s">
        <v>6177</v>
      </c>
      <c r="G2878" s="212" t="str">
        <f t="shared" si="133"/>
        <v>255부가세예수금</v>
      </c>
      <c r="H2878" s="214">
        <v>0</v>
      </c>
      <c r="I2878" s="214">
        <v>15000</v>
      </c>
      <c r="J2878" s="214">
        <f t="shared" si="134"/>
        <v>15000</v>
      </c>
      <c r="K2878" s="212" t="s">
        <v>6183</v>
      </c>
      <c r="L2878" s="213"/>
      <c r="M2878" s="212" t="s">
        <v>6179</v>
      </c>
    </row>
    <row r="2879" spans="1:13" ht="21" customHeight="1">
      <c r="A2879" s="213" t="s">
        <v>6499</v>
      </c>
      <c r="B2879" s="215">
        <f t="shared" si="132"/>
        <v>45840</v>
      </c>
      <c r="C2879" s="213" t="s">
        <v>6189</v>
      </c>
      <c r="D2879" s="213" t="s">
        <v>4366</v>
      </c>
      <c r="E2879" s="213" t="s">
        <v>334</v>
      </c>
      <c r="F2879" s="212" t="s">
        <v>6158</v>
      </c>
      <c r="G2879" s="212" t="str">
        <f t="shared" si="133"/>
        <v>401용역매출</v>
      </c>
      <c r="H2879" s="214">
        <v>0</v>
      </c>
      <c r="I2879" s="214">
        <v>150000</v>
      </c>
      <c r="J2879" s="214">
        <f t="shared" si="134"/>
        <v>150000</v>
      </c>
      <c r="K2879" s="212" t="s">
        <v>6183</v>
      </c>
      <c r="L2879" s="213"/>
      <c r="M2879" s="212" t="s">
        <v>6179</v>
      </c>
    </row>
    <row r="2880" spans="1:13" ht="21" customHeight="1">
      <c r="A2880" s="213" t="s">
        <v>6499</v>
      </c>
      <c r="B2880" s="215">
        <f t="shared" si="132"/>
        <v>45840</v>
      </c>
      <c r="C2880" s="213" t="s">
        <v>6189</v>
      </c>
      <c r="D2880" s="213" t="s">
        <v>4369</v>
      </c>
      <c r="E2880" s="213" t="s">
        <v>333</v>
      </c>
      <c r="F2880" s="212" t="s">
        <v>4365</v>
      </c>
      <c r="G2880" s="212" t="str">
        <f t="shared" si="133"/>
        <v>101현금</v>
      </c>
      <c r="H2880" s="214">
        <v>165000</v>
      </c>
      <c r="I2880" s="214">
        <v>0</v>
      </c>
      <c r="J2880" s="214">
        <f t="shared" si="134"/>
        <v>-165000</v>
      </c>
      <c r="K2880" s="212" t="s">
        <v>6183</v>
      </c>
      <c r="L2880" s="213"/>
      <c r="M2880" s="212" t="s">
        <v>6179</v>
      </c>
    </row>
    <row r="2881" spans="1:13" ht="21" customHeight="1">
      <c r="A2881" s="213" t="s">
        <v>6498</v>
      </c>
      <c r="B2881" s="215">
        <f t="shared" si="132"/>
        <v>45841</v>
      </c>
      <c r="C2881" s="213" t="s">
        <v>4367</v>
      </c>
      <c r="D2881" s="213" t="s">
        <v>4366</v>
      </c>
      <c r="E2881" s="213" t="s">
        <v>6176</v>
      </c>
      <c r="F2881" s="212" t="s">
        <v>6177</v>
      </c>
      <c r="G2881" s="212" t="str">
        <f t="shared" si="133"/>
        <v>255부가세예수금</v>
      </c>
      <c r="H2881" s="214">
        <v>0</v>
      </c>
      <c r="I2881" s="214">
        <v>30000</v>
      </c>
      <c r="J2881" s="214">
        <f t="shared" si="134"/>
        <v>30000</v>
      </c>
      <c r="K2881" s="212" t="s">
        <v>6180</v>
      </c>
      <c r="L2881" s="213"/>
      <c r="M2881" s="212" t="s">
        <v>6190</v>
      </c>
    </row>
    <row r="2882" spans="1:13" ht="21" customHeight="1">
      <c r="A2882" s="213" t="s">
        <v>6498</v>
      </c>
      <c r="B2882" s="215">
        <f t="shared" ref="B2882:B2945" si="135">DATEVALUE(A2882)</f>
        <v>45841</v>
      </c>
      <c r="C2882" s="213" t="s">
        <v>4367</v>
      </c>
      <c r="D2882" s="213" t="s">
        <v>4366</v>
      </c>
      <c r="E2882" s="213" t="s">
        <v>334</v>
      </c>
      <c r="F2882" s="212" t="s">
        <v>6158</v>
      </c>
      <c r="G2882" s="212" t="str">
        <f t="shared" ref="G2882:G2945" si="136">E2882&amp;F2882</f>
        <v>401용역매출</v>
      </c>
      <c r="H2882" s="214">
        <v>0</v>
      </c>
      <c r="I2882" s="214">
        <v>300000</v>
      </c>
      <c r="J2882" s="214">
        <f t="shared" ref="J2882:J2945" si="137">I2882-H2882</f>
        <v>300000</v>
      </c>
      <c r="K2882" s="212" t="s">
        <v>6180</v>
      </c>
      <c r="L2882" s="213"/>
      <c r="M2882" s="212" t="s">
        <v>6190</v>
      </c>
    </row>
    <row r="2883" spans="1:13" ht="21" customHeight="1">
      <c r="A2883" s="213" t="s">
        <v>6498</v>
      </c>
      <c r="B2883" s="215">
        <f t="shared" si="135"/>
        <v>45841</v>
      </c>
      <c r="C2883" s="213" t="s">
        <v>4367</v>
      </c>
      <c r="D2883" s="213" t="s">
        <v>4369</v>
      </c>
      <c r="E2883" s="213" t="s">
        <v>333</v>
      </c>
      <c r="F2883" s="212" t="s">
        <v>4365</v>
      </c>
      <c r="G2883" s="212" t="str">
        <f t="shared" si="136"/>
        <v>101현금</v>
      </c>
      <c r="H2883" s="214">
        <v>330000</v>
      </c>
      <c r="I2883" s="214">
        <v>0</v>
      </c>
      <c r="J2883" s="214">
        <f t="shared" si="137"/>
        <v>-330000</v>
      </c>
      <c r="K2883" s="212" t="s">
        <v>6180</v>
      </c>
      <c r="L2883" s="213"/>
      <c r="M2883" s="212" t="s">
        <v>6190</v>
      </c>
    </row>
    <row r="2884" spans="1:13" ht="21" customHeight="1">
      <c r="A2884" s="213" t="s">
        <v>6497</v>
      </c>
      <c r="B2884" s="215">
        <f t="shared" si="135"/>
        <v>45842</v>
      </c>
      <c r="C2884" s="213" t="s">
        <v>4367</v>
      </c>
      <c r="D2884" s="213" t="s">
        <v>4369</v>
      </c>
      <c r="E2884" s="213" t="s">
        <v>4371</v>
      </c>
      <c r="F2884" s="212" t="s">
        <v>4370</v>
      </c>
      <c r="G2884" s="212" t="str">
        <f t="shared" si="136"/>
        <v>135부가세대급금</v>
      </c>
      <c r="H2884" s="214">
        <v>1524</v>
      </c>
      <c r="I2884" s="214">
        <v>0</v>
      </c>
      <c r="J2884" s="214">
        <f t="shared" si="137"/>
        <v>-1524</v>
      </c>
      <c r="K2884" s="212" t="s">
        <v>6193</v>
      </c>
      <c r="L2884" s="213"/>
      <c r="M2884" s="212" t="s">
        <v>6496</v>
      </c>
    </row>
    <row r="2885" spans="1:13" ht="21" customHeight="1">
      <c r="A2885" s="213" t="s">
        <v>6497</v>
      </c>
      <c r="B2885" s="215">
        <f t="shared" si="135"/>
        <v>45842</v>
      </c>
      <c r="C2885" s="213" t="s">
        <v>4367</v>
      </c>
      <c r="D2885" s="213" t="s">
        <v>4369</v>
      </c>
      <c r="E2885" s="213" t="s">
        <v>4386</v>
      </c>
      <c r="F2885" s="212" t="s">
        <v>6420</v>
      </c>
      <c r="G2885" s="212" t="str">
        <f t="shared" si="136"/>
        <v>814통신비(판)</v>
      </c>
      <c r="H2885" s="214">
        <v>15244</v>
      </c>
      <c r="I2885" s="214">
        <v>0</v>
      </c>
      <c r="J2885" s="214">
        <f t="shared" si="137"/>
        <v>-15244</v>
      </c>
      <c r="K2885" s="212" t="s">
        <v>6193</v>
      </c>
      <c r="L2885" s="213"/>
      <c r="M2885" s="212" t="s">
        <v>6496</v>
      </c>
    </row>
    <row r="2886" spans="1:13" ht="21" customHeight="1">
      <c r="A2886" s="213" t="s">
        <v>6497</v>
      </c>
      <c r="B2886" s="215">
        <f t="shared" si="135"/>
        <v>45842</v>
      </c>
      <c r="C2886" s="213" t="s">
        <v>4367</v>
      </c>
      <c r="D2886" s="213" t="s">
        <v>4366</v>
      </c>
      <c r="E2886" s="213" t="s">
        <v>333</v>
      </c>
      <c r="F2886" s="212" t="s">
        <v>4365</v>
      </c>
      <c r="G2886" s="212" t="str">
        <f t="shared" si="136"/>
        <v>101현금</v>
      </c>
      <c r="H2886" s="214">
        <v>0</v>
      </c>
      <c r="I2886" s="214">
        <v>16768</v>
      </c>
      <c r="J2886" s="214">
        <f t="shared" si="137"/>
        <v>16768</v>
      </c>
      <c r="K2886" s="212" t="s">
        <v>6193</v>
      </c>
      <c r="L2886" s="213"/>
      <c r="M2886" s="212" t="s">
        <v>6496</v>
      </c>
    </row>
    <row r="2887" spans="1:13" ht="21" customHeight="1">
      <c r="A2887" s="217" t="s">
        <v>6495</v>
      </c>
      <c r="B2887" s="215">
        <f t="shared" si="135"/>
        <v>45843</v>
      </c>
      <c r="C2887" s="213" t="s">
        <v>4367</v>
      </c>
      <c r="D2887" s="213" t="s">
        <v>4366</v>
      </c>
      <c r="E2887" s="213" t="s">
        <v>6176</v>
      </c>
      <c r="F2887" s="212" t="s">
        <v>6177</v>
      </c>
      <c r="G2887" s="212" t="str">
        <f t="shared" si="136"/>
        <v>255부가세예수금</v>
      </c>
      <c r="H2887" s="214">
        <v>0</v>
      </c>
      <c r="I2887" s="214">
        <v>40000</v>
      </c>
      <c r="J2887" s="214">
        <f t="shared" si="137"/>
        <v>40000</v>
      </c>
      <c r="K2887" s="212" t="s">
        <v>6187</v>
      </c>
      <c r="L2887" s="213"/>
      <c r="M2887" s="212" t="s">
        <v>6188</v>
      </c>
    </row>
    <row r="2888" spans="1:13" ht="21" customHeight="1">
      <c r="A2888" s="217" t="s">
        <v>6495</v>
      </c>
      <c r="B2888" s="215">
        <f t="shared" si="135"/>
        <v>45843</v>
      </c>
      <c r="C2888" s="213" t="s">
        <v>4367</v>
      </c>
      <c r="D2888" s="213" t="s">
        <v>4366</v>
      </c>
      <c r="E2888" s="213" t="s">
        <v>334</v>
      </c>
      <c r="F2888" s="212" t="s">
        <v>6158</v>
      </c>
      <c r="G2888" s="212" t="str">
        <f t="shared" si="136"/>
        <v>401용역매출</v>
      </c>
      <c r="H2888" s="214">
        <v>0</v>
      </c>
      <c r="I2888" s="214">
        <v>400000</v>
      </c>
      <c r="J2888" s="214">
        <f t="shared" si="137"/>
        <v>400000</v>
      </c>
      <c r="K2888" s="212" t="s">
        <v>6187</v>
      </c>
      <c r="L2888" s="213"/>
      <c r="M2888" s="212" t="s">
        <v>6188</v>
      </c>
    </row>
    <row r="2889" spans="1:13" ht="21" customHeight="1">
      <c r="A2889" s="217" t="s">
        <v>6495</v>
      </c>
      <c r="B2889" s="215">
        <f t="shared" si="135"/>
        <v>45843</v>
      </c>
      <c r="C2889" s="213" t="s">
        <v>4367</v>
      </c>
      <c r="D2889" s="213" t="s">
        <v>4369</v>
      </c>
      <c r="E2889" s="213" t="s">
        <v>333</v>
      </c>
      <c r="F2889" s="212" t="s">
        <v>4365</v>
      </c>
      <c r="G2889" s="212" t="str">
        <f t="shared" si="136"/>
        <v>101현금</v>
      </c>
      <c r="H2889" s="214">
        <v>440000</v>
      </c>
      <c r="I2889" s="214">
        <v>0</v>
      </c>
      <c r="J2889" s="214">
        <f t="shared" si="137"/>
        <v>-440000</v>
      </c>
      <c r="K2889" s="212" t="s">
        <v>6187</v>
      </c>
      <c r="L2889" s="213"/>
      <c r="M2889" s="212" t="s">
        <v>6188</v>
      </c>
    </row>
    <row r="2890" spans="1:13" ht="21" customHeight="1">
      <c r="A2890" s="217" t="s">
        <v>6495</v>
      </c>
      <c r="B2890" s="215">
        <f t="shared" si="135"/>
        <v>45843</v>
      </c>
      <c r="C2890" s="213" t="s">
        <v>4374</v>
      </c>
      <c r="D2890" s="213" t="s">
        <v>4366</v>
      </c>
      <c r="E2890" s="213" t="s">
        <v>6176</v>
      </c>
      <c r="F2890" s="212" t="s">
        <v>6177</v>
      </c>
      <c r="G2890" s="212" t="str">
        <f t="shared" si="136"/>
        <v>255부가세예수금</v>
      </c>
      <c r="H2890" s="214">
        <v>0</v>
      </c>
      <c r="I2890" s="214">
        <v>15000</v>
      </c>
      <c r="J2890" s="214">
        <f t="shared" si="137"/>
        <v>15000</v>
      </c>
      <c r="K2890" s="212" t="s">
        <v>6178</v>
      </c>
      <c r="L2890" s="213"/>
      <c r="M2890" s="212" t="s">
        <v>6179</v>
      </c>
    </row>
    <row r="2891" spans="1:13" ht="21" customHeight="1">
      <c r="A2891" s="217" t="s">
        <v>6495</v>
      </c>
      <c r="B2891" s="215">
        <f t="shared" si="135"/>
        <v>45843</v>
      </c>
      <c r="C2891" s="213" t="s">
        <v>4374</v>
      </c>
      <c r="D2891" s="213" t="s">
        <v>4366</v>
      </c>
      <c r="E2891" s="213" t="s">
        <v>334</v>
      </c>
      <c r="F2891" s="212" t="s">
        <v>6158</v>
      </c>
      <c r="G2891" s="212" t="str">
        <f t="shared" si="136"/>
        <v>401용역매출</v>
      </c>
      <c r="H2891" s="214">
        <v>0</v>
      </c>
      <c r="I2891" s="214">
        <v>150000</v>
      </c>
      <c r="J2891" s="214">
        <f t="shared" si="137"/>
        <v>150000</v>
      </c>
      <c r="K2891" s="212" t="s">
        <v>6178</v>
      </c>
      <c r="L2891" s="213"/>
      <c r="M2891" s="212" t="s">
        <v>6179</v>
      </c>
    </row>
    <row r="2892" spans="1:13" ht="21" customHeight="1">
      <c r="A2892" s="217" t="s">
        <v>6495</v>
      </c>
      <c r="B2892" s="215">
        <f t="shared" si="135"/>
        <v>45843</v>
      </c>
      <c r="C2892" s="213" t="s">
        <v>4374</v>
      </c>
      <c r="D2892" s="213" t="s">
        <v>4369</v>
      </c>
      <c r="E2892" s="213" t="s">
        <v>333</v>
      </c>
      <c r="F2892" s="212" t="s">
        <v>4365</v>
      </c>
      <c r="G2892" s="212" t="str">
        <f t="shared" si="136"/>
        <v>101현금</v>
      </c>
      <c r="H2892" s="214">
        <v>165000</v>
      </c>
      <c r="I2892" s="214">
        <v>0</v>
      </c>
      <c r="J2892" s="214">
        <f t="shared" si="137"/>
        <v>-165000</v>
      </c>
      <c r="K2892" s="212" t="s">
        <v>6178</v>
      </c>
      <c r="L2892" s="213"/>
      <c r="M2892" s="212" t="s">
        <v>6179</v>
      </c>
    </row>
    <row r="2893" spans="1:13" ht="21" customHeight="1">
      <c r="A2893" s="213" t="s">
        <v>6494</v>
      </c>
      <c r="B2893" s="215">
        <f t="shared" si="135"/>
        <v>45845</v>
      </c>
      <c r="C2893" s="213" t="s">
        <v>4367</v>
      </c>
      <c r="D2893" s="213" t="s">
        <v>4366</v>
      </c>
      <c r="E2893" s="213" t="s">
        <v>6176</v>
      </c>
      <c r="F2893" s="212" t="s">
        <v>6177</v>
      </c>
      <c r="G2893" s="212" t="str">
        <f t="shared" si="136"/>
        <v>255부가세예수금</v>
      </c>
      <c r="H2893" s="214">
        <v>0</v>
      </c>
      <c r="I2893" s="214">
        <v>100000</v>
      </c>
      <c r="J2893" s="214">
        <f t="shared" si="137"/>
        <v>100000</v>
      </c>
      <c r="K2893" s="212" t="s">
        <v>6339</v>
      </c>
      <c r="L2893" s="213"/>
      <c r="M2893" s="212" t="s">
        <v>6301</v>
      </c>
    </row>
    <row r="2894" spans="1:13" ht="21" customHeight="1">
      <c r="A2894" s="213" t="s">
        <v>6494</v>
      </c>
      <c r="B2894" s="215">
        <f t="shared" si="135"/>
        <v>45845</v>
      </c>
      <c r="C2894" s="213" t="s">
        <v>4367</v>
      </c>
      <c r="D2894" s="213" t="s">
        <v>4366</v>
      </c>
      <c r="E2894" s="213" t="s">
        <v>334</v>
      </c>
      <c r="F2894" s="212" t="s">
        <v>6158</v>
      </c>
      <c r="G2894" s="212" t="str">
        <f t="shared" si="136"/>
        <v>401용역매출</v>
      </c>
      <c r="H2894" s="214">
        <v>0</v>
      </c>
      <c r="I2894" s="214">
        <v>1000000</v>
      </c>
      <c r="J2894" s="214">
        <f t="shared" si="137"/>
        <v>1000000</v>
      </c>
      <c r="K2894" s="212" t="s">
        <v>6339</v>
      </c>
      <c r="L2894" s="213"/>
      <c r="M2894" s="212" t="s">
        <v>6301</v>
      </c>
    </row>
    <row r="2895" spans="1:13" ht="21" customHeight="1">
      <c r="A2895" s="213" t="s">
        <v>6494</v>
      </c>
      <c r="B2895" s="215">
        <f t="shared" si="135"/>
        <v>45845</v>
      </c>
      <c r="C2895" s="213" t="s">
        <v>4367</v>
      </c>
      <c r="D2895" s="213" t="s">
        <v>4369</v>
      </c>
      <c r="E2895" s="213" t="s">
        <v>333</v>
      </c>
      <c r="F2895" s="212" t="s">
        <v>4365</v>
      </c>
      <c r="G2895" s="212" t="str">
        <f t="shared" si="136"/>
        <v>101현금</v>
      </c>
      <c r="H2895" s="214">
        <v>1100000</v>
      </c>
      <c r="I2895" s="214">
        <v>0</v>
      </c>
      <c r="J2895" s="214">
        <f t="shared" si="137"/>
        <v>-1100000</v>
      </c>
      <c r="K2895" s="212" t="s">
        <v>6339</v>
      </c>
      <c r="L2895" s="213"/>
      <c r="M2895" s="212" t="s">
        <v>6301</v>
      </c>
    </row>
    <row r="2896" spans="1:13" ht="21" customHeight="1">
      <c r="A2896" s="213" t="s">
        <v>6494</v>
      </c>
      <c r="B2896" s="215">
        <f t="shared" si="135"/>
        <v>45845</v>
      </c>
      <c r="C2896" s="213" t="s">
        <v>4374</v>
      </c>
      <c r="D2896" s="213" t="s">
        <v>4369</v>
      </c>
      <c r="E2896" s="213" t="s">
        <v>4371</v>
      </c>
      <c r="F2896" s="212" t="s">
        <v>4370</v>
      </c>
      <c r="G2896" s="212" t="str">
        <f t="shared" si="136"/>
        <v>135부가세대급금</v>
      </c>
      <c r="H2896" s="214">
        <v>1920</v>
      </c>
      <c r="I2896" s="214">
        <v>0</v>
      </c>
      <c r="J2896" s="214">
        <f t="shared" si="137"/>
        <v>-1920</v>
      </c>
      <c r="K2896" s="212" t="s">
        <v>4524</v>
      </c>
      <c r="L2896" s="213"/>
      <c r="M2896" s="212" t="s">
        <v>6199</v>
      </c>
    </row>
    <row r="2897" spans="1:13" ht="21" customHeight="1">
      <c r="A2897" s="213" t="s">
        <v>6494</v>
      </c>
      <c r="B2897" s="215">
        <f t="shared" si="135"/>
        <v>45845</v>
      </c>
      <c r="C2897" s="213" t="s">
        <v>4374</v>
      </c>
      <c r="D2897" s="213" t="s">
        <v>4369</v>
      </c>
      <c r="E2897" s="213" t="s">
        <v>4386</v>
      </c>
      <c r="F2897" s="212" t="s">
        <v>6420</v>
      </c>
      <c r="G2897" s="212" t="str">
        <f t="shared" si="136"/>
        <v>814통신비(판)</v>
      </c>
      <c r="H2897" s="214">
        <v>19200</v>
      </c>
      <c r="I2897" s="214">
        <v>0</v>
      </c>
      <c r="J2897" s="214">
        <f t="shared" si="137"/>
        <v>-19200</v>
      </c>
      <c r="K2897" s="212" t="s">
        <v>4524</v>
      </c>
      <c r="L2897" s="213"/>
      <c r="M2897" s="212" t="s">
        <v>6199</v>
      </c>
    </row>
    <row r="2898" spans="1:13" ht="21" customHeight="1">
      <c r="A2898" s="213" t="s">
        <v>6494</v>
      </c>
      <c r="B2898" s="215">
        <f t="shared" si="135"/>
        <v>45845</v>
      </c>
      <c r="C2898" s="213" t="s">
        <v>4374</v>
      </c>
      <c r="D2898" s="213" t="s">
        <v>4366</v>
      </c>
      <c r="E2898" s="213" t="s">
        <v>333</v>
      </c>
      <c r="F2898" s="212" t="s">
        <v>4365</v>
      </c>
      <c r="G2898" s="212" t="str">
        <f t="shared" si="136"/>
        <v>101현금</v>
      </c>
      <c r="H2898" s="214">
        <v>0</v>
      </c>
      <c r="I2898" s="214">
        <v>21120</v>
      </c>
      <c r="J2898" s="214">
        <f t="shared" si="137"/>
        <v>21120</v>
      </c>
      <c r="K2898" s="212" t="s">
        <v>4524</v>
      </c>
      <c r="L2898" s="213"/>
      <c r="M2898" s="212" t="s">
        <v>6199</v>
      </c>
    </row>
    <row r="2899" spans="1:13" ht="21" customHeight="1">
      <c r="A2899" s="213" t="s">
        <v>6494</v>
      </c>
      <c r="B2899" s="215">
        <f t="shared" si="135"/>
        <v>45845</v>
      </c>
      <c r="C2899" s="213" t="s">
        <v>6182</v>
      </c>
      <c r="D2899" s="213" t="s">
        <v>4366</v>
      </c>
      <c r="E2899" s="213" t="s">
        <v>333</v>
      </c>
      <c r="F2899" s="212" t="s">
        <v>4365</v>
      </c>
      <c r="G2899" s="212" t="str">
        <f t="shared" si="136"/>
        <v>101현금</v>
      </c>
      <c r="H2899" s="214">
        <v>0</v>
      </c>
      <c r="I2899" s="214">
        <v>5500</v>
      </c>
      <c r="J2899" s="214">
        <f t="shared" si="137"/>
        <v>5500</v>
      </c>
      <c r="K2899" s="212" t="s">
        <v>6284</v>
      </c>
      <c r="L2899" s="213"/>
      <c r="M2899" s="212" t="s">
        <v>6285</v>
      </c>
    </row>
    <row r="2900" spans="1:13" ht="21" customHeight="1">
      <c r="A2900" s="213" t="s">
        <v>6494</v>
      </c>
      <c r="B2900" s="215">
        <f t="shared" si="135"/>
        <v>45845</v>
      </c>
      <c r="C2900" s="213" t="s">
        <v>6182</v>
      </c>
      <c r="D2900" s="213" t="s">
        <v>4369</v>
      </c>
      <c r="E2900" s="213" t="s">
        <v>4500</v>
      </c>
      <c r="F2900" s="212" t="s">
        <v>6418</v>
      </c>
      <c r="G2900" s="212" t="str">
        <f t="shared" si="136"/>
        <v>822차량유지비(판)</v>
      </c>
      <c r="H2900" s="214">
        <v>5500</v>
      </c>
      <c r="I2900" s="214">
        <v>0</v>
      </c>
      <c r="J2900" s="214">
        <f t="shared" si="137"/>
        <v>-5500</v>
      </c>
      <c r="K2900" s="212" t="s">
        <v>6284</v>
      </c>
      <c r="L2900" s="213"/>
      <c r="M2900" s="212" t="s">
        <v>6285</v>
      </c>
    </row>
    <row r="2901" spans="1:13" ht="21" customHeight="1">
      <c r="A2901" s="213" t="s">
        <v>6489</v>
      </c>
      <c r="B2901" s="215">
        <f t="shared" si="135"/>
        <v>45848</v>
      </c>
      <c r="C2901" s="213" t="s">
        <v>4373</v>
      </c>
      <c r="D2901" s="213" t="s">
        <v>4369</v>
      </c>
      <c r="E2901" s="213" t="s">
        <v>4505</v>
      </c>
      <c r="F2901" s="212" t="s">
        <v>4506</v>
      </c>
      <c r="G2901" s="212" t="str">
        <f t="shared" si="136"/>
        <v>254예수금</v>
      </c>
      <c r="H2901" s="214">
        <v>204180</v>
      </c>
      <c r="I2901" s="214">
        <v>0</v>
      </c>
      <c r="J2901" s="214">
        <f t="shared" si="137"/>
        <v>-204180</v>
      </c>
      <c r="K2901" s="212" t="s">
        <v>4522</v>
      </c>
      <c r="L2901" s="213" t="s">
        <v>6411</v>
      </c>
      <c r="M2901" s="212" t="s">
        <v>6493</v>
      </c>
    </row>
    <row r="2902" spans="1:13" ht="21" customHeight="1">
      <c r="A2902" s="213" t="s">
        <v>6489</v>
      </c>
      <c r="B2902" s="215">
        <f t="shared" si="135"/>
        <v>45848</v>
      </c>
      <c r="C2902" s="213" t="s">
        <v>4373</v>
      </c>
      <c r="D2902" s="213" t="s">
        <v>4366</v>
      </c>
      <c r="E2902" s="213" t="s">
        <v>333</v>
      </c>
      <c r="F2902" s="212" t="s">
        <v>4365</v>
      </c>
      <c r="G2902" s="212" t="str">
        <f t="shared" si="136"/>
        <v>101현금</v>
      </c>
      <c r="H2902" s="214">
        <v>0</v>
      </c>
      <c r="I2902" s="214">
        <v>712440</v>
      </c>
      <c r="J2902" s="214">
        <f t="shared" si="137"/>
        <v>712440</v>
      </c>
      <c r="K2902" s="212" t="s">
        <v>4522</v>
      </c>
      <c r="L2902" s="213" t="s">
        <v>6411</v>
      </c>
      <c r="M2902" s="212" t="s">
        <v>6493</v>
      </c>
    </row>
    <row r="2903" spans="1:13" ht="21" customHeight="1">
      <c r="A2903" s="213" t="s">
        <v>6489</v>
      </c>
      <c r="B2903" s="215">
        <f t="shared" si="135"/>
        <v>45848</v>
      </c>
      <c r="C2903" s="213" t="s">
        <v>4373</v>
      </c>
      <c r="D2903" s="213" t="s">
        <v>4369</v>
      </c>
      <c r="E2903" s="213" t="s">
        <v>4509</v>
      </c>
      <c r="F2903" s="212" t="s">
        <v>6491</v>
      </c>
      <c r="G2903" s="212" t="str">
        <f t="shared" si="136"/>
        <v>821보험료(판)</v>
      </c>
      <c r="H2903" s="214">
        <v>508260</v>
      </c>
      <c r="I2903" s="214">
        <v>0</v>
      </c>
      <c r="J2903" s="214">
        <f t="shared" si="137"/>
        <v>-508260</v>
      </c>
      <c r="K2903" s="212" t="s">
        <v>4522</v>
      </c>
      <c r="L2903" s="213" t="s">
        <v>6411</v>
      </c>
      <c r="M2903" s="212" t="s">
        <v>6493</v>
      </c>
    </row>
    <row r="2904" spans="1:13" ht="21" customHeight="1">
      <c r="A2904" s="213" t="s">
        <v>6489</v>
      </c>
      <c r="B2904" s="215">
        <f t="shared" si="135"/>
        <v>45848</v>
      </c>
      <c r="C2904" s="213" t="s">
        <v>4382</v>
      </c>
      <c r="D2904" s="213" t="s">
        <v>4369</v>
      </c>
      <c r="E2904" s="213" t="s">
        <v>4505</v>
      </c>
      <c r="F2904" s="212" t="s">
        <v>4506</v>
      </c>
      <c r="G2904" s="212" t="str">
        <f t="shared" si="136"/>
        <v>254예수금</v>
      </c>
      <c r="H2904" s="214">
        <v>149400</v>
      </c>
      <c r="I2904" s="214">
        <v>0</v>
      </c>
      <c r="J2904" s="214">
        <f t="shared" si="137"/>
        <v>-149400</v>
      </c>
      <c r="K2904" s="212" t="s">
        <v>4523</v>
      </c>
      <c r="L2904" s="213" t="s">
        <v>6411</v>
      </c>
      <c r="M2904" s="212" t="s">
        <v>6492</v>
      </c>
    </row>
    <row r="2905" spans="1:13" ht="21" customHeight="1">
      <c r="A2905" s="213" t="s">
        <v>6489</v>
      </c>
      <c r="B2905" s="215">
        <f t="shared" si="135"/>
        <v>45848</v>
      </c>
      <c r="C2905" s="213" t="s">
        <v>4382</v>
      </c>
      <c r="D2905" s="213" t="s">
        <v>4366</v>
      </c>
      <c r="E2905" s="213" t="s">
        <v>333</v>
      </c>
      <c r="F2905" s="212" t="s">
        <v>4365</v>
      </c>
      <c r="G2905" s="212" t="str">
        <f t="shared" si="136"/>
        <v>101현금</v>
      </c>
      <c r="H2905" s="214">
        <v>0</v>
      </c>
      <c r="I2905" s="214">
        <v>298800</v>
      </c>
      <c r="J2905" s="214">
        <f t="shared" si="137"/>
        <v>298800</v>
      </c>
      <c r="K2905" s="212" t="s">
        <v>4523</v>
      </c>
      <c r="L2905" s="213" t="s">
        <v>6411</v>
      </c>
      <c r="M2905" s="212" t="s">
        <v>6492</v>
      </c>
    </row>
    <row r="2906" spans="1:13" ht="21" customHeight="1">
      <c r="A2906" s="213" t="s">
        <v>6489</v>
      </c>
      <c r="B2906" s="215">
        <f t="shared" si="135"/>
        <v>45848</v>
      </c>
      <c r="C2906" s="213" t="s">
        <v>4382</v>
      </c>
      <c r="D2906" s="213" t="s">
        <v>4369</v>
      </c>
      <c r="E2906" s="213" t="s">
        <v>4507</v>
      </c>
      <c r="F2906" s="212" t="s">
        <v>6468</v>
      </c>
      <c r="G2906" s="212" t="str">
        <f t="shared" si="136"/>
        <v>817세금과공과금(판)</v>
      </c>
      <c r="H2906" s="214">
        <v>149400</v>
      </c>
      <c r="I2906" s="214">
        <v>0</v>
      </c>
      <c r="J2906" s="214">
        <f t="shared" si="137"/>
        <v>-149400</v>
      </c>
      <c r="K2906" s="212" t="s">
        <v>4523</v>
      </c>
      <c r="L2906" s="213" t="s">
        <v>6411</v>
      </c>
      <c r="M2906" s="212" t="s">
        <v>6492</v>
      </c>
    </row>
    <row r="2907" spans="1:13" ht="21" customHeight="1">
      <c r="A2907" s="213" t="s">
        <v>6489</v>
      </c>
      <c r="B2907" s="215">
        <f t="shared" si="135"/>
        <v>45848</v>
      </c>
      <c r="C2907" s="213" t="s">
        <v>4381</v>
      </c>
      <c r="D2907" s="213" t="s">
        <v>4369</v>
      </c>
      <c r="E2907" s="213" t="s">
        <v>4505</v>
      </c>
      <c r="F2907" s="212" t="s">
        <v>4506</v>
      </c>
      <c r="G2907" s="212" t="str">
        <f t="shared" si="136"/>
        <v>254예수금</v>
      </c>
      <c r="H2907" s="214">
        <v>6300</v>
      </c>
      <c r="I2907" s="214">
        <v>0</v>
      </c>
      <c r="J2907" s="214">
        <f t="shared" si="137"/>
        <v>-6300</v>
      </c>
      <c r="K2907" s="212" t="s">
        <v>4508</v>
      </c>
      <c r="L2907" s="213" t="s">
        <v>6411</v>
      </c>
      <c r="M2907" s="212" t="s">
        <v>6490</v>
      </c>
    </row>
    <row r="2908" spans="1:13" ht="21" customHeight="1">
      <c r="A2908" s="213" t="s">
        <v>6489</v>
      </c>
      <c r="B2908" s="215">
        <f t="shared" si="135"/>
        <v>45848</v>
      </c>
      <c r="C2908" s="213" t="s">
        <v>4381</v>
      </c>
      <c r="D2908" s="213" t="s">
        <v>4366</v>
      </c>
      <c r="E2908" s="213" t="s">
        <v>333</v>
      </c>
      <c r="F2908" s="212" t="s">
        <v>4365</v>
      </c>
      <c r="G2908" s="212" t="str">
        <f t="shared" si="136"/>
        <v>101현금</v>
      </c>
      <c r="H2908" s="214">
        <v>0</v>
      </c>
      <c r="I2908" s="214">
        <v>14350</v>
      </c>
      <c r="J2908" s="214">
        <f t="shared" si="137"/>
        <v>14350</v>
      </c>
      <c r="K2908" s="212" t="s">
        <v>4508</v>
      </c>
      <c r="L2908" s="213" t="s">
        <v>6411</v>
      </c>
      <c r="M2908" s="212" t="s">
        <v>6490</v>
      </c>
    </row>
    <row r="2909" spans="1:13" ht="21" customHeight="1">
      <c r="A2909" s="213" t="s">
        <v>6489</v>
      </c>
      <c r="B2909" s="215">
        <f t="shared" si="135"/>
        <v>45848</v>
      </c>
      <c r="C2909" s="213" t="s">
        <v>4381</v>
      </c>
      <c r="D2909" s="213" t="s">
        <v>4369</v>
      </c>
      <c r="E2909" s="213" t="s">
        <v>4509</v>
      </c>
      <c r="F2909" s="212" t="s">
        <v>6491</v>
      </c>
      <c r="G2909" s="212" t="str">
        <f t="shared" si="136"/>
        <v>821보험료(판)</v>
      </c>
      <c r="H2909" s="214">
        <v>8050</v>
      </c>
      <c r="I2909" s="214">
        <v>0</v>
      </c>
      <c r="J2909" s="214">
        <f t="shared" si="137"/>
        <v>-8050</v>
      </c>
      <c r="K2909" s="212" t="s">
        <v>4508</v>
      </c>
      <c r="L2909" s="213" t="s">
        <v>6411</v>
      </c>
      <c r="M2909" s="212" t="s">
        <v>6490</v>
      </c>
    </row>
    <row r="2910" spans="1:13" ht="21" customHeight="1">
      <c r="A2910" s="213" t="s">
        <v>6489</v>
      </c>
      <c r="B2910" s="215">
        <f t="shared" si="135"/>
        <v>45848</v>
      </c>
      <c r="C2910" s="213" t="s">
        <v>4367</v>
      </c>
      <c r="D2910" s="213" t="s">
        <v>4366</v>
      </c>
      <c r="E2910" s="213" t="s">
        <v>6176</v>
      </c>
      <c r="F2910" s="212" t="s">
        <v>6177</v>
      </c>
      <c r="G2910" s="212" t="str">
        <f t="shared" si="136"/>
        <v>255부가세예수금</v>
      </c>
      <c r="H2910" s="214">
        <v>0</v>
      </c>
      <c r="I2910" s="214">
        <v>10000</v>
      </c>
      <c r="J2910" s="214">
        <f t="shared" si="137"/>
        <v>10000</v>
      </c>
      <c r="K2910" s="212" t="s">
        <v>6235</v>
      </c>
      <c r="L2910" s="213"/>
      <c r="M2910" s="212" t="s">
        <v>6185</v>
      </c>
    </row>
    <row r="2911" spans="1:13" ht="21" customHeight="1">
      <c r="A2911" s="213" t="s">
        <v>6489</v>
      </c>
      <c r="B2911" s="215">
        <f t="shared" si="135"/>
        <v>45848</v>
      </c>
      <c r="C2911" s="213" t="s">
        <v>4367</v>
      </c>
      <c r="D2911" s="213" t="s">
        <v>4366</v>
      </c>
      <c r="E2911" s="213" t="s">
        <v>334</v>
      </c>
      <c r="F2911" s="212" t="s">
        <v>6158</v>
      </c>
      <c r="G2911" s="212" t="str">
        <f t="shared" si="136"/>
        <v>401용역매출</v>
      </c>
      <c r="H2911" s="214">
        <v>0</v>
      </c>
      <c r="I2911" s="214">
        <v>100000</v>
      </c>
      <c r="J2911" s="214">
        <f t="shared" si="137"/>
        <v>100000</v>
      </c>
      <c r="K2911" s="212" t="s">
        <v>6235</v>
      </c>
      <c r="L2911" s="213"/>
      <c r="M2911" s="212" t="s">
        <v>6185</v>
      </c>
    </row>
    <row r="2912" spans="1:13" ht="21" customHeight="1">
      <c r="A2912" s="213" t="s">
        <v>6489</v>
      </c>
      <c r="B2912" s="215">
        <f t="shared" si="135"/>
        <v>45848</v>
      </c>
      <c r="C2912" s="213" t="s">
        <v>4367</v>
      </c>
      <c r="D2912" s="213" t="s">
        <v>4369</v>
      </c>
      <c r="E2912" s="213" t="s">
        <v>333</v>
      </c>
      <c r="F2912" s="212" t="s">
        <v>4365</v>
      </c>
      <c r="G2912" s="212" t="str">
        <f t="shared" si="136"/>
        <v>101현금</v>
      </c>
      <c r="H2912" s="214">
        <v>110000</v>
      </c>
      <c r="I2912" s="214">
        <v>0</v>
      </c>
      <c r="J2912" s="214">
        <f t="shared" si="137"/>
        <v>-110000</v>
      </c>
      <c r="K2912" s="212" t="s">
        <v>6235</v>
      </c>
      <c r="L2912" s="213"/>
      <c r="M2912" s="212" t="s">
        <v>6185</v>
      </c>
    </row>
    <row r="2913" spans="1:13" ht="21" customHeight="1">
      <c r="A2913" s="213" t="s">
        <v>6488</v>
      </c>
      <c r="B2913" s="215">
        <f t="shared" si="135"/>
        <v>45849</v>
      </c>
      <c r="C2913" s="213" t="s">
        <v>4367</v>
      </c>
      <c r="D2913" s="213" t="s">
        <v>4366</v>
      </c>
      <c r="E2913" s="213" t="s">
        <v>6176</v>
      </c>
      <c r="F2913" s="212" t="s">
        <v>6177</v>
      </c>
      <c r="G2913" s="212" t="str">
        <f t="shared" si="136"/>
        <v>255부가세예수금</v>
      </c>
      <c r="H2913" s="214">
        <v>0</v>
      </c>
      <c r="I2913" s="214">
        <v>10000</v>
      </c>
      <c r="J2913" s="214">
        <f t="shared" si="137"/>
        <v>10000</v>
      </c>
      <c r="K2913" s="212" t="s">
        <v>6317</v>
      </c>
      <c r="L2913" s="213"/>
      <c r="M2913" s="212" t="s">
        <v>6185</v>
      </c>
    </row>
    <row r="2914" spans="1:13" ht="21" customHeight="1">
      <c r="A2914" s="213" t="s">
        <v>6488</v>
      </c>
      <c r="B2914" s="215">
        <f t="shared" si="135"/>
        <v>45849</v>
      </c>
      <c r="C2914" s="213" t="s">
        <v>4367</v>
      </c>
      <c r="D2914" s="213" t="s">
        <v>4366</v>
      </c>
      <c r="E2914" s="213" t="s">
        <v>334</v>
      </c>
      <c r="F2914" s="212" t="s">
        <v>6158</v>
      </c>
      <c r="G2914" s="212" t="str">
        <f t="shared" si="136"/>
        <v>401용역매출</v>
      </c>
      <c r="H2914" s="214">
        <v>0</v>
      </c>
      <c r="I2914" s="214">
        <v>100000</v>
      </c>
      <c r="J2914" s="214">
        <f t="shared" si="137"/>
        <v>100000</v>
      </c>
      <c r="K2914" s="212" t="s">
        <v>6317</v>
      </c>
      <c r="L2914" s="213"/>
      <c r="M2914" s="212" t="s">
        <v>6185</v>
      </c>
    </row>
    <row r="2915" spans="1:13" ht="21" customHeight="1">
      <c r="A2915" s="213" t="s">
        <v>6488</v>
      </c>
      <c r="B2915" s="215">
        <f t="shared" si="135"/>
        <v>45849</v>
      </c>
      <c r="C2915" s="213" t="s">
        <v>4367</v>
      </c>
      <c r="D2915" s="213" t="s">
        <v>4369</v>
      </c>
      <c r="E2915" s="213" t="s">
        <v>333</v>
      </c>
      <c r="F2915" s="212" t="s">
        <v>4365</v>
      </c>
      <c r="G2915" s="212" t="str">
        <f t="shared" si="136"/>
        <v>101현금</v>
      </c>
      <c r="H2915" s="214">
        <v>110000</v>
      </c>
      <c r="I2915" s="214">
        <v>0</v>
      </c>
      <c r="J2915" s="214">
        <f t="shared" si="137"/>
        <v>-110000</v>
      </c>
      <c r="K2915" s="212" t="s">
        <v>6317</v>
      </c>
      <c r="L2915" s="213"/>
      <c r="M2915" s="212" t="s">
        <v>6185</v>
      </c>
    </row>
    <row r="2916" spans="1:13" ht="21" customHeight="1">
      <c r="A2916" s="217" t="s">
        <v>6487</v>
      </c>
      <c r="B2916" s="215">
        <f t="shared" si="135"/>
        <v>45850</v>
      </c>
      <c r="C2916" s="213" t="s">
        <v>4367</v>
      </c>
      <c r="D2916" s="213" t="s">
        <v>4366</v>
      </c>
      <c r="E2916" s="213" t="s">
        <v>6176</v>
      </c>
      <c r="F2916" s="212" t="s">
        <v>6177</v>
      </c>
      <c r="G2916" s="212" t="str">
        <f t="shared" si="136"/>
        <v>255부가세예수금</v>
      </c>
      <c r="H2916" s="214">
        <v>0</v>
      </c>
      <c r="I2916" s="214">
        <v>15000</v>
      </c>
      <c r="J2916" s="214">
        <f t="shared" si="137"/>
        <v>15000</v>
      </c>
      <c r="K2916" s="212" t="s">
        <v>6201</v>
      </c>
      <c r="L2916" s="213"/>
      <c r="M2916" s="212" t="s">
        <v>6179</v>
      </c>
    </row>
    <row r="2917" spans="1:13" ht="21" customHeight="1">
      <c r="A2917" s="217" t="s">
        <v>6487</v>
      </c>
      <c r="B2917" s="215">
        <f t="shared" si="135"/>
        <v>45850</v>
      </c>
      <c r="C2917" s="213" t="s">
        <v>4367</v>
      </c>
      <c r="D2917" s="213" t="s">
        <v>4366</v>
      </c>
      <c r="E2917" s="213" t="s">
        <v>334</v>
      </c>
      <c r="F2917" s="212" t="s">
        <v>6158</v>
      </c>
      <c r="G2917" s="212" t="str">
        <f t="shared" si="136"/>
        <v>401용역매출</v>
      </c>
      <c r="H2917" s="214">
        <v>0</v>
      </c>
      <c r="I2917" s="214">
        <v>150000</v>
      </c>
      <c r="J2917" s="214">
        <f t="shared" si="137"/>
        <v>150000</v>
      </c>
      <c r="K2917" s="212" t="s">
        <v>6201</v>
      </c>
      <c r="L2917" s="213"/>
      <c r="M2917" s="212" t="s">
        <v>6179</v>
      </c>
    </row>
    <row r="2918" spans="1:13" ht="21" customHeight="1">
      <c r="A2918" s="217" t="s">
        <v>6487</v>
      </c>
      <c r="B2918" s="215">
        <f t="shared" si="135"/>
        <v>45850</v>
      </c>
      <c r="C2918" s="213" t="s">
        <v>4367</v>
      </c>
      <c r="D2918" s="213" t="s">
        <v>4369</v>
      </c>
      <c r="E2918" s="213" t="s">
        <v>333</v>
      </c>
      <c r="F2918" s="212" t="s">
        <v>4365</v>
      </c>
      <c r="G2918" s="212" t="str">
        <f t="shared" si="136"/>
        <v>101현금</v>
      </c>
      <c r="H2918" s="214">
        <v>165000</v>
      </c>
      <c r="I2918" s="214">
        <v>0</v>
      </c>
      <c r="J2918" s="214">
        <f t="shared" si="137"/>
        <v>-165000</v>
      </c>
      <c r="K2918" s="212" t="s">
        <v>6201</v>
      </c>
      <c r="L2918" s="213"/>
      <c r="M2918" s="212" t="s">
        <v>6179</v>
      </c>
    </row>
    <row r="2919" spans="1:13" ht="21" customHeight="1">
      <c r="A2919" s="213" t="s">
        <v>6486</v>
      </c>
      <c r="B2919" s="215">
        <f t="shared" si="135"/>
        <v>45853</v>
      </c>
      <c r="C2919" s="213" t="s">
        <v>4367</v>
      </c>
      <c r="D2919" s="213" t="s">
        <v>4366</v>
      </c>
      <c r="E2919" s="213" t="s">
        <v>6176</v>
      </c>
      <c r="F2919" s="212" t="s">
        <v>6177</v>
      </c>
      <c r="G2919" s="212" t="str">
        <f t="shared" si="136"/>
        <v>255부가세예수금</v>
      </c>
      <c r="H2919" s="214">
        <v>0</v>
      </c>
      <c r="I2919" s="214">
        <v>13636</v>
      </c>
      <c r="J2919" s="214">
        <f t="shared" si="137"/>
        <v>13636</v>
      </c>
      <c r="K2919" s="212" t="s">
        <v>6204</v>
      </c>
      <c r="L2919" s="213"/>
      <c r="M2919" s="212" t="s">
        <v>6205</v>
      </c>
    </row>
    <row r="2920" spans="1:13" ht="21" customHeight="1">
      <c r="A2920" s="213" t="s">
        <v>6486</v>
      </c>
      <c r="B2920" s="215">
        <f t="shared" si="135"/>
        <v>45853</v>
      </c>
      <c r="C2920" s="213" t="s">
        <v>4367</v>
      </c>
      <c r="D2920" s="213" t="s">
        <v>4366</v>
      </c>
      <c r="E2920" s="213" t="s">
        <v>334</v>
      </c>
      <c r="F2920" s="212" t="s">
        <v>6158</v>
      </c>
      <c r="G2920" s="212" t="str">
        <f t="shared" si="136"/>
        <v>401용역매출</v>
      </c>
      <c r="H2920" s="214">
        <v>0</v>
      </c>
      <c r="I2920" s="214">
        <v>136364</v>
      </c>
      <c r="J2920" s="214">
        <f t="shared" si="137"/>
        <v>136364</v>
      </c>
      <c r="K2920" s="212" t="s">
        <v>6204</v>
      </c>
      <c r="L2920" s="213"/>
      <c r="M2920" s="212" t="s">
        <v>6205</v>
      </c>
    </row>
    <row r="2921" spans="1:13" ht="21" customHeight="1">
      <c r="A2921" s="213" t="s">
        <v>6486</v>
      </c>
      <c r="B2921" s="215">
        <f t="shared" si="135"/>
        <v>45853</v>
      </c>
      <c r="C2921" s="213" t="s">
        <v>4367</v>
      </c>
      <c r="D2921" s="213" t="s">
        <v>4369</v>
      </c>
      <c r="E2921" s="213" t="s">
        <v>333</v>
      </c>
      <c r="F2921" s="212" t="s">
        <v>4365</v>
      </c>
      <c r="G2921" s="212" t="str">
        <f t="shared" si="136"/>
        <v>101현금</v>
      </c>
      <c r="H2921" s="214">
        <v>150000</v>
      </c>
      <c r="I2921" s="214">
        <v>0</v>
      </c>
      <c r="J2921" s="214">
        <f t="shared" si="137"/>
        <v>-150000</v>
      </c>
      <c r="K2921" s="212" t="s">
        <v>6204</v>
      </c>
      <c r="L2921" s="213"/>
      <c r="M2921" s="212" t="s">
        <v>6205</v>
      </c>
    </row>
    <row r="2922" spans="1:13" ht="21" customHeight="1">
      <c r="A2922" s="213" t="s">
        <v>6485</v>
      </c>
      <c r="B2922" s="215">
        <f t="shared" si="135"/>
        <v>45854</v>
      </c>
      <c r="C2922" s="213" t="s">
        <v>4367</v>
      </c>
      <c r="D2922" s="213" t="s">
        <v>4366</v>
      </c>
      <c r="E2922" s="213" t="s">
        <v>6176</v>
      </c>
      <c r="F2922" s="212" t="s">
        <v>6177</v>
      </c>
      <c r="G2922" s="212" t="str">
        <f t="shared" si="136"/>
        <v>255부가세예수금</v>
      </c>
      <c r="H2922" s="214">
        <v>0</v>
      </c>
      <c r="I2922" s="214">
        <v>15000</v>
      </c>
      <c r="J2922" s="214">
        <f t="shared" si="137"/>
        <v>15000</v>
      </c>
      <c r="K2922" s="212" t="s">
        <v>6309</v>
      </c>
      <c r="L2922" s="213"/>
      <c r="M2922" s="212" t="s">
        <v>6179</v>
      </c>
    </row>
    <row r="2923" spans="1:13" ht="21" customHeight="1">
      <c r="A2923" s="213" t="s">
        <v>6485</v>
      </c>
      <c r="B2923" s="215">
        <f t="shared" si="135"/>
        <v>45854</v>
      </c>
      <c r="C2923" s="213" t="s">
        <v>4367</v>
      </c>
      <c r="D2923" s="213" t="s">
        <v>4366</v>
      </c>
      <c r="E2923" s="213" t="s">
        <v>334</v>
      </c>
      <c r="F2923" s="212" t="s">
        <v>6158</v>
      </c>
      <c r="G2923" s="212" t="str">
        <f t="shared" si="136"/>
        <v>401용역매출</v>
      </c>
      <c r="H2923" s="214">
        <v>0</v>
      </c>
      <c r="I2923" s="214">
        <v>150000</v>
      </c>
      <c r="J2923" s="214">
        <f t="shared" si="137"/>
        <v>150000</v>
      </c>
      <c r="K2923" s="212" t="s">
        <v>6309</v>
      </c>
      <c r="L2923" s="213"/>
      <c r="M2923" s="212" t="s">
        <v>6179</v>
      </c>
    </row>
    <row r="2924" spans="1:13" ht="21" customHeight="1">
      <c r="A2924" s="213" t="s">
        <v>6485</v>
      </c>
      <c r="B2924" s="215">
        <f t="shared" si="135"/>
        <v>45854</v>
      </c>
      <c r="C2924" s="213" t="s">
        <v>4367</v>
      </c>
      <c r="D2924" s="213" t="s">
        <v>4369</v>
      </c>
      <c r="E2924" s="213" t="s">
        <v>333</v>
      </c>
      <c r="F2924" s="212" t="s">
        <v>4365</v>
      </c>
      <c r="G2924" s="212" t="str">
        <f t="shared" si="136"/>
        <v>101현금</v>
      </c>
      <c r="H2924" s="214">
        <v>165000</v>
      </c>
      <c r="I2924" s="214">
        <v>0</v>
      </c>
      <c r="J2924" s="214">
        <f t="shared" si="137"/>
        <v>-165000</v>
      </c>
      <c r="K2924" s="212" t="s">
        <v>6309</v>
      </c>
      <c r="L2924" s="213"/>
      <c r="M2924" s="212" t="s">
        <v>6179</v>
      </c>
    </row>
    <row r="2925" spans="1:13" ht="21" customHeight="1">
      <c r="A2925" s="213" t="s">
        <v>6485</v>
      </c>
      <c r="B2925" s="215">
        <f t="shared" si="135"/>
        <v>45854</v>
      </c>
      <c r="C2925" s="213" t="s">
        <v>4374</v>
      </c>
      <c r="D2925" s="213" t="s">
        <v>4366</v>
      </c>
      <c r="E2925" s="213" t="s">
        <v>6176</v>
      </c>
      <c r="F2925" s="212" t="s">
        <v>6177</v>
      </c>
      <c r="G2925" s="212" t="str">
        <f t="shared" si="136"/>
        <v>255부가세예수금</v>
      </c>
      <c r="H2925" s="214">
        <v>0</v>
      </c>
      <c r="I2925" s="214">
        <v>10000</v>
      </c>
      <c r="J2925" s="214">
        <f t="shared" si="137"/>
        <v>10000</v>
      </c>
      <c r="K2925" s="212" t="s">
        <v>6261</v>
      </c>
      <c r="L2925" s="213"/>
      <c r="M2925" s="212" t="s">
        <v>6185</v>
      </c>
    </row>
    <row r="2926" spans="1:13" ht="21" customHeight="1">
      <c r="A2926" s="213" t="s">
        <v>6485</v>
      </c>
      <c r="B2926" s="215">
        <f t="shared" si="135"/>
        <v>45854</v>
      </c>
      <c r="C2926" s="213" t="s">
        <v>4374</v>
      </c>
      <c r="D2926" s="213" t="s">
        <v>4366</v>
      </c>
      <c r="E2926" s="213" t="s">
        <v>334</v>
      </c>
      <c r="F2926" s="212" t="s">
        <v>6158</v>
      </c>
      <c r="G2926" s="212" t="str">
        <f t="shared" si="136"/>
        <v>401용역매출</v>
      </c>
      <c r="H2926" s="214">
        <v>0</v>
      </c>
      <c r="I2926" s="214">
        <v>100000</v>
      </c>
      <c r="J2926" s="214">
        <f t="shared" si="137"/>
        <v>100000</v>
      </c>
      <c r="K2926" s="212" t="s">
        <v>6261</v>
      </c>
      <c r="L2926" s="213"/>
      <c r="M2926" s="212" t="s">
        <v>6185</v>
      </c>
    </row>
    <row r="2927" spans="1:13" ht="21" customHeight="1">
      <c r="A2927" s="213" t="s">
        <v>6485</v>
      </c>
      <c r="B2927" s="215">
        <f t="shared" si="135"/>
        <v>45854</v>
      </c>
      <c r="C2927" s="213" t="s">
        <v>4374</v>
      </c>
      <c r="D2927" s="213" t="s">
        <v>4369</v>
      </c>
      <c r="E2927" s="213" t="s">
        <v>333</v>
      </c>
      <c r="F2927" s="212" t="s">
        <v>4365</v>
      </c>
      <c r="G2927" s="212" t="str">
        <f t="shared" si="136"/>
        <v>101현금</v>
      </c>
      <c r="H2927" s="214">
        <v>110000</v>
      </c>
      <c r="I2927" s="214">
        <v>0</v>
      </c>
      <c r="J2927" s="214">
        <f t="shared" si="137"/>
        <v>-110000</v>
      </c>
      <c r="K2927" s="212" t="s">
        <v>6261</v>
      </c>
      <c r="L2927" s="213"/>
      <c r="M2927" s="212" t="s">
        <v>6185</v>
      </c>
    </row>
    <row r="2928" spans="1:13" ht="21" customHeight="1">
      <c r="A2928" s="213" t="s">
        <v>6485</v>
      </c>
      <c r="B2928" s="215">
        <f t="shared" si="135"/>
        <v>45854</v>
      </c>
      <c r="C2928" s="213" t="s">
        <v>6182</v>
      </c>
      <c r="D2928" s="213" t="s">
        <v>4366</v>
      </c>
      <c r="E2928" s="213" t="s">
        <v>6176</v>
      </c>
      <c r="F2928" s="212" t="s">
        <v>6177</v>
      </c>
      <c r="G2928" s="212" t="str">
        <f t="shared" si="136"/>
        <v>255부가세예수금</v>
      </c>
      <c r="H2928" s="214">
        <v>0</v>
      </c>
      <c r="I2928" s="214">
        <v>20000</v>
      </c>
      <c r="J2928" s="214">
        <f t="shared" si="137"/>
        <v>20000</v>
      </c>
      <c r="K2928" s="212" t="s">
        <v>6263</v>
      </c>
      <c r="L2928" s="213"/>
      <c r="M2928" s="212" t="s">
        <v>6231</v>
      </c>
    </row>
    <row r="2929" spans="1:13" ht="21" customHeight="1">
      <c r="A2929" s="213" t="s">
        <v>6485</v>
      </c>
      <c r="B2929" s="215">
        <f t="shared" si="135"/>
        <v>45854</v>
      </c>
      <c r="C2929" s="213" t="s">
        <v>6182</v>
      </c>
      <c r="D2929" s="213" t="s">
        <v>4366</v>
      </c>
      <c r="E2929" s="213" t="s">
        <v>334</v>
      </c>
      <c r="F2929" s="212" t="s">
        <v>6158</v>
      </c>
      <c r="G2929" s="212" t="str">
        <f t="shared" si="136"/>
        <v>401용역매출</v>
      </c>
      <c r="H2929" s="214">
        <v>0</v>
      </c>
      <c r="I2929" s="214">
        <v>200000</v>
      </c>
      <c r="J2929" s="214">
        <f t="shared" si="137"/>
        <v>200000</v>
      </c>
      <c r="K2929" s="212" t="s">
        <v>6263</v>
      </c>
      <c r="L2929" s="213"/>
      <c r="M2929" s="212" t="s">
        <v>6231</v>
      </c>
    </row>
    <row r="2930" spans="1:13" ht="21" customHeight="1">
      <c r="A2930" s="213" t="s">
        <v>6485</v>
      </c>
      <c r="B2930" s="215">
        <f t="shared" si="135"/>
        <v>45854</v>
      </c>
      <c r="C2930" s="213" t="s">
        <v>6182</v>
      </c>
      <c r="D2930" s="213" t="s">
        <v>4369</v>
      </c>
      <c r="E2930" s="213" t="s">
        <v>333</v>
      </c>
      <c r="F2930" s="212" t="s">
        <v>4365</v>
      </c>
      <c r="G2930" s="212" t="str">
        <f t="shared" si="136"/>
        <v>101현금</v>
      </c>
      <c r="H2930" s="214">
        <v>220000</v>
      </c>
      <c r="I2930" s="214">
        <v>0</v>
      </c>
      <c r="J2930" s="214">
        <f t="shared" si="137"/>
        <v>-220000</v>
      </c>
      <c r="K2930" s="212" t="s">
        <v>6263</v>
      </c>
      <c r="L2930" s="213"/>
      <c r="M2930" s="212" t="s">
        <v>6231</v>
      </c>
    </row>
    <row r="2931" spans="1:13" ht="21" customHeight="1">
      <c r="A2931" s="213" t="s">
        <v>6485</v>
      </c>
      <c r="B2931" s="215">
        <f t="shared" si="135"/>
        <v>45854</v>
      </c>
      <c r="C2931" s="213" t="s">
        <v>6184</v>
      </c>
      <c r="D2931" s="213" t="s">
        <v>4366</v>
      </c>
      <c r="E2931" s="213" t="s">
        <v>6176</v>
      </c>
      <c r="F2931" s="212" t="s">
        <v>6177</v>
      </c>
      <c r="G2931" s="212" t="str">
        <f t="shared" si="136"/>
        <v>255부가세예수금</v>
      </c>
      <c r="H2931" s="214">
        <v>0</v>
      </c>
      <c r="I2931" s="214">
        <v>15000</v>
      </c>
      <c r="J2931" s="214">
        <f t="shared" si="137"/>
        <v>15000</v>
      </c>
      <c r="K2931" s="212" t="s">
        <v>6260</v>
      </c>
      <c r="L2931" s="213"/>
      <c r="M2931" s="212" t="s">
        <v>6179</v>
      </c>
    </row>
    <row r="2932" spans="1:13" ht="21" customHeight="1">
      <c r="A2932" s="213" t="s">
        <v>6485</v>
      </c>
      <c r="B2932" s="215">
        <f t="shared" si="135"/>
        <v>45854</v>
      </c>
      <c r="C2932" s="213" t="s">
        <v>6184</v>
      </c>
      <c r="D2932" s="213" t="s">
        <v>4366</v>
      </c>
      <c r="E2932" s="213" t="s">
        <v>334</v>
      </c>
      <c r="F2932" s="212" t="s">
        <v>6158</v>
      </c>
      <c r="G2932" s="212" t="str">
        <f t="shared" si="136"/>
        <v>401용역매출</v>
      </c>
      <c r="H2932" s="214">
        <v>0</v>
      </c>
      <c r="I2932" s="214">
        <v>150000</v>
      </c>
      <c r="J2932" s="214">
        <f t="shared" si="137"/>
        <v>150000</v>
      </c>
      <c r="K2932" s="212" t="s">
        <v>6260</v>
      </c>
      <c r="L2932" s="213"/>
      <c r="M2932" s="212" t="s">
        <v>6179</v>
      </c>
    </row>
    <row r="2933" spans="1:13" ht="21" customHeight="1">
      <c r="A2933" s="213" t="s">
        <v>6485</v>
      </c>
      <c r="B2933" s="215">
        <f t="shared" si="135"/>
        <v>45854</v>
      </c>
      <c r="C2933" s="213" t="s">
        <v>6184</v>
      </c>
      <c r="D2933" s="213" t="s">
        <v>4369</v>
      </c>
      <c r="E2933" s="213" t="s">
        <v>333</v>
      </c>
      <c r="F2933" s="212" t="s">
        <v>4365</v>
      </c>
      <c r="G2933" s="212" t="str">
        <f t="shared" si="136"/>
        <v>101현금</v>
      </c>
      <c r="H2933" s="214">
        <v>165000</v>
      </c>
      <c r="I2933" s="214">
        <v>0</v>
      </c>
      <c r="J2933" s="214">
        <f t="shared" si="137"/>
        <v>-165000</v>
      </c>
      <c r="K2933" s="212" t="s">
        <v>6260</v>
      </c>
      <c r="L2933" s="213"/>
      <c r="M2933" s="212" t="s">
        <v>6179</v>
      </c>
    </row>
    <row r="2934" spans="1:13" ht="21" customHeight="1">
      <c r="A2934" s="213" t="s">
        <v>6485</v>
      </c>
      <c r="B2934" s="215">
        <f t="shared" si="135"/>
        <v>45854</v>
      </c>
      <c r="C2934" s="213" t="s">
        <v>6186</v>
      </c>
      <c r="D2934" s="213" t="s">
        <v>4366</v>
      </c>
      <c r="E2934" s="213" t="s">
        <v>6176</v>
      </c>
      <c r="F2934" s="212" t="s">
        <v>6177</v>
      </c>
      <c r="G2934" s="212" t="str">
        <f t="shared" si="136"/>
        <v>255부가세예수금</v>
      </c>
      <c r="H2934" s="214">
        <v>0</v>
      </c>
      <c r="I2934" s="214">
        <v>10000</v>
      </c>
      <c r="J2934" s="214">
        <f t="shared" si="137"/>
        <v>10000</v>
      </c>
      <c r="K2934" s="212" t="s">
        <v>6408</v>
      </c>
      <c r="L2934" s="213"/>
      <c r="M2934" s="212" t="s">
        <v>6185</v>
      </c>
    </row>
    <row r="2935" spans="1:13" ht="21" customHeight="1">
      <c r="A2935" s="213" t="s">
        <v>6485</v>
      </c>
      <c r="B2935" s="215">
        <f t="shared" si="135"/>
        <v>45854</v>
      </c>
      <c r="C2935" s="213" t="s">
        <v>6186</v>
      </c>
      <c r="D2935" s="213" t="s">
        <v>4366</v>
      </c>
      <c r="E2935" s="213" t="s">
        <v>334</v>
      </c>
      <c r="F2935" s="212" t="s">
        <v>6158</v>
      </c>
      <c r="G2935" s="212" t="str">
        <f t="shared" si="136"/>
        <v>401용역매출</v>
      </c>
      <c r="H2935" s="214">
        <v>0</v>
      </c>
      <c r="I2935" s="214">
        <v>100000</v>
      </c>
      <c r="J2935" s="214">
        <f t="shared" si="137"/>
        <v>100000</v>
      </c>
      <c r="K2935" s="212" t="s">
        <v>6408</v>
      </c>
      <c r="L2935" s="213"/>
      <c r="M2935" s="212" t="s">
        <v>6185</v>
      </c>
    </row>
    <row r="2936" spans="1:13" ht="21" customHeight="1">
      <c r="A2936" s="213" t="s">
        <v>6485</v>
      </c>
      <c r="B2936" s="215">
        <f t="shared" si="135"/>
        <v>45854</v>
      </c>
      <c r="C2936" s="213" t="s">
        <v>6186</v>
      </c>
      <c r="D2936" s="213" t="s">
        <v>4369</v>
      </c>
      <c r="E2936" s="213" t="s">
        <v>333</v>
      </c>
      <c r="F2936" s="212" t="s">
        <v>4365</v>
      </c>
      <c r="G2936" s="212" t="str">
        <f t="shared" si="136"/>
        <v>101현금</v>
      </c>
      <c r="H2936" s="214">
        <v>110000</v>
      </c>
      <c r="I2936" s="214">
        <v>0</v>
      </c>
      <c r="J2936" s="214">
        <f t="shared" si="137"/>
        <v>-110000</v>
      </c>
      <c r="K2936" s="212" t="s">
        <v>6408</v>
      </c>
      <c r="L2936" s="213"/>
      <c r="M2936" s="212" t="s">
        <v>6185</v>
      </c>
    </row>
    <row r="2937" spans="1:13" ht="21" customHeight="1">
      <c r="A2937" s="213" t="s">
        <v>6485</v>
      </c>
      <c r="B2937" s="215">
        <f t="shared" si="135"/>
        <v>45854</v>
      </c>
      <c r="C2937" s="213" t="s">
        <v>6189</v>
      </c>
      <c r="D2937" s="213" t="s">
        <v>4366</v>
      </c>
      <c r="E2937" s="213" t="s">
        <v>6176</v>
      </c>
      <c r="F2937" s="212" t="s">
        <v>6177</v>
      </c>
      <c r="G2937" s="212" t="str">
        <f t="shared" si="136"/>
        <v>255부가세예수금</v>
      </c>
      <c r="H2937" s="214">
        <v>0</v>
      </c>
      <c r="I2937" s="214">
        <v>7000</v>
      </c>
      <c r="J2937" s="214">
        <f t="shared" si="137"/>
        <v>7000</v>
      </c>
      <c r="K2937" s="212" t="s">
        <v>6259</v>
      </c>
      <c r="L2937" s="213"/>
      <c r="M2937" s="212" t="s">
        <v>6287</v>
      </c>
    </row>
    <row r="2938" spans="1:13" ht="21" customHeight="1">
      <c r="A2938" s="213" t="s">
        <v>6485</v>
      </c>
      <c r="B2938" s="215">
        <f t="shared" si="135"/>
        <v>45854</v>
      </c>
      <c r="C2938" s="213" t="s">
        <v>6189</v>
      </c>
      <c r="D2938" s="213" t="s">
        <v>4366</v>
      </c>
      <c r="E2938" s="213" t="s">
        <v>334</v>
      </c>
      <c r="F2938" s="212" t="s">
        <v>6158</v>
      </c>
      <c r="G2938" s="212" t="str">
        <f t="shared" si="136"/>
        <v>401용역매출</v>
      </c>
      <c r="H2938" s="214">
        <v>0</v>
      </c>
      <c r="I2938" s="214">
        <v>70000</v>
      </c>
      <c r="J2938" s="214">
        <f t="shared" si="137"/>
        <v>70000</v>
      </c>
      <c r="K2938" s="212" t="s">
        <v>6259</v>
      </c>
      <c r="L2938" s="213"/>
      <c r="M2938" s="212" t="s">
        <v>6287</v>
      </c>
    </row>
    <row r="2939" spans="1:13" ht="21" customHeight="1">
      <c r="A2939" s="213" t="s">
        <v>6485</v>
      </c>
      <c r="B2939" s="215">
        <f t="shared" si="135"/>
        <v>45854</v>
      </c>
      <c r="C2939" s="213" t="s">
        <v>6189</v>
      </c>
      <c r="D2939" s="213" t="s">
        <v>4369</v>
      </c>
      <c r="E2939" s="213" t="s">
        <v>333</v>
      </c>
      <c r="F2939" s="212" t="s">
        <v>4365</v>
      </c>
      <c r="G2939" s="212" t="str">
        <f t="shared" si="136"/>
        <v>101현금</v>
      </c>
      <c r="H2939" s="214">
        <v>77000</v>
      </c>
      <c r="I2939" s="214">
        <v>0</v>
      </c>
      <c r="J2939" s="214">
        <f t="shared" si="137"/>
        <v>-77000</v>
      </c>
      <c r="K2939" s="212" t="s">
        <v>6259</v>
      </c>
      <c r="L2939" s="213"/>
      <c r="M2939" s="212" t="s">
        <v>6287</v>
      </c>
    </row>
    <row r="2940" spans="1:13" ht="21" customHeight="1">
      <c r="A2940" s="213" t="s">
        <v>6485</v>
      </c>
      <c r="B2940" s="215">
        <f t="shared" si="135"/>
        <v>45854</v>
      </c>
      <c r="C2940" s="213" t="s">
        <v>6191</v>
      </c>
      <c r="D2940" s="213" t="s">
        <v>4366</v>
      </c>
      <c r="E2940" s="213" t="s">
        <v>6176</v>
      </c>
      <c r="F2940" s="212" t="s">
        <v>6177</v>
      </c>
      <c r="G2940" s="212" t="str">
        <f t="shared" si="136"/>
        <v>255부가세예수금</v>
      </c>
      <c r="H2940" s="214">
        <v>0</v>
      </c>
      <c r="I2940" s="214">
        <v>10000</v>
      </c>
      <c r="J2940" s="214">
        <f t="shared" si="137"/>
        <v>10000</v>
      </c>
      <c r="K2940" s="212" t="s">
        <v>6262</v>
      </c>
      <c r="L2940" s="213"/>
      <c r="M2940" s="212" t="s">
        <v>6185</v>
      </c>
    </row>
    <row r="2941" spans="1:13" ht="21" customHeight="1">
      <c r="A2941" s="213" t="s">
        <v>6485</v>
      </c>
      <c r="B2941" s="215">
        <f t="shared" si="135"/>
        <v>45854</v>
      </c>
      <c r="C2941" s="213" t="s">
        <v>6191</v>
      </c>
      <c r="D2941" s="213" t="s">
        <v>4366</v>
      </c>
      <c r="E2941" s="213" t="s">
        <v>334</v>
      </c>
      <c r="F2941" s="212" t="s">
        <v>6158</v>
      </c>
      <c r="G2941" s="212" t="str">
        <f t="shared" si="136"/>
        <v>401용역매출</v>
      </c>
      <c r="H2941" s="214">
        <v>0</v>
      </c>
      <c r="I2941" s="214">
        <v>100000</v>
      </c>
      <c r="J2941" s="214">
        <f t="shared" si="137"/>
        <v>100000</v>
      </c>
      <c r="K2941" s="212" t="s">
        <v>6262</v>
      </c>
      <c r="L2941" s="213"/>
      <c r="M2941" s="212" t="s">
        <v>6185</v>
      </c>
    </row>
    <row r="2942" spans="1:13" ht="21" customHeight="1">
      <c r="A2942" s="213" t="s">
        <v>6485</v>
      </c>
      <c r="B2942" s="215">
        <f t="shared" si="135"/>
        <v>45854</v>
      </c>
      <c r="C2942" s="213" t="s">
        <v>6191</v>
      </c>
      <c r="D2942" s="213" t="s">
        <v>4369</v>
      </c>
      <c r="E2942" s="213" t="s">
        <v>333</v>
      </c>
      <c r="F2942" s="212" t="s">
        <v>4365</v>
      </c>
      <c r="G2942" s="212" t="str">
        <f t="shared" si="136"/>
        <v>101현금</v>
      </c>
      <c r="H2942" s="214">
        <v>110000</v>
      </c>
      <c r="I2942" s="214">
        <v>0</v>
      </c>
      <c r="J2942" s="214">
        <f t="shared" si="137"/>
        <v>-110000</v>
      </c>
      <c r="K2942" s="212" t="s">
        <v>6262</v>
      </c>
      <c r="L2942" s="213"/>
      <c r="M2942" s="212" t="s">
        <v>6185</v>
      </c>
    </row>
    <row r="2943" spans="1:13" ht="21" customHeight="1">
      <c r="A2943" s="213" t="s">
        <v>6485</v>
      </c>
      <c r="B2943" s="215">
        <f t="shared" si="135"/>
        <v>45854</v>
      </c>
      <c r="C2943" s="213" t="s">
        <v>6216</v>
      </c>
      <c r="D2943" s="213" t="s">
        <v>4366</v>
      </c>
      <c r="E2943" s="213" t="s">
        <v>6176</v>
      </c>
      <c r="F2943" s="212" t="s">
        <v>6177</v>
      </c>
      <c r="G2943" s="212" t="str">
        <f t="shared" si="136"/>
        <v>255부가세예수금</v>
      </c>
      <c r="H2943" s="214">
        <v>0</v>
      </c>
      <c r="I2943" s="214">
        <v>10000</v>
      </c>
      <c r="J2943" s="214">
        <f t="shared" si="137"/>
        <v>10000</v>
      </c>
      <c r="K2943" s="212" t="s">
        <v>6264</v>
      </c>
      <c r="L2943" s="213"/>
      <c r="M2943" s="212" t="s">
        <v>6185</v>
      </c>
    </row>
    <row r="2944" spans="1:13" ht="21" customHeight="1">
      <c r="A2944" s="213" t="s">
        <v>6485</v>
      </c>
      <c r="B2944" s="215">
        <f t="shared" si="135"/>
        <v>45854</v>
      </c>
      <c r="C2944" s="213" t="s">
        <v>6216</v>
      </c>
      <c r="D2944" s="213" t="s">
        <v>4366</v>
      </c>
      <c r="E2944" s="213" t="s">
        <v>334</v>
      </c>
      <c r="F2944" s="212" t="s">
        <v>6158</v>
      </c>
      <c r="G2944" s="212" t="str">
        <f t="shared" si="136"/>
        <v>401용역매출</v>
      </c>
      <c r="H2944" s="214">
        <v>0</v>
      </c>
      <c r="I2944" s="214">
        <v>100000</v>
      </c>
      <c r="J2944" s="214">
        <f t="shared" si="137"/>
        <v>100000</v>
      </c>
      <c r="K2944" s="212" t="s">
        <v>6264</v>
      </c>
      <c r="L2944" s="213"/>
      <c r="M2944" s="212" t="s">
        <v>6185</v>
      </c>
    </row>
    <row r="2945" spans="1:13" ht="21" customHeight="1">
      <c r="A2945" s="213" t="s">
        <v>6485</v>
      </c>
      <c r="B2945" s="215">
        <f t="shared" si="135"/>
        <v>45854</v>
      </c>
      <c r="C2945" s="213" t="s">
        <v>6216</v>
      </c>
      <c r="D2945" s="213" t="s">
        <v>4369</v>
      </c>
      <c r="E2945" s="213" t="s">
        <v>333</v>
      </c>
      <c r="F2945" s="212" t="s">
        <v>4365</v>
      </c>
      <c r="G2945" s="212" t="str">
        <f t="shared" si="136"/>
        <v>101현금</v>
      </c>
      <c r="H2945" s="214">
        <v>110000</v>
      </c>
      <c r="I2945" s="214">
        <v>0</v>
      </c>
      <c r="J2945" s="214">
        <f t="shared" si="137"/>
        <v>-110000</v>
      </c>
      <c r="K2945" s="212" t="s">
        <v>6264</v>
      </c>
      <c r="L2945" s="213"/>
      <c r="M2945" s="212" t="s">
        <v>6185</v>
      </c>
    </row>
    <row r="2946" spans="1:13" ht="21" customHeight="1">
      <c r="A2946" s="213" t="s">
        <v>6485</v>
      </c>
      <c r="B2946" s="215">
        <f t="shared" ref="B2946:B3009" si="138">DATEVALUE(A2946)</f>
        <v>45854</v>
      </c>
      <c r="C2946" s="213" t="s">
        <v>6217</v>
      </c>
      <c r="D2946" s="213" t="s">
        <v>4366</v>
      </c>
      <c r="E2946" s="213" t="s">
        <v>6176</v>
      </c>
      <c r="F2946" s="212" t="s">
        <v>6177</v>
      </c>
      <c r="G2946" s="212" t="str">
        <f t="shared" ref="G2946:G3009" si="139">E2946&amp;F2946</f>
        <v>255부가세예수금</v>
      </c>
      <c r="H2946" s="214">
        <v>0</v>
      </c>
      <c r="I2946" s="214">
        <v>10000</v>
      </c>
      <c r="J2946" s="214">
        <f t="shared" ref="J2946:J3009" si="140">I2946-H2946</f>
        <v>10000</v>
      </c>
      <c r="K2946" s="212" t="s">
        <v>6416</v>
      </c>
      <c r="L2946" s="213"/>
      <c r="M2946" s="212" t="s">
        <v>6185</v>
      </c>
    </row>
    <row r="2947" spans="1:13" ht="21" customHeight="1">
      <c r="A2947" s="213" t="s">
        <v>6485</v>
      </c>
      <c r="B2947" s="215">
        <f t="shared" si="138"/>
        <v>45854</v>
      </c>
      <c r="C2947" s="213" t="s">
        <v>6217</v>
      </c>
      <c r="D2947" s="213" t="s">
        <v>4366</v>
      </c>
      <c r="E2947" s="213" t="s">
        <v>334</v>
      </c>
      <c r="F2947" s="212" t="s">
        <v>6158</v>
      </c>
      <c r="G2947" s="212" t="str">
        <f t="shared" si="139"/>
        <v>401용역매출</v>
      </c>
      <c r="H2947" s="214">
        <v>0</v>
      </c>
      <c r="I2947" s="214">
        <v>100000</v>
      </c>
      <c r="J2947" s="214">
        <f t="shared" si="140"/>
        <v>100000</v>
      </c>
      <c r="K2947" s="212" t="s">
        <v>6416</v>
      </c>
      <c r="L2947" s="213"/>
      <c r="M2947" s="212" t="s">
        <v>6185</v>
      </c>
    </row>
    <row r="2948" spans="1:13" ht="21" customHeight="1">
      <c r="A2948" s="213" t="s">
        <v>6485</v>
      </c>
      <c r="B2948" s="215">
        <f t="shared" si="138"/>
        <v>45854</v>
      </c>
      <c r="C2948" s="213" t="s">
        <v>6217</v>
      </c>
      <c r="D2948" s="213" t="s">
        <v>4369</v>
      </c>
      <c r="E2948" s="213" t="s">
        <v>333</v>
      </c>
      <c r="F2948" s="212" t="s">
        <v>4365</v>
      </c>
      <c r="G2948" s="212" t="str">
        <f t="shared" si="139"/>
        <v>101현금</v>
      </c>
      <c r="H2948" s="214">
        <v>110000</v>
      </c>
      <c r="I2948" s="214">
        <v>0</v>
      </c>
      <c r="J2948" s="214">
        <f t="shared" si="140"/>
        <v>-110000</v>
      </c>
      <c r="K2948" s="212" t="s">
        <v>6416</v>
      </c>
      <c r="L2948" s="213"/>
      <c r="M2948" s="212" t="s">
        <v>6185</v>
      </c>
    </row>
    <row r="2949" spans="1:13" ht="21" customHeight="1">
      <c r="A2949" s="213" t="s">
        <v>6485</v>
      </c>
      <c r="B2949" s="215">
        <f t="shared" si="138"/>
        <v>45854</v>
      </c>
      <c r="C2949" s="213" t="s">
        <v>6218</v>
      </c>
      <c r="D2949" s="213" t="s">
        <v>4366</v>
      </c>
      <c r="E2949" s="213" t="s">
        <v>6176</v>
      </c>
      <c r="F2949" s="212" t="s">
        <v>6177</v>
      </c>
      <c r="G2949" s="212" t="str">
        <f t="shared" si="139"/>
        <v>255부가세예수금</v>
      </c>
      <c r="H2949" s="214">
        <v>0</v>
      </c>
      <c r="I2949" s="214">
        <v>15000</v>
      </c>
      <c r="J2949" s="214">
        <f t="shared" si="140"/>
        <v>15000</v>
      </c>
      <c r="K2949" s="212" t="s">
        <v>6265</v>
      </c>
      <c r="L2949" s="213"/>
      <c r="M2949" s="212" t="s">
        <v>6179</v>
      </c>
    </row>
    <row r="2950" spans="1:13" ht="21" customHeight="1">
      <c r="A2950" s="213" t="s">
        <v>6485</v>
      </c>
      <c r="B2950" s="215">
        <f t="shared" si="138"/>
        <v>45854</v>
      </c>
      <c r="C2950" s="213" t="s">
        <v>6218</v>
      </c>
      <c r="D2950" s="213" t="s">
        <v>4366</v>
      </c>
      <c r="E2950" s="213" t="s">
        <v>334</v>
      </c>
      <c r="F2950" s="212" t="s">
        <v>6158</v>
      </c>
      <c r="G2950" s="212" t="str">
        <f t="shared" si="139"/>
        <v>401용역매출</v>
      </c>
      <c r="H2950" s="214">
        <v>0</v>
      </c>
      <c r="I2950" s="214">
        <v>150000</v>
      </c>
      <c r="J2950" s="214">
        <f t="shared" si="140"/>
        <v>150000</v>
      </c>
      <c r="K2950" s="212" t="s">
        <v>6265</v>
      </c>
      <c r="L2950" s="213"/>
      <c r="M2950" s="212" t="s">
        <v>6179</v>
      </c>
    </row>
    <row r="2951" spans="1:13" ht="21" customHeight="1">
      <c r="A2951" s="213" t="s">
        <v>6485</v>
      </c>
      <c r="B2951" s="215">
        <f t="shared" si="138"/>
        <v>45854</v>
      </c>
      <c r="C2951" s="213" t="s">
        <v>6218</v>
      </c>
      <c r="D2951" s="213" t="s">
        <v>4369</v>
      </c>
      <c r="E2951" s="213" t="s">
        <v>333</v>
      </c>
      <c r="F2951" s="212" t="s">
        <v>4365</v>
      </c>
      <c r="G2951" s="212" t="str">
        <f t="shared" si="139"/>
        <v>101현금</v>
      </c>
      <c r="H2951" s="214">
        <v>165000</v>
      </c>
      <c r="I2951" s="214">
        <v>0</v>
      </c>
      <c r="J2951" s="214">
        <f t="shared" si="140"/>
        <v>-165000</v>
      </c>
      <c r="K2951" s="212" t="s">
        <v>6265</v>
      </c>
      <c r="L2951" s="213"/>
      <c r="M2951" s="212" t="s">
        <v>6179</v>
      </c>
    </row>
    <row r="2952" spans="1:13" ht="21" customHeight="1">
      <c r="A2952" s="213" t="s">
        <v>6485</v>
      </c>
      <c r="B2952" s="215">
        <f t="shared" si="138"/>
        <v>45854</v>
      </c>
      <c r="C2952" s="213" t="s">
        <v>6238</v>
      </c>
      <c r="D2952" s="213" t="s">
        <v>4366</v>
      </c>
      <c r="E2952" s="213" t="s">
        <v>6176</v>
      </c>
      <c r="F2952" s="212" t="s">
        <v>6177</v>
      </c>
      <c r="G2952" s="212" t="str">
        <f t="shared" si="139"/>
        <v>255부가세예수금</v>
      </c>
      <c r="H2952" s="214">
        <v>0</v>
      </c>
      <c r="I2952" s="214">
        <v>10000</v>
      </c>
      <c r="J2952" s="214">
        <f t="shared" si="140"/>
        <v>10000</v>
      </c>
      <c r="K2952" s="212" t="s">
        <v>6266</v>
      </c>
      <c r="L2952" s="213"/>
      <c r="M2952" s="212" t="s">
        <v>6185</v>
      </c>
    </row>
    <row r="2953" spans="1:13" ht="21" customHeight="1">
      <c r="A2953" s="213" t="s">
        <v>6485</v>
      </c>
      <c r="B2953" s="215">
        <f t="shared" si="138"/>
        <v>45854</v>
      </c>
      <c r="C2953" s="213" t="s">
        <v>6238</v>
      </c>
      <c r="D2953" s="213" t="s">
        <v>4366</v>
      </c>
      <c r="E2953" s="213" t="s">
        <v>334</v>
      </c>
      <c r="F2953" s="212" t="s">
        <v>6158</v>
      </c>
      <c r="G2953" s="212" t="str">
        <f t="shared" si="139"/>
        <v>401용역매출</v>
      </c>
      <c r="H2953" s="214">
        <v>0</v>
      </c>
      <c r="I2953" s="214">
        <v>100000</v>
      </c>
      <c r="J2953" s="214">
        <f t="shared" si="140"/>
        <v>100000</v>
      </c>
      <c r="K2953" s="212" t="s">
        <v>6266</v>
      </c>
      <c r="L2953" s="213"/>
      <c r="M2953" s="212" t="s">
        <v>6185</v>
      </c>
    </row>
    <row r="2954" spans="1:13" ht="21" customHeight="1">
      <c r="A2954" s="213" t="s">
        <v>6485</v>
      </c>
      <c r="B2954" s="215">
        <f t="shared" si="138"/>
        <v>45854</v>
      </c>
      <c r="C2954" s="213" t="s">
        <v>6238</v>
      </c>
      <c r="D2954" s="213" t="s">
        <v>4369</v>
      </c>
      <c r="E2954" s="213" t="s">
        <v>333</v>
      </c>
      <c r="F2954" s="212" t="s">
        <v>4365</v>
      </c>
      <c r="G2954" s="212" t="str">
        <f t="shared" si="139"/>
        <v>101현금</v>
      </c>
      <c r="H2954" s="214">
        <v>110000</v>
      </c>
      <c r="I2954" s="214">
        <v>0</v>
      </c>
      <c r="J2954" s="214">
        <f t="shared" si="140"/>
        <v>-110000</v>
      </c>
      <c r="K2954" s="212" t="s">
        <v>6266</v>
      </c>
      <c r="L2954" s="213"/>
      <c r="M2954" s="212" t="s">
        <v>6185</v>
      </c>
    </row>
    <row r="2955" spans="1:13" ht="21" customHeight="1">
      <c r="A2955" s="213" t="s">
        <v>6485</v>
      </c>
      <c r="B2955" s="215">
        <f t="shared" si="138"/>
        <v>45854</v>
      </c>
      <c r="C2955" s="213" t="s">
        <v>6240</v>
      </c>
      <c r="D2955" s="213" t="s">
        <v>4366</v>
      </c>
      <c r="E2955" s="213" t="s">
        <v>6176</v>
      </c>
      <c r="F2955" s="212" t="s">
        <v>6177</v>
      </c>
      <c r="G2955" s="212" t="str">
        <f t="shared" si="139"/>
        <v>255부가세예수금</v>
      </c>
      <c r="H2955" s="214">
        <v>0</v>
      </c>
      <c r="I2955" s="214">
        <v>10000</v>
      </c>
      <c r="J2955" s="214">
        <f t="shared" si="140"/>
        <v>10000</v>
      </c>
      <c r="K2955" s="212" t="s">
        <v>6268</v>
      </c>
      <c r="L2955" s="213"/>
      <c r="M2955" s="212" t="s">
        <v>6185</v>
      </c>
    </row>
    <row r="2956" spans="1:13" ht="21" customHeight="1">
      <c r="A2956" s="213" t="s">
        <v>6485</v>
      </c>
      <c r="B2956" s="215">
        <f t="shared" si="138"/>
        <v>45854</v>
      </c>
      <c r="C2956" s="213" t="s">
        <v>6240</v>
      </c>
      <c r="D2956" s="213" t="s">
        <v>4366</v>
      </c>
      <c r="E2956" s="213" t="s">
        <v>334</v>
      </c>
      <c r="F2956" s="212" t="s">
        <v>6158</v>
      </c>
      <c r="G2956" s="212" t="str">
        <f t="shared" si="139"/>
        <v>401용역매출</v>
      </c>
      <c r="H2956" s="214">
        <v>0</v>
      </c>
      <c r="I2956" s="214">
        <v>100000</v>
      </c>
      <c r="J2956" s="214">
        <f t="shared" si="140"/>
        <v>100000</v>
      </c>
      <c r="K2956" s="212" t="s">
        <v>6268</v>
      </c>
      <c r="L2956" s="213"/>
      <c r="M2956" s="212" t="s">
        <v>6185</v>
      </c>
    </row>
    <row r="2957" spans="1:13" ht="21" customHeight="1">
      <c r="A2957" s="213" t="s">
        <v>6485</v>
      </c>
      <c r="B2957" s="215">
        <f t="shared" si="138"/>
        <v>45854</v>
      </c>
      <c r="C2957" s="213" t="s">
        <v>6240</v>
      </c>
      <c r="D2957" s="213" t="s">
        <v>4369</v>
      </c>
      <c r="E2957" s="213" t="s">
        <v>333</v>
      </c>
      <c r="F2957" s="212" t="s">
        <v>4365</v>
      </c>
      <c r="G2957" s="212" t="str">
        <f t="shared" si="139"/>
        <v>101현금</v>
      </c>
      <c r="H2957" s="214">
        <v>110000</v>
      </c>
      <c r="I2957" s="214">
        <v>0</v>
      </c>
      <c r="J2957" s="214">
        <f t="shared" si="140"/>
        <v>-110000</v>
      </c>
      <c r="K2957" s="212" t="s">
        <v>6268</v>
      </c>
      <c r="L2957" s="213"/>
      <c r="M2957" s="212" t="s">
        <v>6185</v>
      </c>
    </row>
    <row r="2958" spans="1:13" ht="21" customHeight="1">
      <c r="A2958" s="213" t="s">
        <v>6484</v>
      </c>
      <c r="B2958" s="215">
        <f t="shared" si="138"/>
        <v>45859</v>
      </c>
      <c r="C2958" s="213" t="s">
        <v>4367</v>
      </c>
      <c r="D2958" s="213" t="s">
        <v>4369</v>
      </c>
      <c r="E2958" s="213" t="s">
        <v>6212</v>
      </c>
      <c r="F2958" s="212" t="s">
        <v>6402</v>
      </c>
      <c r="G2958" s="212" t="str">
        <f t="shared" si="139"/>
        <v>837건물관리비(판)</v>
      </c>
      <c r="H2958" s="214">
        <v>176140</v>
      </c>
      <c r="I2958" s="214">
        <v>0</v>
      </c>
      <c r="J2958" s="214">
        <f t="shared" si="140"/>
        <v>-176140</v>
      </c>
      <c r="K2958" s="212" t="s">
        <v>6213</v>
      </c>
      <c r="L2958" s="213"/>
      <c r="M2958" s="212" t="s">
        <v>6214</v>
      </c>
    </row>
    <row r="2959" spans="1:13" ht="21" customHeight="1">
      <c r="A2959" s="213" t="s">
        <v>6484</v>
      </c>
      <c r="B2959" s="215">
        <f t="shared" si="138"/>
        <v>45859</v>
      </c>
      <c r="C2959" s="213" t="s">
        <v>4367</v>
      </c>
      <c r="D2959" s="213" t="s">
        <v>4366</v>
      </c>
      <c r="E2959" s="213" t="s">
        <v>333</v>
      </c>
      <c r="F2959" s="212" t="s">
        <v>4365</v>
      </c>
      <c r="G2959" s="212" t="str">
        <f t="shared" si="139"/>
        <v>101현금</v>
      </c>
      <c r="H2959" s="214">
        <v>0</v>
      </c>
      <c r="I2959" s="214">
        <v>176140</v>
      </c>
      <c r="J2959" s="214">
        <f t="shared" si="140"/>
        <v>176140</v>
      </c>
      <c r="K2959" s="212" t="s">
        <v>6213</v>
      </c>
      <c r="L2959" s="213"/>
      <c r="M2959" s="212" t="s">
        <v>6214</v>
      </c>
    </row>
    <row r="2960" spans="1:13" ht="21" customHeight="1">
      <c r="A2960" s="213" t="s">
        <v>6483</v>
      </c>
      <c r="B2960" s="215">
        <f t="shared" si="138"/>
        <v>45860</v>
      </c>
      <c r="C2960" s="213" t="s">
        <v>4373</v>
      </c>
      <c r="D2960" s="217" t="s">
        <v>4510</v>
      </c>
      <c r="E2960" s="213" t="s">
        <v>1791</v>
      </c>
      <c r="F2960" s="212" t="s">
        <v>6319</v>
      </c>
      <c r="G2960" s="212" t="str">
        <f t="shared" si="139"/>
        <v>261미지급세금</v>
      </c>
      <c r="H2960" s="214">
        <v>4092930</v>
      </c>
      <c r="I2960" s="214">
        <v>0</v>
      </c>
      <c r="J2960" s="214">
        <f t="shared" si="140"/>
        <v>-4092930</v>
      </c>
      <c r="K2960" s="212" t="s">
        <v>6299</v>
      </c>
      <c r="L2960" s="213" t="s">
        <v>1347</v>
      </c>
      <c r="M2960" s="212" t="s">
        <v>6482</v>
      </c>
    </row>
    <row r="2961" spans="1:13" ht="21" customHeight="1">
      <c r="A2961" s="213" t="s">
        <v>6483</v>
      </c>
      <c r="B2961" s="215">
        <f t="shared" si="138"/>
        <v>45860</v>
      </c>
      <c r="C2961" s="213" t="s">
        <v>4373</v>
      </c>
      <c r="D2961" s="217" t="s">
        <v>4510</v>
      </c>
      <c r="E2961" s="213" t="s">
        <v>333</v>
      </c>
      <c r="F2961" s="212" t="s">
        <v>4365</v>
      </c>
      <c r="G2961" s="212" t="str">
        <f t="shared" si="139"/>
        <v>101현금</v>
      </c>
      <c r="H2961" s="214">
        <v>0</v>
      </c>
      <c r="I2961" s="214">
        <v>4092930</v>
      </c>
      <c r="J2961" s="214">
        <f t="shared" si="140"/>
        <v>4092930</v>
      </c>
      <c r="K2961" s="212" t="s">
        <v>6299</v>
      </c>
      <c r="L2961" s="213" t="s">
        <v>1347</v>
      </c>
      <c r="M2961" s="212" t="s">
        <v>6482</v>
      </c>
    </row>
    <row r="2962" spans="1:13" ht="21" customHeight="1">
      <c r="A2962" s="213" t="s">
        <v>6481</v>
      </c>
      <c r="B2962" s="215">
        <f t="shared" si="138"/>
        <v>45863</v>
      </c>
      <c r="C2962" s="213" t="s">
        <v>4367</v>
      </c>
      <c r="D2962" s="213" t="s">
        <v>4366</v>
      </c>
      <c r="E2962" s="213" t="s">
        <v>6176</v>
      </c>
      <c r="F2962" s="212" t="s">
        <v>6177</v>
      </c>
      <c r="G2962" s="212" t="str">
        <f t="shared" si="139"/>
        <v>255부가세예수금</v>
      </c>
      <c r="H2962" s="214">
        <v>0</v>
      </c>
      <c r="I2962" s="214">
        <v>15000</v>
      </c>
      <c r="J2962" s="214">
        <f t="shared" si="140"/>
        <v>15000</v>
      </c>
      <c r="K2962" s="212" t="s">
        <v>6372</v>
      </c>
      <c r="L2962" s="213"/>
      <c r="M2962" s="212" t="s">
        <v>6179</v>
      </c>
    </row>
    <row r="2963" spans="1:13" ht="21" customHeight="1">
      <c r="A2963" s="213" t="s">
        <v>6481</v>
      </c>
      <c r="B2963" s="215">
        <f t="shared" si="138"/>
        <v>45863</v>
      </c>
      <c r="C2963" s="213" t="s">
        <v>4367</v>
      </c>
      <c r="D2963" s="213" t="s">
        <v>4366</v>
      </c>
      <c r="E2963" s="213" t="s">
        <v>334</v>
      </c>
      <c r="F2963" s="212" t="s">
        <v>6158</v>
      </c>
      <c r="G2963" s="212" t="str">
        <f t="shared" si="139"/>
        <v>401용역매출</v>
      </c>
      <c r="H2963" s="214">
        <v>0</v>
      </c>
      <c r="I2963" s="214">
        <v>150000</v>
      </c>
      <c r="J2963" s="214">
        <f t="shared" si="140"/>
        <v>150000</v>
      </c>
      <c r="K2963" s="212" t="s">
        <v>6372</v>
      </c>
      <c r="L2963" s="213"/>
      <c r="M2963" s="212" t="s">
        <v>6179</v>
      </c>
    </row>
    <row r="2964" spans="1:13" ht="21" customHeight="1">
      <c r="A2964" s="213" t="s">
        <v>6481</v>
      </c>
      <c r="B2964" s="215">
        <f t="shared" si="138"/>
        <v>45863</v>
      </c>
      <c r="C2964" s="213" t="s">
        <v>4367</v>
      </c>
      <c r="D2964" s="213" t="s">
        <v>4369</v>
      </c>
      <c r="E2964" s="213" t="s">
        <v>333</v>
      </c>
      <c r="F2964" s="212" t="s">
        <v>4365</v>
      </c>
      <c r="G2964" s="212" t="str">
        <f t="shared" si="139"/>
        <v>101현금</v>
      </c>
      <c r="H2964" s="214">
        <v>165000</v>
      </c>
      <c r="I2964" s="214">
        <v>0</v>
      </c>
      <c r="J2964" s="214">
        <f t="shared" si="140"/>
        <v>-165000</v>
      </c>
      <c r="K2964" s="212" t="s">
        <v>6372</v>
      </c>
      <c r="L2964" s="213"/>
      <c r="M2964" s="212" t="s">
        <v>6179</v>
      </c>
    </row>
    <row r="2965" spans="1:13" ht="21" customHeight="1">
      <c r="A2965" s="213" t="s">
        <v>6481</v>
      </c>
      <c r="B2965" s="215">
        <f t="shared" si="138"/>
        <v>45863</v>
      </c>
      <c r="C2965" s="213" t="s">
        <v>4374</v>
      </c>
      <c r="D2965" s="213" t="s">
        <v>4366</v>
      </c>
      <c r="E2965" s="213" t="s">
        <v>6176</v>
      </c>
      <c r="F2965" s="212" t="s">
        <v>6177</v>
      </c>
      <c r="G2965" s="212" t="str">
        <f t="shared" si="139"/>
        <v>255부가세예수금</v>
      </c>
      <c r="H2965" s="214">
        <v>0</v>
      </c>
      <c r="I2965" s="214">
        <v>15000</v>
      </c>
      <c r="J2965" s="214">
        <f t="shared" si="140"/>
        <v>15000</v>
      </c>
      <c r="K2965" s="212" t="s">
        <v>6395</v>
      </c>
      <c r="L2965" s="213"/>
      <c r="M2965" s="212" t="s">
        <v>6179</v>
      </c>
    </row>
    <row r="2966" spans="1:13" ht="21" customHeight="1">
      <c r="A2966" s="213" t="s">
        <v>6481</v>
      </c>
      <c r="B2966" s="215">
        <f t="shared" si="138"/>
        <v>45863</v>
      </c>
      <c r="C2966" s="213" t="s">
        <v>4374</v>
      </c>
      <c r="D2966" s="213" t="s">
        <v>4366</v>
      </c>
      <c r="E2966" s="213" t="s">
        <v>334</v>
      </c>
      <c r="F2966" s="212" t="s">
        <v>6158</v>
      </c>
      <c r="G2966" s="212" t="str">
        <f t="shared" si="139"/>
        <v>401용역매출</v>
      </c>
      <c r="H2966" s="214">
        <v>0</v>
      </c>
      <c r="I2966" s="214">
        <v>150000</v>
      </c>
      <c r="J2966" s="214">
        <f t="shared" si="140"/>
        <v>150000</v>
      </c>
      <c r="K2966" s="212" t="s">
        <v>6395</v>
      </c>
      <c r="L2966" s="213"/>
      <c r="M2966" s="212" t="s">
        <v>6179</v>
      </c>
    </row>
    <row r="2967" spans="1:13" ht="21" customHeight="1">
      <c r="A2967" s="213" t="s">
        <v>6481</v>
      </c>
      <c r="B2967" s="215">
        <f t="shared" si="138"/>
        <v>45863</v>
      </c>
      <c r="C2967" s="213" t="s">
        <v>4374</v>
      </c>
      <c r="D2967" s="213" t="s">
        <v>4369</v>
      </c>
      <c r="E2967" s="213" t="s">
        <v>333</v>
      </c>
      <c r="F2967" s="212" t="s">
        <v>4365</v>
      </c>
      <c r="G2967" s="212" t="str">
        <f t="shared" si="139"/>
        <v>101현금</v>
      </c>
      <c r="H2967" s="214">
        <v>165000</v>
      </c>
      <c r="I2967" s="214">
        <v>0</v>
      </c>
      <c r="J2967" s="214">
        <f t="shared" si="140"/>
        <v>-165000</v>
      </c>
      <c r="K2967" s="212" t="s">
        <v>6395</v>
      </c>
      <c r="L2967" s="213"/>
      <c r="M2967" s="212" t="s">
        <v>6179</v>
      </c>
    </row>
    <row r="2968" spans="1:13" ht="21" customHeight="1">
      <c r="A2968" s="213" t="s">
        <v>6480</v>
      </c>
      <c r="B2968" s="215">
        <f t="shared" si="138"/>
        <v>45866</v>
      </c>
      <c r="C2968" s="213" t="s">
        <v>4367</v>
      </c>
      <c r="D2968" s="213" t="s">
        <v>4366</v>
      </c>
      <c r="E2968" s="213" t="s">
        <v>6176</v>
      </c>
      <c r="F2968" s="212" t="s">
        <v>6177</v>
      </c>
      <c r="G2968" s="212" t="str">
        <f t="shared" si="139"/>
        <v>255부가세예수금</v>
      </c>
      <c r="H2968" s="214">
        <v>0</v>
      </c>
      <c r="I2968" s="214">
        <v>15000</v>
      </c>
      <c r="J2968" s="214">
        <f t="shared" si="140"/>
        <v>15000</v>
      </c>
      <c r="K2968" s="212" t="s">
        <v>6390</v>
      </c>
      <c r="L2968" s="213"/>
      <c r="M2968" s="212" t="s">
        <v>6179</v>
      </c>
    </row>
    <row r="2969" spans="1:13" ht="21" customHeight="1">
      <c r="A2969" s="213" t="s">
        <v>6480</v>
      </c>
      <c r="B2969" s="215">
        <f t="shared" si="138"/>
        <v>45866</v>
      </c>
      <c r="C2969" s="213" t="s">
        <v>4367</v>
      </c>
      <c r="D2969" s="213" t="s">
        <v>4366</v>
      </c>
      <c r="E2969" s="213" t="s">
        <v>334</v>
      </c>
      <c r="F2969" s="212" t="s">
        <v>6158</v>
      </c>
      <c r="G2969" s="212" t="str">
        <f t="shared" si="139"/>
        <v>401용역매출</v>
      </c>
      <c r="H2969" s="214">
        <v>0</v>
      </c>
      <c r="I2969" s="214">
        <v>150000</v>
      </c>
      <c r="J2969" s="214">
        <f t="shared" si="140"/>
        <v>150000</v>
      </c>
      <c r="K2969" s="212" t="s">
        <v>6390</v>
      </c>
      <c r="L2969" s="213"/>
      <c r="M2969" s="212" t="s">
        <v>6179</v>
      </c>
    </row>
    <row r="2970" spans="1:13" ht="21" customHeight="1">
      <c r="A2970" s="213" t="s">
        <v>6480</v>
      </c>
      <c r="B2970" s="215">
        <f t="shared" si="138"/>
        <v>45866</v>
      </c>
      <c r="C2970" s="213" t="s">
        <v>4367</v>
      </c>
      <c r="D2970" s="213" t="s">
        <v>4369</v>
      </c>
      <c r="E2970" s="213" t="s">
        <v>333</v>
      </c>
      <c r="F2970" s="212" t="s">
        <v>4365</v>
      </c>
      <c r="G2970" s="212" t="str">
        <f t="shared" si="139"/>
        <v>101현금</v>
      </c>
      <c r="H2970" s="214">
        <v>165000</v>
      </c>
      <c r="I2970" s="214">
        <v>0</v>
      </c>
      <c r="J2970" s="214">
        <f t="shared" si="140"/>
        <v>-165000</v>
      </c>
      <c r="K2970" s="212" t="s">
        <v>6390</v>
      </c>
      <c r="L2970" s="213"/>
      <c r="M2970" s="212" t="s">
        <v>6179</v>
      </c>
    </row>
    <row r="2971" spans="1:13" ht="21" customHeight="1">
      <c r="A2971" s="213" t="s">
        <v>6480</v>
      </c>
      <c r="B2971" s="215">
        <f t="shared" si="138"/>
        <v>45866</v>
      </c>
      <c r="C2971" s="213" t="s">
        <v>4374</v>
      </c>
      <c r="D2971" s="213" t="s">
        <v>4366</v>
      </c>
      <c r="E2971" s="213" t="s">
        <v>6176</v>
      </c>
      <c r="F2971" s="212" t="s">
        <v>6177</v>
      </c>
      <c r="G2971" s="212" t="str">
        <f t="shared" si="139"/>
        <v>255부가세예수금</v>
      </c>
      <c r="H2971" s="214">
        <v>0</v>
      </c>
      <c r="I2971" s="214">
        <v>12000</v>
      </c>
      <c r="J2971" s="214">
        <f t="shared" si="140"/>
        <v>12000</v>
      </c>
      <c r="K2971" s="212" t="s">
        <v>6224</v>
      </c>
      <c r="L2971" s="213"/>
      <c r="M2971" s="212" t="s">
        <v>6225</v>
      </c>
    </row>
    <row r="2972" spans="1:13" ht="21" customHeight="1">
      <c r="A2972" s="213" t="s">
        <v>6480</v>
      </c>
      <c r="B2972" s="215">
        <f t="shared" si="138"/>
        <v>45866</v>
      </c>
      <c r="C2972" s="213" t="s">
        <v>4374</v>
      </c>
      <c r="D2972" s="213" t="s">
        <v>4366</v>
      </c>
      <c r="E2972" s="213" t="s">
        <v>334</v>
      </c>
      <c r="F2972" s="212" t="s">
        <v>6158</v>
      </c>
      <c r="G2972" s="212" t="str">
        <f t="shared" si="139"/>
        <v>401용역매출</v>
      </c>
      <c r="H2972" s="214">
        <v>0</v>
      </c>
      <c r="I2972" s="214">
        <v>120000</v>
      </c>
      <c r="J2972" s="214">
        <f t="shared" si="140"/>
        <v>120000</v>
      </c>
      <c r="K2972" s="212" t="s">
        <v>6224</v>
      </c>
      <c r="L2972" s="213"/>
      <c r="M2972" s="212" t="s">
        <v>6225</v>
      </c>
    </row>
    <row r="2973" spans="1:13" ht="21" customHeight="1">
      <c r="A2973" s="213" t="s">
        <v>6480</v>
      </c>
      <c r="B2973" s="215">
        <f t="shared" si="138"/>
        <v>45866</v>
      </c>
      <c r="C2973" s="213" t="s">
        <v>4374</v>
      </c>
      <c r="D2973" s="213" t="s">
        <v>4369</v>
      </c>
      <c r="E2973" s="213" t="s">
        <v>333</v>
      </c>
      <c r="F2973" s="212" t="s">
        <v>4365</v>
      </c>
      <c r="G2973" s="212" t="str">
        <f t="shared" si="139"/>
        <v>101현금</v>
      </c>
      <c r="H2973" s="214">
        <v>132000</v>
      </c>
      <c r="I2973" s="214">
        <v>0</v>
      </c>
      <c r="J2973" s="214">
        <f t="shared" si="140"/>
        <v>-132000</v>
      </c>
      <c r="K2973" s="212" t="s">
        <v>6224</v>
      </c>
      <c r="L2973" s="213"/>
      <c r="M2973" s="212" t="s">
        <v>6225</v>
      </c>
    </row>
    <row r="2974" spans="1:13" ht="21" customHeight="1">
      <c r="A2974" s="213" t="s">
        <v>6480</v>
      </c>
      <c r="B2974" s="215">
        <f t="shared" si="138"/>
        <v>45866</v>
      </c>
      <c r="C2974" s="213" t="s">
        <v>6182</v>
      </c>
      <c r="D2974" s="213" t="s">
        <v>4366</v>
      </c>
      <c r="E2974" s="213" t="s">
        <v>6176</v>
      </c>
      <c r="F2974" s="212" t="s">
        <v>6177</v>
      </c>
      <c r="G2974" s="212" t="str">
        <f t="shared" si="139"/>
        <v>255부가세예수금</v>
      </c>
      <c r="H2974" s="214">
        <v>0</v>
      </c>
      <c r="I2974" s="214">
        <v>7000</v>
      </c>
      <c r="J2974" s="214">
        <f t="shared" si="140"/>
        <v>7000</v>
      </c>
      <c r="K2974" s="212" t="s">
        <v>6336</v>
      </c>
      <c r="L2974" s="213"/>
      <c r="M2974" s="212" t="s">
        <v>6287</v>
      </c>
    </row>
    <row r="2975" spans="1:13" ht="21" customHeight="1">
      <c r="A2975" s="213" t="s">
        <v>6480</v>
      </c>
      <c r="B2975" s="215">
        <f t="shared" si="138"/>
        <v>45866</v>
      </c>
      <c r="C2975" s="213" t="s">
        <v>6182</v>
      </c>
      <c r="D2975" s="213" t="s">
        <v>4366</v>
      </c>
      <c r="E2975" s="213" t="s">
        <v>334</v>
      </c>
      <c r="F2975" s="212" t="s">
        <v>6158</v>
      </c>
      <c r="G2975" s="212" t="str">
        <f t="shared" si="139"/>
        <v>401용역매출</v>
      </c>
      <c r="H2975" s="214">
        <v>0</v>
      </c>
      <c r="I2975" s="214">
        <v>70000</v>
      </c>
      <c r="J2975" s="214">
        <f t="shared" si="140"/>
        <v>70000</v>
      </c>
      <c r="K2975" s="212" t="s">
        <v>6336</v>
      </c>
      <c r="L2975" s="213"/>
      <c r="M2975" s="212" t="s">
        <v>6287</v>
      </c>
    </row>
    <row r="2976" spans="1:13" ht="21" customHeight="1">
      <c r="A2976" s="213" t="s">
        <v>6480</v>
      </c>
      <c r="B2976" s="215">
        <f t="shared" si="138"/>
        <v>45866</v>
      </c>
      <c r="C2976" s="213" t="s">
        <v>6182</v>
      </c>
      <c r="D2976" s="213" t="s">
        <v>4369</v>
      </c>
      <c r="E2976" s="213" t="s">
        <v>333</v>
      </c>
      <c r="F2976" s="212" t="s">
        <v>4365</v>
      </c>
      <c r="G2976" s="212" t="str">
        <f t="shared" si="139"/>
        <v>101현금</v>
      </c>
      <c r="H2976" s="214">
        <v>77000</v>
      </c>
      <c r="I2976" s="214">
        <v>0</v>
      </c>
      <c r="J2976" s="214">
        <f t="shared" si="140"/>
        <v>-77000</v>
      </c>
      <c r="K2976" s="212" t="s">
        <v>6336</v>
      </c>
      <c r="L2976" s="213"/>
      <c r="M2976" s="212" t="s">
        <v>6287</v>
      </c>
    </row>
    <row r="2977" spans="1:13" ht="21" customHeight="1">
      <c r="A2977" s="213" t="s">
        <v>6480</v>
      </c>
      <c r="B2977" s="215">
        <f t="shared" si="138"/>
        <v>45866</v>
      </c>
      <c r="C2977" s="213" t="s">
        <v>6184</v>
      </c>
      <c r="D2977" s="213" t="s">
        <v>4366</v>
      </c>
      <c r="E2977" s="213" t="s">
        <v>6176</v>
      </c>
      <c r="F2977" s="212" t="s">
        <v>6177</v>
      </c>
      <c r="G2977" s="212" t="str">
        <f t="shared" si="139"/>
        <v>255부가세예수금</v>
      </c>
      <c r="H2977" s="214">
        <v>0</v>
      </c>
      <c r="I2977" s="214">
        <v>15000</v>
      </c>
      <c r="J2977" s="214">
        <f t="shared" si="140"/>
        <v>15000</v>
      </c>
      <c r="K2977" s="212" t="s">
        <v>6223</v>
      </c>
      <c r="L2977" s="213"/>
      <c r="M2977" s="212" t="s">
        <v>6179</v>
      </c>
    </row>
    <row r="2978" spans="1:13" ht="21" customHeight="1">
      <c r="A2978" s="213" t="s">
        <v>6480</v>
      </c>
      <c r="B2978" s="215">
        <f t="shared" si="138"/>
        <v>45866</v>
      </c>
      <c r="C2978" s="213" t="s">
        <v>6184</v>
      </c>
      <c r="D2978" s="213" t="s">
        <v>4366</v>
      </c>
      <c r="E2978" s="213" t="s">
        <v>334</v>
      </c>
      <c r="F2978" s="212" t="s">
        <v>6158</v>
      </c>
      <c r="G2978" s="212" t="str">
        <f t="shared" si="139"/>
        <v>401용역매출</v>
      </c>
      <c r="H2978" s="214">
        <v>0</v>
      </c>
      <c r="I2978" s="214">
        <v>150000</v>
      </c>
      <c r="J2978" s="214">
        <f t="shared" si="140"/>
        <v>150000</v>
      </c>
      <c r="K2978" s="212" t="s">
        <v>6223</v>
      </c>
      <c r="L2978" s="213"/>
      <c r="M2978" s="212" t="s">
        <v>6179</v>
      </c>
    </row>
    <row r="2979" spans="1:13" ht="21" customHeight="1">
      <c r="A2979" s="213" t="s">
        <v>6480</v>
      </c>
      <c r="B2979" s="215">
        <f t="shared" si="138"/>
        <v>45866</v>
      </c>
      <c r="C2979" s="213" t="s">
        <v>6184</v>
      </c>
      <c r="D2979" s="213" t="s">
        <v>4369</v>
      </c>
      <c r="E2979" s="213" t="s">
        <v>333</v>
      </c>
      <c r="F2979" s="212" t="s">
        <v>4365</v>
      </c>
      <c r="G2979" s="212" t="str">
        <f t="shared" si="139"/>
        <v>101현금</v>
      </c>
      <c r="H2979" s="214">
        <v>165000</v>
      </c>
      <c r="I2979" s="214">
        <v>0</v>
      </c>
      <c r="J2979" s="214">
        <f t="shared" si="140"/>
        <v>-165000</v>
      </c>
      <c r="K2979" s="212" t="s">
        <v>6223</v>
      </c>
      <c r="L2979" s="213"/>
      <c r="M2979" s="212" t="s">
        <v>6179</v>
      </c>
    </row>
    <row r="2980" spans="1:13" ht="21" customHeight="1">
      <c r="A2980" s="213" t="s">
        <v>6480</v>
      </c>
      <c r="B2980" s="215">
        <f t="shared" si="138"/>
        <v>45866</v>
      </c>
      <c r="C2980" s="213" t="s">
        <v>6186</v>
      </c>
      <c r="D2980" s="213" t="s">
        <v>4366</v>
      </c>
      <c r="E2980" s="213" t="s">
        <v>6176</v>
      </c>
      <c r="F2980" s="212" t="s">
        <v>6177</v>
      </c>
      <c r="G2980" s="212" t="str">
        <f t="shared" si="139"/>
        <v>255부가세예수금</v>
      </c>
      <c r="H2980" s="214">
        <v>0</v>
      </c>
      <c r="I2980" s="214">
        <v>10000</v>
      </c>
      <c r="J2980" s="214">
        <f t="shared" si="140"/>
        <v>10000</v>
      </c>
      <c r="K2980" s="212" t="s">
        <v>6226</v>
      </c>
      <c r="L2980" s="213"/>
      <c r="M2980" s="212" t="s">
        <v>6185</v>
      </c>
    </row>
    <row r="2981" spans="1:13" ht="21" customHeight="1">
      <c r="A2981" s="213" t="s">
        <v>6480</v>
      </c>
      <c r="B2981" s="215">
        <f t="shared" si="138"/>
        <v>45866</v>
      </c>
      <c r="C2981" s="213" t="s">
        <v>6186</v>
      </c>
      <c r="D2981" s="213" t="s">
        <v>4366</v>
      </c>
      <c r="E2981" s="213" t="s">
        <v>334</v>
      </c>
      <c r="F2981" s="212" t="s">
        <v>6158</v>
      </c>
      <c r="G2981" s="212" t="str">
        <f t="shared" si="139"/>
        <v>401용역매출</v>
      </c>
      <c r="H2981" s="214">
        <v>0</v>
      </c>
      <c r="I2981" s="214">
        <v>100000</v>
      </c>
      <c r="J2981" s="214">
        <f t="shared" si="140"/>
        <v>100000</v>
      </c>
      <c r="K2981" s="212" t="s">
        <v>6226</v>
      </c>
      <c r="L2981" s="213"/>
      <c r="M2981" s="212" t="s">
        <v>6185</v>
      </c>
    </row>
    <row r="2982" spans="1:13" ht="21" customHeight="1">
      <c r="A2982" s="213" t="s">
        <v>6480</v>
      </c>
      <c r="B2982" s="215">
        <f t="shared" si="138"/>
        <v>45866</v>
      </c>
      <c r="C2982" s="213" t="s">
        <v>6186</v>
      </c>
      <c r="D2982" s="213" t="s">
        <v>4369</v>
      </c>
      <c r="E2982" s="213" t="s">
        <v>333</v>
      </c>
      <c r="F2982" s="212" t="s">
        <v>4365</v>
      </c>
      <c r="G2982" s="212" t="str">
        <f t="shared" si="139"/>
        <v>101현금</v>
      </c>
      <c r="H2982" s="214">
        <v>110000</v>
      </c>
      <c r="I2982" s="214">
        <v>0</v>
      </c>
      <c r="J2982" s="214">
        <f t="shared" si="140"/>
        <v>-110000</v>
      </c>
      <c r="K2982" s="212" t="s">
        <v>6226</v>
      </c>
      <c r="L2982" s="213"/>
      <c r="M2982" s="212" t="s">
        <v>6185</v>
      </c>
    </row>
    <row r="2983" spans="1:13" ht="21" customHeight="1">
      <c r="A2983" s="213" t="s">
        <v>6480</v>
      </c>
      <c r="B2983" s="215">
        <f t="shared" si="138"/>
        <v>45866</v>
      </c>
      <c r="C2983" s="213" t="s">
        <v>6189</v>
      </c>
      <c r="D2983" s="213" t="s">
        <v>4366</v>
      </c>
      <c r="E2983" s="213" t="s">
        <v>6176</v>
      </c>
      <c r="F2983" s="212" t="s">
        <v>6177</v>
      </c>
      <c r="G2983" s="212" t="str">
        <f t="shared" si="139"/>
        <v>255부가세예수금</v>
      </c>
      <c r="H2983" s="214">
        <v>0</v>
      </c>
      <c r="I2983" s="214">
        <v>10000</v>
      </c>
      <c r="J2983" s="214">
        <f t="shared" si="140"/>
        <v>10000</v>
      </c>
      <c r="K2983" s="212" t="s">
        <v>6221</v>
      </c>
      <c r="L2983" s="213"/>
      <c r="M2983" s="212" t="s">
        <v>6185</v>
      </c>
    </row>
    <row r="2984" spans="1:13" ht="21" customHeight="1">
      <c r="A2984" s="213" t="s">
        <v>6480</v>
      </c>
      <c r="B2984" s="215">
        <f t="shared" si="138"/>
        <v>45866</v>
      </c>
      <c r="C2984" s="213" t="s">
        <v>6189</v>
      </c>
      <c r="D2984" s="213" t="s">
        <v>4366</v>
      </c>
      <c r="E2984" s="213" t="s">
        <v>334</v>
      </c>
      <c r="F2984" s="212" t="s">
        <v>6158</v>
      </c>
      <c r="G2984" s="212" t="str">
        <f t="shared" si="139"/>
        <v>401용역매출</v>
      </c>
      <c r="H2984" s="214">
        <v>0</v>
      </c>
      <c r="I2984" s="214">
        <v>100000</v>
      </c>
      <c r="J2984" s="214">
        <f t="shared" si="140"/>
        <v>100000</v>
      </c>
      <c r="K2984" s="212" t="s">
        <v>6221</v>
      </c>
      <c r="L2984" s="213"/>
      <c r="M2984" s="212" t="s">
        <v>6185</v>
      </c>
    </row>
    <row r="2985" spans="1:13" ht="21" customHeight="1">
      <c r="A2985" s="213" t="s">
        <v>6480</v>
      </c>
      <c r="B2985" s="215">
        <f t="shared" si="138"/>
        <v>45866</v>
      </c>
      <c r="C2985" s="213" t="s">
        <v>6189</v>
      </c>
      <c r="D2985" s="213" t="s">
        <v>4369</v>
      </c>
      <c r="E2985" s="213" t="s">
        <v>333</v>
      </c>
      <c r="F2985" s="212" t="s">
        <v>4365</v>
      </c>
      <c r="G2985" s="212" t="str">
        <f t="shared" si="139"/>
        <v>101현금</v>
      </c>
      <c r="H2985" s="214">
        <v>110000</v>
      </c>
      <c r="I2985" s="214">
        <v>0</v>
      </c>
      <c r="J2985" s="214">
        <f t="shared" si="140"/>
        <v>-110000</v>
      </c>
      <c r="K2985" s="212" t="s">
        <v>6221</v>
      </c>
      <c r="L2985" s="213"/>
      <c r="M2985" s="212" t="s">
        <v>6185</v>
      </c>
    </row>
    <row r="2986" spans="1:13" ht="21" customHeight="1">
      <c r="A2986" s="213" t="s">
        <v>6480</v>
      </c>
      <c r="B2986" s="215">
        <f t="shared" si="138"/>
        <v>45866</v>
      </c>
      <c r="C2986" s="213" t="s">
        <v>6191</v>
      </c>
      <c r="D2986" s="213" t="s">
        <v>4366</v>
      </c>
      <c r="E2986" s="213" t="s">
        <v>6176</v>
      </c>
      <c r="F2986" s="212" t="s">
        <v>6177</v>
      </c>
      <c r="G2986" s="212" t="str">
        <f t="shared" si="139"/>
        <v>255부가세예수금</v>
      </c>
      <c r="H2986" s="214">
        <v>0</v>
      </c>
      <c r="I2986" s="214">
        <v>11819</v>
      </c>
      <c r="J2986" s="214">
        <f t="shared" si="140"/>
        <v>11819</v>
      </c>
      <c r="K2986" s="212" t="s">
        <v>6220</v>
      </c>
      <c r="L2986" s="213"/>
      <c r="M2986" s="212" t="s">
        <v>6362</v>
      </c>
    </row>
    <row r="2987" spans="1:13" ht="21" customHeight="1">
      <c r="A2987" s="213" t="s">
        <v>6480</v>
      </c>
      <c r="B2987" s="215">
        <f t="shared" si="138"/>
        <v>45866</v>
      </c>
      <c r="C2987" s="213" t="s">
        <v>6191</v>
      </c>
      <c r="D2987" s="213" t="s">
        <v>4366</v>
      </c>
      <c r="E2987" s="213" t="s">
        <v>334</v>
      </c>
      <c r="F2987" s="212" t="s">
        <v>6158</v>
      </c>
      <c r="G2987" s="212" t="str">
        <f t="shared" si="139"/>
        <v>401용역매출</v>
      </c>
      <c r="H2987" s="214">
        <v>0</v>
      </c>
      <c r="I2987" s="214">
        <v>118181</v>
      </c>
      <c r="J2987" s="214">
        <f t="shared" si="140"/>
        <v>118181</v>
      </c>
      <c r="K2987" s="212" t="s">
        <v>6220</v>
      </c>
      <c r="L2987" s="213"/>
      <c r="M2987" s="212" t="s">
        <v>6362</v>
      </c>
    </row>
    <row r="2988" spans="1:13" ht="21" customHeight="1">
      <c r="A2988" s="213" t="s">
        <v>6480</v>
      </c>
      <c r="B2988" s="215">
        <f t="shared" si="138"/>
        <v>45866</v>
      </c>
      <c r="C2988" s="213" t="s">
        <v>6191</v>
      </c>
      <c r="D2988" s="213" t="s">
        <v>4369</v>
      </c>
      <c r="E2988" s="213" t="s">
        <v>333</v>
      </c>
      <c r="F2988" s="212" t="s">
        <v>4365</v>
      </c>
      <c r="G2988" s="212" t="str">
        <f t="shared" si="139"/>
        <v>101현금</v>
      </c>
      <c r="H2988" s="214">
        <v>130000</v>
      </c>
      <c r="I2988" s="214">
        <v>0</v>
      </c>
      <c r="J2988" s="214">
        <f t="shared" si="140"/>
        <v>-130000</v>
      </c>
      <c r="K2988" s="212" t="s">
        <v>6220</v>
      </c>
      <c r="L2988" s="213"/>
      <c r="M2988" s="212" t="s">
        <v>6362</v>
      </c>
    </row>
    <row r="2989" spans="1:13" ht="21" customHeight="1">
      <c r="A2989" s="213" t="s">
        <v>6480</v>
      </c>
      <c r="B2989" s="215">
        <f t="shared" si="138"/>
        <v>45866</v>
      </c>
      <c r="C2989" s="213" t="s">
        <v>6216</v>
      </c>
      <c r="D2989" s="213" t="s">
        <v>4366</v>
      </c>
      <c r="E2989" s="213" t="s">
        <v>6176</v>
      </c>
      <c r="F2989" s="212" t="s">
        <v>6177</v>
      </c>
      <c r="G2989" s="212" t="str">
        <f t="shared" si="139"/>
        <v>255부가세예수금</v>
      </c>
      <c r="H2989" s="214">
        <v>0</v>
      </c>
      <c r="I2989" s="214">
        <v>10000</v>
      </c>
      <c r="J2989" s="214">
        <f t="shared" si="140"/>
        <v>10000</v>
      </c>
      <c r="K2989" s="212" t="s">
        <v>6209</v>
      </c>
      <c r="L2989" s="213"/>
      <c r="M2989" s="212" t="s">
        <v>6185</v>
      </c>
    </row>
    <row r="2990" spans="1:13" ht="21" customHeight="1">
      <c r="A2990" s="213" t="s">
        <v>6480</v>
      </c>
      <c r="B2990" s="215">
        <f t="shared" si="138"/>
        <v>45866</v>
      </c>
      <c r="C2990" s="213" t="s">
        <v>6216</v>
      </c>
      <c r="D2990" s="213" t="s">
        <v>4366</v>
      </c>
      <c r="E2990" s="213" t="s">
        <v>334</v>
      </c>
      <c r="F2990" s="212" t="s">
        <v>6158</v>
      </c>
      <c r="G2990" s="212" t="str">
        <f t="shared" si="139"/>
        <v>401용역매출</v>
      </c>
      <c r="H2990" s="214">
        <v>0</v>
      </c>
      <c r="I2990" s="214">
        <v>100000</v>
      </c>
      <c r="J2990" s="214">
        <f t="shared" si="140"/>
        <v>100000</v>
      </c>
      <c r="K2990" s="212" t="s">
        <v>6209</v>
      </c>
      <c r="L2990" s="213"/>
      <c r="M2990" s="212" t="s">
        <v>6185</v>
      </c>
    </row>
    <row r="2991" spans="1:13" ht="21" customHeight="1">
      <c r="A2991" s="213" t="s">
        <v>6480</v>
      </c>
      <c r="B2991" s="215">
        <f t="shared" si="138"/>
        <v>45866</v>
      </c>
      <c r="C2991" s="213" t="s">
        <v>6216</v>
      </c>
      <c r="D2991" s="213" t="s">
        <v>4369</v>
      </c>
      <c r="E2991" s="213" t="s">
        <v>333</v>
      </c>
      <c r="F2991" s="212" t="s">
        <v>4365</v>
      </c>
      <c r="G2991" s="212" t="str">
        <f t="shared" si="139"/>
        <v>101현금</v>
      </c>
      <c r="H2991" s="214">
        <v>110000</v>
      </c>
      <c r="I2991" s="214">
        <v>0</v>
      </c>
      <c r="J2991" s="214">
        <f t="shared" si="140"/>
        <v>-110000</v>
      </c>
      <c r="K2991" s="212" t="s">
        <v>6209</v>
      </c>
      <c r="L2991" s="213"/>
      <c r="M2991" s="212" t="s">
        <v>6185</v>
      </c>
    </row>
    <row r="2992" spans="1:13" ht="21" customHeight="1">
      <c r="A2992" s="213" t="s">
        <v>6480</v>
      </c>
      <c r="B2992" s="215">
        <f t="shared" si="138"/>
        <v>45866</v>
      </c>
      <c r="C2992" s="213" t="s">
        <v>6217</v>
      </c>
      <c r="D2992" s="213" t="s">
        <v>4366</v>
      </c>
      <c r="E2992" s="213" t="s">
        <v>6176</v>
      </c>
      <c r="F2992" s="212" t="s">
        <v>6177</v>
      </c>
      <c r="G2992" s="212" t="str">
        <f t="shared" si="139"/>
        <v>255부가세예수금</v>
      </c>
      <c r="H2992" s="214">
        <v>0</v>
      </c>
      <c r="I2992" s="214">
        <v>10000</v>
      </c>
      <c r="J2992" s="214">
        <f t="shared" si="140"/>
        <v>10000</v>
      </c>
      <c r="K2992" s="212" t="s">
        <v>6210</v>
      </c>
      <c r="L2992" s="213"/>
      <c r="M2992" s="212" t="s">
        <v>6185</v>
      </c>
    </row>
    <row r="2993" spans="1:13" ht="21" customHeight="1">
      <c r="A2993" s="213" t="s">
        <v>6480</v>
      </c>
      <c r="B2993" s="215">
        <f t="shared" si="138"/>
        <v>45866</v>
      </c>
      <c r="C2993" s="213" t="s">
        <v>6217</v>
      </c>
      <c r="D2993" s="213" t="s">
        <v>4366</v>
      </c>
      <c r="E2993" s="213" t="s">
        <v>334</v>
      </c>
      <c r="F2993" s="212" t="s">
        <v>6158</v>
      </c>
      <c r="G2993" s="212" t="str">
        <f t="shared" si="139"/>
        <v>401용역매출</v>
      </c>
      <c r="H2993" s="214">
        <v>0</v>
      </c>
      <c r="I2993" s="214">
        <v>100000</v>
      </c>
      <c r="J2993" s="214">
        <f t="shared" si="140"/>
        <v>100000</v>
      </c>
      <c r="K2993" s="212" t="s">
        <v>6210</v>
      </c>
      <c r="L2993" s="213"/>
      <c r="M2993" s="212" t="s">
        <v>6185</v>
      </c>
    </row>
    <row r="2994" spans="1:13" ht="21" customHeight="1">
      <c r="A2994" s="213" t="s">
        <v>6480</v>
      </c>
      <c r="B2994" s="215">
        <f t="shared" si="138"/>
        <v>45866</v>
      </c>
      <c r="C2994" s="213" t="s">
        <v>6217</v>
      </c>
      <c r="D2994" s="213" t="s">
        <v>4369</v>
      </c>
      <c r="E2994" s="213" t="s">
        <v>333</v>
      </c>
      <c r="F2994" s="212" t="s">
        <v>4365</v>
      </c>
      <c r="G2994" s="212" t="str">
        <f t="shared" si="139"/>
        <v>101현금</v>
      </c>
      <c r="H2994" s="214">
        <v>110000</v>
      </c>
      <c r="I2994" s="214">
        <v>0</v>
      </c>
      <c r="J2994" s="214">
        <f t="shared" si="140"/>
        <v>-110000</v>
      </c>
      <c r="K2994" s="212" t="s">
        <v>6210</v>
      </c>
      <c r="L2994" s="213"/>
      <c r="M2994" s="212" t="s">
        <v>6185</v>
      </c>
    </row>
    <row r="2995" spans="1:13" ht="21" customHeight="1">
      <c r="A2995" s="213" t="s">
        <v>6480</v>
      </c>
      <c r="B2995" s="215">
        <f t="shared" si="138"/>
        <v>45866</v>
      </c>
      <c r="C2995" s="213" t="s">
        <v>6218</v>
      </c>
      <c r="D2995" s="213" t="s">
        <v>4366</v>
      </c>
      <c r="E2995" s="213" t="s">
        <v>6176</v>
      </c>
      <c r="F2995" s="212" t="s">
        <v>6177</v>
      </c>
      <c r="G2995" s="212" t="str">
        <f t="shared" si="139"/>
        <v>255부가세예수금</v>
      </c>
      <c r="H2995" s="214">
        <v>0</v>
      </c>
      <c r="I2995" s="214">
        <v>15000</v>
      </c>
      <c r="J2995" s="214">
        <f t="shared" si="140"/>
        <v>15000</v>
      </c>
      <c r="K2995" s="212" t="s">
        <v>6211</v>
      </c>
      <c r="L2995" s="213"/>
      <c r="M2995" s="212" t="s">
        <v>6179</v>
      </c>
    </row>
    <row r="2996" spans="1:13" ht="21" customHeight="1">
      <c r="A2996" s="213" t="s">
        <v>6480</v>
      </c>
      <c r="B2996" s="215">
        <f t="shared" si="138"/>
        <v>45866</v>
      </c>
      <c r="C2996" s="213" t="s">
        <v>6218</v>
      </c>
      <c r="D2996" s="213" t="s">
        <v>4366</v>
      </c>
      <c r="E2996" s="213" t="s">
        <v>334</v>
      </c>
      <c r="F2996" s="212" t="s">
        <v>6158</v>
      </c>
      <c r="G2996" s="212" t="str">
        <f t="shared" si="139"/>
        <v>401용역매출</v>
      </c>
      <c r="H2996" s="214">
        <v>0</v>
      </c>
      <c r="I2996" s="214">
        <v>150000</v>
      </c>
      <c r="J2996" s="214">
        <f t="shared" si="140"/>
        <v>150000</v>
      </c>
      <c r="K2996" s="212" t="s">
        <v>6211</v>
      </c>
      <c r="L2996" s="213"/>
      <c r="M2996" s="212" t="s">
        <v>6179</v>
      </c>
    </row>
    <row r="2997" spans="1:13" ht="21" customHeight="1">
      <c r="A2997" s="213" t="s">
        <v>6480</v>
      </c>
      <c r="B2997" s="215">
        <f t="shared" si="138"/>
        <v>45866</v>
      </c>
      <c r="C2997" s="213" t="s">
        <v>6218</v>
      </c>
      <c r="D2997" s="213" t="s">
        <v>4369</v>
      </c>
      <c r="E2997" s="213" t="s">
        <v>333</v>
      </c>
      <c r="F2997" s="212" t="s">
        <v>4365</v>
      </c>
      <c r="G2997" s="212" t="str">
        <f t="shared" si="139"/>
        <v>101현금</v>
      </c>
      <c r="H2997" s="214">
        <v>165000</v>
      </c>
      <c r="I2997" s="214">
        <v>0</v>
      </c>
      <c r="J2997" s="214">
        <f t="shared" si="140"/>
        <v>-165000</v>
      </c>
      <c r="K2997" s="212" t="s">
        <v>6211</v>
      </c>
      <c r="L2997" s="213"/>
      <c r="M2997" s="212" t="s">
        <v>6179</v>
      </c>
    </row>
    <row r="2998" spans="1:13" ht="21" customHeight="1">
      <c r="A2998" s="213" t="s">
        <v>6478</v>
      </c>
      <c r="B2998" s="215">
        <f t="shared" si="138"/>
        <v>45869</v>
      </c>
      <c r="C2998" s="213" t="s">
        <v>4367</v>
      </c>
      <c r="D2998" s="213" t="s">
        <v>4369</v>
      </c>
      <c r="E2998" s="213" t="s">
        <v>4371</v>
      </c>
      <c r="F2998" s="212" t="s">
        <v>4370</v>
      </c>
      <c r="G2998" s="212" t="str">
        <f t="shared" si="139"/>
        <v>135부가세대급금</v>
      </c>
      <c r="H2998" s="214">
        <v>10000</v>
      </c>
      <c r="I2998" s="214">
        <v>0</v>
      </c>
      <c r="J2998" s="214">
        <f t="shared" si="140"/>
        <v>-10000</v>
      </c>
      <c r="K2998" s="212" t="s">
        <v>6159</v>
      </c>
      <c r="L2998" s="213"/>
      <c r="M2998" s="212" t="s">
        <v>4364</v>
      </c>
    </row>
    <row r="2999" spans="1:13" ht="21" customHeight="1">
      <c r="A2999" s="213" t="s">
        <v>6478</v>
      </c>
      <c r="B2999" s="215">
        <f t="shared" si="138"/>
        <v>45869</v>
      </c>
      <c r="C2999" s="213" t="s">
        <v>4367</v>
      </c>
      <c r="D2999" s="213" t="s">
        <v>4369</v>
      </c>
      <c r="E2999" s="213" t="s">
        <v>4368</v>
      </c>
      <c r="F2999" s="212" t="s">
        <v>6388</v>
      </c>
      <c r="G2999" s="212" t="str">
        <f t="shared" si="139"/>
        <v>831지급수수료(판)</v>
      </c>
      <c r="H2999" s="214">
        <v>100000</v>
      </c>
      <c r="I2999" s="214">
        <v>0</v>
      </c>
      <c r="J2999" s="214">
        <f t="shared" si="140"/>
        <v>-100000</v>
      </c>
      <c r="K2999" s="212" t="s">
        <v>6159</v>
      </c>
      <c r="L2999" s="213"/>
      <c r="M2999" s="212" t="s">
        <v>4364</v>
      </c>
    </row>
    <row r="3000" spans="1:13" ht="21" customHeight="1">
      <c r="A3000" s="213" t="s">
        <v>6478</v>
      </c>
      <c r="B3000" s="215">
        <f t="shared" si="138"/>
        <v>45869</v>
      </c>
      <c r="C3000" s="213" t="s">
        <v>4367</v>
      </c>
      <c r="D3000" s="213" t="s">
        <v>4366</v>
      </c>
      <c r="E3000" s="213" t="s">
        <v>333</v>
      </c>
      <c r="F3000" s="212" t="s">
        <v>4365</v>
      </c>
      <c r="G3000" s="212" t="str">
        <f t="shared" si="139"/>
        <v>101현금</v>
      </c>
      <c r="H3000" s="214">
        <v>0</v>
      </c>
      <c r="I3000" s="214">
        <v>110000</v>
      </c>
      <c r="J3000" s="214">
        <f t="shared" si="140"/>
        <v>110000</v>
      </c>
      <c r="K3000" s="212" t="s">
        <v>6159</v>
      </c>
      <c r="L3000" s="213"/>
      <c r="M3000" s="212" t="s">
        <v>4364</v>
      </c>
    </row>
    <row r="3001" spans="1:13" ht="21" customHeight="1">
      <c r="A3001" s="213" t="s">
        <v>6478</v>
      </c>
      <c r="B3001" s="215">
        <f t="shared" si="138"/>
        <v>45869</v>
      </c>
      <c r="C3001" s="213" t="s">
        <v>4374</v>
      </c>
      <c r="D3001" s="213" t="s">
        <v>4369</v>
      </c>
      <c r="E3001" s="213" t="s">
        <v>4371</v>
      </c>
      <c r="F3001" s="212" t="s">
        <v>4370</v>
      </c>
      <c r="G3001" s="212" t="str">
        <f t="shared" si="139"/>
        <v>135부가세대급금</v>
      </c>
      <c r="H3001" s="214">
        <v>582</v>
      </c>
      <c r="I3001" s="214">
        <v>0</v>
      </c>
      <c r="J3001" s="214">
        <f t="shared" si="140"/>
        <v>-582</v>
      </c>
      <c r="K3001" s="212" t="s">
        <v>6274</v>
      </c>
      <c r="L3001" s="213"/>
      <c r="M3001" s="212" t="s">
        <v>6479</v>
      </c>
    </row>
    <row r="3002" spans="1:13" ht="21" customHeight="1">
      <c r="A3002" s="213" t="s">
        <v>6478</v>
      </c>
      <c r="B3002" s="215">
        <f t="shared" si="138"/>
        <v>45869</v>
      </c>
      <c r="C3002" s="213" t="s">
        <v>4374</v>
      </c>
      <c r="D3002" s="213" t="s">
        <v>4369</v>
      </c>
      <c r="E3002" s="213" t="s">
        <v>4368</v>
      </c>
      <c r="F3002" s="212" t="s">
        <v>6388</v>
      </c>
      <c r="G3002" s="212" t="str">
        <f t="shared" si="139"/>
        <v>831지급수수료(판)</v>
      </c>
      <c r="H3002" s="214">
        <v>5818</v>
      </c>
      <c r="I3002" s="214">
        <v>0</v>
      </c>
      <c r="J3002" s="214">
        <f t="shared" si="140"/>
        <v>-5818</v>
      </c>
      <c r="K3002" s="212" t="s">
        <v>6274</v>
      </c>
      <c r="L3002" s="213"/>
      <c r="M3002" s="212" t="s">
        <v>6479</v>
      </c>
    </row>
    <row r="3003" spans="1:13" ht="21" customHeight="1">
      <c r="A3003" s="213" t="s">
        <v>6478</v>
      </c>
      <c r="B3003" s="215">
        <f t="shared" si="138"/>
        <v>45869</v>
      </c>
      <c r="C3003" s="213" t="s">
        <v>4374</v>
      </c>
      <c r="D3003" s="213" t="s">
        <v>4366</v>
      </c>
      <c r="E3003" s="213" t="s">
        <v>333</v>
      </c>
      <c r="F3003" s="212" t="s">
        <v>4365</v>
      </c>
      <c r="G3003" s="212" t="str">
        <f t="shared" si="139"/>
        <v>101현금</v>
      </c>
      <c r="H3003" s="214">
        <v>0</v>
      </c>
      <c r="I3003" s="214">
        <v>6400</v>
      </c>
      <c r="J3003" s="214">
        <f t="shared" si="140"/>
        <v>6400</v>
      </c>
      <c r="K3003" s="212" t="s">
        <v>6274</v>
      </c>
      <c r="L3003" s="213"/>
      <c r="M3003" s="212" t="s">
        <v>6479</v>
      </c>
    </row>
    <row r="3004" spans="1:13" ht="21" customHeight="1">
      <c r="A3004" s="213" t="s">
        <v>6478</v>
      </c>
      <c r="B3004" s="215">
        <f t="shared" si="138"/>
        <v>45869</v>
      </c>
      <c r="C3004" s="213" t="s">
        <v>6182</v>
      </c>
      <c r="D3004" s="213" t="s">
        <v>4369</v>
      </c>
      <c r="E3004" s="213" t="s">
        <v>4371</v>
      </c>
      <c r="F3004" s="212" t="s">
        <v>4370</v>
      </c>
      <c r="G3004" s="212" t="str">
        <f t="shared" si="139"/>
        <v>135부가세대급금</v>
      </c>
      <c r="H3004" s="214">
        <v>4000</v>
      </c>
      <c r="I3004" s="214">
        <v>0</v>
      </c>
      <c r="J3004" s="214">
        <f t="shared" si="140"/>
        <v>-4000</v>
      </c>
      <c r="K3004" s="212" t="s">
        <v>6227</v>
      </c>
      <c r="L3004" s="213"/>
      <c r="M3004" s="212" t="s">
        <v>6326</v>
      </c>
    </row>
    <row r="3005" spans="1:13" ht="21" customHeight="1">
      <c r="A3005" s="213" t="s">
        <v>6478</v>
      </c>
      <c r="B3005" s="215">
        <f t="shared" si="138"/>
        <v>45869</v>
      </c>
      <c r="C3005" s="213" t="s">
        <v>6182</v>
      </c>
      <c r="D3005" s="213" t="s">
        <v>4369</v>
      </c>
      <c r="E3005" s="213" t="s">
        <v>4368</v>
      </c>
      <c r="F3005" s="212" t="s">
        <v>6388</v>
      </c>
      <c r="G3005" s="212" t="str">
        <f t="shared" si="139"/>
        <v>831지급수수료(판)</v>
      </c>
      <c r="H3005" s="214">
        <v>40000</v>
      </c>
      <c r="I3005" s="214">
        <v>0</v>
      </c>
      <c r="J3005" s="214">
        <f t="shared" si="140"/>
        <v>-40000</v>
      </c>
      <c r="K3005" s="212" t="s">
        <v>6227</v>
      </c>
      <c r="L3005" s="213"/>
      <c r="M3005" s="212" t="s">
        <v>6326</v>
      </c>
    </row>
    <row r="3006" spans="1:13" ht="21" customHeight="1">
      <c r="A3006" s="213" t="s">
        <v>6478</v>
      </c>
      <c r="B3006" s="215">
        <f t="shared" si="138"/>
        <v>45869</v>
      </c>
      <c r="C3006" s="213" t="s">
        <v>6182</v>
      </c>
      <c r="D3006" s="213" t="s">
        <v>4366</v>
      </c>
      <c r="E3006" s="213" t="s">
        <v>333</v>
      </c>
      <c r="F3006" s="212" t="s">
        <v>4365</v>
      </c>
      <c r="G3006" s="212" t="str">
        <f t="shared" si="139"/>
        <v>101현금</v>
      </c>
      <c r="H3006" s="214">
        <v>0</v>
      </c>
      <c r="I3006" s="214">
        <v>44000</v>
      </c>
      <c r="J3006" s="214">
        <f t="shared" si="140"/>
        <v>44000</v>
      </c>
      <c r="K3006" s="212" t="s">
        <v>6227</v>
      </c>
      <c r="L3006" s="213"/>
      <c r="M3006" s="212" t="s">
        <v>6326</v>
      </c>
    </row>
    <row r="3007" spans="1:13" ht="21" customHeight="1">
      <c r="A3007" s="213" t="s">
        <v>6478</v>
      </c>
      <c r="B3007" s="215">
        <f t="shared" si="138"/>
        <v>45869</v>
      </c>
      <c r="C3007" s="213" t="s">
        <v>6184</v>
      </c>
      <c r="D3007" s="213" t="s">
        <v>4369</v>
      </c>
      <c r="E3007" s="213" t="s">
        <v>4371</v>
      </c>
      <c r="F3007" s="212" t="s">
        <v>4370</v>
      </c>
      <c r="G3007" s="212" t="str">
        <f t="shared" si="139"/>
        <v>135부가세대급금</v>
      </c>
      <c r="H3007" s="214">
        <v>1375</v>
      </c>
      <c r="I3007" s="214">
        <v>0</v>
      </c>
      <c r="J3007" s="214">
        <f t="shared" si="140"/>
        <v>-1375</v>
      </c>
      <c r="K3007" s="212" t="s">
        <v>6227</v>
      </c>
      <c r="L3007" s="213"/>
      <c r="M3007" s="212" t="s">
        <v>6327</v>
      </c>
    </row>
    <row r="3008" spans="1:13" ht="21" customHeight="1">
      <c r="A3008" s="213" t="s">
        <v>6478</v>
      </c>
      <c r="B3008" s="215">
        <f t="shared" si="138"/>
        <v>45869</v>
      </c>
      <c r="C3008" s="213" t="s">
        <v>6184</v>
      </c>
      <c r="D3008" s="213" t="s">
        <v>4369</v>
      </c>
      <c r="E3008" s="213" t="s">
        <v>4368</v>
      </c>
      <c r="F3008" s="212" t="s">
        <v>6388</v>
      </c>
      <c r="G3008" s="212" t="str">
        <f t="shared" si="139"/>
        <v>831지급수수료(판)</v>
      </c>
      <c r="H3008" s="214">
        <v>13750</v>
      </c>
      <c r="I3008" s="214">
        <v>0</v>
      </c>
      <c r="J3008" s="214">
        <f t="shared" si="140"/>
        <v>-13750</v>
      </c>
      <c r="K3008" s="212" t="s">
        <v>6227</v>
      </c>
      <c r="L3008" s="213"/>
      <c r="M3008" s="212" t="s">
        <v>6327</v>
      </c>
    </row>
    <row r="3009" spans="1:13" ht="21" customHeight="1">
      <c r="A3009" s="213" t="s">
        <v>6478</v>
      </c>
      <c r="B3009" s="215">
        <f t="shared" si="138"/>
        <v>45869</v>
      </c>
      <c r="C3009" s="213" t="s">
        <v>6184</v>
      </c>
      <c r="D3009" s="213" t="s">
        <v>4366</v>
      </c>
      <c r="E3009" s="213" t="s">
        <v>333</v>
      </c>
      <c r="F3009" s="212" t="s">
        <v>4365</v>
      </c>
      <c r="G3009" s="212" t="str">
        <f t="shared" si="139"/>
        <v>101현금</v>
      </c>
      <c r="H3009" s="214">
        <v>0</v>
      </c>
      <c r="I3009" s="214">
        <v>15125</v>
      </c>
      <c r="J3009" s="214">
        <f t="shared" si="140"/>
        <v>15125</v>
      </c>
      <c r="K3009" s="212" t="s">
        <v>6227</v>
      </c>
      <c r="L3009" s="213"/>
      <c r="M3009" s="212" t="s">
        <v>6327</v>
      </c>
    </row>
    <row r="3010" spans="1:13" ht="21" customHeight="1">
      <c r="A3010" s="213" t="s">
        <v>6477</v>
      </c>
      <c r="B3010" s="215">
        <f t="shared" ref="B3010:B3073" si="141">DATEVALUE(A3010)</f>
        <v>45870</v>
      </c>
      <c r="C3010" s="213" t="s">
        <v>4367</v>
      </c>
      <c r="D3010" s="213" t="s">
        <v>4366</v>
      </c>
      <c r="E3010" s="213" t="s">
        <v>6176</v>
      </c>
      <c r="F3010" s="212" t="s">
        <v>6177</v>
      </c>
      <c r="G3010" s="212" t="str">
        <f t="shared" ref="G3010:G3073" si="142">E3010&amp;F3010</f>
        <v>255부가세예수금</v>
      </c>
      <c r="H3010" s="214">
        <v>0</v>
      </c>
      <c r="I3010" s="214">
        <v>20000</v>
      </c>
      <c r="J3010" s="214">
        <f t="shared" ref="J3010:J3073" si="143">I3010-H3010</f>
        <v>20000</v>
      </c>
      <c r="K3010" s="212" t="s">
        <v>6230</v>
      </c>
      <c r="L3010" s="213"/>
      <c r="M3010" s="212" t="s">
        <v>6231</v>
      </c>
    </row>
    <row r="3011" spans="1:13" ht="21" customHeight="1">
      <c r="A3011" s="213" t="s">
        <v>6477</v>
      </c>
      <c r="B3011" s="215">
        <f t="shared" si="141"/>
        <v>45870</v>
      </c>
      <c r="C3011" s="213" t="s">
        <v>4367</v>
      </c>
      <c r="D3011" s="213" t="s">
        <v>4366</v>
      </c>
      <c r="E3011" s="213" t="s">
        <v>334</v>
      </c>
      <c r="F3011" s="212" t="s">
        <v>6158</v>
      </c>
      <c r="G3011" s="212" t="str">
        <f t="shared" si="142"/>
        <v>401용역매출</v>
      </c>
      <c r="H3011" s="214">
        <v>0</v>
      </c>
      <c r="I3011" s="214">
        <v>200000</v>
      </c>
      <c r="J3011" s="214">
        <f t="shared" si="143"/>
        <v>200000</v>
      </c>
      <c r="K3011" s="212" t="s">
        <v>6230</v>
      </c>
      <c r="L3011" s="213"/>
      <c r="M3011" s="212" t="s">
        <v>6231</v>
      </c>
    </row>
    <row r="3012" spans="1:13" ht="21" customHeight="1">
      <c r="A3012" s="213" t="s">
        <v>6477</v>
      </c>
      <c r="B3012" s="215">
        <f t="shared" si="141"/>
        <v>45870</v>
      </c>
      <c r="C3012" s="213" t="s">
        <v>4367</v>
      </c>
      <c r="D3012" s="213" t="s">
        <v>4369</v>
      </c>
      <c r="E3012" s="213" t="s">
        <v>333</v>
      </c>
      <c r="F3012" s="212" t="s">
        <v>4365</v>
      </c>
      <c r="G3012" s="212" t="str">
        <f t="shared" si="142"/>
        <v>101현금</v>
      </c>
      <c r="H3012" s="214">
        <v>220000</v>
      </c>
      <c r="I3012" s="214">
        <v>0</v>
      </c>
      <c r="J3012" s="214">
        <f t="shared" si="143"/>
        <v>-220000</v>
      </c>
      <c r="K3012" s="212" t="s">
        <v>6230</v>
      </c>
      <c r="L3012" s="213"/>
      <c r="M3012" s="212" t="s">
        <v>6231</v>
      </c>
    </row>
    <row r="3013" spans="1:13" ht="21" customHeight="1">
      <c r="A3013" s="213" t="s">
        <v>6477</v>
      </c>
      <c r="B3013" s="215">
        <f t="shared" si="141"/>
        <v>45870</v>
      </c>
      <c r="C3013" s="213" t="s">
        <v>4374</v>
      </c>
      <c r="D3013" s="213" t="s">
        <v>4366</v>
      </c>
      <c r="E3013" s="213" t="s">
        <v>6176</v>
      </c>
      <c r="F3013" s="212" t="s">
        <v>6177</v>
      </c>
      <c r="G3013" s="212" t="str">
        <f t="shared" si="142"/>
        <v>255부가세예수금</v>
      </c>
      <c r="H3013" s="214">
        <v>0</v>
      </c>
      <c r="I3013" s="214">
        <v>15000</v>
      </c>
      <c r="J3013" s="214">
        <f t="shared" si="143"/>
        <v>15000</v>
      </c>
      <c r="K3013" s="212" t="s">
        <v>6233</v>
      </c>
      <c r="L3013" s="213"/>
      <c r="M3013" s="212" t="s">
        <v>6179</v>
      </c>
    </row>
    <row r="3014" spans="1:13" ht="21" customHeight="1">
      <c r="A3014" s="213" t="s">
        <v>6477</v>
      </c>
      <c r="B3014" s="215">
        <f t="shared" si="141"/>
        <v>45870</v>
      </c>
      <c r="C3014" s="213" t="s">
        <v>4374</v>
      </c>
      <c r="D3014" s="213" t="s">
        <v>4366</v>
      </c>
      <c r="E3014" s="213" t="s">
        <v>334</v>
      </c>
      <c r="F3014" s="212" t="s">
        <v>6158</v>
      </c>
      <c r="G3014" s="212" t="str">
        <f t="shared" si="142"/>
        <v>401용역매출</v>
      </c>
      <c r="H3014" s="214">
        <v>0</v>
      </c>
      <c r="I3014" s="214">
        <v>150000</v>
      </c>
      <c r="J3014" s="214">
        <f t="shared" si="143"/>
        <v>150000</v>
      </c>
      <c r="K3014" s="212" t="s">
        <v>6233</v>
      </c>
      <c r="L3014" s="213"/>
      <c r="M3014" s="212" t="s">
        <v>6179</v>
      </c>
    </row>
    <row r="3015" spans="1:13" ht="21" customHeight="1">
      <c r="A3015" s="213" t="s">
        <v>6477</v>
      </c>
      <c r="B3015" s="215">
        <f t="shared" si="141"/>
        <v>45870</v>
      </c>
      <c r="C3015" s="213" t="s">
        <v>4374</v>
      </c>
      <c r="D3015" s="213" t="s">
        <v>4369</v>
      </c>
      <c r="E3015" s="213" t="s">
        <v>333</v>
      </c>
      <c r="F3015" s="212" t="s">
        <v>4365</v>
      </c>
      <c r="G3015" s="212" t="str">
        <f t="shared" si="142"/>
        <v>101현금</v>
      </c>
      <c r="H3015" s="214">
        <v>165000</v>
      </c>
      <c r="I3015" s="214">
        <v>0</v>
      </c>
      <c r="J3015" s="214">
        <f t="shared" si="143"/>
        <v>-165000</v>
      </c>
      <c r="K3015" s="212" t="s">
        <v>6233</v>
      </c>
      <c r="L3015" s="213"/>
      <c r="M3015" s="212" t="s">
        <v>6179</v>
      </c>
    </row>
    <row r="3016" spans="1:13" ht="21" customHeight="1">
      <c r="A3016" s="213" t="s">
        <v>6477</v>
      </c>
      <c r="B3016" s="215">
        <f t="shared" si="141"/>
        <v>45870</v>
      </c>
      <c r="C3016" s="213" t="s">
        <v>6182</v>
      </c>
      <c r="D3016" s="213" t="s">
        <v>4366</v>
      </c>
      <c r="E3016" s="213" t="s">
        <v>6176</v>
      </c>
      <c r="F3016" s="212" t="s">
        <v>6177</v>
      </c>
      <c r="G3016" s="212" t="str">
        <f t="shared" si="142"/>
        <v>255부가세예수금</v>
      </c>
      <c r="H3016" s="214">
        <v>0</v>
      </c>
      <c r="I3016" s="214">
        <v>9091</v>
      </c>
      <c r="J3016" s="214">
        <f t="shared" si="143"/>
        <v>9091</v>
      </c>
      <c r="K3016" s="212" t="s">
        <v>6300</v>
      </c>
      <c r="L3016" s="213"/>
      <c r="M3016" s="212" t="s">
        <v>6296</v>
      </c>
    </row>
    <row r="3017" spans="1:13" ht="21" customHeight="1">
      <c r="A3017" s="213" t="s">
        <v>6477</v>
      </c>
      <c r="B3017" s="215">
        <f t="shared" si="141"/>
        <v>45870</v>
      </c>
      <c r="C3017" s="213" t="s">
        <v>6182</v>
      </c>
      <c r="D3017" s="213" t="s">
        <v>4366</v>
      </c>
      <c r="E3017" s="213" t="s">
        <v>334</v>
      </c>
      <c r="F3017" s="212" t="s">
        <v>6158</v>
      </c>
      <c r="G3017" s="212" t="str">
        <f t="shared" si="142"/>
        <v>401용역매출</v>
      </c>
      <c r="H3017" s="214">
        <v>0</v>
      </c>
      <c r="I3017" s="214">
        <v>90909</v>
      </c>
      <c r="J3017" s="214">
        <f t="shared" si="143"/>
        <v>90909</v>
      </c>
      <c r="K3017" s="212" t="s">
        <v>6300</v>
      </c>
      <c r="L3017" s="213"/>
      <c r="M3017" s="212" t="s">
        <v>6296</v>
      </c>
    </row>
    <row r="3018" spans="1:13" ht="21" customHeight="1">
      <c r="A3018" s="213" t="s">
        <v>6477</v>
      </c>
      <c r="B3018" s="215">
        <f t="shared" si="141"/>
        <v>45870</v>
      </c>
      <c r="C3018" s="213" t="s">
        <v>6182</v>
      </c>
      <c r="D3018" s="213" t="s">
        <v>4369</v>
      </c>
      <c r="E3018" s="213" t="s">
        <v>333</v>
      </c>
      <c r="F3018" s="212" t="s">
        <v>4365</v>
      </c>
      <c r="G3018" s="212" t="str">
        <f t="shared" si="142"/>
        <v>101현금</v>
      </c>
      <c r="H3018" s="214">
        <v>100000</v>
      </c>
      <c r="I3018" s="214">
        <v>0</v>
      </c>
      <c r="J3018" s="214">
        <f t="shared" si="143"/>
        <v>-100000</v>
      </c>
      <c r="K3018" s="212" t="s">
        <v>6300</v>
      </c>
      <c r="L3018" s="213"/>
      <c r="M3018" s="212" t="s">
        <v>6296</v>
      </c>
    </row>
    <row r="3019" spans="1:13" ht="21" customHeight="1">
      <c r="A3019" s="213" t="s">
        <v>6477</v>
      </c>
      <c r="B3019" s="215">
        <f t="shared" si="141"/>
        <v>45870</v>
      </c>
      <c r="C3019" s="213" t="s">
        <v>6184</v>
      </c>
      <c r="D3019" s="213" t="s">
        <v>4366</v>
      </c>
      <c r="E3019" s="213" t="s">
        <v>6176</v>
      </c>
      <c r="F3019" s="212" t="s">
        <v>6177</v>
      </c>
      <c r="G3019" s="212" t="str">
        <f t="shared" si="142"/>
        <v>255부가세예수금</v>
      </c>
      <c r="H3019" s="214">
        <v>0</v>
      </c>
      <c r="I3019" s="214">
        <v>10000</v>
      </c>
      <c r="J3019" s="214">
        <f t="shared" si="143"/>
        <v>10000</v>
      </c>
      <c r="K3019" s="212" t="s">
        <v>6279</v>
      </c>
      <c r="L3019" s="213"/>
      <c r="M3019" s="212" t="s">
        <v>6185</v>
      </c>
    </row>
    <row r="3020" spans="1:13" ht="21" customHeight="1">
      <c r="A3020" s="213" t="s">
        <v>6477</v>
      </c>
      <c r="B3020" s="215">
        <f t="shared" si="141"/>
        <v>45870</v>
      </c>
      <c r="C3020" s="213" t="s">
        <v>6184</v>
      </c>
      <c r="D3020" s="213" t="s">
        <v>4366</v>
      </c>
      <c r="E3020" s="213" t="s">
        <v>334</v>
      </c>
      <c r="F3020" s="212" t="s">
        <v>6158</v>
      </c>
      <c r="G3020" s="212" t="str">
        <f t="shared" si="142"/>
        <v>401용역매출</v>
      </c>
      <c r="H3020" s="214">
        <v>0</v>
      </c>
      <c r="I3020" s="214">
        <v>100000</v>
      </c>
      <c r="J3020" s="214">
        <f t="shared" si="143"/>
        <v>100000</v>
      </c>
      <c r="K3020" s="212" t="s">
        <v>6279</v>
      </c>
      <c r="L3020" s="213"/>
      <c r="M3020" s="212" t="s">
        <v>6185</v>
      </c>
    </row>
    <row r="3021" spans="1:13" ht="21" customHeight="1">
      <c r="A3021" s="213" t="s">
        <v>6477</v>
      </c>
      <c r="B3021" s="215">
        <f t="shared" si="141"/>
        <v>45870</v>
      </c>
      <c r="C3021" s="213" t="s">
        <v>6184</v>
      </c>
      <c r="D3021" s="213" t="s">
        <v>4369</v>
      </c>
      <c r="E3021" s="213" t="s">
        <v>333</v>
      </c>
      <c r="F3021" s="212" t="s">
        <v>4365</v>
      </c>
      <c r="G3021" s="212" t="str">
        <f t="shared" si="142"/>
        <v>101현금</v>
      </c>
      <c r="H3021" s="214">
        <v>110000</v>
      </c>
      <c r="I3021" s="214">
        <v>0</v>
      </c>
      <c r="J3021" s="214">
        <f t="shared" si="143"/>
        <v>-110000</v>
      </c>
      <c r="K3021" s="212" t="s">
        <v>6279</v>
      </c>
      <c r="L3021" s="213"/>
      <c r="M3021" s="212" t="s">
        <v>6185</v>
      </c>
    </row>
    <row r="3022" spans="1:13" ht="21" customHeight="1">
      <c r="A3022" s="213" t="s">
        <v>6477</v>
      </c>
      <c r="B3022" s="215">
        <f t="shared" si="141"/>
        <v>45870</v>
      </c>
      <c r="C3022" s="213" t="s">
        <v>6186</v>
      </c>
      <c r="D3022" s="213" t="s">
        <v>4366</v>
      </c>
      <c r="E3022" s="213" t="s">
        <v>6176</v>
      </c>
      <c r="F3022" s="212" t="s">
        <v>6177</v>
      </c>
      <c r="G3022" s="212" t="str">
        <f t="shared" si="142"/>
        <v>255부가세예수금</v>
      </c>
      <c r="H3022" s="214">
        <v>0</v>
      </c>
      <c r="I3022" s="214">
        <v>12000</v>
      </c>
      <c r="J3022" s="214">
        <f t="shared" si="143"/>
        <v>12000</v>
      </c>
      <c r="K3022" s="212" t="s">
        <v>6308</v>
      </c>
      <c r="L3022" s="213"/>
      <c r="M3022" s="212" t="s">
        <v>6225</v>
      </c>
    </row>
    <row r="3023" spans="1:13" ht="21" customHeight="1">
      <c r="A3023" s="213" t="s">
        <v>6477</v>
      </c>
      <c r="B3023" s="215">
        <f t="shared" si="141"/>
        <v>45870</v>
      </c>
      <c r="C3023" s="213" t="s">
        <v>6186</v>
      </c>
      <c r="D3023" s="213" t="s">
        <v>4366</v>
      </c>
      <c r="E3023" s="213" t="s">
        <v>334</v>
      </c>
      <c r="F3023" s="212" t="s">
        <v>6158</v>
      </c>
      <c r="G3023" s="212" t="str">
        <f t="shared" si="142"/>
        <v>401용역매출</v>
      </c>
      <c r="H3023" s="214">
        <v>0</v>
      </c>
      <c r="I3023" s="214">
        <v>120000</v>
      </c>
      <c r="J3023" s="214">
        <f t="shared" si="143"/>
        <v>120000</v>
      </c>
      <c r="K3023" s="212" t="s">
        <v>6308</v>
      </c>
      <c r="L3023" s="213"/>
      <c r="M3023" s="212" t="s">
        <v>6225</v>
      </c>
    </row>
    <row r="3024" spans="1:13" ht="21" customHeight="1">
      <c r="A3024" s="213" t="s">
        <v>6477</v>
      </c>
      <c r="B3024" s="215">
        <f t="shared" si="141"/>
        <v>45870</v>
      </c>
      <c r="C3024" s="213" t="s">
        <v>6186</v>
      </c>
      <c r="D3024" s="213" t="s">
        <v>4369</v>
      </c>
      <c r="E3024" s="213" t="s">
        <v>333</v>
      </c>
      <c r="F3024" s="212" t="s">
        <v>4365</v>
      </c>
      <c r="G3024" s="212" t="str">
        <f t="shared" si="142"/>
        <v>101현금</v>
      </c>
      <c r="H3024" s="214">
        <v>132000</v>
      </c>
      <c r="I3024" s="214">
        <v>0</v>
      </c>
      <c r="J3024" s="214">
        <f t="shared" si="143"/>
        <v>-132000</v>
      </c>
      <c r="K3024" s="212" t="s">
        <v>6308</v>
      </c>
      <c r="L3024" s="213"/>
      <c r="M3024" s="212" t="s">
        <v>6225</v>
      </c>
    </row>
    <row r="3025" spans="1:13" ht="21" customHeight="1">
      <c r="A3025" s="213" t="s">
        <v>6477</v>
      </c>
      <c r="B3025" s="215">
        <f t="shared" si="141"/>
        <v>45870</v>
      </c>
      <c r="C3025" s="213" t="s">
        <v>6189</v>
      </c>
      <c r="D3025" s="213" t="s">
        <v>4366</v>
      </c>
      <c r="E3025" s="213" t="s">
        <v>6176</v>
      </c>
      <c r="F3025" s="212" t="s">
        <v>6177</v>
      </c>
      <c r="G3025" s="212" t="str">
        <f t="shared" si="142"/>
        <v>255부가세예수금</v>
      </c>
      <c r="H3025" s="214">
        <v>0</v>
      </c>
      <c r="I3025" s="214">
        <v>15000</v>
      </c>
      <c r="J3025" s="214">
        <f t="shared" si="143"/>
        <v>15000</v>
      </c>
      <c r="K3025" s="212" t="s">
        <v>6181</v>
      </c>
      <c r="L3025" s="213"/>
      <c r="M3025" s="212" t="s">
        <v>6179</v>
      </c>
    </row>
    <row r="3026" spans="1:13" ht="21" customHeight="1">
      <c r="A3026" s="213" t="s">
        <v>6477</v>
      </c>
      <c r="B3026" s="215">
        <f t="shared" si="141"/>
        <v>45870</v>
      </c>
      <c r="C3026" s="213" t="s">
        <v>6189</v>
      </c>
      <c r="D3026" s="213" t="s">
        <v>4366</v>
      </c>
      <c r="E3026" s="213" t="s">
        <v>334</v>
      </c>
      <c r="F3026" s="212" t="s">
        <v>6158</v>
      </c>
      <c r="G3026" s="212" t="str">
        <f t="shared" si="142"/>
        <v>401용역매출</v>
      </c>
      <c r="H3026" s="214">
        <v>0</v>
      </c>
      <c r="I3026" s="214">
        <v>150000</v>
      </c>
      <c r="J3026" s="214">
        <f t="shared" si="143"/>
        <v>150000</v>
      </c>
      <c r="K3026" s="212" t="s">
        <v>6181</v>
      </c>
      <c r="L3026" s="213"/>
      <c r="M3026" s="212" t="s">
        <v>6179</v>
      </c>
    </row>
    <row r="3027" spans="1:13" ht="21" customHeight="1">
      <c r="A3027" s="213" t="s">
        <v>6477</v>
      </c>
      <c r="B3027" s="215">
        <f t="shared" si="141"/>
        <v>45870</v>
      </c>
      <c r="C3027" s="213" t="s">
        <v>6189</v>
      </c>
      <c r="D3027" s="213" t="s">
        <v>4369</v>
      </c>
      <c r="E3027" s="213" t="s">
        <v>333</v>
      </c>
      <c r="F3027" s="212" t="s">
        <v>4365</v>
      </c>
      <c r="G3027" s="212" t="str">
        <f t="shared" si="142"/>
        <v>101현금</v>
      </c>
      <c r="H3027" s="214">
        <v>165000</v>
      </c>
      <c r="I3027" s="214">
        <v>0</v>
      </c>
      <c r="J3027" s="214">
        <f t="shared" si="143"/>
        <v>-165000</v>
      </c>
      <c r="K3027" s="212" t="s">
        <v>6181</v>
      </c>
      <c r="L3027" s="213"/>
      <c r="M3027" s="212" t="s">
        <v>6179</v>
      </c>
    </row>
    <row r="3028" spans="1:13" ht="21" customHeight="1">
      <c r="A3028" s="213" t="s">
        <v>6477</v>
      </c>
      <c r="B3028" s="215">
        <f t="shared" si="141"/>
        <v>45870</v>
      </c>
      <c r="C3028" s="213" t="s">
        <v>6191</v>
      </c>
      <c r="D3028" s="213" t="s">
        <v>4366</v>
      </c>
      <c r="E3028" s="213" t="s">
        <v>6176</v>
      </c>
      <c r="F3028" s="212" t="s">
        <v>6177</v>
      </c>
      <c r="G3028" s="212" t="str">
        <f t="shared" si="142"/>
        <v>255부가세예수금</v>
      </c>
      <c r="H3028" s="214">
        <v>0</v>
      </c>
      <c r="I3028" s="214">
        <v>15000</v>
      </c>
      <c r="J3028" s="214">
        <f t="shared" si="143"/>
        <v>15000</v>
      </c>
      <c r="K3028" s="212" t="s">
        <v>6183</v>
      </c>
      <c r="L3028" s="213"/>
      <c r="M3028" s="212" t="s">
        <v>6179</v>
      </c>
    </row>
    <row r="3029" spans="1:13" ht="21" customHeight="1">
      <c r="A3029" s="213" t="s">
        <v>6477</v>
      </c>
      <c r="B3029" s="215">
        <f t="shared" si="141"/>
        <v>45870</v>
      </c>
      <c r="C3029" s="213" t="s">
        <v>6191</v>
      </c>
      <c r="D3029" s="213" t="s">
        <v>4366</v>
      </c>
      <c r="E3029" s="213" t="s">
        <v>334</v>
      </c>
      <c r="F3029" s="212" t="s">
        <v>6158</v>
      </c>
      <c r="G3029" s="212" t="str">
        <f t="shared" si="142"/>
        <v>401용역매출</v>
      </c>
      <c r="H3029" s="214">
        <v>0</v>
      </c>
      <c r="I3029" s="214">
        <v>150000</v>
      </c>
      <c r="J3029" s="214">
        <f t="shared" si="143"/>
        <v>150000</v>
      </c>
      <c r="K3029" s="212" t="s">
        <v>6183</v>
      </c>
      <c r="L3029" s="213"/>
      <c r="M3029" s="212" t="s">
        <v>6179</v>
      </c>
    </row>
    <row r="3030" spans="1:13" ht="21" customHeight="1">
      <c r="A3030" s="213" t="s">
        <v>6477</v>
      </c>
      <c r="B3030" s="215">
        <f t="shared" si="141"/>
        <v>45870</v>
      </c>
      <c r="C3030" s="213" t="s">
        <v>6191</v>
      </c>
      <c r="D3030" s="213" t="s">
        <v>4369</v>
      </c>
      <c r="E3030" s="213" t="s">
        <v>333</v>
      </c>
      <c r="F3030" s="212" t="s">
        <v>4365</v>
      </c>
      <c r="G3030" s="212" t="str">
        <f t="shared" si="142"/>
        <v>101현금</v>
      </c>
      <c r="H3030" s="214">
        <v>165000</v>
      </c>
      <c r="I3030" s="214">
        <v>0</v>
      </c>
      <c r="J3030" s="214">
        <f t="shared" si="143"/>
        <v>-165000</v>
      </c>
      <c r="K3030" s="212" t="s">
        <v>6183</v>
      </c>
      <c r="L3030" s="213"/>
      <c r="M3030" s="212" t="s">
        <v>6179</v>
      </c>
    </row>
    <row r="3031" spans="1:13" ht="21" customHeight="1">
      <c r="A3031" s="213" t="s">
        <v>6476</v>
      </c>
      <c r="B3031" s="215">
        <f t="shared" si="141"/>
        <v>45873</v>
      </c>
      <c r="C3031" s="213" t="s">
        <v>4367</v>
      </c>
      <c r="D3031" s="213" t="s">
        <v>4369</v>
      </c>
      <c r="E3031" s="213" t="s">
        <v>4371</v>
      </c>
      <c r="F3031" s="212" t="s">
        <v>4370</v>
      </c>
      <c r="G3031" s="212" t="str">
        <f t="shared" si="142"/>
        <v>135부가세대급금</v>
      </c>
      <c r="H3031" s="214">
        <v>1311</v>
      </c>
      <c r="I3031" s="214">
        <v>0</v>
      </c>
      <c r="J3031" s="214">
        <f t="shared" si="143"/>
        <v>-1311</v>
      </c>
      <c r="K3031" s="212" t="s">
        <v>6193</v>
      </c>
      <c r="L3031" s="213"/>
      <c r="M3031" s="212" t="s">
        <v>6475</v>
      </c>
    </row>
    <row r="3032" spans="1:13" ht="21" customHeight="1">
      <c r="A3032" s="213" t="s">
        <v>6476</v>
      </c>
      <c r="B3032" s="215">
        <f t="shared" si="141"/>
        <v>45873</v>
      </c>
      <c r="C3032" s="213" t="s">
        <v>4367</v>
      </c>
      <c r="D3032" s="213" t="s">
        <v>4369</v>
      </c>
      <c r="E3032" s="213" t="s">
        <v>4386</v>
      </c>
      <c r="F3032" s="212" t="s">
        <v>6420</v>
      </c>
      <c r="G3032" s="212" t="str">
        <f t="shared" si="142"/>
        <v>814통신비(판)</v>
      </c>
      <c r="H3032" s="214">
        <v>13115</v>
      </c>
      <c r="I3032" s="214">
        <v>0</v>
      </c>
      <c r="J3032" s="214">
        <f t="shared" si="143"/>
        <v>-13115</v>
      </c>
      <c r="K3032" s="212" t="s">
        <v>6193</v>
      </c>
      <c r="L3032" s="213"/>
      <c r="M3032" s="212" t="s">
        <v>6475</v>
      </c>
    </row>
    <row r="3033" spans="1:13" ht="21" customHeight="1">
      <c r="A3033" s="213" t="s">
        <v>6476</v>
      </c>
      <c r="B3033" s="215">
        <f t="shared" si="141"/>
        <v>45873</v>
      </c>
      <c r="C3033" s="213" t="s">
        <v>4367</v>
      </c>
      <c r="D3033" s="213" t="s">
        <v>4366</v>
      </c>
      <c r="E3033" s="213" t="s">
        <v>333</v>
      </c>
      <c r="F3033" s="212" t="s">
        <v>4365</v>
      </c>
      <c r="G3033" s="212" t="str">
        <f t="shared" si="142"/>
        <v>101현금</v>
      </c>
      <c r="H3033" s="214">
        <v>0</v>
      </c>
      <c r="I3033" s="214">
        <v>14426</v>
      </c>
      <c r="J3033" s="214">
        <f t="shared" si="143"/>
        <v>14426</v>
      </c>
      <c r="K3033" s="212" t="s">
        <v>6193</v>
      </c>
      <c r="L3033" s="213"/>
      <c r="M3033" s="212" t="s">
        <v>6475</v>
      </c>
    </row>
    <row r="3034" spans="1:13" ht="21" customHeight="1">
      <c r="A3034" s="213" t="s">
        <v>6474</v>
      </c>
      <c r="B3034" s="215">
        <f t="shared" si="141"/>
        <v>45874</v>
      </c>
      <c r="C3034" s="213" t="s">
        <v>4367</v>
      </c>
      <c r="D3034" s="213" t="s">
        <v>4366</v>
      </c>
      <c r="E3034" s="213" t="s">
        <v>6176</v>
      </c>
      <c r="F3034" s="212" t="s">
        <v>6177</v>
      </c>
      <c r="G3034" s="212" t="str">
        <f t="shared" si="142"/>
        <v>255부가세예수금</v>
      </c>
      <c r="H3034" s="214">
        <v>0</v>
      </c>
      <c r="I3034" s="214">
        <v>40000</v>
      </c>
      <c r="J3034" s="214">
        <f t="shared" si="143"/>
        <v>40000</v>
      </c>
      <c r="K3034" s="212" t="s">
        <v>6187</v>
      </c>
      <c r="L3034" s="213"/>
      <c r="M3034" s="212" t="s">
        <v>6188</v>
      </c>
    </row>
    <row r="3035" spans="1:13" ht="21" customHeight="1">
      <c r="A3035" s="213" t="s">
        <v>6474</v>
      </c>
      <c r="B3035" s="215">
        <f t="shared" si="141"/>
        <v>45874</v>
      </c>
      <c r="C3035" s="213" t="s">
        <v>4367</v>
      </c>
      <c r="D3035" s="213" t="s">
        <v>4366</v>
      </c>
      <c r="E3035" s="213" t="s">
        <v>334</v>
      </c>
      <c r="F3035" s="212" t="s">
        <v>6158</v>
      </c>
      <c r="G3035" s="212" t="str">
        <f t="shared" si="142"/>
        <v>401용역매출</v>
      </c>
      <c r="H3035" s="214">
        <v>0</v>
      </c>
      <c r="I3035" s="214">
        <v>400000</v>
      </c>
      <c r="J3035" s="214">
        <f t="shared" si="143"/>
        <v>400000</v>
      </c>
      <c r="K3035" s="212" t="s">
        <v>6187</v>
      </c>
      <c r="L3035" s="213"/>
      <c r="M3035" s="212" t="s">
        <v>6188</v>
      </c>
    </row>
    <row r="3036" spans="1:13" ht="21" customHeight="1">
      <c r="A3036" s="213" t="s">
        <v>6474</v>
      </c>
      <c r="B3036" s="215">
        <f t="shared" si="141"/>
        <v>45874</v>
      </c>
      <c r="C3036" s="213" t="s">
        <v>4367</v>
      </c>
      <c r="D3036" s="213" t="s">
        <v>4369</v>
      </c>
      <c r="E3036" s="213" t="s">
        <v>333</v>
      </c>
      <c r="F3036" s="212" t="s">
        <v>4365</v>
      </c>
      <c r="G3036" s="212" t="str">
        <f t="shared" si="142"/>
        <v>101현금</v>
      </c>
      <c r="H3036" s="214">
        <v>440000</v>
      </c>
      <c r="I3036" s="214">
        <v>0</v>
      </c>
      <c r="J3036" s="214">
        <f t="shared" si="143"/>
        <v>-440000</v>
      </c>
      <c r="K3036" s="212" t="s">
        <v>6187</v>
      </c>
      <c r="L3036" s="213"/>
      <c r="M3036" s="212" t="s">
        <v>6188</v>
      </c>
    </row>
    <row r="3037" spans="1:13" ht="21" customHeight="1">
      <c r="A3037" s="213" t="s">
        <v>6474</v>
      </c>
      <c r="B3037" s="215">
        <f t="shared" si="141"/>
        <v>45874</v>
      </c>
      <c r="C3037" s="213" t="s">
        <v>4374</v>
      </c>
      <c r="D3037" s="213" t="s">
        <v>4366</v>
      </c>
      <c r="E3037" s="213" t="s">
        <v>6176</v>
      </c>
      <c r="F3037" s="212" t="s">
        <v>6177</v>
      </c>
      <c r="G3037" s="212" t="str">
        <f t="shared" si="142"/>
        <v>255부가세예수금</v>
      </c>
      <c r="H3037" s="214">
        <v>0</v>
      </c>
      <c r="I3037" s="214">
        <v>15000</v>
      </c>
      <c r="J3037" s="214">
        <f t="shared" si="143"/>
        <v>15000</v>
      </c>
      <c r="K3037" s="212" t="s">
        <v>6178</v>
      </c>
      <c r="L3037" s="213"/>
      <c r="M3037" s="212" t="s">
        <v>6179</v>
      </c>
    </row>
    <row r="3038" spans="1:13" ht="21" customHeight="1">
      <c r="A3038" s="213" t="s">
        <v>6474</v>
      </c>
      <c r="B3038" s="215">
        <f t="shared" si="141"/>
        <v>45874</v>
      </c>
      <c r="C3038" s="213" t="s">
        <v>4374</v>
      </c>
      <c r="D3038" s="213" t="s">
        <v>4366</v>
      </c>
      <c r="E3038" s="213" t="s">
        <v>334</v>
      </c>
      <c r="F3038" s="212" t="s">
        <v>6158</v>
      </c>
      <c r="G3038" s="212" t="str">
        <f t="shared" si="142"/>
        <v>401용역매출</v>
      </c>
      <c r="H3038" s="214">
        <v>0</v>
      </c>
      <c r="I3038" s="214">
        <v>150000</v>
      </c>
      <c r="J3038" s="214">
        <f t="shared" si="143"/>
        <v>150000</v>
      </c>
      <c r="K3038" s="212" t="s">
        <v>6178</v>
      </c>
      <c r="L3038" s="213"/>
      <c r="M3038" s="212" t="s">
        <v>6179</v>
      </c>
    </row>
    <row r="3039" spans="1:13" ht="21" customHeight="1">
      <c r="A3039" s="213" t="s">
        <v>6474</v>
      </c>
      <c r="B3039" s="215">
        <f t="shared" si="141"/>
        <v>45874</v>
      </c>
      <c r="C3039" s="213" t="s">
        <v>4374</v>
      </c>
      <c r="D3039" s="213" t="s">
        <v>4369</v>
      </c>
      <c r="E3039" s="213" t="s">
        <v>333</v>
      </c>
      <c r="F3039" s="212" t="s">
        <v>4365</v>
      </c>
      <c r="G3039" s="212" t="str">
        <f t="shared" si="142"/>
        <v>101현금</v>
      </c>
      <c r="H3039" s="214">
        <v>165000</v>
      </c>
      <c r="I3039" s="214">
        <v>0</v>
      </c>
      <c r="J3039" s="214">
        <f t="shared" si="143"/>
        <v>-165000</v>
      </c>
      <c r="K3039" s="212" t="s">
        <v>6178</v>
      </c>
      <c r="L3039" s="213"/>
      <c r="M3039" s="212" t="s">
        <v>6179</v>
      </c>
    </row>
    <row r="3040" spans="1:13" ht="21" customHeight="1">
      <c r="A3040" s="213" t="s">
        <v>6473</v>
      </c>
      <c r="B3040" s="215">
        <f t="shared" si="141"/>
        <v>45876</v>
      </c>
      <c r="C3040" s="213" t="s">
        <v>4367</v>
      </c>
      <c r="D3040" s="213" t="s">
        <v>4366</v>
      </c>
      <c r="E3040" s="213" t="s">
        <v>333</v>
      </c>
      <c r="F3040" s="212" t="s">
        <v>4365</v>
      </c>
      <c r="G3040" s="212" t="str">
        <f t="shared" si="142"/>
        <v>101현금</v>
      </c>
      <c r="H3040" s="214">
        <v>0</v>
      </c>
      <c r="I3040" s="214">
        <v>5500</v>
      </c>
      <c r="J3040" s="214">
        <f t="shared" si="143"/>
        <v>5500</v>
      </c>
      <c r="K3040" s="212" t="s">
        <v>6284</v>
      </c>
      <c r="L3040" s="213"/>
      <c r="M3040" s="212" t="s">
        <v>6285</v>
      </c>
    </row>
    <row r="3041" spans="1:13" ht="21" customHeight="1">
      <c r="A3041" s="213" t="s">
        <v>6473</v>
      </c>
      <c r="B3041" s="215">
        <f t="shared" si="141"/>
        <v>45876</v>
      </c>
      <c r="C3041" s="213" t="s">
        <v>4367</v>
      </c>
      <c r="D3041" s="213" t="s">
        <v>4369</v>
      </c>
      <c r="E3041" s="213" t="s">
        <v>4500</v>
      </c>
      <c r="F3041" s="212" t="s">
        <v>6418</v>
      </c>
      <c r="G3041" s="212" t="str">
        <f t="shared" si="142"/>
        <v>822차량유지비(판)</v>
      </c>
      <c r="H3041" s="214">
        <v>5500</v>
      </c>
      <c r="I3041" s="214">
        <v>0</v>
      </c>
      <c r="J3041" s="214">
        <f t="shared" si="143"/>
        <v>-5500</v>
      </c>
      <c r="K3041" s="212" t="s">
        <v>6284</v>
      </c>
      <c r="L3041" s="213"/>
      <c r="M3041" s="212" t="s">
        <v>6285</v>
      </c>
    </row>
    <row r="3042" spans="1:13" ht="21" customHeight="1">
      <c r="A3042" s="213" t="s">
        <v>6473</v>
      </c>
      <c r="B3042" s="215">
        <f t="shared" si="141"/>
        <v>45876</v>
      </c>
      <c r="C3042" s="213" t="s">
        <v>4374</v>
      </c>
      <c r="D3042" s="213" t="s">
        <v>4369</v>
      </c>
      <c r="E3042" s="213" t="s">
        <v>4371</v>
      </c>
      <c r="F3042" s="212" t="s">
        <v>4370</v>
      </c>
      <c r="G3042" s="212" t="str">
        <f t="shared" si="142"/>
        <v>135부가세대급금</v>
      </c>
      <c r="H3042" s="214">
        <v>1920</v>
      </c>
      <c r="I3042" s="214">
        <v>0</v>
      </c>
      <c r="J3042" s="214">
        <f t="shared" si="143"/>
        <v>-1920</v>
      </c>
      <c r="K3042" s="212" t="s">
        <v>4524</v>
      </c>
      <c r="L3042" s="213"/>
      <c r="M3042" s="212" t="s">
        <v>6199</v>
      </c>
    </row>
    <row r="3043" spans="1:13" ht="21" customHeight="1">
      <c r="A3043" s="213" t="s">
        <v>6473</v>
      </c>
      <c r="B3043" s="215">
        <f t="shared" si="141"/>
        <v>45876</v>
      </c>
      <c r="C3043" s="213" t="s">
        <v>4374</v>
      </c>
      <c r="D3043" s="213" t="s">
        <v>4369</v>
      </c>
      <c r="E3043" s="213" t="s">
        <v>4386</v>
      </c>
      <c r="F3043" s="212" t="s">
        <v>6420</v>
      </c>
      <c r="G3043" s="212" t="str">
        <f t="shared" si="142"/>
        <v>814통신비(판)</v>
      </c>
      <c r="H3043" s="214">
        <v>19200</v>
      </c>
      <c r="I3043" s="214">
        <v>0</v>
      </c>
      <c r="J3043" s="214">
        <f t="shared" si="143"/>
        <v>-19200</v>
      </c>
      <c r="K3043" s="212" t="s">
        <v>4524</v>
      </c>
      <c r="L3043" s="213"/>
      <c r="M3043" s="212" t="s">
        <v>6199</v>
      </c>
    </row>
    <row r="3044" spans="1:13" ht="21" customHeight="1">
      <c r="A3044" s="213" t="s">
        <v>6473</v>
      </c>
      <c r="B3044" s="215">
        <f t="shared" si="141"/>
        <v>45876</v>
      </c>
      <c r="C3044" s="213" t="s">
        <v>4374</v>
      </c>
      <c r="D3044" s="213" t="s">
        <v>4366</v>
      </c>
      <c r="E3044" s="213" t="s">
        <v>333</v>
      </c>
      <c r="F3044" s="212" t="s">
        <v>4365</v>
      </c>
      <c r="G3044" s="212" t="str">
        <f t="shared" si="142"/>
        <v>101현금</v>
      </c>
      <c r="H3044" s="214">
        <v>0</v>
      </c>
      <c r="I3044" s="214">
        <v>21120</v>
      </c>
      <c r="J3044" s="214">
        <f t="shared" si="143"/>
        <v>21120</v>
      </c>
      <c r="K3044" s="212" t="s">
        <v>4524</v>
      </c>
      <c r="L3044" s="213"/>
      <c r="M3044" s="212" t="s">
        <v>6199</v>
      </c>
    </row>
    <row r="3045" spans="1:13" ht="21" customHeight="1">
      <c r="A3045" s="213" t="s">
        <v>6470</v>
      </c>
      <c r="B3045" s="215">
        <f t="shared" si="141"/>
        <v>45880</v>
      </c>
      <c r="C3045" s="213" t="s">
        <v>4373</v>
      </c>
      <c r="D3045" s="213" t="s">
        <v>4369</v>
      </c>
      <c r="E3045" s="213" t="s">
        <v>4505</v>
      </c>
      <c r="F3045" s="212" t="s">
        <v>4506</v>
      </c>
      <c r="G3045" s="212" t="str">
        <f t="shared" si="142"/>
        <v>254예수금</v>
      </c>
      <c r="H3045" s="214">
        <v>578720</v>
      </c>
      <c r="I3045" s="214">
        <v>0</v>
      </c>
      <c r="J3045" s="214">
        <f t="shared" si="143"/>
        <v>-578720</v>
      </c>
      <c r="K3045" s="212" t="s">
        <v>4522</v>
      </c>
      <c r="L3045" s="213" t="s">
        <v>6411</v>
      </c>
      <c r="M3045" s="212" t="s">
        <v>6472</v>
      </c>
    </row>
    <row r="3046" spans="1:13" ht="21" customHeight="1">
      <c r="A3046" s="213" t="s">
        <v>6470</v>
      </c>
      <c r="B3046" s="215">
        <f t="shared" si="141"/>
        <v>45880</v>
      </c>
      <c r="C3046" s="213" t="s">
        <v>4373</v>
      </c>
      <c r="D3046" s="213" t="s">
        <v>4366</v>
      </c>
      <c r="E3046" s="213" t="s">
        <v>333</v>
      </c>
      <c r="F3046" s="212" t="s">
        <v>4365</v>
      </c>
      <c r="G3046" s="212" t="str">
        <f t="shared" si="142"/>
        <v>101현금</v>
      </c>
      <c r="H3046" s="214">
        <v>0</v>
      </c>
      <c r="I3046" s="214">
        <v>578720</v>
      </c>
      <c r="J3046" s="214">
        <f t="shared" si="143"/>
        <v>578720</v>
      </c>
      <c r="K3046" s="212" t="s">
        <v>4522</v>
      </c>
      <c r="L3046" s="213" t="s">
        <v>6411</v>
      </c>
      <c r="M3046" s="212" t="s">
        <v>6472</v>
      </c>
    </row>
    <row r="3047" spans="1:13" ht="21" customHeight="1">
      <c r="A3047" s="213" t="s">
        <v>6470</v>
      </c>
      <c r="B3047" s="215">
        <f t="shared" si="141"/>
        <v>45880</v>
      </c>
      <c r="C3047" s="213" t="s">
        <v>4382</v>
      </c>
      <c r="D3047" s="213" t="s">
        <v>4369</v>
      </c>
      <c r="E3047" s="213" t="s">
        <v>4505</v>
      </c>
      <c r="F3047" s="212" t="s">
        <v>4506</v>
      </c>
      <c r="G3047" s="212" t="str">
        <f t="shared" si="142"/>
        <v>254예수금</v>
      </c>
      <c r="H3047" s="214">
        <v>14350</v>
      </c>
      <c r="I3047" s="214">
        <v>0</v>
      </c>
      <c r="J3047" s="214">
        <f t="shared" si="143"/>
        <v>-14350</v>
      </c>
      <c r="K3047" s="212" t="s">
        <v>4508</v>
      </c>
      <c r="L3047" s="213" t="s">
        <v>6411</v>
      </c>
      <c r="M3047" s="212" t="s">
        <v>6471</v>
      </c>
    </row>
    <row r="3048" spans="1:13" ht="21" customHeight="1">
      <c r="A3048" s="213" t="s">
        <v>6470</v>
      </c>
      <c r="B3048" s="215">
        <f t="shared" si="141"/>
        <v>45880</v>
      </c>
      <c r="C3048" s="213" t="s">
        <v>4382</v>
      </c>
      <c r="D3048" s="213" t="s">
        <v>4366</v>
      </c>
      <c r="E3048" s="213" t="s">
        <v>333</v>
      </c>
      <c r="F3048" s="212" t="s">
        <v>4365</v>
      </c>
      <c r="G3048" s="212" t="str">
        <f t="shared" si="142"/>
        <v>101현금</v>
      </c>
      <c r="H3048" s="214">
        <v>0</v>
      </c>
      <c r="I3048" s="214">
        <v>14350</v>
      </c>
      <c r="J3048" s="214">
        <f t="shared" si="143"/>
        <v>14350</v>
      </c>
      <c r="K3048" s="212" t="s">
        <v>4508</v>
      </c>
      <c r="L3048" s="213" t="s">
        <v>6411</v>
      </c>
      <c r="M3048" s="212" t="s">
        <v>6471</v>
      </c>
    </row>
    <row r="3049" spans="1:13" ht="21" customHeight="1">
      <c r="A3049" s="213" t="s">
        <v>6470</v>
      </c>
      <c r="B3049" s="215">
        <f t="shared" si="141"/>
        <v>45880</v>
      </c>
      <c r="C3049" s="213" t="s">
        <v>4367</v>
      </c>
      <c r="D3049" s="213" t="s">
        <v>4366</v>
      </c>
      <c r="E3049" s="213" t="s">
        <v>6176</v>
      </c>
      <c r="F3049" s="212" t="s">
        <v>6177</v>
      </c>
      <c r="G3049" s="212" t="str">
        <f t="shared" si="142"/>
        <v>255부가세예수금</v>
      </c>
      <c r="H3049" s="214">
        <v>0</v>
      </c>
      <c r="I3049" s="214">
        <v>10000</v>
      </c>
      <c r="J3049" s="214">
        <f t="shared" si="143"/>
        <v>10000</v>
      </c>
      <c r="K3049" s="212" t="s">
        <v>6235</v>
      </c>
      <c r="L3049" s="213"/>
      <c r="M3049" s="212" t="s">
        <v>6185</v>
      </c>
    </row>
    <row r="3050" spans="1:13" ht="21" customHeight="1">
      <c r="A3050" s="213" t="s">
        <v>6470</v>
      </c>
      <c r="B3050" s="215">
        <f t="shared" si="141"/>
        <v>45880</v>
      </c>
      <c r="C3050" s="213" t="s">
        <v>4367</v>
      </c>
      <c r="D3050" s="213" t="s">
        <v>4366</v>
      </c>
      <c r="E3050" s="213" t="s">
        <v>334</v>
      </c>
      <c r="F3050" s="212" t="s">
        <v>6158</v>
      </c>
      <c r="G3050" s="212" t="str">
        <f t="shared" si="142"/>
        <v>401용역매출</v>
      </c>
      <c r="H3050" s="214">
        <v>0</v>
      </c>
      <c r="I3050" s="214">
        <v>100000</v>
      </c>
      <c r="J3050" s="214">
        <f t="shared" si="143"/>
        <v>100000</v>
      </c>
      <c r="K3050" s="212" t="s">
        <v>6235</v>
      </c>
      <c r="L3050" s="213"/>
      <c r="M3050" s="212" t="s">
        <v>6185</v>
      </c>
    </row>
    <row r="3051" spans="1:13" ht="21" customHeight="1">
      <c r="A3051" s="213" t="s">
        <v>6470</v>
      </c>
      <c r="B3051" s="215">
        <f t="shared" si="141"/>
        <v>45880</v>
      </c>
      <c r="C3051" s="213" t="s">
        <v>4367</v>
      </c>
      <c r="D3051" s="213" t="s">
        <v>4369</v>
      </c>
      <c r="E3051" s="213" t="s">
        <v>333</v>
      </c>
      <c r="F3051" s="212" t="s">
        <v>4365</v>
      </c>
      <c r="G3051" s="212" t="str">
        <f t="shared" si="142"/>
        <v>101현금</v>
      </c>
      <c r="H3051" s="214">
        <v>110000</v>
      </c>
      <c r="I3051" s="214">
        <v>0</v>
      </c>
      <c r="J3051" s="214">
        <f t="shared" si="143"/>
        <v>-110000</v>
      </c>
      <c r="K3051" s="212" t="s">
        <v>6235</v>
      </c>
      <c r="L3051" s="213"/>
      <c r="M3051" s="212" t="s">
        <v>6185</v>
      </c>
    </row>
    <row r="3052" spans="1:13" ht="21" customHeight="1">
      <c r="A3052" s="213" t="s">
        <v>6470</v>
      </c>
      <c r="B3052" s="215">
        <f t="shared" si="141"/>
        <v>45880</v>
      </c>
      <c r="C3052" s="213" t="s">
        <v>4374</v>
      </c>
      <c r="D3052" s="213" t="s">
        <v>4366</v>
      </c>
      <c r="E3052" s="213" t="s">
        <v>6176</v>
      </c>
      <c r="F3052" s="212" t="s">
        <v>6177</v>
      </c>
      <c r="G3052" s="212" t="str">
        <f t="shared" si="142"/>
        <v>255부가세예수금</v>
      </c>
      <c r="H3052" s="214">
        <v>0</v>
      </c>
      <c r="I3052" s="214">
        <v>15000</v>
      </c>
      <c r="J3052" s="214">
        <f t="shared" si="143"/>
        <v>15000</v>
      </c>
      <c r="K3052" s="212" t="s">
        <v>6201</v>
      </c>
      <c r="L3052" s="213"/>
      <c r="M3052" s="212" t="s">
        <v>6179</v>
      </c>
    </row>
    <row r="3053" spans="1:13" ht="21" customHeight="1">
      <c r="A3053" s="213" t="s">
        <v>6470</v>
      </c>
      <c r="B3053" s="215">
        <f t="shared" si="141"/>
        <v>45880</v>
      </c>
      <c r="C3053" s="213" t="s">
        <v>4374</v>
      </c>
      <c r="D3053" s="213" t="s">
        <v>4366</v>
      </c>
      <c r="E3053" s="213" t="s">
        <v>334</v>
      </c>
      <c r="F3053" s="212" t="s">
        <v>6158</v>
      </c>
      <c r="G3053" s="212" t="str">
        <f t="shared" si="142"/>
        <v>401용역매출</v>
      </c>
      <c r="H3053" s="214">
        <v>0</v>
      </c>
      <c r="I3053" s="214">
        <v>150000</v>
      </c>
      <c r="J3053" s="214">
        <f t="shared" si="143"/>
        <v>150000</v>
      </c>
      <c r="K3053" s="212" t="s">
        <v>6201</v>
      </c>
      <c r="L3053" s="213"/>
      <c r="M3053" s="212" t="s">
        <v>6179</v>
      </c>
    </row>
    <row r="3054" spans="1:13" ht="21" customHeight="1">
      <c r="A3054" s="213" t="s">
        <v>6470</v>
      </c>
      <c r="B3054" s="215">
        <f t="shared" si="141"/>
        <v>45880</v>
      </c>
      <c r="C3054" s="213" t="s">
        <v>4374</v>
      </c>
      <c r="D3054" s="213" t="s">
        <v>4369</v>
      </c>
      <c r="E3054" s="213" t="s">
        <v>333</v>
      </c>
      <c r="F3054" s="212" t="s">
        <v>4365</v>
      </c>
      <c r="G3054" s="212" t="str">
        <f t="shared" si="142"/>
        <v>101현금</v>
      </c>
      <c r="H3054" s="214">
        <v>165000</v>
      </c>
      <c r="I3054" s="214">
        <v>0</v>
      </c>
      <c r="J3054" s="214">
        <f t="shared" si="143"/>
        <v>-165000</v>
      </c>
      <c r="K3054" s="212" t="s">
        <v>6201</v>
      </c>
      <c r="L3054" s="213"/>
      <c r="M3054" s="212" t="s">
        <v>6179</v>
      </c>
    </row>
    <row r="3055" spans="1:13" ht="21" customHeight="1">
      <c r="A3055" s="216" t="s">
        <v>6469</v>
      </c>
      <c r="B3055" s="215">
        <f t="shared" si="141"/>
        <v>45884</v>
      </c>
      <c r="C3055" s="213" t="s">
        <v>4367</v>
      </c>
      <c r="D3055" s="213" t="s">
        <v>4366</v>
      </c>
      <c r="E3055" s="213" t="s">
        <v>6176</v>
      </c>
      <c r="F3055" s="212" t="s">
        <v>6177</v>
      </c>
      <c r="G3055" s="212" t="str">
        <f t="shared" si="142"/>
        <v>255부가세예수금</v>
      </c>
      <c r="H3055" s="214">
        <v>0</v>
      </c>
      <c r="I3055" s="214">
        <v>13637</v>
      </c>
      <c r="J3055" s="214">
        <f t="shared" si="143"/>
        <v>13637</v>
      </c>
      <c r="K3055" s="212" t="s">
        <v>6204</v>
      </c>
      <c r="L3055" s="213"/>
      <c r="M3055" s="212" t="s">
        <v>6380</v>
      </c>
    </row>
    <row r="3056" spans="1:13" ht="21" customHeight="1">
      <c r="A3056" s="216" t="s">
        <v>6469</v>
      </c>
      <c r="B3056" s="215">
        <f t="shared" si="141"/>
        <v>45884</v>
      </c>
      <c r="C3056" s="213" t="s">
        <v>4367</v>
      </c>
      <c r="D3056" s="213" t="s">
        <v>4366</v>
      </c>
      <c r="E3056" s="213" t="s">
        <v>334</v>
      </c>
      <c r="F3056" s="212" t="s">
        <v>6158</v>
      </c>
      <c r="G3056" s="212" t="str">
        <f t="shared" si="142"/>
        <v>401용역매출</v>
      </c>
      <c r="H3056" s="214">
        <v>0</v>
      </c>
      <c r="I3056" s="214">
        <v>136363</v>
      </c>
      <c r="J3056" s="214">
        <f t="shared" si="143"/>
        <v>136363</v>
      </c>
      <c r="K3056" s="212" t="s">
        <v>6204</v>
      </c>
      <c r="L3056" s="213"/>
      <c r="M3056" s="212" t="s">
        <v>6380</v>
      </c>
    </row>
    <row r="3057" spans="1:13" ht="21" customHeight="1">
      <c r="A3057" s="216" t="s">
        <v>6469</v>
      </c>
      <c r="B3057" s="215">
        <f t="shared" si="141"/>
        <v>45884</v>
      </c>
      <c r="C3057" s="213" t="s">
        <v>4367</v>
      </c>
      <c r="D3057" s="213" t="s">
        <v>4369</v>
      </c>
      <c r="E3057" s="213" t="s">
        <v>333</v>
      </c>
      <c r="F3057" s="212" t="s">
        <v>4365</v>
      </c>
      <c r="G3057" s="212" t="str">
        <f t="shared" si="142"/>
        <v>101현금</v>
      </c>
      <c r="H3057" s="214">
        <v>150000</v>
      </c>
      <c r="I3057" s="214">
        <v>0</v>
      </c>
      <c r="J3057" s="214">
        <f t="shared" si="143"/>
        <v>-150000</v>
      </c>
      <c r="K3057" s="212" t="s">
        <v>6204</v>
      </c>
      <c r="L3057" s="213"/>
      <c r="M3057" s="212" t="s">
        <v>6380</v>
      </c>
    </row>
    <row r="3058" spans="1:13" ht="21" customHeight="1">
      <c r="A3058" s="213" t="s">
        <v>6466</v>
      </c>
      <c r="B3058" s="215">
        <f t="shared" si="141"/>
        <v>45887</v>
      </c>
      <c r="C3058" s="213" t="s">
        <v>4373</v>
      </c>
      <c r="D3058" s="217" t="s">
        <v>4510</v>
      </c>
      <c r="E3058" s="213" t="s">
        <v>4507</v>
      </c>
      <c r="F3058" s="212" t="s">
        <v>6468</v>
      </c>
      <c r="G3058" s="212" t="str">
        <f t="shared" si="142"/>
        <v>817세금과공과금(판)</v>
      </c>
      <c r="H3058" s="214">
        <v>93750</v>
      </c>
      <c r="I3058" s="214">
        <v>0</v>
      </c>
      <c r="J3058" s="214">
        <f t="shared" si="143"/>
        <v>-93750</v>
      </c>
      <c r="K3058" s="212" t="s">
        <v>6363</v>
      </c>
      <c r="L3058" s="213" t="s">
        <v>6411</v>
      </c>
      <c r="M3058" s="212" t="s">
        <v>6467</v>
      </c>
    </row>
    <row r="3059" spans="1:13" ht="21" customHeight="1">
      <c r="A3059" s="213" t="s">
        <v>6466</v>
      </c>
      <c r="B3059" s="215">
        <f t="shared" si="141"/>
        <v>45887</v>
      </c>
      <c r="C3059" s="213" t="s">
        <v>4373</v>
      </c>
      <c r="D3059" s="217" t="s">
        <v>4510</v>
      </c>
      <c r="E3059" s="213" t="s">
        <v>333</v>
      </c>
      <c r="F3059" s="212" t="s">
        <v>4365</v>
      </c>
      <c r="G3059" s="212" t="str">
        <f t="shared" si="142"/>
        <v>101현금</v>
      </c>
      <c r="H3059" s="214">
        <v>0</v>
      </c>
      <c r="I3059" s="214">
        <v>93750</v>
      </c>
      <c r="J3059" s="214">
        <f t="shared" si="143"/>
        <v>93750</v>
      </c>
      <c r="K3059" s="212" t="s">
        <v>6363</v>
      </c>
      <c r="L3059" s="213" t="s">
        <v>6411</v>
      </c>
      <c r="M3059" s="212" t="s">
        <v>6467</v>
      </c>
    </row>
    <row r="3060" spans="1:13" ht="21" customHeight="1">
      <c r="A3060" s="213" t="s">
        <v>6466</v>
      </c>
      <c r="B3060" s="215">
        <f t="shared" si="141"/>
        <v>45887</v>
      </c>
      <c r="C3060" s="213" t="s">
        <v>4367</v>
      </c>
      <c r="D3060" s="213" t="s">
        <v>4366</v>
      </c>
      <c r="E3060" s="213" t="s">
        <v>6176</v>
      </c>
      <c r="F3060" s="212" t="s">
        <v>6177</v>
      </c>
      <c r="G3060" s="212" t="str">
        <f t="shared" si="142"/>
        <v>255부가세예수금</v>
      </c>
      <c r="H3060" s="214">
        <v>0</v>
      </c>
      <c r="I3060" s="214">
        <v>10000</v>
      </c>
      <c r="J3060" s="214">
        <f t="shared" si="143"/>
        <v>10000</v>
      </c>
      <c r="K3060" s="212" t="s">
        <v>6317</v>
      </c>
      <c r="L3060" s="213"/>
      <c r="M3060" s="212" t="s">
        <v>6185</v>
      </c>
    </row>
    <row r="3061" spans="1:13" ht="21" customHeight="1">
      <c r="A3061" s="213" t="s">
        <v>6466</v>
      </c>
      <c r="B3061" s="215">
        <f t="shared" si="141"/>
        <v>45887</v>
      </c>
      <c r="C3061" s="213" t="s">
        <v>4367</v>
      </c>
      <c r="D3061" s="213" t="s">
        <v>4366</v>
      </c>
      <c r="E3061" s="213" t="s">
        <v>334</v>
      </c>
      <c r="F3061" s="212" t="s">
        <v>6158</v>
      </c>
      <c r="G3061" s="212" t="str">
        <f t="shared" si="142"/>
        <v>401용역매출</v>
      </c>
      <c r="H3061" s="214">
        <v>0</v>
      </c>
      <c r="I3061" s="214">
        <v>100000</v>
      </c>
      <c r="J3061" s="214">
        <f t="shared" si="143"/>
        <v>100000</v>
      </c>
      <c r="K3061" s="212" t="s">
        <v>6317</v>
      </c>
      <c r="L3061" s="213"/>
      <c r="M3061" s="212" t="s">
        <v>6185</v>
      </c>
    </row>
    <row r="3062" spans="1:13" ht="21" customHeight="1">
      <c r="A3062" s="213" t="s">
        <v>6466</v>
      </c>
      <c r="B3062" s="215">
        <f t="shared" si="141"/>
        <v>45887</v>
      </c>
      <c r="C3062" s="213" t="s">
        <v>4367</v>
      </c>
      <c r="D3062" s="213" t="s">
        <v>4369</v>
      </c>
      <c r="E3062" s="213" t="s">
        <v>333</v>
      </c>
      <c r="F3062" s="212" t="s">
        <v>4365</v>
      </c>
      <c r="G3062" s="212" t="str">
        <f t="shared" si="142"/>
        <v>101현금</v>
      </c>
      <c r="H3062" s="214">
        <v>110000</v>
      </c>
      <c r="I3062" s="214">
        <v>0</v>
      </c>
      <c r="J3062" s="214">
        <f t="shared" si="143"/>
        <v>-110000</v>
      </c>
      <c r="K3062" s="212" t="s">
        <v>6317</v>
      </c>
      <c r="L3062" s="213"/>
      <c r="M3062" s="212" t="s">
        <v>6185</v>
      </c>
    </row>
    <row r="3063" spans="1:13" ht="21" customHeight="1">
      <c r="A3063" s="213" t="s">
        <v>6440</v>
      </c>
      <c r="B3063" s="215">
        <f t="shared" si="141"/>
        <v>45889</v>
      </c>
      <c r="C3063" s="213" t="s">
        <v>4367</v>
      </c>
      <c r="D3063" s="213" t="s">
        <v>4366</v>
      </c>
      <c r="E3063" s="213" t="s">
        <v>6176</v>
      </c>
      <c r="F3063" s="212" t="s">
        <v>6177</v>
      </c>
      <c r="G3063" s="212" t="str">
        <f t="shared" si="142"/>
        <v>255부가세예수금</v>
      </c>
      <c r="H3063" s="214">
        <v>0</v>
      </c>
      <c r="I3063" s="214">
        <v>20000</v>
      </c>
      <c r="J3063" s="214">
        <f t="shared" si="143"/>
        <v>20000</v>
      </c>
      <c r="K3063" s="212" t="s">
        <v>6245</v>
      </c>
      <c r="L3063" s="213"/>
      <c r="M3063" s="212" t="s">
        <v>6330</v>
      </c>
    </row>
    <row r="3064" spans="1:13" ht="21" customHeight="1">
      <c r="A3064" s="213" t="s">
        <v>6440</v>
      </c>
      <c r="B3064" s="215">
        <f t="shared" si="141"/>
        <v>45889</v>
      </c>
      <c r="C3064" s="213" t="s">
        <v>4367</v>
      </c>
      <c r="D3064" s="213" t="s">
        <v>4366</v>
      </c>
      <c r="E3064" s="213" t="s">
        <v>334</v>
      </c>
      <c r="F3064" s="212" t="s">
        <v>6158</v>
      </c>
      <c r="G3064" s="212" t="str">
        <f t="shared" si="142"/>
        <v>401용역매출</v>
      </c>
      <c r="H3064" s="214">
        <v>0</v>
      </c>
      <c r="I3064" s="214">
        <v>200000</v>
      </c>
      <c r="J3064" s="214">
        <f t="shared" si="143"/>
        <v>200000</v>
      </c>
      <c r="K3064" s="212" t="s">
        <v>6245</v>
      </c>
      <c r="L3064" s="213"/>
      <c r="M3064" s="212" t="s">
        <v>6330</v>
      </c>
    </row>
    <row r="3065" spans="1:13" ht="21" customHeight="1">
      <c r="A3065" s="213" t="s">
        <v>6440</v>
      </c>
      <c r="B3065" s="215">
        <f t="shared" si="141"/>
        <v>45889</v>
      </c>
      <c r="C3065" s="213" t="s">
        <v>4367</v>
      </c>
      <c r="D3065" s="213" t="s">
        <v>4369</v>
      </c>
      <c r="E3065" s="213" t="s">
        <v>333</v>
      </c>
      <c r="F3065" s="212" t="s">
        <v>4365</v>
      </c>
      <c r="G3065" s="212" t="str">
        <f t="shared" si="142"/>
        <v>101현금</v>
      </c>
      <c r="H3065" s="214">
        <v>220000</v>
      </c>
      <c r="I3065" s="214">
        <v>0</v>
      </c>
      <c r="J3065" s="214">
        <f t="shared" si="143"/>
        <v>-220000</v>
      </c>
      <c r="K3065" s="212" t="s">
        <v>6245</v>
      </c>
      <c r="L3065" s="213"/>
      <c r="M3065" s="212" t="s">
        <v>6330</v>
      </c>
    </row>
    <row r="3066" spans="1:13" ht="21" customHeight="1">
      <c r="A3066" s="213" t="s">
        <v>6440</v>
      </c>
      <c r="B3066" s="215">
        <f t="shared" si="141"/>
        <v>45889</v>
      </c>
      <c r="C3066" s="213" t="s">
        <v>4374</v>
      </c>
      <c r="D3066" s="213" t="s">
        <v>4366</v>
      </c>
      <c r="E3066" s="213" t="s">
        <v>6176</v>
      </c>
      <c r="F3066" s="212" t="s">
        <v>6177</v>
      </c>
      <c r="G3066" s="212" t="str">
        <f t="shared" si="142"/>
        <v>255부가세예수금</v>
      </c>
      <c r="H3066" s="214">
        <v>0</v>
      </c>
      <c r="I3066" s="214">
        <v>7000</v>
      </c>
      <c r="J3066" s="214">
        <f t="shared" si="143"/>
        <v>7000</v>
      </c>
      <c r="K3066" s="212" t="s">
        <v>6247</v>
      </c>
      <c r="L3066" s="213"/>
      <c r="M3066" s="212" t="s">
        <v>6333</v>
      </c>
    </row>
    <row r="3067" spans="1:13" ht="21" customHeight="1">
      <c r="A3067" s="213" t="s">
        <v>6440</v>
      </c>
      <c r="B3067" s="215">
        <f t="shared" si="141"/>
        <v>45889</v>
      </c>
      <c r="C3067" s="213" t="s">
        <v>4374</v>
      </c>
      <c r="D3067" s="213" t="s">
        <v>4366</v>
      </c>
      <c r="E3067" s="213" t="s">
        <v>334</v>
      </c>
      <c r="F3067" s="212" t="s">
        <v>6158</v>
      </c>
      <c r="G3067" s="212" t="str">
        <f t="shared" si="142"/>
        <v>401용역매출</v>
      </c>
      <c r="H3067" s="214">
        <v>0</v>
      </c>
      <c r="I3067" s="214">
        <v>70000</v>
      </c>
      <c r="J3067" s="214">
        <f t="shared" si="143"/>
        <v>70000</v>
      </c>
      <c r="K3067" s="212" t="s">
        <v>6247</v>
      </c>
      <c r="L3067" s="213"/>
      <c r="M3067" s="212" t="s">
        <v>6333</v>
      </c>
    </row>
    <row r="3068" spans="1:13" ht="21" customHeight="1">
      <c r="A3068" s="213" t="s">
        <v>6440</v>
      </c>
      <c r="B3068" s="215">
        <f t="shared" si="141"/>
        <v>45889</v>
      </c>
      <c r="C3068" s="213" t="s">
        <v>4374</v>
      </c>
      <c r="D3068" s="213" t="s">
        <v>4369</v>
      </c>
      <c r="E3068" s="213" t="s">
        <v>333</v>
      </c>
      <c r="F3068" s="212" t="s">
        <v>4365</v>
      </c>
      <c r="G3068" s="212" t="str">
        <f t="shared" si="142"/>
        <v>101현금</v>
      </c>
      <c r="H3068" s="214">
        <v>77000</v>
      </c>
      <c r="I3068" s="214">
        <v>0</v>
      </c>
      <c r="J3068" s="214">
        <f t="shared" si="143"/>
        <v>-77000</v>
      </c>
      <c r="K3068" s="212" t="s">
        <v>6247</v>
      </c>
      <c r="L3068" s="213"/>
      <c r="M3068" s="212" t="s">
        <v>6333</v>
      </c>
    </row>
    <row r="3069" spans="1:13" ht="21" customHeight="1">
      <c r="A3069" s="213" t="s">
        <v>6440</v>
      </c>
      <c r="B3069" s="215">
        <f t="shared" si="141"/>
        <v>45889</v>
      </c>
      <c r="C3069" s="213" t="s">
        <v>6182</v>
      </c>
      <c r="D3069" s="213" t="s">
        <v>4366</v>
      </c>
      <c r="E3069" s="213" t="s">
        <v>6176</v>
      </c>
      <c r="F3069" s="212" t="s">
        <v>6177</v>
      </c>
      <c r="G3069" s="212" t="str">
        <f t="shared" si="142"/>
        <v>255부가세예수금</v>
      </c>
      <c r="H3069" s="214">
        <v>0</v>
      </c>
      <c r="I3069" s="214">
        <v>6000</v>
      </c>
      <c r="J3069" s="214">
        <f t="shared" si="143"/>
        <v>6000</v>
      </c>
      <c r="K3069" s="212" t="s">
        <v>6302</v>
      </c>
      <c r="L3069" s="213"/>
      <c r="M3069" s="212" t="s">
        <v>6303</v>
      </c>
    </row>
    <row r="3070" spans="1:13" ht="21" customHeight="1">
      <c r="A3070" s="213" t="s">
        <v>6440</v>
      </c>
      <c r="B3070" s="215">
        <f t="shared" si="141"/>
        <v>45889</v>
      </c>
      <c r="C3070" s="213" t="s">
        <v>6182</v>
      </c>
      <c r="D3070" s="213" t="s">
        <v>4366</v>
      </c>
      <c r="E3070" s="213" t="s">
        <v>334</v>
      </c>
      <c r="F3070" s="212" t="s">
        <v>6158</v>
      </c>
      <c r="G3070" s="212" t="str">
        <f t="shared" si="142"/>
        <v>401용역매출</v>
      </c>
      <c r="H3070" s="214">
        <v>0</v>
      </c>
      <c r="I3070" s="214">
        <v>60000</v>
      </c>
      <c r="J3070" s="214">
        <f t="shared" si="143"/>
        <v>60000</v>
      </c>
      <c r="K3070" s="212" t="s">
        <v>6302</v>
      </c>
      <c r="L3070" s="213"/>
      <c r="M3070" s="212" t="s">
        <v>6303</v>
      </c>
    </row>
    <row r="3071" spans="1:13" ht="21" customHeight="1">
      <c r="A3071" s="213" t="s">
        <v>6440</v>
      </c>
      <c r="B3071" s="215">
        <f t="shared" si="141"/>
        <v>45889</v>
      </c>
      <c r="C3071" s="213" t="s">
        <v>6182</v>
      </c>
      <c r="D3071" s="213" t="s">
        <v>4369</v>
      </c>
      <c r="E3071" s="213" t="s">
        <v>333</v>
      </c>
      <c r="F3071" s="212" t="s">
        <v>4365</v>
      </c>
      <c r="G3071" s="212" t="str">
        <f t="shared" si="142"/>
        <v>101현금</v>
      </c>
      <c r="H3071" s="214">
        <v>66000</v>
      </c>
      <c r="I3071" s="214">
        <v>0</v>
      </c>
      <c r="J3071" s="214">
        <f t="shared" si="143"/>
        <v>-66000</v>
      </c>
      <c r="K3071" s="212" t="s">
        <v>6302</v>
      </c>
      <c r="L3071" s="213"/>
      <c r="M3071" s="212" t="s">
        <v>6303</v>
      </c>
    </row>
    <row r="3072" spans="1:13" ht="21" customHeight="1">
      <c r="A3072" s="213" t="s">
        <v>6440</v>
      </c>
      <c r="B3072" s="215">
        <f t="shared" si="141"/>
        <v>45889</v>
      </c>
      <c r="C3072" s="213" t="s">
        <v>6184</v>
      </c>
      <c r="D3072" s="213" t="s">
        <v>4366</v>
      </c>
      <c r="E3072" s="213" t="s">
        <v>6176</v>
      </c>
      <c r="F3072" s="212" t="s">
        <v>6177</v>
      </c>
      <c r="G3072" s="212" t="str">
        <f t="shared" si="142"/>
        <v>255부가세예수금</v>
      </c>
      <c r="H3072" s="214">
        <v>0</v>
      </c>
      <c r="I3072" s="214">
        <v>10000</v>
      </c>
      <c r="J3072" s="214">
        <f t="shared" si="143"/>
        <v>10000</v>
      </c>
      <c r="K3072" s="212" t="s">
        <v>6280</v>
      </c>
      <c r="L3072" s="213"/>
      <c r="M3072" s="212" t="s">
        <v>6185</v>
      </c>
    </row>
    <row r="3073" spans="1:13" ht="21" customHeight="1">
      <c r="A3073" s="213" t="s">
        <v>6440</v>
      </c>
      <c r="B3073" s="215">
        <f t="shared" si="141"/>
        <v>45889</v>
      </c>
      <c r="C3073" s="213" t="s">
        <v>6184</v>
      </c>
      <c r="D3073" s="213" t="s">
        <v>4366</v>
      </c>
      <c r="E3073" s="213" t="s">
        <v>334</v>
      </c>
      <c r="F3073" s="212" t="s">
        <v>6158</v>
      </c>
      <c r="G3073" s="212" t="str">
        <f t="shared" si="142"/>
        <v>401용역매출</v>
      </c>
      <c r="H3073" s="214">
        <v>0</v>
      </c>
      <c r="I3073" s="214">
        <v>100000</v>
      </c>
      <c r="J3073" s="214">
        <f t="shared" si="143"/>
        <v>100000</v>
      </c>
      <c r="K3073" s="212" t="s">
        <v>6280</v>
      </c>
      <c r="L3073" s="213"/>
      <c r="M3073" s="212" t="s">
        <v>6185</v>
      </c>
    </row>
    <row r="3074" spans="1:13" ht="21" customHeight="1">
      <c r="A3074" s="213" t="s">
        <v>6440</v>
      </c>
      <c r="B3074" s="215">
        <f t="shared" ref="B3074:B3137" si="144">DATEVALUE(A3074)</f>
        <v>45889</v>
      </c>
      <c r="C3074" s="213" t="s">
        <v>6184</v>
      </c>
      <c r="D3074" s="213" t="s">
        <v>4369</v>
      </c>
      <c r="E3074" s="213" t="s">
        <v>333</v>
      </c>
      <c r="F3074" s="212" t="s">
        <v>4365</v>
      </c>
      <c r="G3074" s="212" t="str">
        <f t="shared" ref="G3074:G3137" si="145">E3074&amp;F3074</f>
        <v>101현금</v>
      </c>
      <c r="H3074" s="214">
        <v>110000</v>
      </c>
      <c r="I3074" s="214">
        <v>0</v>
      </c>
      <c r="J3074" s="214">
        <f t="shared" ref="J3074:J3137" si="146">I3074-H3074</f>
        <v>-110000</v>
      </c>
      <c r="K3074" s="212" t="s">
        <v>6280</v>
      </c>
      <c r="L3074" s="213"/>
      <c r="M3074" s="212" t="s">
        <v>6185</v>
      </c>
    </row>
    <row r="3075" spans="1:13" ht="21" customHeight="1">
      <c r="A3075" s="213" t="s">
        <v>6440</v>
      </c>
      <c r="B3075" s="215">
        <f t="shared" si="144"/>
        <v>45889</v>
      </c>
      <c r="C3075" s="213" t="s">
        <v>6186</v>
      </c>
      <c r="D3075" s="213" t="s">
        <v>4366</v>
      </c>
      <c r="E3075" s="213" t="s">
        <v>6176</v>
      </c>
      <c r="F3075" s="212" t="s">
        <v>6177</v>
      </c>
      <c r="G3075" s="212" t="str">
        <f t="shared" si="145"/>
        <v>255부가세예수금</v>
      </c>
      <c r="H3075" s="214">
        <v>0</v>
      </c>
      <c r="I3075" s="214">
        <v>10000</v>
      </c>
      <c r="J3075" s="214">
        <f t="shared" si="146"/>
        <v>10000</v>
      </c>
      <c r="K3075" s="212" t="s">
        <v>6304</v>
      </c>
      <c r="L3075" s="213"/>
      <c r="M3075" s="212" t="s">
        <v>6185</v>
      </c>
    </row>
    <row r="3076" spans="1:13" ht="21" customHeight="1">
      <c r="A3076" s="213" t="s">
        <v>6440</v>
      </c>
      <c r="B3076" s="215">
        <f t="shared" si="144"/>
        <v>45889</v>
      </c>
      <c r="C3076" s="213" t="s">
        <v>6186</v>
      </c>
      <c r="D3076" s="213" t="s">
        <v>4366</v>
      </c>
      <c r="E3076" s="213" t="s">
        <v>334</v>
      </c>
      <c r="F3076" s="212" t="s">
        <v>6158</v>
      </c>
      <c r="G3076" s="212" t="str">
        <f t="shared" si="145"/>
        <v>401용역매출</v>
      </c>
      <c r="H3076" s="214">
        <v>0</v>
      </c>
      <c r="I3076" s="214">
        <v>100000</v>
      </c>
      <c r="J3076" s="214">
        <f t="shared" si="146"/>
        <v>100000</v>
      </c>
      <c r="K3076" s="212" t="s">
        <v>6304</v>
      </c>
      <c r="L3076" s="213"/>
      <c r="M3076" s="212" t="s">
        <v>6185</v>
      </c>
    </row>
    <row r="3077" spans="1:13" ht="21" customHeight="1">
      <c r="A3077" s="213" t="s">
        <v>6440</v>
      </c>
      <c r="B3077" s="215">
        <f t="shared" si="144"/>
        <v>45889</v>
      </c>
      <c r="C3077" s="213" t="s">
        <v>6186</v>
      </c>
      <c r="D3077" s="213" t="s">
        <v>4369</v>
      </c>
      <c r="E3077" s="213" t="s">
        <v>333</v>
      </c>
      <c r="F3077" s="212" t="s">
        <v>4365</v>
      </c>
      <c r="G3077" s="212" t="str">
        <f t="shared" si="145"/>
        <v>101현금</v>
      </c>
      <c r="H3077" s="214">
        <v>110000</v>
      </c>
      <c r="I3077" s="214">
        <v>0</v>
      </c>
      <c r="J3077" s="214">
        <f t="shared" si="146"/>
        <v>-110000</v>
      </c>
      <c r="K3077" s="212" t="s">
        <v>6304</v>
      </c>
      <c r="L3077" s="213"/>
      <c r="M3077" s="212" t="s">
        <v>6185</v>
      </c>
    </row>
    <row r="3078" spans="1:13" ht="21" customHeight="1">
      <c r="A3078" s="213" t="s">
        <v>6440</v>
      </c>
      <c r="B3078" s="215">
        <f t="shared" si="144"/>
        <v>45889</v>
      </c>
      <c r="C3078" s="213" t="s">
        <v>6189</v>
      </c>
      <c r="D3078" s="213" t="s">
        <v>4366</v>
      </c>
      <c r="E3078" s="213" t="s">
        <v>6176</v>
      </c>
      <c r="F3078" s="212" t="s">
        <v>6177</v>
      </c>
      <c r="G3078" s="212" t="str">
        <f t="shared" si="145"/>
        <v>255부가세예수금</v>
      </c>
      <c r="H3078" s="214">
        <v>0</v>
      </c>
      <c r="I3078" s="214">
        <v>10000</v>
      </c>
      <c r="J3078" s="214">
        <f t="shared" si="146"/>
        <v>10000</v>
      </c>
      <c r="K3078" s="212" t="s">
        <v>6262</v>
      </c>
      <c r="L3078" s="213"/>
      <c r="M3078" s="212" t="s">
        <v>6185</v>
      </c>
    </row>
    <row r="3079" spans="1:13" ht="21" customHeight="1">
      <c r="A3079" s="213" t="s">
        <v>6440</v>
      </c>
      <c r="B3079" s="215">
        <f t="shared" si="144"/>
        <v>45889</v>
      </c>
      <c r="C3079" s="213" t="s">
        <v>6189</v>
      </c>
      <c r="D3079" s="213" t="s">
        <v>4366</v>
      </c>
      <c r="E3079" s="213" t="s">
        <v>334</v>
      </c>
      <c r="F3079" s="212" t="s">
        <v>6158</v>
      </c>
      <c r="G3079" s="212" t="str">
        <f t="shared" si="145"/>
        <v>401용역매출</v>
      </c>
      <c r="H3079" s="214">
        <v>0</v>
      </c>
      <c r="I3079" s="214">
        <v>100000</v>
      </c>
      <c r="J3079" s="214">
        <f t="shared" si="146"/>
        <v>100000</v>
      </c>
      <c r="K3079" s="212" t="s">
        <v>6262</v>
      </c>
      <c r="L3079" s="213"/>
      <c r="M3079" s="212" t="s">
        <v>6185</v>
      </c>
    </row>
    <row r="3080" spans="1:13" ht="21" customHeight="1">
      <c r="A3080" s="213" t="s">
        <v>6440</v>
      </c>
      <c r="B3080" s="215">
        <f t="shared" si="144"/>
        <v>45889</v>
      </c>
      <c r="C3080" s="213" t="s">
        <v>6189</v>
      </c>
      <c r="D3080" s="213" t="s">
        <v>4369</v>
      </c>
      <c r="E3080" s="213" t="s">
        <v>333</v>
      </c>
      <c r="F3080" s="212" t="s">
        <v>4365</v>
      </c>
      <c r="G3080" s="212" t="str">
        <f t="shared" si="145"/>
        <v>101현금</v>
      </c>
      <c r="H3080" s="214">
        <v>110000</v>
      </c>
      <c r="I3080" s="214">
        <v>0</v>
      </c>
      <c r="J3080" s="214">
        <f t="shared" si="146"/>
        <v>-110000</v>
      </c>
      <c r="K3080" s="212" t="s">
        <v>6262</v>
      </c>
      <c r="L3080" s="213"/>
      <c r="M3080" s="212" t="s">
        <v>6185</v>
      </c>
    </row>
    <row r="3081" spans="1:13" ht="21" customHeight="1">
      <c r="A3081" s="213" t="s">
        <v>6440</v>
      </c>
      <c r="B3081" s="215">
        <f t="shared" si="144"/>
        <v>45889</v>
      </c>
      <c r="C3081" s="213" t="s">
        <v>6191</v>
      </c>
      <c r="D3081" s="213" t="s">
        <v>4366</v>
      </c>
      <c r="E3081" s="213" t="s">
        <v>6176</v>
      </c>
      <c r="F3081" s="212" t="s">
        <v>6177</v>
      </c>
      <c r="G3081" s="212" t="str">
        <f t="shared" si="145"/>
        <v>255부가세예수금</v>
      </c>
      <c r="H3081" s="214">
        <v>0</v>
      </c>
      <c r="I3081" s="214">
        <v>10000</v>
      </c>
      <c r="J3081" s="214">
        <f t="shared" si="146"/>
        <v>10000</v>
      </c>
      <c r="K3081" s="212" t="s">
        <v>6261</v>
      </c>
      <c r="L3081" s="213"/>
      <c r="M3081" s="212" t="s">
        <v>6185</v>
      </c>
    </row>
    <row r="3082" spans="1:13" ht="21" customHeight="1">
      <c r="A3082" s="213" t="s">
        <v>6440</v>
      </c>
      <c r="B3082" s="215">
        <f t="shared" si="144"/>
        <v>45889</v>
      </c>
      <c r="C3082" s="213" t="s">
        <v>6191</v>
      </c>
      <c r="D3082" s="213" t="s">
        <v>4366</v>
      </c>
      <c r="E3082" s="213" t="s">
        <v>334</v>
      </c>
      <c r="F3082" s="212" t="s">
        <v>6158</v>
      </c>
      <c r="G3082" s="212" t="str">
        <f t="shared" si="145"/>
        <v>401용역매출</v>
      </c>
      <c r="H3082" s="214">
        <v>0</v>
      </c>
      <c r="I3082" s="214">
        <v>100000</v>
      </c>
      <c r="J3082" s="214">
        <f t="shared" si="146"/>
        <v>100000</v>
      </c>
      <c r="K3082" s="212" t="s">
        <v>6261</v>
      </c>
      <c r="L3082" s="213"/>
      <c r="M3082" s="212" t="s">
        <v>6185</v>
      </c>
    </row>
    <row r="3083" spans="1:13" ht="21" customHeight="1">
      <c r="A3083" s="213" t="s">
        <v>6440</v>
      </c>
      <c r="B3083" s="215">
        <f t="shared" si="144"/>
        <v>45889</v>
      </c>
      <c r="C3083" s="213" t="s">
        <v>6191</v>
      </c>
      <c r="D3083" s="213" t="s">
        <v>4369</v>
      </c>
      <c r="E3083" s="213" t="s">
        <v>333</v>
      </c>
      <c r="F3083" s="212" t="s">
        <v>4365</v>
      </c>
      <c r="G3083" s="212" t="str">
        <f t="shared" si="145"/>
        <v>101현금</v>
      </c>
      <c r="H3083" s="214">
        <v>110000</v>
      </c>
      <c r="I3083" s="214">
        <v>0</v>
      </c>
      <c r="J3083" s="214">
        <f t="shared" si="146"/>
        <v>-110000</v>
      </c>
      <c r="K3083" s="212" t="s">
        <v>6261</v>
      </c>
      <c r="L3083" s="213"/>
      <c r="M3083" s="212" t="s">
        <v>6185</v>
      </c>
    </row>
    <row r="3084" spans="1:13" ht="21" customHeight="1">
      <c r="A3084" s="213" t="s">
        <v>6440</v>
      </c>
      <c r="B3084" s="215">
        <f t="shared" si="144"/>
        <v>45889</v>
      </c>
      <c r="C3084" s="213" t="s">
        <v>6216</v>
      </c>
      <c r="D3084" s="213" t="s">
        <v>4366</v>
      </c>
      <c r="E3084" s="213" t="s">
        <v>6176</v>
      </c>
      <c r="F3084" s="212" t="s">
        <v>6177</v>
      </c>
      <c r="G3084" s="212" t="str">
        <f t="shared" si="145"/>
        <v>255부가세예수금</v>
      </c>
      <c r="H3084" s="214">
        <v>0</v>
      </c>
      <c r="I3084" s="214">
        <v>20000</v>
      </c>
      <c r="J3084" s="214">
        <f t="shared" si="146"/>
        <v>20000</v>
      </c>
      <c r="K3084" s="212" t="s">
        <v>6260</v>
      </c>
      <c r="L3084" s="213"/>
      <c r="M3084" s="212" t="s">
        <v>6231</v>
      </c>
    </row>
    <row r="3085" spans="1:13" ht="21" customHeight="1">
      <c r="A3085" s="213" t="s">
        <v>6440</v>
      </c>
      <c r="B3085" s="215">
        <f t="shared" si="144"/>
        <v>45889</v>
      </c>
      <c r="C3085" s="213" t="s">
        <v>6216</v>
      </c>
      <c r="D3085" s="213" t="s">
        <v>4366</v>
      </c>
      <c r="E3085" s="213" t="s">
        <v>334</v>
      </c>
      <c r="F3085" s="212" t="s">
        <v>6158</v>
      </c>
      <c r="G3085" s="212" t="str">
        <f t="shared" si="145"/>
        <v>401용역매출</v>
      </c>
      <c r="H3085" s="214">
        <v>0</v>
      </c>
      <c r="I3085" s="214">
        <v>200000</v>
      </c>
      <c r="J3085" s="214">
        <f t="shared" si="146"/>
        <v>200000</v>
      </c>
      <c r="K3085" s="212" t="s">
        <v>6260</v>
      </c>
      <c r="L3085" s="213"/>
      <c r="M3085" s="212" t="s">
        <v>6231</v>
      </c>
    </row>
    <row r="3086" spans="1:13" ht="21" customHeight="1">
      <c r="A3086" s="213" t="s">
        <v>6440</v>
      </c>
      <c r="B3086" s="215">
        <f t="shared" si="144"/>
        <v>45889</v>
      </c>
      <c r="C3086" s="213" t="s">
        <v>6216</v>
      </c>
      <c r="D3086" s="213" t="s">
        <v>4369</v>
      </c>
      <c r="E3086" s="213" t="s">
        <v>333</v>
      </c>
      <c r="F3086" s="212" t="s">
        <v>4365</v>
      </c>
      <c r="G3086" s="212" t="str">
        <f t="shared" si="145"/>
        <v>101현금</v>
      </c>
      <c r="H3086" s="214">
        <v>220000</v>
      </c>
      <c r="I3086" s="214">
        <v>0</v>
      </c>
      <c r="J3086" s="214">
        <f t="shared" si="146"/>
        <v>-220000</v>
      </c>
      <c r="K3086" s="212" t="s">
        <v>6260</v>
      </c>
      <c r="L3086" s="213"/>
      <c r="M3086" s="212" t="s">
        <v>6231</v>
      </c>
    </row>
    <row r="3087" spans="1:13" ht="21" customHeight="1">
      <c r="A3087" s="213" t="s">
        <v>6440</v>
      </c>
      <c r="B3087" s="215">
        <f t="shared" si="144"/>
        <v>45889</v>
      </c>
      <c r="C3087" s="213" t="s">
        <v>6217</v>
      </c>
      <c r="D3087" s="213" t="s">
        <v>4366</v>
      </c>
      <c r="E3087" s="213" t="s">
        <v>6176</v>
      </c>
      <c r="F3087" s="212" t="s">
        <v>6177</v>
      </c>
      <c r="G3087" s="212" t="str">
        <f t="shared" si="145"/>
        <v>255부가세예수금</v>
      </c>
      <c r="H3087" s="214">
        <v>0</v>
      </c>
      <c r="I3087" s="214">
        <v>12000</v>
      </c>
      <c r="J3087" s="214">
        <f t="shared" si="146"/>
        <v>12000</v>
      </c>
      <c r="K3087" s="212" t="s">
        <v>6309</v>
      </c>
      <c r="L3087" s="213"/>
      <c r="M3087" s="212" t="s">
        <v>6225</v>
      </c>
    </row>
    <row r="3088" spans="1:13" ht="21" customHeight="1">
      <c r="A3088" s="213" t="s">
        <v>6440</v>
      </c>
      <c r="B3088" s="215">
        <f t="shared" si="144"/>
        <v>45889</v>
      </c>
      <c r="C3088" s="213" t="s">
        <v>6217</v>
      </c>
      <c r="D3088" s="213" t="s">
        <v>4366</v>
      </c>
      <c r="E3088" s="213" t="s">
        <v>334</v>
      </c>
      <c r="F3088" s="212" t="s">
        <v>6158</v>
      </c>
      <c r="G3088" s="212" t="str">
        <f t="shared" si="145"/>
        <v>401용역매출</v>
      </c>
      <c r="H3088" s="214">
        <v>0</v>
      </c>
      <c r="I3088" s="214">
        <v>120000</v>
      </c>
      <c r="J3088" s="214">
        <f t="shared" si="146"/>
        <v>120000</v>
      </c>
      <c r="K3088" s="212" t="s">
        <v>6309</v>
      </c>
      <c r="L3088" s="213"/>
      <c r="M3088" s="212" t="s">
        <v>6225</v>
      </c>
    </row>
    <row r="3089" spans="1:13" ht="21" customHeight="1">
      <c r="A3089" s="213" t="s">
        <v>6440</v>
      </c>
      <c r="B3089" s="215">
        <f t="shared" si="144"/>
        <v>45889</v>
      </c>
      <c r="C3089" s="213" t="s">
        <v>6217</v>
      </c>
      <c r="D3089" s="213" t="s">
        <v>4369</v>
      </c>
      <c r="E3089" s="213" t="s">
        <v>333</v>
      </c>
      <c r="F3089" s="212" t="s">
        <v>4365</v>
      </c>
      <c r="G3089" s="212" t="str">
        <f t="shared" si="145"/>
        <v>101현금</v>
      </c>
      <c r="H3089" s="214">
        <v>132000</v>
      </c>
      <c r="I3089" s="214">
        <v>0</v>
      </c>
      <c r="J3089" s="214">
        <f t="shared" si="146"/>
        <v>-132000</v>
      </c>
      <c r="K3089" s="212" t="s">
        <v>6309</v>
      </c>
      <c r="L3089" s="213"/>
      <c r="M3089" s="212" t="s">
        <v>6225</v>
      </c>
    </row>
    <row r="3090" spans="1:13" ht="21" customHeight="1">
      <c r="A3090" s="213" t="s">
        <v>6440</v>
      </c>
      <c r="B3090" s="215">
        <f t="shared" si="144"/>
        <v>45889</v>
      </c>
      <c r="C3090" s="213" t="s">
        <v>6218</v>
      </c>
      <c r="D3090" s="213" t="s">
        <v>4366</v>
      </c>
      <c r="E3090" s="213" t="s">
        <v>6176</v>
      </c>
      <c r="F3090" s="212" t="s">
        <v>6177</v>
      </c>
      <c r="G3090" s="212" t="str">
        <f t="shared" si="145"/>
        <v>255부가세예수금</v>
      </c>
      <c r="H3090" s="214">
        <v>0</v>
      </c>
      <c r="I3090" s="214">
        <v>10000</v>
      </c>
      <c r="J3090" s="214">
        <f t="shared" si="146"/>
        <v>10000</v>
      </c>
      <c r="K3090" s="212" t="s">
        <v>6264</v>
      </c>
      <c r="L3090" s="213"/>
      <c r="M3090" s="212" t="s">
        <v>6185</v>
      </c>
    </row>
    <row r="3091" spans="1:13" ht="21" customHeight="1">
      <c r="A3091" s="213" t="s">
        <v>6440</v>
      </c>
      <c r="B3091" s="215">
        <f t="shared" si="144"/>
        <v>45889</v>
      </c>
      <c r="C3091" s="213" t="s">
        <v>6218</v>
      </c>
      <c r="D3091" s="213" t="s">
        <v>4366</v>
      </c>
      <c r="E3091" s="213" t="s">
        <v>334</v>
      </c>
      <c r="F3091" s="212" t="s">
        <v>6158</v>
      </c>
      <c r="G3091" s="212" t="str">
        <f t="shared" si="145"/>
        <v>401용역매출</v>
      </c>
      <c r="H3091" s="214">
        <v>0</v>
      </c>
      <c r="I3091" s="214">
        <v>100000</v>
      </c>
      <c r="J3091" s="214">
        <f t="shared" si="146"/>
        <v>100000</v>
      </c>
      <c r="K3091" s="212" t="s">
        <v>6264</v>
      </c>
      <c r="L3091" s="213"/>
      <c r="M3091" s="212" t="s">
        <v>6185</v>
      </c>
    </row>
    <row r="3092" spans="1:13" ht="21" customHeight="1">
      <c r="A3092" s="213" t="s">
        <v>6440</v>
      </c>
      <c r="B3092" s="215">
        <f t="shared" si="144"/>
        <v>45889</v>
      </c>
      <c r="C3092" s="213" t="s">
        <v>6218</v>
      </c>
      <c r="D3092" s="213" t="s">
        <v>4369</v>
      </c>
      <c r="E3092" s="213" t="s">
        <v>333</v>
      </c>
      <c r="F3092" s="212" t="s">
        <v>4365</v>
      </c>
      <c r="G3092" s="212" t="str">
        <f t="shared" si="145"/>
        <v>101현금</v>
      </c>
      <c r="H3092" s="214">
        <v>110000</v>
      </c>
      <c r="I3092" s="214">
        <v>0</v>
      </c>
      <c r="J3092" s="214">
        <f t="shared" si="146"/>
        <v>-110000</v>
      </c>
      <c r="K3092" s="212" t="s">
        <v>6264</v>
      </c>
      <c r="L3092" s="213"/>
      <c r="M3092" s="212" t="s">
        <v>6185</v>
      </c>
    </row>
    <row r="3093" spans="1:13" ht="21" customHeight="1">
      <c r="A3093" s="213" t="s">
        <v>6440</v>
      </c>
      <c r="B3093" s="215">
        <f t="shared" si="144"/>
        <v>45889</v>
      </c>
      <c r="C3093" s="213" t="s">
        <v>6238</v>
      </c>
      <c r="D3093" s="213" t="s">
        <v>4366</v>
      </c>
      <c r="E3093" s="213" t="s">
        <v>6176</v>
      </c>
      <c r="F3093" s="212" t="s">
        <v>6177</v>
      </c>
      <c r="G3093" s="212" t="str">
        <f t="shared" si="145"/>
        <v>255부가세예수금</v>
      </c>
      <c r="H3093" s="214">
        <v>0</v>
      </c>
      <c r="I3093" s="214">
        <v>10000</v>
      </c>
      <c r="J3093" s="214">
        <f t="shared" si="146"/>
        <v>10000</v>
      </c>
      <c r="K3093" s="212" t="s">
        <v>6408</v>
      </c>
      <c r="L3093" s="213"/>
      <c r="M3093" s="212" t="s">
        <v>6185</v>
      </c>
    </row>
    <row r="3094" spans="1:13" ht="21" customHeight="1">
      <c r="A3094" s="213" t="s">
        <v>6440</v>
      </c>
      <c r="B3094" s="215">
        <f t="shared" si="144"/>
        <v>45889</v>
      </c>
      <c r="C3094" s="213" t="s">
        <v>6238</v>
      </c>
      <c r="D3094" s="213" t="s">
        <v>4366</v>
      </c>
      <c r="E3094" s="213" t="s">
        <v>334</v>
      </c>
      <c r="F3094" s="212" t="s">
        <v>6158</v>
      </c>
      <c r="G3094" s="212" t="str">
        <f t="shared" si="145"/>
        <v>401용역매출</v>
      </c>
      <c r="H3094" s="214">
        <v>0</v>
      </c>
      <c r="I3094" s="214">
        <v>100000</v>
      </c>
      <c r="J3094" s="214">
        <f t="shared" si="146"/>
        <v>100000</v>
      </c>
      <c r="K3094" s="212" t="s">
        <v>6408</v>
      </c>
      <c r="L3094" s="213"/>
      <c r="M3094" s="212" t="s">
        <v>6185</v>
      </c>
    </row>
    <row r="3095" spans="1:13" ht="21" customHeight="1">
      <c r="A3095" s="213" t="s">
        <v>6440</v>
      </c>
      <c r="B3095" s="215">
        <f t="shared" si="144"/>
        <v>45889</v>
      </c>
      <c r="C3095" s="213" t="s">
        <v>6238</v>
      </c>
      <c r="D3095" s="213" t="s">
        <v>4369</v>
      </c>
      <c r="E3095" s="213" t="s">
        <v>333</v>
      </c>
      <c r="F3095" s="212" t="s">
        <v>4365</v>
      </c>
      <c r="G3095" s="212" t="str">
        <f t="shared" si="145"/>
        <v>101현금</v>
      </c>
      <c r="H3095" s="214">
        <v>110000</v>
      </c>
      <c r="I3095" s="214">
        <v>0</v>
      </c>
      <c r="J3095" s="214">
        <f t="shared" si="146"/>
        <v>-110000</v>
      </c>
      <c r="K3095" s="212" t="s">
        <v>6408</v>
      </c>
      <c r="L3095" s="213"/>
      <c r="M3095" s="212" t="s">
        <v>6185</v>
      </c>
    </row>
    <row r="3096" spans="1:13" ht="21" customHeight="1">
      <c r="A3096" s="213" t="s">
        <v>6440</v>
      </c>
      <c r="B3096" s="215">
        <f t="shared" si="144"/>
        <v>45889</v>
      </c>
      <c r="C3096" s="213" t="s">
        <v>6240</v>
      </c>
      <c r="D3096" s="213" t="s">
        <v>4366</v>
      </c>
      <c r="E3096" s="213" t="s">
        <v>6176</v>
      </c>
      <c r="F3096" s="212" t="s">
        <v>6177</v>
      </c>
      <c r="G3096" s="212" t="str">
        <f t="shared" si="145"/>
        <v>255부가세예수금</v>
      </c>
      <c r="H3096" s="214">
        <v>0</v>
      </c>
      <c r="I3096" s="214">
        <v>20000</v>
      </c>
      <c r="J3096" s="214">
        <f t="shared" si="146"/>
        <v>20000</v>
      </c>
      <c r="K3096" s="212" t="s">
        <v>6263</v>
      </c>
      <c r="L3096" s="213"/>
      <c r="M3096" s="212" t="s">
        <v>6231</v>
      </c>
    </row>
    <row r="3097" spans="1:13" ht="21" customHeight="1">
      <c r="A3097" s="213" t="s">
        <v>6440</v>
      </c>
      <c r="B3097" s="215">
        <f t="shared" si="144"/>
        <v>45889</v>
      </c>
      <c r="C3097" s="213" t="s">
        <v>6240</v>
      </c>
      <c r="D3097" s="213" t="s">
        <v>4366</v>
      </c>
      <c r="E3097" s="213" t="s">
        <v>334</v>
      </c>
      <c r="F3097" s="212" t="s">
        <v>6158</v>
      </c>
      <c r="G3097" s="212" t="str">
        <f t="shared" si="145"/>
        <v>401용역매출</v>
      </c>
      <c r="H3097" s="214">
        <v>0</v>
      </c>
      <c r="I3097" s="214">
        <v>200000</v>
      </c>
      <c r="J3097" s="214">
        <f t="shared" si="146"/>
        <v>200000</v>
      </c>
      <c r="K3097" s="212" t="s">
        <v>6263</v>
      </c>
      <c r="L3097" s="213"/>
      <c r="M3097" s="212" t="s">
        <v>6231</v>
      </c>
    </row>
    <row r="3098" spans="1:13" ht="21" customHeight="1">
      <c r="A3098" s="213" t="s">
        <v>6440</v>
      </c>
      <c r="B3098" s="215">
        <f t="shared" si="144"/>
        <v>45889</v>
      </c>
      <c r="C3098" s="213" t="s">
        <v>6240</v>
      </c>
      <c r="D3098" s="213" t="s">
        <v>4369</v>
      </c>
      <c r="E3098" s="213" t="s">
        <v>333</v>
      </c>
      <c r="F3098" s="212" t="s">
        <v>4365</v>
      </c>
      <c r="G3098" s="212" t="str">
        <f t="shared" si="145"/>
        <v>101현금</v>
      </c>
      <c r="H3098" s="214">
        <v>220000</v>
      </c>
      <c r="I3098" s="214">
        <v>0</v>
      </c>
      <c r="J3098" s="214">
        <f t="shared" si="146"/>
        <v>-220000</v>
      </c>
      <c r="K3098" s="212" t="s">
        <v>6263</v>
      </c>
      <c r="L3098" s="213"/>
      <c r="M3098" s="212" t="s">
        <v>6231</v>
      </c>
    </row>
    <row r="3099" spans="1:13" ht="21" customHeight="1">
      <c r="A3099" s="213" t="s">
        <v>6440</v>
      </c>
      <c r="B3099" s="215">
        <f t="shared" si="144"/>
        <v>45889</v>
      </c>
      <c r="C3099" s="213" t="s">
        <v>6241</v>
      </c>
      <c r="D3099" s="213" t="s">
        <v>4366</v>
      </c>
      <c r="E3099" s="213" t="s">
        <v>6176</v>
      </c>
      <c r="F3099" s="212" t="s">
        <v>6177</v>
      </c>
      <c r="G3099" s="212" t="str">
        <f t="shared" si="145"/>
        <v>255부가세예수금</v>
      </c>
      <c r="H3099" s="214">
        <v>0</v>
      </c>
      <c r="I3099" s="214">
        <v>7000</v>
      </c>
      <c r="J3099" s="214">
        <f t="shared" si="146"/>
        <v>7000</v>
      </c>
      <c r="K3099" s="212" t="s">
        <v>6259</v>
      </c>
      <c r="L3099" s="213"/>
      <c r="M3099" s="212" t="s">
        <v>6287</v>
      </c>
    </row>
    <row r="3100" spans="1:13" ht="21" customHeight="1">
      <c r="A3100" s="213" t="s">
        <v>6440</v>
      </c>
      <c r="B3100" s="215">
        <f t="shared" si="144"/>
        <v>45889</v>
      </c>
      <c r="C3100" s="213" t="s">
        <v>6241</v>
      </c>
      <c r="D3100" s="213" t="s">
        <v>4366</v>
      </c>
      <c r="E3100" s="213" t="s">
        <v>334</v>
      </c>
      <c r="F3100" s="212" t="s">
        <v>6158</v>
      </c>
      <c r="G3100" s="212" t="str">
        <f t="shared" si="145"/>
        <v>401용역매출</v>
      </c>
      <c r="H3100" s="214">
        <v>0</v>
      </c>
      <c r="I3100" s="214">
        <v>70000</v>
      </c>
      <c r="J3100" s="214">
        <f t="shared" si="146"/>
        <v>70000</v>
      </c>
      <c r="K3100" s="212" t="s">
        <v>6259</v>
      </c>
      <c r="L3100" s="213"/>
      <c r="M3100" s="212" t="s">
        <v>6287</v>
      </c>
    </row>
    <row r="3101" spans="1:13" ht="21" customHeight="1">
      <c r="A3101" s="213" t="s">
        <v>6440</v>
      </c>
      <c r="B3101" s="215">
        <f t="shared" si="144"/>
        <v>45889</v>
      </c>
      <c r="C3101" s="213" t="s">
        <v>6241</v>
      </c>
      <c r="D3101" s="213" t="s">
        <v>4369</v>
      </c>
      <c r="E3101" s="213" t="s">
        <v>333</v>
      </c>
      <c r="F3101" s="212" t="s">
        <v>4365</v>
      </c>
      <c r="G3101" s="212" t="str">
        <f t="shared" si="145"/>
        <v>101현금</v>
      </c>
      <c r="H3101" s="214">
        <v>77000</v>
      </c>
      <c r="I3101" s="214">
        <v>0</v>
      </c>
      <c r="J3101" s="214">
        <f t="shared" si="146"/>
        <v>-77000</v>
      </c>
      <c r="K3101" s="212" t="s">
        <v>6259</v>
      </c>
      <c r="L3101" s="213"/>
      <c r="M3101" s="212" t="s">
        <v>6287</v>
      </c>
    </row>
    <row r="3102" spans="1:13" ht="21" customHeight="1">
      <c r="A3102" s="213" t="s">
        <v>6440</v>
      </c>
      <c r="B3102" s="215">
        <f t="shared" si="144"/>
        <v>45889</v>
      </c>
      <c r="C3102" s="213" t="s">
        <v>6243</v>
      </c>
      <c r="D3102" s="213" t="s">
        <v>4366</v>
      </c>
      <c r="E3102" s="213" t="s">
        <v>6176</v>
      </c>
      <c r="F3102" s="212" t="s">
        <v>6177</v>
      </c>
      <c r="G3102" s="212" t="str">
        <f t="shared" si="145"/>
        <v>255부가세예수금</v>
      </c>
      <c r="H3102" s="214">
        <v>0</v>
      </c>
      <c r="I3102" s="214">
        <v>15000</v>
      </c>
      <c r="J3102" s="214">
        <f t="shared" si="146"/>
        <v>15000</v>
      </c>
      <c r="K3102" s="212" t="s">
        <v>6265</v>
      </c>
      <c r="L3102" s="213"/>
      <c r="M3102" s="212" t="s">
        <v>6179</v>
      </c>
    </row>
    <row r="3103" spans="1:13" ht="21" customHeight="1">
      <c r="A3103" s="213" t="s">
        <v>6440</v>
      </c>
      <c r="B3103" s="215">
        <f t="shared" si="144"/>
        <v>45889</v>
      </c>
      <c r="C3103" s="213" t="s">
        <v>6243</v>
      </c>
      <c r="D3103" s="213" t="s">
        <v>4366</v>
      </c>
      <c r="E3103" s="213" t="s">
        <v>334</v>
      </c>
      <c r="F3103" s="212" t="s">
        <v>6158</v>
      </c>
      <c r="G3103" s="212" t="str">
        <f t="shared" si="145"/>
        <v>401용역매출</v>
      </c>
      <c r="H3103" s="214">
        <v>0</v>
      </c>
      <c r="I3103" s="214">
        <v>150000</v>
      </c>
      <c r="J3103" s="214">
        <f t="shared" si="146"/>
        <v>150000</v>
      </c>
      <c r="K3103" s="212" t="s">
        <v>6265</v>
      </c>
      <c r="L3103" s="213"/>
      <c r="M3103" s="212" t="s">
        <v>6179</v>
      </c>
    </row>
    <row r="3104" spans="1:13" ht="21" customHeight="1">
      <c r="A3104" s="213" t="s">
        <v>6440</v>
      </c>
      <c r="B3104" s="215">
        <f t="shared" si="144"/>
        <v>45889</v>
      </c>
      <c r="C3104" s="213" t="s">
        <v>6243</v>
      </c>
      <c r="D3104" s="213" t="s">
        <v>4369</v>
      </c>
      <c r="E3104" s="213" t="s">
        <v>333</v>
      </c>
      <c r="F3104" s="212" t="s">
        <v>4365</v>
      </c>
      <c r="G3104" s="212" t="str">
        <f t="shared" si="145"/>
        <v>101현금</v>
      </c>
      <c r="H3104" s="214">
        <v>165000</v>
      </c>
      <c r="I3104" s="214">
        <v>0</v>
      </c>
      <c r="J3104" s="214">
        <f t="shared" si="146"/>
        <v>-165000</v>
      </c>
      <c r="K3104" s="212" t="s">
        <v>6265</v>
      </c>
      <c r="L3104" s="213"/>
      <c r="M3104" s="212" t="s">
        <v>6179</v>
      </c>
    </row>
    <row r="3105" spans="1:13" ht="21" customHeight="1">
      <c r="A3105" s="213" t="s">
        <v>6440</v>
      </c>
      <c r="B3105" s="215">
        <f t="shared" si="144"/>
        <v>45889</v>
      </c>
      <c r="C3105" s="213" t="s">
        <v>6244</v>
      </c>
      <c r="D3105" s="213" t="s">
        <v>4366</v>
      </c>
      <c r="E3105" s="213" t="s">
        <v>6176</v>
      </c>
      <c r="F3105" s="212" t="s">
        <v>6177</v>
      </c>
      <c r="G3105" s="212" t="str">
        <f t="shared" si="145"/>
        <v>255부가세예수금</v>
      </c>
      <c r="H3105" s="214">
        <v>0</v>
      </c>
      <c r="I3105" s="214">
        <v>10000</v>
      </c>
      <c r="J3105" s="214">
        <f t="shared" si="146"/>
        <v>10000</v>
      </c>
      <c r="K3105" s="212" t="s">
        <v>6416</v>
      </c>
      <c r="L3105" s="213"/>
      <c r="M3105" s="212" t="s">
        <v>6185</v>
      </c>
    </row>
    <row r="3106" spans="1:13" ht="21" customHeight="1">
      <c r="A3106" s="213" t="s">
        <v>6440</v>
      </c>
      <c r="B3106" s="215">
        <f t="shared" si="144"/>
        <v>45889</v>
      </c>
      <c r="C3106" s="213" t="s">
        <v>6244</v>
      </c>
      <c r="D3106" s="213" t="s">
        <v>4366</v>
      </c>
      <c r="E3106" s="213" t="s">
        <v>334</v>
      </c>
      <c r="F3106" s="212" t="s">
        <v>6158</v>
      </c>
      <c r="G3106" s="212" t="str">
        <f t="shared" si="145"/>
        <v>401용역매출</v>
      </c>
      <c r="H3106" s="214">
        <v>0</v>
      </c>
      <c r="I3106" s="214">
        <v>100000</v>
      </c>
      <c r="J3106" s="214">
        <f t="shared" si="146"/>
        <v>100000</v>
      </c>
      <c r="K3106" s="212" t="s">
        <v>6416</v>
      </c>
      <c r="L3106" s="213"/>
      <c r="M3106" s="212" t="s">
        <v>6185</v>
      </c>
    </row>
    <row r="3107" spans="1:13" ht="21" customHeight="1">
      <c r="A3107" s="213" t="s">
        <v>6440</v>
      </c>
      <c r="B3107" s="215">
        <f t="shared" si="144"/>
        <v>45889</v>
      </c>
      <c r="C3107" s="213" t="s">
        <v>6244</v>
      </c>
      <c r="D3107" s="213" t="s">
        <v>4369</v>
      </c>
      <c r="E3107" s="213" t="s">
        <v>333</v>
      </c>
      <c r="F3107" s="212" t="s">
        <v>4365</v>
      </c>
      <c r="G3107" s="212" t="str">
        <f t="shared" si="145"/>
        <v>101현금</v>
      </c>
      <c r="H3107" s="214">
        <v>110000</v>
      </c>
      <c r="I3107" s="214">
        <v>0</v>
      </c>
      <c r="J3107" s="214">
        <f t="shared" si="146"/>
        <v>-110000</v>
      </c>
      <c r="K3107" s="212" t="s">
        <v>6416</v>
      </c>
      <c r="L3107" s="213"/>
      <c r="M3107" s="212" t="s">
        <v>6185</v>
      </c>
    </row>
    <row r="3108" spans="1:13" ht="21" customHeight="1">
      <c r="A3108" s="213" t="s">
        <v>6440</v>
      </c>
      <c r="B3108" s="215">
        <f t="shared" si="144"/>
        <v>45889</v>
      </c>
      <c r="C3108" s="213" t="s">
        <v>6246</v>
      </c>
      <c r="D3108" s="213" t="s">
        <v>4366</v>
      </c>
      <c r="E3108" s="213" t="s">
        <v>6176</v>
      </c>
      <c r="F3108" s="212" t="s">
        <v>6177</v>
      </c>
      <c r="G3108" s="212" t="str">
        <f t="shared" si="145"/>
        <v>255부가세예수금</v>
      </c>
      <c r="H3108" s="214">
        <v>0</v>
      </c>
      <c r="I3108" s="214">
        <v>10000</v>
      </c>
      <c r="J3108" s="214">
        <f t="shared" si="146"/>
        <v>10000</v>
      </c>
      <c r="K3108" s="212" t="s">
        <v>6266</v>
      </c>
      <c r="L3108" s="213"/>
      <c r="M3108" s="212" t="s">
        <v>6185</v>
      </c>
    </row>
    <row r="3109" spans="1:13" ht="21" customHeight="1">
      <c r="A3109" s="213" t="s">
        <v>6440</v>
      </c>
      <c r="B3109" s="215">
        <f t="shared" si="144"/>
        <v>45889</v>
      </c>
      <c r="C3109" s="213" t="s">
        <v>6246</v>
      </c>
      <c r="D3109" s="213" t="s">
        <v>4366</v>
      </c>
      <c r="E3109" s="213" t="s">
        <v>334</v>
      </c>
      <c r="F3109" s="212" t="s">
        <v>6158</v>
      </c>
      <c r="G3109" s="212" t="str">
        <f t="shared" si="145"/>
        <v>401용역매출</v>
      </c>
      <c r="H3109" s="214">
        <v>0</v>
      </c>
      <c r="I3109" s="214">
        <v>100000</v>
      </c>
      <c r="J3109" s="214">
        <f t="shared" si="146"/>
        <v>100000</v>
      </c>
      <c r="K3109" s="212" t="s">
        <v>6266</v>
      </c>
      <c r="L3109" s="213"/>
      <c r="M3109" s="212" t="s">
        <v>6185</v>
      </c>
    </row>
    <row r="3110" spans="1:13" ht="21" customHeight="1">
      <c r="A3110" s="213" t="s">
        <v>6440</v>
      </c>
      <c r="B3110" s="215">
        <f t="shared" si="144"/>
        <v>45889</v>
      </c>
      <c r="C3110" s="213" t="s">
        <v>6246</v>
      </c>
      <c r="D3110" s="213" t="s">
        <v>4369</v>
      </c>
      <c r="E3110" s="213" t="s">
        <v>333</v>
      </c>
      <c r="F3110" s="212" t="s">
        <v>4365</v>
      </c>
      <c r="G3110" s="212" t="str">
        <f t="shared" si="145"/>
        <v>101현금</v>
      </c>
      <c r="H3110" s="214">
        <v>110000</v>
      </c>
      <c r="I3110" s="214">
        <v>0</v>
      </c>
      <c r="J3110" s="214">
        <f t="shared" si="146"/>
        <v>-110000</v>
      </c>
      <c r="K3110" s="212" t="s">
        <v>6266</v>
      </c>
      <c r="L3110" s="213"/>
      <c r="M3110" s="212" t="s">
        <v>6185</v>
      </c>
    </row>
    <row r="3111" spans="1:13" ht="21" customHeight="1">
      <c r="A3111" s="213" t="s">
        <v>6440</v>
      </c>
      <c r="B3111" s="215">
        <f t="shared" si="144"/>
        <v>45889</v>
      </c>
      <c r="C3111" s="213" t="s">
        <v>6248</v>
      </c>
      <c r="D3111" s="213" t="s">
        <v>4366</v>
      </c>
      <c r="E3111" s="213" t="s">
        <v>6176</v>
      </c>
      <c r="F3111" s="212" t="s">
        <v>6177</v>
      </c>
      <c r="G3111" s="212" t="str">
        <f t="shared" si="145"/>
        <v>255부가세예수금</v>
      </c>
      <c r="H3111" s="214">
        <v>0</v>
      </c>
      <c r="I3111" s="214">
        <v>20000</v>
      </c>
      <c r="J3111" s="214">
        <f t="shared" si="146"/>
        <v>20000</v>
      </c>
      <c r="K3111" s="212" t="s">
        <v>6414</v>
      </c>
      <c r="L3111" s="213"/>
      <c r="M3111" s="212" t="s">
        <v>6330</v>
      </c>
    </row>
    <row r="3112" spans="1:13" ht="21" customHeight="1">
      <c r="A3112" s="213" t="s">
        <v>6440</v>
      </c>
      <c r="B3112" s="215">
        <f t="shared" si="144"/>
        <v>45889</v>
      </c>
      <c r="C3112" s="213" t="s">
        <v>6248</v>
      </c>
      <c r="D3112" s="213" t="s">
        <v>4366</v>
      </c>
      <c r="E3112" s="213" t="s">
        <v>334</v>
      </c>
      <c r="F3112" s="212" t="s">
        <v>6158</v>
      </c>
      <c r="G3112" s="212" t="str">
        <f t="shared" si="145"/>
        <v>401용역매출</v>
      </c>
      <c r="H3112" s="214">
        <v>0</v>
      </c>
      <c r="I3112" s="214">
        <v>200000</v>
      </c>
      <c r="J3112" s="214">
        <f t="shared" si="146"/>
        <v>200000</v>
      </c>
      <c r="K3112" s="212" t="s">
        <v>6414</v>
      </c>
      <c r="L3112" s="213"/>
      <c r="M3112" s="212" t="s">
        <v>6330</v>
      </c>
    </row>
    <row r="3113" spans="1:13" ht="21" customHeight="1">
      <c r="A3113" s="213" t="s">
        <v>6440</v>
      </c>
      <c r="B3113" s="215">
        <f t="shared" si="144"/>
        <v>45889</v>
      </c>
      <c r="C3113" s="213" t="s">
        <v>6248</v>
      </c>
      <c r="D3113" s="213" t="s">
        <v>4369</v>
      </c>
      <c r="E3113" s="213" t="s">
        <v>333</v>
      </c>
      <c r="F3113" s="212" t="s">
        <v>4365</v>
      </c>
      <c r="G3113" s="212" t="str">
        <f t="shared" si="145"/>
        <v>101현금</v>
      </c>
      <c r="H3113" s="214">
        <v>220000</v>
      </c>
      <c r="I3113" s="214">
        <v>0</v>
      </c>
      <c r="J3113" s="214">
        <f t="shared" si="146"/>
        <v>-220000</v>
      </c>
      <c r="K3113" s="212" t="s">
        <v>6414</v>
      </c>
      <c r="L3113" s="213"/>
      <c r="M3113" s="212" t="s">
        <v>6330</v>
      </c>
    </row>
    <row r="3114" spans="1:13" ht="21" customHeight="1">
      <c r="A3114" s="213" t="s">
        <v>6440</v>
      </c>
      <c r="B3114" s="215">
        <f t="shared" si="144"/>
        <v>45889</v>
      </c>
      <c r="C3114" s="213" t="s">
        <v>6249</v>
      </c>
      <c r="D3114" s="213" t="s">
        <v>4366</v>
      </c>
      <c r="E3114" s="213" t="s">
        <v>6176</v>
      </c>
      <c r="F3114" s="212" t="s">
        <v>6177</v>
      </c>
      <c r="G3114" s="212" t="str">
        <f t="shared" si="145"/>
        <v>255부가세예수금</v>
      </c>
      <c r="H3114" s="214">
        <v>0</v>
      </c>
      <c r="I3114" s="214">
        <v>-20000</v>
      </c>
      <c r="J3114" s="214">
        <f t="shared" si="146"/>
        <v>-20000</v>
      </c>
      <c r="K3114" s="212" t="s">
        <v>6414</v>
      </c>
      <c r="L3114" s="213"/>
      <c r="M3114" s="212" t="s">
        <v>6465</v>
      </c>
    </row>
    <row r="3115" spans="1:13" ht="21" customHeight="1">
      <c r="A3115" s="213" t="s">
        <v>6440</v>
      </c>
      <c r="B3115" s="215">
        <f t="shared" si="144"/>
        <v>45889</v>
      </c>
      <c r="C3115" s="213" t="s">
        <v>6249</v>
      </c>
      <c r="D3115" s="213" t="s">
        <v>4366</v>
      </c>
      <c r="E3115" s="213" t="s">
        <v>334</v>
      </c>
      <c r="F3115" s="212" t="s">
        <v>6158</v>
      </c>
      <c r="G3115" s="212" t="str">
        <f t="shared" si="145"/>
        <v>401용역매출</v>
      </c>
      <c r="H3115" s="214">
        <v>0</v>
      </c>
      <c r="I3115" s="214">
        <v>-200000</v>
      </c>
      <c r="J3115" s="214">
        <f t="shared" si="146"/>
        <v>-200000</v>
      </c>
      <c r="K3115" s="212" t="s">
        <v>6414</v>
      </c>
      <c r="L3115" s="213"/>
      <c r="M3115" s="212" t="s">
        <v>6465</v>
      </c>
    </row>
    <row r="3116" spans="1:13" ht="21" customHeight="1">
      <c r="A3116" s="213" t="s">
        <v>6440</v>
      </c>
      <c r="B3116" s="215">
        <f t="shared" si="144"/>
        <v>45889</v>
      </c>
      <c r="C3116" s="213" t="s">
        <v>6249</v>
      </c>
      <c r="D3116" s="213" t="s">
        <v>4369</v>
      </c>
      <c r="E3116" s="213" t="s">
        <v>333</v>
      </c>
      <c r="F3116" s="212" t="s">
        <v>4365</v>
      </c>
      <c r="G3116" s="212" t="str">
        <f t="shared" si="145"/>
        <v>101현금</v>
      </c>
      <c r="H3116" s="214">
        <v>-220000</v>
      </c>
      <c r="I3116" s="214">
        <v>0</v>
      </c>
      <c r="J3116" s="214">
        <f t="shared" si="146"/>
        <v>220000</v>
      </c>
      <c r="K3116" s="212" t="s">
        <v>6414</v>
      </c>
      <c r="L3116" s="213"/>
      <c r="M3116" s="212" t="s">
        <v>6465</v>
      </c>
    </row>
    <row r="3117" spans="1:13" ht="21" customHeight="1">
      <c r="A3117" s="213" t="s">
        <v>6440</v>
      </c>
      <c r="B3117" s="215">
        <f t="shared" si="144"/>
        <v>45889</v>
      </c>
      <c r="C3117" s="213" t="s">
        <v>6250</v>
      </c>
      <c r="D3117" s="213" t="s">
        <v>4366</v>
      </c>
      <c r="E3117" s="213" t="s">
        <v>6176</v>
      </c>
      <c r="F3117" s="212" t="s">
        <v>6177</v>
      </c>
      <c r="G3117" s="212" t="str">
        <f t="shared" si="145"/>
        <v>255부가세예수금</v>
      </c>
      <c r="H3117" s="214">
        <v>0</v>
      </c>
      <c r="I3117" s="214">
        <v>20000</v>
      </c>
      <c r="J3117" s="214">
        <f t="shared" si="146"/>
        <v>20000</v>
      </c>
      <c r="K3117" s="212" t="s">
        <v>6414</v>
      </c>
      <c r="L3117" s="213"/>
      <c r="M3117" s="212" t="s">
        <v>6330</v>
      </c>
    </row>
    <row r="3118" spans="1:13" ht="21" customHeight="1">
      <c r="A3118" s="213" t="s">
        <v>6440</v>
      </c>
      <c r="B3118" s="215">
        <f t="shared" si="144"/>
        <v>45889</v>
      </c>
      <c r="C3118" s="213" t="s">
        <v>6250</v>
      </c>
      <c r="D3118" s="213" t="s">
        <v>4366</v>
      </c>
      <c r="E3118" s="213" t="s">
        <v>334</v>
      </c>
      <c r="F3118" s="212" t="s">
        <v>6158</v>
      </c>
      <c r="G3118" s="212" t="str">
        <f t="shared" si="145"/>
        <v>401용역매출</v>
      </c>
      <c r="H3118" s="214">
        <v>0</v>
      </c>
      <c r="I3118" s="214">
        <v>200000</v>
      </c>
      <c r="J3118" s="214">
        <f t="shared" si="146"/>
        <v>200000</v>
      </c>
      <c r="K3118" s="212" t="s">
        <v>6414</v>
      </c>
      <c r="L3118" s="213"/>
      <c r="M3118" s="212" t="s">
        <v>6330</v>
      </c>
    </row>
    <row r="3119" spans="1:13" ht="21" customHeight="1">
      <c r="A3119" s="213" t="s">
        <v>6440</v>
      </c>
      <c r="B3119" s="215">
        <f t="shared" si="144"/>
        <v>45889</v>
      </c>
      <c r="C3119" s="213" t="s">
        <v>6250</v>
      </c>
      <c r="D3119" s="213" t="s">
        <v>4369</v>
      </c>
      <c r="E3119" s="213" t="s">
        <v>333</v>
      </c>
      <c r="F3119" s="212" t="s">
        <v>4365</v>
      </c>
      <c r="G3119" s="212" t="str">
        <f t="shared" si="145"/>
        <v>101현금</v>
      </c>
      <c r="H3119" s="214">
        <v>220000</v>
      </c>
      <c r="I3119" s="214">
        <v>0</v>
      </c>
      <c r="J3119" s="214">
        <f t="shared" si="146"/>
        <v>-220000</v>
      </c>
      <c r="K3119" s="212" t="s">
        <v>6414</v>
      </c>
      <c r="L3119" s="213"/>
      <c r="M3119" s="212" t="s">
        <v>6330</v>
      </c>
    </row>
    <row r="3120" spans="1:13" ht="21" customHeight="1">
      <c r="A3120" s="213" t="s">
        <v>6440</v>
      </c>
      <c r="B3120" s="215">
        <f t="shared" si="144"/>
        <v>45889</v>
      </c>
      <c r="C3120" s="213" t="s">
        <v>6251</v>
      </c>
      <c r="D3120" s="213" t="s">
        <v>4366</v>
      </c>
      <c r="E3120" s="213" t="s">
        <v>6176</v>
      </c>
      <c r="F3120" s="212" t="s">
        <v>6177</v>
      </c>
      <c r="G3120" s="212" t="str">
        <f t="shared" si="145"/>
        <v>255부가세예수금</v>
      </c>
      <c r="H3120" s="214">
        <v>0</v>
      </c>
      <c r="I3120" s="214">
        <v>10000</v>
      </c>
      <c r="J3120" s="214">
        <f t="shared" si="146"/>
        <v>10000</v>
      </c>
      <c r="K3120" s="212" t="s">
        <v>6268</v>
      </c>
      <c r="L3120" s="213"/>
      <c r="M3120" s="212" t="s">
        <v>6185</v>
      </c>
    </row>
    <row r="3121" spans="1:13" ht="21" customHeight="1">
      <c r="A3121" s="213" t="s">
        <v>6440</v>
      </c>
      <c r="B3121" s="215">
        <f t="shared" si="144"/>
        <v>45889</v>
      </c>
      <c r="C3121" s="213" t="s">
        <v>6251</v>
      </c>
      <c r="D3121" s="213" t="s">
        <v>4366</v>
      </c>
      <c r="E3121" s="213" t="s">
        <v>334</v>
      </c>
      <c r="F3121" s="212" t="s">
        <v>6158</v>
      </c>
      <c r="G3121" s="212" t="str">
        <f t="shared" si="145"/>
        <v>401용역매출</v>
      </c>
      <c r="H3121" s="214">
        <v>0</v>
      </c>
      <c r="I3121" s="214">
        <v>100000</v>
      </c>
      <c r="J3121" s="214">
        <f t="shared" si="146"/>
        <v>100000</v>
      </c>
      <c r="K3121" s="212" t="s">
        <v>6268</v>
      </c>
      <c r="L3121" s="213"/>
      <c r="M3121" s="212" t="s">
        <v>6185</v>
      </c>
    </row>
    <row r="3122" spans="1:13" ht="21" customHeight="1">
      <c r="A3122" s="213" t="s">
        <v>6440</v>
      </c>
      <c r="B3122" s="215">
        <f t="shared" si="144"/>
        <v>45889</v>
      </c>
      <c r="C3122" s="213" t="s">
        <v>6251</v>
      </c>
      <c r="D3122" s="213" t="s">
        <v>4369</v>
      </c>
      <c r="E3122" s="213" t="s">
        <v>333</v>
      </c>
      <c r="F3122" s="212" t="s">
        <v>4365</v>
      </c>
      <c r="G3122" s="212" t="str">
        <f t="shared" si="145"/>
        <v>101현금</v>
      </c>
      <c r="H3122" s="214">
        <v>110000</v>
      </c>
      <c r="I3122" s="214">
        <v>0</v>
      </c>
      <c r="J3122" s="214">
        <f t="shared" si="146"/>
        <v>-110000</v>
      </c>
      <c r="K3122" s="212" t="s">
        <v>6268</v>
      </c>
      <c r="L3122" s="213"/>
      <c r="M3122" s="212" t="s">
        <v>6185</v>
      </c>
    </row>
    <row r="3123" spans="1:13" ht="21" customHeight="1">
      <c r="A3123" s="213" t="s">
        <v>6440</v>
      </c>
      <c r="B3123" s="215">
        <f t="shared" si="144"/>
        <v>45889</v>
      </c>
      <c r="C3123" s="213" t="s">
        <v>6253</v>
      </c>
      <c r="D3123" s="213" t="s">
        <v>4366</v>
      </c>
      <c r="E3123" s="213" t="s">
        <v>6176</v>
      </c>
      <c r="F3123" s="212" t="s">
        <v>6177</v>
      </c>
      <c r="G3123" s="212" t="str">
        <f t="shared" si="145"/>
        <v>255부가세예수금</v>
      </c>
      <c r="H3123" s="214">
        <v>0</v>
      </c>
      <c r="I3123" s="214">
        <v>10000</v>
      </c>
      <c r="J3123" s="214">
        <f t="shared" si="146"/>
        <v>10000</v>
      </c>
      <c r="K3123" s="212" t="s">
        <v>6269</v>
      </c>
      <c r="L3123" s="213"/>
      <c r="M3123" s="212" t="s">
        <v>6185</v>
      </c>
    </row>
    <row r="3124" spans="1:13" ht="21" customHeight="1">
      <c r="A3124" s="213" t="s">
        <v>6440</v>
      </c>
      <c r="B3124" s="215">
        <f t="shared" si="144"/>
        <v>45889</v>
      </c>
      <c r="C3124" s="213" t="s">
        <v>6253</v>
      </c>
      <c r="D3124" s="213" t="s">
        <v>4366</v>
      </c>
      <c r="E3124" s="213" t="s">
        <v>334</v>
      </c>
      <c r="F3124" s="212" t="s">
        <v>6158</v>
      </c>
      <c r="G3124" s="212" t="str">
        <f t="shared" si="145"/>
        <v>401용역매출</v>
      </c>
      <c r="H3124" s="214">
        <v>0</v>
      </c>
      <c r="I3124" s="214">
        <v>100000</v>
      </c>
      <c r="J3124" s="214">
        <f t="shared" si="146"/>
        <v>100000</v>
      </c>
      <c r="K3124" s="212" t="s">
        <v>6269</v>
      </c>
      <c r="L3124" s="213"/>
      <c r="M3124" s="212" t="s">
        <v>6185</v>
      </c>
    </row>
    <row r="3125" spans="1:13" ht="21" customHeight="1">
      <c r="A3125" s="213" t="s">
        <v>6440</v>
      </c>
      <c r="B3125" s="215">
        <f t="shared" si="144"/>
        <v>45889</v>
      </c>
      <c r="C3125" s="213" t="s">
        <v>6253</v>
      </c>
      <c r="D3125" s="213" t="s">
        <v>4369</v>
      </c>
      <c r="E3125" s="213" t="s">
        <v>333</v>
      </c>
      <c r="F3125" s="212" t="s">
        <v>4365</v>
      </c>
      <c r="G3125" s="212" t="str">
        <f t="shared" si="145"/>
        <v>101현금</v>
      </c>
      <c r="H3125" s="214">
        <v>110000</v>
      </c>
      <c r="I3125" s="214">
        <v>0</v>
      </c>
      <c r="J3125" s="214">
        <f t="shared" si="146"/>
        <v>-110000</v>
      </c>
      <c r="K3125" s="212" t="s">
        <v>6269</v>
      </c>
      <c r="L3125" s="213"/>
      <c r="M3125" s="212" t="s">
        <v>6185</v>
      </c>
    </row>
    <row r="3126" spans="1:13" ht="21" customHeight="1">
      <c r="A3126" s="213" t="s">
        <v>6440</v>
      </c>
      <c r="B3126" s="215">
        <f t="shared" si="144"/>
        <v>45889</v>
      </c>
      <c r="C3126" s="213" t="s">
        <v>6254</v>
      </c>
      <c r="D3126" s="213" t="s">
        <v>4366</v>
      </c>
      <c r="E3126" s="213" t="s">
        <v>6176</v>
      </c>
      <c r="F3126" s="212" t="s">
        <v>6177</v>
      </c>
      <c r="G3126" s="212" t="str">
        <f t="shared" si="145"/>
        <v>255부가세예수금</v>
      </c>
      <c r="H3126" s="214">
        <v>0</v>
      </c>
      <c r="I3126" s="214">
        <v>15000</v>
      </c>
      <c r="J3126" s="214">
        <f t="shared" si="146"/>
        <v>15000</v>
      </c>
      <c r="K3126" s="212" t="s">
        <v>6310</v>
      </c>
      <c r="L3126" s="213"/>
      <c r="M3126" s="212" t="s">
        <v>6179</v>
      </c>
    </row>
    <row r="3127" spans="1:13" ht="21" customHeight="1">
      <c r="A3127" s="213" t="s">
        <v>6440</v>
      </c>
      <c r="B3127" s="215">
        <f t="shared" si="144"/>
        <v>45889</v>
      </c>
      <c r="C3127" s="213" t="s">
        <v>6254</v>
      </c>
      <c r="D3127" s="213" t="s">
        <v>4366</v>
      </c>
      <c r="E3127" s="213" t="s">
        <v>334</v>
      </c>
      <c r="F3127" s="212" t="s">
        <v>6158</v>
      </c>
      <c r="G3127" s="212" t="str">
        <f t="shared" si="145"/>
        <v>401용역매출</v>
      </c>
      <c r="H3127" s="214">
        <v>0</v>
      </c>
      <c r="I3127" s="214">
        <v>150000</v>
      </c>
      <c r="J3127" s="214">
        <f t="shared" si="146"/>
        <v>150000</v>
      </c>
      <c r="K3127" s="212" t="s">
        <v>6310</v>
      </c>
      <c r="L3127" s="213"/>
      <c r="M3127" s="212" t="s">
        <v>6179</v>
      </c>
    </row>
    <row r="3128" spans="1:13" ht="21" customHeight="1">
      <c r="A3128" s="213" t="s">
        <v>6440</v>
      </c>
      <c r="B3128" s="215">
        <f t="shared" si="144"/>
        <v>45889</v>
      </c>
      <c r="C3128" s="213" t="s">
        <v>6254</v>
      </c>
      <c r="D3128" s="213" t="s">
        <v>4369</v>
      </c>
      <c r="E3128" s="213" t="s">
        <v>333</v>
      </c>
      <c r="F3128" s="212" t="s">
        <v>4365</v>
      </c>
      <c r="G3128" s="212" t="str">
        <f t="shared" si="145"/>
        <v>101현금</v>
      </c>
      <c r="H3128" s="214">
        <v>165000</v>
      </c>
      <c r="I3128" s="214">
        <v>0</v>
      </c>
      <c r="J3128" s="214">
        <f t="shared" si="146"/>
        <v>-165000</v>
      </c>
      <c r="K3128" s="212" t="s">
        <v>6310</v>
      </c>
      <c r="L3128" s="213"/>
      <c r="M3128" s="212" t="s">
        <v>6179</v>
      </c>
    </row>
    <row r="3129" spans="1:13" ht="21" customHeight="1">
      <c r="A3129" s="213" t="s">
        <v>6440</v>
      </c>
      <c r="B3129" s="215">
        <f t="shared" si="144"/>
        <v>45889</v>
      </c>
      <c r="C3129" s="213" t="s">
        <v>6256</v>
      </c>
      <c r="D3129" s="213" t="s">
        <v>4366</v>
      </c>
      <c r="E3129" s="213" t="s">
        <v>6176</v>
      </c>
      <c r="F3129" s="212" t="s">
        <v>6177</v>
      </c>
      <c r="G3129" s="212" t="str">
        <f t="shared" si="145"/>
        <v>255부가세예수금</v>
      </c>
      <c r="H3129" s="214">
        <v>0</v>
      </c>
      <c r="I3129" s="214">
        <v>15000</v>
      </c>
      <c r="J3129" s="214">
        <f t="shared" si="146"/>
        <v>15000</v>
      </c>
      <c r="K3129" s="212" t="s">
        <v>6232</v>
      </c>
      <c r="L3129" s="213"/>
      <c r="M3129" s="212" t="s">
        <v>6179</v>
      </c>
    </row>
    <row r="3130" spans="1:13" ht="21" customHeight="1">
      <c r="A3130" s="213" t="s">
        <v>6440</v>
      </c>
      <c r="B3130" s="215">
        <f t="shared" si="144"/>
        <v>45889</v>
      </c>
      <c r="C3130" s="213" t="s">
        <v>6256</v>
      </c>
      <c r="D3130" s="213" t="s">
        <v>4366</v>
      </c>
      <c r="E3130" s="213" t="s">
        <v>334</v>
      </c>
      <c r="F3130" s="212" t="s">
        <v>6158</v>
      </c>
      <c r="G3130" s="212" t="str">
        <f t="shared" si="145"/>
        <v>401용역매출</v>
      </c>
      <c r="H3130" s="214">
        <v>0</v>
      </c>
      <c r="I3130" s="214">
        <v>150000</v>
      </c>
      <c r="J3130" s="214">
        <f t="shared" si="146"/>
        <v>150000</v>
      </c>
      <c r="K3130" s="212" t="s">
        <v>6232</v>
      </c>
      <c r="L3130" s="213"/>
      <c r="M3130" s="212" t="s">
        <v>6179</v>
      </c>
    </row>
    <row r="3131" spans="1:13" ht="21" customHeight="1">
      <c r="A3131" s="213" t="s">
        <v>6440</v>
      </c>
      <c r="B3131" s="215">
        <f t="shared" si="144"/>
        <v>45889</v>
      </c>
      <c r="C3131" s="213" t="s">
        <v>6256</v>
      </c>
      <c r="D3131" s="213" t="s">
        <v>4369</v>
      </c>
      <c r="E3131" s="213" t="s">
        <v>333</v>
      </c>
      <c r="F3131" s="212" t="s">
        <v>4365</v>
      </c>
      <c r="G3131" s="212" t="str">
        <f t="shared" si="145"/>
        <v>101현금</v>
      </c>
      <c r="H3131" s="214">
        <v>165000</v>
      </c>
      <c r="I3131" s="214">
        <v>0</v>
      </c>
      <c r="J3131" s="214">
        <f t="shared" si="146"/>
        <v>-165000</v>
      </c>
      <c r="K3131" s="212" t="s">
        <v>6232</v>
      </c>
      <c r="L3131" s="213"/>
      <c r="M3131" s="212" t="s">
        <v>6179</v>
      </c>
    </row>
    <row r="3132" spans="1:13" ht="21" customHeight="1">
      <c r="A3132" s="213" t="s">
        <v>6440</v>
      </c>
      <c r="B3132" s="215">
        <f t="shared" si="144"/>
        <v>45889</v>
      </c>
      <c r="C3132" s="213" t="s">
        <v>6258</v>
      </c>
      <c r="D3132" s="213" t="s">
        <v>4366</v>
      </c>
      <c r="E3132" s="213" t="s">
        <v>6176</v>
      </c>
      <c r="F3132" s="212" t="s">
        <v>6177</v>
      </c>
      <c r="G3132" s="212" t="str">
        <f t="shared" si="145"/>
        <v>255부가세예수금</v>
      </c>
      <c r="H3132" s="214">
        <v>0</v>
      </c>
      <c r="I3132" s="214">
        <v>12000</v>
      </c>
      <c r="J3132" s="214">
        <f t="shared" si="146"/>
        <v>12000</v>
      </c>
      <c r="K3132" s="212" t="s">
        <v>6270</v>
      </c>
      <c r="L3132" s="213"/>
      <c r="M3132" s="212" t="s">
        <v>6332</v>
      </c>
    </row>
    <row r="3133" spans="1:13" ht="21" customHeight="1">
      <c r="A3133" s="213" t="s">
        <v>6440</v>
      </c>
      <c r="B3133" s="215">
        <f t="shared" si="144"/>
        <v>45889</v>
      </c>
      <c r="C3133" s="213" t="s">
        <v>6258</v>
      </c>
      <c r="D3133" s="213" t="s">
        <v>4366</v>
      </c>
      <c r="E3133" s="213" t="s">
        <v>334</v>
      </c>
      <c r="F3133" s="212" t="s">
        <v>6158</v>
      </c>
      <c r="G3133" s="212" t="str">
        <f t="shared" si="145"/>
        <v>401용역매출</v>
      </c>
      <c r="H3133" s="214">
        <v>0</v>
      </c>
      <c r="I3133" s="214">
        <v>120000</v>
      </c>
      <c r="J3133" s="214">
        <f t="shared" si="146"/>
        <v>120000</v>
      </c>
      <c r="K3133" s="212" t="s">
        <v>6270</v>
      </c>
      <c r="L3133" s="213"/>
      <c r="M3133" s="212" t="s">
        <v>6332</v>
      </c>
    </row>
    <row r="3134" spans="1:13" ht="21" customHeight="1">
      <c r="A3134" s="213" t="s">
        <v>6440</v>
      </c>
      <c r="B3134" s="215">
        <f t="shared" si="144"/>
        <v>45889</v>
      </c>
      <c r="C3134" s="213" t="s">
        <v>6258</v>
      </c>
      <c r="D3134" s="213" t="s">
        <v>4369</v>
      </c>
      <c r="E3134" s="213" t="s">
        <v>333</v>
      </c>
      <c r="F3134" s="212" t="s">
        <v>4365</v>
      </c>
      <c r="G3134" s="212" t="str">
        <f t="shared" si="145"/>
        <v>101현금</v>
      </c>
      <c r="H3134" s="214">
        <v>132000</v>
      </c>
      <c r="I3134" s="214">
        <v>0</v>
      </c>
      <c r="J3134" s="214">
        <f t="shared" si="146"/>
        <v>-132000</v>
      </c>
      <c r="K3134" s="212" t="s">
        <v>6270</v>
      </c>
      <c r="L3134" s="213"/>
      <c r="M3134" s="212" t="s">
        <v>6332</v>
      </c>
    </row>
    <row r="3135" spans="1:13" ht="21" customHeight="1">
      <c r="A3135" s="213" t="s">
        <v>6440</v>
      </c>
      <c r="B3135" s="215">
        <f t="shared" si="144"/>
        <v>45889</v>
      </c>
      <c r="C3135" s="213" t="s">
        <v>6464</v>
      </c>
      <c r="D3135" s="213" t="s">
        <v>4366</v>
      </c>
      <c r="E3135" s="213" t="s">
        <v>6176</v>
      </c>
      <c r="F3135" s="212" t="s">
        <v>6177</v>
      </c>
      <c r="G3135" s="212" t="str">
        <f t="shared" si="145"/>
        <v>255부가세예수금</v>
      </c>
      <c r="H3135" s="214">
        <v>0</v>
      </c>
      <c r="I3135" s="214">
        <v>13000</v>
      </c>
      <c r="J3135" s="214">
        <f t="shared" si="146"/>
        <v>13000</v>
      </c>
      <c r="K3135" s="212" t="s">
        <v>6429</v>
      </c>
      <c r="L3135" s="213"/>
      <c r="M3135" s="212" t="s">
        <v>6462</v>
      </c>
    </row>
    <row r="3136" spans="1:13" ht="21" customHeight="1">
      <c r="A3136" s="213" t="s">
        <v>6440</v>
      </c>
      <c r="B3136" s="215">
        <f t="shared" si="144"/>
        <v>45889</v>
      </c>
      <c r="C3136" s="213" t="s">
        <v>6464</v>
      </c>
      <c r="D3136" s="213" t="s">
        <v>4366</v>
      </c>
      <c r="E3136" s="213" t="s">
        <v>334</v>
      </c>
      <c r="F3136" s="212" t="s">
        <v>6158</v>
      </c>
      <c r="G3136" s="212" t="str">
        <f t="shared" si="145"/>
        <v>401용역매출</v>
      </c>
      <c r="H3136" s="214">
        <v>0</v>
      </c>
      <c r="I3136" s="214">
        <v>130000</v>
      </c>
      <c r="J3136" s="214">
        <f t="shared" si="146"/>
        <v>130000</v>
      </c>
      <c r="K3136" s="212" t="s">
        <v>6429</v>
      </c>
      <c r="L3136" s="213"/>
      <c r="M3136" s="212" t="s">
        <v>6462</v>
      </c>
    </row>
    <row r="3137" spans="1:13" ht="21" customHeight="1">
      <c r="A3137" s="213" t="s">
        <v>6440</v>
      </c>
      <c r="B3137" s="215">
        <f t="shared" si="144"/>
        <v>45889</v>
      </c>
      <c r="C3137" s="213" t="s">
        <v>6464</v>
      </c>
      <c r="D3137" s="213" t="s">
        <v>4369</v>
      </c>
      <c r="E3137" s="213" t="s">
        <v>333</v>
      </c>
      <c r="F3137" s="212" t="s">
        <v>4365</v>
      </c>
      <c r="G3137" s="212" t="str">
        <f t="shared" si="145"/>
        <v>101현금</v>
      </c>
      <c r="H3137" s="214">
        <v>143000</v>
      </c>
      <c r="I3137" s="214">
        <v>0</v>
      </c>
      <c r="J3137" s="214">
        <f t="shared" si="146"/>
        <v>-143000</v>
      </c>
      <c r="K3137" s="212" t="s">
        <v>6429</v>
      </c>
      <c r="L3137" s="213"/>
      <c r="M3137" s="212" t="s">
        <v>6462</v>
      </c>
    </row>
    <row r="3138" spans="1:13" ht="21" customHeight="1">
      <c r="A3138" s="213" t="s">
        <v>6440</v>
      </c>
      <c r="B3138" s="215">
        <f t="shared" ref="B3138:B3201" si="147">DATEVALUE(A3138)</f>
        <v>45889</v>
      </c>
      <c r="C3138" s="213" t="s">
        <v>6463</v>
      </c>
      <c r="D3138" s="213" t="s">
        <v>4366</v>
      </c>
      <c r="E3138" s="213" t="s">
        <v>6176</v>
      </c>
      <c r="F3138" s="212" t="s">
        <v>6177</v>
      </c>
      <c r="G3138" s="212" t="str">
        <f t="shared" ref="G3138:G3201" si="148">E3138&amp;F3138</f>
        <v>255부가세예수금</v>
      </c>
      <c r="H3138" s="214">
        <v>0</v>
      </c>
      <c r="I3138" s="214">
        <v>13000</v>
      </c>
      <c r="J3138" s="214">
        <f t="shared" ref="J3138:J3201" si="149">I3138-H3138</f>
        <v>13000</v>
      </c>
      <c r="K3138" s="212" t="s">
        <v>6428</v>
      </c>
      <c r="L3138" s="213"/>
      <c r="M3138" s="212" t="s">
        <v>6462</v>
      </c>
    </row>
    <row r="3139" spans="1:13" ht="21" customHeight="1">
      <c r="A3139" s="213" t="s">
        <v>6440</v>
      </c>
      <c r="B3139" s="215">
        <f t="shared" si="147"/>
        <v>45889</v>
      </c>
      <c r="C3139" s="213" t="s">
        <v>6463</v>
      </c>
      <c r="D3139" s="213" t="s">
        <v>4366</v>
      </c>
      <c r="E3139" s="213" t="s">
        <v>334</v>
      </c>
      <c r="F3139" s="212" t="s">
        <v>6158</v>
      </c>
      <c r="G3139" s="212" t="str">
        <f t="shared" si="148"/>
        <v>401용역매출</v>
      </c>
      <c r="H3139" s="214">
        <v>0</v>
      </c>
      <c r="I3139" s="214">
        <v>130000</v>
      </c>
      <c r="J3139" s="214">
        <f t="shared" si="149"/>
        <v>130000</v>
      </c>
      <c r="K3139" s="212" t="s">
        <v>6428</v>
      </c>
      <c r="L3139" s="213"/>
      <c r="M3139" s="212" t="s">
        <v>6462</v>
      </c>
    </row>
    <row r="3140" spans="1:13" ht="21" customHeight="1">
      <c r="A3140" s="213" t="s">
        <v>6440</v>
      </c>
      <c r="B3140" s="215">
        <f t="shared" si="147"/>
        <v>45889</v>
      </c>
      <c r="C3140" s="213" t="s">
        <v>6463</v>
      </c>
      <c r="D3140" s="213" t="s">
        <v>4369</v>
      </c>
      <c r="E3140" s="213" t="s">
        <v>333</v>
      </c>
      <c r="F3140" s="212" t="s">
        <v>4365</v>
      </c>
      <c r="G3140" s="212" t="str">
        <f t="shared" si="148"/>
        <v>101현금</v>
      </c>
      <c r="H3140" s="214">
        <v>143000</v>
      </c>
      <c r="I3140" s="214">
        <v>0</v>
      </c>
      <c r="J3140" s="214">
        <f t="shared" si="149"/>
        <v>-143000</v>
      </c>
      <c r="K3140" s="212" t="s">
        <v>6428</v>
      </c>
      <c r="L3140" s="213"/>
      <c r="M3140" s="212" t="s">
        <v>6462</v>
      </c>
    </row>
    <row r="3141" spans="1:13" ht="21" customHeight="1">
      <c r="A3141" s="213" t="s">
        <v>6440</v>
      </c>
      <c r="B3141" s="215">
        <f t="shared" si="147"/>
        <v>45889</v>
      </c>
      <c r="C3141" s="213" t="s">
        <v>6461</v>
      </c>
      <c r="D3141" s="213" t="s">
        <v>4366</v>
      </c>
      <c r="E3141" s="213" t="s">
        <v>6176</v>
      </c>
      <c r="F3141" s="212" t="s">
        <v>6177</v>
      </c>
      <c r="G3141" s="212" t="str">
        <f t="shared" si="148"/>
        <v>255부가세예수금</v>
      </c>
      <c r="H3141" s="214">
        <v>0</v>
      </c>
      <c r="I3141" s="214">
        <v>15000</v>
      </c>
      <c r="J3141" s="214">
        <f t="shared" si="149"/>
        <v>15000</v>
      </c>
      <c r="K3141" s="212" t="s">
        <v>6267</v>
      </c>
      <c r="L3141" s="213"/>
      <c r="M3141" s="212" t="s">
        <v>6329</v>
      </c>
    </row>
    <row r="3142" spans="1:13" ht="21" customHeight="1">
      <c r="A3142" s="213" t="s">
        <v>6440</v>
      </c>
      <c r="B3142" s="215">
        <f t="shared" si="147"/>
        <v>45889</v>
      </c>
      <c r="C3142" s="213" t="s">
        <v>6461</v>
      </c>
      <c r="D3142" s="213" t="s">
        <v>4366</v>
      </c>
      <c r="E3142" s="213" t="s">
        <v>334</v>
      </c>
      <c r="F3142" s="212" t="s">
        <v>6158</v>
      </c>
      <c r="G3142" s="212" t="str">
        <f t="shared" si="148"/>
        <v>401용역매출</v>
      </c>
      <c r="H3142" s="214">
        <v>0</v>
      </c>
      <c r="I3142" s="214">
        <v>150000</v>
      </c>
      <c r="J3142" s="214">
        <f t="shared" si="149"/>
        <v>150000</v>
      </c>
      <c r="K3142" s="212" t="s">
        <v>6267</v>
      </c>
      <c r="L3142" s="213"/>
      <c r="M3142" s="212" t="s">
        <v>6329</v>
      </c>
    </row>
    <row r="3143" spans="1:13" ht="21" customHeight="1">
      <c r="A3143" s="213" t="s">
        <v>6440</v>
      </c>
      <c r="B3143" s="215">
        <f t="shared" si="147"/>
        <v>45889</v>
      </c>
      <c r="C3143" s="213" t="s">
        <v>6461</v>
      </c>
      <c r="D3143" s="213" t="s">
        <v>4369</v>
      </c>
      <c r="E3143" s="213" t="s">
        <v>333</v>
      </c>
      <c r="F3143" s="212" t="s">
        <v>4365</v>
      </c>
      <c r="G3143" s="212" t="str">
        <f t="shared" si="148"/>
        <v>101현금</v>
      </c>
      <c r="H3143" s="214">
        <v>165000</v>
      </c>
      <c r="I3143" s="214">
        <v>0</v>
      </c>
      <c r="J3143" s="214">
        <f t="shared" si="149"/>
        <v>-165000</v>
      </c>
      <c r="K3143" s="212" t="s">
        <v>6267</v>
      </c>
      <c r="L3143" s="213"/>
      <c r="M3143" s="212" t="s">
        <v>6329</v>
      </c>
    </row>
    <row r="3144" spans="1:13" ht="21" customHeight="1">
      <c r="A3144" s="213" t="s">
        <v>6440</v>
      </c>
      <c r="B3144" s="215">
        <f t="shared" si="147"/>
        <v>45889</v>
      </c>
      <c r="C3144" s="213" t="s">
        <v>6460</v>
      </c>
      <c r="D3144" s="213" t="s">
        <v>4366</v>
      </c>
      <c r="E3144" s="213" t="s">
        <v>6176</v>
      </c>
      <c r="F3144" s="212" t="s">
        <v>6177</v>
      </c>
      <c r="G3144" s="212" t="str">
        <f t="shared" si="148"/>
        <v>255부가세예수금</v>
      </c>
      <c r="H3144" s="214">
        <v>0</v>
      </c>
      <c r="I3144" s="214">
        <v>15000</v>
      </c>
      <c r="J3144" s="214">
        <f t="shared" si="149"/>
        <v>15000</v>
      </c>
      <c r="K3144" s="212" t="s">
        <v>6237</v>
      </c>
      <c r="L3144" s="213"/>
      <c r="M3144" s="212" t="s">
        <v>6329</v>
      </c>
    </row>
    <row r="3145" spans="1:13" ht="21" customHeight="1">
      <c r="A3145" s="213" t="s">
        <v>6440</v>
      </c>
      <c r="B3145" s="215">
        <f t="shared" si="147"/>
        <v>45889</v>
      </c>
      <c r="C3145" s="213" t="s">
        <v>6460</v>
      </c>
      <c r="D3145" s="213" t="s">
        <v>4366</v>
      </c>
      <c r="E3145" s="213" t="s">
        <v>334</v>
      </c>
      <c r="F3145" s="212" t="s">
        <v>6158</v>
      </c>
      <c r="G3145" s="212" t="str">
        <f t="shared" si="148"/>
        <v>401용역매출</v>
      </c>
      <c r="H3145" s="214">
        <v>0</v>
      </c>
      <c r="I3145" s="214">
        <v>150000</v>
      </c>
      <c r="J3145" s="214">
        <f t="shared" si="149"/>
        <v>150000</v>
      </c>
      <c r="K3145" s="212" t="s">
        <v>6237</v>
      </c>
      <c r="L3145" s="213"/>
      <c r="M3145" s="212" t="s">
        <v>6329</v>
      </c>
    </row>
    <row r="3146" spans="1:13" ht="21" customHeight="1">
      <c r="A3146" s="213" t="s">
        <v>6440</v>
      </c>
      <c r="B3146" s="215">
        <f t="shared" si="147"/>
        <v>45889</v>
      </c>
      <c r="C3146" s="213" t="s">
        <v>6460</v>
      </c>
      <c r="D3146" s="213" t="s">
        <v>4369</v>
      </c>
      <c r="E3146" s="213" t="s">
        <v>333</v>
      </c>
      <c r="F3146" s="212" t="s">
        <v>4365</v>
      </c>
      <c r="G3146" s="212" t="str">
        <f t="shared" si="148"/>
        <v>101현금</v>
      </c>
      <c r="H3146" s="214">
        <v>165000</v>
      </c>
      <c r="I3146" s="214">
        <v>0</v>
      </c>
      <c r="J3146" s="214">
        <f t="shared" si="149"/>
        <v>-165000</v>
      </c>
      <c r="K3146" s="212" t="s">
        <v>6237</v>
      </c>
      <c r="L3146" s="213"/>
      <c r="M3146" s="212" t="s">
        <v>6329</v>
      </c>
    </row>
    <row r="3147" spans="1:13" ht="21" customHeight="1">
      <c r="A3147" s="213" t="s">
        <v>6440</v>
      </c>
      <c r="B3147" s="215">
        <f t="shared" si="147"/>
        <v>45889</v>
      </c>
      <c r="C3147" s="213" t="s">
        <v>6459</v>
      </c>
      <c r="D3147" s="213" t="s">
        <v>4366</v>
      </c>
      <c r="E3147" s="213" t="s">
        <v>6176</v>
      </c>
      <c r="F3147" s="212" t="s">
        <v>6177</v>
      </c>
      <c r="G3147" s="212" t="str">
        <f t="shared" si="148"/>
        <v>255부가세예수금</v>
      </c>
      <c r="H3147" s="214">
        <v>0</v>
      </c>
      <c r="I3147" s="214">
        <v>10000</v>
      </c>
      <c r="J3147" s="214">
        <f t="shared" si="149"/>
        <v>10000</v>
      </c>
      <c r="K3147" s="212" t="s">
        <v>6271</v>
      </c>
      <c r="L3147" s="213"/>
      <c r="M3147" s="212" t="s">
        <v>6328</v>
      </c>
    </row>
    <row r="3148" spans="1:13" ht="21" customHeight="1">
      <c r="A3148" s="213" t="s">
        <v>6440</v>
      </c>
      <c r="B3148" s="215">
        <f t="shared" si="147"/>
        <v>45889</v>
      </c>
      <c r="C3148" s="213" t="s">
        <v>6459</v>
      </c>
      <c r="D3148" s="213" t="s">
        <v>4366</v>
      </c>
      <c r="E3148" s="213" t="s">
        <v>334</v>
      </c>
      <c r="F3148" s="212" t="s">
        <v>6158</v>
      </c>
      <c r="G3148" s="212" t="str">
        <f t="shared" si="148"/>
        <v>401용역매출</v>
      </c>
      <c r="H3148" s="214">
        <v>0</v>
      </c>
      <c r="I3148" s="214">
        <v>100000</v>
      </c>
      <c r="J3148" s="214">
        <f t="shared" si="149"/>
        <v>100000</v>
      </c>
      <c r="K3148" s="212" t="s">
        <v>6271</v>
      </c>
      <c r="L3148" s="213"/>
      <c r="M3148" s="212" t="s">
        <v>6328</v>
      </c>
    </row>
    <row r="3149" spans="1:13" ht="21" customHeight="1">
      <c r="A3149" s="213" t="s">
        <v>6440</v>
      </c>
      <c r="B3149" s="215">
        <f t="shared" si="147"/>
        <v>45889</v>
      </c>
      <c r="C3149" s="213" t="s">
        <v>6459</v>
      </c>
      <c r="D3149" s="213" t="s">
        <v>4369</v>
      </c>
      <c r="E3149" s="213" t="s">
        <v>333</v>
      </c>
      <c r="F3149" s="212" t="s">
        <v>4365</v>
      </c>
      <c r="G3149" s="212" t="str">
        <f t="shared" si="148"/>
        <v>101현금</v>
      </c>
      <c r="H3149" s="214">
        <v>110000</v>
      </c>
      <c r="I3149" s="214">
        <v>0</v>
      </c>
      <c r="J3149" s="214">
        <f t="shared" si="149"/>
        <v>-110000</v>
      </c>
      <c r="K3149" s="212" t="s">
        <v>6271</v>
      </c>
      <c r="L3149" s="213"/>
      <c r="M3149" s="212" t="s">
        <v>6328</v>
      </c>
    </row>
    <row r="3150" spans="1:13" ht="21" customHeight="1">
      <c r="A3150" s="213" t="s">
        <v>6440</v>
      </c>
      <c r="B3150" s="215">
        <f t="shared" si="147"/>
        <v>45889</v>
      </c>
      <c r="C3150" s="213" t="s">
        <v>6458</v>
      </c>
      <c r="D3150" s="213" t="s">
        <v>4366</v>
      </c>
      <c r="E3150" s="213" t="s">
        <v>6176</v>
      </c>
      <c r="F3150" s="212" t="s">
        <v>6177</v>
      </c>
      <c r="G3150" s="212" t="str">
        <f t="shared" si="148"/>
        <v>255부가세예수금</v>
      </c>
      <c r="H3150" s="214">
        <v>0</v>
      </c>
      <c r="I3150" s="214">
        <v>20000</v>
      </c>
      <c r="J3150" s="214">
        <f t="shared" si="149"/>
        <v>20000</v>
      </c>
      <c r="K3150" s="212" t="s">
        <v>6236</v>
      </c>
      <c r="L3150" s="213"/>
      <c r="M3150" s="212" t="s">
        <v>6330</v>
      </c>
    </row>
    <row r="3151" spans="1:13" ht="21" customHeight="1">
      <c r="A3151" s="213" t="s">
        <v>6440</v>
      </c>
      <c r="B3151" s="215">
        <f t="shared" si="147"/>
        <v>45889</v>
      </c>
      <c r="C3151" s="213" t="s">
        <v>6458</v>
      </c>
      <c r="D3151" s="213" t="s">
        <v>4366</v>
      </c>
      <c r="E3151" s="213" t="s">
        <v>334</v>
      </c>
      <c r="F3151" s="212" t="s">
        <v>6158</v>
      </c>
      <c r="G3151" s="212" t="str">
        <f t="shared" si="148"/>
        <v>401용역매출</v>
      </c>
      <c r="H3151" s="214">
        <v>0</v>
      </c>
      <c r="I3151" s="214">
        <v>200000</v>
      </c>
      <c r="J3151" s="214">
        <f t="shared" si="149"/>
        <v>200000</v>
      </c>
      <c r="K3151" s="212" t="s">
        <v>6236</v>
      </c>
      <c r="L3151" s="213"/>
      <c r="M3151" s="212" t="s">
        <v>6330</v>
      </c>
    </row>
    <row r="3152" spans="1:13" ht="21" customHeight="1">
      <c r="A3152" s="213" t="s">
        <v>6440</v>
      </c>
      <c r="B3152" s="215">
        <f t="shared" si="147"/>
        <v>45889</v>
      </c>
      <c r="C3152" s="213" t="s">
        <v>6458</v>
      </c>
      <c r="D3152" s="213" t="s">
        <v>4369</v>
      </c>
      <c r="E3152" s="213" t="s">
        <v>333</v>
      </c>
      <c r="F3152" s="212" t="s">
        <v>4365</v>
      </c>
      <c r="G3152" s="212" t="str">
        <f t="shared" si="148"/>
        <v>101현금</v>
      </c>
      <c r="H3152" s="214">
        <v>220000</v>
      </c>
      <c r="I3152" s="214">
        <v>0</v>
      </c>
      <c r="J3152" s="214">
        <f t="shared" si="149"/>
        <v>-220000</v>
      </c>
      <c r="K3152" s="212" t="s">
        <v>6236</v>
      </c>
      <c r="L3152" s="213"/>
      <c r="M3152" s="212" t="s">
        <v>6330</v>
      </c>
    </row>
    <row r="3153" spans="1:13" ht="21" customHeight="1">
      <c r="A3153" s="213" t="s">
        <v>6440</v>
      </c>
      <c r="B3153" s="215">
        <f t="shared" si="147"/>
        <v>45889</v>
      </c>
      <c r="C3153" s="213" t="s">
        <v>6457</v>
      </c>
      <c r="D3153" s="213" t="s">
        <v>4366</v>
      </c>
      <c r="E3153" s="213" t="s">
        <v>6176</v>
      </c>
      <c r="F3153" s="212" t="s">
        <v>6177</v>
      </c>
      <c r="G3153" s="212" t="str">
        <f t="shared" si="148"/>
        <v>255부가세예수금</v>
      </c>
      <c r="H3153" s="214">
        <v>0</v>
      </c>
      <c r="I3153" s="214">
        <v>15000</v>
      </c>
      <c r="J3153" s="214">
        <f t="shared" si="149"/>
        <v>15000</v>
      </c>
      <c r="K3153" s="212" t="s">
        <v>6239</v>
      </c>
      <c r="L3153" s="213"/>
      <c r="M3153" s="212" t="s">
        <v>6329</v>
      </c>
    </row>
    <row r="3154" spans="1:13" ht="21" customHeight="1">
      <c r="A3154" s="213" t="s">
        <v>6440</v>
      </c>
      <c r="B3154" s="215">
        <f t="shared" si="147"/>
        <v>45889</v>
      </c>
      <c r="C3154" s="213" t="s">
        <v>6457</v>
      </c>
      <c r="D3154" s="213" t="s">
        <v>4366</v>
      </c>
      <c r="E3154" s="213" t="s">
        <v>334</v>
      </c>
      <c r="F3154" s="212" t="s">
        <v>6158</v>
      </c>
      <c r="G3154" s="212" t="str">
        <f t="shared" si="148"/>
        <v>401용역매출</v>
      </c>
      <c r="H3154" s="214">
        <v>0</v>
      </c>
      <c r="I3154" s="214">
        <v>150000</v>
      </c>
      <c r="J3154" s="214">
        <f t="shared" si="149"/>
        <v>150000</v>
      </c>
      <c r="K3154" s="212" t="s">
        <v>6239</v>
      </c>
      <c r="L3154" s="213"/>
      <c r="M3154" s="212" t="s">
        <v>6329</v>
      </c>
    </row>
    <row r="3155" spans="1:13" ht="21" customHeight="1">
      <c r="A3155" s="213" t="s">
        <v>6440</v>
      </c>
      <c r="B3155" s="215">
        <f t="shared" si="147"/>
        <v>45889</v>
      </c>
      <c r="C3155" s="213" t="s">
        <v>6457</v>
      </c>
      <c r="D3155" s="213" t="s">
        <v>4369</v>
      </c>
      <c r="E3155" s="213" t="s">
        <v>333</v>
      </c>
      <c r="F3155" s="212" t="s">
        <v>4365</v>
      </c>
      <c r="G3155" s="212" t="str">
        <f t="shared" si="148"/>
        <v>101현금</v>
      </c>
      <c r="H3155" s="214">
        <v>165000</v>
      </c>
      <c r="I3155" s="214">
        <v>0</v>
      </c>
      <c r="J3155" s="214">
        <f t="shared" si="149"/>
        <v>-165000</v>
      </c>
      <c r="K3155" s="212" t="s">
        <v>6239</v>
      </c>
      <c r="L3155" s="213"/>
      <c r="M3155" s="212" t="s">
        <v>6329</v>
      </c>
    </row>
    <row r="3156" spans="1:13" ht="21" customHeight="1">
      <c r="A3156" s="213" t="s">
        <v>6440</v>
      </c>
      <c r="B3156" s="215">
        <f t="shared" si="147"/>
        <v>45889</v>
      </c>
      <c r="C3156" s="213" t="s">
        <v>6456</v>
      </c>
      <c r="D3156" s="213" t="s">
        <v>4366</v>
      </c>
      <c r="E3156" s="213" t="s">
        <v>6176</v>
      </c>
      <c r="F3156" s="212" t="s">
        <v>6177</v>
      </c>
      <c r="G3156" s="212" t="str">
        <f t="shared" si="148"/>
        <v>255부가세예수금</v>
      </c>
      <c r="H3156" s="214">
        <v>0</v>
      </c>
      <c r="I3156" s="214">
        <v>12000</v>
      </c>
      <c r="J3156" s="214">
        <f t="shared" si="149"/>
        <v>12000</v>
      </c>
      <c r="K3156" s="212" t="s">
        <v>6281</v>
      </c>
      <c r="L3156" s="213"/>
      <c r="M3156" s="212" t="s">
        <v>6332</v>
      </c>
    </row>
    <row r="3157" spans="1:13" ht="21" customHeight="1">
      <c r="A3157" s="213" t="s">
        <v>6440</v>
      </c>
      <c r="B3157" s="215">
        <f t="shared" si="147"/>
        <v>45889</v>
      </c>
      <c r="C3157" s="213" t="s">
        <v>6456</v>
      </c>
      <c r="D3157" s="213" t="s">
        <v>4366</v>
      </c>
      <c r="E3157" s="213" t="s">
        <v>334</v>
      </c>
      <c r="F3157" s="212" t="s">
        <v>6158</v>
      </c>
      <c r="G3157" s="212" t="str">
        <f t="shared" si="148"/>
        <v>401용역매출</v>
      </c>
      <c r="H3157" s="214">
        <v>0</v>
      </c>
      <c r="I3157" s="214">
        <v>120000</v>
      </c>
      <c r="J3157" s="214">
        <f t="shared" si="149"/>
        <v>120000</v>
      </c>
      <c r="K3157" s="212" t="s">
        <v>6281</v>
      </c>
      <c r="L3157" s="213"/>
      <c r="M3157" s="212" t="s">
        <v>6332</v>
      </c>
    </row>
    <row r="3158" spans="1:13" ht="21" customHeight="1">
      <c r="A3158" s="213" t="s">
        <v>6440</v>
      </c>
      <c r="B3158" s="215">
        <f t="shared" si="147"/>
        <v>45889</v>
      </c>
      <c r="C3158" s="213" t="s">
        <v>6456</v>
      </c>
      <c r="D3158" s="213" t="s">
        <v>4369</v>
      </c>
      <c r="E3158" s="213" t="s">
        <v>333</v>
      </c>
      <c r="F3158" s="212" t="s">
        <v>4365</v>
      </c>
      <c r="G3158" s="212" t="str">
        <f t="shared" si="148"/>
        <v>101현금</v>
      </c>
      <c r="H3158" s="214">
        <v>132000</v>
      </c>
      <c r="I3158" s="214">
        <v>0</v>
      </c>
      <c r="J3158" s="214">
        <f t="shared" si="149"/>
        <v>-132000</v>
      </c>
      <c r="K3158" s="212" t="s">
        <v>6281</v>
      </c>
      <c r="L3158" s="213"/>
      <c r="M3158" s="212" t="s">
        <v>6332</v>
      </c>
    </row>
    <row r="3159" spans="1:13" ht="21" customHeight="1">
      <c r="A3159" s="213" t="s">
        <v>6440</v>
      </c>
      <c r="B3159" s="215">
        <f t="shared" si="147"/>
        <v>45889</v>
      </c>
      <c r="C3159" s="213" t="s">
        <v>6455</v>
      </c>
      <c r="D3159" s="213" t="s">
        <v>4366</v>
      </c>
      <c r="E3159" s="213" t="s">
        <v>6176</v>
      </c>
      <c r="F3159" s="212" t="s">
        <v>6177</v>
      </c>
      <c r="G3159" s="212" t="str">
        <f t="shared" si="148"/>
        <v>255부가세예수금</v>
      </c>
      <c r="H3159" s="214">
        <v>0</v>
      </c>
      <c r="I3159" s="214">
        <v>5000</v>
      </c>
      <c r="J3159" s="214">
        <f t="shared" si="149"/>
        <v>5000</v>
      </c>
      <c r="K3159" s="212" t="s">
        <v>6242</v>
      </c>
      <c r="L3159" s="213"/>
      <c r="M3159" s="212" t="s">
        <v>6282</v>
      </c>
    </row>
    <row r="3160" spans="1:13" ht="21" customHeight="1">
      <c r="A3160" s="213" t="s">
        <v>6440</v>
      </c>
      <c r="B3160" s="215">
        <f t="shared" si="147"/>
        <v>45889</v>
      </c>
      <c r="C3160" s="213" t="s">
        <v>6455</v>
      </c>
      <c r="D3160" s="213" t="s">
        <v>4366</v>
      </c>
      <c r="E3160" s="213" t="s">
        <v>334</v>
      </c>
      <c r="F3160" s="212" t="s">
        <v>6158</v>
      </c>
      <c r="G3160" s="212" t="str">
        <f t="shared" si="148"/>
        <v>401용역매출</v>
      </c>
      <c r="H3160" s="214">
        <v>0</v>
      </c>
      <c r="I3160" s="214">
        <v>50000</v>
      </c>
      <c r="J3160" s="214">
        <f t="shared" si="149"/>
        <v>50000</v>
      </c>
      <c r="K3160" s="212" t="s">
        <v>6242</v>
      </c>
      <c r="L3160" s="213"/>
      <c r="M3160" s="212" t="s">
        <v>6282</v>
      </c>
    </row>
    <row r="3161" spans="1:13" ht="21" customHeight="1">
      <c r="A3161" s="213" t="s">
        <v>6440</v>
      </c>
      <c r="B3161" s="215">
        <f t="shared" si="147"/>
        <v>45889</v>
      </c>
      <c r="C3161" s="213" t="s">
        <v>6455</v>
      </c>
      <c r="D3161" s="213" t="s">
        <v>4369</v>
      </c>
      <c r="E3161" s="213" t="s">
        <v>333</v>
      </c>
      <c r="F3161" s="212" t="s">
        <v>4365</v>
      </c>
      <c r="G3161" s="212" t="str">
        <f t="shared" si="148"/>
        <v>101현금</v>
      </c>
      <c r="H3161" s="214">
        <v>55000</v>
      </c>
      <c r="I3161" s="214">
        <v>0</v>
      </c>
      <c r="J3161" s="214">
        <f t="shared" si="149"/>
        <v>-55000</v>
      </c>
      <c r="K3161" s="212" t="s">
        <v>6242</v>
      </c>
      <c r="L3161" s="213"/>
      <c r="M3161" s="212" t="s">
        <v>6282</v>
      </c>
    </row>
    <row r="3162" spans="1:13" ht="21" customHeight="1">
      <c r="A3162" s="213" t="s">
        <v>6440</v>
      </c>
      <c r="B3162" s="215">
        <f t="shared" si="147"/>
        <v>45889</v>
      </c>
      <c r="C3162" s="213" t="s">
        <v>6454</v>
      </c>
      <c r="D3162" s="213" t="s">
        <v>4366</v>
      </c>
      <c r="E3162" s="213" t="s">
        <v>6176</v>
      </c>
      <c r="F3162" s="212" t="s">
        <v>6177</v>
      </c>
      <c r="G3162" s="212" t="str">
        <f t="shared" si="148"/>
        <v>255부가세예수금</v>
      </c>
      <c r="H3162" s="214">
        <v>0</v>
      </c>
      <c r="I3162" s="214">
        <v>9091</v>
      </c>
      <c r="J3162" s="214">
        <f t="shared" si="149"/>
        <v>9091</v>
      </c>
      <c r="K3162" s="212" t="s">
        <v>6295</v>
      </c>
      <c r="L3162" s="213"/>
      <c r="M3162" s="212" t="s">
        <v>6331</v>
      </c>
    </row>
    <row r="3163" spans="1:13" ht="21" customHeight="1">
      <c r="A3163" s="213" t="s">
        <v>6440</v>
      </c>
      <c r="B3163" s="215">
        <f t="shared" si="147"/>
        <v>45889</v>
      </c>
      <c r="C3163" s="213" t="s">
        <v>6454</v>
      </c>
      <c r="D3163" s="213" t="s">
        <v>4366</v>
      </c>
      <c r="E3163" s="213" t="s">
        <v>334</v>
      </c>
      <c r="F3163" s="212" t="s">
        <v>6158</v>
      </c>
      <c r="G3163" s="212" t="str">
        <f t="shared" si="148"/>
        <v>401용역매출</v>
      </c>
      <c r="H3163" s="214">
        <v>0</v>
      </c>
      <c r="I3163" s="214">
        <v>90909</v>
      </c>
      <c r="J3163" s="214">
        <f t="shared" si="149"/>
        <v>90909</v>
      </c>
      <c r="K3163" s="212" t="s">
        <v>6295</v>
      </c>
      <c r="L3163" s="213"/>
      <c r="M3163" s="212" t="s">
        <v>6331</v>
      </c>
    </row>
    <row r="3164" spans="1:13" ht="21" customHeight="1">
      <c r="A3164" s="213" t="s">
        <v>6440</v>
      </c>
      <c r="B3164" s="215">
        <f t="shared" si="147"/>
        <v>45889</v>
      </c>
      <c r="C3164" s="213" t="s">
        <v>6454</v>
      </c>
      <c r="D3164" s="213" t="s">
        <v>4369</v>
      </c>
      <c r="E3164" s="213" t="s">
        <v>333</v>
      </c>
      <c r="F3164" s="212" t="s">
        <v>4365</v>
      </c>
      <c r="G3164" s="212" t="str">
        <f t="shared" si="148"/>
        <v>101현금</v>
      </c>
      <c r="H3164" s="214">
        <v>100000</v>
      </c>
      <c r="I3164" s="214">
        <v>0</v>
      </c>
      <c r="J3164" s="214">
        <f t="shared" si="149"/>
        <v>-100000</v>
      </c>
      <c r="K3164" s="212" t="s">
        <v>6295</v>
      </c>
      <c r="L3164" s="213"/>
      <c r="M3164" s="212" t="s">
        <v>6331</v>
      </c>
    </row>
    <row r="3165" spans="1:13" ht="21" customHeight="1">
      <c r="A3165" s="213" t="s">
        <v>6440</v>
      </c>
      <c r="B3165" s="215">
        <f t="shared" si="147"/>
        <v>45889</v>
      </c>
      <c r="C3165" s="213" t="s">
        <v>6453</v>
      </c>
      <c r="D3165" s="213" t="s">
        <v>4366</v>
      </c>
      <c r="E3165" s="213" t="s">
        <v>6176</v>
      </c>
      <c r="F3165" s="212" t="s">
        <v>6177</v>
      </c>
      <c r="G3165" s="212" t="str">
        <f t="shared" si="148"/>
        <v>255부가세예수금</v>
      </c>
      <c r="H3165" s="214">
        <v>0</v>
      </c>
      <c r="I3165" s="214">
        <v>10000</v>
      </c>
      <c r="J3165" s="214">
        <f t="shared" si="149"/>
        <v>10000</v>
      </c>
      <c r="K3165" s="212" t="s">
        <v>6394</v>
      </c>
      <c r="L3165" s="213"/>
      <c r="M3165" s="212" t="s">
        <v>6328</v>
      </c>
    </row>
    <row r="3166" spans="1:13" ht="21" customHeight="1">
      <c r="A3166" s="213" t="s">
        <v>6440</v>
      </c>
      <c r="B3166" s="215">
        <f t="shared" si="147"/>
        <v>45889</v>
      </c>
      <c r="C3166" s="213" t="s">
        <v>6453</v>
      </c>
      <c r="D3166" s="213" t="s">
        <v>4366</v>
      </c>
      <c r="E3166" s="213" t="s">
        <v>334</v>
      </c>
      <c r="F3166" s="212" t="s">
        <v>6158</v>
      </c>
      <c r="G3166" s="212" t="str">
        <f t="shared" si="148"/>
        <v>401용역매출</v>
      </c>
      <c r="H3166" s="214">
        <v>0</v>
      </c>
      <c r="I3166" s="214">
        <v>100000</v>
      </c>
      <c r="J3166" s="214">
        <f t="shared" si="149"/>
        <v>100000</v>
      </c>
      <c r="K3166" s="212" t="s">
        <v>6394</v>
      </c>
      <c r="L3166" s="213"/>
      <c r="M3166" s="212" t="s">
        <v>6328</v>
      </c>
    </row>
    <row r="3167" spans="1:13" ht="21" customHeight="1">
      <c r="A3167" s="213" t="s">
        <v>6440</v>
      </c>
      <c r="B3167" s="215">
        <f t="shared" si="147"/>
        <v>45889</v>
      </c>
      <c r="C3167" s="213" t="s">
        <v>6453</v>
      </c>
      <c r="D3167" s="213" t="s">
        <v>4369</v>
      </c>
      <c r="E3167" s="213" t="s">
        <v>333</v>
      </c>
      <c r="F3167" s="212" t="s">
        <v>4365</v>
      </c>
      <c r="G3167" s="212" t="str">
        <f t="shared" si="148"/>
        <v>101현금</v>
      </c>
      <c r="H3167" s="214">
        <v>110000</v>
      </c>
      <c r="I3167" s="214">
        <v>0</v>
      </c>
      <c r="J3167" s="214">
        <f t="shared" si="149"/>
        <v>-110000</v>
      </c>
      <c r="K3167" s="212" t="s">
        <v>6394</v>
      </c>
      <c r="L3167" s="213"/>
      <c r="M3167" s="212" t="s">
        <v>6328</v>
      </c>
    </row>
    <row r="3168" spans="1:13" ht="21" customHeight="1">
      <c r="A3168" s="213" t="s">
        <v>6440</v>
      </c>
      <c r="B3168" s="215">
        <f t="shared" si="147"/>
        <v>45889</v>
      </c>
      <c r="C3168" s="213" t="s">
        <v>6452</v>
      </c>
      <c r="D3168" s="213" t="s">
        <v>4366</v>
      </c>
      <c r="E3168" s="213" t="s">
        <v>6176</v>
      </c>
      <c r="F3168" s="212" t="s">
        <v>6177</v>
      </c>
      <c r="G3168" s="212" t="str">
        <f t="shared" si="148"/>
        <v>255부가세예수금</v>
      </c>
      <c r="H3168" s="214">
        <v>0</v>
      </c>
      <c r="I3168" s="214">
        <v>5000</v>
      </c>
      <c r="J3168" s="214">
        <f t="shared" si="149"/>
        <v>5000</v>
      </c>
      <c r="K3168" s="212" t="s">
        <v>6393</v>
      </c>
      <c r="L3168" s="213"/>
      <c r="M3168" s="212" t="s">
        <v>6282</v>
      </c>
    </row>
    <row r="3169" spans="1:13" ht="21" customHeight="1">
      <c r="A3169" s="213" t="s">
        <v>6440</v>
      </c>
      <c r="B3169" s="215">
        <f t="shared" si="147"/>
        <v>45889</v>
      </c>
      <c r="C3169" s="213" t="s">
        <v>6452</v>
      </c>
      <c r="D3169" s="213" t="s">
        <v>4366</v>
      </c>
      <c r="E3169" s="213" t="s">
        <v>334</v>
      </c>
      <c r="F3169" s="212" t="s">
        <v>6158</v>
      </c>
      <c r="G3169" s="212" t="str">
        <f t="shared" si="148"/>
        <v>401용역매출</v>
      </c>
      <c r="H3169" s="214">
        <v>0</v>
      </c>
      <c r="I3169" s="214">
        <v>50000</v>
      </c>
      <c r="J3169" s="214">
        <f t="shared" si="149"/>
        <v>50000</v>
      </c>
      <c r="K3169" s="212" t="s">
        <v>6393</v>
      </c>
      <c r="L3169" s="213"/>
      <c r="M3169" s="212" t="s">
        <v>6282</v>
      </c>
    </row>
    <row r="3170" spans="1:13" ht="21" customHeight="1">
      <c r="A3170" s="213" t="s">
        <v>6440</v>
      </c>
      <c r="B3170" s="215">
        <f t="shared" si="147"/>
        <v>45889</v>
      </c>
      <c r="C3170" s="213" t="s">
        <v>6452</v>
      </c>
      <c r="D3170" s="213" t="s">
        <v>4369</v>
      </c>
      <c r="E3170" s="213" t="s">
        <v>333</v>
      </c>
      <c r="F3170" s="212" t="s">
        <v>4365</v>
      </c>
      <c r="G3170" s="212" t="str">
        <f t="shared" si="148"/>
        <v>101현금</v>
      </c>
      <c r="H3170" s="214">
        <v>55000</v>
      </c>
      <c r="I3170" s="214">
        <v>0</v>
      </c>
      <c r="J3170" s="214">
        <f t="shared" si="149"/>
        <v>-55000</v>
      </c>
      <c r="K3170" s="212" t="s">
        <v>6393</v>
      </c>
      <c r="L3170" s="213"/>
      <c r="M3170" s="212" t="s">
        <v>6282</v>
      </c>
    </row>
    <row r="3171" spans="1:13" ht="21" customHeight="1">
      <c r="A3171" s="213" t="s">
        <v>6440</v>
      </c>
      <c r="B3171" s="215">
        <f t="shared" si="147"/>
        <v>45889</v>
      </c>
      <c r="C3171" s="213" t="s">
        <v>6451</v>
      </c>
      <c r="D3171" s="213" t="s">
        <v>4366</v>
      </c>
      <c r="E3171" s="213" t="s">
        <v>6176</v>
      </c>
      <c r="F3171" s="212" t="s">
        <v>6177</v>
      </c>
      <c r="G3171" s="212" t="str">
        <f t="shared" si="148"/>
        <v>255부가세예수금</v>
      </c>
      <c r="H3171" s="214">
        <v>0</v>
      </c>
      <c r="I3171" s="214">
        <v>10000</v>
      </c>
      <c r="J3171" s="214">
        <f t="shared" si="149"/>
        <v>10000</v>
      </c>
      <c r="K3171" s="212" t="s">
        <v>6252</v>
      </c>
      <c r="L3171" s="213"/>
      <c r="M3171" s="212" t="s">
        <v>6328</v>
      </c>
    </row>
    <row r="3172" spans="1:13" ht="21" customHeight="1">
      <c r="A3172" s="213" t="s">
        <v>6440</v>
      </c>
      <c r="B3172" s="215">
        <f t="shared" si="147"/>
        <v>45889</v>
      </c>
      <c r="C3172" s="213" t="s">
        <v>6451</v>
      </c>
      <c r="D3172" s="213" t="s">
        <v>4366</v>
      </c>
      <c r="E3172" s="213" t="s">
        <v>334</v>
      </c>
      <c r="F3172" s="212" t="s">
        <v>6158</v>
      </c>
      <c r="G3172" s="212" t="str">
        <f t="shared" si="148"/>
        <v>401용역매출</v>
      </c>
      <c r="H3172" s="214">
        <v>0</v>
      </c>
      <c r="I3172" s="214">
        <v>100000</v>
      </c>
      <c r="J3172" s="214">
        <f t="shared" si="149"/>
        <v>100000</v>
      </c>
      <c r="K3172" s="212" t="s">
        <v>6252</v>
      </c>
      <c r="L3172" s="213"/>
      <c r="M3172" s="212" t="s">
        <v>6328</v>
      </c>
    </row>
    <row r="3173" spans="1:13" ht="21" customHeight="1">
      <c r="A3173" s="213" t="s">
        <v>6440</v>
      </c>
      <c r="B3173" s="215">
        <f t="shared" si="147"/>
        <v>45889</v>
      </c>
      <c r="C3173" s="213" t="s">
        <v>6451</v>
      </c>
      <c r="D3173" s="213" t="s">
        <v>4369</v>
      </c>
      <c r="E3173" s="213" t="s">
        <v>333</v>
      </c>
      <c r="F3173" s="212" t="s">
        <v>4365</v>
      </c>
      <c r="G3173" s="212" t="str">
        <f t="shared" si="148"/>
        <v>101현금</v>
      </c>
      <c r="H3173" s="214">
        <v>110000</v>
      </c>
      <c r="I3173" s="214">
        <v>0</v>
      </c>
      <c r="J3173" s="214">
        <f t="shared" si="149"/>
        <v>-110000</v>
      </c>
      <c r="K3173" s="212" t="s">
        <v>6252</v>
      </c>
      <c r="L3173" s="213"/>
      <c r="M3173" s="212" t="s">
        <v>6328</v>
      </c>
    </row>
    <row r="3174" spans="1:13" ht="21" customHeight="1">
      <c r="A3174" s="213" t="s">
        <v>6440</v>
      </c>
      <c r="B3174" s="215">
        <f t="shared" si="147"/>
        <v>45889</v>
      </c>
      <c r="C3174" s="213" t="s">
        <v>6450</v>
      </c>
      <c r="D3174" s="213" t="s">
        <v>4366</v>
      </c>
      <c r="E3174" s="213" t="s">
        <v>6176</v>
      </c>
      <c r="F3174" s="212" t="s">
        <v>6177</v>
      </c>
      <c r="G3174" s="212" t="str">
        <f t="shared" si="148"/>
        <v>255부가세예수금</v>
      </c>
      <c r="H3174" s="214">
        <v>0</v>
      </c>
      <c r="I3174" s="214">
        <v>20000</v>
      </c>
      <c r="J3174" s="214">
        <f t="shared" si="149"/>
        <v>20000</v>
      </c>
      <c r="K3174" s="212" t="s">
        <v>6399</v>
      </c>
      <c r="L3174" s="213"/>
      <c r="M3174" s="212" t="s">
        <v>6330</v>
      </c>
    </row>
    <row r="3175" spans="1:13" ht="21" customHeight="1">
      <c r="A3175" s="213" t="s">
        <v>6440</v>
      </c>
      <c r="B3175" s="215">
        <f t="shared" si="147"/>
        <v>45889</v>
      </c>
      <c r="C3175" s="213" t="s">
        <v>6450</v>
      </c>
      <c r="D3175" s="213" t="s">
        <v>4366</v>
      </c>
      <c r="E3175" s="213" t="s">
        <v>334</v>
      </c>
      <c r="F3175" s="212" t="s">
        <v>6158</v>
      </c>
      <c r="G3175" s="212" t="str">
        <f t="shared" si="148"/>
        <v>401용역매출</v>
      </c>
      <c r="H3175" s="214">
        <v>0</v>
      </c>
      <c r="I3175" s="214">
        <v>200000</v>
      </c>
      <c r="J3175" s="214">
        <f t="shared" si="149"/>
        <v>200000</v>
      </c>
      <c r="K3175" s="212" t="s">
        <v>6399</v>
      </c>
      <c r="L3175" s="213"/>
      <c r="M3175" s="212" t="s">
        <v>6330</v>
      </c>
    </row>
    <row r="3176" spans="1:13" ht="21" customHeight="1">
      <c r="A3176" s="213" t="s">
        <v>6440</v>
      </c>
      <c r="B3176" s="215">
        <f t="shared" si="147"/>
        <v>45889</v>
      </c>
      <c r="C3176" s="213" t="s">
        <v>6450</v>
      </c>
      <c r="D3176" s="213" t="s">
        <v>4369</v>
      </c>
      <c r="E3176" s="213" t="s">
        <v>333</v>
      </c>
      <c r="F3176" s="212" t="s">
        <v>4365</v>
      </c>
      <c r="G3176" s="212" t="str">
        <f t="shared" si="148"/>
        <v>101현금</v>
      </c>
      <c r="H3176" s="214">
        <v>220000</v>
      </c>
      <c r="I3176" s="214">
        <v>0</v>
      </c>
      <c r="J3176" s="214">
        <f t="shared" si="149"/>
        <v>-220000</v>
      </c>
      <c r="K3176" s="212" t="s">
        <v>6399</v>
      </c>
      <c r="L3176" s="213"/>
      <c r="M3176" s="212" t="s">
        <v>6330</v>
      </c>
    </row>
    <row r="3177" spans="1:13" ht="21" customHeight="1">
      <c r="A3177" s="213" t="s">
        <v>6440</v>
      </c>
      <c r="B3177" s="215">
        <f t="shared" si="147"/>
        <v>45889</v>
      </c>
      <c r="C3177" s="213" t="s">
        <v>6449</v>
      </c>
      <c r="D3177" s="213" t="s">
        <v>4366</v>
      </c>
      <c r="E3177" s="213" t="s">
        <v>6176</v>
      </c>
      <c r="F3177" s="212" t="s">
        <v>6177</v>
      </c>
      <c r="G3177" s="212" t="str">
        <f t="shared" si="148"/>
        <v>255부가세예수금</v>
      </c>
      <c r="H3177" s="214">
        <v>0</v>
      </c>
      <c r="I3177" s="214">
        <v>15000</v>
      </c>
      <c r="J3177" s="214">
        <f t="shared" si="149"/>
        <v>15000</v>
      </c>
      <c r="K3177" s="212" t="s">
        <v>6400</v>
      </c>
      <c r="L3177" s="213"/>
      <c r="M3177" s="212" t="s">
        <v>6329</v>
      </c>
    </row>
    <row r="3178" spans="1:13" ht="21" customHeight="1">
      <c r="A3178" s="213" t="s">
        <v>6440</v>
      </c>
      <c r="B3178" s="215">
        <f t="shared" si="147"/>
        <v>45889</v>
      </c>
      <c r="C3178" s="213" t="s">
        <v>6449</v>
      </c>
      <c r="D3178" s="213" t="s">
        <v>4366</v>
      </c>
      <c r="E3178" s="213" t="s">
        <v>334</v>
      </c>
      <c r="F3178" s="212" t="s">
        <v>6158</v>
      </c>
      <c r="G3178" s="212" t="str">
        <f t="shared" si="148"/>
        <v>401용역매출</v>
      </c>
      <c r="H3178" s="214">
        <v>0</v>
      </c>
      <c r="I3178" s="214">
        <v>150000</v>
      </c>
      <c r="J3178" s="214">
        <f t="shared" si="149"/>
        <v>150000</v>
      </c>
      <c r="K3178" s="212" t="s">
        <v>6400</v>
      </c>
      <c r="L3178" s="213"/>
      <c r="M3178" s="212" t="s">
        <v>6329</v>
      </c>
    </row>
    <row r="3179" spans="1:13" ht="21" customHeight="1">
      <c r="A3179" s="213" t="s">
        <v>6440</v>
      </c>
      <c r="B3179" s="215">
        <f t="shared" si="147"/>
        <v>45889</v>
      </c>
      <c r="C3179" s="213" t="s">
        <v>6449</v>
      </c>
      <c r="D3179" s="213" t="s">
        <v>4369</v>
      </c>
      <c r="E3179" s="213" t="s">
        <v>333</v>
      </c>
      <c r="F3179" s="212" t="s">
        <v>4365</v>
      </c>
      <c r="G3179" s="212" t="str">
        <f t="shared" si="148"/>
        <v>101현금</v>
      </c>
      <c r="H3179" s="214">
        <v>165000</v>
      </c>
      <c r="I3179" s="214">
        <v>0</v>
      </c>
      <c r="J3179" s="214">
        <f t="shared" si="149"/>
        <v>-165000</v>
      </c>
      <c r="K3179" s="212" t="s">
        <v>6400</v>
      </c>
      <c r="L3179" s="213"/>
      <c r="M3179" s="212" t="s">
        <v>6329</v>
      </c>
    </row>
    <row r="3180" spans="1:13" ht="21" customHeight="1">
      <c r="A3180" s="213" t="s">
        <v>6440</v>
      </c>
      <c r="B3180" s="215">
        <f t="shared" si="147"/>
        <v>45889</v>
      </c>
      <c r="C3180" s="213" t="s">
        <v>6448</v>
      </c>
      <c r="D3180" s="213" t="s">
        <v>4366</v>
      </c>
      <c r="E3180" s="213" t="s">
        <v>6176</v>
      </c>
      <c r="F3180" s="212" t="s">
        <v>6177</v>
      </c>
      <c r="G3180" s="212" t="str">
        <f t="shared" si="148"/>
        <v>255부가세예수금</v>
      </c>
      <c r="H3180" s="214">
        <v>0</v>
      </c>
      <c r="I3180" s="214">
        <v>10000</v>
      </c>
      <c r="J3180" s="214">
        <f t="shared" si="149"/>
        <v>10000</v>
      </c>
      <c r="K3180" s="212" t="s">
        <v>6255</v>
      </c>
      <c r="L3180" s="213"/>
      <c r="M3180" s="212" t="s">
        <v>6328</v>
      </c>
    </row>
    <row r="3181" spans="1:13" ht="21" customHeight="1">
      <c r="A3181" s="213" t="s">
        <v>6440</v>
      </c>
      <c r="B3181" s="215">
        <f t="shared" si="147"/>
        <v>45889</v>
      </c>
      <c r="C3181" s="213" t="s">
        <v>6448</v>
      </c>
      <c r="D3181" s="213" t="s">
        <v>4366</v>
      </c>
      <c r="E3181" s="213" t="s">
        <v>334</v>
      </c>
      <c r="F3181" s="212" t="s">
        <v>6158</v>
      </c>
      <c r="G3181" s="212" t="str">
        <f t="shared" si="148"/>
        <v>401용역매출</v>
      </c>
      <c r="H3181" s="214">
        <v>0</v>
      </c>
      <c r="I3181" s="214">
        <v>100000</v>
      </c>
      <c r="J3181" s="214">
        <f t="shared" si="149"/>
        <v>100000</v>
      </c>
      <c r="K3181" s="212" t="s">
        <v>6255</v>
      </c>
      <c r="L3181" s="213"/>
      <c r="M3181" s="212" t="s">
        <v>6328</v>
      </c>
    </row>
    <row r="3182" spans="1:13" ht="21" customHeight="1">
      <c r="A3182" s="213" t="s">
        <v>6440</v>
      </c>
      <c r="B3182" s="215">
        <f t="shared" si="147"/>
        <v>45889</v>
      </c>
      <c r="C3182" s="213" t="s">
        <v>6448</v>
      </c>
      <c r="D3182" s="213" t="s">
        <v>4369</v>
      </c>
      <c r="E3182" s="213" t="s">
        <v>333</v>
      </c>
      <c r="F3182" s="212" t="s">
        <v>4365</v>
      </c>
      <c r="G3182" s="212" t="str">
        <f t="shared" si="148"/>
        <v>101현금</v>
      </c>
      <c r="H3182" s="214">
        <v>110000</v>
      </c>
      <c r="I3182" s="214">
        <v>0</v>
      </c>
      <c r="J3182" s="214">
        <f t="shared" si="149"/>
        <v>-110000</v>
      </c>
      <c r="K3182" s="212" t="s">
        <v>6255</v>
      </c>
      <c r="L3182" s="213"/>
      <c r="M3182" s="212" t="s">
        <v>6328</v>
      </c>
    </row>
    <row r="3183" spans="1:13" ht="21" customHeight="1">
      <c r="A3183" s="213" t="s">
        <v>6440</v>
      </c>
      <c r="B3183" s="215">
        <f t="shared" si="147"/>
        <v>45889</v>
      </c>
      <c r="C3183" s="213" t="s">
        <v>6447</v>
      </c>
      <c r="D3183" s="213" t="s">
        <v>4366</v>
      </c>
      <c r="E3183" s="213" t="s">
        <v>6176</v>
      </c>
      <c r="F3183" s="212" t="s">
        <v>6177</v>
      </c>
      <c r="G3183" s="212" t="str">
        <f t="shared" si="148"/>
        <v>255부가세예수금</v>
      </c>
      <c r="H3183" s="214">
        <v>0</v>
      </c>
      <c r="I3183" s="214">
        <v>10000</v>
      </c>
      <c r="J3183" s="214">
        <f t="shared" si="149"/>
        <v>10000</v>
      </c>
      <c r="K3183" s="212" t="s">
        <v>6280</v>
      </c>
      <c r="L3183" s="213"/>
      <c r="M3183" s="212" t="s">
        <v>6328</v>
      </c>
    </row>
    <row r="3184" spans="1:13" ht="21" customHeight="1">
      <c r="A3184" s="213" t="s">
        <v>6440</v>
      </c>
      <c r="B3184" s="215">
        <f t="shared" si="147"/>
        <v>45889</v>
      </c>
      <c r="C3184" s="213" t="s">
        <v>6447</v>
      </c>
      <c r="D3184" s="213" t="s">
        <v>4366</v>
      </c>
      <c r="E3184" s="213" t="s">
        <v>334</v>
      </c>
      <c r="F3184" s="212" t="s">
        <v>6158</v>
      </c>
      <c r="G3184" s="212" t="str">
        <f t="shared" si="148"/>
        <v>401용역매출</v>
      </c>
      <c r="H3184" s="214">
        <v>0</v>
      </c>
      <c r="I3184" s="214">
        <v>100000</v>
      </c>
      <c r="J3184" s="214">
        <f t="shared" si="149"/>
        <v>100000</v>
      </c>
      <c r="K3184" s="212" t="s">
        <v>6280</v>
      </c>
      <c r="L3184" s="213"/>
      <c r="M3184" s="212" t="s">
        <v>6328</v>
      </c>
    </row>
    <row r="3185" spans="1:13" ht="21" customHeight="1">
      <c r="A3185" s="213" t="s">
        <v>6440</v>
      </c>
      <c r="B3185" s="215">
        <f t="shared" si="147"/>
        <v>45889</v>
      </c>
      <c r="C3185" s="213" t="s">
        <v>6447</v>
      </c>
      <c r="D3185" s="213" t="s">
        <v>4369</v>
      </c>
      <c r="E3185" s="213" t="s">
        <v>333</v>
      </c>
      <c r="F3185" s="212" t="s">
        <v>4365</v>
      </c>
      <c r="G3185" s="212" t="str">
        <f t="shared" si="148"/>
        <v>101현금</v>
      </c>
      <c r="H3185" s="214">
        <v>110000</v>
      </c>
      <c r="I3185" s="214">
        <v>0</v>
      </c>
      <c r="J3185" s="214">
        <f t="shared" si="149"/>
        <v>-110000</v>
      </c>
      <c r="K3185" s="212" t="s">
        <v>6280</v>
      </c>
      <c r="L3185" s="213"/>
      <c r="M3185" s="212" t="s">
        <v>6328</v>
      </c>
    </row>
    <row r="3186" spans="1:13" ht="21" customHeight="1">
      <c r="A3186" s="213" t="s">
        <v>6440</v>
      </c>
      <c r="B3186" s="215">
        <f t="shared" si="147"/>
        <v>45889</v>
      </c>
      <c r="C3186" s="213" t="s">
        <v>6446</v>
      </c>
      <c r="D3186" s="213" t="s">
        <v>4366</v>
      </c>
      <c r="E3186" s="213" t="s">
        <v>6176</v>
      </c>
      <c r="F3186" s="212" t="s">
        <v>6177</v>
      </c>
      <c r="G3186" s="212" t="str">
        <f t="shared" si="148"/>
        <v>255부가세예수금</v>
      </c>
      <c r="H3186" s="214">
        <v>0</v>
      </c>
      <c r="I3186" s="214">
        <v>6000</v>
      </c>
      <c r="J3186" s="214">
        <f t="shared" si="149"/>
        <v>6000</v>
      </c>
      <c r="K3186" s="212" t="s">
        <v>6302</v>
      </c>
      <c r="L3186" s="213"/>
      <c r="M3186" s="212" t="s">
        <v>6445</v>
      </c>
    </row>
    <row r="3187" spans="1:13" ht="21" customHeight="1">
      <c r="A3187" s="213" t="s">
        <v>6440</v>
      </c>
      <c r="B3187" s="215">
        <f t="shared" si="147"/>
        <v>45889</v>
      </c>
      <c r="C3187" s="213" t="s">
        <v>6446</v>
      </c>
      <c r="D3187" s="213" t="s">
        <v>4366</v>
      </c>
      <c r="E3187" s="213" t="s">
        <v>334</v>
      </c>
      <c r="F3187" s="212" t="s">
        <v>6158</v>
      </c>
      <c r="G3187" s="212" t="str">
        <f t="shared" si="148"/>
        <v>401용역매출</v>
      </c>
      <c r="H3187" s="214">
        <v>0</v>
      </c>
      <c r="I3187" s="214">
        <v>60000</v>
      </c>
      <c r="J3187" s="214">
        <f t="shared" si="149"/>
        <v>60000</v>
      </c>
      <c r="K3187" s="212" t="s">
        <v>6302</v>
      </c>
      <c r="L3187" s="213"/>
      <c r="M3187" s="212" t="s">
        <v>6445</v>
      </c>
    </row>
    <row r="3188" spans="1:13" ht="21" customHeight="1">
      <c r="A3188" s="213" t="s">
        <v>6440</v>
      </c>
      <c r="B3188" s="215">
        <f t="shared" si="147"/>
        <v>45889</v>
      </c>
      <c r="C3188" s="213" t="s">
        <v>6446</v>
      </c>
      <c r="D3188" s="213" t="s">
        <v>4369</v>
      </c>
      <c r="E3188" s="213" t="s">
        <v>333</v>
      </c>
      <c r="F3188" s="212" t="s">
        <v>4365</v>
      </c>
      <c r="G3188" s="212" t="str">
        <f t="shared" si="148"/>
        <v>101현금</v>
      </c>
      <c r="H3188" s="214">
        <v>66000</v>
      </c>
      <c r="I3188" s="214">
        <v>0</v>
      </c>
      <c r="J3188" s="214">
        <f t="shared" si="149"/>
        <v>-66000</v>
      </c>
      <c r="K3188" s="212" t="s">
        <v>6302</v>
      </c>
      <c r="L3188" s="213"/>
      <c r="M3188" s="212" t="s">
        <v>6445</v>
      </c>
    </row>
    <row r="3189" spans="1:13" ht="21" customHeight="1">
      <c r="A3189" s="213" t="s">
        <v>6440</v>
      </c>
      <c r="B3189" s="215">
        <f t="shared" si="147"/>
        <v>45889</v>
      </c>
      <c r="C3189" s="213" t="s">
        <v>6444</v>
      </c>
      <c r="D3189" s="213" t="s">
        <v>4366</v>
      </c>
      <c r="E3189" s="213" t="s">
        <v>6176</v>
      </c>
      <c r="F3189" s="212" t="s">
        <v>6177</v>
      </c>
      <c r="G3189" s="212" t="str">
        <f t="shared" si="148"/>
        <v>255부가세예수금</v>
      </c>
      <c r="H3189" s="214">
        <v>0</v>
      </c>
      <c r="I3189" s="214">
        <v>10000</v>
      </c>
      <c r="J3189" s="214">
        <f t="shared" si="149"/>
        <v>10000</v>
      </c>
      <c r="K3189" s="212" t="s">
        <v>6304</v>
      </c>
      <c r="L3189" s="213"/>
      <c r="M3189" s="212" t="s">
        <v>6328</v>
      </c>
    </row>
    <row r="3190" spans="1:13" ht="21" customHeight="1">
      <c r="A3190" s="213" t="s">
        <v>6440</v>
      </c>
      <c r="B3190" s="215">
        <f t="shared" si="147"/>
        <v>45889</v>
      </c>
      <c r="C3190" s="213" t="s">
        <v>6444</v>
      </c>
      <c r="D3190" s="213" t="s">
        <v>4366</v>
      </c>
      <c r="E3190" s="213" t="s">
        <v>334</v>
      </c>
      <c r="F3190" s="212" t="s">
        <v>6158</v>
      </c>
      <c r="G3190" s="212" t="str">
        <f t="shared" si="148"/>
        <v>401용역매출</v>
      </c>
      <c r="H3190" s="214">
        <v>0</v>
      </c>
      <c r="I3190" s="214">
        <v>100000</v>
      </c>
      <c r="J3190" s="214">
        <f t="shared" si="149"/>
        <v>100000</v>
      </c>
      <c r="K3190" s="212" t="s">
        <v>6304</v>
      </c>
      <c r="L3190" s="213"/>
      <c r="M3190" s="212" t="s">
        <v>6328</v>
      </c>
    </row>
    <row r="3191" spans="1:13" ht="21" customHeight="1">
      <c r="A3191" s="213" t="s">
        <v>6440</v>
      </c>
      <c r="B3191" s="215">
        <f t="shared" si="147"/>
        <v>45889</v>
      </c>
      <c r="C3191" s="213" t="s">
        <v>6444</v>
      </c>
      <c r="D3191" s="213" t="s">
        <v>4369</v>
      </c>
      <c r="E3191" s="213" t="s">
        <v>333</v>
      </c>
      <c r="F3191" s="212" t="s">
        <v>4365</v>
      </c>
      <c r="G3191" s="212" t="str">
        <f t="shared" si="148"/>
        <v>101현금</v>
      </c>
      <c r="H3191" s="214">
        <v>110000</v>
      </c>
      <c r="I3191" s="214">
        <v>0</v>
      </c>
      <c r="J3191" s="214">
        <f t="shared" si="149"/>
        <v>-110000</v>
      </c>
      <c r="K3191" s="212" t="s">
        <v>6304</v>
      </c>
      <c r="L3191" s="213"/>
      <c r="M3191" s="212" t="s">
        <v>6328</v>
      </c>
    </row>
    <row r="3192" spans="1:13" ht="21" customHeight="1">
      <c r="A3192" s="213" t="s">
        <v>6440</v>
      </c>
      <c r="B3192" s="215">
        <f t="shared" si="147"/>
        <v>45889</v>
      </c>
      <c r="C3192" s="213" t="s">
        <v>6443</v>
      </c>
      <c r="D3192" s="213" t="s">
        <v>4366</v>
      </c>
      <c r="E3192" s="213" t="s">
        <v>6176</v>
      </c>
      <c r="F3192" s="212" t="s">
        <v>6177</v>
      </c>
      <c r="G3192" s="212" t="str">
        <f t="shared" si="148"/>
        <v>255부가세예수금</v>
      </c>
      <c r="H3192" s="214">
        <v>0</v>
      </c>
      <c r="I3192" s="214">
        <v>181819</v>
      </c>
      <c r="J3192" s="214">
        <f t="shared" si="149"/>
        <v>181819</v>
      </c>
      <c r="K3192" s="212" t="s">
        <v>6442</v>
      </c>
      <c r="L3192" s="213"/>
      <c r="M3192" s="212" t="s">
        <v>6441</v>
      </c>
    </row>
    <row r="3193" spans="1:13" ht="21" customHeight="1">
      <c r="A3193" s="213" t="s">
        <v>6440</v>
      </c>
      <c r="B3193" s="215">
        <f t="shared" si="147"/>
        <v>45889</v>
      </c>
      <c r="C3193" s="213" t="s">
        <v>6443</v>
      </c>
      <c r="D3193" s="213" t="s">
        <v>4366</v>
      </c>
      <c r="E3193" s="213" t="s">
        <v>334</v>
      </c>
      <c r="F3193" s="212" t="s">
        <v>6158</v>
      </c>
      <c r="G3193" s="212" t="str">
        <f t="shared" si="148"/>
        <v>401용역매출</v>
      </c>
      <c r="H3193" s="214">
        <v>0</v>
      </c>
      <c r="I3193" s="214">
        <v>1818181</v>
      </c>
      <c r="J3193" s="214">
        <f t="shared" si="149"/>
        <v>1818181</v>
      </c>
      <c r="K3193" s="212" t="s">
        <v>6442</v>
      </c>
      <c r="L3193" s="213"/>
      <c r="M3193" s="212" t="s">
        <v>6441</v>
      </c>
    </row>
    <row r="3194" spans="1:13" ht="21" customHeight="1">
      <c r="A3194" s="213" t="s">
        <v>6440</v>
      </c>
      <c r="B3194" s="215">
        <f t="shared" si="147"/>
        <v>45889</v>
      </c>
      <c r="C3194" s="213" t="s">
        <v>6443</v>
      </c>
      <c r="D3194" s="213" t="s">
        <v>4369</v>
      </c>
      <c r="E3194" s="213" t="s">
        <v>333</v>
      </c>
      <c r="F3194" s="212" t="s">
        <v>4365</v>
      </c>
      <c r="G3194" s="212" t="str">
        <f t="shared" si="148"/>
        <v>101현금</v>
      </c>
      <c r="H3194" s="214">
        <v>2000000</v>
      </c>
      <c r="I3194" s="214">
        <v>0</v>
      </c>
      <c r="J3194" s="214">
        <f t="shared" si="149"/>
        <v>-2000000</v>
      </c>
      <c r="K3194" s="212" t="s">
        <v>6442</v>
      </c>
      <c r="L3194" s="213"/>
      <c r="M3194" s="212" t="s">
        <v>6441</v>
      </c>
    </row>
    <row r="3195" spans="1:13" ht="21" customHeight="1">
      <c r="A3195" s="213" t="s">
        <v>6440</v>
      </c>
      <c r="B3195" s="215">
        <f t="shared" si="147"/>
        <v>45889</v>
      </c>
      <c r="C3195" s="213" t="s">
        <v>6439</v>
      </c>
      <c r="D3195" s="213" t="s">
        <v>4369</v>
      </c>
      <c r="E3195" s="213" t="s">
        <v>6212</v>
      </c>
      <c r="F3195" s="212" t="s">
        <v>6402</v>
      </c>
      <c r="G3195" s="212" t="str">
        <f t="shared" si="148"/>
        <v>837건물관리비(판)</v>
      </c>
      <c r="H3195" s="214">
        <v>203900</v>
      </c>
      <c r="I3195" s="214">
        <v>0</v>
      </c>
      <c r="J3195" s="214">
        <f t="shared" si="149"/>
        <v>-203900</v>
      </c>
      <c r="K3195" s="212" t="s">
        <v>6213</v>
      </c>
      <c r="L3195" s="213"/>
      <c r="M3195" s="212" t="s">
        <v>6214</v>
      </c>
    </row>
    <row r="3196" spans="1:13" ht="21" customHeight="1">
      <c r="A3196" s="213" t="s">
        <v>6440</v>
      </c>
      <c r="B3196" s="215">
        <f t="shared" si="147"/>
        <v>45889</v>
      </c>
      <c r="C3196" s="213" t="s">
        <v>6439</v>
      </c>
      <c r="D3196" s="213" t="s">
        <v>4366</v>
      </c>
      <c r="E3196" s="213" t="s">
        <v>333</v>
      </c>
      <c r="F3196" s="212" t="s">
        <v>4365</v>
      </c>
      <c r="G3196" s="212" t="str">
        <f t="shared" si="148"/>
        <v>101현금</v>
      </c>
      <c r="H3196" s="214">
        <v>0</v>
      </c>
      <c r="I3196" s="214">
        <v>203900</v>
      </c>
      <c r="J3196" s="214">
        <f t="shared" si="149"/>
        <v>203900</v>
      </c>
      <c r="K3196" s="212" t="s">
        <v>6213</v>
      </c>
      <c r="L3196" s="213"/>
      <c r="M3196" s="212" t="s">
        <v>6214</v>
      </c>
    </row>
    <row r="3197" spans="1:13" ht="21" customHeight="1">
      <c r="A3197" s="213" t="s">
        <v>6438</v>
      </c>
      <c r="B3197" s="215">
        <f t="shared" si="147"/>
        <v>45894</v>
      </c>
      <c r="C3197" s="213" t="s">
        <v>4367</v>
      </c>
      <c r="D3197" s="213" t="s">
        <v>4366</v>
      </c>
      <c r="E3197" s="213" t="s">
        <v>6176</v>
      </c>
      <c r="F3197" s="212" t="s">
        <v>6177</v>
      </c>
      <c r="G3197" s="212" t="str">
        <f t="shared" si="148"/>
        <v>255부가세예수금</v>
      </c>
      <c r="H3197" s="214">
        <v>0</v>
      </c>
      <c r="I3197" s="214">
        <v>20000</v>
      </c>
      <c r="J3197" s="214">
        <f t="shared" si="149"/>
        <v>20000</v>
      </c>
      <c r="K3197" s="212" t="s">
        <v>6414</v>
      </c>
      <c r="L3197" s="213"/>
      <c r="M3197" s="212" t="s">
        <v>6231</v>
      </c>
    </row>
    <row r="3198" spans="1:13" ht="21" customHeight="1">
      <c r="A3198" s="213" t="s">
        <v>6438</v>
      </c>
      <c r="B3198" s="215">
        <f t="shared" si="147"/>
        <v>45894</v>
      </c>
      <c r="C3198" s="213" t="s">
        <v>4367</v>
      </c>
      <c r="D3198" s="213" t="s">
        <v>4366</v>
      </c>
      <c r="E3198" s="213" t="s">
        <v>334</v>
      </c>
      <c r="F3198" s="212" t="s">
        <v>6158</v>
      </c>
      <c r="G3198" s="212" t="str">
        <f t="shared" si="148"/>
        <v>401용역매출</v>
      </c>
      <c r="H3198" s="214">
        <v>0</v>
      </c>
      <c r="I3198" s="214">
        <v>200000</v>
      </c>
      <c r="J3198" s="214">
        <f t="shared" si="149"/>
        <v>200000</v>
      </c>
      <c r="K3198" s="212" t="s">
        <v>6414</v>
      </c>
      <c r="L3198" s="213"/>
      <c r="M3198" s="212" t="s">
        <v>6231</v>
      </c>
    </row>
    <row r="3199" spans="1:13" ht="21" customHeight="1">
      <c r="A3199" s="213" t="s">
        <v>6438</v>
      </c>
      <c r="B3199" s="215">
        <f t="shared" si="147"/>
        <v>45894</v>
      </c>
      <c r="C3199" s="213" t="s">
        <v>4367</v>
      </c>
      <c r="D3199" s="213" t="s">
        <v>4369</v>
      </c>
      <c r="E3199" s="213" t="s">
        <v>333</v>
      </c>
      <c r="F3199" s="212" t="s">
        <v>4365</v>
      </c>
      <c r="G3199" s="212" t="str">
        <f t="shared" si="148"/>
        <v>101현금</v>
      </c>
      <c r="H3199" s="214">
        <v>220000</v>
      </c>
      <c r="I3199" s="214">
        <v>0</v>
      </c>
      <c r="J3199" s="214">
        <f t="shared" si="149"/>
        <v>-220000</v>
      </c>
      <c r="K3199" s="212" t="s">
        <v>6414</v>
      </c>
      <c r="L3199" s="213"/>
      <c r="M3199" s="212" t="s">
        <v>6231</v>
      </c>
    </row>
    <row r="3200" spans="1:13" ht="21" customHeight="1">
      <c r="A3200" s="213" t="s">
        <v>6438</v>
      </c>
      <c r="B3200" s="215">
        <f t="shared" si="147"/>
        <v>45894</v>
      </c>
      <c r="C3200" s="213" t="s">
        <v>4374</v>
      </c>
      <c r="D3200" s="213" t="s">
        <v>4366</v>
      </c>
      <c r="E3200" s="213" t="s">
        <v>6176</v>
      </c>
      <c r="F3200" s="212" t="s">
        <v>6177</v>
      </c>
      <c r="G3200" s="212" t="str">
        <f t="shared" si="148"/>
        <v>255부가세예수금</v>
      </c>
      <c r="H3200" s="214">
        <v>0</v>
      </c>
      <c r="I3200" s="214">
        <v>15000</v>
      </c>
      <c r="J3200" s="214">
        <f t="shared" si="149"/>
        <v>15000</v>
      </c>
      <c r="K3200" s="212" t="s">
        <v>6372</v>
      </c>
      <c r="L3200" s="213"/>
      <c r="M3200" s="212" t="s">
        <v>6179</v>
      </c>
    </row>
    <row r="3201" spans="1:13" ht="21" customHeight="1">
      <c r="A3201" s="213" t="s">
        <v>6438</v>
      </c>
      <c r="B3201" s="215">
        <f t="shared" si="147"/>
        <v>45894</v>
      </c>
      <c r="C3201" s="213" t="s">
        <v>4374</v>
      </c>
      <c r="D3201" s="213" t="s">
        <v>4366</v>
      </c>
      <c r="E3201" s="213" t="s">
        <v>334</v>
      </c>
      <c r="F3201" s="212" t="s">
        <v>6158</v>
      </c>
      <c r="G3201" s="212" t="str">
        <f t="shared" si="148"/>
        <v>401용역매출</v>
      </c>
      <c r="H3201" s="214">
        <v>0</v>
      </c>
      <c r="I3201" s="214">
        <v>150000</v>
      </c>
      <c r="J3201" s="214">
        <f t="shared" si="149"/>
        <v>150000</v>
      </c>
      <c r="K3201" s="212" t="s">
        <v>6372</v>
      </c>
      <c r="L3201" s="213"/>
      <c r="M3201" s="212" t="s">
        <v>6179</v>
      </c>
    </row>
    <row r="3202" spans="1:13" ht="21" customHeight="1">
      <c r="A3202" s="213" t="s">
        <v>6438</v>
      </c>
      <c r="B3202" s="215">
        <f t="shared" ref="B3202:B3265" si="150">DATEVALUE(A3202)</f>
        <v>45894</v>
      </c>
      <c r="C3202" s="213" t="s">
        <v>4374</v>
      </c>
      <c r="D3202" s="213" t="s">
        <v>4369</v>
      </c>
      <c r="E3202" s="213" t="s">
        <v>333</v>
      </c>
      <c r="F3202" s="212" t="s">
        <v>4365</v>
      </c>
      <c r="G3202" s="212" t="str">
        <f t="shared" ref="G3202:G3265" si="151">E3202&amp;F3202</f>
        <v>101현금</v>
      </c>
      <c r="H3202" s="214">
        <v>165000</v>
      </c>
      <c r="I3202" s="214">
        <v>0</v>
      </c>
      <c r="J3202" s="214">
        <f t="shared" ref="J3202:J3265" si="152">I3202-H3202</f>
        <v>-165000</v>
      </c>
      <c r="K3202" s="212" t="s">
        <v>6372</v>
      </c>
      <c r="L3202" s="213"/>
      <c r="M3202" s="212" t="s">
        <v>6179</v>
      </c>
    </row>
    <row r="3203" spans="1:13" ht="21" customHeight="1">
      <c r="A3203" s="213" t="s">
        <v>6438</v>
      </c>
      <c r="B3203" s="215">
        <f t="shared" si="150"/>
        <v>45894</v>
      </c>
      <c r="C3203" s="213" t="s">
        <v>6182</v>
      </c>
      <c r="D3203" s="213" t="s">
        <v>4366</v>
      </c>
      <c r="E3203" s="213" t="s">
        <v>6176</v>
      </c>
      <c r="F3203" s="212" t="s">
        <v>6177</v>
      </c>
      <c r="G3203" s="212" t="str">
        <f t="shared" si="151"/>
        <v>255부가세예수금</v>
      </c>
      <c r="H3203" s="214">
        <v>0</v>
      </c>
      <c r="I3203" s="214">
        <v>15000</v>
      </c>
      <c r="J3203" s="214">
        <f t="shared" si="152"/>
        <v>15000</v>
      </c>
      <c r="K3203" s="212" t="s">
        <v>6395</v>
      </c>
      <c r="L3203" s="213"/>
      <c r="M3203" s="212" t="s">
        <v>6179</v>
      </c>
    </row>
    <row r="3204" spans="1:13" ht="21" customHeight="1">
      <c r="A3204" s="213" t="s">
        <v>6438</v>
      </c>
      <c r="B3204" s="215">
        <f t="shared" si="150"/>
        <v>45894</v>
      </c>
      <c r="C3204" s="213" t="s">
        <v>6182</v>
      </c>
      <c r="D3204" s="213" t="s">
        <v>4366</v>
      </c>
      <c r="E3204" s="213" t="s">
        <v>334</v>
      </c>
      <c r="F3204" s="212" t="s">
        <v>6158</v>
      </c>
      <c r="G3204" s="212" t="str">
        <f t="shared" si="151"/>
        <v>401용역매출</v>
      </c>
      <c r="H3204" s="214">
        <v>0</v>
      </c>
      <c r="I3204" s="214">
        <v>150000</v>
      </c>
      <c r="J3204" s="214">
        <f t="shared" si="152"/>
        <v>150000</v>
      </c>
      <c r="K3204" s="212" t="s">
        <v>6395</v>
      </c>
      <c r="L3204" s="213"/>
      <c r="M3204" s="212" t="s">
        <v>6179</v>
      </c>
    </row>
    <row r="3205" spans="1:13" ht="21" customHeight="1">
      <c r="A3205" s="213" t="s">
        <v>6438</v>
      </c>
      <c r="B3205" s="215">
        <f t="shared" si="150"/>
        <v>45894</v>
      </c>
      <c r="C3205" s="213" t="s">
        <v>6182</v>
      </c>
      <c r="D3205" s="213" t="s">
        <v>4369</v>
      </c>
      <c r="E3205" s="213" t="s">
        <v>333</v>
      </c>
      <c r="F3205" s="212" t="s">
        <v>4365</v>
      </c>
      <c r="G3205" s="212" t="str">
        <f t="shared" si="151"/>
        <v>101현금</v>
      </c>
      <c r="H3205" s="214">
        <v>165000</v>
      </c>
      <c r="I3205" s="214">
        <v>0</v>
      </c>
      <c r="J3205" s="214">
        <f t="shared" si="152"/>
        <v>-165000</v>
      </c>
      <c r="K3205" s="212" t="s">
        <v>6395</v>
      </c>
      <c r="L3205" s="213"/>
      <c r="M3205" s="212" t="s">
        <v>6179</v>
      </c>
    </row>
    <row r="3206" spans="1:13" ht="21" customHeight="1">
      <c r="A3206" s="213" t="s">
        <v>6437</v>
      </c>
      <c r="B3206" s="215">
        <f t="shared" si="150"/>
        <v>45895</v>
      </c>
      <c r="C3206" s="213" t="s">
        <v>4367</v>
      </c>
      <c r="D3206" s="213" t="s">
        <v>4366</v>
      </c>
      <c r="E3206" s="213" t="s">
        <v>6176</v>
      </c>
      <c r="F3206" s="212" t="s">
        <v>6177</v>
      </c>
      <c r="G3206" s="212" t="str">
        <f t="shared" si="151"/>
        <v>255부가세예수금</v>
      </c>
      <c r="H3206" s="214">
        <v>0</v>
      </c>
      <c r="I3206" s="214">
        <v>12000</v>
      </c>
      <c r="J3206" s="214">
        <f t="shared" si="152"/>
        <v>12000</v>
      </c>
      <c r="K3206" s="212" t="s">
        <v>6281</v>
      </c>
      <c r="L3206" s="213"/>
      <c r="M3206" s="212" t="s">
        <v>6225</v>
      </c>
    </row>
    <row r="3207" spans="1:13" ht="21" customHeight="1">
      <c r="A3207" s="213" t="s">
        <v>6437</v>
      </c>
      <c r="B3207" s="215">
        <f t="shared" si="150"/>
        <v>45895</v>
      </c>
      <c r="C3207" s="213" t="s">
        <v>4367</v>
      </c>
      <c r="D3207" s="213" t="s">
        <v>4366</v>
      </c>
      <c r="E3207" s="213" t="s">
        <v>334</v>
      </c>
      <c r="F3207" s="212" t="s">
        <v>6158</v>
      </c>
      <c r="G3207" s="212" t="str">
        <f t="shared" si="151"/>
        <v>401용역매출</v>
      </c>
      <c r="H3207" s="214">
        <v>0</v>
      </c>
      <c r="I3207" s="214">
        <v>120000</v>
      </c>
      <c r="J3207" s="214">
        <f t="shared" si="152"/>
        <v>120000</v>
      </c>
      <c r="K3207" s="212" t="s">
        <v>6281</v>
      </c>
      <c r="L3207" s="213"/>
      <c r="M3207" s="212" t="s">
        <v>6225</v>
      </c>
    </row>
    <row r="3208" spans="1:13" ht="21" customHeight="1">
      <c r="A3208" s="213" t="s">
        <v>6437</v>
      </c>
      <c r="B3208" s="215">
        <f t="shared" si="150"/>
        <v>45895</v>
      </c>
      <c r="C3208" s="213" t="s">
        <v>4367</v>
      </c>
      <c r="D3208" s="213" t="s">
        <v>4369</v>
      </c>
      <c r="E3208" s="213" t="s">
        <v>333</v>
      </c>
      <c r="F3208" s="212" t="s">
        <v>4365</v>
      </c>
      <c r="G3208" s="212" t="str">
        <f t="shared" si="151"/>
        <v>101현금</v>
      </c>
      <c r="H3208" s="214">
        <v>132000</v>
      </c>
      <c r="I3208" s="214">
        <v>0</v>
      </c>
      <c r="J3208" s="214">
        <f t="shared" si="152"/>
        <v>-132000</v>
      </c>
      <c r="K3208" s="212" t="s">
        <v>6281</v>
      </c>
      <c r="L3208" s="213"/>
      <c r="M3208" s="212" t="s">
        <v>6225</v>
      </c>
    </row>
    <row r="3209" spans="1:13" ht="21" customHeight="1">
      <c r="A3209" s="213" t="s">
        <v>6437</v>
      </c>
      <c r="B3209" s="215">
        <f t="shared" si="150"/>
        <v>45895</v>
      </c>
      <c r="C3209" s="213" t="s">
        <v>4374</v>
      </c>
      <c r="D3209" s="213" t="s">
        <v>4366</v>
      </c>
      <c r="E3209" s="213" t="s">
        <v>6176</v>
      </c>
      <c r="F3209" s="212" t="s">
        <v>6177</v>
      </c>
      <c r="G3209" s="212" t="str">
        <f t="shared" si="151"/>
        <v>255부가세예수금</v>
      </c>
      <c r="H3209" s="214">
        <v>0</v>
      </c>
      <c r="I3209" s="214">
        <v>13637</v>
      </c>
      <c r="J3209" s="214">
        <f t="shared" si="152"/>
        <v>13637</v>
      </c>
      <c r="K3209" s="212" t="s">
        <v>6435</v>
      </c>
      <c r="L3209" s="213"/>
      <c r="M3209" s="212" t="s">
        <v>6380</v>
      </c>
    </row>
    <row r="3210" spans="1:13" ht="21" customHeight="1">
      <c r="A3210" s="213" t="s">
        <v>6437</v>
      </c>
      <c r="B3210" s="215">
        <f t="shared" si="150"/>
        <v>45895</v>
      </c>
      <c r="C3210" s="213" t="s">
        <v>4374</v>
      </c>
      <c r="D3210" s="213" t="s">
        <v>4366</v>
      </c>
      <c r="E3210" s="213" t="s">
        <v>334</v>
      </c>
      <c r="F3210" s="212" t="s">
        <v>6158</v>
      </c>
      <c r="G3210" s="212" t="str">
        <f t="shared" si="151"/>
        <v>401용역매출</v>
      </c>
      <c r="H3210" s="214">
        <v>0</v>
      </c>
      <c r="I3210" s="214">
        <v>136363</v>
      </c>
      <c r="J3210" s="214">
        <f t="shared" si="152"/>
        <v>136363</v>
      </c>
      <c r="K3210" s="212" t="s">
        <v>6435</v>
      </c>
      <c r="L3210" s="213"/>
      <c r="M3210" s="212" t="s">
        <v>6380</v>
      </c>
    </row>
    <row r="3211" spans="1:13" ht="21" customHeight="1">
      <c r="A3211" s="213" t="s">
        <v>6437</v>
      </c>
      <c r="B3211" s="215">
        <f t="shared" si="150"/>
        <v>45895</v>
      </c>
      <c r="C3211" s="213" t="s">
        <v>4374</v>
      </c>
      <c r="D3211" s="213" t="s">
        <v>4369</v>
      </c>
      <c r="E3211" s="213" t="s">
        <v>333</v>
      </c>
      <c r="F3211" s="212" t="s">
        <v>4365</v>
      </c>
      <c r="G3211" s="212" t="str">
        <f t="shared" si="151"/>
        <v>101현금</v>
      </c>
      <c r="H3211" s="214">
        <v>150000</v>
      </c>
      <c r="I3211" s="214">
        <v>0</v>
      </c>
      <c r="J3211" s="214">
        <f t="shared" si="152"/>
        <v>-150000</v>
      </c>
      <c r="K3211" s="212" t="s">
        <v>6435</v>
      </c>
      <c r="L3211" s="213"/>
      <c r="M3211" s="212" t="s">
        <v>6380</v>
      </c>
    </row>
    <row r="3212" spans="1:13" ht="21" customHeight="1">
      <c r="A3212" s="213" t="s">
        <v>6436</v>
      </c>
      <c r="B3212" s="215">
        <f t="shared" si="150"/>
        <v>45896</v>
      </c>
      <c r="C3212" s="213" t="s">
        <v>4367</v>
      </c>
      <c r="D3212" s="213" t="s">
        <v>4366</v>
      </c>
      <c r="E3212" s="213" t="s">
        <v>6176</v>
      </c>
      <c r="F3212" s="212" t="s">
        <v>6177</v>
      </c>
      <c r="G3212" s="212" t="str">
        <f t="shared" si="151"/>
        <v>255부가세예수금</v>
      </c>
      <c r="H3212" s="214">
        <v>0</v>
      </c>
      <c r="I3212" s="214">
        <v>13637</v>
      </c>
      <c r="J3212" s="214">
        <f t="shared" si="152"/>
        <v>13637</v>
      </c>
      <c r="K3212" s="212" t="s">
        <v>6435</v>
      </c>
      <c r="L3212" s="213"/>
      <c r="M3212" s="212" t="s">
        <v>6380</v>
      </c>
    </row>
    <row r="3213" spans="1:13" ht="21" customHeight="1">
      <c r="A3213" s="213" t="s">
        <v>6436</v>
      </c>
      <c r="B3213" s="215">
        <f t="shared" si="150"/>
        <v>45896</v>
      </c>
      <c r="C3213" s="213" t="s">
        <v>4367</v>
      </c>
      <c r="D3213" s="213" t="s">
        <v>4366</v>
      </c>
      <c r="E3213" s="213" t="s">
        <v>334</v>
      </c>
      <c r="F3213" s="212" t="s">
        <v>6158</v>
      </c>
      <c r="G3213" s="212" t="str">
        <f t="shared" si="151"/>
        <v>401용역매출</v>
      </c>
      <c r="H3213" s="214">
        <v>0</v>
      </c>
      <c r="I3213" s="214">
        <v>136363</v>
      </c>
      <c r="J3213" s="214">
        <f t="shared" si="152"/>
        <v>136363</v>
      </c>
      <c r="K3213" s="212" t="s">
        <v>6435</v>
      </c>
      <c r="L3213" s="213"/>
      <c r="M3213" s="212" t="s">
        <v>6380</v>
      </c>
    </row>
    <row r="3214" spans="1:13" ht="21" customHeight="1">
      <c r="A3214" s="213" t="s">
        <v>6436</v>
      </c>
      <c r="B3214" s="215">
        <f t="shared" si="150"/>
        <v>45896</v>
      </c>
      <c r="C3214" s="213" t="s">
        <v>4367</v>
      </c>
      <c r="D3214" s="213" t="s">
        <v>4369</v>
      </c>
      <c r="E3214" s="213" t="s">
        <v>333</v>
      </c>
      <c r="F3214" s="212" t="s">
        <v>4365</v>
      </c>
      <c r="G3214" s="212" t="str">
        <f t="shared" si="151"/>
        <v>101현금</v>
      </c>
      <c r="H3214" s="214">
        <v>150000</v>
      </c>
      <c r="I3214" s="214">
        <v>0</v>
      </c>
      <c r="J3214" s="214">
        <f t="shared" si="152"/>
        <v>-150000</v>
      </c>
      <c r="K3214" s="212" t="s">
        <v>6435</v>
      </c>
      <c r="L3214" s="213"/>
      <c r="M3214" s="212" t="s">
        <v>6380</v>
      </c>
    </row>
    <row r="3215" spans="1:13" ht="21" customHeight="1">
      <c r="A3215" s="213" t="s">
        <v>6434</v>
      </c>
      <c r="B3215" s="215">
        <f t="shared" si="150"/>
        <v>45897</v>
      </c>
      <c r="C3215" s="213" t="s">
        <v>4367</v>
      </c>
      <c r="D3215" s="213" t="s">
        <v>4366</v>
      </c>
      <c r="E3215" s="213" t="s">
        <v>6176</v>
      </c>
      <c r="F3215" s="212" t="s">
        <v>6177</v>
      </c>
      <c r="G3215" s="212" t="str">
        <f t="shared" si="151"/>
        <v>255부가세예수금</v>
      </c>
      <c r="H3215" s="214">
        <v>0</v>
      </c>
      <c r="I3215" s="214">
        <v>10000</v>
      </c>
      <c r="J3215" s="214">
        <f t="shared" si="152"/>
        <v>10000</v>
      </c>
      <c r="K3215" s="212" t="s">
        <v>6221</v>
      </c>
      <c r="L3215" s="213"/>
      <c r="M3215" s="212" t="s">
        <v>6185</v>
      </c>
    </row>
    <row r="3216" spans="1:13" ht="21" customHeight="1">
      <c r="A3216" s="213" t="s">
        <v>6434</v>
      </c>
      <c r="B3216" s="215">
        <f t="shared" si="150"/>
        <v>45897</v>
      </c>
      <c r="C3216" s="213" t="s">
        <v>4367</v>
      </c>
      <c r="D3216" s="213" t="s">
        <v>4366</v>
      </c>
      <c r="E3216" s="213" t="s">
        <v>334</v>
      </c>
      <c r="F3216" s="212" t="s">
        <v>6158</v>
      </c>
      <c r="G3216" s="212" t="str">
        <f t="shared" si="151"/>
        <v>401용역매출</v>
      </c>
      <c r="H3216" s="214">
        <v>0</v>
      </c>
      <c r="I3216" s="214">
        <v>100000</v>
      </c>
      <c r="J3216" s="214">
        <f t="shared" si="152"/>
        <v>100000</v>
      </c>
      <c r="K3216" s="212" t="s">
        <v>6221</v>
      </c>
      <c r="L3216" s="213"/>
      <c r="M3216" s="212" t="s">
        <v>6185</v>
      </c>
    </row>
    <row r="3217" spans="1:13" ht="21" customHeight="1">
      <c r="A3217" s="213" t="s">
        <v>6434</v>
      </c>
      <c r="B3217" s="215">
        <f t="shared" si="150"/>
        <v>45897</v>
      </c>
      <c r="C3217" s="213" t="s">
        <v>4367</v>
      </c>
      <c r="D3217" s="213" t="s">
        <v>4369</v>
      </c>
      <c r="E3217" s="213" t="s">
        <v>333</v>
      </c>
      <c r="F3217" s="212" t="s">
        <v>4365</v>
      </c>
      <c r="G3217" s="212" t="str">
        <f t="shared" si="151"/>
        <v>101현금</v>
      </c>
      <c r="H3217" s="214">
        <v>110000</v>
      </c>
      <c r="I3217" s="214">
        <v>0</v>
      </c>
      <c r="J3217" s="214">
        <f t="shared" si="152"/>
        <v>-110000</v>
      </c>
      <c r="K3217" s="212" t="s">
        <v>6221</v>
      </c>
      <c r="L3217" s="213"/>
      <c r="M3217" s="212" t="s">
        <v>6185</v>
      </c>
    </row>
    <row r="3218" spans="1:13" ht="21" customHeight="1">
      <c r="A3218" s="213" t="s">
        <v>6434</v>
      </c>
      <c r="B3218" s="215">
        <f t="shared" si="150"/>
        <v>45897</v>
      </c>
      <c r="C3218" s="213" t="s">
        <v>4374</v>
      </c>
      <c r="D3218" s="213" t="s">
        <v>4366</v>
      </c>
      <c r="E3218" s="213" t="s">
        <v>6176</v>
      </c>
      <c r="F3218" s="212" t="s">
        <v>6177</v>
      </c>
      <c r="G3218" s="212" t="str">
        <f t="shared" si="151"/>
        <v>255부가세예수금</v>
      </c>
      <c r="H3218" s="214">
        <v>0</v>
      </c>
      <c r="I3218" s="214">
        <v>11819</v>
      </c>
      <c r="J3218" s="214">
        <f t="shared" si="152"/>
        <v>11819</v>
      </c>
      <c r="K3218" s="212" t="s">
        <v>6220</v>
      </c>
      <c r="L3218" s="213"/>
      <c r="M3218" s="212" t="s">
        <v>6362</v>
      </c>
    </row>
    <row r="3219" spans="1:13" ht="21" customHeight="1">
      <c r="A3219" s="213" t="s">
        <v>6434</v>
      </c>
      <c r="B3219" s="215">
        <f t="shared" si="150"/>
        <v>45897</v>
      </c>
      <c r="C3219" s="213" t="s">
        <v>4374</v>
      </c>
      <c r="D3219" s="213" t="s">
        <v>4366</v>
      </c>
      <c r="E3219" s="213" t="s">
        <v>334</v>
      </c>
      <c r="F3219" s="212" t="s">
        <v>6158</v>
      </c>
      <c r="G3219" s="212" t="str">
        <f t="shared" si="151"/>
        <v>401용역매출</v>
      </c>
      <c r="H3219" s="214">
        <v>0</v>
      </c>
      <c r="I3219" s="214">
        <v>118181</v>
      </c>
      <c r="J3219" s="214">
        <f t="shared" si="152"/>
        <v>118181</v>
      </c>
      <c r="K3219" s="212" t="s">
        <v>6220</v>
      </c>
      <c r="L3219" s="213"/>
      <c r="M3219" s="212" t="s">
        <v>6362</v>
      </c>
    </row>
    <row r="3220" spans="1:13" ht="21" customHeight="1">
      <c r="A3220" s="213" t="s">
        <v>6434</v>
      </c>
      <c r="B3220" s="215">
        <f t="shared" si="150"/>
        <v>45897</v>
      </c>
      <c r="C3220" s="213" t="s">
        <v>4374</v>
      </c>
      <c r="D3220" s="213" t="s">
        <v>4369</v>
      </c>
      <c r="E3220" s="213" t="s">
        <v>333</v>
      </c>
      <c r="F3220" s="212" t="s">
        <v>4365</v>
      </c>
      <c r="G3220" s="212" t="str">
        <f t="shared" si="151"/>
        <v>101현금</v>
      </c>
      <c r="H3220" s="214">
        <v>130000</v>
      </c>
      <c r="I3220" s="214">
        <v>0</v>
      </c>
      <c r="J3220" s="214">
        <f t="shared" si="152"/>
        <v>-130000</v>
      </c>
      <c r="K3220" s="212" t="s">
        <v>6220</v>
      </c>
      <c r="L3220" s="213"/>
      <c r="M3220" s="212" t="s">
        <v>6362</v>
      </c>
    </row>
    <row r="3221" spans="1:13" ht="21" customHeight="1">
      <c r="A3221" s="213" t="s">
        <v>6434</v>
      </c>
      <c r="B3221" s="215">
        <f t="shared" si="150"/>
        <v>45897</v>
      </c>
      <c r="C3221" s="213" t="s">
        <v>6182</v>
      </c>
      <c r="D3221" s="213" t="s">
        <v>4366</v>
      </c>
      <c r="E3221" s="213" t="s">
        <v>6176</v>
      </c>
      <c r="F3221" s="212" t="s">
        <v>6177</v>
      </c>
      <c r="G3221" s="212" t="str">
        <f t="shared" si="151"/>
        <v>255부가세예수금</v>
      </c>
      <c r="H3221" s="214">
        <v>0</v>
      </c>
      <c r="I3221" s="214">
        <v>10000</v>
      </c>
      <c r="J3221" s="214">
        <f t="shared" si="152"/>
        <v>10000</v>
      </c>
      <c r="K3221" s="212" t="s">
        <v>6209</v>
      </c>
      <c r="L3221" s="213"/>
      <c r="M3221" s="212" t="s">
        <v>6185</v>
      </c>
    </row>
    <row r="3222" spans="1:13" ht="21" customHeight="1">
      <c r="A3222" s="213" t="s">
        <v>6434</v>
      </c>
      <c r="B3222" s="215">
        <f t="shared" si="150"/>
        <v>45897</v>
      </c>
      <c r="C3222" s="213" t="s">
        <v>6182</v>
      </c>
      <c r="D3222" s="213" t="s">
        <v>4366</v>
      </c>
      <c r="E3222" s="213" t="s">
        <v>334</v>
      </c>
      <c r="F3222" s="212" t="s">
        <v>6158</v>
      </c>
      <c r="G3222" s="212" t="str">
        <f t="shared" si="151"/>
        <v>401용역매출</v>
      </c>
      <c r="H3222" s="214">
        <v>0</v>
      </c>
      <c r="I3222" s="214">
        <v>100000</v>
      </c>
      <c r="J3222" s="214">
        <f t="shared" si="152"/>
        <v>100000</v>
      </c>
      <c r="K3222" s="212" t="s">
        <v>6209</v>
      </c>
      <c r="L3222" s="213"/>
      <c r="M3222" s="212" t="s">
        <v>6185</v>
      </c>
    </row>
    <row r="3223" spans="1:13" ht="21" customHeight="1">
      <c r="A3223" s="213" t="s">
        <v>6434</v>
      </c>
      <c r="B3223" s="215">
        <f t="shared" si="150"/>
        <v>45897</v>
      </c>
      <c r="C3223" s="213" t="s">
        <v>6182</v>
      </c>
      <c r="D3223" s="213" t="s">
        <v>4369</v>
      </c>
      <c r="E3223" s="213" t="s">
        <v>333</v>
      </c>
      <c r="F3223" s="212" t="s">
        <v>4365</v>
      </c>
      <c r="G3223" s="212" t="str">
        <f t="shared" si="151"/>
        <v>101현금</v>
      </c>
      <c r="H3223" s="214">
        <v>110000</v>
      </c>
      <c r="I3223" s="214">
        <v>0</v>
      </c>
      <c r="J3223" s="214">
        <f t="shared" si="152"/>
        <v>-110000</v>
      </c>
      <c r="K3223" s="212" t="s">
        <v>6209</v>
      </c>
      <c r="L3223" s="213"/>
      <c r="M3223" s="212" t="s">
        <v>6185</v>
      </c>
    </row>
    <row r="3224" spans="1:13" ht="21" customHeight="1">
      <c r="A3224" s="213" t="s">
        <v>6434</v>
      </c>
      <c r="B3224" s="215">
        <f t="shared" si="150"/>
        <v>45897</v>
      </c>
      <c r="C3224" s="213" t="s">
        <v>6184</v>
      </c>
      <c r="D3224" s="213" t="s">
        <v>4366</v>
      </c>
      <c r="E3224" s="213" t="s">
        <v>6176</v>
      </c>
      <c r="F3224" s="212" t="s">
        <v>6177</v>
      </c>
      <c r="G3224" s="212" t="str">
        <f t="shared" si="151"/>
        <v>255부가세예수금</v>
      </c>
      <c r="H3224" s="214">
        <v>0</v>
      </c>
      <c r="I3224" s="214">
        <v>15000</v>
      </c>
      <c r="J3224" s="214">
        <f t="shared" si="152"/>
        <v>15000</v>
      </c>
      <c r="K3224" s="212" t="s">
        <v>6211</v>
      </c>
      <c r="L3224" s="213"/>
      <c r="M3224" s="212" t="s">
        <v>6179</v>
      </c>
    </row>
    <row r="3225" spans="1:13" ht="21" customHeight="1">
      <c r="A3225" s="213" t="s">
        <v>6434</v>
      </c>
      <c r="B3225" s="215">
        <f t="shared" si="150"/>
        <v>45897</v>
      </c>
      <c r="C3225" s="213" t="s">
        <v>6184</v>
      </c>
      <c r="D3225" s="213" t="s">
        <v>4366</v>
      </c>
      <c r="E3225" s="213" t="s">
        <v>334</v>
      </c>
      <c r="F3225" s="212" t="s">
        <v>6158</v>
      </c>
      <c r="G3225" s="212" t="str">
        <f t="shared" si="151"/>
        <v>401용역매출</v>
      </c>
      <c r="H3225" s="214">
        <v>0</v>
      </c>
      <c r="I3225" s="214">
        <v>150000</v>
      </c>
      <c r="J3225" s="214">
        <f t="shared" si="152"/>
        <v>150000</v>
      </c>
      <c r="K3225" s="212" t="s">
        <v>6211</v>
      </c>
      <c r="L3225" s="213"/>
      <c r="M3225" s="212" t="s">
        <v>6179</v>
      </c>
    </row>
    <row r="3226" spans="1:13" ht="21" customHeight="1">
      <c r="A3226" s="213" t="s">
        <v>6434</v>
      </c>
      <c r="B3226" s="215">
        <f t="shared" si="150"/>
        <v>45897</v>
      </c>
      <c r="C3226" s="213" t="s">
        <v>6184</v>
      </c>
      <c r="D3226" s="213" t="s">
        <v>4369</v>
      </c>
      <c r="E3226" s="213" t="s">
        <v>333</v>
      </c>
      <c r="F3226" s="212" t="s">
        <v>4365</v>
      </c>
      <c r="G3226" s="212" t="str">
        <f t="shared" si="151"/>
        <v>101현금</v>
      </c>
      <c r="H3226" s="214">
        <v>165000</v>
      </c>
      <c r="I3226" s="214">
        <v>0</v>
      </c>
      <c r="J3226" s="214">
        <f t="shared" si="152"/>
        <v>-165000</v>
      </c>
      <c r="K3226" s="212" t="s">
        <v>6211</v>
      </c>
      <c r="L3226" s="213"/>
      <c r="M3226" s="212" t="s">
        <v>6179</v>
      </c>
    </row>
    <row r="3227" spans="1:13" ht="21" customHeight="1">
      <c r="A3227" s="213" t="s">
        <v>6434</v>
      </c>
      <c r="B3227" s="215">
        <f t="shared" si="150"/>
        <v>45897</v>
      </c>
      <c r="C3227" s="213" t="s">
        <v>6186</v>
      </c>
      <c r="D3227" s="213" t="s">
        <v>4366</v>
      </c>
      <c r="E3227" s="213" t="s">
        <v>6176</v>
      </c>
      <c r="F3227" s="212" t="s">
        <v>6177</v>
      </c>
      <c r="G3227" s="212" t="str">
        <f t="shared" si="151"/>
        <v>255부가세예수금</v>
      </c>
      <c r="H3227" s="214">
        <v>0</v>
      </c>
      <c r="I3227" s="214">
        <v>10000</v>
      </c>
      <c r="J3227" s="214">
        <f t="shared" si="152"/>
        <v>10000</v>
      </c>
      <c r="K3227" s="212" t="s">
        <v>6210</v>
      </c>
      <c r="L3227" s="213"/>
      <c r="M3227" s="212" t="s">
        <v>6185</v>
      </c>
    </row>
    <row r="3228" spans="1:13" ht="21" customHeight="1">
      <c r="A3228" s="213" t="s">
        <v>6434</v>
      </c>
      <c r="B3228" s="215">
        <f t="shared" si="150"/>
        <v>45897</v>
      </c>
      <c r="C3228" s="213" t="s">
        <v>6186</v>
      </c>
      <c r="D3228" s="213" t="s">
        <v>4366</v>
      </c>
      <c r="E3228" s="213" t="s">
        <v>334</v>
      </c>
      <c r="F3228" s="212" t="s">
        <v>6158</v>
      </c>
      <c r="G3228" s="212" t="str">
        <f t="shared" si="151"/>
        <v>401용역매출</v>
      </c>
      <c r="H3228" s="214">
        <v>0</v>
      </c>
      <c r="I3228" s="214">
        <v>100000</v>
      </c>
      <c r="J3228" s="214">
        <f t="shared" si="152"/>
        <v>100000</v>
      </c>
      <c r="K3228" s="212" t="s">
        <v>6210</v>
      </c>
      <c r="L3228" s="213"/>
      <c r="M3228" s="212" t="s">
        <v>6185</v>
      </c>
    </row>
    <row r="3229" spans="1:13" ht="21" customHeight="1">
      <c r="A3229" s="213" t="s">
        <v>6434</v>
      </c>
      <c r="B3229" s="215">
        <f t="shared" si="150"/>
        <v>45897</v>
      </c>
      <c r="C3229" s="213" t="s">
        <v>6186</v>
      </c>
      <c r="D3229" s="213" t="s">
        <v>4369</v>
      </c>
      <c r="E3229" s="213" t="s">
        <v>333</v>
      </c>
      <c r="F3229" s="212" t="s">
        <v>4365</v>
      </c>
      <c r="G3229" s="212" t="str">
        <f t="shared" si="151"/>
        <v>101현금</v>
      </c>
      <c r="H3229" s="214">
        <v>110000</v>
      </c>
      <c r="I3229" s="214">
        <v>0</v>
      </c>
      <c r="J3229" s="214">
        <f t="shared" si="152"/>
        <v>-110000</v>
      </c>
      <c r="K3229" s="212" t="s">
        <v>6210</v>
      </c>
      <c r="L3229" s="213"/>
      <c r="M3229" s="212" t="s">
        <v>6185</v>
      </c>
    </row>
    <row r="3230" spans="1:13" ht="21" customHeight="1">
      <c r="A3230" s="213" t="s">
        <v>6433</v>
      </c>
      <c r="B3230" s="215">
        <f t="shared" si="150"/>
        <v>45898</v>
      </c>
      <c r="C3230" s="213" t="s">
        <v>4367</v>
      </c>
      <c r="D3230" s="213" t="s">
        <v>4369</v>
      </c>
      <c r="E3230" s="213" t="s">
        <v>4371</v>
      </c>
      <c r="F3230" s="212" t="s">
        <v>4370</v>
      </c>
      <c r="G3230" s="212" t="str">
        <f t="shared" si="151"/>
        <v>135부가세대급금</v>
      </c>
      <c r="H3230" s="214">
        <v>4000</v>
      </c>
      <c r="I3230" s="214">
        <v>0</v>
      </c>
      <c r="J3230" s="214">
        <f t="shared" si="152"/>
        <v>-4000</v>
      </c>
      <c r="K3230" s="212" t="s">
        <v>6227</v>
      </c>
      <c r="L3230" s="213"/>
      <c r="M3230" s="212" t="s">
        <v>6337</v>
      </c>
    </row>
    <row r="3231" spans="1:13" ht="21" customHeight="1">
      <c r="A3231" s="213" t="s">
        <v>6433</v>
      </c>
      <c r="B3231" s="215">
        <f t="shared" si="150"/>
        <v>45898</v>
      </c>
      <c r="C3231" s="213" t="s">
        <v>4367</v>
      </c>
      <c r="D3231" s="213" t="s">
        <v>4369</v>
      </c>
      <c r="E3231" s="213" t="s">
        <v>4368</v>
      </c>
      <c r="F3231" s="212" t="s">
        <v>6388</v>
      </c>
      <c r="G3231" s="212" t="str">
        <f t="shared" si="151"/>
        <v>831지급수수료(판)</v>
      </c>
      <c r="H3231" s="214">
        <v>40000</v>
      </c>
      <c r="I3231" s="214">
        <v>0</v>
      </c>
      <c r="J3231" s="214">
        <f t="shared" si="152"/>
        <v>-40000</v>
      </c>
      <c r="K3231" s="212" t="s">
        <v>6227</v>
      </c>
      <c r="L3231" s="213"/>
      <c r="M3231" s="212" t="s">
        <v>6337</v>
      </c>
    </row>
    <row r="3232" spans="1:13" ht="21" customHeight="1">
      <c r="A3232" s="213" t="s">
        <v>6433</v>
      </c>
      <c r="B3232" s="215">
        <f t="shared" si="150"/>
        <v>45898</v>
      </c>
      <c r="C3232" s="213" t="s">
        <v>4367</v>
      </c>
      <c r="D3232" s="213" t="s">
        <v>4366</v>
      </c>
      <c r="E3232" s="213" t="s">
        <v>333</v>
      </c>
      <c r="F3232" s="212" t="s">
        <v>4365</v>
      </c>
      <c r="G3232" s="212" t="str">
        <f t="shared" si="151"/>
        <v>101현금</v>
      </c>
      <c r="H3232" s="214">
        <v>0</v>
      </c>
      <c r="I3232" s="214">
        <v>44000</v>
      </c>
      <c r="J3232" s="214">
        <f t="shared" si="152"/>
        <v>44000</v>
      </c>
      <c r="K3232" s="212" t="s">
        <v>6227</v>
      </c>
      <c r="L3232" s="213"/>
      <c r="M3232" s="212" t="s">
        <v>6337</v>
      </c>
    </row>
    <row r="3233" spans="1:13" ht="21" customHeight="1">
      <c r="A3233" s="213" t="s">
        <v>6433</v>
      </c>
      <c r="B3233" s="215">
        <f t="shared" si="150"/>
        <v>45898</v>
      </c>
      <c r="C3233" s="213" t="s">
        <v>4374</v>
      </c>
      <c r="D3233" s="213" t="s">
        <v>4369</v>
      </c>
      <c r="E3233" s="213" t="s">
        <v>4371</v>
      </c>
      <c r="F3233" s="212" t="s">
        <v>4370</v>
      </c>
      <c r="G3233" s="212" t="str">
        <f t="shared" si="151"/>
        <v>135부가세대급금</v>
      </c>
      <c r="H3233" s="214">
        <v>1075</v>
      </c>
      <c r="I3233" s="214">
        <v>0</v>
      </c>
      <c r="J3233" s="214">
        <f t="shared" si="152"/>
        <v>-1075</v>
      </c>
      <c r="K3233" s="212" t="s">
        <v>6227</v>
      </c>
      <c r="L3233" s="213"/>
      <c r="M3233" s="212" t="s">
        <v>6338</v>
      </c>
    </row>
    <row r="3234" spans="1:13" ht="21" customHeight="1">
      <c r="A3234" s="213" t="s">
        <v>6433</v>
      </c>
      <c r="B3234" s="215">
        <f t="shared" si="150"/>
        <v>45898</v>
      </c>
      <c r="C3234" s="213" t="s">
        <v>4374</v>
      </c>
      <c r="D3234" s="213" t="s">
        <v>4369</v>
      </c>
      <c r="E3234" s="213" t="s">
        <v>4368</v>
      </c>
      <c r="F3234" s="212" t="s">
        <v>6388</v>
      </c>
      <c r="G3234" s="212" t="str">
        <f t="shared" si="151"/>
        <v>831지급수수료(판)</v>
      </c>
      <c r="H3234" s="214">
        <v>10750</v>
      </c>
      <c r="I3234" s="214">
        <v>0</v>
      </c>
      <c r="J3234" s="214">
        <f t="shared" si="152"/>
        <v>-10750</v>
      </c>
      <c r="K3234" s="212" t="s">
        <v>6227</v>
      </c>
      <c r="L3234" s="213"/>
      <c r="M3234" s="212" t="s">
        <v>6338</v>
      </c>
    </row>
    <row r="3235" spans="1:13" ht="21" customHeight="1">
      <c r="A3235" s="213" t="s">
        <v>6433</v>
      </c>
      <c r="B3235" s="215">
        <f t="shared" si="150"/>
        <v>45898</v>
      </c>
      <c r="C3235" s="213" t="s">
        <v>4374</v>
      </c>
      <c r="D3235" s="213" t="s">
        <v>4366</v>
      </c>
      <c r="E3235" s="213" t="s">
        <v>333</v>
      </c>
      <c r="F3235" s="212" t="s">
        <v>4365</v>
      </c>
      <c r="G3235" s="212" t="str">
        <f t="shared" si="151"/>
        <v>101현금</v>
      </c>
      <c r="H3235" s="214">
        <v>0</v>
      </c>
      <c r="I3235" s="214">
        <v>11825</v>
      </c>
      <c r="J3235" s="214">
        <f t="shared" si="152"/>
        <v>11825</v>
      </c>
      <c r="K3235" s="212" t="s">
        <v>6227</v>
      </c>
      <c r="L3235" s="213"/>
      <c r="M3235" s="212" t="s">
        <v>6338</v>
      </c>
    </row>
    <row r="3236" spans="1:13" ht="21" customHeight="1">
      <c r="A3236" s="216" t="s">
        <v>6432</v>
      </c>
      <c r="B3236" s="215">
        <f t="shared" si="150"/>
        <v>45900</v>
      </c>
      <c r="C3236" s="213" t="s">
        <v>4367</v>
      </c>
      <c r="D3236" s="213" t="s">
        <v>4366</v>
      </c>
      <c r="E3236" s="213" t="s">
        <v>6176</v>
      </c>
      <c r="F3236" s="212" t="s">
        <v>6177</v>
      </c>
      <c r="G3236" s="212" t="str">
        <f t="shared" si="151"/>
        <v>255부가세예수금</v>
      </c>
      <c r="H3236" s="214">
        <v>0</v>
      </c>
      <c r="I3236" s="214">
        <v>10000</v>
      </c>
      <c r="J3236" s="214">
        <f t="shared" si="152"/>
        <v>10000</v>
      </c>
      <c r="K3236" s="212" t="s">
        <v>6271</v>
      </c>
      <c r="L3236" s="213"/>
      <c r="M3236" s="212" t="s">
        <v>6185</v>
      </c>
    </row>
    <row r="3237" spans="1:13" ht="21" customHeight="1">
      <c r="A3237" s="216" t="s">
        <v>6432</v>
      </c>
      <c r="B3237" s="215">
        <f t="shared" si="150"/>
        <v>45900</v>
      </c>
      <c r="C3237" s="213" t="s">
        <v>4367</v>
      </c>
      <c r="D3237" s="213" t="s">
        <v>4366</v>
      </c>
      <c r="E3237" s="213" t="s">
        <v>334</v>
      </c>
      <c r="F3237" s="212" t="s">
        <v>6158</v>
      </c>
      <c r="G3237" s="212" t="str">
        <f t="shared" si="151"/>
        <v>401용역매출</v>
      </c>
      <c r="H3237" s="214">
        <v>0</v>
      </c>
      <c r="I3237" s="214">
        <v>100000</v>
      </c>
      <c r="J3237" s="214">
        <f t="shared" si="152"/>
        <v>100000</v>
      </c>
      <c r="K3237" s="212" t="s">
        <v>6271</v>
      </c>
      <c r="L3237" s="213"/>
      <c r="M3237" s="212" t="s">
        <v>6185</v>
      </c>
    </row>
    <row r="3238" spans="1:13" ht="21" customHeight="1">
      <c r="A3238" s="216" t="s">
        <v>6432</v>
      </c>
      <c r="B3238" s="215">
        <f t="shared" si="150"/>
        <v>45900</v>
      </c>
      <c r="C3238" s="213" t="s">
        <v>4367</v>
      </c>
      <c r="D3238" s="213" t="s">
        <v>4369</v>
      </c>
      <c r="E3238" s="213" t="s">
        <v>333</v>
      </c>
      <c r="F3238" s="212" t="s">
        <v>4365</v>
      </c>
      <c r="G3238" s="212" t="str">
        <f t="shared" si="151"/>
        <v>101현금</v>
      </c>
      <c r="H3238" s="214">
        <v>110000</v>
      </c>
      <c r="I3238" s="214">
        <v>0</v>
      </c>
      <c r="J3238" s="214">
        <f t="shared" si="152"/>
        <v>-110000</v>
      </c>
      <c r="K3238" s="212" t="s">
        <v>6271</v>
      </c>
      <c r="L3238" s="213"/>
      <c r="M3238" s="212" t="s">
        <v>6185</v>
      </c>
    </row>
    <row r="3239" spans="1:13" ht="21" customHeight="1">
      <c r="A3239" s="216" t="s">
        <v>6432</v>
      </c>
      <c r="B3239" s="215">
        <f t="shared" si="150"/>
        <v>45900</v>
      </c>
      <c r="C3239" s="213" t="s">
        <v>4374</v>
      </c>
      <c r="D3239" s="213" t="s">
        <v>4366</v>
      </c>
      <c r="E3239" s="213" t="s">
        <v>6176</v>
      </c>
      <c r="F3239" s="212" t="s">
        <v>6177</v>
      </c>
      <c r="G3239" s="212" t="str">
        <f t="shared" si="151"/>
        <v>255부가세예수금</v>
      </c>
      <c r="H3239" s="214">
        <v>0</v>
      </c>
      <c r="I3239" s="214">
        <v>15000</v>
      </c>
      <c r="J3239" s="214">
        <f t="shared" si="152"/>
        <v>15000</v>
      </c>
      <c r="K3239" s="212" t="s">
        <v>6237</v>
      </c>
      <c r="L3239" s="213"/>
      <c r="M3239" s="212" t="s">
        <v>6179</v>
      </c>
    </row>
    <row r="3240" spans="1:13" ht="21" customHeight="1">
      <c r="A3240" s="216" t="s">
        <v>6432</v>
      </c>
      <c r="B3240" s="215">
        <f t="shared" si="150"/>
        <v>45900</v>
      </c>
      <c r="C3240" s="213" t="s">
        <v>4374</v>
      </c>
      <c r="D3240" s="213" t="s">
        <v>4366</v>
      </c>
      <c r="E3240" s="213" t="s">
        <v>334</v>
      </c>
      <c r="F3240" s="212" t="s">
        <v>6158</v>
      </c>
      <c r="G3240" s="212" t="str">
        <f t="shared" si="151"/>
        <v>401용역매출</v>
      </c>
      <c r="H3240" s="214">
        <v>0</v>
      </c>
      <c r="I3240" s="214">
        <v>150000</v>
      </c>
      <c r="J3240" s="214">
        <f t="shared" si="152"/>
        <v>150000</v>
      </c>
      <c r="K3240" s="212" t="s">
        <v>6237</v>
      </c>
      <c r="L3240" s="213"/>
      <c r="M3240" s="212" t="s">
        <v>6179</v>
      </c>
    </row>
    <row r="3241" spans="1:13" ht="21" customHeight="1">
      <c r="A3241" s="216" t="s">
        <v>6432</v>
      </c>
      <c r="B3241" s="215">
        <f t="shared" si="150"/>
        <v>45900</v>
      </c>
      <c r="C3241" s="213" t="s">
        <v>4374</v>
      </c>
      <c r="D3241" s="213" t="s">
        <v>4369</v>
      </c>
      <c r="E3241" s="213" t="s">
        <v>333</v>
      </c>
      <c r="F3241" s="212" t="s">
        <v>4365</v>
      </c>
      <c r="G3241" s="212" t="str">
        <f t="shared" si="151"/>
        <v>101현금</v>
      </c>
      <c r="H3241" s="214">
        <v>165000</v>
      </c>
      <c r="I3241" s="214">
        <v>0</v>
      </c>
      <c r="J3241" s="214">
        <f t="shared" si="152"/>
        <v>-165000</v>
      </c>
      <c r="K3241" s="212" t="s">
        <v>6237</v>
      </c>
      <c r="L3241" s="213"/>
      <c r="M3241" s="212" t="s">
        <v>6179</v>
      </c>
    </row>
    <row r="3242" spans="1:13" ht="21" customHeight="1">
      <c r="A3242" s="216" t="s">
        <v>6432</v>
      </c>
      <c r="B3242" s="215">
        <f t="shared" si="150"/>
        <v>45900</v>
      </c>
      <c r="C3242" s="213" t="s">
        <v>6182</v>
      </c>
      <c r="D3242" s="213" t="s">
        <v>4366</v>
      </c>
      <c r="E3242" s="213" t="s">
        <v>6176</v>
      </c>
      <c r="F3242" s="212" t="s">
        <v>6177</v>
      </c>
      <c r="G3242" s="212" t="str">
        <f t="shared" si="151"/>
        <v>255부가세예수금</v>
      </c>
      <c r="H3242" s="214">
        <v>0</v>
      </c>
      <c r="I3242" s="214">
        <v>20000</v>
      </c>
      <c r="J3242" s="214">
        <f t="shared" si="152"/>
        <v>20000</v>
      </c>
      <c r="K3242" s="212" t="s">
        <v>6245</v>
      </c>
      <c r="L3242" s="213"/>
      <c r="M3242" s="212" t="s">
        <v>6231</v>
      </c>
    </row>
    <row r="3243" spans="1:13" ht="21" customHeight="1">
      <c r="A3243" s="216" t="s">
        <v>6432</v>
      </c>
      <c r="B3243" s="215">
        <f t="shared" si="150"/>
        <v>45900</v>
      </c>
      <c r="C3243" s="213" t="s">
        <v>6182</v>
      </c>
      <c r="D3243" s="213" t="s">
        <v>4366</v>
      </c>
      <c r="E3243" s="213" t="s">
        <v>334</v>
      </c>
      <c r="F3243" s="212" t="s">
        <v>6158</v>
      </c>
      <c r="G3243" s="212" t="str">
        <f t="shared" si="151"/>
        <v>401용역매출</v>
      </c>
      <c r="H3243" s="214">
        <v>0</v>
      </c>
      <c r="I3243" s="214">
        <v>200000</v>
      </c>
      <c r="J3243" s="214">
        <f t="shared" si="152"/>
        <v>200000</v>
      </c>
      <c r="K3243" s="212" t="s">
        <v>6245</v>
      </c>
      <c r="L3243" s="213"/>
      <c r="M3243" s="212" t="s">
        <v>6231</v>
      </c>
    </row>
    <row r="3244" spans="1:13" ht="21" customHeight="1">
      <c r="A3244" s="216" t="s">
        <v>6432</v>
      </c>
      <c r="B3244" s="215">
        <f t="shared" si="150"/>
        <v>45900</v>
      </c>
      <c r="C3244" s="213" t="s">
        <v>6182</v>
      </c>
      <c r="D3244" s="213" t="s">
        <v>4369</v>
      </c>
      <c r="E3244" s="213" t="s">
        <v>333</v>
      </c>
      <c r="F3244" s="212" t="s">
        <v>4365</v>
      </c>
      <c r="G3244" s="212" t="str">
        <f t="shared" si="151"/>
        <v>101현금</v>
      </c>
      <c r="H3244" s="214">
        <v>220000</v>
      </c>
      <c r="I3244" s="214">
        <v>0</v>
      </c>
      <c r="J3244" s="214">
        <f t="shared" si="152"/>
        <v>-220000</v>
      </c>
      <c r="K3244" s="212" t="s">
        <v>6245</v>
      </c>
      <c r="L3244" s="213"/>
      <c r="M3244" s="212" t="s">
        <v>6231</v>
      </c>
    </row>
    <row r="3245" spans="1:13" ht="21" customHeight="1">
      <c r="A3245" s="216" t="s">
        <v>6432</v>
      </c>
      <c r="B3245" s="215">
        <f t="shared" si="150"/>
        <v>45900</v>
      </c>
      <c r="C3245" s="213" t="s">
        <v>6184</v>
      </c>
      <c r="D3245" s="213" t="s">
        <v>4366</v>
      </c>
      <c r="E3245" s="213" t="s">
        <v>6176</v>
      </c>
      <c r="F3245" s="212" t="s">
        <v>6177</v>
      </c>
      <c r="G3245" s="212" t="str">
        <f t="shared" si="151"/>
        <v>255부가세예수금</v>
      </c>
      <c r="H3245" s="214">
        <v>0</v>
      </c>
      <c r="I3245" s="214">
        <v>20000</v>
      </c>
      <c r="J3245" s="214">
        <f t="shared" si="152"/>
        <v>20000</v>
      </c>
      <c r="K3245" s="212" t="s">
        <v>6236</v>
      </c>
      <c r="L3245" s="213"/>
      <c r="M3245" s="212" t="s">
        <v>6231</v>
      </c>
    </row>
    <row r="3246" spans="1:13" ht="21" customHeight="1">
      <c r="A3246" s="216" t="s">
        <v>6432</v>
      </c>
      <c r="B3246" s="215">
        <f t="shared" si="150"/>
        <v>45900</v>
      </c>
      <c r="C3246" s="213" t="s">
        <v>6184</v>
      </c>
      <c r="D3246" s="213" t="s">
        <v>4366</v>
      </c>
      <c r="E3246" s="213" t="s">
        <v>334</v>
      </c>
      <c r="F3246" s="212" t="s">
        <v>6158</v>
      </c>
      <c r="G3246" s="212" t="str">
        <f t="shared" si="151"/>
        <v>401용역매출</v>
      </c>
      <c r="H3246" s="214">
        <v>0</v>
      </c>
      <c r="I3246" s="214">
        <v>200000</v>
      </c>
      <c r="J3246" s="214">
        <f t="shared" si="152"/>
        <v>200000</v>
      </c>
      <c r="K3246" s="212" t="s">
        <v>6236</v>
      </c>
      <c r="L3246" s="213"/>
      <c r="M3246" s="212" t="s">
        <v>6231</v>
      </c>
    </row>
    <row r="3247" spans="1:13" ht="21" customHeight="1">
      <c r="A3247" s="216" t="s">
        <v>6432</v>
      </c>
      <c r="B3247" s="215">
        <f t="shared" si="150"/>
        <v>45900</v>
      </c>
      <c r="C3247" s="213" t="s">
        <v>6184</v>
      </c>
      <c r="D3247" s="213" t="s">
        <v>4369</v>
      </c>
      <c r="E3247" s="213" t="s">
        <v>333</v>
      </c>
      <c r="F3247" s="212" t="s">
        <v>4365</v>
      </c>
      <c r="G3247" s="212" t="str">
        <f t="shared" si="151"/>
        <v>101현금</v>
      </c>
      <c r="H3247" s="214">
        <v>220000</v>
      </c>
      <c r="I3247" s="214">
        <v>0</v>
      </c>
      <c r="J3247" s="214">
        <f t="shared" si="152"/>
        <v>-220000</v>
      </c>
      <c r="K3247" s="212" t="s">
        <v>6236</v>
      </c>
      <c r="L3247" s="213"/>
      <c r="M3247" s="212" t="s">
        <v>6231</v>
      </c>
    </row>
    <row r="3248" spans="1:13" ht="21" customHeight="1">
      <c r="A3248" s="216" t="s">
        <v>6432</v>
      </c>
      <c r="B3248" s="215">
        <f t="shared" si="150"/>
        <v>45900</v>
      </c>
      <c r="C3248" s="213" t="s">
        <v>6186</v>
      </c>
      <c r="D3248" s="213" t="s">
        <v>4366</v>
      </c>
      <c r="E3248" s="213" t="s">
        <v>6176</v>
      </c>
      <c r="F3248" s="212" t="s">
        <v>6177</v>
      </c>
      <c r="G3248" s="212" t="str">
        <f t="shared" si="151"/>
        <v>255부가세예수금</v>
      </c>
      <c r="H3248" s="214">
        <v>0</v>
      </c>
      <c r="I3248" s="214">
        <v>5000</v>
      </c>
      <c r="J3248" s="214">
        <f t="shared" si="152"/>
        <v>5000</v>
      </c>
      <c r="K3248" s="212" t="s">
        <v>6393</v>
      </c>
      <c r="L3248" s="213"/>
      <c r="M3248" s="212" t="s">
        <v>6282</v>
      </c>
    </row>
    <row r="3249" spans="1:13" ht="21" customHeight="1">
      <c r="A3249" s="216" t="s">
        <v>6432</v>
      </c>
      <c r="B3249" s="215">
        <f t="shared" si="150"/>
        <v>45900</v>
      </c>
      <c r="C3249" s="213" t="s">
        <v>6186</v>
      </c>
      <c r="D3249" s="213" t="s">
        <v>4366</v>
      </c>
      <c r="E3249" s="213" t="s">
        <v>334</v>
      </c>
      <c r="F3249" s="212" t="s">
        <v>6158</v>
      </c>
      <c r="G3249" s="212" t="str">
        <f t="shared" si="151"/>
        <v>401용역매출</v>
      </c>
      <c r="H3249" s="214">
        <v>0</v>
      </c>
      <c r="I3249" s="214">
        <v>50000</v>
      </c>
      <c r="J3249" s="214">
        <f t="shared" si="152"/>
        <v>50000</v>
      </c>
      <c r="K3249" s="212" t="s">
        <v>6393</v>
      </c>
      <c r="L3249" s="213"/>
      <c r="M3249" s="212" t="s">
        <v>6282</v>
      </c>
    </row>
    <row r="3250" spans="1:13" ht="21" customHeight="1">
      <c r="A3250" s="216" t="s">
        <v>6432</v>
      </c>
      <c r="B3250" s="215">
        <f t="shared" si="150"/>
        <v>45900</v>
      </c>
      <c r="C3250" s="213" t="s">
        <v>6186</v>
      </c>
      <c r="D3250" s="213" t="s">
        <v>4369</v>
      </c>
      <c r="E3250" s="213" t="s">
        <v>333</v>
      </c>
      <c r="F3250" s="212" t="s">
        <v>4365</v>
      </c>
      <c r="G3250" s="212" t="str">
        <f t="shared" si="151"/>
        <v>101현금</v>
      </c>
      <c r="H3250" s="214">
        <v>55000</v>
      </c>
      <c r="I3250" s="214">
        <v>0</v>
      </c>
      <c r="J3250" s="214">
        <f t="shared" si="152"/>
        <v>-55000</v>
      </c>
      <c r="K3250" s="212" t="s">
        <v>6393</v>
      </c>
      <c r="L3250" s="213"/>
      <c r="M3250" s="212" t="s">
        <v>6282</v>
      </c>
    </row>
    <row r="3251" spans="1:13" ht="21" customHeight="1">
      <c r="A3251" s="216" t="s">
        <v>6432</v>
      </c>
      <c r="B3251" s="215">
        <f t="shared" si="150"/>
        <v>45900</v>
      </c>
      <c r="C3251" s="213" t="s">
        <v>6189</v>
      </c>
      <c r="D3251" s="213" t="s">
        <v>4366</v>
      </c>
      <c r="E3251" s="213" t="s">
        <v>6176</v>
      </c>
      <c r="F3251" s="212" t="s">
        <v>6177</v>
      </c>
      <c r="G3251" s="212" t="str">
        <f t="shared" si="151"/>
        <v>255부가세예수금</v>
      </c>
      <c r="H3251" s="214">
        <v>0</v>
      </c>
      <c r="I3251" s="214">
        <v>10000</v>
      </c>
      <c r="J3251" s="214">
        <f t="shared" si="152"/>
        <v>10000</v>
      </c>
      <c r="K3251" s="212" t="s">
        <v>6394</v>
      </c>
      <c r="L3251" s="213"/>
      <c r="M3251" s="212" t="s">
        <v>6185</v>
      </c>
    </row>
    <row r="3252" spans="1:13" ht="21" customHeight="1">
      <c r="A3252" s="216" t="s">
        <v>6432</v>
      </c>
      <c r="B3252" s="215">
        <f t="shared" si="150"/>
        <v>45900</v>
      </c>
      <c r="C3252" s="213" t="s">
        <v>6189</v>
      </c>
      <c r="D3252" s="213" t="s">
        <v>4366</v>
      </c>
      <c r="E3252" s="213" t="s">
        <v>334</v>
      </c>
      <c r="F3252" s="212" t="s">
        <v>6158</v>
      </c>
      <c r="G3252" s="212" t="str">
        <f t="shared" si="151"/>
        <v>401용역매출</v>
      </c>
      <c r="H3252" s="214">
        <v>0</v>
      </c>
      <c r="I3252" s="214">
        <v>100000</v>
      </c>
      <c r="J3252" s="214">
        <f t="shared" si="152"/>
        <v>100000</v>
      </c>
      <c r="K3252" s="212" t="s">
        <v>6394</v>
      </c>
      <c r="L3252" s="213"/>
      <c r="M3252" s="212" t="s">
        <v>6185</v>
      </c>
    </row>
    <row r="3253" spans="1:13" ht="21" customHeight="1">
      <c r="A3253" s="216" t="s">
        <v>6432</v>
      </c>
      <c r="B3253" s="215">
        <f t="shared" si="150"/>
        <v>45900</v>
      </c>
      <c r="C3253" s="213" t="s">
        <v>6189</v>
      </c>
      <c r="D3253" s="213" t="s">
        <v>4369</v>
      </c>
      <c r="E3253" s="213" t="s">
        <v>333</v>
      </c>
      <c r="F3253" s="212" t="s">
        <v>4365</v>
      </c>
      <c r="G3253" s="212" t="str">
        <f t="shared" si="151"/>
        <v>101현금</v>
      </c>
      <c r="H3253" s="214">
        <v>110000</v>
      </c>
      <c r="I3253" s="214">
        <v>0</v>
      </c>
      <c r="J3253" s="214">
        <f t="shared" si="152"/>
        <v>-110000</v>
      </c>
      <c r="K3253" s="212" t="s">
        <v>6394</v>
      </c>
      <c r="L3253" s="213"/>
      <c r="M3253" s="212" t="s">
        <v>6185</v>
      </c>
    </row>
    <row r="3254" spans="1:13" ht="21" customHeight="1">
      <c r="A3254" s="216" t="s">
        <v>6432</v>
      </c>
      <c r="B3254" s="215">
        <f t="shared" si="150"/>
        <v>45900</v>
      </c>
      <c r="C3254" s="213" t="s">
        <v>6191</v>
      </c>
      <c r="D3254" s="213" t="s">
        <v>4366</v>
      </c>
      <c r="E3254" s="213" t="s">
        <v>6176</v>
      </c>
      <c r="F3254" s="212" t="s">
        <v>6177</v>
      </c>
      <c r="G3254" s="212" t="str">
        <f t="shared" si="151"/>
        <v>255부가세예수금</v>
      </c>
      <c r="H3254" s="214">
        <v>0</v>
      </c>
      <c r="I3254" s="214">
        <v>9091</v>
      </c>
      <c r="J3254" s="214">
        <f t="shared" si="152"/>
        <v>9091</v>
      </c>
      <c r="K3254" s="212" t="s">
        <v>6295</v>
      </c>
      <c r="L3254" s="213"/>
      <c r="M3254" s="212" t="s">
        <v>6296</v>
      </c>
    </row>
    <row r="3255" spans="1:13" ht="21" customHeight="1">
      <c r="A3255" s="216" t="s">
        <v>6432</v>
      </c>
      <c r="B3255" s="215">
        <f t="shared" si="150"/>
        <v>45900</v>
      </c>
      <c r="C3255" s="213" t="s">
        <v>6191</v>
      </c>
      <c r="D3255" s="213" t="s">
        <v>4366</v>
      </c>
      <c r="E3255" s="213" t="s">
        <v>334</v>
      </c>
      <c r="F3255" s="212" t="s">
        <v>6158</v>
      </c>
      <c r="G3255" s="212" t="str">
        <f t="shared" si="151"/>
        <v>401용역매출</v>
      </c>
      <c r="H3255" s="214">
        <v>0</v>
      </c>
      <c r="I3255" s="214">
        <v>90909</v>
      </c>
      <c r="J3255" s="214">
        <f t="shared" si="152"/>
        <v>90909</v>
      </c>
      <c r="K3255" s="212" t="s">
        <v>6295</v>
      </c>
      <c r="L3255" s="213"/>
      <c r="M3255" s="212" t="s">
        <v>6296</v>
      </c>
    </row>
    <row r="3256" spans="1:13" ht="21" customHeight="1">
      <c r="A3256" s="216" t="s">
        <v>6432</v>
      </c>
      <c r="B3256" s="215">
        <f t="shared" si="150"/>
        <v>45900</v>
      </c>
      <c r="C3256" s="213" t="s">
        <v>6191</v>
      </c>
      <c r="D3256" s="213" t="s">
        <v>4369</v>
      </c>
      <c r="E3256" s="213" t="s">
        <v>333</v>
      </c>
      <c r="F3256" s="212" t="s">
        <v>4365</v>
      </c>
      <c r="G3256" s="212" t="str">
        <f t="shared" si="151"/>
        <v>101현금</v>
      </c>
      <c r="H3256" s="214">
        <v>100000</v>
      </c>
      <c r="I3256" s="214">
        <v>0</v>
      </c>
      <c r="J3256" s="214">
        <f t="shared" si="152"/>
        <v>-100000</v>
      </c>
      <c r="K3256" s="212" t="s">
        <v>6295</v>
      </c>
      <c r="L3256" s="213"/>
      <c r="M3256" s="212" t="s">
        <v>6296</v>
      </c>
    </row>
    <row r="3257" spans="1:13" ht="21" customHeight="1">
      <c r="A3257" s="216" t="s">
        <v>6432</v>
      </c>
      <c r="B3257" s="215">
        <f t="shared" si="150"/>
        <v>45900</v>
      </c>
      <c r="C3257" s="213" t="s">
        <v>6216</v>
      </c>
      <c r="D3257" s="213" t="s">
        <v>4366</v>
      </c>
      <c r="E3257" s="213" t="s">
        <v>6176</v>
      </c>
      <c r="F3257" s="212" t="s">
        <v>6177</v>
      </c>
      <c r="G3257" s="212" t="str">
        <f t="shared" si="151"/>
        <v>255부가세예수금</v>
      </c>
      <c r="H3257" s="214">
        <v>0</v>
      </c>
      <c r="I3257" s="214">
        <v>5000</v>
      </c>
      <c r="J3257" s="214">
        <f t="shared" si="152"/>
        <v>5000</v>
      </c>
      <c r="K3257" s="212" t="s">
        <v>6242</v>
      </c>
      <c r="L3257" s="213"/>
      <c r="M3257" s="212" t="s">
        <v>6282</v>
      </c>
    </row>
    <row r="3258" spans="1:13" ht="21" customHeight="1">
      <c r="A3258" s="216" t="s">
        <v>6432</v>
      </c>
      <c r="B3258" s="215">
        <f t="shared" si="150"/>
        <v>45900</v>
      </c>
      <c r="C3258" s="213" t="s">
        <v>6216</v>
      </c>
      <c r="D3258" s="213" t="s">
        <v>4366</v>
      </c>
      <c r="E3258" s="213" t="s">
        <v>334</v>
      </c>
      <c r="F3258" s="212" t="s">
        <v>6158</v>
      </c>
      <c r="G3258" s="212" t="str">
        <f t="shared" si="151"/>
        <v>401용역매출</v>
      </c>
      <c r="H3258" s="214">
        <v>0</v>
      </c>
      <c r="I3258" s="214">
        <v>50000</v>
      </c>
      <c r="J3258" s="214">
        <f t="shared" si="152"/>
        <v>50000</v>
      </c>
      <c r="K3258" s="212" t="s">
        <v>6242</v>
      </c>
      <c r="L3258" s="213"/>
      <c r="M3258" s="212" t="s">
        <v>6282</v>
      </c>
    </row>
    <row r="3259" spans="1:13" ht="21" customHeight="1">
      <c r="A3259" s="216" t="s">
        <v>6432</v>
      </c>
      <c r="B3259" s="215">
        <f t="shared" si="150"/>
        <v>45900</v>
      </c>
      <c r="C3259" s="213" t="s">
        <v>6216</v>
      </c>
      <c r="D3259" s="213" t="s">
        <v>4369</v>
      </c>
      <c r="E3259" s="213" t="s">
        <v>333</v>
      </c>
      <c r="F3259" s="212" t="s">
        <v>4365</v>
      </c>
      <c r="G3259" s="212" t="str">
        <f t="shared" si="151"/>
        <v>101현금</v>
      </c>
      <c r="H3259" s="214">
        <v>55000</v>
      </c>
      <c r="I3259" s="214">
        <v>0</v>
      </c>
      <c r="J3259" s="214">
        <f t="shared" si="152"/>
        <v>-55000</v>
      </c>
      <c r="K3259" s="212" t="s">
        <v>6242</v>
      </c>
      <c r="L3259" s="213"/>
      <c r="M3259" s="212" t="s">
        <v>6282</v>
      </c>
    </row>
    <row r="3260" spans="1:13" ht="21" customHeight="1">
      <c r="A3260" s="216" t="s">
        <v>6432</v>
      </c>
      <c r="B3260" s="215">
        <f t="shared" si="150"/>
        <v>45900</v>
      </c>
      <c r="C3260" s="213" t="s">
        <v>6217</v>
      </c>
      <c r="D3260" s="213" t="s">
        <v>4366</v>
      </c>
      <c r="E3260" s="213" t="s">
        <v>6176</v>
      </c>
      <c r="F3260" s="212" t="s">
        <v>6177</v>
      </c>
      <c r="G3260" s="212" t="str">
        <f t="shared" si="151"/>
        <v>255부가세예수금</v>
      </c>
      <c r="H3260" s="214">
        <v>0</v>
      </c>
      <c r="I3260" s="214">
        <v>15000</v>
      </c>
      <c r="J3260" s="214">
        <f t="shared" si="152"/>
        <v>15000</v>
      </c>
      <c r="K3260" s="212" t="s">
        <v>6239</v>
      </c>
      <c r="L3260" s="213"/>
      <c r="M3260" s="212" t="s">
        <v>6179</v>
      </c>
    </row>
    <row r="3261" spans="1:13" ht="21" customHeight="1">
      <c r="A3261" s="216" t="s">
        <v>6432</v>
      </c>
      <c r="B3261" s="215">
        <f t="shared" si="150"/>
        <v>45900</v>
      </c>
      <c r="C3261" s="213" t="s">
        <v>6217</v>
      </c>
      <c r="D3261" s="213" t="s">
        <v>4366</v>
      </c>
      <c r="E3261" s="213" t="s">
        <v>334</v>
      </c>
      <c r="F3261" s="212" t="s">
        <v>6158</v>
      </c>
      <c r="G3261" s="212" t="str">
        <f t="shared" si="151"/>
        <v>401용역매출</v>
      </c>
      <c r="H3261" s="214">
        <v>0</v>
      </c>
      <c r="I3261" s="214">
        <v>150000</v>
      </c>
      <c r="J3261" s="214">
        <f t="shared" si="152"/>
        <v>150000</v>
      </c>
      <c r="K3261" s="212" t="s">
        <v>6239</v>
      </c>
      <c r="L3261" s="213"/>
      <c r="M3261" s="212" t="s">
        <v>6179</v>
      </c>
    </row>
    <row r="3262" spans="1:13" ht="21" customHeight="1">
      <c r="A3262" s="216" t="s">
        <v>6432</v>
      </c>
      <c r="B3262" s="215">
        <f t="shared" si="150"/>
        <v>45900</v>
      </c>
      <c r="C3262" s="213" t="s">
        <v>6217</v>
      </c>
      <c r="D3262" s="213" t="s">
        <v>4369</v>
      </c>
      <c r="E3262" s="213" t="s">
        <v>333</v>
      </c>
      <c r="F3262" s="212" t="s">
        <v>4365</v>
      </c>
      <c r="G3262" s="212" t="str">
        <f t="shared" si="151"/>
        <v>101현금</v>
      </c>
      <c r="H3262" s="214">
        <v>165000</v>
      </c>
      <c r="I3262" s="214">
        <v>0</v>
      </c>
      <c r="J3262" s="214">
        <f t="shared" si="152"/>
        <v>-165000</v>
      </c>
      <c r="K3262" s="212" t="s">
        <v>6239</v>
      </c>
      <c r="L3262" s="213"/>
      <c r="M3262" s="212" t="s">
        <v>6179</v>
      </c>
    </row>
    <row r="3263" spans="1:13" ht="21" customHeight="1">
      <c r="A3263" s="216" t="s">
        <v>6432</v>
      </c>
      <c r="B3263" s="215">
        <f t="shared" si="150"/>
        <v>45900</v>
      </c>
      <c r="C3263" s="213" t="s">
        <v>6218</v>
      </c>
      <c r="D3263" s="213" t="s">
        <v>4366</v>
      </c>
      <c r="E3263" s="213" t="s">
        <v>6176</v>
      </c>
      <c r="F3263" s="212" t="s">
        <v>6177</v>
      </c>
      <c r="G3263" s="212" t="str">
        <f t="shared" si="151"/>
        <v>255부가세예수금</v>
      </c>
      <c r="H3263" s="214">
        <v>0</v>
      </c>
      <c r="I3263" s="214">
        <v>7000</v>
      </c>
      <c r="J3263" s="214">
        <f t="shared" si="152"/>
        <v>7000</v>
      </c>
      <c r="K3263" s="212" t="s">
        <v>6247</v>
      </c>
      <c r="L3263" s="213"/>
      <c r="M3263" s="212" t="s">
        <v>6287</v>
      </c>
    </row>
    <row r="3264" spans="1:13" ht="21" customHeight="1">
      <c r="A3264" s="216" t="s">
        <v>6432</v>
      </c>
      <c r="B3264" s="215">
        <f t="shared" si="150"/>
        <v>45900</v>
      </c>
      <c r="C3264" s="213" t="s">
        <v>6218</v>
      </c>
      <c r="D3264" s="213" t="s">
        <v>4366</v>
      </c>
      <c r="E3264" s="213" t="s">
        <v>334</v>
      </c>
      <c r="F3264" s="212" t="s">
        <v>6158</v>
      </c>
      <c r="G3264" s="212" t="str">
        <f t="shared" si="151"/>
        <v>401용역매출</v>
      </c>
      <c r="H3264" s="214">
        <v>0</v>
      </c>
      <c r="I3264" s="214">
        <v>70000</v>
      </c>
      <c r="J3264" s="214">
        <f t="shared" si="152"/>
        <v>70000</v>
      </c>
      <c r="K3264" s="212" t="s">
        <v>6247</v>
      </c>
      <c r="L3264" s="213"/>
      <c r="M3264" s="212" t="s">
        <v>6287</v>
      </c>
    </row>
    <row r="3265" spans="1:13" ht="21" customHeight="1">
      <c r="A3265" s="216" t="s">
        <v>6432</v>
      </c>
      <c r="B3265" s="215">
        <f t="shared" si="150"/>
        <v>45900</v>
      </c>
      <c r="C3265" s="213" t="s">
        <v>6218</v>
      </c>
      <c r="D3265" s="213" t="s">
        <v>4369</v>
      </c>
      <c r="E3265" s="213" t="s">
        <v>333</v>
      </c>
      <c r="F3265" s="212" t="s">
        <v>4365</v>
      </c>
      <c r="G3265" s="212" t="str">
        <f t="shared" si="151"/>
        <v>101현금</v>
      </c>
      <c r="H3265" s="214">
        <v>77000</v>
      </c>
      <c r="I3265" s="214">
        <v>0</v>
      </c>
      <c r="J3265" s="214">
        <f t="shared" si="152"/>
        <v>-77000</v>
      </c>
      <c r="K3265" s="212" t="s">
        <v>6247</v>
      </c>
      <c r="L3265" s="213"/>
      <c r="M3265" s="212" t="s">
        <v>6287</v>
      </c>
    </row>
    <row r="3266" spans="1:13" ht="21" customHeight="1">
      <c r="A3266" s="216" t="s">
        <v>6432</v>
      </c>
      <c r="B3266" s="215">
        <f t="shared" ref="B3266:B3329" si="153">DATEVALUE(A3266)</f>
        <v>45900</v>
      </c>
      <c r="C3266" s="213" t="s">
        <v>6238</v>
      </c>
      <c r="D3266" s="213" t="s">
        <v>4366</v>
      </c>
      <c r="E3266" s="213" t="s">
        <v>6176</v>
      </c>
      <c r="F3266" s="212" t="s">
        <v>6177</v>
      </c>
      <c r="G3266" s="212" t="str">
        <f t="shared" ref="G3266:G3329" si="154">E3266&amp;F3266</f>
        <v>255부가세예수금</v>
      </c>
      <c r="H3266" s="214">
        <v>0</v>
      </c>
      <c r="I3266" s="214">
        <v>10000</v>
      </c>
      <c r="J3266" s="214">
        <f t="shared" ref="J3266:J3329" si="155">I3266-H3266</f>
        <v>10000</v>
      </c>
      <c r="K3266" s="212" t="s">
        <v>6255</v>
      </c>
      <c r="L3266" s="213"/>
      <c r="M3266" s="212" t="s">
        <v>6185</v>
      </c>
    </row>
    <row r="3267" spans="1:13" ht="21" customHeight="1">
      <c r="A3267" s="216" t="s">
        <v>6432</v>
      </c>
      <c r="B3267" s="215">
        <f t="shared" si="153"/>
        <v>45900</v>
      </c>
      <c r="C3267" s="213" t="s">
        <v>6238</v>
      </c>
      <c r="D3267" s="213" t="s">
        <v>4366</v>
      </c>
      <c r="E3267" s="213" t="s">
        <v>334</v>
      </c>
      <c r="F3267" s="212" t="s">
        <v>6158</v>
      </c>
      <c r="G3267" s="212" t="str">
        <f t="shared" si="154"/>
        <v>401용역매출</v>
      </c>
      <c r="H3267" s="214">
        <v>0</v>
      </c>
      <c r="I3267" s="214">
        <v>100000</v>
      </c>
      <c r="J3267" s="214">
        <f t="shared" si="155"/>
        <v>100000</v>
      </c>
      <c r="K3267" s="212" t="s">
        <v>6255</v>
      </c>
      <c r="L3267" s="213"/>
      <c r="M3267" s="212" t="s">
        <v>6185</v>
      </c>
    </row>
    <row r="3268" spans="1:13" ht="21" customHeight="1">
      <c r="A3268" s="216" t="s">
        <v>6432</v>
      </c>
      <c r="B3268" s="215">
        <f t="shared" si="153"/>
        <v>45900</v>
      </c>
      <c r="C3268" s="213" t="s">
        <v>6238</v>
      </c>
      <c r="D3268" s="213" t="s">
        <v>4369</v>
      </c>
      <c r="E3268" s="213" t="s">
        <v>333</v>
      </c>
      <c r="F3268" s="212" t="s">
        <v>4365</v>
      </c>
      <c r="G3268" s="212" t="str">
        <f t="shared" si="154"/>
        <v>101현금</v>
      </c>
      <c r="H3268" s="214">
        <v>110000</v>
      </c>
      <c r="I3268" s="214">
        <v>0</v>
      </c>
      <c r="J3268" s="214">
        <f t="shared" si="155"/>
        <v>-110000</v>
      </c>
      <c r="K3268" s="212" t="s">
        <v>6255</v>
      </c>
      <c r="L3268" s="213"/>
      <c r="M3268" s="212" t="s">
        <v>6185</v>
      </c>
    </row>
    <row r="3269" spans="1:13" ht="21" customHeight="1">
      <c r="A3269" s="216" t="s">
        <v>6432</v>
      </c>
      <c r="B3269" s="215">
        <f t="shared" si="153"/>
        <v>45900</v>
      </c>
      <c r="C3269" s="213" t="s">
        <v>6240</v>
      </c>
      <c r="D3269" s="213" t="s">
        <v>4366</v>
      </c>
      <c r="E3269" s="213" t="s">
        <v>6176</v>
      </c>
      <c r="F3269" s="212" t="s">
        <v>6177</v>
      </c>
      <c r="G3269" s="212" t="str">
        <f t="shared" si="154"/>
        <v>255부가세예수금</v>
      </c>
      <c r="H3269" s="214">
        <v>0</v>
      </c>
      <c r="I3269" s="214">
        <v>15000</v>
      </c>
      <c r="J3269" s="214">
        <f t="shared" si="155"/>
        <v>15000</v>
      </c>
      <c r="K3269" s="212" t="s">
        <v>6400</v>
      </c>
      <c r="L3269" s="213"/>
      <c r="M3269" s="212" t="s">
        <v>6179</v>
      </c>
    </row>
    <row r="3270" spans="1:13" ht="21" customHeight="1">
      <c r="A3270" s="216" t="s">
        <v>6432</v>
      </c>
      <c r="B3270" s="215">
        <f t="shared" si="153"/>
        <v>45900</v>
      </c>
      <c r="C3270" s="213" t="s">
        <v>6240</v>
      </c>
      <c r="D3270" s="213" t="s">
        <v>4366</v>
      </c>
      <c r="E3270" s="213" t="s">
        <v>334</v>
      </c>
      <c r="F3270" s="212" t="s">
        <v>6158</v>
      </c>
      <c r="G3270" s="212" t="str">
        <f t="shared" si="154"/>
        <v>401용역매출</v>
      </c>
      <c r="H3270" s="214">
        <v>0</v>
      </c>
      <c r="I3270" s="214">
        <v>150000</v>
      </c>
      <c r="J3270" s="214">
        <f t="shared" si="155"/>
        <v>150000</v>
      </c>
      <c r="K3270" s="212" t="s">
        <v>6400</v>
      </c>
      <c r="L3270" s="213"/>
      <c r="M3270" s="212" t="s">
        <v>6179</v>
      </c>
    </row>
    <row r="3271" spans="1:13" ht="21" customHeight="1">
      <c r="A3271" s="216" t="s">
        <v>6432</v>
      </c>
      <c r="B3271" s="215">
        <f t="shared" si="153"/>
        <v>45900</v>
      </c>
      <c r="C3271" s="213" t="s">
        <v>6240</v>
      </c>
      <c r="D3271" s="213" t="s">
        <v>4369</v>
      </c>
      <c r="E3271" s="213" t="s">
        <v>333</v>
      </c>
      <c r="F3271" s="212" t="s">
        <v>4365</v>
      </c>
      <c r="G3271" s="212" t="str">
        <f t="shared" si="154"/>
        <v>101현금</v>
      </c>
      <c r="H3271" s="214">
        <v>165000</v>
      </c>
      <c r="I3271" s="214">
        <v>0</v>
      </c>
      <c r="J3271" s="214">
        <f t="shared" si="155"/>
        <v>-165000</v>
      </c>
      <c r="K3271" s="212" t="s">
        <v>6400</v>
      </c>
      <c r="L3271" s="213"/>
      <c r="M3271" s="212" t="s">
        <v>6179</v>
      </c>
    </row>
    <row r="3272" spans="1:13" ht="21" customHeight="1">
      <c r="A3272" s="216" t="s">
        <v>6432</v>
      </c>
      <c r="B3272" s="215">
        <f t="shared" si="153"/>
        <v>45900</v>
      </c>
      <c r="C3272" s="213" t="s">
        <v>6241</v>
      </c>
      <c r="D3272" s="213" t="s">
        <v>4366</v>
      </c>
      <c r="E3272" s="213" t="s">
        <v>6176</v>
      </c>
      <c r="F3272" s="212" t="s">
        <v>6177</v>
      </c>
      <c r="G3272" s="212" t="str">
        <f t="shared" si="154"/>
        <v>255부가세예수금</v>
      </c>
      <c r="H3272" s="214">
        <v>0</v>
      </c>
      <c r="I3272" s="214">
        <v>20000</v>
      </c>
      <c r="J3272" s="214">
        <f t="shared" si="155"/>
        <v>20000</v>
      </c>
      <c r="K3272" s="212" t="s">
        <v>6399</v>
      </c>
      <c r="L3272" s="213"/>
      <c r="M3272" s="212" t="s">
        <v>6231</v>
      </c>
    </row>
    <row r="3273" spans="1:13" ht="21" customHeight="1">
      <c r="A3273" s="216" t="s">
        <v>6432</v>
      </c>
      <c r="B3273" s="215">
        <f t="shared" si="153"/>
        <v>45900</v>
      </c>
      <c r="C3273" s="213" t="s">
        <v>6241</v>
      </c>
      <c r="D3273" s="213" t="s">
        <v>4366</v>
      </c>
      <c r="E3273" s="213" t="s">
        <v>334</v>
      </c>
      <c r="F3273" s="212" t="s">
        <v>6158</v>
      </c>
      <c r="G3273" s="212" t="str">
        <f t="shared" si="154"/>
        <v>401용역매출</v>
      </c>
      <c r="H3273" s="214">
        <v>0</v>
      </c>
      <c r="I3273" s="214">
        <v>200000</v>
      </c>
      <c r="J3273" s="214">
        <f t="shared" si="155"/>
        <v>200000</v>
      </c>
      <c r="K3273" s="212" t="s">
        <v>6399</v>
      </c>
      <c r="L3273" s="213"/>
      <c r="M3273" s="212" t="s">
        <v>6231</v>
      </c>
    </row>
    <row r="3274" spans="1:13" ht="21" customHeight="1">
      <c r="A3274" s="216" t="s">
        <v>6432</v>
      </c>
      <c r="B3274" s="215">
        <f t="shared" si="153"/>
        <v>45900</v>
      </c>
      <c r="C3274" s="213" t="s">
        <v>6241</v>
      </c>
      <c r="D3274" s="213" t="s">
        <v>4369</v>
      </c>
      <c r="E3274" s="213" t="s">
        <v>333</v>
      </c>
      <c r="F3274" s="212" t="s">
        <v>4365</v>
      </c>
      <c r="G3274" s="212" t="str">
        <f t="shared" si="154"/>
        <v>101현금</v>
      </c>
      <c r="H3274" s="214">
        <v>220000</v>
      </c>
      <c r="I3274" s="214">
        <v>0</v>
      </c>
      <c r="J3274" s="214">
        <f t="shared" si="155"/>
        <v>-220000</v>
      </c>
      <c r="K3274" s="212" t="s">
        <v>6399</v>
      </c>
      <c r="L3274" s="213"/>
      <c r="M3274" s="212" t="s">
        <v>6231</v>
      </c>
    </row>
    <row r="3275" spans="1:13" ht="21" customHeight="1">
      <c r="A3275" s="216" t="s">
        <v>6432</v>
      </c>
      <c r="B3275" s="215">
        <f t="shared" si="153"/>
        <v>45900</v>
      </c>
      <c r="C3275" s="213" t="s">
        <v>6243</v>
      </c>
      <c r="D3275" s="213" t="s">
        <v>4366</v>
      </c>
      <c r="E3275" s="213" t="s">
        <v>6176</v>
      </c>
      <c r="F3275" s="212" t="s">
        <v>6177</v>
      </c>
      <c r="G3275" s="212" t="str">
        <f t="shared" si="154"/>
        <v>255부가세예수금</v>
      </c>
      <c r="H3275" s="214">
        <v>0</v>
      </c>
      <c r="I3275" s="214">
        <v>10000</v>
      </c>
      <c r="J3275" s="214">
        <f t="shared" si="155"/>
        <v>10000</v>
      </c>
      <c r="K3275" s="212" t="s">
        <v>6252</v>
      </c>
      <c r="L3275" s="213"/>
      <c r="M3275" s="212" t="s">
        <v>6185</v>
      </c>
    </row>
    <row r="3276" spans="1:13" ht="21" customHeight="1">
      <c r="A3276" s="216" t="s">
        <v>6432</v>
      </c>
      <c r="B3276" s="215">
        <f t="shared" si="153"/>
        <v>45900</v>
      </c>
      <c r="C3276" s="213" t="s">
        <v>6243</v>
      </c>
      <c r="D3276" s="213" t="s">
        <v>4366</v>
      </c>
      <c r="E3276" s="213" t="s">
        <v>334</v>
      </c>
      <c r="F3276" s="212" t="s">
        <v>6158</v>
      </c>
      <c r="G3276" s="212" t="str">
        <f t="shared" si="154"/>
        <v>401용역매출</v>
      </c>
      <c r="H3276" s="214">
        <v>0</v>
      </c>
      <c r="I3276" s="214">
        <v>100000</v>
      </c>
      <c r="J3276" s="214">
        <f t="shared" si="155"/>
        <v>100000</v>
      </c>
      <c r="K3276" s="212" t="s">
        <v>6252</v>
      </c>
      <c r="L3276" s="213"/>
      <c r="M3276" s="212" t="s">
        <v>6185</v>
      </c>
    </row>
    <row r="3277" spans="1:13" ht="21" customHeight="1">
      <c r="A3277" s="216" t="s">
        <v>6432</v>
      </c>
      <c r="B3277" s="215">
        <f t="shared" si="153"/>
        <v>45900</v>
      </c>
      <c r="C3277" s="213" t="s">
        <v>6243</v>
      </c>
      <c r="D3277" s="213" t="s">
        <v>4369</v>
      </c>
      <c r="E3277" s="213" t="s">
        <v>333</v>
      </c>
      <c r="F3277" s="212" t="s">
        <v>4365</v>
      </c>
      <c r="G3277" s="212" t="str">
        <f t="shared" si="154"/>
        <v>101현금</v>
      </c>
      <c r="H3277" s="214">
        <v>110000</v>
      </c>
      <c r="I3277" s="214">
        <v>0</v>
      </c>
      <c r="J3277" s="214">
        <f t="shared" si="155"/>
        <v>-110000</v>
      </c>
      <c r="K3277" s="212" t="s">
        <v>6252</v>
      </c>
      <c r="L3277" s="213"/>
      <c r="M3277" s="212" t="s">
        <v>6185</v>
      </c>
    </row>
    <row r="3278" spans="1:13" ht="21" customHeight="1">
      <c r="A3278" s="216" t="s">
        <v>6432</v>
      </c>
      <c r="B3278" s="215">
        <f t="shared" si="153"/>
        <v>45900</v>
      </c>
      <c r="C3278" s="213" t="s">
        <v>6244</v>
      </c>
      <c r="D3278" s="213" t="s">
        <v>4366</v>
      </c>
      <c r="E3278" s="213" t="s">
        <v>6176</v>
      </c>
      <c r="F3278" s="212" t="s">
        <v>6177</v>
      </c>
      <c r="G3278" s="212" t="str">
        <f t="shared" si="154"/>
        <v>255부가세예수금</v>
      </c>
      <c r="H3278" s="214">
        <v>0</v>
      </c>
      <c r="I3278" s="214">
        <v>15000</v>
      </c>
      <c r="J3278" s="214">
        <f t="shared" si="155"/>
        <v>15000</v>
      </c>
      <c r="K3278" s="212" t="s">
        <v>6390</v>
      </c>
      <c r="L3278" s="213"/>
      <c r="M3278" s="212" t="s">
        <v>6179</v>
      </c>
    </row>
    <row r="3279" spans="1:13" ht="21" customHeight="1">
      <c r="A3279" s="216" t="s">
        <v>6432</v>
      </c>
      <c r="B3279" s="215">
        <f t="shared" si="153"/>
        <v>45900</v>
      </c>
      <c r="C3279" s="213" t="s">
        <v>6244</v>
      </c>
      <c r="D3279" s="213" t="s">
        <v>4366</v>
      </c>
      <c r="E3279" s="213" t="s">
        <v>334</v>
      </c>
      <c r="F3279" s="212" t="s">
        <v>6158</v>
      </c>
      <c r="G3279" s="212" t="str">
        <f t="shared" si="154"/>
        <v>401용역매출</v>
      </c>
      <c r="H3279" s="214">
        <v>0</v>
      </c>
      <c r="I3279" s="214">
        <v>150000</v>
      </c>
      <c r="J3279" s="214">
        <f t="shared" si="155"/>
        <v>150000</v>
      </c>
      <c r="K3279" s="212" t="s">
        <v>6390</v>
      </c>
      <c r="L3279" s="213"/>
      <c r="M3279" s="212" t="s">
        <v>6179</v>
      </c>
    </row>
    <row r="3280" spans="1:13" ht="21" customHeight="1">
      <c r="A3280" s="216" t="s">
        <v>6432</v>
      </c>
      <c r="B3280" s="215">
        <f t="shared" si="153"/>
        <v>45900</v>
      </c>
      <c r="C3280" s="213" t="s">
        <v>6244</v>
      </c>
      <c r="D3280" s="213" t="s">
        <v>4369</v>
      </c>
      <c r="E3280" s="213" t="s">
        <v>333</v>
      </c>
      <c r="F3280" s="212" t="s">
        <v>4365</v>
      </c>
      <c r="G3280" s="212" t="str">
        <f t="shared" si="154"/>
        <v>101현금</v>
      </c>
      <c r="H3280" s="214">
        <v>165000</v>
      </c>
      <c r="I3280" s="214">
        <v>0</v>
      </c>
      <c r="J3280" s="214">
        <f t="shared" si="155"/>
        <v>-165000</v>
      </c>
      <c r="K3280" s="212" t="s">
        <v>6390</v>
      </c>
      <c r="L3280" s="213"/>
      <c r="M3280" s="212" t="s">
        <v>6179</v>
      </c>
    </row>
    <row r="3281" spans="1:13" ht="21" customHeight="1">
      <c r="A3281" s="216" t="s">
        <v>6432</v>
      </c>
      <c r="B3281" s="215">
        <f t="shared" si="153"/>
        <v>45900</v>
      </c>
      <c r="C3281" s="213" t="s">
        <v>6246</v>
      </c>
      <c r="D3281" s="213" t="s">
        <v>4366</v>
      </c>
      <c r="E3281" s="213" t="s">
        <v>6176</v>
      </c>
      <c r="F3281" s="212" t="s">
        <v>6177</v>
      </c>
      <c r="G3281" s="212" t="str">
        <f t="shared" si="154"/>
        <v>255부가세예수금</v>
      </c>
      <c r="H3281" s="214">
        <v>0</v>
      </c>
      <c r="I3281" s="214">
        <v>30000</v>
      </c>
      <c r="J3281" s="214">
        <f t="shared" si="155"/>
        <v>30000</v>
      </c>
      <c r="K3281" s="212" t="s">
        <v>6180</v>
      </c>
      <c r="L3281" s="213"/>
      <c r="M3281" s="212" t="s">
        <v>6190</v>
      </c>
    </row>
    <row r="3282" spans="1:13" ht="21" customHeight="1">
      <c r="A3282" s="216" t="s">
        <v>6432</v>
      </c>
      <c r="B3282" s="215">
        <f t="shared" si="153"/>
        <v>45900</v>
      </c>
      <c r="C3282" s="213" t="s">
        <v>6246</v>
      </c>
      <c r="D3282" s="213" t="s">
        <v>4366</v>
      </c>
      <c r="E3282" s="213" t="s">
        <v>334</v>
      </c>
      <c r="F3282" s="212" t="s">
        <v>6158</v>
      </c>
      <c r="G3282" s="212" t="str">
        <f t="shared" si="154"/>
        <v>401용역매출</v>
      </c>
      <c r="H3282" s="214">
        <v>0</v>
      </c>
      <c r="I3282" s="214">
        <v>300000</v>
      </c>
      <c r="J3282" s="214">
        <f t="shared" si="155"/>
        <v>300000</v>
      </c>
      <c r="K3282" s="212" t="s">
        <v>6180</v>
      </c>
      <c r="L3282" s="213"/>
      <c r="M3282" s="212" t="s">
        <v>6190</v>
      </c>
    </row>
    <row r="3283" spans="1:13" ht="21" customHeight="1">
      <c r="A3283" s="216" t="s">
        <v>6432</v>
      </c>
      <c r="B3283" s="215">
        <f t="shared" si="153"/>
        <v>45900</v>
      </c>
      <c r="C3283" s="213" t="s">
        <v>6246</v>
      </c>
      <c r="D3283" s="213" t="s">
        <v>4369</v>
      </c>
      <c r="E3283" s="213" t="s">
        <v>333</v>
      </c>
      <c r="F3283" s="212" t="s">
        <v>4365</v>
      </c>
      <c r="G3283" s="212" t="str">
        <f t="shared" si="154"/>
        <v>101현금</v>
      </c>
      <c r="H3283" s="214">
        <v>330000</v>
      </c>
      <c r="I3283" s="214">
        <v>0</v>
      </c>
      <c r="J3283" s="214">
        <f t="shared" si="155"/>
        <v>-330000</v>
      </c>
      <c r="K3283" s="212" t="s">
        <v>6180</v>
      </c>
      <c r="L3283" s="213"/>
      <c r="M3283" s="212" t="s">
        <v>6190</v>
      </c>
    </row>
    <row r="3284" spans="1:13" ht="21" customHeight="1">
      <c r="A3284" s="216" t="s">
        <v>6432</v>
      </c>
      <c r="B3284" s="215">
        <f t="shared" si="153"/>
        <v>45900</v>
      </c>
      <c r="C3284" s="213" t="s">
        <v>6248</v>
      </c>
      <c r="D3284" s="213" t="s">
        <v>4366</v>
      </c>
      <c r="E3284" s="213" t="s">
        <v>6176</v>
      </c>
      <c r="F3284" s="212" t="s">
        <v>6177</v>
      </c>
      <c r="G3284" s="212" t="str">
        <f t="shared" si="154"/>
        <v>255부가세예수금</v>
      </c>
      <c r="H3284" s="214">
        <v>0</v>
      </c>
      <c r="I3284" s="214">
        <v>12000</v>
      </c>
      <c r="J3284" s="214">
        <f t="shared" si="155"/>
        <v>12000</v>
      </c>
      <c r="K3284" s="212" t="s">
        <v>6224</v>
      </c>
      <c r="L3284" s="213"/>
      <c r="M3284" s="212" t="s">
        <v>6225</v>
      </c>
    </row>
    <row r="3285" spans="1:13" ht="21" customHeight="1">
      <c r="A3285" s="216" t="s">
        <v>6432</v>
      </c>
      <c r="B3285" s="215">
        <f t="shared" si="153"/>
        <v>45900</v>
      </c>
      <c r="C3285" s="213" t="s">
        <v>6248</v>
      </c>
      <c r="D3285" s="213" t="s">
        <v>4366</v>
      </c>
      <c r="E3285" s="213" t="s">
        <v>334</v>
      </c>
      <c r="F3285" s="212" t="s">
        <v>6158</v>
      </c>
      <c r="G3285" s="212" t="str">
        <f t="shared" si="154"/>
        <v>401용역매출</v>
      </c>
      <c r="H3285" s="214">
        <v>0</v>
      </c>
      <c r="I3285" s="214">
        <v>120000</v>
      </c>
      <c r="J3285" s="214">
        <f t="shared" si="155"/>
        <v>120000</v>
      </c>
      <c r="K3285" s="212" t="s">
        <v>6224</v>
      </c>
      <c r="L3285" s="213"/>
      <c r="M3285" s="212" t="s">
        <v>6225</v>
      </c>
    </row>
    <row r="3286" spans="1:13" ht="21" customHeight="1">
      <c r="A3286" s="216" t="s">
        <v>6432</v>
      </c>
      <c r="B3286" s="215">
        <f t="shared" si="153"/>
        <v>45900</v>
      </c>
      <c r="C3286" s="213" t="s">
        <v>6248</v>
      </c>
      <c r="D3286" s="213" t="s">
        <v>4369</v>
      </c>
      <c r="E3286" s="213" t="s">
        <v>333</v>
      </c>
      <c r="F3286" s="212" t="s">
        <v>4365</v>
      </c>
      <c r="G3286" s="212" t="str">
        <f t="shared" si="154"/>
        <v>101현금</v>
      </c>
      <c r="H3286" s="214">
        <v>132000</v>
      </c>
      <c r="I3286" s="214">
        <v>0</v>
      </c>
      <c r="J3286" s="214">
        <f t="shared" si="155"/>
        <v>-132000</v>
      </c>
      <c r="K3286" s="212" t="s">
        <v>6224</v>
      </c>
      <c r="L3286" s="213"/>
      <c r="M3286" s="212" t="s">
        <v>6225</v>
      </c>
    </row>
    <row r="3287" spans="1:13" ht="21" customHeight="1">
      <c r="A3287" s="216" t="s">
        <v>6432</v>
      </c>
      <c r="B3287" s="215">
        <f t="shared" si="153"/>
        <v>45900</v>
      </c>
      <c r="C3287" s="213" t="s">
        <v>6249</v>
      </c>
      <c r="D3287" s="213" t="s">
        <v>4366</v>
      </c>
      <c r="E3287" s="213" t="s">
        <v>6176</v>
      </c>
      <c r="F3287" s="212" t="s">
        <v>6177</v>
      </c>
      <c r="G3287" s="212" t="str">
        <f t="shared" si="154"/>
        <v>255부가세예수금</v>
      </c>
      <c r="H3287" s="214">
        <v>0</v>
      </c>
      <c r="I3287" s="214">
        <v>7000</v>
      </c>
      <c r="J3287" s="214">
        <f t="shared" si="155"/>
        <v>7000</v>
      </c>
      <c r="K3287" s="212" t="s">
        <v>6336</v>
      </c>
      <c r="L3287" s="213"/>
      <c r="M3287" s="212" t="s">
        <v>6287</v>
      </c>
    </row>
    <row r="3288" spans="1:13" ht="21" customHeight="1">
      <c r="A3288" s="216" t="s">
        <v>6432</v>
      </c>
      <c r="B3288" s="215">
        <f t="shared" si="153"/>
        <v>45900</v>
      </c>
      <c r="C3288" s="213" t="s">
        <v>6249</v>
      </c>
      <c r="D3288" s="213" t="s">
        <v>4366</v>
      </c>
      <c r="E3288" s="213" t="s">
        <v>334</v>
      </c>
      <c r="F3288" s="212" t="s">
        <v>6158</v>
      </c>
      <c r="G3288" s="212" t="str">
        <f t="shared" si="154"/>
        <v>401용역매출</v>
      </c>
      <c r="H3288" s="214">
        <v>0</v>
      </c>
      <c r="I3288" s="214">
        <v>70000</v>
      </c>
      <c r="J3288" s="214">
        <f t="shared" si="155"/>
        <v>70000</v>
      </c>
      <c r="K3288" s="212" t="s">
        <v>6336</v>
      </c>
      <c r="L3288" s="213"/>
      <c r="M3288" s="212" t="s">
        <v>6287</v>
      </c>
    </row>
    <row r="3289" spans="1:13" ht="21" customHeight="1">
      <c r="A3289" s="216" t="s">
        <v>6432</v>
      </c>
      <c r="B3289" s="215">
        <f t="shared" si="153"/>
        <v>45900</v>
      </c>
      <c r="C3289" s="213" t="s">
        <v>6249</v>
      </c>
      <c r="D3289" s="213" t="s">
        <v>4369</v>
      </c>
      <c r="E3289" s="213" t="s">
        <v>333</v>
      </c>
      <c r="F3289" s="212" t="s">
        <v>4365</v>
      </c>
      <c r="G3289" s="212" t="str">
        <f t="shared" si="154"/>
        <v>101현금</v>
      </c>
      <c r="H3289" s="214">
        <v>77000</v>
      </c>
      <c r="I3289" s="214">
        <v>0</v>
      </c>
      <c r="J3289" s="214">
        <f t="shared" si="155"/>
        <v>-77000</v>
      </c>
      <c r="K3289" s="212" t="s">
        <v>6336</v>
      </c>
      <c r="L3289" s="213"/>
      <c r="M3289" s="212" t="s">
        <v>6287</v>
      </c>
    </row>
    <row r="3290" spans="1:13" ht="21" customHeight="1">
      <c r="A3290" s="216" t="s">
        <v>6432</v>
      </c>
      <c r="B3290" s="215">
        <f t="shared" si="153"/>
        <v>45900</v>
      </c>
      <c r="C3290" s="213" t="s">
        <v>6250</v>
      </c>
      <c r="D3290" s="213" t="s">
        <v>4366</v>
      </c>
      <c r="E3290" s="213" t="s">
        <v>6176</v>
      </c>
      <c r="F3290" s="212" t="s">
        <v>6177</v>
      </c>
      <c r="G3290" s="212" t="str">
        <f t="shared" si="154"/>
        <v>255부가세예수금</v>
      </c>
      <c r="H3290" s="214">
        <v>0</v>
      </c>
      <c r="I3290" s="214">
        <v>15000</v>
      </c>
      <c r="J3290" s="214">
        <f t="shared" si="155"/>
        <v>15000</v>
      </c>
      <c r="K3290" s="212" t="s">
        <v>6223</v>
      </c>
      <c r="L3290" s="213"/>
      <c r="M3290" s="212" t="s">
        <v>6179</v>
      </c>
    </row>
    <row r="3291" spans="1:13" ht="21" customHeight="1">
      <c r="A3291" s="216" t="s">
        <v>6432</v>
      </c>
      <c r="B3291" s="215">
        <f t="shared" si="153"/>
        <v>45900</v>
      </c>
      <c r="C3291" s="213" t="s">
        <v>6250</v>
      </c>
      <c r="D3291" s="213" t="s">
        <v>4366</v>
      </c>
      <c r="E3291" s="213" t="s">
        <v>334</v>
      </c>
      <c r="F3291" s="212" t="s">
        <v>6158</v>
      </c>
      <c r="G3291" s="212" t="str">
        <f t="shared" si="154"/>
        <v>401용역매출</v>
      </c>
      <c r="H3291" s="214">
        <v>0</v>
      </c>
      <c r="I3291" s="214">
        <v>150000</v>
      </c>
      <c r="J3291" s="214">
        <f t="shared" si="155"/>
        <v>150000</v>
      </c>
      <c r="K3291" s="212" t="s">
        <v>6223</v>
      </c>
      <c r="L3291" s="213"/>
      <c r="M3291" s="212" t="s">
        <v>6179</v>
      </c>
    </row>
    <row r="3292" spans="1:13" ht="21" customHeight="1">
      <c r="A3292" s="216" t="s">
        <v>6432</v>
      </c>
      <c r="B3292" s="215">
        <f t="shared" si="153"/>
        <v>45900</v>
      </c>
      <c r="C3292" s="213" t="s">
        <v>6250</v>
      </c>
      <c r="D3292" s="213" t="s">
        <v>4369</v>
      </c>
      <c r="E3292" s="213" t="s">
        <v>333</v>
      </c>
      <c r="F3292" s="212" t="s">
        <v>4365</v>
      </c>
      <c r="G3292" s="212" t="str">
        <f t="shared" si="154"/>
        <v>101현금</v>
      </c>
      <c r="H3292" s="214">
        <v>165000</v>
      </c>
      <c r="I3292" s="214">
        <v>0</v>
      </c>
      <c r="J3292" s="214">
        <f t="shared" si="155"/>
        <v>-165000</v>
      </c>
      <c r="K3292" s="212" t="s">
        <v>6223</v>
      </c>
      <c r="L3292" s="213"/>
      <c r="M3292" s="212" t="s">
        <v>6179</v>
      </c>
    </row>
    <row r="3293" spans="1:13" ht="21" customHeight="1">
      <c r="A3293" s="216" t="s">
        <v>6432</v>
      </c>
      <c r="B3293" s="215">
        <f t="shared" si="153"/>
        <v>45900</v>
      </c>
      <c r="C3293" s="213" t="s">
        <v>6251</v>
      </c>
      <c r="D3293" s="213" t="s">
        <v>4366</v>
      </c>
      <c r="E3293" s="213" t="s">
        <v>6176</v>
      </c>
      <c r="F3293" s="212" t="s">
        <v>6177</v>
      </c>
      <c r="G3293" s="212" t="str">
        <f t="shared" si="154"/>
        <v>255부가세예수금</v>
      </c>
      <c r="H3293" s="214">
        <v>0</v>
      </c>
      <c r="I3293" s="214">
        <v>10000</v>
      </c>
      <c r="J3293" s="214">
        <f t="shared" si="155"/>
        <v>10000</v>
      </c>
      <c r="K3293" s="212" t="s">
        <v>6226</v>
      </c>
      <c r="L3293" s="213"/>
      <c r="M3293" s="212" t="s">
        <v>6185</v>
      </c>
    </row>
    <row r="3294" spans="1:13" ht="21" customHeight="1">
      <c r="A3294" s="216" t="s">
        <v>6432</v>
      </c>
      <c r="B3294" s="215">
        <f t="shared" si="153"/>
        <v>45900</v>
      </c>
      <c r="C3294" s="213" t="s">
        <v>6251</v>
      </c>
      <c r="D3294" s="213" t="s">
        <v>4366</v>
      </c>
      <c r="E3294" s="213" t="s">
        <v>334</v>
      </c>
      <c r="F3294" s="212" t="s">
        <v>6158</v>
      </c>
      <c r="G3294" s="212" t="str">
        <f t="shared" si="154"/>
        <v>401용역매출</v>
      </c>
      <c r="H3294" s="214">
        <v>0</v>
      </c>
      <c r="I3294" s="214">
        <v>100000</v>
      </c>
      <c r="J3294" s="214">
        <f t="shared" si="155"/>
        <v>100000</v>
      </c>
      <c r="K3294" s="212" t="s">
        <v>6226</v>
      </c>
      <c r="L3294" s="213"/>
      <c r="M3294" s="212" t="s">
        <v>6185</v>
      </c>
    </row>
    <row r="3295" spans="1:13" ht="21" customHeight="1">
      <c r="A3295" s="216" t="s">
        <v>6432</v>
      </c>
      <c r="B3295" s="215">
        <f t="shared" si="153"/>
        <v>45900</v>
      </c>
      <c r="C3295" s="213" t="s">
        <v>6251</v>
      </c>
      <c r="D3295" s="213" t="s">
        <v>4369</v>
      </c>
      <c r="E3295" s="213" t="s">
        <v>333</v>
      </c>
      <c r="F3295" s="212" t="s">
        <v>4365</v>
      </c>
      <c r="G3295" s="212" t="str">
        <f t="shared" si="154"/>
        <v>101현금</v>
      </c>
      <c r="H3295" s="214">
        <v>110000</v>
      </c>
      <c r="I3295" s="214">
        <v>0</v>
      </c>
      <c r="J3295" s="214">
        <f t="shared" si="155"/>
        <v>-110000</v>
      </c>
      <c r="K3295" s="212" t="s">
        <v>6226</v>
      </c>
      <c r="L3295" s="213"/>
      <c r="M3295" s="212" t="s">
        <v>6185</v>
      </c>
    </row>
    <row r="3296" spans="1:13" ht="21" customHeight="1">
      <c r="A3296" s="216" t="s">
        <v>6432</v>
      </c>
      <c r="B3296" s="215">
        <f t="shared" si="153"/>
        <v>45900</v>
      </c>
      <c r="C3296" s="213" t="s">
        <v>6253</v>
      </c>
      <c r="D3296" s="213" t="s">
        <v>4369</v>
      </c>
      <c r="E3296" s="213" t="s">
        <v>4371</v>
      </c>
      <c r="F3296" s="212" t="s">
        <v>4370</v>
      </c>
      <c r="G3296" s="212" t="str">
        <f t="shared" si="154"/>
        <v>135부가세대급금</v>
      </c>
      <c r="H3296" s="214">
        <v>10000</v>
      </c>
      <c r="I3296" s="214">
        <v>0</v>
      </c>
      <c r="J3296" s="214">
        <f t="shared" si="155"/>
        <v>-10000</v>
      </c>
      <c r="K3296" s="212" t="s">
        <v>6159</v>
      </c>
      <c r="L3296" s="213"/>
      <c r="M3296" s="212" t="s">
        <v>4364</v>
      </c>
    </row>
    <row r="3297" spans="1:13" ht="21" customHeight="1">
      <c r="A3297" s="216" t="s">
        <v>6432</v>
      </c>
      <c r="B3297" s="215">
        <f t="shared" si="153"/>
        <v>45900</v>
      </c>
      <c r="C3297" s="213" t="s">
        <v>6253</v>
      </c>
      <c r="D3297" s="213" t="s">
        <v>4369</v>
      </c>
      <c r="E3297" s="213" t="s">
        <v>4368</v>
      </c>
      <c r="F3297" s="212" t="s">
        <v>6388</v>
      </c>
      <c r="G3297" s="212" t="str">
        <f t="shared" si="154"/>
        <v>831지급수수료(판)</v>
      </c>
      <c r="H3297" s="214">
        <v>100000</v>
      </c>
      <c r="I3297" s="214">
        <v>0</v>
      </c>
      <c r="J3297" s="214">
        <f t="shared" si="155"/>
        <v>-100000</v>
      </c>
      <c r="K3297" s="212" t="s">
        <v>6159</v>
      </c>
      <c r="L3297" s="213"/>
      <c r="M3297" s="212" t="s">
        <v>4364</v>
      </c>
    </row>
    <row r="3298" spans="1:13" ht="21" customHeight="1">
      <c r="A3298" s="216" t="s">
        <v>6432</v>
      </c>
      <c r="B3298" s="215">
        <f t="shared" si="153"/>
        <v>45900</v>
      </c>
      <c r="C3298" s="213" t="s">
        <v>6253</v>
      </c>
      <c r="D3298" s="213" t="s">
        <v>4366</v>
      </c>
      <c r="E3298" s="213" t="s">
        <v>333</v>
      </c>
      <c r="F3298" s="212" t="s">
        <v>4365</v>
      </c>
      <c r="G3298" s="212" t="str">
        <f t="shared" si="154"/>
        <v>101현금</v>
      </c>
      <c r="H3298" s="214">
        <v>0</v>
      </c>
      <c r="I3298" s="214">
        <v>110000</v>
      </c>
      <c r="J3298" s="214">
        <f t="shared" si="155"/>
        <v>110000</v>
      </c>
      <c r="K3298" s="212" t="s">
        <v>6159</v>
      </c>
      <c r="L3298" s="213"/>
      <c r="M3298" s="212" t="s">
        <v>4364</v>
      </c>
    </row>
    <row r="3299" spans="1:13" ht="21" customHeight="1">
      <c r="A3299" s="216" t="s">
        <v>6432</v>
      </c>
      <c r="B3299" s="215">
        <f t="shared" si="153"/>
        <v>45900</v>
      </c>
      <c r="C3299" s="213" t="s">
        <v>6254</v>
      </c>
      <c r="D3299" s="213" t="s">
        <v>4369</v>
      </c>
      <c r="E3299" s="213" t="s">
        <v>4371</v>
      </c>
      <c r="F3299" s="212" t="s">
        <v>4370</v>
      </c>
      <c r="G3299" s="212" t="str">
        <f t="shared" si="154"/>
        <v>135부가세대급금</v>
      </c>
      <c r="H3299" s="214">
        <v>618</v>
      </c>
      <c r="I3299" s="214">
        <v>0</v>
      </c>
      <c r="J3299" s="214">
        <f t="shared" si="155"/>
        <v>-618</v>
      </c>
      <c r="K3299" s="212" t="s">
        <v>6274</v>
      </c>
      <c r="L3299" s="213"/>
      <c r="M3299" s="212" t="s">
        <v>6431</v>
      </c>
    </row>
    <row r="3300" spans="1:13" ht="21" customHeight="1">
      <c r="A3300" s="216" t="s">
        <v>6432</v>
      </c>
      <c r="B3300" s="215">
        <f t="shared" si="153"/>
        <v>45900</v>
      </c>
      <c r="C3300" s="213" t="s">
        <v>6254</v>
      </c>
      <c r="D3300" s="213" t="s">
        <v>4369</v>
      </c>
      <c r="E3300" s="213" t="s">
        <v>4368</v>
      </c>
      <c r="F3300" s="212" t="s">
        <v>6388</v>
      </c>
      <c r="G3300" s="212" t="str">
        <f t="shared" si="154"/>
        <v>831지급수수료(판)</v>
      </c>
      <c r="H3300" s="214">
        <v>6182</v>
      </c>
      <c r="I3300" s="214">
        <v>0</v>
      </c>
      <c r="J3300" s="214">
        <f t="shared" si="155"/>
        <v>-6182</v>
      </c>
      <c r="K3300" s="212" t="s">
        <v>6274</v>
      </c>
      <c r="L3300" s="213"/>
      <c r="M3300" s="212" t="s">
        <v>6431</v>
      </c>
    </row>
    <row r="3301" spans="1:13" ht="21" customHeight="1">
      <c r="A3301" s="216" t="s">
        <v>6432</v>
      </c>
      <c r="B3301" s="215">
        <f t="shared" si="153"/>
        <v>45900</v>
      </c>
      <c r="C3301" s="213" t="s">
        <v>6254</v>
      </c>
      <c r="D3301" s="213" t="s">
        <v>4366</v>
      </c>
      <c r="E3301" s="213" t="s">
        <v>333</v>
      </c>
      <c r="F3301" s="212" t="s">
        <v>4365</v>
      </c>
      <c r="G3301" s="212" t="str">
        <f t="shared" si="154"/>
        <v>101현금</v>
      </c>
      <c r="H3301" s="214">
        <v>0</v>
      </c>
      <c r="I3301" s="214">
        <v>6800</v>
      </c>
      <c r="J3301" s="214">
        <f t="shared" si="155"/>
        <v>6800</v>
      </c>
      <c r="K3301" s="212" t="s">
        <v>6274</v>
      </c>
      <c r="L3301" s="213"/>
      <c r="M3301" s="212" t="s">
        <v>6431</v>
      </c>
    </row>
    <row r="3302" spans="1:13" ht="21" customHeight="1">
      <c r="A3302" s="213" t="s">
        <v>6430</v>
      </c>
      <c r="B3302" s="215">
        <f t="shared" si="153"/>
        <v>45901</v>
      </c>
      <c r="C3302" s="213" t="s">
        <v>4367</v>
      </c>
      <c r="D3302" s="213" t="s">
        <v>4366</v>
      </c>
      <c r="E3302" s="213" t="s">
        <v>6176</v>
      </c>
      <c r="F3302" s="212" t="s">
        <v>6177</v>
      </c>
      <c r="G3302" s="212" t="str">
        <f t="shared" si="154"/>
        <v>255부가세예수금</v>
      </c>
      <c r="H3302" s="214">
        <v>0</v>
      </c>
      <c r="I3302" s="214">
        <v>10000</v>
      </c>
      <c r="J3302" s="214">
        <f t="shared" si="155"/>
        <v>10000</v>
      </c>
      <c r="K3302" s="212" t="s">
        <v>6279</v>
      </c>
      <c r="L3302" s="213"/>
      <c r="M3302" s="212" t="s">
        <v>6185</v>
      </c>
    </row>
    <row r="3303" spans="1:13" ht="21" customHeight="1">
      <c r="A3303" s="213" t="s">
        <v>6430</v>
      </c>
      <c r="B3303" s="215">
        <f t="shared" si="153"/>
        <v>45901</v>
      </c>
      <c r="C3303" s="213" t="s">
        <v>4367</v>
      </c>
      <c r="D3303" s="213" t="s">
        <v>4366</v>
      </c>
      <c r="E3303" s="213" t="s">
        <v>334</v>
      </c>
      <c r="F3303" s="212" t="s">
        <v>6158</v>
      </c>
      <c r="G3303" s="212" t="str">
        <f t="shared" si="154"/>
        <v>401용역매출</v>
      </c>
      <c r="H3303" s="214">
        <v>0</v>
      </c>
      <c r="I3303" s="214">
        <v>100000</v>
      </c>
      <c r="J3303" s="214">
        <f t="shared" si="155"/>
        <v>100000</v>
      </c>
      <c r="K3303" s="212" t="s">
        <v>6279</v>
      </c>
      <c r="L3303" s="213"/>
      <c r="M3303" s="212" t="s">
        <v>6185</v>
      </c>
    </row>
    <row r="3304" spans="1:13" ht="21" customHeight="1">
      <c r="A3304" s="213" t="s">
        <v>6430</v>
      </c>
      <c r="B3304" s="215">
        <f t="shared" si="153"/>
        <v>45901</v>
      </c>
      <c r="C3304" s="213" t="s">
        <v>4367</v>
      </c>
      <c r="D3304" s="213" t="s">
        <v>4369</v>
      </c>
      <c r="E3304" s="213" t="s">
        <v>333</v>
      </c>
      <c r="F3304" s="212" t="s">
        <v>4365</v>
      </c>
      <c r="G3304" s="212" t="str">
        <f t="shared" si="154"/>
        <v>101현금</v>
      </c>
      <c r="H3304" s="214">
        <v>110000</v>
      </c>
      <c r="I3304" s="214">
        <v>0</v>
      </c>
      <c r="J3304" s="214">
        <f t="shared" si="155"/>
        <v>-110000</v>
      </c>
      <c r="K3304" s="212" t="s">
        <v>6279</v>
      </c>
      <c r="L3304" s="213"/>
      <c r="M3304" s="212" t="s">
        <v>6185</v>
      </c>
    </row>
    <row r="3305" spans="1:13" ht="21" customHeight="1">
      <c r="A3305" s="213" t="s">
        <v>6430</v>
      </c>
      <c r="B3305" s="215">
        <f t="shared" si="153"/>
        <v>45901</v>
      </c>
      <c r="C3305" s="213" t="s">
        <v>4374</v>
      </c>
      <c r="D3305" s="213" t="s">
        <v>4366</v>
      </c>
      <c r="E3305" s="213" t="s">
        <v>6176</v>
      </c>
      <c r="F3305" s="212" t="s">
        <v>6177</v>
      </c>
      <c r="G3305" s="212" t="str">
        <f t="shared" si="154"/>
        <v>255부가세예수금</v>
      </c>
      <c r="H3305" s="214">
        <v>0</v>
      </c>
      <c r="I3305" s="214">
        <v>12000</v>
      </c>
      <c r="J3305" s="214">
        <f t="shared" si="155"/>
        <v>12000</v>
      </c>
      <c r="K3305" s="212" t="s">
        <v>6308</v>
      </c>
      <c r="L3305" s="213"/>
      <c r="M3305" s="212" t="s">
        <v>6225</v>
      </c>
    </row>
    <row r="3306" spans="1:13" ht="21" customHeight="1">
      <c r="A3306" s="213" t="s">
        <v>6430</v>
      </c>
      <c r="B3306" s="215">
        <f t="shared" si="153"/>
        <v>45901</v>
      </c>
      <c r="C3306" s="213" t="s">
        <v>4374</v>
      </c>
      <c r="D3306" s="213" t="s">
        <v>4366</v>
      </c>
      <c r="E3306" s="213" t="s">
        <v>334</v>
      </c>
      <c r="F3306" s="212" t="s">
        <v>6158</v>
      </c>
      <c r="G3306" s="212" t="str">
        <f t="shared" si="154"/>
        <v>401용역매출</v>
      </c>
      <c r="H3306" s="214">
        <v>0</v>
      </c>
      <c r="I3306" s="214">
        <v>120000</v>
      </c>
      <c r="J3306" s="214">
        <f t="shared" si="155"/>
        <v>120000</v>
      </c>
      <c r="K3306" s="212" t="s">
        <v>6308</v>
      </c>
      <c r="L3306" s="213"/>
      <c r="M3306" s="212" t="s">
        <v>6225</v>
      </c>
    </row>
    <row r="3307" spans="1:13" ht="21" customHeight="1">
      <c r="A3307" s="213" t="s">
        <v>6430</v>
      </c>
      <c r="B3307" s="215">
        <f t="shared" si="153"/>
        <v>45901</v>
      </c>
      <c r="C3307" s="213" t="s">
        <v>4374</v>
      </c>
      <c r="D3307" s="213" t="s">
        <v>4369</v>
      </c>
      <c r="E3307" s="213" t="s">
        <v>333</v>
      </c>
      <c r="F3307" s="212" t="s">
        <v>4365</v>
      </c>
      <c r="G3307" s="212" t="str">
        <f t="shared" si="154"/>
        <v>101현금</v>
      </c>
      <c r="H3307" s="214">
        <v>132000</v>
      </c>
      <c r="I3307" s="214">
        <v>0</v>
      </c>
      <c r="J3307" s="214">
        <f t="shared" si="155"/>
        <v>-132000</v>
      </c>
      <c r="K3307" s="212" t="s">
        <v>6308</v>
      </c>
      <c r="L3307" s="213"/>
      <c r="M3307" s="212" t="s">
        <v>6225</v>
      </c>
    </row>
    <row r="3308" spans="1:13" ht="21" customHeight="1">
      <c r="A3308" s="213" t="s">
        <v>6430</v>
      </c>
      <c r="B3308" s="215">
        <f t="shared" si="153"/>
        <v>45901</v>
      </c>
      <c r="C3308" s="213" t="s">
        <v>6182</v>
      </c>
      <c r="D3308" s="213" t="s">
        <v>4366</v>
      </c>
      <c r="E3308" s="213" t="s">
        <v>6176</v>
      </c>
      <c r="F3308" s="212" t="s">
        <v>6177</v>
      </c>
      <c r="G3308" s="212" t="str">
        <f t="shared" si="154"/>
        <v>255부가세예수금</v>
      </c>
      <c r="H3308" s="214">
        <v>0</v>
      </c>
      <c r="I3308" s="214">
        <v>15000</v>
      </c>
      <c r="J3308" s="214">
        <f t="shared" si="155"/>
        <v>15000</v>
      </c>
      <c r="K3308" s="212" t="s">
        <v>6181</v>
      </c>
      <c r="L3308" s="213"/>
      <c r="M3308" s="212" t="s">
        <v>6179</v>
      </c>
    </row>
    <row r="3309" spans="1:13" ht="21" customHeight="1">
      <c r="A3309" s="213" t="s">
        <v>6430</v>
      </c>
      <c r="B3309" s="215">
        <f t="shared" si="153"/>
        <v>45901</v>
      </c>
      <c r="C3309" s="213" t="s">
        <v>6182</v>
      </c>
      <c r="D3309" s="213" t="s">
        <v>4366</v>
      </c>
      <c r="E3309" s="213" t="s">
        <v>334</v>
      </c>
      <c r="F3309" s="212" t="s">
        <v>6158</v>
      </c>
      <c r="G3309" s="212" t="str">
        <f t="shared" si="154"/>
        <v>401용역매출</v>
      </c>
      <c r="H3309" s="214">
        <v>0</v>
      </c>
      <c r="I3309" s="214">
        <v>150000</v>
      </c>
      <c r="J3309" s="214">
        <f t="shared" si="155"/>
        <v>150000</v>
      </c>
      <c r="K3309" s="212" t="s">
        <v>6181</v>
      </c>
      <c r="L3309" s="213"/>
      <c r="M3309" s="212" t="s">
        <v>6179</v>
      </c>
    </row>
    <row r="3310" spans="1:13" ht="21" customHeight="1">
      <c r="A3310" s="213" t="s">
        <v>6430</v>
      </c>
      <c r="B3310" s="215">
        <f t="shared" si="153"/>
        <v>45901</v>
      </c>
      <c r="C3310" s="213" t="s">
        <v>6182</v>
      </c>
      <c r="D3310" s="213" t="s">
        <v>4369</v>
      </c>
      <c r="E3310" s="213" t="s">
        <v>333</v>
      </c>
      <c r="F3310" s="212" t="s">
        <v>4365</v>
      </c>
      <c r="G3310" s="212" t="str">
        <f t="shared" si="154"/>
        <v>101현금</v>
      </c>
      <c r="H3310" s="214">
        <v>165000</v>
      </c>
      <c r="I3310" s="214">
        <v>0</v>
      </c>
      <c r="J3310" s="214">
        <f t="shared" si="155"/>
        <v>-165000</v>
      </c>
      <c r="K3310" s="212" t="s">
        <v>6181</v>
      </c>
      <c r="L3310" s="213"/>
      <c r="M3310" s="212" t="s">
        <v>6179</v>
      </c>
    </row>
    <row r="3311" spans="1:13" ht="21" customHeight="1">
      <c r="A3311" s="213" t="s">
        <v>6430</v>
      </c>
      <c r="B3311" s="215">
        <f t="shared" si="153"/>
        <v>45901</v>
      </c>
      <c r="C3311" s="213" t="s">
        <v>6184</v>
      </c>
      <c r="D3311" s="213" t="s">
        <v>4366</v>
      </c>
      <c r="E3311" s="213" t="s">
        <v>6176</v>
      </c>
      <c r="F3311" s="212" t="s">
        <v>6177</v>
      </c>
      <c r="G3311" s="212" t="str">
        <f t="shared" si="154"/>
        <v>255부가세예수금</v>
      </c>
      <c r="H3311" s="214">
        <v>0</v>
      </c>
      <c r="I3311" s="214">
        <v>15000</v>
      </c>
      <c r="J3311" s="214">
        <f t="shared" si="155"/>
        <v>15000</v>
      </c>
      <c r="K3311" s="212" t="s">
        <v>6183</v>
      </c>
      <c r="L3311" s="213"/>
      <c r="M3311" s="212" t="s">
        <v>6179</v>
      </c>
    </row>
    <row r="3312" spans="1:13" ht="21" customHeight="1">
      <c r="A3312" s="213" t="s">
        <v>6430</v>
      </c>
      <c r="B3312" s="215">
        <f t="shared" si="153"/>
        <v>45901</v>
      </c>
      <c r="C3312" s="213" t="s">
        <v>6184</v>
      </c>
      <c r="D3312" s="213" t="s">
        <v>4366</v>
      </c>
      <c r="E3312" s="213" t="s">
        <v>334</v>
      </c>
      <c r="F3312" s="212" t="s">
        <v>6158</v>
      </c>
      <c r="G3312" s="212" t="str">
        <f t="shared" si="154"/>
        <v>401용역매출</v>
      </c>
      <c r="H3312" s="214">
        <v>0</v>
      </c>
      <c r="I3312" s="214">
        <v>150000</v>
      </c>
      <c r="J3312" s="214">
        <f t="shared" si="155"/>
        <v>150000</v>
      </c>
      <c r="K3312" s="212" t="s">
        <v>6183</v>
      </c>
      <c r="L3312" s="213"/>
      <c r="M3312" s="212" t="s">
        <v>6179</v>
      </c>
    </row>
    <row r="3313" spans="1:13" ht="21" customHeight="1">
      <c r="A3313" s="213" t="s">
        <v>6430</v>
      </c>
      <c r="B3313" s="215">
        <f t="shared" si="153"/>
        <v>45901</v>
      </c>
      <c r="C3313" s="213" t="s">
        <v>6184</v>
      </c>
      <c r="D3313" s="213" t="s">
        <v>4369</v>
      </c>
      <c r="E3313" s="213" t="s">
        <v>333</v>
      </c>
      <c r="F3313" s="212" t="s">
        <v>4365</v>
      </c>
      <c r="G3313" s="212" t="str">
        <f t="shared" si="154"/>
        <v>101현금</v>
      </c>
      <c r="H3313" s="214">
        <v>165000</v>
      </c>
      <c r="I3313" s="214">
        <v>0</v>
      </c>
      <c r="J3313" s="214">
        <f t="shared" si="155"/>
        <v>-165000</v>
      </c>
      <c r="K3313" s="212" t="s">
        <v>6183</v>
      </c>
      <c r="L3313" s="213"/>
      <c r="M3313" s="212" t="s">
        <v>6179</v>
      </c>
    </row>
    <row r="3314" spans="1:13" ht="21" customHeight="1">
      <c r="A3314" s="213" t="s">
        <v>6426</v>
      </c>
      <c r="B3314" s="215">
        <f t="shared" si="153"/>
        <v>45903</v>
      </c>
      <c r="C3314" s="213" t="s">
        <v>4367</v>
      </c>
      <c r="D3314" s="213" t="s">
        <v>4366</v>
      </c>
      <c r="E3314" s="213" t="s">
        <v>6176</v>
      </c>
      <c r="F3314" s="212" t="s">
        <v>6177</v>
      </c>
      <c r="G3314" s="212" t="str">
        <f t="shared" si="154"/>
        <v>255부가세예수금</v>
      </c>
      <c r="H3314" s="214">
        <v>0</v>
      </c>
      <c r="I3314" s="214">
        <v>12000</v>
      </c>
      <c r="J3314" s="214">
        <f t="shared" si="155"/>
        <v>12000</v>
      </c>
      <c r="K3314" s="212" t="s">
        <v>6270</v>
      </c>
      <c r="L3314" s="213"/>
      <c r="M3314" s="212" t="s">
        <v>6225</v>
      </c>
    </row>
    <row r="3315" spans="1:13" ht="21" customHeight="1">
      <c r="A3315" s="213" t="s">
        <v>6426</v>
      </c>
      <c r="B3315" s="215">
        <f t="shared" si="153"/>
        <v>45903</v>
      </c>
      <c r="C3315" s="213" t="s">
        <v>4367</v>
      </c>
      <c r="D3315" s="213" t="s">
        <v>4366</v>
      </c>
      <c r="E3315" s="213" t="s">
        <v>334</v>
      </c>
      <c r="F3315" s="212" t="s">
        <v>6158</v>
      </c>
      <c r="G3315" s="212" t="str">
        <f t="shared" si="154"/>
        <v>401용역매출</v>
      </c>
      <c r="H3315" s="214">
        <v>0</v>
      </c>
      <c r="I3315" s="214">
        <v>120000</v>
      </c>
      <c r="J3315" s="214">
        <f t="shared" si="155"/>
        <v>120000</v>
      </c>
      <c r="K3315" s="212" t="s">
        <v>6270</v>
      </c>
      <c r="L3315" s="213"/>
      <c r="M3315" s="212" t="s">
        <v>6225</v>
      </c>
    </row>
    <row r="3316" spans="1:13" ht="21" customHeight="1">
      <c r="A3316" s="213" t="s">
        <v>6426</v>
      </c>
      <c r="B3316" s="215">
        <f t="shared" si="153"/>
        <v>45903</v>
      </c>
      <c r="C3316" s="213" t="s">
        <v>4367</v>
      </c>
      <c r="D3316" s="213" t="s">
        <v>4369</v>
      </c>
      <c r="E3316" s="213" t="s">
        <v>333</v>
      </c>
      <c r="F3316" s="212" t="s">
        <v>4365</v>
      </c>
      <c r="G3316" s="212" t="str">
        <f t="shared" si="154"/>
        <v>101현금</v>
      </c>
      <c r="H3316" s="214">
        <v>132000</v>
      </c>
      <c r="I3316" s="214">
        <v>0</v>
      </c>
      <c r="J3316" s="214">
        <f t="shared" si="155"/>
        <v>-132000</v>
      </c>
      <c r="K3316" s="212" t="s">
        <v>6270</v>
      </c>
      <c r="L3316" s="213"/>
      <c r="M3316" s="212" t="s">
        <v>6225</v>
      </c>
    </row>
    <row r="3317" spans="1:13" ht="21" customHeight="1">
      <c r="A3317" s="213" t="s">
        <v>6426</v>
      </c>
      <c r="B3317" s="215">
        <f t="shared" si="153"/>
        <v>45903</v>
      </c>
      <c r="C3317" s="213" t="s">
        <v>4374</v>
      </c>
      <c r="D3317" s="213" t="s">
        <v>4366</v>
      </c>
      <c r="E3317" s="213" t="s">
        <v>6176</v>
      </c>
      <c r="F3317" s="212" t="s">
        <v>6177</v>
      </c>
      <c r="G3317" s="212" t="str">
        <f t="shared" si="154"/>
        <v>255부가세예수금</v>
      </c>
      <c r="H3317" s="214">
        <v>0</v>
      </c>
      <c r="I3317" s="214">
        <v>15000</v>
      </c>
      <c r="J3317" s="214">
        <f t="shared" si="155"/>
        <v>15000</v>
      </c>
      <c r="K3317" s="212" t="s">
        <v>6267</v>
      </c>
      <c r="L3317" s="213"/>
      <c r="M3317" s="212" t="s">
        <v>6179</v>
      </c>
    </row>
    <row r="3318" spans="1:13" ht="21" customHeight="1">
      <c r="A3318" s="213" t="s">
        <v>6426</v>
      </c>
      <c r="B3318" s="215">
        <f t="shared" si="153"/>
        <v>45903</v>
      </c>
      <c r="C3318" s="213" t="s">
        <v>4374</v>
      </c>
      <c r="D3318" s="213" t="s">
        <v>4366</v>
      </c>
      <c r="E3318" s="213" t="s">
        <v>334</v>
      </c>
      <c r="F3318" s="212" t="s">
        <v>6158</v>
      </c>
      <c r="G3318" s="212" t="str">
        <f t="shared" si="154"/>
        <v>401용역매출</v>
      </c>
      <c r="H3318" s="214">
        <v>0</v>
      </c>
      <c r="I3318" s="214">
        <v>150000</v>
      </c>
      <c r="J3318" s="214">
        <f t="shared" si="155"/>
        <v>150000</v>
      </c>
      <c r="K3318" s="212" t="s">
        <v>6267</v>
      </c>
      <c r="L3318" s="213"/>
      <c r="M3318" s="212" t="s">
        <v>6179</v>
      </c>
    </row>
    <row r="3319" spans="1:13" ht="21" customHeight="1">
      <c r="A3319" s="213" t="s">
        <v>6426</v>
      </c>
      <c r="B3319" s="215">
        <f t="shared" si="153"/>
        <v>45903</v>
      </c>
      <c r="C3319" s="213" t="s">
        <v>4374</v>
      </c>
      <c r="D3319" s="213" t="s">
        <v>4369</v>
      </c>
      <c r="E3319" s="213" t="s">
        <v>333</v>
      </c>
      <c r="F3319" s="212" t="s">
        <v>4365</v>
      </c>
      <c r="G3319" s="212" t="str">
        <f t="shared" si="154"/>
        <v>101현금</v>
      </c>
      <c r="H3319" s="214">
        <v>165000</v>
      </c>
      <c r="I3319" s="214">
        <v>0</v>
      </c>
      <c r="J3319" s="214">
        <f t="shared" si="155"/>
        <v>-165000</v>
      </c>
      <c r="K3319" s="212" t="s">
        <v>6267</v>
      </c>
      <c r="L3319" s="213"/>
      <c r="M3319" s="212" t="s">
        <v>6179</v>
      </c>
    </row>
    <row r="3320" spans="1:13" ht="21" customHeight="1">
      <c r="A3320" s="213" t="s">
        <v>6426</v>
      </c>
      <c r="B3320" s="215">
        <f t="shared" si="153"/>
        <v>45903</v>
      </c>
      <c r="C3320" s="213" t="s">
        <v>6182</v>
      </c>
      <c r="D3320" s="213" t="s">
        <v>4366</v>
      </c>
      <c r="E3320" s="213" t="s">
        <v>6176</v>
      </c>
      <c r="F3320" s="212" t="s">
        <v>6177</v>
      </c>
      <c r="G3320" s="212" t="str">
        <f t="shared" si="154"/>
        <v>255부가세예수금</v>
      </c>
      <c r="H3320" s="214">
        <v>0</v>
      </c>
      <c r="I3320" s="214">
        <v>10000</v>
      </c>
      <c r="J3320" s="214">
        <f t="shared" si="155"/>
        <v>10000</v>
      </c>
      <c r="K3320" s="212" t="s">
        <v>6268</v>
      </c>
      <c r="L3320" s="213"/>
      <c r="M3320" s="212" t="s">
        <v>6185</v>
      </c>
    </row>
    <row r="3321" spans="1:13" ht="21" customHeight="1">
      <c r="A3321" s="213" t="s">
        <v>6426</v>
      </c>
      <c r="B3321" s="215">
        <f t="shared" si="153"/>
        <v>45903</v>
      </c>
      <c r="C3321" s="213" t="s">
        <v>6182</v>
      </c>
      <c r="D3321" s="213" t="s">
        <v>4366</v>
      </c>
      <c r="E3321" s="213" t="s">
        <v>334</v>
      </c>
      <c r="F3321" s="212" t="s">
        <v>6158</v>
      </c>
      <c r="G3321" s="212" t="str">
        <f t="shared" si="154"/>
        <v>401용역매출</v>
      </c>
      <c r="H3321" s="214">
        <v>0</v>
      </c>
      <c r="I3321" s="214">
        <v>100000</v>
      </c>
      <c r="J3321" s="214">
        <f t="shared" si="155"/>
        <v>100000</v>
      </c>
      <c r="K3321" s="212" t="s">
        <v>6268</v>
      </c>
      <c r="L3321" s="213"/>
      <c r="M3321" s="212" t="s">
        <v>6185</v>
      </c>
    </row>
    <row r="3322" spans="1:13" ht="21" customHeight="1">
      <c r="A3322" s="213" t="s">
        <v>6426</v>
      </c>
      <c r="B3322" s="215">
        <f t="shared" si="153"/>
        <v>45903</v>
      </c>
      <c r="C3322" s="213" t="s">
        <v>6182</v>
      </c>
      <c r="D3322" s="213" t="s">
        <v>4369</v>
      </c>
      <c r="E3322" s="213" t="s">
        <v>333</v>
      </c>
      <c r="F3322" s="212" t="s">
        <v>4365</v>
      </c>
      <c r="G3322" s="212" t="str">
        <f t="shared" si="154"/>
        <v>101현금</v>
      </c>
      <c r="H3322" s="214">
        <v>110000</v>
      </c>
      <c r="I3322" s="214">
        <v>0</v>
      </c>
      <c r="J3322" s="214">
        <f t="shared" si="155"/>
        <v>-110000</v>
      </c>
      <c r="K3322" s="212" t="s">
        <v>6268</v>
      </c>
      <c r="L3322" s="213"/>
      <c r="M3322" s="212" t="s">
        <v>6185</v>
      </c>
    </row>
    <row r="3323" spans="1:13" ht="21" customHeight="1">
      <c r="A3323" s="213" t="s">
        <v>6426</v>
      </c>
      <c r="B3323" s="215">
        <f t="shared" si="153"/>
        <v>45903</v>
      </c>
      <c r="C3323" s="213" t="s">
        <v>6184</v>
      </c>
      <c r="D3323" s="213" t="s">
        <v>4366</v>
      </c>
      <c r="E3323" s="213" t="s">
        <v>6176</v>
      </c>
      <c r="F3323" s="212" t="s">
        <v>6177</v>
      </c>
      <c r="G3323" s="212" t="str">
        <f t="shared" si="154"/>
        <v>255부가세예수금</v>
      </c>
      <c r="H3323" s="214">
        <v>0</v>
      </c>
      <c r="I3323" s="214">
        <v>13000</v>
      </c>
      <c r="J3323" s="214">
        <f t="shared" si="155"/>
        <v>13000</v>
      </c>
      <c r="K3323" s="212" t="s">
        <v>6429</v>
      </c>
      <c r="L3323" s="213"/>
      <c r="M3323" s="212" t="s">
        <v>6427</v>
      </c>
    </row>
    <row r="3324" spans="1:13" ht="21" customHeight="1">
      <c r="A3324" s="213" t="s">
        <v>6426</v>
      </c>
      <c r="B3324" s="215">
        <f t="shared" si="153"/>
        <v>45903</v>
      </c>
      <c r="C3324" s="213" t="s">
        <v>6184</v>
      </c>
      <c r="D3324" s="213" t="s">
        <v>4366</v>
      </c>
      <c r="E3324" s="213" t="s">
        <v>334</v>
      </c>
      <c r="F3324" s="212" t="s">
        <v>6158</v>
      </c>
      <c r="G3324" s="212" t="str">
        <f t="shared" si="154"/>
        <v>401용역매출</v>
      </c>
      <c r="H3324" s="214">
        <v>0</v>
      </c>
      <c r="I3324" s="214">
        <v>130000</v>
      </c>
      <c r="J3324" s="214">
        <f t="shared" si="155"/>
        <v>130000</v>
      </c>
      <c r="K3324" s="212" t="s">
        <v>6429</v>
      </c>
      <c r="L3324" s="213"/>
      <c r="M3324" s="212" t="s">
        <v>6427</v>
      </c>
    </row>
    <row r="3325" spans="1:13" ht="21" customHeight="1">
      <c r="A3325" s="213" t="s">
        <v>6426</v>
      </c>
      <c r="B3325" s="215">
        <f t="shared" si="153"/>
        <v>45903</v>
      </c>
      <c r="C3325" s="213" t="s">
        <v>6184</v>
      </c>
      <c r="D3325" s="213" t="s">
        <v>4369</v>
      </c>
      <c r="E3325" s="213" t="s">
        <v>333</v>
      </c>
      <c r="F3325" s="212" t="s">
        <v>4365</v>
      </c>
      <c r="G3325" s="212" t="str">
        <f t="shared" si="154"/>
        <v>101현금</v>
      </c>
      <c r="H3325" s="214">
        <v>143000</v>
      </c>
      <c r="I3325" s="214">
        <v>0</v>
      </c>
      <c r="J3325" s="214">
        <f t="shared" si="155"/>
        <v>-143000</v>
      </c>
      <c r="K3325" s="212" t="s">
        <v>6429</v>
      </c>
      <c r="L3325" s="213"/>
      <c r="M3325" s="212" t="s">
        <v>6427</v>
      </c>
    </row>
    <row r="3326" spans="1:13" ht="21" customHeight="1">
      <c r="A3326" s="213" t="s">
        <v>6426</v>
      </c>
      <c r="B3326" s="215">
        <f t="shared" si="153"/>
        <v>45903</v>
      </c>
      <c r="C3326" s="213" t="s">
        <v>6186</v>
      </c>
      <c r="D3326" s="213" t="s">
        <v>4366</v>
      </c>
      <c r="E3326" s="213" t="s">
        <v>6176</v>
      </c>
      <c r="F3326" s="212" t="s">
        <v>6177</v>
      </c>
      <c r="G3326" s="212" t="str">
        <f t="shared" si="154"/>
        <v>255부가세예수금</v>
      </c>
      <c r="H3326" s="214">
        <v>0</v>
      </c>
      <c r="I3326" s="214">
        <v>13000</v>
      </c>
      <c r="J3326" s="214">
        <f t="shared" si="155"/>
        <v>13000</v>
      </c>
      <c r="K3326" s="212" t="s">
        <v>6428</v>
      </c>
      <c r="L3326" s="213"/>
      <c r="M3326" s="212" t="s">
        <v>6427</v>
      </c>
    </row>
    <row r="3327" spans="1:13" ht="21" customHeight="1">
      <c r="A3327" s="213" t="s">
        <v>6426</v>
      </c>
      <c r="B3327" s="215">
        <f t="shared" si="153"/>
        <v>45903</v>
      </c>
      <c r="C3327" s="213" t="s">
        <v>6186</v>
      </c>
      <c r="D3327" s="213" t="s">
        <v>4366</v>
      </c>
      <c r="E3327" s="213" t="s">
        <v>334</v>
      </c>
      <c r="F3327" s="212" t="s">
        <v>6158</v>
      </c>
      <c r="G3327" s="212" t="str">
        <f t="shared" si="154"/>
        <v>401용역매출</v>
      </c>
      <c r="H3327" s="214">
        <v>0</v>
      </c>
      <c r="I3327" s="214">
        <v>130000</v>
      </c>
      <c r="J3327" s="214">
        <f t="shared" si="155"/>
        <v>130000</v>
      </c>
      <c r="K3327" s="212" t="s">
        <v>6428</v>
      </c>
      <c r="L3327" s="213"/>
      <c r="M3327" s="212" t="s">
        <v>6427</v>
      </c>
    </row>
    <row r="3328" spans="1:13" ht="21" customHeight="1">
      <c r="A3328" s="213" t="s">
        <v>6426</v>
      </c>
      <c r="B3328" s="215">
        <f t="shared" si="153"/>
        <v>45903</v>
      </c>
      <c r="C3328" s="213" t="s">
        <v>6186</v>
      </c>
      <c r="D3328" s="213" t="s">
        <v>4369</v>
      </c>
      <c r="E3328" s="213" t="s">
        <v>333</v>
      </c>
      <c r="F3328" s="212" t="s">
        <v>4365</v>
      </c>
      <c r="G3328" s="212" t="str">
        <f t="shared" si="154"/>
        <v>101현금</v>
      </c>
      <c r="H3328" s="214">
        <v>143000</v>
      </c>
      <c r="I3328" s="214">
        <v>0</v>
      </c>
      <c r="J3328" s="214">
        <f t="shared" si="155"/>
        <v>-143000</v>
      </c>
      <c r="K3328" s="212" t="s">
        <v>6428</v>
      </c>
      <c r="L3328" s="213"/>
      <c r="M3328" s="212" t="s">
        <v>6427</v>
      </c>
    </row>
    <row r="3329" spans="1:13" ht="21" customHeight="1">
      <c r="A3329" s="213" t="s">
        <v>6426</v>
      </c>
      <c r="B3329" s="215">
        <f t="shared" si="153"/>
        <v>45903</v>
      </c>
      <c r="C3329" s="213" t="s">
        <v>6189</v>
      </c>
      <c r="D3329" s="213" t="s">
        <v>4366</v>
      </c>
      <c r="E3329" s="213" t="s">
        <v>6176</v>
      </c>
      <c r="F3329" s="212" t="s">
        <v>6177</v>
      </c>
      <c r="G3329" s="212" t="str">
        <f t="shared" si="154"/>
        <v>255부가세예수금</v>
      </c>
      <c r="H3329" s="214">
        <v>0</v>
      </c>
      <c r="I3329" s="214">
        <v>15000</v>
      </c>
      <c r="J3329" s="214">
        <f t="shared" si="155"/>
        <v>15000</v>
      </c>
      <c r="K3329" s="212" t="s">
        <v>6232</v>
      </c>
      <c r="L3329" s="213"/>
      <c r="M3329" s="212" t="s">
        <v>6179</v>
      </c>
    </row>
    <row r="3330" spans="1:13" ht="21" customHeight="1">
      <c r="A3330" s="213" t="s">
        <v>6426</v>
      </c>
      <c r="B3330" s="215">
        <f t="shared" ref="B3330:B3393" si="156">DATEVALUE(A3330)</f>
        <v>45903</v>
      </c>
      <c r="C3330" s="213" t="s">
        <v>6189</v>
      </c>
      <c r="D3330" s="213" t="s">
        <v>4366</v>
      </c>
      <c r="E3330" s="213" t="s">
        <v>334</v>
      </c>
      <c r="F3330" s="212" t="s">
        <v>6158</v>
      </c>
      <c r="G3330" s="212" t="str">
        <f t="shared" ref="G3330:G3393" si="157">E3330&amp;F3330</f>
        <v>401용역매출</v>
      </c>
      <c r="H3330" s="214">
        <v>0</v>
      </c>
      <c r="I3330" s="214">
        <v>150000</v>
      </c>
      <c r="J3330" s="214">
        <f t="shared" ref="J3330:J3393" si="158">I3330-H3330</f>
        <v>150000</v>
      </c>
      <c r="K3330" s="212" t="s">
        <v>6232</v>
      </c>
      <c r="L3330" s="213"/>
      <c r="M3330" s="212" t="s">
        <v>6179</v>
      </c>
    </row>
    <row r="3331" spans="1:13" ht="21" customHeight="1">
      <c r="A3331" s="213" t="s">
        <v>6426</v>
      </c>
      <c r="B3331" s="215">
        <f t="shared" si="156"/>
        <v>45903</v>
      </c>
      <c r="C3331" s="213" t="s">
        <v>6189</v>
      </c>
      <c r="D3331" s="213" t="s">
        <v>4369</v>
      </c>
      <c r="E3331" s="213" t="s">
        <v>333</v>
      </c>
      <c r="F3331" s="212" t="s">
        <v>4365</v>
      </c>
      <c r="G3331" s="212" t="str">
        <f t="shared" si="157"/>
        <v>101현금</v>
      </c>
      <c r="H3331" s="214">
        <v>165000</v>
      </c>
      <c r="I3331" s="214">
        <v>0</v>
      </c>
      <c r="J3331" s="214">
        <f t="shared" si="158"/>
        <v>-165000</v>
      </c>
      <c r="K3331" s="212" t="s">
        <v>6232</v>
      </c>
      <c r="L3331" s="213"/>
      <c r="M3331" s="212" t="s">
        <v>6179</v>
      </c>
    </row>
    <row r="3332" spans="1:13" ht="21" customHeight="1">
      <c r="A3332" s="213" t="s">
        <v>6426</v>
      </c>
      <c r="B3332" s="215">
        <f t="shared" si="156"/>
        <v>45903</v>
      </c>
      <c r="C3332" s="213" t="s">
        <v>6191</v>
      </c>
      <c r="D3332" s="213" t="s">
        <v>4366</v>
      </c>
      <c r="E3332" s="213" t="s">
        <v>6176</v>
      </c>
      <c r="F3332" s="212" t="s">
        <v>6177</v>
      </c>
      <c r="G3332" s="212" t="str">
        <f t="shared" si="157"/>
        <v>255부가세예수금</v>
      </c>
      <c r="H3332" s="214">
        <v>0</v>
      </c>
      <c r="I3332" s="214">
        <v>15000</v>
      </c>
      <c r="J3332" s="214">
        <f t="shared" si="158"/>
        <v>15000</v>
      </c>
      <c r="K3332" s="212" t="s">
        <v>6310</v>
      </c>
      <c r="L3332" s="213"/>
      <c r="M3332" s="212" t="s">
        <v>6179</v>
      </c>
    </row>
    <row r="3333" spans="1:13" ht="21" customHeight="1">
      <c r="A3333" s="213" t="s">
        <v>6426</v>
      </c>
      <c r="B3333" s="215">
        <f t="shared" si="156"/>
        <v>45903</v>
      </c>
      <c r="C3333" s="213" t="s">
        <v>6191</v>
      </c>
      <c r="D3333" s="213" t="s">
        <v>4366</v>
      </c>
      <c r="E3333" s="213" t="s">
        <v>334</v>
      </c>
      <c r="F3333" s="212" t="s">
        <v>6158</v>
      </c>
      <c r="G3333" s="212" t="str">
        <f t="shared" si="157"/>
        <v>401용역매출</v>
      </c>
      <c r="H3333" s="214">
        <v>0</v>
      </c>
      <c r="I3333" s="214">
        <v>150000</v>
      </c>
      <c r="J3333" s="214">
        <f t="shared" si="158"/>
        <v>150000</v>
      </c>
      <c r="K3333" s="212" t="s">
        <v>6310</v>
      </c>
      <c r="L3333" s="213"/>
      <c r="M3333" s="212" t="s">
        <v>6179</v>
      </c>
    </row>
    <row r="3334" spans="1:13" ht="21" customHeight="1">
      <c r="A3334" s="213" t="s">
        <v>6426</v>
      </c>
      <c r="B3334" s="215">
        <f t="shared" si="156"/>
        <v>45903</v>
      </c>
      <c r="C3334" s="213" t="s">
        <v>6191</v>
      </c>
      <c r="D3334" s="213" t="s">
        <v>4369</v>
      </c>
      <c r="E3334" s="213" t="s">
        <v>333</v>
      </c>
      <c r="F3334" s="212" t="s">
        <v>4365</v>
      </c>
      <c r="G3334" s="212" t="str">
        <f t="shared" si="157"/>
        <v>101현금</v>
      </c>
      <c r="H3334" s="214">
        <v>165000</v>
      </c>
      <c r="I3334" s="214">
        <v>0</v>
      </c>
      <c r="J3334" s="214">
        <f t="shared" si="158"/>
        <v>-165000</v>
      </c>
      <c r="K3334" s="212" t="s">
        <v>6310</v>
      </c>
      <c r="L3334" s="213"/>
      <c r="M3334" s="212" t="s">
        <v>6179</v>
      </c>
    </row>
    <row r="3335" spans="1:13" ht="21" customHeight="1">
      <c r="A3335" s="213" t="s">
        <v>6426</v>
      </c>
      <c r="B3335" s="215">
        <f t="shared" si="156"/>
        <v>45903</v>
      </c>
      <c r="C3335" s="213" t="s">
        <v>6216</v>
      </c>
      <c r="D3335" s="213" t="s">
        <v>4366</v>
      </c>
      <c r="E3335" s="213" t="s">
        <v>6176</v>
      </c>
      <c r="F3335" s="212" t="s">
        <v>6177</v>
      </c>
      <c r="G3335" s="212" t="str">
        <f t="shared" si="157"/>
        <v>255부가세예수금</v>
      </c>
      <c r="H3335" s="214">
        <v>0</v>
      </c>
      <c r="I3335" s="214">
        <v>10000</v>
      </c>
      <c r="J3335" s="214">
        <f t="shared" si="158"/>
        <v>10000</v>
      </c>
      <c r="K3335" s="212" t="s">
        <v>6269</v>
      </c>
      <c r="L3335" s="213"/>
      <c r="M3335" s="212" t="s">
        <v>6185</v>
      </c>
    </row>
    <row r="3336" spans="1:13" ht="21" customHeight="1">
      <c r="A3336" s="213" t="s">
        <v>6426</v>
      </c>
      <c r="B3336" s="215">
        <f t="shared" si="156"/>
        <v>45903</v>
      </c>
      <c r="C3336" s="213" t="s">
        <v>6216</v>
      </c>
      <c r="D3336" s="213" t="s">
        <v>4366</v>
      </c>
      <c r="E3336" s="213" t="s">
        <v>334</v>
      </c>
      <c r="F3336" s="212" t="s">
        <v>6158</v>
      </c>
      <c r="G3336" s="212" t="str">
        <f t="shared" si="157"/>
        <v>401용역매출</v>
      </c>
      <c r="H3336" s="214">
        <v>0</v>
      </c>
      <c r="I3336" s="214">
        <v>100000</v>
      </c>
      <c r="J3336" s="214">
        <f t="shared" si="158"/>
        <v>100000</v>
      </c>
      <c r="K3336" s="212" t="s">
        <v>6269</v>
      </c>
      <c r="L3336" s="213"/>
      <c r="M3336" s="212" t="s">
        <v>6185</v>
      </c>
    </row>
    <row r="3337" spans="1:13" ht="21" customHeight="1">
      <c r="A3337" s="213" t="s">
        <v>6426</v>
      </c>
      <c r="B3337" s="215">
        <f t="shared" si="156"/>
        <v>45903</v>
      </c>
      <c r="C3337" s="213" t="s">
        <v>6216</v>
      </c>
      <c r="D3337" s="213" t="s">
        <v>4369</v>
      </c>
      <c r="E3337" s="213" t="s">
        <v>333</v>
      </c>
      <c r="F3337" s="212" t="s">
        <v>4365</v>
      </c>
      <c r="G3337" s="212" t="str">
        <f t="shared" si="157"/>
        <v>101현금</v>
      </c>
      <c r="H3337" s="214">
        <v>110000</v>
      </c>
      <c r="I3337" s="214">
        <v>0</v>
      </c>
      <c r="J3337" s="214">
        <f t="shared" si="158"/>
        <v>-110000</v>
      </c>
      <c r="K3337" s="212" t="s">
        <v>6269</v>
      </c>
      <c r="L3337" s="213"/>
      <c r="M3337" s="212" t="s">
        <v>6185</v>
      </c>
    </row>
    <row r="3338" spans="1:13" ht="21" customHeight="1">
      <c r="A3338" s="213" t="s">
        <v>6425</v>
      </c>
      <c r="B3338" s="215">
        <f t="shared" si="156"/>
        <v>45904</v>
      </c>
      <c r="C3338" s="213" t="s">
        <v>4367</v>
      </c>
      <c r="D3338" s="213" t="s">
        <v>4369</v>
      </c>
      <c r="E3338" s="213" t="s">
        <v>4371</v>
      </c>
      <c r="F3338" s="212" t="s">
        <v>4370</v>
      </c>
      <c r="G3338" s="212" t="str">
        <f t="shared" si="157"/>
        <v>135부가세대급금</v>
      </c>
      <c r="H3338" s="214">
        <v>1545</v>
      </c>
      <c r="I3338" s="214">
        <v>0</v>
      </c>
      <c r="J3338" s="214">
        <f t="shared" si="158"/>
        <v>-1545</v>
      </c>
      <c r="K3338" s="212" t="s">
        <v>6193</v>
      </c>
      <c r="L3338" s="213"/>
      <c r="M3338" s="212" t="s">
        <v>6424</v>
      </c>
    </row>
    <row r="3339" spans="1:13" ht="21" customHeight="1">
      <c r="A3339" s="213" t="s">
        <v>6425</v>
      </c>
      <c r="B3339" s="215">
        <f t="shared" si="156"/>
        <v>45904</v>
      </c>
      <c r="C3339" s="213" t="s">
        <v>4367</v>
      </c>
      <c r="D3339" s="213" t="s">
        <v>4369</v>
      </c>
      <c r="E3339" s="213" t="s">
        <v>4386</v>
      </c>
      <c r="F3339" s="212" t="s">
        <v>6420</v>
      </c>
      <c r="G3339" s="212" t="str">
        <f t="shared" si="157"/>
        <v>814통신비(판)</v>
      </c>
      <c r="H3339" s="214">
        <v>15450</v>
      </c>
      <c r="I3339" s="214">
        <v>0</v>
      </c>
      <c r="J3339" s="214">
        <f t="shared" si="158"/>
        <v>-15450</v>
      </c>
      <c r="K3339" s="212" t="s">
        <v>6193</v>
      </c>
      <c r="L3339" s="213"/>
      <c r="M3339" s="212" t="s">
        <v>6424</v>
      </c>
    </row>
    <row r="3340" spans="1:13" ht="21" customHeight="1">
      <c r="A3340" s="213" t="s">
        <v>6425</v>
      </c>
      <c r="B3340" s="215">
        <f t="shared" si="156"/>
        <v>45904</v>
      </c>
      <c r="C3340" s="213" t="s">
        <v>4367</v>
      </c>
      <c r="D3340" s="213" t="s">
        <v>4366</v>
      </c>
      <c r="E3340" s="213" t="s">
        <v>333</v>
      </c>
      <c r="F3340" s="212" t="s">
        <v>4365</v>
      </c>
      <c r="G3340" s="212" t="str">
        <f t="shared" si="157"/>
        <v>101현금</v>
      </c>
      <c r="H3340" s="214">
        <v>0</v>
      </c>
      <c r="I3340" s="214">
        <v>16995</v>
      </c>
      <c r="J3340" s="214">
        <f t="shared" si="158"/>
        <v>16995</v>
      </c>
      <c r="K3340" s="212" t="s">
        <v>6193</v>
      </c>
      <c r="L3340" s="213"/>
      <c r="M3340" s="212" t="s">
        <v>6424</v>
      </c>
    </row>
    <row r="3341" spans="1:13" ht="21" customHeight="1">
      <c r="A3341" s="213" t="s">
        <v>6421</v>
      </c>
      <c r="B3341" s="215">
        <f t="shared" si="156"/>
        <v>45905</v>
      </c>
      <c r="C3341" s="213" t="s">
        <v>4367</v>
      </c>
      <c r="D3341" s="213" t="s">
        <v>4366</v>
      </c>
      <c r="E3341" s="213" t="s">
        <v>6176</v>
      </c>
      <c r="F3341" s="212" t="s">
        <v>6177</v>
      </c>
      <c r="G3341" s="212" t="str">
        <f t="shared" si="157"/>
        <v>255부가세예수금</v>
      </c>
      <c r="H3341" s="214">
        <v>0</v>
      </c>
      <c r="I3341" s="214">
        <v>40000</v>
      </c>
      <c r="J3341" s="214">
        <f t="shared" si="158"/>
        <v>40000</v>
      </c>
      <c r="K3341" s="212" t="s">
        <v>6187</v>
      </c>
      <c r="L3341" s="213"/>
      <c r="M3341" s="212" t="s">
        <v>6188</v>
      </c>
    </row>
    <row r="3342" spans="1:13" ht="21" customHeight="1">
      <c r="A3342" s="213" t="s">
        <v>6421</v>
      </c>
      <c r="B3342" s="215">
        <f t="shared" si="156"/>
        <v>45905</v>
      </c>
      <c r="C3342" s="213" t="s">
        <v>4367</v>
      </c>
      <c r="D3342" s="213" t="s">
        <v>4366</v>
      </c>
      <c r="E3342" s="213" t="s">
        <v>334</v>
      </c>
      <c r="F3342" s="212" t="s">
        <v>6158</v>
      </c>
      <c r="G3342" s="212" t="str">
        <f t="shared" si="157"/>
        <v>401용역매출</v>
      </c>
      <c r="H3342" s="214">
        <v>0</v>
      </c>
      <c r="I3342" s="214">
        <v>400000</v>
      </c>
      <c r="J3342" s="214">
        <f t="shared" si="158"/>
        <v>400000</v>
      </c>
      <c r="K3342" s="212" t="s">
        <v>6187</v>
      </c>
      <c r="L3342" s="213"/>
      <c r="M3342" s="212" t="s">
        <v>6188</v>
      </c>
    </row>
    <row r="3343" spans="1:13" ht="21" customHeight="1">
      <c r="A3343" s="213" t="s">
        <v>6421</v>
      </c>
      <c r="B3343" s="215">
        <f t="shared" si="156"/>
        <v>45905</v>
      </c>
      <c r="C3343" s="213" t="s">
        <v>4367</v>
      </c>
      <c r="D3343" s="213" t="s">
        <v>4369</v>
      </c>
      <c r="E3343" s="213" t="s">
        <v>333</v>
      </c>
      <c r="F3343" s="212" t="s">
        <v>4365</v>
      </c>
      <c r="G3343" s="212" t="str">
        <f t="shared" si="157"/>
        <v>101현금</v>
      </c>
      <c r="H3343" s="214">
        <v>440000</v>
      </c>
      <c r="I3343" s="214">
        <v>0</v>
      </c>
      <c r="J3343" s="214">
        <f t="shared" si="158"/>
        <v>-440000</v>
      </c>
      <c r="K3343" s="212" t="s">
        <v>6187</v>
      </c>
      <c r="L3343" s="213"/>
      <c r="M3343" s="212" t="s">
        <v>6188</v>
      </c>
    </row>
    <row r="3344" spans="1:13" ht="21" customHeight="1">
      <c r="A3344" s="213" t="s">
        <v>6421</v>
      </c>
      <c r="B3344" s="215">
        <f t="shared" si="156"/>
        <v>45905</v>
      </c>
      <c r="C3344" s="213" t="s">
        <v>4374</v>
      </c>
      <c r="D3344" s="213" t="s">
        <v>4366</v>
      </c>
      <c r="E3344" s="213" t="s">
        <v>6176</v>
      </c>
      <c r="F3344" s="212" t="s">
        <v>6177</v>
      </c>
      <c r="G3344" s="212" t="str">
        <f t="shared" si="157"/>
        <v>255부가세예수금</v>
      </c>
      <c r="H3344" s="214">
        <v>0</v>
      </c>
      <c r="I3344" s="214">
        <v>20000</v>
      </c>
      <c r="J3344" s="214">
        <f t="shared" si="158"/>
        <v>20000</v>
      </c>
      <c r="K3344" s="212" t="s">
        <v>6423</v>
      </c>
      <c r="L3344" s="213"/>
      <c r="M3344" s="212" t="s">
        <v>6231</v>
      </c>
    </row>
    <row r="3345" spans="1:13" ht="21" customHeight="1">
      <c r="A3345" s="213" t="s">
        <v>6421</v>
      </c>
      <c r="B3345" s="215">
        <f t="shared" si="156"/>
        <v>45905</v>
      </c>
      <c r="C3345" s="213" t="s">
        <v>4374</v>
      </c>
      <c r="D3345" s="213" t="s">
        <v>4366</v>
      </c>
      <c r="E3345" s="213" t="s">
        <v>334</v>
      </c>
      <c r="F3345" s="212" t="s">
        <v>6158</v>
      </c>
      <c r="G3345" s="212" t="str">
        <f t="shared" si="157"/>
        <v>401용역매출</v>
      </c>
      <c r="H3345" s="214">
        <v>0</v>
      </c>
      <c r="I3345" s="214">
        <v>200000</v>
      </c>
      <c r="J3345" s="214">
        <f t="shared" si="158"/>
        <v>200000</v>
      </c>
      <c r="K3345" s="212" t="s">
        <v>6423</v>
      </c>
      <c r="L3345" s="213"/>
      <c r="M3345" s="212" t="s">
        <v>6231</v>
      </c>
    </row>
    <row r="3346" spans="1:13" ht="21" customHeight="1">
      <c r="A3346" s="213" t="s">
        <v>6421</v>
      </c>
      <c r="B3346" s="215">
        <f t="shared" si="156"/>
        <v>45905</v>
      </c>
      <c r="C3346" s="213" t="s">
        <v>4374</v>
      </c>
      <c r="D3346" s="213" t="s">
        <v>4369</v>
      </c>
      <c r="E3346" s="213" t="s">
        <v>333</v>
      </c>
      <c r="F3346" s="212" t="s">
        <v>4365</v>
      </c>
      <c r="G3346" s="212" t="str">
        <f t="shared" si="157"/>
        <v>101현금</v>
      </c>
      <c r="H3346" s="214">
        <v>220000</v>
      </c>
      <c r="I3346" s="214">
        <v>0</v>
      </c>
      <c r="J3346" s="214">
        <f t="shared" si="158"/>
        <v>-220000</v>
      </c>
      <c r="K3346" s="212" t="s">
        <v>6423</v>
      </c>
      <c r="L3346" s="213"/>
      <c r="M3346" s="212" t="s">
        <v>6231</v>
      </c>
    </row>
    <row r="3347" spans="1:13" ht="21" customHeight="1">
      <c r="A3347" s="213" t="s">
        <v>6421</v>
      </c>
      <c r="B3347" s="215">
        <f t="shared" si="156"/>
        <v>45905</v>
      </c>
      <c r="C3347" s="213" t="s">
        <v>6182</v>
      </c>
      <c r="D3347" s="213" t="s">
        <v>4366</v>
      </c>
      <c r="E3347" s="213" t="s">
        <v>6176</v>
      </c>
      <c r="F3347" s="212" t="s">
        <v>6177</v>
      </c>
      <c r="G3347" s="212" t="str">
        <f t="shared" si="157"/>
        <v>255부가세예수금</v>
      </c>
      <c r="H3347" s="214">
        <v>0</v>
      </c>
      <c r="I3347" s="214">
        <v>30000</v>
      </c>
      <c r="J3347" s="214">
        <f t="shared" si="158"/>
        <v>30000</v>
      </c>
      <c r="K3347" s="212" t="s">
        <v>6423</v>
      </c>
      <c r="L3347" s="213"/>
      <c r="M3347" s="212" t="s">
        <v>6190</v>
      </c>
    </row>
    <row r="3348" spans="1:13" ht="21" customHeight="1">
      <c r="A3348" s="213" t="s">
        <v>6421</v>
      </c>
      <c r="B3348" s="215">
        <f t="shared" si="156"/>
        <v>45905</v>
      </c>
      <c r="C3348" s="213" t="s">
        <v>6182</v>
      </c>
      <c r="D3348" s="213" t="s">
        <v>4366</v>
      </c>
      <c r="E3348" s="213" t="s">
        <v>334</v>
      </c>
      <c r="F3348" s="212" t="s">
        <v>6158</v>
      </c>
      <c r="G3348" s="212" t="str">
        <f t="shared" si="157"/>
        <v>401용역매출</v>
      </c>
      <c r="H3348" s="214">
        <v>0</v>
      </c>
      <c r="I3348" s="214">
        <v>300000</v>
      </c>
      <c r="J3348" s="214">
        <f t="shared" si="158"/>
        <v>300000</v>
      </c>
      <c r="K3348" s="212" t="s">
        <v>6423</v>
      </c>
      <c r="L3348" s="213"/>
      <c r="M3348" s="212" t="s">
        <v>6190</v>
      </c>
    </row>
    <row r="3349" spans="1:13" ht="21" customHeight="1">
      <c r="A3349" s="213" t="s">
        <v>6421</v>
      </c>
      <c r="B3349" s="215">
        <f t="shared" si="156"/>
        <v>45905</v>
      </c>
      <c r="C3349" s="213" t="s">
        <v>6182</v>
      </c>
      <c r="D3349" s="213" t="s">
        <v>4369</v>
      </c>
      <c r="E3349" s="213" t="s">
        <v>333</v>
      </c>
      <c r="F3349" s="212" t="s">
        <v>4365</v>
      </c>
      <c r="G3349" s="212" t="str">
        <f t="shared" si="157"/>
        <v>101현금</v>
      </c>
      <c r="H3349" s="214">
        <v>330000</v>
      </c>
      <c r="I3349" s="214">
        <v>0</v>
      </c>
      <c r="J3349" s="214">
        <f t="shared" si="158"/>
        <v>-330000</v>
      </c>
      <c r="K3349" s="212" t="s">
        <v>6423</v>
      </c>
      <c r="L3349" s="213"/>
      <c r="M3349" s="212" t="s">
        <v>6190</v>
      </c>
    </row>
    <row r="3350" spans="1:13" ht="21" customHeight="1">
      <c r="A3350" s="213" t="s">
        <v>6421</v>
      </c>
      <c r="B3350" s="215">
        <f t="shared" si="156"/>
        <v>45905</v>
      </c>
      <c r="C3350" s="213" t="s">
        <v>6184</v>
      </c>
      <c r="D3350" s="213" t="s">
        <v>4366</v>
      </c>
      <c r="E3350" s="213" t="s">
        <v>6176</v>
      </c>
      <c r="F3350" s="212" t="s">
        <v>6177</v>
      </c>
      <c r="G3350" s="212" t="str">
        <f t="shared" si="157"/>
        <v>255부가세예수금</v>
      </c>
      <c r="H3350" s="214">
        <v>0</v>
      </c>
      <c r="I3350" s="214">
        <v>10000</v>
      </c>
      <c r="J3350" s="214">
        <f t="shared" si="158"/>
        <v>10000</v>
      </c>
      <c r="K3350" s="212" t="s">
        <v>6422</v>
      </c>
      <c r="L3350" s="213"/>
      <c r="M3350" s="212" t="s">
        <v>6185</v>
      </c>
    </row>
    <row r="3351" spans="1:13" ht="21" customHeight="1">
      <c r="A3351" s="213" t="s">
        <v>6421</v>
      </c>
      <c r="B3351" s="215">
        <f t="shared" si="156"/>
        <v>45905</v>
      </c>
      <c r="C3351" s="213" t="s">
        <v>6184</v>
      </c>
      <c r="D3351" s="213" t="s">
        <v>4366</v>
      </c>
      <c r="E3351" s="213" t="s">
        <v>334</v>
      </c>
      <c r="F3351" s="212" t="s">
        <v>6158</v>
      </c>
      <c r="G3351" s="212" t="str">
        <f t="shared" si="157"/>
        <v>401용역매출</v>
      </c>
      <c r="H3351" s="214">
        <v>0</v>
      </c>
      <c r="I3351" s="214">
        <v>100000</v>
      </c>
      <c r="J3351" s="214">
        <f t="shared" si="158"/>
        <v>100000</v>
      </c>
      <c r="K3351" s="212" t="s">
        <v>6422</v>
      </c>
      <c r="L3351" s="213"/>
      <c r="M3351" s="212" t="s">
        <v>6185</v>
      </c>
    </row>
    <row r="3352" spans="1:13" ht="21" customHeight="1">
      <c r="A3352" s="213" t="s">
        <v>6421</v>
      </c>
      <c r="B3352" s="215">
        <f t="shared" si="156"/>
        <v>45905</v>
      </c>
      <c r="C3352" s="213" t="s">
        <v>6184</v>
      </c>
      <c r="D3352" s="213" t="s">
        <v>4369</v>
      </c>
      <c r="E3352" s="213" t="s">
        <v>333</v>
      </c>
      <c r="F3352" s="212" t="s">
        <v>4365</v>
      </c>
      <c r="G3352" s="212" t="str">
        <f t="shared" si="157"/>
        <v>101현금</v>
      </c>
      <c r="H3352" s="214">
        <v>110000</v>
      </c>
      <c r="I3352" s="214">
        <v>0</v>
      </c>
      <c r="J3352" s="214">
        <f t="shared" si="158"/>
        <v>-110000</v>
      </c>
      <c r="K3352" s="212" t="s">
        <v>6422</v>
      </c>
      <c r="L3352" s="213"/>
      <c r="M3352" s="212" t="s">
        <v>6185</v>
      </c>
    </row>
    <row r="3353" spans="1:13" ht="21" customHeight="1">
      <c r="A3353" s="213" t="s">
        <v>6421</v>
      </c>
      <c r="B3353" s="215">
        <f t="shared" si="156"/>
        <v>45905</v>
      </c>
      <c r="C3353" s="213" t="s">
        <v>6186</v>
      </c>
      <c r="D3353" s="213" t="s">
        <v>4366</v>
      </c>
      <c r="E3353" s="213" t="s">
        <v>6176</v>
      </c>
      <c r="F3353" s="212" t="s">
        <v>6177</v>
      </c>
      <c r="G3353" s="212" t="str">
        <f t="shared" si="157"/>
        <v>255부가세예수금</v>
      </c>
      <c r="H3353" s="214">
        <v>0</v>
      </c>
      <c r="I3353" s="214">
        <v>10000</v>
      </c>
      <c r="J3353" s="214">
        <f t="shared" si="158"/>
        <v>10000</v>
      </c>
      <c r="K3353" s="212" t="s">
        <v>6178</v>
      </c>
      <c r="L3353" s="213"/>
      <c r="M3353" s="212" t="s">
        <v>6185</v>
      </c>
    </row>
    <row r="3354" spans="1:13" ht="21" customHeight="1">
      <c r="A3354" s="213" t="s">
        <v>6421</v>
      </c>
      <c r="B3354" s="215">
        <f t="shared" si="156"/>
        <v>45905</v>
      </c>
      <c r="C3354" s="213" t="s">
        <v>6186</v>
      </c>
      <c r="D3354" s="213" t="s">
        <v>4366</v>
      </c>
      <c r="E3354" s="213" t="s">
        <v>334</v>
      </c>
      <c r="F3354" s="212" t="s">
        <v>6158</v>
      </c>
      <c r="G3354" s="212" t="str">
        <f t="shared" si="157"/>
        <v>401용역매출</v>
      </c>
      <c r="H3354" s="214">
        <v>0</v>
      </c>
      <c r="I3354" s="214">
        <v>100000</v>
      </c>
      <c r="J3354" s="214">
        <f t="shared" si="158"/>
        <v>100000</v>
      </c>
      <c r="K3354" s="212" t="s">
        <v>6178</v>
      </c>
      <c r="L3354" s="213"/>
      <c r="M3354" s="212" t="s">
        <v>6185</v>
      </c>
    </row>
    <row r="3355" spans="1:13" ht="21" customHeight="1">
      <c r="A3355" s="213" t="s">
        <v>6421</v>
      </c>
      <c r="B3355" s="215">
        <f t="shared" si="156"/>
        <v>45905</v>
      </c>
      <c r="C3355" s="213" t="s">
        <v>6186</v>
      </c>
      <c r="D3355" s="213" t="s">
        <v>4369</v>
      </c>
      <c r="E3355" s="213" t="s">
        <v>333</v>
      </c>
      <c r="F3355" s="212" t="s">
        <v>4365</v>
      </c>
      <c r="G3355" s="212" t="str">
        <f t="shared" si="157"/>
        <v>101현금</v>
      </c>
      <c r="H3355" s="214">
        <v>110000</v>
      </c>
      <c r="I3355" s="214">
        <v>0</v>
      </c>
      <c r="J3355" s="214">
        <f t="shared" si="158"/>
        <v>-110000</v>
      </c>
      <c r="K3355" s="212" t="s">
        <v>6178</v>
      </c>
      <c r="L3355" s="213"/>
      <c r="M3355" s="212" t="s">
        <v>6185</v>
      </c>
    </row>
    <row r="3356" spans="1:13" ht="21" customHeight="1">
      <c r="A3356" s="216" t="s">
        <v>6419</v>
      </c>
      <c r="B3356" s="215">
        <f t="shared" si="156"/>
        <v>45907</v>
      </c>
      <c r="C3356" s="213" t="s">
        <v>4367</v>
      </c>
      <c r="D3356" s="213" t="s">
        <v>4369</v>
      </c>
      <c r="E3356" s="213" t="s">
        <v>4371</v>
      </c>
      <c r="F3356" s="212" t="s">
        <v>4370</v>
      </c>
      <c r="G3356" s="212" t="str">
        <f t="shared" si="157"/>
        <v>135부가세대급금</v>
      </c>
      <c r="H3356" s="214">
        <v>1920</v>
      </c>
      <c r="I3356" s="214">
        <v>0</v>
      </c>
      <c r="J3356" s="214">
        <f t="shared" si="158"/>
        <v>-1920</v>
      </c>
      <c r="K3356" s="212" t="s">
        <v>4524</v>
      </c>
      <c r="L3356" s="213"/>
      <c r="M3356" s="212" t="s">
        <v>6199</v>
      </c>
    </row>
    <row r="3357" spans="1:13" ht="21" customHeight="1">
      <c r="A3357" s="216" t="s">
        <v>6419</v>
      </c>
      <c r="B3357" s="215">
        <f t="shared" si="156"/>
        <v>45907</v>
      </c>
      <c r="C3357" s="213" t="s">
        <v>4367</v>
      </c>
      <c r="D3357" s="213" t="s">
        <v>4369</v>
      </c>
      <c r="E3357" s="213" t="s">
        <v>4386</v>
      </c>
      <c r="F3357" s="212" t="s">
        <v>6420</v>
      </c>
      <c r="G3357" s="212" t="str">
        <f t="shared" si="157"/>
        <v>814통신비(판)</v>
      </c>
      <c r="H3357" s="214">
        <v>19200</v>
      </c>
      <c r="I3357" s="214">
        <v>0</v>
      </c>
      <c r="J3357" s="214">
        <f t="shared" si="158"/>
        <v>-19200</v>
      </c>
      <c r="K3357" s="212" t="s">
        <v>4524</v>
      </c>
      <c r="L3357" s="213"/>
      <c r="M3357" s="212" t="s">
        <v>6199</v>
      </c>
    </row>
    <row r="3358" spans="1:13" ht="21" customHeight="1">
      <c r="A3358" s="216" t="s">
        <v>6419</v>
      </c>
      <c r="B3358" s="215">
        <f t="shared" si="156"/>
        <v>45907</v>
      </c>
      <c r="C3358" s="213" t="s">
        <v>4367</v>
      </c>
      <c r="D3358" s="213" t="s">
        <v>4366</v>
      </c>
      <c r="E3358" s="213" t="s">
        <v>333</v>
      </c>
      <c r="F3358" s="212" t="s">
        <v>4365</v>
      </c>
      <c r="G3358" s="212" t="str">
        <f t="shared" si="157"/>
        <v>101현금</v>
      </c>
      <c r="H3358" s="214">
        <v>0</v>
      </c>
      <c r="I3358" s="214">
        <v>21120</v>
      </c>
      <c r="J3358" s="214">
        <f t="shared" si="158"/>
        <v>21120</v>
      </c>
      <c r="K3358" s="212" t="s">
        <v>4524</v>
      </c>
      <c r="L3358" s="213"/>
      <c r="M3358" s="212" t="s">
        <v>6199</v>
      </c>
    </row>
    <row r="3359" spans="1:13" ht="21" customHeight="1">
      <c r="A3359" s="216" t="s">
        <v>6419</v>
      </c>
      <c r="B3359" s="215">
        <f t="shared" si="156"/>
        <v>45907</v>
      </c>
      <c r="C3359" s="213" t="s">
        <v>4374</v>
      </c>
      <c r="D3359" s="213" t="s">
        <v>4366</v>
      </c>
      <c r="E3359" s="213" t="s">
        <v>333</v>
      </c>
      <c r="F3359" s="212" t="s">
        <v>4365</v>
      </c>
      <c r="G3359" s="212" t="str">
        <f t="shared" si="157"/>
        <v>101현금</v>
      </c>
      <c r="H3359" s="214">
        <v>0</v>
      </c>
      <c r="I3359" s="214">
        <v>5500</v>
      </c>
      <c r="J3359" s="214">
        <f t="shared" si="158"/>
        <v>5500</v>
      </c>
      <c r="K3359" s="212" t="s">
        <v>6284</v>
      </c>
      <c r="L3359" s="213"/>
      <c r="M3359" s="212" t="s">
        <v>6285</v>
      </c>
    </row>
    <row r="3360" spans="1:13" ht="21" customHeight="1">
      <c r="A3360" s="216" t="s">
        <v>6419</v>
      </c>
      <c r="B3360" s="215">
        <f t="shared" si="156"/>
        <v>45907</v>
      </c>
      <c r="C3360" s="213" t="s">
        <v>4374</v>
      </c>
      <c r="D3360" s="213" t="s">
        <v>4369</v>
      </c>
      <c r="E3360" s="213" t="s">
        <v>4500</v>
      </c>
      <c r="F3360" s="212" t="s">
        <v>6418</v>
      </c>
      <c r="G3360" s="212" t="str">
        <f t="shared" si="157"/>
        <v>822차량유지비(판)</v>
      </c>
      <c r="H3360" s="214">
        <v>5500</v>
      </c>
      <c r="I3360" s="214">
        <v>0</v>
      </c>
      <c r="J3360" s="214">
        <f t="shared" si="158"/>
        <v>-5500</v>
      </c>
      <c r="K3360" s="212" t="s">
        <v>6284</v>
      </c>
      <c r="L3360" s="213"/>
      <c r="M3360" s="212" t="s">
        <v>6285</v>
      </c>
    </row>
    <row r="3361" spans="1:13" ht="21" customHeight="1">
      <c r="A3361" s="213" t="s">
        <v>6417</v>
      </c>
      <c r="B3361" s="215">
        <f t="shared" si="156"/>
        <v>45908</v>
      </c>
      <c r="C3361" s="213" t="s">
        <v>4367</v>
      </c>
      <c r="D3361" s="213" t="s">
        <v>4366</v>
      </c>
      <c r="E3361" s="213" t="s">
        <v>6176</v>
      </c>
      <c r="F3361" s="212" t="s">
        <v>6177</v>
      </c>
      <c r="G3361" s="212" t="str">
        <f t="shared" si="157"/>
        <v>255부가세예수금</v>
      </c>
      <c r="H3361" s="214">
        <v>0</v>
      </c>
      <c r="I3361" s="214">
        <v>10000</v>
      </c>
      <c r="J3361" s="214">
        <f t="shared" si="158"/>
        <v>10000</v>
      </c>
      <c r="K3361" s="212" t="s">
        <v>6266</v>
      </c>
      <c r="L3361" s="213"/>
      <c r="M3361" s="212" t="s">
        <v>6185</v>
      </c>
    </row>
    <row r="3362" spans="1:13" ht="21" customHeight="1">
      <c r="A3362" s="213" t="s">
        <v>6417</v>
      </c>
      <c r="B3362" s="215">
        <f t="shared" si="156"/>
        <v>45908</v>
      </c>
      <c r="C3362" s="213" t="s">
        <v>4367</v>
      </c>
      <c r="D3362" s="213" t="s">
        <v>4366</v>
      </c>
      <c r="E3362" s="213" t="s">
        <v>334</v>
      </c>
      <c r="F3362" s="212" t="s">
        <v>6158</v>
      </c>
      <c r="G3362" s="212" t="str">
        <f t="shared" si="157"/>
        <v>401용역매출</v>
      </c>
      <c r="H3362" s="214">
        <v>0</v>
      </c>
      <c r="I3362" s="214">
        <v>100000</v>
      </c>
      <c r="J3362" s="214">
        <f t="shared" si="158"/>
        <v>100000</v>
      </c>
      <c r="K3362" s="212" t="s">
        <v>6266</v>
      </c>
      <c r="L3362" s="213"/>
      <c r="M3362" s="212" t="s">
        <v>6185</v>
      </c>
    </row>
    <row r="3363" spans="1:13" ht="21" customHeight="1">
      <c r="A3363" s="213" t="s">
        <v>6417</v>
      </c>
      <c r="B3363" s="215">
        <f t="shared" si="156"/>
        <v>45908</v>
      </c>
      <c r="C3363" s="213" t="s">
        <v>4367</v>
      </c>
      <c r="D3363" s="213" t="s">
        <v>4369</v>
      </c>
      <c r="E3363" s="213" t="s">
        <v>333</v>
      </c>
      <c r="F3363" s="212" t="s">
        <v>4365</v>
      </c>
      <c r="G3363" s="212" t="str">
        <f t="shared" si="157"/>
        <v>101현금</v>
      </c>
      <c r="H3363" s="214">
        <v>110000</v>
      </c>
      <c r="I3363" s="214">
        <v>0</v>
      </c>
      <c r="J3363" s="214">
        <f t="shared" si="158"/>
        <v>-110000</v>
      </c>
      <c r="K3363" s="212" t="s">
        <v>6266</v>
      </c>
      <c r="L3363" s="213"/>
      <c r="M3363" s="212" t="s">
        <v>6185</v>
      </c>
    </row>
    <row r="3364" spans="1:13" ht="21" customHeight="1">
      <c r="A3364" s="213" t="s">
        <v>6417</v>
      </c>
      <c r="B3364" s="215">
        <f t="shared" si="156"/>
        <v>45908</v>
      </c>
      <c r="C3364" s="213" t="s">
        <v>4374</v>
      </c>
      <c r="D3364" s="213" t="s">
        <v>4366</v>
      </c>
      <c r="E3364" s="213" t="s">
        <v>6176</v>
      </c>
      <c r="F3364" s="212" t="s">
        <v>6177</v>
      </c>
      <c r="G3364" s="212" t="str">
        <f t="shared" si="157"/>
        <v>255부가세예수금</v>
      </c>
      <c r="H3364" s="214">
        <v>0</v>
      </c>
      <c r="I3364" s="214">
        <v>15000</v>
      </c>
      <c r="J3364" s="214">
        <f t="shared" si="158"/>
        <v>15000</v>
      </c>
      <c r="K3364" s="212" t="s">
        <v>6265</v>
      </c>
      <c r="L3364" s="213"/>
      <c r="M3364" s="212" t="s">
        <v>6179</v>
      </c>
    </row>
    <row r="3365" spans="1:13" ht="21" customHeight="1">
      <c r="A3365" s="213" t="s">
        <v>6417</v>
      </c>
      <c r="B3365" s="215">
        <f t="shared" si="156"/>
        <v>45908</v>
      </c>
      <c r="C3365" s="213" t="s">
        <v>4374</v>
      </c>
      <c r="D3365" s="213" t="s">
        <v>4366</v>
      </c>
      <c r="E3365" s="213" t="s">
        <v>334</v>
      </c>
      <c r="F3365" s="212" t="s">
        <v>6158</v>
      </c>
      <c r="G3365" s="212" t="str">
        <f t="shared" si="157"/>
        <v>401용역매출</v>
      </c>
      <c r="H3365" s="214">
        <v>0</v>
      </c>
      <c r="I3365" s="214">
        <v>150000</v>
      </c>
      <c r="J3365" s="214">
        <f t="shared" si="158"/>
        <v>150000</v>
      </c>
      <c r="K3365" s="212" t="s">
        <v>6265</v>
      </c>
      <c r="L3365" s="213"/>
      <c r="M3365" s="212" t="s">
        <v>6179</v>
      </c>
    </row>
    <row r="3366" spans="1:13" ht="21" customHeight="1">
      <c r="A3366" s="213" t="s">
        <v>6417</v>
      </c>
      <c r="B3366" s="215">
        <f t="shared" si="156"/>
        <v>45908</v>
      </c>
      <c r="C3366" s="213" t="s">
        <v>4374</v>
      </c>
      <c r="D3366" s="213" t="s">
        <v>4369</v>
      </c>
      <c r="E3366" s="213" t="s">
        <v>333</v>
      </c>
      <c r="F3366" s="212" t="s">
        <v>4365</v>
      </c>
      <c r="G3366" s="212" t="str">
        <f t="shared" si="157"/>
        <v>101현금</v>
      </c>
      <c r="H3366" s="214">
        <v>165000</v>
      </c>
      <c r="I3366" s="214">
        <v>0</v>
      </c>
      <c r="J3366" s="214">
        <f t="shared" si="158"/>
        <v>-165000</v>
      </c>
      <c r="K3366" s="212" t="s">
        <v>6265</v>
      </c>
      <c r="L3366" s="213"/>
      <c r="M3366" s="212" t="s">
        <v>6179</v>
      </c>
    </row>
    <row r="3367" spans="1:13" ht="21" customHeight="1">
      <c r="A3367" s="213" t="s">
        <v>6417</v>
      </c>
      <c r="B3367" s="215">
        <f t="shared" si="156"/>
        <v>45908</v>
      </c>
      <c r="C3367" s="213" t="s">
        <v>6182</v>
      </c>
      <c r="D3367" s="213" t="s">
        <v>4366</v>
      </c>
      <c r="E3367" s="213" t="s">
        <v>6176</v>
      </c>
      <c r="F3367" s="212" t="s">
        <v>6177</v>
      </c>
      <c r="G3367" s="212" t="str">
        <f t="shared" si="157"/>
        <v>255부가세예수금</v>
      </c>
      <c r="H3367" s="214">
        <v>0</v>
      </c>
      <c r="I3367" s="214">
        <v>10000</v>
      </c>
      <c r="J3367" s="214">
        <f t="shared" si="158"/>
        <v>10000</v>
      </c>
      <c r="K3367" s="212" t="s">
        <v>6416</v>
      </c>
      <c r="L3367" s="213"/>
      <c r="M3367" s="212" t="s">
        <v>6185</v>
      </c>
    </row>
    <row r="3368" spans="1:13" ht="21" customHeight="1">
      <c r="A3368" s="213" t="s">
        <v>6417</v>
      </c>
      <c r="B3368" s="215">
        <f t="shared" si="156"/>
        <v>45908</v>
      </c>
      <c r="C3368" s="213" t="s">
        <v>6182</v>
      </c>
      <c r="D3368" s="213" t="s">
        <v>4366</v>
      </c>
      <c r="E3368" s="213" t="s">
        <v>334</v>
      </c>
      <c r="F3368" s="212" t="s">
        <v>6158</v>
      </c>
      <c r="G3368" s="212" t="str">
        <f t="shared" si="157"/>
        <v>401용역매출</v>
      </c>
      <c r="H3368" s="214">
        <v>0</v>
      </c>
      <c r="I3368" s="214">
        <v>100000</v>
      </c>
      <c r="J3368" s="214">
        <f t="shared" si="158"/>
        <v>100000</v>
      </c>
      <c r="K3368" s="212" t="s">
        <v>6416</v>
      </c>
      <c r="L3368" s="213"/>
      <c r="M3368" s="212" t="s">
        <v>6185</v>
      </c>
    </row>
    <row r="3369" spans="1:13" ht="21" customHeight="1">
      <c r="A3369" s="213" t="s">
        <v>6417</v>
      </c>
      <c r="B3369" s="215">
        <f t="shared" si="156"/>
        <v>45908</v>
      </c>
      <c r="C3369" s="213" t="s">
        <v>6182</v>
      </c>
      <c r="D3369" s="213" t="s">
        <v>4369</v>
      </c>
      <c r="E3369" s="213" t="s">
        <v>333</v>
      </c>
      <c r="F3369" s="212" t="s">
        <v>4365</v>
      </c>
      <c r="G3369" s="212" t="str">
        <f t="shared" si="157"/>
        <v>101현금</v>
      </c>
      <c r="H3369" s="214">
        <v>110000</v>
      </c>
      <c r="I3369" s="214">
        <v>0</v>
      </c>
      <c r="J3369" s="214">
        <f t="shared" si="158"/>
        <v>-110000</v>
      </c>
      <c r="K3369" s="212" t="s">
        <v>6416</v>
      </c>
      <c r="L3369" s="213"/>
      <c r="M3369" s="212" t="s">
        <v>6185</v>
      </c>
    </row>
    <row r="3370" spans="1:13" ht="21" customHeight="1">
      <c r="A3370" s="213" t="s">
        <v>6415</v>
      </c>
      <c r="B3370" s="215">
        <f t="shared" si="156"/>
        <v>45909</v>
      </c>
      <c r="C3370" s="213" t="s">
        <v>4367</v>
      </c>
      <c r="D3370" s="213" t="s">
        <v>4366</v>
      </c>
      <c r="E3370" s="213" t="s">
        <v>6176</v>
      </c>
      <c r="F3370" s="212" t="s">
        <v>6177</v>
      </c>
      <c r="G3370" s="212" t="str">
        <f t="shared" si="157"/>
        <v>255부가세예수금</v>
      </c>
      <c r="H3370" s="214">
        <v>0</v>
      </c>
      <c r="I3370" s="214">
        <v>20000</v>
      </c>
      <c r="J3370" s="214">
        <f t="shared" si="158"/>
        <v>20000</v>
      </c>
      <c r="K3370" s="212" t="s">
        <v>6414</v>
      </c>
      <c r="L3370" s="213"/>
      <c r="M3370" s="212" t="s">
        <v>6231</v>
      </c>
    </row>
    <row r="3371" spans="1:13" ht="21" customHeight="1">
      <c r="A3371" s="213" t="s">
        <v>6415</v>
      </c>
      <c r="B3371" s="215">
        <f t="shared" si="156"/>
        <v>45909</v>
      </c>
      <c r="C3371" s="213" t="s">
        <v>4367</v>
      </c>
      <c r="D3371" s="213" t="s">
        <v>4366</v>
      </c>
      <c r="E3371" s="213" t="s">
        <v>334</v>
      </c>
      <c r="F3371" s="212" t="s">
        <v>6158</v>
      </c>
      <c r="G3371" s="212" t="str">
        <f t="shared" si="157"/>
        <v>401용역매출</v>
      </c>
      <c r="H3371" s="214">
        <v>0</v>
      </c>
      <c r="I3371" s="214">
        <v>200000</v>
      </c>
      <c r="J3371" s="214">
        <f t="shared" si="158"/>
        <v>200000</v>
      </c>
      <c r="K3371" s="212" t="s">
        <v>6414</v>
      </c>
      <c r="L3371" s="213"/>
      <c r="M3371" s="212" t="s">
        <v>6231</v>
      </c>
    </row>
    <row r="3372" spans="1:13" ht="21" customHeight="1">
      <c r="A3372" s="213" t="s">
        <v>6415</v>
      </c>
      <c r="B3372" s="215">
        <f t="shared" si="156"/>
        <v>45909</v>
      </c>
      <c r="C3372" s="213" t="s">
        <v>4367</v>
      </c>
      <c r="D3372" s="213" t="s">
        <v>4369</v>
      </c>
      <c r="E3372" s="213" t="s">
        <v>333</v>
      </c>
      <c r="F3372" s="212" t="s">
        <v>4365</v>
      </c>
      <c r="G3372" s="212" t="str">
        <f t="shared" si="157"/>
        <v>101현금</v>
      </c>
      <c r="H3372" s="214">
        <v>220000</v>
      </c>
      <c r="I3372" s="214">
        <v>0</v>
      </c>
      <c r="J3372" s="214">
        <f t="shared" si="158"/>
        <v>-220000</v>
      </c>
      <c r="K3372" s="212" t="s">
        <v>6414</v>
      </c>
      <c r="L3372" s="213"/>
      <c r="M3372" s="212" t="s">
        <v>6231</v>
      </c>
    </row>
    <row r="3373" spans="1:13" ht="21" customHeight="1">
      <c r="A3373" s="213" t="s">
        <v>6412</v>
      </c>
      <c r="B3373" s="215">
        <f t="shared" si="156"/>
        <v>45910</v>
      </c>
      <c r="C3373" s="213" t="s">
        <v>4373</v>
      </c>
      <c r="D3373" s="213" t="s">
        <v>4369</v>
      </c>
      <c r="E3373" s="213" t="s">
        <v>4505</v>
      </c>
      <c r="F3373" s="212" t="s">
        <v>4506</v>
      </c>
      <c r="G3373" s="212" t="str">
        <f t="shared" si="157"/>
        <v>254예수금</v>
      </c>
      <c r="H3373" s="214">
        <v>578720</v>
      </c>
      <c r="I3373" s="214">
        <v>0</v>
      </c>
      <c r="J3373" s="214">
        <f t="shared" si="158"/>
        <v>-578720</v>
      </c>
      <c r="K3373" s="212" t="s">
        <v>4522</v>
      </c>
      <c r="L3373" s="213" t="s">
        <v>6411</v>
      </c>
      <c r="M3373" s="212" t="s">
        <v>6413</v>
      </c>
    </row>
    <row r="3374" spans="1:13" ht="21" customHeight="1">
      <c r="A3374" s="213" t="s">
        <v>6412</v>
      </c>
      <c r="B3374" s="215">
        <f t="shared" si="156"/>
        <v>45910</v>
      </c>
      <c r="C3374" s="213" t="s">
        <v>4373</v>
      </c>
      <c r="D3374" s="213" t="s">
        <v>4366</v>
      </c>
      <c r="E3374" s="213" t="s">
        <v>333</v>
      </c>
      <c r="F3374" s="212" t="s">
        <v>4365</v>
      </c>
      <c r="G3374" s="212" t="str">
        <f t="shared" si="157"/>
        <v>101현금</v>
      </c>
      <c r="H3374" s="214">
        <v>0</v>
      </c>
      <c r="I3374" s="214">
        <v>578720</v>
      </c>
      <c r="J3374" s="214">
        <f t="shared" si="158"/>
        <v>578720</v>
      </c>
      <c r="K3374" s="212" t="s">
        <v>4522</v>
      </c>
      <c r="L3374" s="213" t="s">
        <v>6411</v>
      </c>
      <c r="M3374" s="212" t="s">
        <v>6413</v>
      </c>
    </row>
    <row r="3375" spans="1:13" ht="21" customHeight="1">
      <c r="A3375" s="213" t="s">
        <v>6412</v>
      </c>
      <c r="B3375" s="215">
        <f t="shared" si="156"/>
        <v>45910</v>
      </c>
      <c r="C3375" s="213" t="s">
        <v>4382</v>
      </c>
      <c r="D3375" s="213" t="s">
        <v>4369</v>
      </c>
      <c r="E3375" s="213" t="s">
        <v>4505</v>
      </c>
      <c r="F3375" s="212" t="s">
        <v>4506</v>
      </c>
      <c r="G3375" s="212" t="str">
        <f t="shared" si="157"/>
        <v>254예수금</v>
      </c>
      <c r="H3375" s="214">
        <v>14350</v>
      </c>
      <c r="I3375" s="214">
        <v>0</v>
      </c>
      <c r="J3375" s="214">
        <f t="shared" si="158"/>
        <v>-14350</v>
      </c>
      <c r="K3375" s="212" t="s">
        <v>4508</v>
      </c>
      <c r="L3375" s="213" t="s">
        <v>6411</v>
      </c>
      <c r="M3375" s="212" t="s">
        <v>6410</v>
      </c>
    </row>
    <row r="3376" spans="1:13" ht="21" customHeight="1">
      <c r="A3376" s="213" t="s">
        <v>6412</v>
      </c>
      <c r="B3376" s="215">
        <f t="shared" si="156"/>
        <v>45910</v>
      </c>
      <c r="C3376" s="213" t="s">
        <v>4382</v>
      </c>
      <c r="D3376" s="213" t="s">
        <v>4366</v>
      </c>
      <c r="E3376" s="213" t="s">
        <v>333</v>
      </c>
      <c r="F3376" s="212" t="s">
        <v>4365</v>
      </c>
      <c r="G3376" s="212" t="str">
        <f t="shared" si="157"/>
        <v>101현금</v>
      </c>
      <c r="H3376" s="214">
        <v>0</v>
      </c>
      <c r="I3376" s="214">
        <v>14350</v>
      </c>
      <c r="J3376" s="214">
        <f t="shared" si="158"/>
        <v>14350</v>
      </c>
      <c r="K3376" s="212" t="s">
        <v>4508</v>
      </c>
      <c r="L3376" s="213" t="s">
        <v>6411</v>
      </c>
      <c r="M3376" s="212" t="s">
        <v>6410</v>
      </c>
    </row>
    <row r="3377" spans="1:13" ht="21" customHeight="1">
      <c r="A3377" s="213" t="s">
        <v>6409</v>
      </c>
      <c r="B3377" s="215">
        <f t="shared" si="156"/>
        <v>45911</v>
      </c>
      <c r="C3377" s="213" t="s">
        <v>4367</v>
      </c>
      <c r="D3377" s="213" t="s">
        <v>4366</v>
      </c>
      <c r="E3377" s="213" t="s">
        <v>6176</v>
      </c>
      <c r="F3377" s="212" t="s">
        <v>6177</v>
      </c>
      <c r="G3377" s="212" t="str">
        <f t="shared" si="157"/>
        <v>255부가세예수금</v>
      </c>
      <c r="H3377" s="214">
        <v>0</v>
      </c>
      <c r="I3377" s="214">
        <v>7000</v>
      </c>
      <c r="J3377" s="214">
        <f t="shared" si="158"/>
        <v>7000</v>
      </c>
      <c r="K3377" s="212" t="s">
        <v>6259</v>
      </c>
      <c r="L3377" s="213"/>
      <c r="M3377" s="212" t="s">
        <v>6287</v>
      </c>
    </row>
    <row r="3378" spans="1:13" ht="21" customHeight="1">
      <c r="A3378" s="213" t="s">
        <v>6409</v>
      </c>
      <c r="B3378" s="215">
        <f t="shared" si="156"/>
        <v>45911</v>
      </c>
      <c r="C3378" s="213" t="s">
        <v>4367</v>
      </c>
      <c r="D3378" s="213" t="s">
        <v>4366</v>
      </c>
      <c r="E3378" s="213" t="s">
        <v>334</v>
      </c>
      <c r="F3378" s="212" t="s">
        <v>6158</v>
      </c>
      <c r="G3378" s="212" t="str">
        <f t="shared" si="157"/>
        <v>401용역매출</v>
      </c>
      <c r="H3378" s="214">
        <v>0</v>
      </c>
      <c r="I3378" s="214">
        <v>70000</v>
      </c>
      <c r="J3378" s="214">
        <f t="shared" si="158"/>
        <v>70000</v>
      </c>
      <c r="K3378" s="212" t="s">
        <v>6259</v>
      </c>
      <c r="L3378" s="213"/>
      <c r="M3378" s="212" t="s">
        <v>6287</v>
      </c>
    </row>
    <row r="3379" spans="1:13" ht="21" customHeight="1">
      <c r="A3379" s="213" t="s">
        <v>6409</v>
      </c>
      <c r="B3379" s="215">
        <f t="shared" si="156"/>
        <v>45911</v>
      </c>
      <c r="C3379" s="213" t="s">
        <v>4367</v>
      </c>
      <c r="D3379" s="213" t="s">
        <v>4369</v>
      </c>
      <c r="E3379" s="213" t="s">
        <v>333</v>
      </c>
      <c r="F3379" s="212" t="s">
        <v>4365</v>
      </c>
      <c r="G3379" s="212" t="str">
        <f t="shared" si="157"/>
        <v>101현금</v>
      </c>
      <c r="H3379" s="214">
        <v>77000</v>
      </c>
      <c r="I3379" s="214">
        <v>0</v>
      </c>
      <c r="J3379" s="214">
        <f t="shared" si="158"/>
        <v>-77000</v>
      </c>
      <c r="K3379" s="212" t="s">
        <v>6259</v>
      </c>
      <c r="L3379" s="213"/>
      <c r="M3379" s="212" t="s">
        <v>6287</v>
      </c>
    </row>
    <row r="3380" spans="1:13" ht="21" customHeight="1">
      <c r="A3380" s="213" t="s">
        <v>6409</v>
      </c>
      <c r="B3380" s="215">
        <f t="shared" si="156"/>
        <v>45911</v>
      </c>
      <c r="C3380" s="213" t="s">
        <v>4374</v>
      </c>
      <c r="D3380" s="213" t="s">
        <v>4366</v>
      </c>
      <c r="E3380" s="213" t="s">
        <v>6176</v>
      </c>
      <c r="F3380" s="212" t="s">
        <v>6177</v>
      </c>
      <c r="G3380" s="212" t="str">
        <f t="shared" si="157"/>
        <v>255부가세예수금</v>
      </c>
      <c r="H3380" s="214">
        <v>0</v>
      </c>
      <c r="I3380" s="214">
        <v>10000</v>
      </c>
      <c r="J3380" s="214">
        <f t="shared" si="158"/>
        <v>10000</v>
      </c>
      <c r="K3380" s="212" t="s">
        <v>6264</v>
      </c>
      <c r="L3380" s="213"/>
      <c r="M3380" s="212" t="s">
        <v>6185</v>
      </c>
    </row>
    <row r="3381" spans="1:13" ht="21" customHeight="1">
      <c r="A3381" s="213" t="s">
        <v>6409</v>
      </c>
      <c r="B3381" s="215">
        <f t="shared" si="156"/>
        <v>45911</v>
      </c>
      <c r="C3381" s="213" t="s">
        <v>4374</v>
      </c>
      <c r="D3381" s="213" t="s">
        <v>4366</v>
      </c>
      <c r="E3381" s="213" t="s">
        <v>334</v>
      </c>
      <c r="F3381" s="212" t="s">
        <v>6158</v>
      </c>
      <c r="G3381" s="212" t="str">
        <f t="shared" si="157"/>
        <v>401용역매출</v>
      </c>
      <c r="H3381" s="214">
        <v>0</v>
      </c>
      <c r="I3381" s="214">
        <v>100000</v>
      </c>
      <c r="J3381" s="214">
        <f t="shared" si="158"/>
        <v>100000</v>
      </c>
      <c r="K3381" s="212" t="s">
        <v>6264</v>
      </c>
      <c r="L3381" s="213"/>
      <c r="M3381" s="212" t="s">
        <v>6185</v>
      </c>
    </row>
    <row r="3382" spans="1:13" ht="21" customHeight="1">
      <c r="A3382" s="213" t="s">
        <v>6409</v>
      </c>
      <c r="B3382" s="215">
        <f t="shared" si="156"/>
        <v>45911</v>
      </c>
      <c r="C3382" s="213" t="s">
        <v>4374</v>
      </c>
      <c r="D3382" s="213" t="s">
        <v>4369</v>
      </c>
      <c r="E3382" s="213" t="s">
        <v>333</v>
      </c>
      <c r="F3382" s="212" t="s">
        <v>4365</v>
      </c>
      <c r="G3382" s="212" t="str">
        <f t="shared" si="157"/>
        <v>101현금</v>
      </c>
      <c r="H3382" s="214">
        <v>110000</v>
      </c>
      <c r="I3382" s="214">
        <v>0</v>
      </c>
      <c r="J3382" s="214">
        <f t="shared" si="158"/>
        <v>-110000</v>
      </c>
      <c r="K3382" s="212" t="s">
        <v>6264</v>
      </c>
      <c r="L3382" s="213"/>
      <c r="M3382" s="212" t="s">
        <v>6185</v>
      </c>
    </row>
    <row r="3383" spans="1:13" ht="21" customHeight="1">
      <c r="A3383" s="213" t="s">
        <v>6409</v>
      </c>
      <c r="B3383" s="215">
        <f t="shared" si="156"/>
        <v>45911</v>
      </c>
      <c r="C3383" s="213" t="s">
        <v>6182</v>
      </c>
      <c r="D3383" s="213" t="s">
        <v>4366</v>
      </c>
      <c r="E3383" s="213" t="s">
        <v>6176</v>
      </c>
      <c r="F3383" s="212" t="s">
        <v>6177</v>
      </c>
      <c r="G3383" s="212" t="str">
        <f t="shared" si="157"/>
        <v>255부가세예수금</v>
      </c>
      <c r="H3383" s="214">
        <v>0</v>
      </c>
      <c r="I3383" s="214">
        <v>15000</v>
      </c>
      <c r="J3383" s="214">
        <f t="shared" si="158"/>
        <v>15000</v>
      </c>
      <c r="K3383" s="212" t="s">
        <v>6260</v>
      </c>
      <c r="L3383" s="213"/>
      <c r="M3383" s="212" t="s">
        <v>6179</v>
      </c>
    </row>
    <row r="3384" spans="1:13" ht="21" customHeight="1">
      <c r="A3384" s="213" t="s">
        <v>6409</v>
      </c>
      <c r="B3384" s="215">
        <f t="shared" si="156"/>
        <v>45911</v>
      </c>
      <c r="C3384" s="213" t="s">
        <v>6182</v>
      </c>
      <c r="D3384" s="213" t="s">
        <v>4366</v>
      </c>
      <c r="E3384" s="213" t="s">
        <v>334</v>
      </c>
      <c r="F3384" s="212" t="s">
        <v>6158</v>
      </c>
      <c r="G3384" s="212" t="str">
        <f t="shared" si="157"/>
        <v>401용역매출</v>
      </c>
      <c r="H3384" s="214">
        <v>0</v>
      </c>
      <c r="I3384" s="214">
        <v>150000</v>
      </c>
      <c r="J3384" s="214">
        <f t="shared" si="158"/>
        <v>150000</v>
      </c>
      <c r="K3384" s="212" t="s">
        <v>6260</v>
      </c>
      <c r="L3384" s="213"/>
      <c r="M3384" s="212" t="s">
        <v>6179</v>
      </c>
    </row>
    <row r="3385" spans="1:13" ht="21" customHeight="1">
      <c r="A3385" s="213" t="s">
        <v>6409</v>
      </c>
      <c r="B3385" s="215">
        <f t="shared" si="156"/>
        <v>45911</v>
      </c>
      <c r="C3385" s="213" t="s">
        <v>6182</v>
      </c>
      <c r="D3385" s="213" t="s">
        <v>4369</v>
      </c>
      <c r="E3385" s="213" t="s">
        <v>333</v>
      </c>
      <c r="F3385" s="212" t="s">
        <v>4365</v>
      </c>
      <c r="G3385" s="212" t="str">
        <f t="shared" si="157"/>
        <v>101현금</v>
      </c>
      <c r="H3385" s="214">
        <v>165000</v>
      </c>
      <c r="I3385" s="214">
        <v>0</v>
      </c>
      <c r="J3385" s="214">
        <f t="shared" si="158"/>
        <v>-165000</v>
      </c>
      <c r="K3385" s="212" t="s">
        <v>6260</v>
      </c>
      <c r="L3385" s="213"/>
      <c r="M3385" s="212" t="s">
        <v>6179</v>
      </c>
    </row>
    <row r="3386" spans="1:13" ht="21" customHeight="1">
      <c r="A3386" s="213" t="s">
        <v>6409</v>
      </c>
      <c r="B3386" s="215">
        <f t="shared" si="156"/>
        <v>45911</v>
      </c>
      <c r="C3386" s="213" t="s">
        <v>6184</v>
      </c>
      <c r="D3386" s="213" t="s">
        <v>4366</v>
      </c>
      <c r="E3386" s="213" t="s">
        <v>6176</v>
      </c>
      <c r="F3386" s="212" t="s">
        <v>6177</v>
      </c>
      <c r="G3386" s="212" t="str">
        <f t="shared" si="157"/>
        <v>255부가세예수금</v>
      </c>
      <c r="H3386" s="214">
        <v>0</v>
      </c>
      <c r="I3386" s="214">
        <v>20000</v>
      </c>
      <c r="J3386" s="214">
        <f t="shared" si="158"/>
        <v>20000</v>
      </c>
      <c r="K3386" s="212" t="s">
        <v>6263</v>
      </c>
      <c r="L3386" s="213"/>
      <c r="M3386" s="212" t="s">
        <v>6231</v>
      </c>
    </row>
    <row r="3387" spans="1:13" ht="21" customHeight="1">
      <c r="A3387" s="213" t="s">
        <v>6409</v>
      </c>
      <c r="B3387" s="215">
        <f t="shared" si="156"/>
        <v>45911</v>
      </c>
      <c r="C3387" s="213" t="s">
        <v>6184</v>
      </c>
      <c r="D3387" s="213" t="s">
        <v>4366</v>
      </c>
      <c r="E3387" s="213" t="s">
        <v>334</v>
      </c>
      <c r="F3387" s="212" t="s">
        <v>6158</v>
      </c>
      <c r="G3387" s="212" t="str">
        <f t="shared" si="157"/>
        <v>401용역매출</v>
      </c>
      <c r="H3387" s="214">
        <v>0</v>
      </c>
      <c r="I3387" s="214">
        <v>200000</v>
      </c>
      <c r="J3387" s="214">
        <f t="shared" si="158"/>
        <v>200000</v>
      </c>
      <c r="K3387" s="212" t="s">
        <v>6263</v>
      </c>
      <c r="L3387" s="213"/>
      <c r="M3387" s="212" t="s">
        <v>6231</v>
      </c>
    </row>
    <row r="3388" spans="1:13" ht="21" customHeight="1">
      <c r="A3388" s="213" t="s">
        <v>6409</v>
      </c>
      <c r="B3388" s="215">
        <f t="shared" si="156"/>
        <v>45911</v>
      </c>
      <c r="C3388" s="213" t="s">
        <v>6184</v>
      </c>
      <c r="D3388" s="213" t="s">
        <v>4369</v>
      </c>
      <c r="E3388" s="213" t="s">
        <v>333</v>
      </c>
      <c r="F3388" s="212" t="s">
        <v>4365</v>
      </c>
      <c r="G3388" s="212" t="str">
        <f t="shared" si="157"/>
        <v>101현금</v>
      </c>
      <c r="H3388" s="214">
        <v>220000</v>
      </c>
      <c r="I3388" s="214">
        <v>0</v>
      </c>
      <c r="J3388" s="214">
        <f t="shared" si="158"/>
        <v>-220000</v>
      </c>
      <c r="K3388" s="212" t="s">
        <v>6263</v>
      </c>
      <c r="L3388" s="213"/>
      <c r="M3388" s="212" t="s">
        <v>6231</v>
      </c>
    </row>
    <row r="3389" spans="1:13" ht="21" customHeight="1">
      <c r="A3389" s="213" t="s">
        <v>6409</v>
      </c>
      <c r="B3389" s="215">
        <f t="shared" si="156"/>
        <v>45911</v>
      </c>
      <c r="C3389" s="213" t="s">
        <v>6186</v>
      </c>
      <c r="D3389" s="213" t="s">
        <v>4366</v>
      </c>
      <c r="E3389" s="213" t="s">
        <v>6176</v>
      </c>
      <c r="F3389" s="212" t="s">
        <v>6177</v>
      </c>
      <c r="G3389" s="212" t="str">
        <f t="shared" si="157"/>
        <v>255부가세예수금</v>
      </c>
      <c r="H3389" s="214">
        <v>0</v>
      </c>
      <c r="I3389" s="214">
        <v>10000</v>
      </c>
      <c r="J3389" s="214">
        <f t="shared" si="158"/>
        <v>10000</v>
      </c>
      <c r="K3389" s="212" t="s">
        <v>6261</v>
      </c>
      <c r="L3389" s="213"/>
      <c r="M3389" s="212" t="s">
        <v>6185</v>
      </c>
    </row>
    <row r="3390" spans="1:13" ht="21" customHeight="1">
      <c r="A3390" s="213" t="s">
        <v>6409</v>
      </c>
      <c r="B3390" s="215">
        <f t="shared" si="156"/>
        <v>45911</v>
      </c>
      <c r="C3390" s="213" t="s">
        <v>6186</v>
      </c>
      <c r="D3390" s="213" t="s">
        <v>4366</v>
      </c>
      <c r="E3390" s="213" t="s">
        <v>334</v>
      </c>
      <c r="F3390" s="212" t="s">
        <v>6158</v>
      </c>
      <c r="G3390" s="212" t="str">
        <f t="shared" si="157"/>
        <v>401용역매출</v>
      </c>
      <c r="H3390" s="214">
        <v>0</v>
      </c>
      <c r="I3390" s="214">
        <v>100000</v>
      </c>
      <c r="J3390" s="214">
        <f t="shared" si="158"/>
        <v>100000</v>
      </c>
      <c r="K3390" s="212" t="s">
        <v>6261</v>
      </c>
      <c r="L3390" s="213"/>
      <c r="M3390" s="212" t="s">
        <v>6185</v>
      </c>
    </row>
    <row r="3391" spans="1:13" ht="21" customHeight="1">
      <c r="A3391" s="213" t="s">
        <v>6409</v>
      </c>
      <c r="B3391" s="215">
        <f t="shared" si="156"/>
        <v>45911</v>
      </c>
      <c r="C3391" s="213" t="s">
        <v>6186</v>
      </c>
      <c r="D3391" s="213" t="s">
        <v>4369</v>
      </c>
      <c r="E3391" s="213" t="s">
        <v>333</v>
      </c>
      <c r="F3391" s="212" t="s">
        <v>4365</v>
      </c>
      <c r="G3391" s="212" t="str">
        <f t="shared" si="157"/>
        <v>101현금</v>
      </c>
      <c r="H3391" s="214">
        <v>110000</v>
      </c>
      <c r="I3391" s="214">
        <v>0</v>
      </c>
      <c r="J3391" s="214">
        <f t="shared" si="158"/>
        <v>-110000</v>
      </c>
      <c r="K3391" s="212" t="s">
        <v>6261</v>
      </c>
      <c r="L3391" s="213"/>
      <c r="M3391" s="212" t="s">
        <v>6185</v>
      </c>
    </row>
    <row r="3392" spans="1:13" ht="21" customHeight="1">
      <c r="A3392" s="213" t="s">
        <v>6409</v>
      </c>
      <c r="B3392" s="215">
        <f t="shared" si="156"/>
        <v>45911</v>
      </c>
      <c r="C3392" s="213" t="s">
        <v>6189</v>
      </c>
      <c r="D3392" s="213" t="s">
        <v>4366</v>
      </c>
      <c r="E3392" s="213" t="s">
        <v>6176</v>
      </c>
      <c r="F3392" s="212" t="s">
        <v>6177</v>
      </c>
      <c r="G3392" s="212" t="str">
        <f t="shared" si="157"/>
        <v>255부가세예수금</v>
      </c>
      <c r="H3392" s="214">
        <v>0</v>
      </c>
      <c r="I3392" s="214">
        <v>12000</v>
      </c>
      <c r="J3392" s="214">
        <f t="shared" si="158"/>
        <v>12000</v>
      </c>
      <c r="K3392" s="212" t="s">
        <v>6309</v>
      </c>
      <c r="L3392" s="213"/>
      <c r="M3392" s="212" t="s">
        <v>6225</v>
      </c>
    </row>
    <row r="3393" spans="1:13" ht="21" customHeight="1">
      <c r="A3393" s="213" t="s">
        <v>6409</v>
      </c>
      <c r="B3393" s="215">
        <f t="shared" si="156"/>
        <v>45911</v>
      </c>
      <c r="C3393" s="213" t="s">
        <v>6189</v>
      </c>
      <c r="D3393" s="213" t="s">
        <v>4366</v>
      </c>
      <c r="E3393" s="213" t="s">
        <v>334</v>
      </c>
      <c r="F3393" s="212" t="s">
        <v>6158</v>
      </c>
      <c r="G3393" s="212" t="str">
        <f t="shared" si="157"/>
        <v>401용역매출</v>
      </c>
      <c r="H3393" s="214">
        <v>0</v>
      </c>
      <c r="I3393" s="214">
        <v>120000</v>
      </c>
      <c r="J3393" s="214">
        <f t="shared" si="158"/>
        <v>120000</v>
      </c>
      <c r="K3393" s="212" t="s">
        <v>6309</v>
      </c>
      <c r="L3393" s="213"/>
      <c r="M3393" s="212" t="s">
        <v>6225</v>
      </c>
    </row>
    <row r="3394" spans="1:13" ht="21" customHeight="1">
      <c r="A3394" s="213" t="s">
        <v>6409</v>
      </c>
      <c r="B3394" s="215">
        <f t="shared" ref="B3394:B3457" si="159">DATEVALUE(A3394)</f>
        <v>45911</v>
      </c>
      <c r="C3394" s="213" t="s">
        <v>6189</v>
      </c>
      <c r="D3394" s="213" t="s">
        <v>4369</v>
      </c>
      <c r="E3394" s="213" t="s">
        <v>333</v>
      </c>
      <c r="F3394" s="212" t="s">
        <v>4365</v>
      </c>
      <c r="G3394" s="212" t="str">
        <f t="shared" ref="G3394:G3457" si="160">E3394&amp;F3394</f>
        <v>101현금</v>
      </c>
      <c r="H3394" s="214">
        <v>132000</v>
      </c>
      <c r="I3394" s="214">
        <v>0</v>
      </c>
      <c r="J3394" s="214">
        <f t="shared" ref="J3394:J3457" si="161">I3394-H3394</f>
        <v>-132000</v>
      </c>
      <c r="K3394" s="212" t="s">
        <v>6309</v>
      </c>
      <c r="L3394" s="213"/>
      <c r="M3394" s="212" t="s">
        <v>6225</v>
      </c>
    </row>
    <row r="3395" spans="1:13" ht="21" customHeight="1">
      <c r="A3395" s="213" t="s">
        <v>6409</v>
      </c>
      <c r="B3395" s="215">
        <f t="shared" si="159"/>
        <v>45911</v>
      </c>
      <c r="C3395" s="213" t="s">
        <v>6191</v>
      </c>
      <c r="D3395" s="213" t="s">
        <v>4366</v>
      </c>
      <c r="E3395" s="213" t="s">
        <v>6176</v>
      </c>
      <c r="F3395" s="212" t="s">
        <v>6177</v>
      </c>
      <c r="G3395" s="212" t="str">
        <f t="shared" si="160"/>
        <v>255부가세예수금</v>
      </c>
      <c r="H3395" s="214">
        <v>0</v>
      </c>
      <c r="I3395" s="214">
        <v>10000</v>
      </c>
      <c r="J3395" s="214">
        <f t="shared" si="161"/>
        <v>10000</v>
      </c>
      <c r="K3395" s="212" t="s">
        <v>6408</v>
      </c>
      <c r="L3395" s="213"/>
      <c r="M3395" s="212" t="s">
        <v>6185</v>
      </c>
    </row>
    <row r="3396" spans="1:13" ht="21" customHeight="1">
      <c r="A3396" s="213" t="s">
        <v>6409</v>
      </c>
      <c r="B3396" s="215">
        <f t="shared" si="159"/>
        <v>45911</v>
      </c>
      <c r="C3396" s="213" t="s">
        <v>6191</v>
      </c>
      <c r="D3396" s="213" t="s">
        <v>4366</v>
      </c>
      <c r="E3396" s="213" t="s">
        <v>334</v>
      </c>
      <c r="F3396" s="212" t="s">
        <v>6158</v>
      </c>
      <c r="G3396" s="212" t="str">
        <f t="shared" si="160"/>
        <v>401용역매출</v>
      </c>
      <c r="H3396" s="214">
        <v>0</v>
      </c>
      <c r="I3396" s="214">
        <v>100000</v>
      </c>
      <c r="J3396" s="214">
        <f t="shared" si="161"/>
        <v>100000</v>
      </c>
      <c r="K3396" s="212" t="s">
        <v>6408</v>
      </c>
      <c r="L3396" s="213"/>
      <c r="M3396" s="212" t="s">
        <v>6185</v>
      </c>
    </row>
    <row r="3397" spans="1:13" ht="21" customHeight="1">
      <c r="A3397" s="213" t="s">
        <v>6409</v>
      </c>
      <c r="B3397" s="215">
        <f t="shared" si="159"/>
        <v>45911</v>
      </c>
      <c r="C3397" s="213" t="s">
        <v>6191</v>
      </c>
      <c r="D3397" s="213" t="s">
        <v>4369</v>
      </c>
      <c r="E3397" s="213" t="s">
        <v>333</v>
      </c>
      <c r="F3397" s="212" t="s">
        <v>4365</v>
      </c>
      <c r="G3397" s="212" t="str">
        <f t="shared" si="160"/>
        <v>101현금</v>
      </c>
      <c r="H3397" s="214">
        <v>110000</v>
      </c>
      <c r="I3397" s="214">
        <v>0</v>
      </c>
      <c r="J3397" s="214">
        <f t="shared" si="161"/>
        <v>-110000</v>
      </c>
      <c r="K3397" s="212" t="s">
        <v>6408</v>
      </c>
      <c r="L3397" s="213"/>
      <c r="M3397" s="212" t="s">
        <v>6185</v>
      </c>
    </row>
    <row r="3398" spans="1:13" ht="21" customHeight="1">
      <c r="A3398" s="213" t="s">
        <v>6407</v>
      </c>
      <c r="B3398" s="215">
        <f t="shared" si="159"/>
        <v>45912</v>
      </c>
      <c r="C3398" s="213" t="s">
        <v>4367</v>
      </c>
      <c r="D3398" s="213" t="s">
        <v>4366</v>
      </c>
      <c r="E3398" s="213" t="s">
        <v>6176</v>
      </c>
      <c r="F3398" s="212" t="s">
        <v>6177</v>
      </c>
      <c r="G3398" s="212" t="str">
        <f t="shared" si="160"/>
        <v>255부가세예수금</v>
      </c>
      <c r="H3398" s="214">
        <v>0</v>
      </c>
      <c r="I3398" s="214">
        <v>15000</v>
      </c>
      <c r="J3398" s="214">
        <f t="shared" si="161"/>
        <v>15000</v>
      </c>
      <c r="K3398" s="212" t="s">
        <v>6201</v>
      </c>
      <c r="L3398" s="213"/>
      <c r="M3398" s="212" t="s">
        <v>6179</v>
      </c>
    </row>
    <row r="3399" spans="1:13" ht="21" customHeight="1">
      <c r="A3399" s="213" t="s">
        <v>6407</v>
      </c>
      <c r="B3399" s="215">
        <f t="shared" si="159"/>
        <v>45912</v>
      </c>
      <c r="C3399" s="213" t="s">
        <v>4367</v>
      </c>
      <c r="D3399" s="213" t="s">
        <v>4366</v>
      </c>
      <c r="E3399" s="213" t="s">
        <v>334</v>
      </c>
      <c r="F3399" s="212" t="s">
        <v>6158</v>
      </c>
      <c r="G3399" s="212" t="str">
        <f t="shared" si="160"/>
        <v>401용역매출</v>
      </c>
      <c r="H3399" s="214">
        <v>0</v>
      </c>
      <c r="I3399" s="214">
        <v>150000</v>
      </c>
      <c r="J3399" s="214">
        <f t="shared" si="161"/>
        <v>150000</v>
      </c>
      <c r="K3399" s="212" t="s">
        <v>6201</v>
      </c>
      <c r="L3399" s="213"/>
      <c r="M3399" s="212" t="s">
        <v>6179</v>
      </c>
    </row>
    <row r="3400" spans="1:13" ht="21" customHeight="1">
      <c r="A3400" s="213" t="s">
        <v>6407</v>
      </c>
      <c r="B3400" s="215">
        <f t="shared" si="159"/>
        <v>45912</v>
      </c>
      <c r="C3400" s="213" t="s">
        <v>4367</v>
      </c>
      <c r="D3400" s="213" t="s">
        <v>4369</v>
      </c>
      <c r="E3400" s="213" t="s">
        <v>333</v>
      </c>
      <c r="F3400" s="212" t="s">
        <v>4365</v>
      </c>
      <c r="G3400" s="212" t="str">
        <f t="shared" si="160"/>
        <v>101현금</v>
      </c>
      <c r="H3400" s="214">
        <v>165000</v>
      </c>
      <c r="I3400" s="214">
        <v>0</v>
      </c>
      <c r="J3400" s="214">
        <f t="shared" si="161"/>
        <v>-165000</v>
      </c>
      <c r="K3400" s="212" t="s">
        <v>6201</v>
      </c>
      <c r="L3400" s="213"/>
      <c r="M3400" s="212" t="s">
        <v>6179</v>
      </c>
    </row>
    <row r="3401" spans="1:13" ht="21" customHeight="1">
      <c r="A3401" s="213" t="s">
        <v>6406</v>
      </c>
      <c r="B3401" s="215">
        <f t="shared" si="159"/>
        <v>45915</v>
      </c>
      <c r="C3401" s="213" t="s">
        <v>4367</v>
      </c>
      <c r="D3401" s="213" t="s">
        <v>4366</v>
      </c>
      <c r="E3401" s="213" t="s">
        <v>6176</v>
      </c>
      <c r="F3401" s="212" t="s">
        <v>6177</v>
      </c>
      <c r="G3401" s="212" t="str">
        <f t="shared" si="160"/>
        <v>255부가세예수금</v>
      </c>
      <c r="H3401" s="214">
        <v>0</v>
      </c>
      <c r="I3401" s="214">
        <v>10000</v>
      </c>
      <c r="J3401" s="214">
        <f t="shared" si="161"/>
        <v>10000</v>
      </c>
      <c r="K3401" s="212" t="s">
        <v>6262</v>
      </c>
      <c r="L3401" s="213"/>
      <c r="M3401" s="212" t="s">
        <v>6185</v>
      </c>
    </row>
    <row r="3402" spans="1:13" ht="21" customHeight="1">
      <c r="A3402" s="213" t="s">
        <v>6406</v>
      </c>
      <c r="B3402" s="215">
        <f t="shared" si="159"/>
        <v>45915</v>
      </c>
      <c r="C3402" s="213" t="s">
        <v>4367</v>
      </c>
      <c r="D3402" s="213" t="s">
        <v>4366</v>
      </c>
      <c r="E3402" s="213" t="s">
        <v>334</v>
      </c>
      <c r="F3402" s="212" t="s">
        <v>6158</v>
      </c>
      <c r="G3402" s="212" t="str">
        <f t="shared" si="160"/>
        <v>401용역매출</v>
      </c>
      <c r="H3402" s="214">
        <v>0</v>
      </c>
      <c r="I3402" s="214">
        <v>100000</v>
      </c>
      <c r="J3402" s="214">
        <f t="shared" si="161"/>
        <v>100000</v>
      </c>
      <c r="K3402" s="212" t="s">
        <v>6262</v>
      </c>
      <c r="L3402" s="213"/>
      <c r="M3402" s="212" t="s">
        <v>6185</v>
      </c>
    </row>
    <row r="3403" spans="1:13" ht="21" customHeight="1">
      <c r="A3403" s="213" t="s">
        <v>6406</v>
      </c>
      <c r="B3403" s="215">
        <f t="shared" si="159"/>
        <v>45915</v>
      </c>
      <c r="C3403" s="213" t="s">
        <v>4367</v>
      </c>
      <c r="D3403" s="213" t="s">
        <v>4369</v>
      </c>
      <c r="E3403" s="213" t="s">
        <v>333</v>
      </c>
      <c r="F3403" s="212" t="s">
        <v>4365</v>
      </c>
      <c r="G3403" s="212" t="str">
        <f t="shared" si="160"/>
        <v>101현금</v>
      </c>
      <c r="H3403" s="214">
        <v>110000</v>
      </c>
      <c r="I3403" s="214">
        <v>0</v>
      </c>
      <c r="J3403" s="214">
        <f t="shared" si="161"/>
        <v>-110000</v>
      </c>
      <c r="K3403" s="212" t="s">
        <v>6262</v>
      </c>
      <c r="L3403" s="213"/>
      <c r="M3403" s="212" t="s">
        <v>6185</v>
      </c>
    </row>
    <row r="3404" spans="1:13" ht="21" customHeight="1">
      <c r="A3404" s="213" t="s">
        <v>6405</v>
      </c>
      <c r="B3404" s="215">
        <f t="shared" si="159"/>
        <v>45916</v>
      </c>
      <c r="C3404" s="213" t="s">
        <v>4367</v>
      </c>
      <c r="D3404" s="213" t="s">
        <v>4366</v>
      </c>
      <c r="E3404" s="213" t="s">
        <v>6176</v>
      </c>
      <c r="F3404" s="212" t="s">
        <v>6177</v>
      </c>
      <c r="G3404" s="212" t="str">
        <f t="shared" si="160"/>
        <v>255부가세예수금</v>
      </c>
      <c r="H3404" s="214">
        <v>0</v>
      </c>
      <c r="I3404" s="214">
        <v>10000</v>
      </c>
      <c r="J3404" s="214">
        <f t="shared" si="161"/>
        <v>10000</v>
      </c>
      <c r="K3404" s="212" t="s">
        <v>6280</v>
      </c>
      <c r="L3404" s="213"/>
      <c r="M3404" s="212" t="s">
        <v>6185</v>
      </c>
    </row>
    <row r="3405" spans="1:13" ht="21" customHeight="1">
      <c r="A3405" s="213" t="s">
        <v>6405</v>
      </c>
      <c r="B3405" s="215">
        <f t="shared" si="159"/>
        <v>45916</v>
      </c>
      <c r="C3405" s="213" t="s">
        <v>4367</v>
      </c>
      <c r="D3405" s="213" t="s">
        <v>4366</v>
      </c>
      <c r="E3405" s="213" t="s">
        <v>334</v>
      </c>
      <c r="F3405" s="212" t="s">
        <v>6158</v>
      </c>
      <c r="G3405" s="212" t="str">
        <f t="shared" si="160"/>
        <v>401용역매출</v>
      </c>
      <c r="H3405" s="214">
        <v>0</v>
      </c>
      <c r="I3405" s="214">
        <v>100000</v>
      </c>
      <c r="J3405" s="214">
        <f t="shared" si="161"/>
        <v>100000</v>
      </c>
      <c r="K3405" s="212" t="s">
        <v>6280</v>
      </c>
      <c r="L3405" s="213"/>
      <c r="M3405" s="212" t="s">
        <v>6185</v>
      </c>
    </row>
    <row r="3406" spans="1:13" ht="21" customHeight="1">
      <c r="A3406" s="213" t="s">
        <v>6405</v>
      </c>
      <c r="B3406" s="215">
        <f t="shared" si="159"/>
        <v>45916</v>
      </c>
      <c r="C3406" s="213" t="s">
        <v>4367</v>
      </c>
      <c r="D3406" s="213" t="s">
        <v>4369</v>
      </c>
      <c r="E3406" s="213" t="s">
        <v>333</v>
      </c>
      <c r="F3406" s="212" t="s">
        <v>4365</v>
      </c>
      <c r="G3406" s="212" t="str">
        <f t="shared" si="160"/>
        <v>101현금</v>
      </c>
      <c r="H3406" s="214">
        <v>110000</v>
      </c>
      <c r="I3406" s="214">
        <v>0</v>
      </c>
      <c r="J3406" s="214">
        <f t="shared" si="161"/>
        <v>-110000</v>
      </c>
      <c r="K3406" s="212" t="s">
        <v>6280</v>
      </c>
      <c r="L3406" s="213"/>
      <c r="M3406" s="212" t="s">
        <v>6185</v>
      </c>
    </row>
    <row r="3407" spans="1:13" ht="21" customHeight="1">
      <c r="A3407" s="213" t="s">
        <v>6405</v>
      </c>
      <c r="B3407" s="215">
        <f t="shared" si="159"/>
        <v>45916</v>
      </c>
      <c r="C3407" s="213" t="s">
        <v>4374</v>
      </c>
      <c r="D3407" s="213" t="s">
        <v>4366</v>
      </c>
      <c r="E3407" s="213" t="s">
        <v>6176</v>
      </c>
      <c r="F3407" s="212" t="s">
        <v>6177</v>
      </c>
      <c r="G3407" s="212" t="str">
        <f t="shared" si="160"/>
        <v>255부가세예수금</v>
      </c>
      <c r="H3407" s="214">
        <v>0</v>
      </c>
      <c r="I3407" s="214">
        <v>10000</v>
      </c>
      <c r="J3407" s="214">
        <f t="shared" si="161"/>
        <v>10000</v>
      </c>
      <c r="K3407" s="212" t="s">
        <v>6304</v>
      </c>
      <c r="L3407" s="213"/>
      <c r="M3407" s="212" t="s">
        <v>6185</v>
      </c>
    </row>
    <row r="3408" spans="1:13" ht="21" customHeight="1">
      <c r="A3408" s="213" t="s">
        <v>6405</v>
      </c>
      <c r="B3408" s="215">
        <f t="shared" si="159"/>
        <v>45916</v>
      </c>
      <c r="C3408" s="213" t="s">
        <v>4374</v>
      </c>
      <c r="D3408" s="213" t="s">
        <v>4366</v>
      </c>
      <c r="E3408" s="213" t="s">
        <v>334</v>
      </c>
      <c r="F3408" s="212" t="s">
        <v>6158</v>
      </c>
      <c r="G3408" s="212" t="str">
        <f t="shared" si="160"/>
        <v>401용역매출</v>
      </c>
      <c r="H3408" s="214">
        <v>0</v>
      </c>
      <c r="I3408" s="214">
        <v>100000</v>
      </c>
      <c r="J3408" s="214">
        <f t="shared" si="161"/>
        <v>100000</v>
      </c>
      <c r="K3408" s="212" t="s">
        <v>6304</v>
      </c>
      <c r="L3408" s="213"/>
      <c r="M3408" s="212" t="s">
        <v>6185</v>
      </c>
    </row>
    <row r="3409" spans="1:13" ht="21" customHeight="1">
      <c r="A3409" s="213" t="s">
        <v>6405</v>
      </c>
      <c r="B3409" s="215">
        <f t="shared" si="159"/>
        <v>45916</v>
      </c>
      <c r="C3409" s="213" t="s">
        <v>4374</v>
      </c>
      <c r="D3409" s="213" t="s">
        <v>4369</v>
      </c>
      <c r="E3409" s="213" t="s">
        <v>333</v>
      </c>
      <c r="F3409" s="212" t="s">
        <v>4365</v>
      </c>
      <c r="G3409" s="212" t="str">
        <f t="shared" si="160"/>
        <v>101현금</v>
      </c>
      <c r="H3409" s="214">
        <v>110000</v>
      </c>
      <c r="I3409" s="214">
        <v>0</v>
      </c>
      <c r="J3409" s="214">
        <f t="shared" si="161"/>
        <v>-110000</v>
      </c>
      <c r="K3409" s="212" t="s">
        <v>6304</v>
      </c>
      <c r="L3409" s="213"/>
      <c r="M3409" s="212" t="s">
        <v>6185</v>
      </c>
    </row>
    <row r="3410" spans="1:13" ht="21" customHeight="1">
      <c r="A3410" s="213" t="s">
        <v>6405</v>
      </c>
      <c r="B3410" s="215">
        <f t="shared" si="159"/>
        <v>45916</v>
      </c>
      <c r="C3410" s="213" t="s">
        <v>6182</v>
      </c>
      <c r="D3410" s="213" t="s">
        <v>4366</v>
      </c>
      <c r="E3410" s="213" t="s">
        <v>6176</v>
      </c>
      <c r="F3410" s="212" t="s">
        <v>6177</v>
      </c>
      <c r="G3410" s="212" t="str">
        <f t="shared" si="160"/>
        <v>255부가세예수금</v>
      </c>
      <c r="H3410" s="214">
        <v>0</v>
      </c>
      <c r="I3410" s="214">
        <v>6000</v>
      </c>
      <c r="J3410" s="214">
        <f t="shared" si="161"/>
        <v>6000</v>
      </c>
      <c r="K3410" s="212" t="s">
        <v>6302</v>
      </c>
      <c r="L3410" s="213"/>
      <c r="M3410" s="212" t="s">
        <v>6303</v>
      </c>
    </row>
    <row r="3411" spans="1:13" ht="21" customHeight="1">
      <c r="A3411" s="213" t="s">
        <v>6405</v>
      </c>
      <c r="B3411" s="215">
        <f t="shared" si="159"/>
        <v>45916</v>
      </c>
      <c r="C3411" s="213" t="s">
        <v>6182</v>
      </c>
      <c r="D3411" s="213" t="s">
        <v>4366</v>
      </c>
      <c r="E3411" s="213" t="s">
        <v>334</v>
      </c>
      <c r="F3411" s="212" t="s">
        <v>6158</v>
      </c>
      <c r="G3411" s="212" t="str">
        <f t="shared" si="160"/>
        <v>401용역매출</v>
      </c>
      <c r="H3411" s="214">
        <v>0</v>
      </c>
      <c r="I3411" s="214">
        <v>60000</v>
      </c>
      <c r="J3411" s="214">
        <f t="shared" si="161"/>
        <v>60000</v>
      </c>
      <c r="K3411" s="212" t="s">
        <v>6302</v>
      </c>
      <c r="L3411" s="213"/>
      <c r="M3411" s="212" t="s">
        <v>6303</v>
      </c>
    </row>
    <row r="3412" spans="1:13" ht="21" customHeight="1">
      <c r="A3412" s="213" t="s">
        <v>6405</v>
      </c>
      <c r="B3412" s="215">
        <f t="shared" si="159"/>
        <v>45916</v>
      </c>
      <c r="C3412" s="213" t="s">
        <v>6182</v>
      </c>
      <c r="D3412" s="213" t="s">
        <v>4369</v>
      </c>
      <c r="E3412" s="213" t="s">
        <v>333</v>
      </c>
      <c r="F3412" s="212" t="s">
        <v>4365</v>
      </c>
      <c r="G3412" s="212" t="str">
        <f t="shared" si="160"/>
        <v>101현금</v>
      </c>
      <c r="H3412" s="214">
        <v>66000</v>
      </c>
      <c r="I3412" s="214">
        <v>0</v>
      </c>
      <c r="J3412" s="214">
        <f t="shared" si="161"/>
        <v>-66000</v>
      </c>
      <c r="K3412" s="212" t="s">
        <v>6302</v>
      </c>
      <c r="L3412" s="213"/>
      <c r="M3412" s="212" t="s">
        <v>6303</v>
      </c>
    </row>
    <row r="3413" spans="1:13" ht="21" customHeight="1">
      <c r="A3413" s="213" t="s">
        <v>6405</v>
      </c>
      <c r="B3413" s="215">
        <f t="shared" si="159"/>
        <v>45916</v>
      </c>
      <c r="C3413" s="213" t="s">
        <v>6184</v>
      </c>
      <c r="D3413" s="213" t="s">
        <v>4366</v>
      </c>
      <c r="E3413" s="213" t="s">
        <v>6176</v>
      </c>
      <c r="F3413" s="212" t="s">
        <v>6177</v>
      </c>
      <c r="G3413" s="212" t="str">
        <f t="shared" si="160"/>
        <v>255부가세예수금</v>
      </c>
      <c r="H3413" s="214">
        <v>0</v>
      </c>
      <c r="I3413" s="214">
        <v>50000</v>
      </c>
      <c r="J3413" s="214">
        <f t="shared" si="161"/>
        <v>50000</v>
      </c>
      <c r="K3413" s="212" t="s">
        <v>6404</v>
      </c>
      <c r="L3413" s="213"/>
      <c r="M3413" s="212" t="s">
        <v>6403</v>
      </c>
    </row>
    <row r="3414" spans="1:13" ht="21" customHeight="1">
      <c r="A3414" s="213" t="s">
        <v>6405</v>
      </c>
      <c r="B3414" s="215">
        <f t="shared" si="159"/>
        <v>45916</v>
      </c>
      <c r="C3414" s="213" t="s">
        <v>6184</v>
      </c>
      <c r="D3414" s="213" t="s">
        <v>4366</v>
      </c>
      <c r="E3414" s="213" t="s">
        <v>334</v>
      </c>
      <c r="F3414" s="212" t="s">
        <v>6158</v>
      </c>
      <c r="G3414" s="212" t="str">
        <f t="shared" si="160"/>
        <v>401용역매출</v>
      </c>
      <c r="H3414" s="214">
        <v>0</v>
      </c>
      <c r="I3414" s="214">
        <v>500000</v>
      </c>
      <c r="J3414" s="214">
        <f t="shared" si="161"/>
        <v>500000</v>
      </c>
      <c r="K3414" s="212" t="s">
        <v>6404</v>
      </c>
      <c r="L3414" s="213"/>
      <c r="M3414" s="212" t="s">
        <v>6403</v>
      </c>
    </row>
    <row r="3415" spans="1:13" ht="21" customHeight="1">
      <c r="A3415" s="213" t="s">
        <v>6405</v>
      </c>
      <c r="B3415" s="215">
        <f t="shared" si="159"/>
        <v>45916</v>
      </c>
      <c r="C3415" s="213" t="s">
        <v>6184</v>
      </c>
      <c r="D3415" s="213" t="s">
        <v>4369</v>
      </c>
      <c r="E3415" s="213" t="s">
        <v>333</v>
      </c>
      <c r="F3415" s="212" t="s">
        <v>4365</v>
      </c>
      <c r="G3415" s="212" t="str">
        <f t="shared" si="160"/>
        <v>101현금</v>
      </c>
      <c r="H3415" s="214">
        <v>550000</v>
      </c>
      <c r="I3415" s="214">
        <v>0</v>
      </c>
      <c r="J3415" s="214">
        <f t="shared" si="161"/>
        <v>-550000</v>
      </c>
      <c r="K3415" s="212" t="s">
        <v>6404</v>
      </c>
      <c r="L3415" s="213"/>
      <c r="M3415" s="212" t="s">
        <v>6403</v>
      </c>
    </row>
    <row r="3416" spans="1:13" ht="21" customHeight="1">
      <c r="A3416" s="213" t="s">
        <v>6401</v>
      </c>
      <c r="B3416" s="215">
        <f t="shared" si="159"/>
        <v>45922</v>
      </c>
      <c r="C3416" s="213" t="s">
        <v>4367</v>
      </c>
      <c r="D3416" s="213" t="s">
        <v>4369</v>
      </c>
      <c r="E3416" s="213" t="s">
        <v>6212</v>
      </c>
      <c r="F3416" s="212" t="s">
        <v>6402</v>
      </c>
      <c r="G3416" s="212" t="str">
        <f t="shared" si="160"/>
        <v>837건물관리비(판)</v>
      </c>
      <c r="H3416" s="214">
        <v>191830</v>
      </c>
      <c r="I3416" s="214">
        <v>0</v>
      </c>
      <c r="J3416" s="214">
        <f t="shared" si="161"/>
        <v>-191830</v>
      </c>
      <c r="K3416" s="212" t="s">
        <v>6213</v>
      </c>
      <c r="L3416" s="213"/>
      <c r="M3416" s="212" t="s">
        <v>6214</v>
      </c>
    </row>
    <row r="3417" spans="1:13" ht="21" customHeight="1">
      <c r="A3417" s="213" t="s">
        <v>6401</v>
      </c>
      <c r="B3417" s="215">
        <f t="shared" si="159"/>
        <v>45922</v>
      </c>
      <c r="C3417" s="213" t="s">
        <v>4367</v>
      </c>
      <c r="D3417" s="213" t="s">
        <v>4366</v>
      </c>
      <c r="E3417" s="213" t="s">
        <v>333</v>
      </c>
      <c r="F3417" s="212" t="s">
        <v>4365</v>
      </c>
      <c r="G3417" s="212" t="str">
        <f t="shared" si="160"/>
        <v>101현금</v>
      </c>
      <c r="H3417" s="214">
        <v>0</v>
      </c>
      <c r="I3417" s="214">
        <v>191830</v>
      </c>
      <c r="J3417" s="214">
        <f t="shared" si="161"/>
        <v>191830</v>
      </c>
      <c r="K3417" s="212" t="s">
        <v>6213</v>
      </c>
      <c r="L3417" s="213"/>
      <c r="M3417" s="212" t="s">
        <v>6214</v>
      </c>
    </row>
    <row r="3418" spans="1:13" ht="21" customHeight="1">
      <c r="A3418" s="213" t="s">
        <v>6398</v>
      </c>
      <c r="B3418" s="215">
        <f t="shared" si="159"/>
        <v>45923</v>
      </c>
      <c r="C3418" s="213" t="s">
        <v>4367</v>
      </c>
      <c r="D3418" s="213" t="s">
        <v>4366</v>
      </c>
      <c r="E3418" s="213" t="s">
        <v>6176</v>
      </c>
      <c r="F3418" s="212" t="s">
        <v>6177</v>
      </c>
      <c r="G3418" s="212" t="str">
        <f t="shared" si="160"/>
        <v>255부가세예수금</v>
      </c>
      <c r="H3418" s="214">
        <v>0</v>
      </c>
      <c r="I3418" s="214">
        <v>15000</v>
      </c>
      <c r="J3418" s="214">
        <f t="shared" si="161"/>
        <v>15000</v>
      </c>
      <c r="K3418" s="212" t="s">
        <v>6400</v>
      </c>
      <c r="L3418" s="213"/>
      <c r="M3418" s="212" t="s">
        <v>6179</v>
      </c>
    </row>
    <row r="3419" spans="1:13" ht="21" customHeight="1">
      <c r="A3419" s="213" t="s">
        <v>6398</v>
      </c>
      <c r="B3419" s="215">
        <f t="shared" si="159"/>
        <v>45923</v>
      </c>
      <c r="C3419" s="213" t="s">
        <v>4367</v>
      </c>
      <c r="D3419" s="213" t="s">
        <v>4366</v>
      </c>
      <c r="E3419" s="213" t="s">
        <v>334</v>
      </c>
      <c r="F3419" s="212" t="s">
        <v>6158</v>
      </c>
      <c r="G3419" s="212" t="str">
        <f t="shared" si="160"/>
        <v>401용역매출</v>
      </c>
      <c r="H3419" s="214">
        <v>0</v>
      </c>
      <c r="I3419" s="214">
        <v>150000</v>
      </c>
      <c r="J3419" s="214">
        <f t="shared" si="161"/>
        <v>150000</v>
      </c>
      <c r="K3419" s="212" t="s">
        <v>6400</v>
      </c>
      <c r="L3419" s="213"/>
      <c r="M3419" s="212" t="s">
        <v>6179</v>
      </c>
    </row>
    <row r="3420" spans="1:13" ht="21" customHeight="1">
      <c r="A3420" s="213" t="s">
        <v>6398</v>
      </c>
      <c r="B3420" s="215">
        <f t="shared" si="159"/>
        <v>45923</v>
      </c>
      <c r="C3420" s="213" t="s">
        <v>4367</v>
      </c>
      <c r="D3420" s="213" t="s">
        <v>4369</v>
      </c>
      <c r="E3420" s="213" t="s">
        <v>333</v>
      </c>
      <c r="F3420" s="212" t="s">
        <v>4365</v>
      </c>
      <c r="G3420" s="212" t="str">
        <f t="shared" si="160"/>
        <v>101현금</v>
      </c>
      <c r="H3420" s="214">
        <v>165000</v>
      </c>
      <c r="I3420" s="214">
        <v>0</v>
      </c>
      <c r="J3420" s="214">
        <f t="shared" si="161"/>
        <v>-165000</v>
      </c>
      <c r="K3420" s="212" t="s">
        <v>6400</v>
      </c>
      <c r="L3420" s="213"/>
      <c r="M3420" s="212" t="s">
        <v>6179</v>
      </c>
    </row>
    <row r="3421" spans="1:13" ht="21" customHeight="1">
      <c r="A3421" s="213" t="s">
        <v>6398</v>
      </c>
      <c r="B3421" s="215">
        <f t="shared" si="159"/>
        <v>45923</v>
      </c>
      <c r="C3421" s="213" t="s">
        <v>4374</v>
      </c>
      <c r="D3421" s="213" t="s">
        <v>4366</v>
      </c>
      <c r="E3421" s="213" t="s">
        <v>6176</v>
      </c>
      <c r="F3421" s="212" t="s">
        <v>6177</v>
      </c>
      <c r="G3421" s="212" t="str">
        <f t="shared" si="160"/>
        <v>255부가세예수금</v>
      </c>
      <c r="H3421" s="214">
        <v>0</v>
      </c>
      <c r="I3421" s="214">
        <v>7000</v>
      </c>
      <c r="J3421" s="214">
        <f t="shared" si="161"/>
        <v>7000</v>
      </c>
      <c r="K3421" s="212" t="s">
        <v>6247</v>
      </c>
      <c r="L3421" s="213"/>
      <c r="M3421" s="212" t="s">
        <v>6287</v>
      </c>
    </row>
    <row r="3422" spans="1:13" ht="21" customHeight="1">
      <c r="A3422" s="213" t="s">
        <v>6398</v>
      </c>
      <c r="B3422" s="215">
        <f t="shared" si="159"/>
        <v>45923</v>
      </c>
      <c r="C3422" s="213" t="s">
        <v>4374</v>
      </c>
      <c r="D3422" s="213" t="s">
        <v>4366</v>
      </c>
      <c r="E3422" s="213" t="s">
        <v>334</v>
      </c>
      <c r="F3422" s="212" t="s">
        <v>6158</v>
      </c>
      <c r="G3422" s="212" t="str">
        <f t="shared" si="160"/>
        <v>401용역매출</v>
      </c>
      <c r="H3422" s="214">
        <v>0</v>
      </c>
      <c r="I3422" s="214">
        <v>70000</v>
      </c>
      <c r="J3422" s="214">
        <f t="shared" si="161"/>
        <v>70000</v>
      </c>
      <c r="K3422" s="212" t="s">
        <v>6247</v>
      </c>
      <c r="L3422" s="213"/>
      <c r="M3422" s="212" t="s">
        <v>6287</v>
      </c>
    </row>
    <row r="3423" spans="1:13" ht="21" customHeight="1">
      <c r="A3423" s="213" t="s">
        <v>6398</v>
      </c>
      <c r="B3423" s="215">
        <f t="shared" si="159"/>
        <v>45923</v>
      </c>
      <c r="C3423" s="213" t="s">
        <v>4374</v>
      </c>
      <c r="D3423" s="213" t="s">
        <v>4369</v>
      </c>
      <c r="E3423" s="213" t="s">
        <v>333</v>
      </c>
      <c r="F3423" s="212" t="s">
        <v>4365</v>
      </c>
      <c r="G3423" s="212" t="str">
        <f t="shared" si="160"/>
        <v>101현금</v>
      </c>
      <c r="H3423" s="214">
        <v>77000</v>
      </c>
      <c r="I3423" s="214">
        <v>0</v>
      </c>
      <c r="J3423" s="214">
        <f t="shared" si="161"/>
        <v>-77000</v>
      </c>
      <c r="K3423" s="212" t="s">
        <v>6247</v>
      </c>
      <c r="L3423" s="213"/>
      <c r="M3423" s="212" t="s">
        <v>6287</v>
      </c>
    </row>
    <row r="3424" spans="1:13" ht="21" customHeight="1">
      <c r="A3424" s="213" t="s">
        <v>6398</v>
      </c>
      <c r="B3424" s="215">
        <f t="shared" si="159"/>
        <v>45923</v>
      </c>
      <c r="C3424" s="213" t="s">
        <v>6182</v>
      </c>
      <c r="D3424" s="213" t="s">
        <v>4366</v>
      </c>
      <c r="E3424" s="213" t="s">
        <v>6176</v>
      </c>
      <c r="F3424" s="212" t="s">
        <v>6177</v>
      </c>
      <c r="G3424" s="212" t="str">
        <f t="shared" si="160"/>
        <v>255부가세예수금</v>
      </c>
      <c r="H3424" s="214">
        <v>0</v>
      </c>
      <c r="I3424" s="214">
        <v>10000</v>
      </c>
      <c r="J3424" s="214">
        <f t="shared" si="161"/>
        <v>10000</v>
      </c>
      <c r="K3424" s="212" t="s">
        <v>6255</v>
      </c>
      <c r="L3424" s="213"/>
      <c r="M3424" s="212" t="s">
        <v>6185</v>
      </c>
    </row>
    <row r="3425" spans="1:13" ht="21" customHeight="1">
      <c r="A3425" s="213" t="s">
        <v>6398</v>
      </c>
      <c r="B3425" s="215">
        <f t="shared" si="159"/>
        <v>45923</v>
      </c>
      <c r="C3425" s="213" t="s">
        <v>6182</v>
      </c>
      <c r="D3425" s="213" t="s">
        <v>4366</v>
      </c>
      <c r="E3425" s="213" t="s">
        <v>334</v>
      </c>
      <c r="F3425" s="212" t="s">
        <v>6158</v>
      </c>
      <c r="G3425" s="212" t="str">
        <f t="shared" si="160"/>
        <v>401용역매출</v>
      </c>
      <c r="H3425" s="214">
        <v>0</v>
      </c>
      <c r="I3425" s="214">
        <v>100000</v>
      </c>
      <c r="J3425" s="214">
        <f t="shared" si="161"/>
        <v>100000</v>
      </c>
      <c r="K3425" s="212" t="s">
        <v>6255</v>
      </c>
      <c r="L3425" s="213"/>
      <c r="M3425" s="212" t="s">
        <v>6185</v>
      </c>
    </row>
    <row r="3426" spans="1:13" ht="21" customHeight="1">
      <c r="A3426" s="213" t="s">
        <v>6398</v>
      </c>
      <c r="B3426" s="215">
        <f t="shared" si="159"/>
        <v>45923</v>
      </c>
      <c r="C3426" s="213" t="s">
        <v>6182</v>
      </c>
      <c r="D3426" s="213" t="s">
        <v>4369</v>
      </c>
      <c r="E3426" s="213" t="s">
        <v>333</v>
      </c>
      <c r="F3426" s="212" t="s">
        <v>4365</v>
      </c>
      <c r="G3426" s="212" t="str">
        <f t="shared" si="160"/>
        <v>101현금</v>
      </c>
      <c r="H3426" s="214">
        <v>110000</v>
      </c>
      <c r="I3426" s="214">
        <v>0</v>
      </c>
      <c r="J3426" s="214">
        <f t="shared" si="161"/>
        <v>-110000</v>
      </c>
      <c r="K3426" s="212" t="s">
        <v>6255</v>
      </c>
      <c r="L3426" s="213"/>
      <c r="M3426" s="212" t="s">
        <v>6185</v>
      </c>
    </row>
    <row r="3427" spans="1:13" ht="21" customHeight="1">
      <c r="A3427" s="213" t="s">
        <v>6398</v>
      </c>
      <c r="B3427" s="215">
        <f t="shared" si="159"/>
        <v>45923</v>
      </c>
      <c r="C3427" s="213" t="s">
        <v>6184</v>
      </c>
      <c r="D3427" s="213" t="s">
        <v>4366</v>
      </c>
      <c r="E3427" s="213" t="s">
        <v>6176</v>
      </c>
      <c r="F3427" s="212" t="s">
        <v>6177</v>
      </c>
      <c r="G3427" s="212" t="str">
        <f t="shared" si="160"/>
        <v>255부가세예수금</v>
      </c>
      <c r="H3427" s="214">
        <v>0</v>
      </c>
      <c r="I3427" s="214">
        <v>20000</v>
      </c>
      <c r="J3427" s="214">
        <f t="shared" si="161"/>
        <v>20000</v>
      </c>
      <c r="K3427" s="212" t="s">
        <v>6399</v>
      </c>
      <c r="L3427" s="213"/>
      <c r="M3427" s="212" t="s">
        <v>6231</v>
      </c>
    </row>
    <row r="3428" spans="1:13" ht="21" customHeight="1">
      <c r="A3428" s="213" t="s">
        <v>6398</v>
      </c>
      <c r="B3428" s="215">
        <f t="shared" si="159"/>
        <v>45923</v>
      </c>
      <c r="C3428" s="213" t="s">
        <v>6184</v>
      </c>
      <c r="D3428" s="213" t="s">
        <v>4366</v>
      </c>
      <c r="E3428" s="213" t="s">
        <v>334</v>
      </c>
      <c r="F3428" s="212" t="s">
        <v>6158</v>
      </c>
      <c r="G3428" s="212" t="str">
        <f t="shared" si="160"/>
        <v>401용역매출</v>
      </c>
      <c r="H3428" s="214">
        <v>0</v>
      </c>
      <c r="I3428" s="214">
        <v>200000</v>
      </c>
      <c r="J3428" s="214">
        <f t="shared" si="161"/>
        <v>200000</v>
      </c>
      <c r="K3428" s="212" t="s">
        <v>6399</v>
      </c>
      <c r="L3428" s="213"/>
      <c r="M3428" s="212" t="s">
        <v>6231</v>
      </c>
    </row>
    <row r="3429" spans="1:13" ht="21" customHeight="1">
      <c r="A3429" s="213" t="s">
        <v>6398</v>
      </c>
      <c r="B3429" s="215">
        <f t="shared" si="159"/>
        <v>45923</v>
      </c>
      <c r="C3429" s="213" t="s">
        <v>6184</v>
      </c>
      <c r="D3429" s="213" t="s">
        <v>4369</v>
      </c>
      <c r="E3429" s="213" t="s">
        <v>333</v>
      </c>
      <c r="F3429" s="212" t="s">
        <v>4365</v>
      </c>
      <c r="G3429" s="212" t="str">
        <f t="shared" si="160"/>
        <v>101현금</v>
      </c>
      <c r="H3429" s="214">
        <v>220000</v>
      </c>
      <c r="I3429" s="214">
        <v>0</v>
      </c>
      <c r="J3429" s="214">
        <f t="shared" si="161"/>
        <v>-220000</v>
      </c>
      <c r="K3429" s="212" t="s">
        <v>6399</v>
      </c>
      <c r="L3429" s="213"/>
      <c r="M3429" s="212" t="s">
        <v>6231</v>
      </c>
    </row>
    <row r="3430" spans="1:13" ht="21" customHeight="1">
      <c r="A3430" s="213" t="s">
        <v>6398</v>
      </c>
      <c r="B3430" s="215">
        <f t="shared" si="159"/>
        <v>45923</v>
      </c>
      <c r="C3430" s="213" t="s">
        <v>6186</v>
      </c>
      <c r="D3430" s="213" t="s">
        <v>4366</v>
      </c>
      <c r="E3430" s="213" t="s">
        <v>6176</v>
      </c>
      <c r="F3430" s="212" t="s">
        <v>6177</v>
      </c>
      <c r="G3430" s="212" t="str">
        <f t="shared" si="160"/>
        <v>255부가세예수금</v>
      </c>
      <c r="H3430" s="214">
        <v>0</v>
      </c>
      <c r="I3430" s="214">
        <v>10000</v>
      </c>
      <c r="J3430" s="214">
        <f t="shared" si="161"/>
        <v>10000</v>
      </c>
      <c r="K3430" s="212" t="s">
        <v>6252</v>
      </c>
      <c r="L3430" s="213"/>
      <c r="M3430" s="212" t="s">
        <v>6185</v>
      </c>
    </row>
    <row r="3431" spans="1:13" ht="21" customHeight="1">
      <c r="A3431" s="213" t="s">
        <v>6398</v>
      </c>
      <c r="B3431" s="215">
        <f t="shared" si="159"/>
        <v>45923</v>
      </c>
      <c r="C3431" s="213" t="s">
        <v>6186</v>
      </c>
      <c r="D3431" s="213" t="s">
        <v>4366</v>
      </c>
      <c r="E3431" s="213" t="s">
        <v>334</v>
      </c>
      <c r="F3431" s="212" t="s">
        <v>6158</v>
      </c>
      <c r="G3431" s="212" t="str">
        <f t="shared" si="160"/>
        <v>401용역매출</v>
      </c>
      <c r="H3431" s="214">
        <v>0</v>
      </c>
      <c r="I3431" s="214">
        <v>100000</v>
      </c>
      <c r="J3431" s="214">
        <f t="shared" si="161"/>
        <v>100000</v>
      </c>
      <c r="K3431" s="212" t="s">
        <v>6252</v>
      </c>
      <c r="L3431" s="213"/>
      <c r="M3431" s="212" t="s">
        <v>6185</v>
      </c>
    </row>
    <row r="3432" spans="1:13" ht="21" customHeight="1">
      <c r="A3432" s="213" t="s">
        <v>6398</v>
      </c>
      <c r="B3432" s="215">
        <f t="shared" si="159"/>
        <v>45923</v>
      </c>
      <c r="C3432" s="213" t="s">
        <v>6186</v>
      </c>
      <c r="D3432" s="213" t="s">
        <v>4369</v>
      </c>
      <c r="E3432" s="213" t="s">
        <v>333</v>
      </c>
      <c r="F3432" s="212" t="s">
        <v>4365</v>
      </c>
      <c r="G3432" s="212" t="str">
        <f t="shared" si="160"/>
        <v>101현금</v>
      </c>
      <c r="H3432" s="214">
        <v>110000</v>
      </c>
      <c r="I3432" s="214">
        <v>0</v>
      </c>
      <c r="J3432" s="214">
        <f t="shared" si="161"/>
        <v>-110000</v>
      </c>
      <c r="K3432" s="212" t="s">
        <v>6252</v>
      </c>
      <c r="L3432" s="213"/>
      <c r="M3432" s="212" t="s">
        <v>6185</v>
      </c>
    </row>
    <row r="3433" spans="1:13" ht="21" customHeight="1">
      <c r="A3433" s="213" t="s">
        <v>6397</v>
      </c>
      <c r="B3433" s="215">
        <f t="shared" si="159"/>
        <v>45924</v>
      </c>
      <c r="C3433" s="213" t="s">
        <v>4367</v>
      </c>
      <c r="D3433" s="213" t="s">
        <v>4366</v>
      </c>
      <c r="E3433" s="213" t="s">
        <v>6176</v>
      </c>
      <c r="F3433" s="212" t="s">
        <v>6177</v>
      </c>
      <c r="G3433" s="212" t="str">
        <f t="shared" si="160"/>
        <v>255부가세예수금</v>
      </c>
      <c r="H3433" s="214">
        <v>0</v>
      </c>
      <c r="I3433" s="214">
        <v>20000</v>
      </c>
      <c r="J3433" s="214">
        <f t="shared" si="161"/>
        <v>20000</v>
      </c>
      <c r="K3433" s="212" t="s">
        <v>6245</v>
      </c>
      <c r="L3433" s="213"/>
      <c r="M3433" s="212" t="s">
        <v>6231</v>
      </c>
    </row>
    <row r="3434" spans="1:13" ht="21" customHeight="1">
      <c r="A3434" s="213" t="s">
        <v>6397</v>
      </c>
      <c r="B3434" s="215">
        <f t="shared" si="159"/>
        <v>45924</v>
      </c>
      <c r="C3434" s="213" t="s">
        <v>4367</v>
      </c>
      <c r="D3434" s="213" t="s">
        <v>4366</v>
      </c>
      <c r="E3434" s="213" t="s">
        <v>334</v>
      </c>
      <c r="F3434" s="212" t="s">
        <v>6158</v>
      </c>
      <c r="G3434" s="212" t="str">
        <f t="shared" si="160"/>
        <v>401용역매출</v>
      </c>
      <c r="H3434" s="214">
        <v>0</v>
      </c>
      <c r="I3434" s="214">
        <v>200000</v>
      </c>
      <c r="J3434" s="214">
        <f t="shared" si="161"/>
        <v>200000</v>
      </c>
      <c r="K3434" s="212" t="s">
        <v>6245</v>
      </c>
      <c r="L3434" s="213"/>
      <c r="M3434" s="212" t="s">
        <v>6231</v>
      </c>
    </row>
    <row r="3435" spans="1:13" ht="21" customHeight="1">
      <c r="A3435" s="213" t="s">
        <v>6397</v>
      </c>
      <c r="B3435" s="215">
        <f t="shared" si="159"/>
        <v>45924</v>
      </c>
      <c r="C3435" s="213" t="s">
        <v>4367</v>
      </c>
      <c r="D3435" s="213" t="s">
        <v>4369</v>
      </c>
      <c r="E3435" s="213" t="s">
        <v>333</v>
      </c>
      <c r="F3435" s="212" t="s">
        <v>4365</v>
      </c>
      <c r="G3435" s="212" t="str">
        <f t="shared" si="160"/>
        <v>101현금</v>
      </c>
      <c r="H3435" s="214">
        <v>220000</v>
      </c>
      <c r="I3435" s="214">
        <v>0</v>
      </c>
      <c r="J3435" s="214">
        <f t="shared" si="161"/>
        <v>-220000</v>
      </c>
      <c r="K3435" s="212" t="s">
        <v>6245</v>
      </c>
      <c r="L3435" s="213"/>
      <c r="M3435" s="212" t="s">
        <v>6231</v>
      </c>
    </row>
    <row r="3436" spans="1:13" ht="21" customHeight="1">
      <c r="A3436" s="213" t="s">
        <v>6396</v>
      </c>
      <c r="B3436" s="215">
        <f t="shared" si="159"/>
        <v>45925</v>
      </c>
      <c r="C3436" s="213" t="s">
        <v>4367</v>
      </c>
      <c r="D3436" s="213" t="s">
        <v>4366</v>
      </c>
      <c r="E3436" s="213" t="s">
        <v>6176</v>
      </c>
      <c r="F3436" s="212" t="s">
        <v>6177</v>
      </c>
      <c r="G3436" s="212" t="str">
        <f t="shared" si="160"/>
        <v>255부가세예수금</v>
      </c>
      <c r="H3436" s="214">
        <v>0</v>
      </c>
      <c r="I3436" s="214">
        <v>15000</v>
      </c>
      <c r="J3436" s="214">
        <f t="shared" si="161"/>
        <v>15000</v>
      </c>
      <c r="K3436" s="212" t="s">
        <v>6395</v>
      </c>
      <c r="L3436" s="213"/>
      <c r="M3436" s="212" t="s">
        <v>6179</v>
      </c>
    </row>
    <row r="3437" spans="1:13" ht="21" customHeight="1">
      <c r="A3437" s="213" t="s">
        <v>6396</v>
      </c>
      <c r="B3437" s="215">
        <f t="shared" si="159"/>
        <v>45925</v>
      </c>
      <c r="C3437" s="213" t="s">
        <v>4367</v>
      </c>
      <c r="D3437" s="213" t="s">
        <v>4366</v>
      </c>
      <c r="E3437" s="213" t="s">
        <v>334</v>
      </c>
      <c r="F3437" s="212" t="s">
        <v>6158</v>
      </c>
      <c r="G3437" s="212" t="str">
        <f t="shared" si="160"/>
        <v>401용역매출</v>
      </c>
      <c r="H3437" s="214">
        <v>0</v>
      </c>
      <c r="I3437" s="214">
        <v>150000</v>
      </c>
      <c r="J3437" s="214">
        <f t="shared" si="161"/>
        <v>150000</v>
      </c>
      <c r="K3437" s="212" t="s">
        <v>6395</v>
      </c>
      <c r="L3437" s="213"/>
      <c r="M3437" s="212" t="s">
        <v>6179</v>
      </c>
    </row>
    <row r="3438" spans="1:13" ht="21" customHeight="1">
      <c r="A3438" s="213" t="s">
        <v>6396</v>
      </c>
      <c r="B3438" s="215">
        <f t="shared" si="159"/>
        <v>45925</v>
      </c>
      <c r="C3438" s="213" t="s">
        <v>4367</v>
      </c>
      <c r="D3438" s="213" t="s">
        <v>4369</v>
      </c>
      <c r="E3438" s="213" t="s">
        <v>333</v>
      </c>
      <c r="F3438" s="212" t="s">
        <v>4365</v>
      </c>
      <c r="G3438" s="212" t="str">
        <f t="shared" si="160"/>
        <v>101현금</v>
      </c>
      <c r="H3438" s="214">
        <v>165000</v>
      </c>
      <c r="I3438" s="214">
        <v>0</v>
      </c>
      <c r="J3438" s="214">
        <f t="shared" si="161"/>
        <v>-165000</v>
      </c>
      <c r="K3438" s="212" t="s">
        <v>6395</v>
      </c>
      <c r="L3438" s="213"/>
      <c r="M3438" s="212" t="s">
        <v>6179</v>
      </c>
    </row>
    <row r="3439" spans="1:13" ht="21" customHeight="1">
      <c r="A3439" s="213" t="s">
        <v>6392</v>
      </c>
      <c r="B3439" s="215">
        <f t="shared" si="159"/>
        <v>45926</v>
      </c>
      <c r="C3439" s="213" t="s">
        <v>4367</v>
      </c>
      <c r="D3439" s="213" t="s">
        <v>4366</v>
      </c>
      <c r="E3439" s="213" t="s">
        <v>6176</v>
      </c>
      <c r="F3439" s="212" t="s">
        <v>6177</v>
      </c>
      <c r="G3439" s="212" t="str">
        <f t="shared" si="160"/>
        <v>255부가세예수금</v>
      </c>
      <c r="H3439" s="214">
        <v>0</v>
      </c>
      <c r="I3439" s="214">
        <v>20000</v>
      </c>
      <c r="J3439" s="214">
        <f t="shared" si="161"/>
        <v>20000</v>
      </c>
      <c r="K3439" s="212" t="s">
        <v>6236</v>
      </c>
      <c r="L3439" s="213"/>
      <c r="M3439" s="212" t="s">
        <v>6231</v>
      </c>
    </row>
    <row r="3440" spans="1:13" ht="21" customHeight="1">
      <c r="A3440" s="213" t="s">
        <v>6392</v>
      </c>
      <c r="B3440" s="215">
        <f t="shared" si="159"/>
        <v>45926</v>
      </c>
      <c r="C3440" s="213" t="s">
        <v>4367</v>
      </c>
      <c r="D3440" s="213" t="s">
        <v>4366</v>
      </c>
      <c r="E3440" s="213" t="s">
        <v>334</v>
      </c>
      <c r="F3440" s="212" t="s">
        <v>6158</v>
      </c>
      <c r="G3440" s="212" t="str">
        <f t="shared" si="160"/>
        <v>401용역매출</v>
      </c>
      <c r="H3440" s="214">
        <v>0</v>
      </c>
      <c r="I3440" s="214">
        <v>200000</v>
      </c>
      <c r="J3440" s="214">
        <f t="shared" si="161"/>
        <v>200000</v>
      </c>
      <c r="K3440" s="212" t="s">
        <v>6236</v>
      </c>
      <c r="L3440" s="213"/>
      <c r="M3440" s="212" t="s">
        <v>6231</v>
      </c>
    </row>
    <row r="3441" spans="1:13" ht="21" customHeight="1">
      <c r="A3441" s="213" t="s">
        <v>6392</v>
      </c>
      <c r="B3441" s="215">
        <f t="shared" si="159"/>
        <v>45926</v>
      </c>
      <c r="C3441" s="213" t="s">
        <v>4367</v>
      </c>
      <c r="D3441" s="213" t="s">
        <v>4369</v>
      </c>
      <c r="E3441" s="213" t="s">
        <v>333</v>
      </c>
      <c r="F3441" s="212" t="s">
        <v>4365</v>
      </c>
      <c r="G3441" s="212" t="str">
        <f t="shared" si="160"/>
        <v>101현금</v>
      </c>
      <c r="H3441" s="214">
        <v>220000</v>
      </c>
      <c r="I3441" s="214">
        <v>0</v>
      </c>
      <c r="J3441" s="214">
        <f t="shared" si="161"/>
        <v>-220000</v>
      </c>
      <c r="K3441" s="212" t="s">
        <v>6236</v>
      </c>
      <c r="L3441" s="213"/>
      <c r="M3441" s="212" t="s">
        <v>6231</v>
      </c>
    </row>
    <row r="3442" spans="1:13" ht="21" customHeight="1">
      <c r="A3442" s="213" t="s">
        <v>6392</v>
      </c>
      <c r="B3442" s="215">
        <f t="shared" si="159"/>
        <v>45926</v>
      </c>
      <c r="C3442" s="213" t="s">
        <v>4374</v>
      </c>
      <c r="D3442" s="213" t="s">
        <v>4366</v>
      </c>
      <c r="E3442" s="213" t="s">
        <v>6176</v>
      </c>
      <c r="F3442" s="212" t="s">
        <v>6177</v>
      </c>
      <c r="G3442" s="212" t="str">
        <f t="shared" si="160"/>
        <v>255부가세예수금</v>
      </c>
      <c r="H3442" s="214">
        <v>0</v>
      </c>
      <c r="I3442" s="214">
        <v>5000</v>
      </c>
      <c r="J3442" s="214">
        <f t="shared" si="161"/>
        <v>5000</v>
      </c>
      <c r="K3442" s="212" t="s">
        <v>6242</v>
      </c>
      <c r="L3442" s="213"/>
      <c r="M3442" s="212" t="s">
        <v>6282</v>
      </c>
    </row>
    <row r="3443" spans="1:13" ht="21" customHeight="1">
      <c r="A3443" s="213" t="s">
        <v>6392</v>
      </c>
      <c r="B3443" s="215">
        <f t="shared" si="159"/>
        <v>45926</v>
      </c>
      <c r="C3443" s="213" t="s">
        <v>4374</v>
      </c>
      <c r="D3443" s="213" t="s">
        <v>4366</v>
      </c>
      <c r="E3443" s="213" t="s">
        <v>334</v>
      </c>
      <c r="F3443" s="212" t="s">
        <v>6158</v>
      </c>
      <c r="G3443" s="212" t="str">
        <f t="shared" si="160"/>
        <v>401용역매출</v>
      </c>
      <c r="H3443" s="214">
        <v>0</v>
      </c>
      <c r="I3443" s="214">
        <v>50000</v>
      </c>
      <c r="J3443" s="214">
        <f t="shared" si="161"/>
        <v>50000</v>
      </c>
      <c r="K3443" s="212" t="s">
        <v>6242</v>
      </c>
      <c r="L3443" s="213"/>
      <c r="M3443" s="212" t="s">
        <v>6282</v>
      </c>
    </row>
    <row r="3444" spans="1:13" ht="21" customHeight="1">
      <c r="A3444" s="213" t="s">
        <v>6392</v>
      </c>
      <c r="B3444" s="215">
        <f t="shared" si="159"/>
        <v>45926</v>
      </c>
      <c r="C3444" s="213" t="s">
        <v>4374</v>
      </c>
      <c r="D3444" s="213" t="s">
        <v>4369</v>
      </c>
      <c r="E3444" s="213" t="s">
        <v>333</v>
      </c>
      <c r="F3444" s="212" t="s">
        <v>4365</v>
      </c>
      <c r="G3444" s="212" t="str">
        <f t="shared" si="160"/>
        <v>101현금</v>
      </c>
      <c r="H3444" s="214">
        <v>55000</v>
      </c>
      <c r="I3444" s="214">
        <v>0</v>
      </c>
      <c r="J3444" s="214">
        <f t="shared" si="161"/>
        <v>-55000</v>
      </c>
      <c r="K3444" s="212" t="s">
        <v>6242</v>
      </c>
      <c r="L3444" s="213"/>
      <c r="M3444" s="212" t="s">
        <v>6282</v>
      </c>
    </row>
    <row r="3445" spans="1:13" ht="21" customHeight="1">
      <c r="A3445" s="213" t="s">
        <v>6392</v>
      </c>
      <c r="B3445" s="215">
        <f t="shared" si="159"/>
        <v>45926</v>
      </c>
      <c r="C3445" s="213" t="s">
        <v>6182</v>
      </c>
      <c r="D3445" s="213" t="s">
        <v>4366</v>
      </c>
      <c r="E3445" s="213" t="s">
        <v>6176</v>
      </c>
      <c r="F3445" s="212" t="s">
        <v>6177</v>
      </c>
      <c r="G3445" s="212" t="str">
        <f t="shared" si="160"/>
        <v>255부가세예수금</v>
      </c>
      <c r="H3445" s="214">
        <v>0</v>
      </c>
      <c r="I3445" s="214">
        <v>15000</v>
      </c>
      <c r="J3445" s="214">
        <f t="shared" si="161"/>
        <v>15000</v>
      </c>
      <c r="K3445" s="212" t="s">
        <v>6239</v>
      </c>
      <c r="L3445" s="213"/>
      <c r="M3445" s="212" t="s">
        <v>6179</v>
      </c>
    </row>
    <row r="3446" spans="1:13" ht="21" customHeight="1">
      <c r="A3446" s="213" t="s">
        <v>6392</v>
      </c>
      <c r="B3446" s="215">
        <f t="shared" si="159"/>
        <v>45926</v>
      </c>
      <c r="C3446" s="213" t="s">
        <v>6182</v>
      </c>
      <c r="D3446" s="213" t="s">
        <v>4366</v>
      </c>
      <c r="E3446" s="213" t="s">
        <v>334</v>
      </c>
      <c r="F3446" s="212" t="s">
        <v>6158</v>
      </c>
      <c r="G3446" s="212" t="str">
        <f t="shared" si="160"/>
        <v>401용역매출</v>
      </c>
      <c r="H3446" s="214">
        <v>0</v>
      </c>
      <c r="I3446" s="214">
        <v>150000</v>
      </c>
      <c r="J3446" s="214">
        <f t="shared" si="161"/>
        <v>150000</v>
      </c>
      <c r="K3446" s="212" t="s">
        <v>6239</v>
      </c>
      <c r="L3446" s="213"/>
      <c r="M3446" s="212" t="s">
        <v>6179</v>
      </c>
    </row>
    <row r="3447" spans="1:13" ht="21" customHeight="1">
      <c r="A3447" s="213" t="s">
        <v>6392</v>
      </c>
      <c r="B3447" s="215">
        <f t="shared" si="159"/>
        <v>45926</v>
      </c>
      <c r="C3447" s="213" t="s">
        <v>6182</v>
      </c>
      <c r="D3447" s="213" t="s">
        <v>4369</v>
      </c>
      <c r="E3447" s="213" t="s">
        <v>333</v>
      </c>
      <c r="F3447" s="212" t="s">
        <v>4365</v>
      </c>
      <c r="G3447" s="212" t="str">
        <f t="shared" si="160"/>
        <v>101현금</v>
      </c>
      <c r="H3447" s="214">
        <v>165000</v>
      </c>
      <c r="I3447" s="214">
        <v>0</v>
      </c>
      <c r="J3447" s="214">
        <f t="shared" si="161"/>
        <v>-165000</v>
      </c>
      <c r="K3447" s="212" t="s">
        <v>6239</v>
      </c>
      <c r="L3447" s="213"/>
      <c r="M3447" s="212" t="s">
        <v>6179</v>
      </c>
    </row>
    <row r="3448" spans="1:13" ht="21" customHeight="1">
      <c r="A3448" s="213" t="s">
        <v>6392</v>
      </c>
      <c r="B3448" s="215">
        <f t="shared" si="159"/>
        <v>45926</v>
      </c>
      <c r="C3448" s="213" t="s">
        <v>6184</v>
      </c>
      <c r="D3448" s="213" t="s">
        <v>4366</v>
      </c>
      <c r="E3448" s="213" t="s">
        <v>6176</v>
      </c>
      <c r="F3448" s="212" t="s">
        <v>6177</v>
      </c>
      <c r="G3448" s="212" t="str">
        <f t="shared" si="160"/>
        <v>255부가세예수금</v>
      </c>
      <c r="H3448" s="214">
        <v>0</v>
      </c>
      <c r="I3448" s="214">
        <v>12000</v>
      </c>
      <c r="J3448" s="214">
        <f t="shared" si="161"/>
        <v>12000</v>
      </c>
      <c r="K3448" s="212" t="s">
        <v>6281</v>
      </c>
      <c r="L3448" s="213"/>
      <c r="M3448" s="212" t="s">
        <v>6225</v>
      </c>
    </row>
    <row r="3449" spans="1:13" ht="21" customHeight="1">
      <c r="A3449" s="213" t="s">
        <v>6392</v>
      </c>
      <c r="B3449" s="215">
        <f t="shared" si="159"/>
        <v>45926</v>
      </c>
      <c r="C3449" s="213" t="s">
        <v>6184</v>
      </c>
      <c r="D3449" s="213" t="s">
        <v>4366</v>
      </c>
      <c r="E3449" s="213" t="s">
        <v>334</v>
      </c>
      <c r="F3449" s="212" t="s">
        <v>6158</v>
      </c>
      <c r="G3449" s="212" t="str">
        <f t="shared" si="160"/>
        <v>401용역매출</v>
      </c>
      <c r="H3449" s="214">
        <v>0</v>
      </c>
      <c r="I3449" s="214">
        <v>120000</v>
      </c>
      <c r="J3449" s="214">
        <f t="shared" si="161"/>
        <v>120000</v>
      </c>
      <c r="K3449" s="212" t="s">
        <v>6281</v>
      </c>
      <c r="L3449" s="213"/>
      <c r="M3449" s="212" t="s">
        <v>6225</v>
      </c>
    </row>
    <row r="3450" spans="1:13" ht="21" customHeight="1">
      <c r="A3450" s="213" t="s">
        <v>6392</v>
      </c>
      <c r="B3450" s="215">
        <f t="shared" si="159"/>
        <v>45926</v>
      </c>
      <c r="C3450" s="213" t="s">
        <v>6184</v>
      </c>
      <c r="D3450" s="213" t="s">
        <v>4369</v>
      </c>
      <c r="E3450" s="213" t="s">
        <v>333</v>
      </c>
      <c r="F3450" s="212" t="s">
        <v>4365</v>
      </c>
      <c r="G3450" s="212" t="str">
        <f t="shared" si="160"/>
        <v>101현금</v>
      </c>
      <c r="H3450" s="214">
        <v>132000</v>
      </c>
      <c r="I3450" s="214">
        <v>0</v>
      </c>
      <c r="J3450" s="214">
        <f t="shared" si="161"/>
        <v>-132000</v>
      </c>
      <c r="K3450" s="212" t="s">
        <v>6281</v>
      </c>
      <c r="L3450" s="213"/>
      <c r="M3450" s="212" t="s">
        <v>6225</v>
      </c>
    </row>
    <row r="3451" spans="1:13" ht="21" customHeight="1">
      <c r="A3451" s="213" t="s">
        <v>6392</v>
      </c>
      <c r="B3451" s="215">
        <f t="shared" si="159"/>
        <v>45926</v>
      </c>
      <c r="C3451" s="213" t="s">
        <v>6186</v>
      </c>
      <c r="D3451" s="213" t="s">
        <v>4366</v>
      </c>
      <c r="E3451" s="213" t="s">
        <v>6176</v>
      </c>
      <c r="F3451" s="212" t="s">
        <v>6177</v>
      </c>
      <c r="G3451" s="212" t="str">
        <f t="shared" si="160"/>
        <v>255부가세예수금</v>
      </c>
      <c r="H3451" s="214">
        <v>0</v>
      </c>
      <c r="I3451" s="214">
        <v>9091</v>
      </c>
      <c r="J3451" s="214">
        <f t="shared" si="161"/>
        <v>9091</v>
      </c>
      <c r="K3451" s="212" t="s">
        <v>6295</v>
      </c>
      <c r="L3451" s="213"/>
      <c r="M3451" s="212" t="s">
        <v>6296</v>
      </c>
    </row>
    <row r="3452" spans="1:13" ht="21" customHeight="1">
      <c r="A3452" s="213" t="s">
        <v>6392</v>
      </c>
      <c r="B3452" s="215">
        <f t="shared" si="159"/>
        <v>45926</v>
      </c>
      <c r="C3452" s="213" t="s">
        <v>6186</v>
      </c>
      <c r="D3452" s="213" t="s">
        <v>4366</v>
      </c>
      <c r="E3452" s="213" t="s">
        <v>334</v>
      </c>
      <c r="F3452" s="212" t="s">
        <v>6158</v>
      </c>
      <c r="G3452" s="212" t="str">
        <f t="shared" si="160"/>
        <v>401용역매출</v>
      </c>
      <c r="H3452" s="214">
        <v>0</v>
      </c>
      <c r="I3452" s="214">
        <v>90909</v>
      </c>
      <c r="J3452" s="214">
        <f t="shared" si="161"/>
        <v>90909</v>
      </c>
      <c r="K3452" s="212" t="s">
        <v>6295</v>
      </c>
      <c r="L3452" s="213"/>
      <c r="M3452" s="212" t="s">
        <v>6296</v>
      </c>
    </row>
    <row r="3453" spans="1:13" ht="21" customHeight="1">
      <c r="A3453" s="213" t="s">
        <v>6392</v>
      </c>
      <c r="B3453" s="215">
        <f t="shared" si="159"/>
        <v>45926</v>
      </c>
      <c r="C3453" s="213" t="s">
        <v>6186</v>
      </c>
      <c r="D3453" s="213" t="s">
        <v>4369</v>
      </c>
      <c r="E3453" s="213" t="s">
        <v>333</v>
      </c>
      <c r="F3453" s="212" t="s">
        <v>4365</v>
      </c>
      <c r="G3453" s="212" t="str">
        <f t="shared" si="160"/>
        <v>101현금</v>
      </c>
      <c r="H3453" s="214">
        <v>100000</v>
      </c>
      <c r="I3453" s="214">
        <v>0</v>
      </c>
      <c r="J3453" s="214">
        <f t="shared" si="161"/>
        <v>-100000</v>
      </c>
      <c r="K3453" s="212" t="s">
        <v>6295</v>
      </c>
      <c r="L3453" s="213"/>
      <c r="M3453" s="212" t="s">
        <v>6296</v>
      </c>
    </row>
    <row r="3454" spans="1:13" ht="21" customHeight="1">
      <c r="A3454" s="213" t="s">
        <v>6392</v>
      </c>
      <c r="B3454" s="215">
        <f t="shared" si="159"/>
        <v>45926</v>
      </c>
      <c r="C3454" s="213" t="s">
        <v>6189</v>
      </c>
      <c r="D3454" s="213" t="s">
        <v>4366</v>
      </c>
      <c r="E3454" s="213" t="s">
        <v>6176</v>
      </c>
      <c r="F3454" s="212" t="s">
        <v>6177</v>
      </c>
      <c r="G3454" s="212" t="str">
        <f t="shared" si="160"/>
        <v>255부가세예수금</v>
      </c>
      <c r="H3454" s="214">
        <v>0</v>
      </c>
      <c r="I3454" s="214">
        <v>10000</v>
      </c>
      <c r="J3454" s="214">
        <f t="shared" si="161"/>
        <v>10000</v>
      </c>
      <c r="K3454" s="212" t="s">
        <v>6394</v>
      </c>
      <c r="L3454" s="213"/>
      <c r="M3454" s="212" t="s">
        <v>6185</v>
      </c>
    </row>
    <row r="3455" spans="1:13" ht="21" customHeight="1">
      <c r="A3455" s="213" t="s">
        <v>6392</v>
      </c>
      <c r="B3455" s="215">
        <f t="shared" si="159"/>
        <v>45926</v>
      </c>
      <c r="C3455" s="213" t="s">
        <v>6189</v>
      </c>
      <c r="D3455" s="213" t="s">
        <v>4366</v>
      </c>
      <c r="E3455" s="213" t="s">
        <v>334</v>
      </c>
      <c r="F3455" s="212" t="s">
        <v>6158</v>
      </c>
      <c r="G3455" s="212" t="str">
        <f t="shared" si="160"/>
        <v>401용역매출</v>
      </c>
      <c r="H3455" s="214">
        <v>0</v>
      </c>
      <c r="I3455" s="214">
        <v>100000</v>
      </c>
      <c r="J3455" s="214">
        <f t="shared" si="161"/>
        <v>100000</v>
      </c>
      <c r="K3455" s="212" t="s">
        <v>6394</v>
      </c>
      <c r="L3455" s="213"/>
      <c r="M3455" s="212" t="s">
        <v>6185</v>
      </c>
    </row>
    <row r="3456" spans="1:13" ht="21" customHeight="1">
      <c r="A3456" s="213" t="s">
        <v>6392</v>
      </c>
      <c r="B3456" s="215">
        <f t="shared" si="159"/>
        <v>45926</v>
      </c>
      <c r="C3456" s="213" t="s">
        <v>6189</v>
      </c>
      <c r="D3456" s="213" t="s">
        <v>4369</v>
      </c>
      <c r="E3456" s="213" t="s">
        <v>333</v>
      </c>
      <c r="F3456" s="212" t="s">
        <v>4365</v>
      </c>
      <c r="G3456" s="212" t="str">
        <f t="shared" si="160"/>
        <v>101현금</v>
      </c>
      <c r="H3456" s="214">
        <v>110000</v>
      </c>
      <c r="I3456" s="214">
        <v>0</v>
      </c>
      <c r="J3456" s="214">
        <f t="shared" si="161"/>
        <v>-110000</v>
      </c>
      <c r="K3456" s="212" t="s">
        <v>6394</v>
      </c>
      <c r="L3456" s="213"/>
      <c r="M3456" s="212" t="s">
        <v>6185</v>
      </c>
    </row>
    <row r="3457" spans="1:13" ht="21" customHeight="1">
      <c r="A3457" s="213" t="s">
        <v>6392</v>
      </c>
      <c r="B3457" s="215">
        <f t="shared" si="159"/>
        <v>45926</v>
      </c>
      <c r="C3457" s="213" t="s">
        <v>6191</v>
      </c>
      <c r="D3457" s="213" t="s">
        <v>4366</v>
      </c>
      <c r="E3457" s="213" t="s">
        <v>6176</v>
      </c>
      <c r="F3457" s="212" t="s">
        <v>6177</v>
      </c>
      <c r="G3457" s="212" t="str">
        <f t="shared" si="160"/>
        <v>255부가세예수금</v>
      </c>
      <c r="H3457" s="214">
        <v>0</v>
      </c>
      <c r="I3457" s="214">
        <v>5000</v>
      </c>
      <c r="J3457" s="214">
        <f t="shared" si="161"/>
        <v>5000</v>
      </c>
      <c r="K3457" s="212" t="s">
        <v>6393</v>
      </c>
      <c r="L3457" s="213"/>
      <c r="M3457" s="212" t="s">
        <v>6282</v>
      </c>
    </row>
    <row r="3458" spans="1:13" ht="21" customHeight="1">
      <c r="A3458" s="213" t="s">
        <v>6392</v>
      </c>
      <c r="B3458" s="215">
        <f t="shared" ref="B3458:B3521" si="162">DATEVALUE(A3458)</f>
        <v>45926</v>
      </c>
      <c r="C3458" s="213" t="s">
        <v>6191</v>
      </c>
      <c r="D3458" s="213" t="s">
        <v>4366</v>
      </c>
      <c r="E3458" s="213" t="s">
        <v>334</v>
      </c>
      <c r="F3458" s="212" t="s">
        <v>6158</v>
      </c>
      <c r="G3458" s="212" t="str">
        <f t="shared" ref="G3458:G3521" si="163">E3458&amp;F3458</f>
        <v>401용역매출</v>
      </c>
      <c r="H3458" s="214">
        <v>0</v>
      </c>
      <c r="I3458" s="214">
        <v>50000</v>
      </c>
      <c r="J3458" s="214">
        <f t="shared" ref="J3458:J3521" si="164">I3458-H3458</f>
        <v>50000</v>
      </c>
      <c r="K3458" s="212" t="s">
        <v>6393</v>
      </c>
      <c r="L3458" s="213"/>
      <c r="M3458" s="212" t="s">
        <v>6282</v>
      </c>
    </row>
    <row r="3459" spans="1:13" ht="21" customHeight="1">
      <c r="A3459" s="213" t="s">
        <v>6392</v>
      </c>
      <c r="B3459" s="215">
        <f t="shared" si="162"/>
        <v>45926</v>
      </c>
      <c r="C3459" s="213" t="s">
        <v>6191</v>
      </c>
      <c r="D3459" s="213" t="s">
        <v>4369</v>
      </c>
      <c r="E3459" s="213" t="s">
        <v>333</v>
      </c>
      <c r="F3459" s="212" t="s">
        <v>4365</v>
      </c>
      <c r="G3459" s="212" t="str">
        <f t="shared" si="163"/>
        <v>101현금</v>
      </c>
      <c r="H3459" s="214">
        <v>55000</v>
      </c>
      <c r="I3459" s="214">
        <v>0</v>
      </c>
      <c r="J3459" s="214">
        <f t="shared" si="164"/>
        <v>-55000</v>
      </c>
      <c r="K3459" s="212" t="s">
        <v>6393</v>
      </c>
      <c r="L3459" s="213"/>
      <c r="M3459" s="212" t="s">
        <v>6282</v>
      </c>
    </row>
    <row r="3460" spans="1:13" ht="21" customHeight="1">
      <c r="A3460" s="213" t="s">
        <v>6392</v>
      </c>
      <c r="B3460" s="215">
        <f t="shared" si="162"/>
        <v>45926</v>
      </c>
      <c r="C3460" s="213" t="s">
        <v>6216</v>
      </c>
      <c r="D3460" s="213" t="s">
        <v>4366</v>
      </c>
      <c r="E3460" s="213" t="s">
        <v>6176</v>
      </c>
      <c r="F3460" s="212" t="s">
        <v>6177</v>
      </c>
      <c r="G3460" s="212" t="str">
        <f t="shared" si="163"/>
        <v>255부가세예수금</v>
      </c>
      <c r="H3460" s="214">
        <v>0</v>
      </c>
      <c r="I3460" s="214">
        <v>10000</v>
      </c>
      <c r="J3460" s="214">
        <f t="shared" si="164"/>
        <v>10000</v>
      </c>
      <c r="K3460" s="212" t="s">
        <v>6221</v>
      </c>
      <c r="L3460" s="213"/>
      <c r="M3460" s="212" t="s">
        <v>6185</v>
      </c>
    </row>
    <row r="3461" spans="1:13" ht="21" customHeight="1">
      <c r="A3461" s="213" t="s">
        <v>6392</v>
      </c>
      <c r="B3461" s="215">
        <f t="shared" si="162"/>
        <v>45926</v>
      </c>
      <c r="C3461" s="213" t="s">
        <v>6216</v>
      </c>
      <c r="D3461" s="213" t="s">
        <v>4366</v>
      </c>
      <c r="E3461" s="213" t="s">
        <v>334</v>
      </c>
      <c r="F3461" s="212" t="s">
        <v>6158</v>
      </c>
      <c r="G3461" s="212" t="str">
        <f t="shared" si="163"/>
        <v>401용역매출</v>
      </c>
      <c r="H3461" s="214">
        <v>0</v>
      </c>
      <c r="I3461" s="214">
        <v>100000</v>
      </c>
      <c r="J3461" s="214">
        <f t="shared" si="164"/>
        <v>100000</v>
      </c>
      <c r="K3461" s="212" t="s">
        <v>6221</v>
      </c>
      <c r="L3461" s="213"/>
      <c r="M3461" s="212" t="s">
        <v>6185</v>
      </c>
    </row>
    <row r="3462" spans="1:13" ht="21" customHeight="1">
      <c r="A3462" s="213" t="s">
        <v>6392</v>
      </c>
      <c r="B3462" s="215">
        <f t="shared" si="162"/>
        <v>45926</v>
      </c>
      <c r="C3462" s="213" t="s">
        <v>6216</v>
      </c>
      <c r="D3462" s="213" t="s">
        <v>4369</v>
      </c>
      <c r="E3462" s="213" t="s">
        <v>333</v>
      </c>
      <c r="F3462" s="212" t="s">
        <v>4365</v>
      </c>
      <c r="G3462" s="212" t="str">
        <f t="shared" si="163"/>
        <v>101현금</v>
      </c>
      <c r="H3462" s="214">
        <v>110000</v>
      </c>
      <c r="I3462" s="214">
        <v>0</v>
      </c>
      <c r="J3462" s="214">
        <f t="shared" si="164"/>
        <v>-110000</v>
      </c>
      <c r="K3462" s="212" t="s">
        <v>6221</v>
      </c>
      <c r="L3462" s="213"/>
      <c r="M3462" s="212" t="s">
        <v>6185</v>
      </c>
    </row>
    <row r="3463" spans="1:13" ht="21" customHeight="1">
      <c r="A3463" s="213" t="s">
        <v>6392</v>
      </c>
      <c r="B3463" s="215">
        <f t="shared" si="162"/>
        <v>45926</v>
      </c>
      <c r="C3463" s="213" t="s">
        <v>6217</v>
      </c>
      <c r="D3463" s="213" t="s">
        <v>4366</v>
      </c>
      <c r="E3463" s="213" t="s">
        <v>6176</v>
      </c>
      <c r="F3463" s="212" t="s">
        <v>6177</v>
      </c>
      <c r="G3463" s="212" t="str">
        <f t="shared" si="163"/>
        <v>255부가세예수금</v>
      </c>
      <c r="H3463" s="214">
        <v>0</v>
      </c>
      <c r="I3463" s="214">
        <v>11819</v>
      </c>
      <c r="J3463" s="214">
        <f t="shared" si="164"/>
        <v>11819</v>
      </c>
      <c r="K3463" s="212" t="s">
        <v>6220</v>
      </c>
      <c r="L3463" s="213"/>
      <c r="M3463" s="212" t="s">
        <v>6362</v>
      </c>
    </row>
    <row r="3464" spans="1:13" ht="21" customHeight="1">
      <c r="A3464" s="213" t="s">
        <v>6392</v>
      </c>
      <c r="B3464" s="215">
        <f t="shared" si="162"/>
        <v>45926</v>
      </c>
      <c r="C3464" s="213" t="s">
        <v>6217</v>
      </c>
      <c r="D3464" s="213" t="s">
        <v>4366</v>
      </c>
      <c r="E3464" s="213" t="s">
        <v>334</v>
      </c>
      <c r="F3464" s="212" t="s">
        <v>6158</v>
      </c>
      <c r="G3464" s="212" t="str">
        <f t="shared" si="163"/>
        <v>401용역매출</v>
      </c>
      <c r="H3464" s="214">
        <v>0</v>
      </c>
      <c r="I3464" s="214">
        <v>118181</v>
      </c>
      <c r="J3464" s="214">
        <f t="shared" si="164"/>
        <v>118181</v>
      </c>
      <c r="K3464" s="212" t="s">
        <v>6220</v>
      </c>
      <c r="L3464" s="213"/>
      <c r="M3464" s="212" t="s">
        <v>6362</v>
      </c>
    </row>
    <row r="3465" spans="1:13" ht="21" customHeight="1">
      <c r="A3465" s="213" t="s">
        <v>6392</v>
      </c>
      <c r="B3465" s="215">
        <f t="shared" si="162"/>
        <v>45926</v>
      </c>
      <c r="C3465" s="213" t="s">
        <v>6217</v>
      </c>
      <c r="D3465" s="213" t="s">
        <v>4369</v>
      </c>
      <c r="E3465" s="213" t="s">
        <v>333</v>
      </c>
      <c r="F3465" s="212" t="s">
        <v>4365</v>
      </c>
      <c r="G3465" s="212" t="str">
        <f t="shared" si="163"/>
        <v>101현금</v>
      </c>
      <c r="H3465" s="214">
        <v>130000</v>
      </c>
      <c r="I3465" s="214">
        <v>0</v>
      </c>
      <c r="J3465" s="214">
        <f t="shared" si="164"/>
        <v>-130000</v>
      </c>
      <c r="K3465" s="212" t="s">
        <v>6220</v>
      </c>
      <c r="L3465" s="213"/>
      <c r="M3465" s="212" t="s">
        <v>6362</v>
      </c>
    </row>
    <row r="3466" spans="1:13" ht="21" customHeight="1">
      <c r="A3466" s="213" t="s">
        <v>6392</v>
      </c>
      <c r="B3466" s="215">
        <f t="shared" si="162"/>
        <v>45926</v>
      </c>
      <c r="C3466" s="213" t="s">
        <v>6218</v>
      </c>
      <c r="D3466" s="213" t="s">
        <v>4366</v>
      </c>
      <c r="E3466" s="213" t="s">
        <v>6176</v>
      </c>
      <c r="F3466" s="212" t="s">
        <v>6177</v>
      </c>
      <c r="G3466" s="212" t="str">
        <f t="shared" si="163"/>
        <v>255부가세예수금</v>
      </c>
      <c r="H3466" s="214">
        <v>0</v>
      </c>
      <c r="I3466" s="214">
        <v>10000</v>
      </c>
      <c r="J3466" s="214">
        <f t="shared" si="164"/>
        <v>10000</v>
      </c>
      <c r="K3466" s="212" t="s">
        <v>6209</v>
      </c>
      <c r="L3466" s="213"/>
      <c r="M3466" s="212" t="s">
        <v>6185</v>
      </c>
    </row>
    <row r="3467" spans="1:13" ht="21" customHeight="1">
      <c r="A3467" s="213" t="s">
        <v>6392</v>
      </c>
      <c r="B3467" s="215">
        <f t="shared" si="162"/>
        <v>45926</v>
      </c>
      <c r="C3467" s="213" t="s">
        <v>6218</v>
      </c>
      <c r="D3467" s="213" t="s">
        <v>4366</v>
      </c>
      <c r="E3467" s="213" t="s">
        <v>334</v>
      </c>
      <c r="F3467" s="212" t="s">
        <v>6158</v>
      </c>
      <c r="G3467" s="212" t="str">
        <f t="shared" si="163"/>
        <v>401용역매출</v>
      </c>
      <c r="H3467" s="214">
        <v>0</v>
      </c>
      <c r="I3467" s="214">
        <v>100000</v>
      </c>
      <c r="J3467" s="214">
        <f t="shared" si="164"/>
        <v>100000</v>
      </c>
      <c r="K3467" s="212" t="s">
        <v>6209</v>
      </c>
      <c r="L3467" s="213"/>
      <c r="M3467" s="212" t="s">
        <v>6185</v>
      </c>
    </row>
    <row r="3468" spans="1:13" ht="21" customHeight="1">
      <c r="A3468" s="213" t="s">
        <v>6392</v>
      </c>
      <c r="B3468" s="215">
        <f t="shared" si="162"/>
        <v>45926</v>
      </c>
      <c r="C3468" s="213" t="s">
        <v>6218</v>
      </c>
      <c r="D3468" s="213" t="s">
        <v>4369</v>
      </c>
      <c r="E3468" s="213" t="s">
        <v>333</v>
      </c>
      <c r="F3468" s="212" t="s">
        <v>4365</v>
      </c>
      <c r="G3468" s="212" t="str">
        <f t="shared" si="163"/>
        <v>101현금</v>
      </c>
      <c r="H3468" s="214">
        <v>110000</v>
      </c>
      <c r="I3468" s="214">
        <v>0</v>
      </c>
      <c r="J3468" s="214">
        <f t="shared" si="164"/>
        <v>-110000</v>
      </c>
      <c r="K3468" s="212" t="s">
        <v>6209</v>
      </c>
      <c r="L3468" s="213"/>
      <c r="M3468" s="212" t="s">
        <v>6185</v>
      </c>
    </row>
    <row r="3469" spans="1:13" ht="21" customHeight="1">
      <c r="A3469" s="213" t="s">
        <v>6392</v>
      </c>
      <c r="B3469" s="215">
        <f t="shared" si="162"/>
        <v>45926</v>
      </c>
      <c r="C3469" s="213" t="s">
        <v>6238</v>
      </c>
      <c r="D3469" s="213" t="s">
        <v>4366</v>
      </c>
      <c r="E3469" s="213" t="s">
        <v>6176</v>
      </c>
      <c r="F3469" s="212" t="s">
        <v>6177</v>
      </c>
      <c r="G3469" s="212" t="str">
        <f t="shared" si="163"/>
        <v>255부가세예수금</v>
      </c>
      <c r="H3469" s="214">
        <v>0</v>
      </c>
      <c r="I3469" s="214">
        <v>15000</v>
      </c>
      <c r="J3469" s="214">
        <f t="shared" si="164"/>
        <v>15000</v>
      </c>
      <c r="K3469" s="212" t="s">
        <v>6211</v>
      </c>
      <c r="L3469" s="213"/>
      <c r="M3469" s="212" t="s">
        <v>6179</v>
      </c>
    </row>
    <row r="3470" spans="1:13" ht="21" customHeight="1">
      <c r="A3470" s="213" t="s">
        <v>6392</v>
      </c>
      <c r="B3470" s="215">
        <f t="shared" si="162"/>
        <v>45926</v>
      </c>
      <c r="C3470" s="213" t="s">
        <v>6238</v>
      </c>
      <c r="D3470" s="213" t="s">
        <v>4366</v>
      </c>
      <c r="E3470" s="213" t="s">
        <v>334</v>
      </c>
      <c r="F3470" s="212" t="s">
        <v>6158</v>
      </c>
      <c r="G3470" s="212" t="str">
        <f t="shared" si="163"/>
        <v>401용역매출</v>
      </c>
      <c r="H3470" s="214">
        <v>0</v>
      </c>
      <c r="I3470" s="214">
        <v>150000</v>
      </c>
      <c r="J3470" s="214">
        <f t="shared" si="164"/>
        <v>150000</v>
      </c>
      <c r="K3470" s="212" t="s">
        <v>6211</v>
      </c>
      <c r="L3470" s="213"/>
      <c r="M3470" s="212" t="s">
        <v>6179</v>
      </c>
    </row>
    <row r="3471" spans="1:13" ht="21" customHeight="1">
      <c r="A3471" s="213" t="s">
        <v>6392</v>
      </c>
      <c r="B3471" s="215">
        <f t="shared" si="162"/>
        <v>45926</v>
      </c>
      <c r="C3471" s="213" t="s">
        <v>6238</v>
      </c>
      <c r="D3471" s="213" t="s">
        <v>4369</v>
      </c>
      <c r="E3471" s="213" t="s">
        <v>333</v>
      </c>
      <c r="F3471" s="212" t="s">
        <v>4365</v>
      </c>
      <c r="G3471" s="212" t="str">
        <f t="shared" si="163"/>
        <v>101현금</v>
      </c>
      <c r="H3471" s="214">
        <v>165000</v>
      </c>
      <c r="I3471" s="214">
        <v>0</v>
      </c>
      <c r="J3471" s="214">
        <f t="shared" si="164"/>
        <v>-165000</v>
      </c>
      <c r="K3471" s="212" t="s">
        <v>6211</v>
      </c>
      <c r="L3471" s="213"/>
      <c r="M3471" s="212" t="s">
        <v>6179</v>
      </c>
    </row>
    <row r="3472" spans="1:13" ht="21" customHeight="1">
      <c r="A3472" s="213" t="s">
        <v>6392</v>
      </c>
      <c r="B3472" s="215">
        <f t="shared" si="162"/>
        <v>45926</v>
      </c>
      <c r="C3472" s="213" t="s">
        <v>6240</v>
      </c>
      <c r="D3472" s="213" t="s">
        <v>4366</v>
      </c>
      <c r="E3472" s="213" t="s">
        <v>6176</v>
      </c>
      <c r="F3472" s="212" t="s">
        <v>6177</v>
      </c>
      <c r="G3472" s="212" t="str">
        <f t="shared" si="163"/>
        <v>255부가세예수금</v>
      </c>
      <c r="H3472" s="214">
        <v>0</v>
      </c>
      <c r="I3472" s="214">
        <v>10000</v>
      </c>
      <c r="J3472" s="214">
        <f t="shared" si="164"/>
        <v>10000</v>
      </c>
      <c r="K3472" s="212" t="s">
        <v>6210</v>
      </c>
      <c r="L3472" s="213"/>
      <c r="M3472" s="212" t="s">
        <v>6185</v>
      </c>
    </row>
    <row r="3473" spans="1:13" ht="21" customHeight="1">
      <c r="A3473" s="213" t="s">
        <v>6392</v>
      </c>
      <c r="B3473" s="215">
        <f t="shared" si="162"/>
        <v>45926</v>
      </c>
      <c r="C3473" s="213" t="s">
        <v>6240</v>
      </c>
      <c r="D3473" s="213" t="s">
        <v>4366</v>
      </c>
      <c r="E3473" s="213" t="s">
        <v>334</v>
      </c>
      <c r="F3473" s="212" t="s">
        <v>6158</v>
      </c>
      <c r="G3473" s="212" t="str">
        <f t="shared" si="163"/>
        <v>401용역매출</v>
      </c>
      <c r="H3473" s="214">
        <v>0</v>
      </c>
      <c r="I3473" s="214">
        <v>100000</v>
      </c>
      <c r="J3473" s="214">
        <f t="shared" si="164"/>
        <v>100000</v>
      </c>
      <c r="K3473" s="212" t="s">
        <v>6210</v>
      </c>
      <c r="L3473" s="213"/>
      <c r="M3473" s="212" t="s">
        <v>6185</v>
      </c>
    </row>
    <row r="3474" spans="1:13" ht="21" customHeight="1">
      <c r="A3474" s="213" t="s">
        <v>6392</v>
      </c>
      <c r="B3474" s="215">
        <f t="shared" si="162"/>
        <v>45926</v>
      </c>
      <c r="C3474" s="213" t="s">
        <v>6240</v>
      </c>
      <c r="D3474" s="213" t="s">
        <v>4369</v>
      </c>
      <c r="E3474" s="213" t="s">
        <v>333</v>
      </c>
      <c r="F3474" s="212" t="s">
        <v>4365</v>
      </c>
      <c r="G3474" s="212" t="str">
        <f t="shared" si="163"/>
        <v>101현금</v>
      </c>
      <c r="H3474" s="214">
        <v>110000</v>
      </c>
      <c r="I3474" s="214">
        <v>0</v>
      </c>
      <c r="J3474" s="214">
        <f t="shared" si="164"/>
        <v>-110000</v>
      </c>
      <c r="K3474" s="212" t="s">
        <v>6210</v>
      </c>
      <c r="L3474" s="213"/>
      <c r="M3474" s="212" t="s">
        <v>6185</v>
      </c>
    </row>
    <row r="3475" spans="1:13" ht="21" customHeight="1">
      <c r="A3475" s="213" t="s">
        <v>6392</v>
      </c>
      <c r="B3475" s="215">
        <f t="shared" si="162"/>
        <v>45926</v>
      </c>
      <c r="C3475" s="213" t="s">
        <v>6241</v>
      </c>
      <c r="D3475" s="213" t="s">
        <v>4366</v>
      </c>
      <c r="E3475" s="213" t="s">
        <v>6176</v>
      </c>
      <c r="F3475" s="212" t="s">
        <v>6177</v>
      </c>
      <c r="G3475" s="212" t="str">
        <f t="shared" si="163"/>
        <v>255부가세예수금</v>
      </c>
      <c r="H3475" s="214">
        <v>0</v>
      </c>
      <c r="I3475" s="214">
        <v>13636</v>
      </c>
      <c r="J3475" s="214">
        <f t="shared" si="164"/>
        <v>13636</v>
      </c>
      <c r="K3475" s="212" t="s">
        <v>6204</v>
      </c>
      <c r="L3475" s="213"/>
      <c r="M3475" s="212" t="s">
        <v>6205</v>
      </c>
    </row>
    <row r="3476" spans="1:13" ht="21" customHeight="1">
      <c r="A3476" s="213" t="s">
        <v>6392</v>
      </c>
      <c r="B3476" s="215">
        <f t="shared" si="162"/>
        <v>45926</v>
      </c>
      <c r="C3476" s="213" t="s">
        <v>6241</v>
      </c>
      <c r="D3476" s="213" t="s">
        <v>4366</v>
      </c>
      <c r="E3476" s="213" t="s">
        <v>334</v>
      </c>
      <c r="F3476" s="212" t="s">
        <v>6158</v>
      </c>
      <c r="G3476" s="212" t="str">
        <f t="shared" si="163"/>
        <v>401용역매출</v>
      </c>
      <c r="H3476" s="214">
        <v>0</v>
      </c>
      <c r="I3476" s="214">
        <v>136364</v>
      </c>
      <c r="J3476" s="214">
        <f t="shared" si="164"/>
        <v>136364</v>
      </c>
      <c r="K3476" s="212" t="s">
        <v>6204</v>
      </c>
      <c r="L3476" s="213"/>
      <c r="M3476" s="212" t="s">
        <v>6205</v>
      </c>
    </row>
    <row r="3477" spans="1:13" ht="21" customHeight="1">
      <c r="A3477" s="213" t="s">
        <v>6392</v>
      </c>
      <c r="B3477" s="215">
        <f t="shared" si="162"/>
        <v>45926</v>
      </c>
      <c r="C3477" s="213" t="s">
        <v>6241</v>
      </c>
      <c r="D3477" s="213" t="s">
        <v>4369</v>
      </c>
      <c r="E3477" s="213" t="s">
        <v>333</v>
      </c>
      <c r="F3477" s="212" t="s">
        <v>4365</v>
      </c>
      <c r="G3477" s="212" t="str">
        <f t="shared" si="163"/>
        <v>101현금</v>
      </c>
      <c r="H3477" s="214">
        <v>150000</v>
      </c>
      <c r="I3477" s="214">
        <v>0</v>
      </c>
      <c r="J3477" s="214">
        <f t="shared" si="164"/>
        <v>-150000</v>
      </c>
      <c r="K3477" s="212" t="s">
        <v>6204</v>
      </c>
      <c r="L3477" s="213"/>
      <c r="M3477" s="212" t="s">
        <v>6205</v>
      </c>
    </row>
    <row r="3478" spans="1:13" ht="21" customHeight="1">
      <c r="A3478" s="213" t="s">
        <v>6391</v>
      </c>
      <c r="B3478" s="215">
        <f t="shared" si="162"/>
        <v>45929</v>
      </c>
      <c r="C3478" s="213" t="s">
        <v>4367</v>
      </c>
      <c r="D3478" s="213" t="s">
        <v>4366</v>
      </c>
      <c r="E3478" s="213" t="s">
        <v>6176</v>
      </c>
      <c r="F3478" s="212" t="s">
        <v>6177</v>
      </c>
      <c r="G3478" s="212" t="str">
        <f t="shared" si="163"/>
        <v>255부가세예수금</v>
      </c>
      <c r="H3478" s="214">
        <v>0</v>
      </c>
      <c r="I3478" s="214">
        <v>15000</v>
      </c>
      <c r="J3478" s="214">
        <f t="shared" si="164"/>
        <v>15000</v>
      </c>
      <c r="K3478" s="212" t="s">
        <v>6237</v>
      </c>
      <c r="L3478" s="213"/>
      <c r="M3478" s="212" t="s">
        <v>6179</v>
      </c>
    </row>
    <row r="3479" spans="1:13" ht="21" customHeight="1">
      <c r="A3479" s="213" t="s">
        <v>6391</v>
      </c>
      <c r="B3479" s="215">
        <f t="shared" si="162"/>
        <v>45929</v>
      </c>
      <c r="C3479" s="213" t="s">
        <v>4367</v>
      </c>
      <c r="D3479" s="213" t="s">
        <v>4366</v>
      </c>
      <c r="E3479" s="213" t="s">
        <v>334</v>
      </c>
      <c r="F3479" s="212" t="s">
        <v>6158</v>
      </c>
      <c r="G3479" s="212" t="str">
        <f t="shared" si="163"/>
        <v>401용역매출</v>
      </c>
      <c r="H3479" s="214">
        <v>0</v>
      </c>
      <c r="I3479" s="214">
        <v>150000</v>
      </c>
      <c r="J3479" s="214">
        <f t="shared" si="164"/>
        <v>150000</v>
      </c>
      <c r="K3479" s="212" t="s">
        <v>6237</v>
      </c>
      <c r="L3479" s="213"/>
      <c r="M3479" s="212" t="s">
        <v>6179</v>
      </c>
    </row>
    <row r="3480" spans="1:13" ht="21" customHeight="1">
      <c r="A3480" s="213" t="s">
        <v>6391</v>
      </c>
      <c r="B3480" s="215">
        <f t="shared" si="162"/>
        <v>45929</v>
      </c>
      <c r="C3480" s="213" t="s">
        <v>4367</v>
      </c>
      <c r="D3480" s="213" t="s">
        <v>4369</v>
      </c>
      <c r="E3480" s="213" t="s">
        <v>333</v>
      </c>
      <c r="F3480" s="212" t="s">
        <v>4365</v>
      </c>
      <c r="G3480" s="212" t="str">
        <f t="shared" si="163"/>
        <v>101현금</v>
      </c>
      <c r="H3480" s="214">
        <v>165000</v>
      </c>
      <c r="I3480" s="214">
        <v>0</v>
      </c>
      <c r="J3480" s="214">
        <f t="shared" si="164"/>
        <v>-165000</v>
      </c>
      <c r="K3480" s="212" t="s">
        <v>6237</v>
      </c>
      <c r="L3480" s="213"/>
      <c r="M3480" s="212" t="s">
        <v>6179</v>
      </c>
    </row>
    <row r="3481" spans="1:13" ht="21" customHeight="1">
      <c r="A3481" s="213" t="s">
        <v>6387</v>
      </c>
      <c r="B3481" s="215">
        <f t="shared" si="162"/>
        <v>45930</v>
      </c>
      <c r="C3481" s="213" t="s">
        <v>4367</v>
      </c>
      <c r="D3481" s="213" t="s">
        <v>4366</v>
      </c>
      <c r="E3481" s="213" t="s">
        <v>6176</v>
      </c>
      <c r="F3481" s="212" t="s">
        <v>6177</v>
      </c>
      <c r="G3481" s="212" t="str">
        <f t="shared" si="163"/>
        <v>255부가세예수금</v>
      </c>
      <c r="H3481" s="214">
        <v>0</v>
      </c>
      <c r="I3481" s="214">
        <v>15000</v>
      </c>
      <c r="J3481" s="214">
        <f t="shared" si="164"/>
        <v>15000</v>
      </c>
      <c r="K3481" s="212" t="s">
        <v>6390</v>
      </c>
      <c r="L3481" s="213"/>
      <c r="M3481" s="212" t="s">
        <v>6179</v>
      </c>
    </row>
    <row r="3482" spans="1:13" ht="21" customHeight="1">
      <c r="A3482" s="213" t="s">
        <v>6387</v>
      </c>
      <c r="B3482" s="215">
        <f t="shared" si="162"/>
        <v>45930</v>
      </c>
      <c r="C3482" s="213" t="s">
        <v>4367</v>
      </c>
      <c r="D3482" s="213" t="s">
        <v>4366</v>
      </c>
      <c r="E3482" s="213" t="s">
        <v>334</v>
      </c>
      <c r="F3482" s="212" t="s">
        <v>6158</v>
      </c>
      <c r="G3482" s="212" t="str">
        <f t="shared" si="163"/>
        <v>401용역매출</v>
      </c>
      <c r="H3482" s="214">
        <v>0</v>
      </c>
      <c r="I3482" s="214">
        <v>150000</v>
      </c>
      <c r="J3482" s="214">
        <f t="shared" si="164"/>
        <v>150000</v>
      </c>
      <c r="K3482" s="212" t="s">
        <v>6390</v>
      </c>
      <c r="L3482" s="213"/>
      <c r="M3482" s="212" t="s">
        <v>6179</v>
      </c>
    </row>
    <row r="3483" spans="1:13" ht="21" customHeight="1">
      <c r="A3483" s="213" t="s">
        <v>6387</v>
      </c>
      <c r="B3483" s="215">
        <f t="shared" si="162"/>
        <v>45930</v>
      </c>
      <c r="C3483" s="213" t="s">
        <v>4367</v>
      </c>
      <c r="D3483" s="213" t="s">
        <v>4369</v>
      </c>
      <c r="E3483" s="213" t="s">
        <v>333</v>
      </c>
      <c r="F3483" s="212" t="s">
        <v>4365</v>
      </c>
      <c r="G3483" s="212" t="str">
        <f t="shared" si="163"/>
        <v>101현금</v>
      </c>
      <c r="H3483" s="214">
        <v>165000</v>
      </c>
      <c r="I3483" s="214">
        <v>0</v>
      </c>
      <c r="J3483" s="214">
        <f t="shared" si="164"/>
        <v>-165000</v>
      </c>
      <c r="K3483" s="212" t="s">
        <v>6390</v>
      </c>
      <c r="L3483" s="213"/>
      <c r="M3483" s="212" t="s">
        <v>6179</v>
      </c>
    </row>
    <row r="3484" spans="1:13" ht="21" customHeight="1">
      <c r="A3484" s="213" t="s">
        <v>6387</v>
      </c>
      <c r="B3484" s="215">
        <f t="shared" si="162"/>
        <v>45930</v>
      </c>
      <c r="C3484" s="213" t="s">
        <v>4374</v>
      </c>
      <c r="D3484" s="213" t="s">
        <v>4366</v>
      </c>
      <c r="E3484" s="213" t="s">
        <v>6176</v>
      </c>
      <c r="F3484" s="212" t="s">
        <v>6177</v>
      </c>
      <c r="G3484" s="212" t="str">
        <f t="shared" si="163"/>
        <v>255부가세예수금</v>
      </c>
      <c r="H3484" s="214">
        <v>0</v>
      </c>
      <c r="I3484" s="214">
        <v>30000</v>
      </c>
      <c r="J3484" s="214">
        <f t="shared" si="164"/>
        <v>30000</v>
      </c>
      <c r="K3484" s="212" t="s">
        <v>6180</v>
      </c>
      <c r="L3484" s="213"/>
      <c r="M3484" s="212" t="s">
        <v>6190</v>
      </c>
    </row>
    <row r="3485" spans="1:13" ht="21" customHeight="1">
      <c r="A3485" s="213" t="s">
        <v>6387</v>
      </c>
      <c r="B3485" s="215">
        <f t="shared" si="162"/>
        <v>45930</v>
      </c>
      <c r="C3485" s="213" t="s">
        <v>4374</v>
      </c>
      <c r="D3485" s="213" t="s">
        <v>4366</v>
      </c>
      <c r="E3485" s="213" t="s">
        <v>334</v>
      </c>
      <c r="F3485" s="212" t="s">
        <v>6158</v>
      </c>
      <c r="G3485" s="212" t="str">
        <f t="shared" si="163"/>
        <v>401용역매출</v>
      </c>
      <c r="H3485" s="214">
        <v>0</v>
      </c>
      <c r="I3485" s="214">
        <v>300000</v>
      </c>
      <c r="J3485" s="214">
        <f t="shared" si="164"/>
        <v>300000</v>
      </c>
      <c r="K3485" s="212" t="s">
        <v>6180</v>
      </c>
      <c r="L3485" s="213"/>
      <c r="M3485" s="212" t="s">
        <v>6190</v>
      </c>
    </row>
    <row r="3486" spans="1:13" ht="21" customHeight="1">
      <c r="A3486" s="213" t="s">
        <v>6387</v>
      </c>
      <c r="B3486" s="215">
        <f t="shared" si="162"/>
        <v>45930</v>
      </c>
      <c r="C3486" s="213" t="s">
        <v>4374</v>
      </c>
      <c r="D3486" s="213" t="s">
        <v>4369</v>
      </c>
      <c r="E3486" s="213" t="s">
        <v>333</v>
      </c>
      <c r="F3486" s="212" t="s">
        <v>4365</v>
      </c>
      <c r="G3486" s="212" t="str">
        <f t="shared" si="163"/>
        <v>101현금</v>
      </c>
      <c r="H3486" s="214">
        <v>330000</v>
      </c>
      <c r="I3486" s="214">
        <v>0</v>
      </c>
      <c r="J3486" s="214">
        <f t="shared" si="164"/>
        <v>-330000</v>
      </c>
      <c r="K3486" s="212" t="s">
        <v>6180</v>
      </c>
      <c r="L3486" s="213"/>
      <c r="M3486" s="212" t="s">
        <v>6190</v>
      </c>
    </row>
    <row r="3487" spans="1:13" ht="21" customHeight="1">
      <c r="A3487" s="213" t="s">
        <v>6387</v>
      </c>
      <c r="B3487" s="215">
        <f t="shared" si="162"/>
        <v>45930</v>
      </c>
      <c r="C3487" s="213" t="s">
        <v>6182</v>
      </c>
      <c r="D3487" s="213" t="s">
        <v>4366</v>
      </c>
      <c r="E3487" s="213" t="s">
        <v>6176</v>
      </c>
      <c r="F3487" s="212" t="s">
        <v>6177</v>
      </c>
      <c r="G3487" s="212" t="str">
        <f t="shared" si="163"/>
        <v>255부가세예수금</v>
      </c>
      <c r="H3487" s="214">
        <v>0</v>
      </c>
      <c r="I3487" s="214">
        <v>11819</v>
      </c>
      <c r="J3487" s="214">
        <f t="shared" si="164"/>
        <v>11819</v>
      </c>
      <c r="K3487" s="212" t="s">
        <v>6224</v>
      </c>
      <c r="L3487" s="213"/>
      <c r="M3487" s="212" t="s">
        <v>6362</v>
      </c>
    </row>
    <row r="3488" spans="1:13" ht="21" customHeight="1">
      <c r="A3488" s="213" t="s">
        <v>6387</v>
      </c>
      <c r="B3488" s="215">
        <f t="shared" si="162"/>
        <v>45930</v>
      </c>
      <c r="C3488" s="213" t="s">
        <v>6182</v>
      </c>
      <c r="D3488" s="213" t="s">
        <v>4366</v>
      </c>
      <c r="E3488" s="213" t="s">
        <v>334</v>
      </c>
      <c r="F3488" s="212" t="s">
        <v>6158</v>
      </c>
      <c r="G3488" s="212" t="str">
        <f t="shared" si="163"/>
        <v>401용역매출</v>
      </c>
      <c r="H3488" s="214">
        <v>0</v>
      </c>
      <c r="I3488" s="214">
        <v>118181</v>
      </c>
      <c r="J3488" s="214">
        <f t="shared" si="164"/>
        <v>118181</v>
      </c>
      <c r="K3488" s="212" t="s">
        <v>6224</v>
      </c>
      <c r="L3488" s="213"/>
      <c r="M3488" s="212" t="s">
        <v>6362</v>
      </c>
    </row>
    <row r="3489" spans="1:13" ht="21" customHeight="1">
      <c r="A3489" s="213" t="s">
        <v>6387</v>
      </c>
      <c r="B3489" s="215">
        <f t="shared" si="162"/>
        <v>45930</v>
      </c>
      <c r="C3489" s="213" t="s">
        <v>6182</v>
      </c>
      <c r="D3489" s="213" t="s">
        <v>4369</v>
      </c>
      <c r="E3489" s="213" t="s">
        <v>333</v>
      </c>
      <c r="F3489" s="212" t="s">
        <v>4365</v>
      </c>
      <c r="G3489" s="212" t="str">
        <f t="shared" si="163"/>
        <v>101현금</v>
      </c>
      <c r="H3489" s="214">
        <v>130000</v>
      </c>
      <c r="I3489" s="214">
        <v>0</v>
      </c>
      <c r="J3489" s="214">
        <f t="shared" si="164"/>
        <v>-130000</v>
      </c>
      <c r="K3489" s="212" t="s">
        <v>6224</v>
      </c>
      <c r="L3489" s="213"/>
      <c r="M3489" s="212" t="s">
        <v>6362</v>
      </c>
    </row>
    <row r="3490" spans="1:13" ht="21" customHeight="1">
      <c r="A3490" s="213" t="s">
        <v>6387</v>
      </c>
      <c r="B3490" s="215">
        <f t="shared" si="162"/>
        <v>45930</v>
      </c>
      <c r="C3490" s="213" t="s">
        <v>6184</v>
      </c>
      <c r="D3490" s="213" t="s">
        <v>4366</v>
      </c>
      <c r="E3490" s="213" t="s">
        <v>6176</v>
      </c>
      <c r="F3490" s="212" t="s">
        <v>6177</v>
      </c>
      <c r="G3490" s="212" t="str">
        <f t="shared" si="163"/>
        <v>255부가세예수금</v>
      </c>
      <c r="H3490" s="214">
        <v>0</v>
      </c>
      <c r="I3490" s="214">
        <v>7000</v>
      </c>
      <c r="J3490" s="214">
        <f t="shared" si="164"/>
        <v>7000</v>
      </c>
      <c r="K3490" s="212" t="s">
        <v>6336</v>
      </c>
      <c r="L3490" s="213"/>
      <c r="M3490" s="212" t="s">
        <v>6287</v>
      </c>
    </row>
    <row r="3491" spans="1:13" ht="21" customHeight="1">
      <c r="A3491" s="213" t="s">
        <v>6387</v>
      </c>
      <c r="B3491" s="215">
        <f t="shared" si="162"/>
        <v>45930</v>
      </c>
      <c r="C3491" s="213" t="s">
        <v>6184</v>
      </c>
      <c r="D3491" s="213" t="s">
        <v>4366</v>
      </c>
      <c r="E3491" s="213" t="s">
        <v>334</v>
      </c>
      <c r="F3491" s="212" t="s">
        <v>6158</v>
      </c>
      <c r="G3491" s="212" t="str">
        <f t="shared" si="163"/>
        <v>401용역매출</v>
      </c>
      <c r="H3491" s="214">
        <v>0</v>
      </c>
      <c r="I3491" s="214">
        <v>70000</v>
      </c>
      <c r="J3491" s="214">
        <f t="shared" si="164"/>
        <v>70000</v>
      </c>
      <c r="K3491" s="212" t="s">
        <v>6336</v>
      </c>
      <c r="L3491" s="213"/>
      <c r="M3491" s="212" t="s">
        <v>6287</v>
      </c>
    </row>
    <row r="3492" spans="1:13" ht="21" customHeight="1">
      <c r="A3492" s="213" t="s">
        <v>6387</v>
      </c>
      <c r="B3492" s="215">
        <f t="shared" si="162"/>
        <v>45930</v>
      </c>
      <c r="C3492" s="213" t="s">
        <v>6184</v>
      </c>
      <c r="D3492" s="213" t="s">
        <v>4369</v>
      </c>
      <c r="E3492" s="213" t="s">
        <v>333</v>
      </c>
      <c r="F3492" s="212" t="s">
        <v>4365</v>
      </c>
      <c r="G3492" s="212" t="str">
        <f t="shared" si="163"/>
        <v>101현금</v>
      </c>
      <c r="H3492" s="214">
        <v>77000</v>
      </c>
      <c r="I3492" s="214">
        <v>0</v>
      </c>
      <c r="J3492" s="214">
        <f t="shared" si="164"/>
        <v>-77000</v>
      </c>
      <c r="K3492" s="212" t="s">
        <v>6336</v>
      </c>
      <c r="L3492" s="213"/>
      <c r="M3492" s="212" t="s">
        <v>6287</v>
      </c>
    </row>
    <row r="3493" spans="1:13" ht="21" customHeight="1">
      <c r="A3493" s="213" t="s">
        <v>6387</v>
      </c>
      <c r="B3493" s="215">
        <f t="shared" si="162"/>
        <v>45930</v>
      </c>
      <c r="C3493" s="213" t="s">
        <v>6186</v>
      </c>
      <c r="D3493" s="213" t="s">
        <v>4366</v>
      </c>
      <c r="E3493" s="213" t="s">
        <v>6176</v>
      </c>
      <c r="F3493" s="212" t="s">
        <v>6177</v>
      </c>
      <c r="G3493" s="212" t="str">
        <f t="shared" si="163"/>
        <v>255부가세예수금</v>
      </c>
      <c r="H3493" s="214">
        <v>0</v>
      </c>
      <c r="I3493" s="214">
        <v>15000</v>
      </c>
      <c r="J3493" s="214">
        <f t="shared" si="164"/>
        <v>15000</v>
      </c>
      <c r="K3493" s="212" t="s">
        <v>6223</v>
      </c>
      <c r="L3493" s="213"/>
      <c r="M3493" s="212" t="s">
        <v>6179</v>
      </c>
    </row>
    <row r="3494" spans="1:13" ht="21" customHeight="1">
      <c r="A3494" s="213" t="s">
        <v>6387</v>
      </c>
      <c r="B3494" s="215">
        <f t="shared" si="162"/>
        <v>45930</v>
      </c>
      <c r="C3494" s="213" t="s">
        <v>6186</v>
      </c>
      <c r="D3494" s="213" t="s">
        <v>4366</v>
      </c>
      <c r="E3494" s="213" t="s">
        <v>334</v>
      </c>
      <c r="F3494" s="212" t="s">
        <v>6158</v>
      </c>
      <c r="G3494" s="212" t="str">
        <f t="shared" si="163"/>
        <v>401용역매출</v>
      </c>
      <c r="H3494" s="214">
        <v>0</v>
      </c>
      <c r="I3494" s="214">
        <v>150000</v>
      </c>
      <c r="J3494" s="214">
        <f t="shared" si="164"/>
        <v>150000</v>
      </c>
      <c r="K3494" s="212" t="s">
        <v>6223</v>
      </c>
      <c r="L3494" s="213"/>
      <c r="M3494" s="212" t="s">
        <v>6179</v>
      </c>
    </row>
    <row r="3495" spans="1:13" ht="21" customHeight="1">
      <c r="A3495" s="213" t="s">
        <v>6387</v>
      </c>
      <c r="B3495" s="215">
        <f t="shared" si="162"/>
        <v>45930</v>
      </c>
      <c r="C3495" s="213" t="s">
        <v>6186</v>
      </c>
      <c r="D3495" s="213" t="s">
        <v>4369</v>
      </c>
      <c r="E3495" s="213" t="s">
        <v>333</v>
      </c>
      <c r="F3495" s="212" t="s">
        <v>4365</v>
      </c>
      <c r="G3495" s="212" t="str">
        <f t="shared" si="163"/>
        <v>101현금</v>
      </c>
      <c r="H3495" s="214">
        <v>165000</v>
      </c>
      <c r="I3495" s="214">
        <v>0</v>
      </c>
      <c r="J3495" s="214">
        <f t="shared" si="164"/>
        <v>-165000</v>
      </c>
      <c r="K3495" s="212" t="s">
        <v>6223</v>
      </c>
      <c r="L3495" s="213"/>
      <c r="M3495" s="212" t="s">
        <v>6179</v>
      </c>
    </row>
    <row r="3496" spans="1:13" ht="21" customHeight="1">
      <c r="A3496" s="213" t="s">
        <v>6387</v>
      </c>
      <c r="B3496" s="215">
        <f t="shared" si="162"/>
        <v>45930</v>
      </c>
      <c r="C3496" s="213" t="s">
        <v>6189</v>
      </c>
      <c r="D3496" s="213" t="s">
        <v>4366</v>
      </c>
      <c r="E3496" s="213" t="s">
        <v>6176</v>
      </c>
      <c r="F3496" s="212" t="s">
        <v>6177</v>
      </c>
      <c r="G3496" s="212" t="str">
        <f t="shared" si="163"/>
        <v>255부가세예수금</v>
      </c>
      <c r="H3496" s="214">
        <v>0</v>
      </c>
      <c r="I3496" s="214">
        <v>10000</v>
      </c>
      <c r="J3496" s="214">
        <f t="shared" si="164"/>
        <v>10000</v>
      </c>
      <c r="K3496" s="212" t="s">
        <v>6226</v>
      </c>
      <c r="L3496" s="213"/>
      <c r="M3496" s="212" t="s">
        <v>6185</v>
      </c>
    </row>
    <row r="3497" spans="1:13" ht="21" customHeight="1">
      <c r="A3497" s="213" t="s">
        <v>6387</v>
      </c>
      <c r="B3497" s="215">
        <f t="shared" si="162"/>
        <v>45930</v>
      </c>
      <c r="C3497" s="213" t="s">
        <v>6189</v>
      </c>
      <c r="D3497" s="213" t="s">
        <v>4366</v>
      </c>
      <c r="E3497" s="213" t="s">
        <v>334</v>
      </c>
      <c r="F3497" s="212" t="s">
        <v>6158</v>
      </c>
      <c r="G3497" s="212" t="str">
        <f t="shared" si="163"/>
        <v>401용역매출</v>
      </c>
      <c r="H3497" s="214">
        <v>0</v>
      </c>
      <c r="I3497" s="214">
        <v>100000</v>
      </c>
      <c r="J3497" s="214">
        <f t="shared" si="164"/>
        <v>100000</v>
      </c>
      <c r="K3497" s="212" t="s">
        <v>6226</v>
      </c>
      <c r="L3497" s="213"/>
      <c r="M3497" s="212" t="s">
        <v>6185</v>
      </c>
    </row>
    <row r="3498" spans="1:13" ht="21" customHeight="1">
      <c r="A3498" s="213" t="s">
        <v>6387</v>
      </c>
      <c r="B3498" s="215">
        <f t="shared" si="162"/>
        <v>45930</v>
      </c>
      <c r="C3498" s="213" t="s">
        <v>6189</v>
      </c>
      <c r="D3498" s="213" t="s">
        <v>4369</v>
      </c>
      <c r="E3498" s="213" t="s">
        <v>333</v>
      </c>
      <c r="F3498" s="212" t="s">
        <v>4365</v>
      </c>
      <c r="G3498" s="212" t="str">
        <f t="shared" si="163"/>
        <v>101현금</v>
      </c>
      <c r="H3498" s="214">
        <v>110000</v>
      </c>
      <c r="I3498" s="214">
        <v>0</v>
      </c>
      <c r="J3498" s="214">
        <f t="shared" si="164"/>
        <v>-110000</v>
      </c>
      <c r="K3498" s="212" t="s">
        <v>6226</v>
      </c>
      <c r="L3498" s="213"/>
      <c r="M3498" s="212" t="s">
        <v>6185</v>
      </c>
    </row>
    <row r="3499" spans="1:13" ht="21" customHeight="1">
      <c r="A3499" s="213" t="s">
        <v>6387</v>
      </c>
      <c r="B3499" s="215">
        <f t="shared" si="162"/>
        <v>45930</v>
      </c>
      <c r="C3499" s="213" t="s">
        <v>6191</v>
      </c>
      <c r="D3499" s="213" t="s">
        <v>4366</v>
      </c>
      <c r="E3499" s="213" t="s">
        <v>6176</v>
      </c>
      <c r="F3499" s="212" t="s">
        <v>6177</v>
      </c>
      <c r="G3499" s="212" t="str">
        <f t="shared" si="163"/>
        <v>255부가세예수금</v>
      </c>
      <c r="H3499" s="214">
        <v>0</v>
      </c>
      <c r="I3499" s="214">
        <v>15000</v>
      </c>
      <c r="J3499" s="214">
        <f t="shared" si="164"/>
        <v>15000</v>
      </c>
      <c r="K3499" s="212" t="s">
        <v>6372</v>
      </c>
      <c r="L3499" s="213"/>
      <c r="M3499" s="212" t="s">
        <v>6179</v>
      </c>
    </row>
    <row r="3500" spans="1:13" ht="21" customHeight="1">
      <c r="A3500" s="213" t="s">
        <v>6387</v>
      </c>
      <c r="B3500" s="215">
        <f t="shared" si="162"/>
        <v>45930</v>
      </c>
      <c r="C3500" s="213" t="s">
        <v>6191</v>
      </c>
      <c r="D3500" s="213" t="s">
        <v>4366</v>
      </c>
      <c r="E3500" s="213" t="s">
        <v>334</v>
      </c>
      <c r="F3500" s="212" t="s">
        <v>6158</v>
      </c>
      <c r="G3500" s="212" t="str">
        <f t="shared" si="163"/>
        <v>401용역매출</v>
      </c>
      <c r="H3500" s="214">
        <v>0</v>
      </c>
      <c r="I3500" s="214">
        <v>150000</v>
      </c>
      <c r="J3500" s="214">
        <f t="shared" si="164"/>
        <v>150000</v>
      </c>
      <c r="K3500" s="212" t="s">
        <v>6372</v>
      </c>
      <c r="L3500" s="213"/>
      <c r="M3500" s="212" t="s">
        <v>6179</v>
      </c>
    </row>
    <row r="3501" spans="1:13" ht="21" customHeight="1">
      <c r="A3501" s="213" t="s">
        <v>6387</v>
      </c>
      <c r="B3501" s="215">
        <f t="shared" si="162"/>
        <v>45930</v>
      </c>
      <c r="C3501" s="213" t="s">
        <v>6191</v>
      </c>
      <c r="D3501" s="213" t="s">
        <v>4369</v>
      </c>
      <c r="E3501" s="213" t="s">
        <v>333</v>
      </c>
      <c r="F3501" s="212" t="s">
        <v>4365</v>
      </c>
      <c r="G3501" s="212" t="str">
        <f t="shared" si="163"/>
        <v>101현금</v>
      </c>
      <c r="H3501" s="214">
        <v>165000</v>
      </c>
      <c r="I3501" s="214">
        <v>0</v>
      </c>
      <c r="J3501" s="214">
        <f t="shared" si="164"/>
        <v>-165000</v>
      </c>
      <c r="K3501" s="212" t="s">
        <v>6372</v>
      </c>
      <c r="L3501" s="213"/>
      <c r="M3501" s="212" t="s">
        <v>6179</v>
      </c>
    </row>
    <row r="3502" spans="1:13" ht="21" customHeight="1">
      <c r="A3502" s="213" t="s">
        <v>6387</v>
      </c>
      <c r="B3502" s="215">
        <f t="shared" si="162"/>
        <v>45930</v>
      </c>
      <c r="C3502" s="213" t="s">
        <v>6216</v>
      </c>
      <c r="D3502" s="213" t="s">
        <v>4369</v>
      </c>
      <c r="E3502" s="213" t="s">
        <v>4371</v>
      </c>
      <c r="F3502" s="212" t="s">
        <v>4370</v>
      </c>
      <c r="G3502" s="212" t="str">
        <f t="shared" si="163"/>
        <v>135부가세대급금</v>
      </c>
      <c r="H3502" s="214">
        <v>10000</v>
      </c>
      <c r="I3502" s="214">
        <v>0</v>
      </c>
      <c r="J3502" s="214">
        <f t="shared" si="164"/>
        <v>-10000</v>
      </c>
      <c r="K3502" s="212" t="s">
        <v>6159</v>
      </c>
      <c r="L3502" s="213"/>
      <c r="M3502" s="212" t="s">
        <v>4364</v>
      </c>
    </row>
    <row r="3503" spans="1:13" ht="21" customHeight="1">
      <c r="A3503" s="213" t="s">
        <v>6387</v>
      </c>
      <c r="B3503" s="215">
        <f t="shared" si="162"/>
        <v>45930</v>
      </c>
      <c r="C3503" s="213" t="s">
        <v>6216</v>
      </c>
      <c r="D3503" s="213" t="s">
        <v>4369</v>
      </c>
      <c r="E3503" s="213" t="s">
        <v>4368</v>
      </c>
      <c r="F3503" s="212" t="s">
        <v>6388</v>
      </c>
      <c r="G3503" s="212" t="str">
        <f t="shared" si="163"/>
        <v>831지급수수료(판)</v>
      </c>
      <c r="H3503" s="214">
        <v>100000</v>
      </c>
      <c r="I3503" s="214">
        <v>0</v>
      </c>
      <c r="J3503" s="214">
        <f t="shared" si="164"/>
        <v>-100000</v>
      </c>
      <c r="K3503" s="212" t="s">
        <v>6159</v>
      </c>
      <c r="L3503" s="213"/>
      <c r="M3503" s="212" t="s">
        <v>4364</v>
      </c>
    </row>
    <row r="3504" spans="1:13" ht="21" customHeight="1">
      <c r="A3504" s="213" t="s">
        <v>6387</v>
      </c>
      <c r="B3504" s="215">
        <f t="shared" si="162"/>
        <v>45930</v>
      </c>
      <c r="C3504" s="213" t="s">
        <v>6216</v>
      </c>
      <c r="D3504" s="213" t="s">
        <v>4366</v>
      </c>
      <c r="E3504" s="213" t="s">
        <v>333</v>
      </c>
      <c r="F3504" s="212" t="s">
        <v>4365</v>
      </c>
      <c r="G3504" s="212" t="str">
        <f t="shared" si="163"/>
        <v>101현금</v>
      </c>
      <c r="H3504" s="214">
        <v>0</v>
      </c>
      <c r="I3504" s="214">
        <v>110000</v>
      </c>
      <c r="J3504" s="214">
        <f t="shared" si="164"/>
        <v>110000</v>
      </c>
      <c r="K3504" s="212" t="s">
        <v>6159</v>
      </c>
      <c r="L3504" s="213"/>
      <c r="M3504" s="212" t="s">
        <v>4364</v>
      </c>
    </row>
    <row r="3505" spans="1:13" ht="21" customHeight="1">
      <c r="A3505" s="213" t="s">
        <v>6387</v>
      </c>
      <c r="B3505" s="215">
        <f t="shared" si="162"/>
        <v>45930</v>
      </c>
      <c r="C3505" s="213" t="s">
        <v>6217</v>
      </c>
      <c r="D3505" s="213" t="s">
        <v>4369</v>
      </c>
      <c r="E3505" s="213" t="s">
        <v>4371</v>
      </c>
      <c r="F3505" s="212" t="s">
        <v>4370</v>
      </c>
      <c r="G3505" s="212" t="str">
        <f t="shared" si="163"/>
        <v>135부가세대급금</v>
      </c>
      <c r="H3505" s="214">
        <v>655</v>
      </c>
      <c r="I3505" s="214">
        <v>0</v>
      </c>
      <c r="J3505" s="214">
        <f t="shared" si="164"/>
        <v>-655</v>
      </c>
      <c r="K3505" s="212" t="s">
        <v>6274</v>
      </c>
      <c r="L3505" s="213"/>
      <c r="M3505" s="212" t="s">
        <v>6389</v>
      </c>
    </row>
    <row r="3506" spans="1:13" ht="21" customHeight="1">
      <c r="A3506" s="213" t="s">
        <v>6387</v>
      </c>
      <c r="B3506" s="215">
        <f t="shared" si="162"/>
        <v>45930</v>
      </c>
      <c r="C3506" s="213" t="s">
        <v>6217</v>
      </c>
      <c r="D3506" s="213" t="s">
        <v>4369</v>
      </c>
      <c r="E3506" s="213" t="s">
        <v>4368</v>
      </c>
      <c r="F3506" s="212" t="s">
        <v>6388</v>
      </c>
      <c r="G3506" s="212" t="str">
        <f t="shared" si="163"/>
        <v>831지급수수료(판)</v>
      </c>
      <c r="H3506" s="214">
        <v>6545</v>
      </c>
      <c r="I3506" s="214">
        <v>0</v>
      </c>
      <c r="J3506" s="214">
        <f t="shared" si="164"/>
        <v>-6545</v>
      </c>
      <c r="K3506" s="212" t="s">
        <v>6274</v>
      </c>
      <c r="L3506" s="213"/>
      <c r="M3506" s="212" t="s">
        <v>6389</v>
      </c>
    </row>
    <row r="3507" spans="1:13" ht="21" customHeight="1">
      <c r="A3507" s="213" t="s">
        <v>6387</v>
      </c>
      <c r="B3507" s="215">
        <f t="shared" si="162"/>
        <v>45930</v>
      </c>
      <c r="C3507" s="213" t="s">
        <v>6217</v>
      </c>
      <c r="D3507" s="213" t="s">
        <v>4366</v>
      </c>
      <c r="E3507" s="213" t="s">
        <v>333</v>
      </c>
      <c r="F3507" s="212" t="s">
        <v>4365</v>
      </c>
      <c r="G3507" s="212" t="str">
        <f t="shared" si="163"/>
        <v>101현금</v>
      </c>
      <c r="H3507" s="214">
        <v>0</v>
      </c>
      <c r="I3507" s="214">
        <v>7200</v>
      </c>
      <c r="J3507" s="214">
        <f t="shared" si="164"/>
        <v>7200</v>
      </c>
      <c r="K3507" s="212" t="s">
        <v>6274</v>
      </c>
      <c r="L3507" s="213"/>
      <c r="M3507" s="212" t="s">
        <v>6389</v>
      </c>
    </row>
    <row r="3508" spans="1:13" ht="21" customHeight="1">
      <c r="A3508" s="213" t="s">
        <v>6387</v>
      </c>
      <c r="B3508" s="215">
        <f t="shared" si="162"/>
        <v>45930</v>
      </c>
      <c r="C3508" s="213" t="s">
        <v>6218</v>
      </c>
      <c r="D3508" s="213" t="s">
        <v>4369</v>
      </c>
      <c r="E3508" s="213" t="s">
        <v>4371</v>
      </c>
      <c r="F3508" s="212" t="s">
        <v>4370</v>
      </c>
      <c r="G3508" s="212" t="str">
        <f t="shared" si="163"/>
        <v>135부가세대급금</v>
      </c>
      <c r="H3508" s="214">
        <v>4000</v>
      </c>
      <c r="I3508" s="214">
        <v>0</v>
      </c>
      <c r="J3508" s="214">
        <f t="shared" si="164"/>
        <v>-4000</v>
      </c>
      <c r="K3508" s="212" t="s">
        <v>6227</v>
      </c>
      <c r="L3508" s="213"/>
      <c r="M3508" s="212" t="s">
        <v>6340</v>
      </c>
    </row>
    <row r="3509" spans="1:13" ht="21" customHeight="1">
      <c r="A3509" s="213" t="s">
        <v>6387</v>
      </c>
      <c r="B3509" s="215">
        <f t="shared" si="162"/>
        <v>45930</v>
      </c>
      <c r="C3509" s="213" t="s">
        <v>6218</v>
      </c>
      <c r="D3509" s="213" t="s">
        <v>4369</v>
      </c>
      <c r="E3509" s="213" t="s">
        <v>4368</v>
      </c>
      <c r="F3509" s="212" t="s">
        <v>6388</v>
      </c>
      <c r="G3509" s="212" t="str">
        <f t="shared" si="163"/>
        <v>831지급수수료(판)</v>
      </c>
      <c r="H3509" s="214">
        <v>40000</v>
      </c>
      <c r="I3509" s="214">
        <v>0</v>
      </c>
      <c r="J3509" s="214">
        <f t="shared" si="164"/>
        <v>-40000</v>
      </c>
      <c r="K3509" s="212" t="s">
        <v>6227</v>
      </c>
      <c r="L3509" s="213"/>
      <c r="M3509" s="212" t="s">
        <v>6340</v>
      </c>
    </row>
    <row r="3510" spans="1:13" ht="21" customHeight="1">
      <c r="A3510" s="213" t="s">
        <v>6387</v>
      </c>
      <c r="B3510" s="215">
        <f t="shared" si="162"/>
        <v>45930</v>
      </c>
      <c r="C3510" s="213" t="s">
        <v>6218</v>
      </c>
      <c r="D3510" s="213" t="s">
        <v>4366</v>
      </c>
      <c r="E3510" s="213" t="s">
        <v>333</v>
      </c>
      <c r="F3510" s="212" t="s">
        <v>4365</v>
      </c>
      <c r="G3510" s="212" t="str">
        <f t="shared" si="163"/>
        <v>101현금</v>
      </c>
      <c r="H3510" s="214">
        <v>0</v>
      </c>
      <c r="I3510" s="214">
        <v>44000</v>
      </c>
      <c r="J3510" s="214">
        <f t="shared" si="164"/>
        <v>44000</v>
      </c>
      <c r="K3510" s="212" t="s">
        <v>6227</v>
      </c>
      <c r="L3510" s="213"/>
      <c r="M3510" s="212" t="s">
        <v>6340</v>
      </c>
    </row>
    <row r="3511" spans="1:13" ht="21" customHeight="1">
      <c r="A3511" s="213" t="s">
        <v>6387</v>
      </c>
      <c r="B3511" s="215">
        <f t="shared" si="162"/>
        <v>45930</v>
      </c>
      <c r="C3511" s="213" t="s">
        <v>6238</v>
      </c>
      <c r="D3511" s="213" t="s">
        <v>4369</v>
      </c>
      <c r="E3511" s="213" t="s">
        <v>4371</v>
      </c>
      <c r="F3511" s="212" t="s">
        <v>4370</v>
      </c>
      <c r="G3511" s="212" t="str">
        <f t="shared" si="163"/>
        <v>135부가세대급금</v>
      </c>
      <c r="H3511" s="214">
        <v>1205</v>
      </c>
      <c r="I3511" s="214">
        <v>0</v>
      </c>
      <c r="J3511" s="214">
        <f t="shared" si="164"/>
        <v>-1205</v>
      </c>
      <c r="K3511" s="212" t="s">
        <v>6227</v>
      </c>
      <c r="L3511" s="213"/>
      <c r="M3511" s="212" t="s">
        <v>6341</v>
      </c>
    </row>
    <row r="3512" spans="1:13" ht="21" customHeight="1">
      <c r="A3512" s="213" t="s">
        <v>6387</v>
      </c>
      <c r="B3512" s="215">
        <f t="shared" si="162"/>
        <v>45930</v>
      </c>
      <c r="C3512" s="213" t="s">
        <v>6238</v>
      </c>
      <c r="D3512" s="213" t="s">
        <v>4369</v>
      </c>
      <c r="E3512" s="213" t="s">
        <v>4368</v>
      </c>
      <c r="F3512" s="212" t="s">
        <v>6388</v>
      </c>
      <c r="G3512" s="212" t="str">
        <f t="shared" si="163"/>
        <v>831지급수수료(판)</v>
      </c>
      <c r="H3512" s="214">
        <v>12050</v>
      </c>
      <c r="I3512" s="214">
        <v>0</v>
      </c>
      <c r="J3512" s="214">
        <f t="shared" si="164"/>
        <v>-12050</v>
      </c>
      <c r="K3512" s="212" t="s">
        <v>6227</v>
      </c>
      <c r="L3512" s="213"/>
      <c r="M3512" s="212" t="s">
        <v>6341</v>
      </c>
    </row>
    <row r="3513" spans="1:13" ht="21" customHeight="1">
      <c r="A3513" s="213" t="s">
        <v>6387</v>
      </c>
      <c r="B3513" s="215">
        <f t="shared" si="162"/>
        <v>45930</v>
      </c>
      <c r="C3513" s="213" t="s">
        <v>6238</v>
      </c>
      <c r="D3513" s="213" t="s">
        <v>4366</v>
      </c>
      <c r="E3513" s="213" t="s">
        <v>333</v>
      </c>
      <c r="F3513" s="212" t="s">
        <v>4365</v>
      </c>
      <c r="G3513" s="212" t="str">
        <f t="shared" si="163"/>
        <v>101현금</v>
      </c>
      <c r="H3513" s="214">
        <v>0</v>
      </c>
      <c r="I3513" s="214">
        <v>13255</v>
      </c>
      <c r="J3513" s="214">
        <f t="shared" si="164"/>
        <v>13255</v>
      </c>
      <c r="K3513" s="212" t="s">
        <v>6227</v>
      </c>
      <c r="L3513" s="213"/>
      <c r="M3513" s="212" t="s">
        <v>6341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0883-37EF-4074-9AB7-0634774478FE}">
  <dimension ref="A3:K28"/>
  <sheetViews>
    <sheetView workbookViewId="0">
      <selection activeCell="B13" sqref="B13:J26"/>
    </sheetView>
  </sheetViews>
  <sheetFormatPr defaultRowHeight="12.75"/>
  <cols>
    <col min="1" max="1" width="25.875" style="220" bestFit="1" customWidth="1"/>
    <col min="2" max="2" width="10.5" style="220" bestFit="1" customWidth="1"/>
    <col min="3" max="4" width="9.875" style="220" bestFit="1" customWidth="1"/>
    <col min="5" max="5" width="9.25" style="220" bestFit="1" customWidth="1"/>
    <col min="6" max="6" width="8.875" style="220" bestFit="1" customWidth="1"/>
    <col min="7" max="7" width="9.875" style="220" bestFit="1" customWidth="1"/>
    <col min="8" max="8" width="9.25" style="220" bestFit="1" customWidth="1"/>
    <col min="9" max="9" width="9.875" style="220" bestFit="1" customWidth="1"/>
    <col min="10" max="10" width="8.875" style="220" bestFit="1" customWidth="1"/>
    <col min="11" max="11" width="10.25" style="220" bestFit="1" customWidth="1"/>
    <col min="12" max="16384" width="9" style="220"/>
  </cols>
  <sheetData>
    <row r="3" spans="1:11">
      <c r="A3" s="222" t="s">
        <v>4363</v>
      </c>
      <c r="B3" s="222" t="s">
        <v>4387</v>
      </c>
    </row>
    <row r="4" spans="1:11">
      <c r="B4" s="220" t="s">
        <v>4362</v>
      </c>
      <c r="C4" s="220" t="s">
        <v>4361</v>
      </c>
      <c r="D4" s="220" t="s">
        <v>4360</v>
      </c>
      <c r="E4" s="220" t="s">
        <v>4359</v>
      </c>
      <c r="F4" s="220" t="s">
        <v>4358</v>
      </c>
      <c r="G4" s="220" t="s">
        <v>4357</v>
      </c>
      <c r="H4" s="220" t="s">
        <v>4356</v>
      </c>
      <c r="I4" s="220" t="s">
        <v>4355</v>
      </c>
      <c r="J4" s="220" t="s">
        <v>4354</v>
      </c>
      <c r="K4" s="220" t="s">
        <v>4352</v>
      </c>
    </row>
    <row r="5" spans="1:11">
      <c r="A5" s="222" t="s">
        <v>4388</v>
      </c>
    </row>
    <row r="6" spans="1:11">
      <c r="A6" s="221" t="s">
        <v>6982</v>
      </c>
      <c r="B6" s="220">
        <v>889575</v>
      </c>
      <c r="C6" s="220">
        <v>-23727893</v>
      </c>
      <c r="D6" s="220">
        <v>-17745039</v>
      </c>
      <c r="E6" s="220">
        <v>-4521259</v>
      </c>
      <c r="F6" s="220">
        <v>-3631141</v>
      </c>
      <c r="G6" s="220">
        <v>-10735058</v>
      </c>
      <c r="H6" s="220">
        <v>-6871427</v>
      </c>
      <c r="I6" s="220">
        <v>-12973609</v>
      </c>
      <c r="J6" s="220">
        <v>-8538030</v>
      </c>
      <c r="K6" s="220">
        <v>-87853881</v>
      </c>
    </row>
    <row r="7" spans="1:11">
      <c r="A7" s="221" t="s">
        <v>6981</v>
      </c>
      <c r="B7" s="220">
        <v>-35479</v>
      </c>
      <c r="C7" s="220">
        <v>-248515</v>
      </c>
      <c r="D7" s="220">
        <v>-48551</v>
      </c>
      <c r="E7" s="220">
        <v>-132479</v>
      </c>
      <c r="F7" s="220">
        <v>-135871</v>
      </c>
      <c r="G7" s="220">
        <v>600895</v>
      </c>
      <c r="H7" s="220">
        <v>-19401</v>
      </c>
      <c r="I7" s="220">
        <v>-18924</v>
      </c>
      <c r="J7" s="220">
        <v>-19325</v>
      </c>
      <c r="K7" s="220">
        <v>-57650</v>
      </c>
    </row>
    <row r="8" spans="1:11">
      <c r="A8" s="221" t="s">
        <v>6980</v>
      </c>
      <c r="E8" s="220">
        <v>-3743000</v>
      </c>
      <c r="G8" s="220">
        <v>3743000</v>
      </c>
      <c r="K8" s="220">
        <v>0</v>
      </c>
    </row>
    <row r="9" spans="1:11">
      <c r="A9" s="221" t="s">
        <v>6979</v>
      </c>
      <c r="B9" s="220">
        <v>0</v>
      </c>
      <c r="C9" s="220">
        <v>0</v>
      </c>
      <c r="D9" s="220">
        <v>0</v>
      </c>
      <c r="E9" s="220">
        <v>0</v>
      </c>
      <c r="F9" s="220">
        <v>68060</v>
      </c>
      <c r="G9" s="220">
        <v>68060</v>
      </c>
      <c r="H9" s="220">
        <v>-359880</v>
      </c>
      <c r="I9" s="220">
        <v>-593070</v>
      </c>
      <c r="J9" s="220">
        <v>-593070</v>
      </c>
      <c r="K9" s="220">
        <v>-1409900</v>
      </c>
    </row>
    <row r="10" spans="1:11">
      <c r="A10" s="221" t="s">
        <v>6978</v>
      </c>
      <c r="B10" s="220">
        <v>767909</v>
      </c>
      <c r="C10" s="220">
        <v>2810091</v>
      </c>
      <c r="D10" s="220">
        <v>2036819</v>
      </c>
      <c r="E10" s="220">
        <v>1277910</v>
      </c>
      <c r="F10" s="220">
        <v>806001</v>
      </c>
      <c r="G10" s="220">
        <v>-7698730</v>
      </c>
      <c r="H10" s="220">
        <v>1125911</v>
      </c>
      <c r="I10" s="220">
        <v>1279822</v>
      </c>
      <c r="J10" s="220">
        <v>867365</v>
      </c>
      <c r="K10" s="220">
        <v>3273098</v>
      </c>
    </row>
    <row r="11" spans="1:11">
      <c r="A11" s="221" t="s">
        <v>6977</v>
      </c>
      <c r="B11" s="220">
        <v>-3926480</v>
      </c>
      <c r="G11" s="220">
        <v>4092930</v>
      </c>
      <c r="H11" s="220">
        <v>-4092930</v>
      </c>
      <c r="K11" s="220">
        <v>-3926480</v>
      </c>
    </row>
    <row r="12" spans="1:11">
      <c r="A12" s="221" t="s">
        <v>6342</v>
      </c>
      <c r="B12" s="220">
        <v>7679091</v>
      </c>
      <c r="C12" s="220">
        <v>28100909</v>
      </c>
      <c r="D12" s="220">
        <v>20368181</v>
      </c>
      <c r="E12" s="220">
        <v>12779090</v>
      </c>
      <c r="F12" s="220">
        <v>8059999</v>
      </c>
      <c r="G12" s="220">
        <v>14094544</v>
      </c>
      <c r="H12" s="220">
        <v>11259089</v>
      </c>
      <c r="I12" s="220">
        <v>12798178</v>
      </c>
      <c r="J12" s="220">
        <v>8673635</v>
      </c>
      <c r="K12" s="220">
        <v>123812716</v>
      </c>
    </row>
    <row r="13" spans="1:11">
      <c r="A13" s="221" t="s">
        <v>6976</v>
      </c>
      <c r="B13" s="220">
        <v>-1700000</v>
      </c>
      <c r="C13" s="220">
        <v>-1700000</v>
      </c>
      <c r="D13" s="220">
        <v>-1700000</v>
      </c>
      <c r="E13" s="220">
        <v>-1700000</v>
      </c>
      <c r="F13" s="220">
        <v>-1700000</v>
      </c>
      <c r="G13" s="220">
        <v>-1700000</v>
      </c>
      <c r="K13" s="220">
        <v>-10200000</v>
      </c>
    </row>
    <row r="14" spans="1:11">
      <c r="A14" s="221" t="s">
        <v>6975</v>
      </c>
      <c r="B14" s="220">
        <v>-130075</v>
      </c>
      <c r="C14" s="220">
        <v>-494773</v>
      </c>
      <c r="D14" s="220">
        <v>-530423</v>
      </c>
      <c r="E14" s="220">
        <v>-456205</v>
      </c>
      <c r="F14" s="220">
        <v>-549550</v>
      </c>
      <c r="G14" s="220">
        <v>-359405</v>
      </c>
      <c r="K14" s="220">
        <v>-2520431</v>
      </c>
    </row>
    <row r="15" spans="1:11">
      <c r="A15" s="221" t="s">
        <v>6974</v>
      </c>
      <c r="B15" s="220">
        <v>-333100</v>
      </c>
      <c r="C15" s="220">
        <v>-321731</v>
      </c>
      <c r="D15" s="220">
        <v>-177850</v>
      </c>
      <c r="E15" s="220">
        <v>-373053</v>
      </c>
      <c r="F15" s="220">
        <v>-175845</v>
      </c>
      <c r="G15" s="220">
        <v>-183080</v>
      </c>
      <c r="K15" s="220">
        <v>-1564659</v>
      </c>
    </row>
    <row r="16" spans="1:11">
      <c r="A16" s="221" t="s">
        <v>6973</v>
      </c>
      <c r="B16" s="220">
        <v>-75900</v>
      </c>
      <c r="C16" s="220">
        <v>-249700</v>
      </c>
      <c r="D16" s="220">
        <v>-91500</v>
      </c>
      <c r="E16" s="220">
        <v>-214700</v>
      </c>
      <c r="F16" s="220">
        <v>-138500</v>
      </c>
      <c r="G16" s="220">
        <v>-201700</v>
      </c>
      <c r="K16" s="220">
        <v>-972000</v>
      </c>
    </row>
    <row r="17" spans="1:11">
      <c r="A17" s="221" t="s">
        <v>6972</v>
      </c>
      <c r="B17" s="220">
        <v>-38381</v>
      </c>
      <c r="C17" s="220">
        <v>-36299</v>
      </c>
      <c r="D17" s="220">
        <v>-37392</v>
      </c>
      <c r="E17" s="220">
        <v>-39691</v>
      </c>
      <c r="F17" s="220">
        <v>-39930</v>
      </c>
      <c r="G17" s="220">
        <v>-38297</v>
      </c>
      <c r="H17" s="220">
        <v>-34444</v>
      </c>
      <c r="I17" s="220">
        <v>-32315</v>
      </c>
      <c r="J17" s="220">
        <v>-34650</v>
      </c>
      <c r="K17" s="220">
        <v>-331399</v>
      </c>
    </row>
    <row r="18" spans="1:11">
      <c r="A18" s="221" t="s">
        <v>6971</v>
      </c>
      <c r="B18" s="220">
        <v>-1170890</v>
      </c>
      <c r="C18" s="220">
        <v>-149400</v>
      </c>
      <c r="D18" s="220">
        <v>-149400</v>
      </c>
      <c r="E18" s="220">
        <v>-149400</v>
      </c>
      <c r="F18" s="220">
        <v>-149400</v>
      </c>
      <c r="G18" s="220">
        <v>-149400</v>
      </c>
      <c r="H18" s="220">
        <v>-149400</v>
      </c>
      <c r="I18" s="220">
        <v>-93750</v>
      </c>
      <c r="K18" s="220">
        <v>-2161040</v>
      </c>
    </row>
    <row r="19" spans="1:11">
      <c r="A19" s="221" t="s">
        <v>6970</v>
      </c>
      <c r="B19" s="220">
        <v>-823630</v>
      </c>
      <c r="C19" s="220">
        <v>-823630</v>
      </c>
      <c r="D19" s="220">
        <v>-663710</v>
      </c>
      <c r="E19" s="220">
        <v>-663710</v>
      </c>
      <c r="F19" s="220">
        <v>-8050</v>
      </c>
      <c r="G19" s="220">
        <v>-8050</v>
      </c>
      <c r="H19" s="220">
        <v>-516310</v>
      </c>
      <c r="K19" s="220">
        <v>-3507090</v>
      </c>
    </row>
    <row r="20" spans="1:11">
      <c r="A20" s="221" t="s">
        <v>6969</v>
      </c>
      <c r="B20" s="220">
        <v>-205500</v>
      </c>
      <c r="C20" s="220">
        <v>-105500</v>
      </c>
      <c r="D20" s="220">
        <v>-205500</v>
      </c>
      <c r="E20" s="220">
        <v>-260500</v>
      </c>
      <c r="F20" s="220">
        <v>-362500</v>
      </c>
      <c r="G20" s="220">
        <v>-325500</v>
      </c>
      <c r="H20" s="220">
        <v>-5500</v>
      </c>
      <c r="I20" s="220">
        <v>-5500</v>
      </c>
      <c r="J20" s="220">
        <v>-5500</v>
      </c>
      <c r="K20" s="220">
        <v>-1481500</v>
      </c>
    </row>
    <row r="21" spans="1:11">
      <c r="A21" s="221" t="s">
        <v>6968</v>
      </c>
      <c r="B21" s="220">
        <v>-13820</v>
      </c>
      <c r="C21" s="220">
        <v>-18560</v>
      </c>
      <c r="D21" s="220">
        <v>-9160</v>
      </c>
      <c r="E21" s="220">
        <v>-23740</v>
      </c>
      <c r="F21" s="220">
        <v>-20000</v>
      </c>
      <c r="G21" s="220">
        <v>-4280</v>
      </c>
      <c r="K21" s="220">
        <v>-89560</v>
      </c>
    </row>
    <row r="22" spans="1:11">
      <c r="A22" s="221" t="s">
        <v>6967</v>
      </c>
      <c r="B22" s="220">
        <v>-68300</v>
      </c>
      <c r="D22" s="220">
        <v>-30000</v>
      </c>
      <c r="E22" s="220">
        <v>-18800</v>
      </c>
      <c r="G22" s="220">
        <v>-29300</v>
      </c>
      <c r="K22" s="220">
        <v>-146400</v>
      </c>
    </row>
    <row r="23" spans="1:11">
      <c r="A23" s="221" t="s">
        <v>6966</v>
      </c>
      <c r="B23" s="220">
        <v>-396603</v>
      </c>
      <c r="C23" s="220">
        <v>-807319</v>
      </c>
      <c r="D23" s="220">
        <v>-596073</v>
      </c>
      <c r="E23" s="220">
        <v>-1354692</v>
      </c>
      <c r="F23" s="220">
        <v>-847876</v>
      </c>
      <c r="G23" s="220">
        <v>-1408032</v>
      </c>
      <c r="K23" s="220">
        <v>-5410595</v>
      </c>
    </row>
    <row r="24" spans="1:11">
      <c r="A24" s="221" t="s">
        <v>6965</v>
      </c>
      <c r="B24" s="220">
        <v>-236997</v>
      </c>
      <c r="C24" s="220">
        <v>-2047420</v>
      </c>
      <c r="D24" s="220">
        <v>-227902</v>
      </c>
      <c r="E24" s="220">
        <v>-234001</v>
      </c>
      <c r="F24" s="220">
        <v>-1017617</v>
      </c>
      <c r="G24" s="220">
        <v>-236306</v>
      </c>
      <c r="H24" s="220">
        <v>-159568</v>
      </c>
      <c r="I24" s="220">
        <v>-156932</v>
      </c>
      <c r="J24" s="220">
        <v>-158595</v>
      </c>
      <c r="K24" s="220">
        <v>-4475338</v>
      </c>
    </row>
    <row r="25" spans="1:11">
      <c r="A25" s="221" t="s">
        <v>6964</v>
      </c>
      <c r="D25" s="220">
        <v>-1110</v>
      </c>
      <c r="K25" s="220">
        <v>-1110</v>
      </c>
    </row>
    <row r="26" spans="1:11">
      <c r="A26" s="221" t="s">
        <v>6963</v>
      </c>
      <c r="B26" s="220">
        <v>-181420</v>
      </c>
      <c r="C26" s="220">
        <v>-180260</v>
      </c>
      <c r="D26" s="220">
        <v>-191390</v>
      </c>
      <c r="E26" s="220">
        <v>-171770</v>
      </c>
      <c r="F26" s="220">
        <v>-157780</v>
      </c>
      <c r="G26" s="220">
        <v>-157360</v>
      </c>
      <c r="H26" s="220">
        <v>-176140</v>
      </c>
      <c r="I26" s="220">
        <v>-203900</v>
      </c>
      <c r="J26" s="220">
        <v>-191830</v>
      </c>
      <c r="K26" s="220">
        <v>-1611850</v>
      </c>
    </row>
    <row r="27" spans="1:11">
      <c r="A27" s="221" t="s">
        <v>6343</v>
      </c>
      <c r="G27" s="220">
        <v>635069</v>
      </c>
      <c r="K27" s="220">
        <v>635069</v>
      </c>
    </row>
    <row r="28" spans="1:11">
      <c r="A28" s="221" t="s">
        <v>4352</v>
      </c>
      <c r="B28" s="220">
        <v>0</v>
      </c>
      <c r="C28" s="220">
        <v>0</v>
      </c>
      <c r="D28" s="220">
        <v>0</v>
      </c>
      <c r="E28" s="220">
        <v>0</v>
      </c>
      <c r="F28" s="220">
        <v>0</v>
      </c>
      <c r="G28" s="220">
        <v>0</v>
      </c>
      <c r="H28" s="220">
        <v>0</v>
      </c>
      <c r="I28" s="220">
        <v>0</v>
      </c>
      <c r="J28" s="220">
        <v>0</v>
      </c>
      <c r="K28" s="220"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51AD-92F1-46F9-9172-EA020D19E7B4}">
  <sheetPr codeName="Sheet9"/>
  <dimension ref="A1:U264"/>
  <sheetViews>
    <sheetView zoomScaleNormal="100" workbookViewId="0">
      <pane xSplit="2" topLeftCell="C1" activePane="topRight" state="frozen"/>
      <selection pane="topRight" activeCell="Q31" sqref="Q31"/>
    </sheetView>
  </sheetViews>
  <sheetFormatPr defaultRowHeight="16.5"/>
  <cols>
    <col min="1" max="1" width="17.75" customWidth="1"/>
    <col min="2" max="2" width="18.5" customWidth="1"/>
    <col min="3" max="11" width="13.125" style="68" customWidth="1"/>
    <col min="12" max="13" width="13.125" style="68" hidden="1" customWidth="1"/>
    <col min="14" max="14" width="13.875" style="85" customWidth="1"/>
    <col min="15" max="15" width="6" style="7" hidden="1" customWidth="1"/>
    <col min="16" max="16" width="16.75" style="7" bestFit="1" customWidth="1"/>
    <col min="17" max="17" width="15.375" style="85" customWidth="1"/>
    <col min="19" max="19" width="10.5" bestFit="1" customWidth="1"/>
  </cols>
  <sheetData>
    <row r="1" spans="1:21"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199" t="s">
        <v>6162</v>
      </c>
      <c r="O1" s="58"/>
      <c r="P1" s="58"/>
      <c r="Q1" s="58"/>
    </row>
    <row r="2" spans="1:21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199" t="s">
        <v>6163</v>
      </c>
      <c r="O2" s="58"/>
      <c r="P2" s="58" t="s">
        <v>6384</v>
      </c>
      <c r="Q2" s="58"/>
    </row>
    <row r="3" spans="1:21">
      <c r="A3" s="74" t="s">
        <v>6348</v>
      </c>
      <c r="C3" s="75">
        <v>1</v>
      </c>
      <c r="D3" s="75">
        <v>2</v>
      </c>
      <c r="E3" s="75">
        <v>3</v>
      </c>
      <c r="F3" s="75">
        <v>4</v>
      </c>
      <c r="G3" s="75">
        <v>5</v>
      </c>
      <c r="H3" s="75">
        <v>6</v>
      </c>
      <c r="I3" s="75">
        <v>7</v>
      </c>
      <c r="J3" s="75">
        <v>8</v>
      </c>
      <c r="K3" s="75">
        <v>9</v>
      </c>
      <c r="L3" s="76">
        <v>10</v>
      </c>
      <c r="M3" s="76">
        <v>11</v>
      </c>
      <c r="N3" s="86" t="s">
        <v>4348</v>
      </c>
      <c r="O3" s="71">
        <v>12</v>
      </c>
      <c r="P3" s="71" t="s">
        <v>4349</v>
      </c>
      <c r="Q3" s="86" t="s">
        <v>95</v>
      </c>
    </row>
    <row r="4" spans="1:21">
      <c r="A4" t="s">
        <v>6161</v>
      </c>
      <c r="C4" s="71">
        <v>7679091</v>
      </c>
      <c r="D4" s="71">
        <v>28100909</v>
      </c>
      <c r="E4" s="71">
        <v>20368181</v>
      </c>
      <c r="F4" s="71">
        <v>12779090</v>
      </c>
      <c r="G4" s="71">
        <v>8059999</v>
      </c>
      <c r="H4" s="71">
        <v>14094544</v>
      </c>
      <c r="I4" s="71">
        <v>11259089</v>
      </c>
      <c r="J4" s="71">
        <v>12798178</v>
      </c>
      <c r="K4" s="71">
        <v>8673635</v>
      </c>
      <c r="L4" s="77"/>
      <c r="M4" s="77"/>
      <c r="N4" s="86">
        <f>SUM(C4:M4)</f>
        <v>123812716</v>
      </c>
      <c r="O4" s="71"/>
      <c r="P4" s="78">
        <f>N4/9*3</f>
        <v>41270905.333333328</v>
      </c>
      <c r="Q4" s="86">
        <f>N4+P4</f>
        <v>165083621.33333331</v>
      </c>
    </row>
    <row r="5" spans="1:21">
      <c r="C5" s="71"/>
      <c r="D5" s="71"/>
      <c r="E5" s="71"/>
      <c r="F5" s="71"/>
      <c r="G5" s="71"/>
      <c r="H5" s="71"/>
      <c r="I5" s="71"/>
      <c r="J5" s="71"/>
      <c r="K5" s="71"/>
      <c r="L5" s="77"/>
      <c r="M5" s="77"/>
      <c r="N5" s="86"/>
      <c r="O5" s="71"/>
      <c r="P5" s="78"/>
      <c r="Q5" s="86"/>
    </row>
    <row r="6" spans="1:21" ht="17.25" thickBot="1">
      <c r="C6" s="76"/>
      <c r="D6" s="76"/>
      <c r="E6" s="76"/>
      <c r="F6" s="76"/>
      <c r="G6" s="76"/>
      <c r="H6" s="76"/>
      <c r="I6" s="76"/>
      <c r="J6" s="76"/>
      <c r="K6" s="76"/>
      <c r="L6" s="79"/>
      <c r="M6" s="79"/>
      <c r="N6" s="86"/>
      <c r="O6" s="71"/>
      <c r="P6" s="78"/>
      <c r="Q6" s="86"/>
    </row>
    <row r="7" spans="1:21" ht="17.25" thickBot="1">
      <c r="A7" s="200" t="s">
        <v>4347</v>
      </c>
      <c r="B7" s="200"/>
      <c r="C7" s="201">
        <f t="shared" ref="C7:K7" si="0">SUM(C4:C6)</f>
        <v>7679091</v>
      </c>
      <c r="D7" s="201">
        <f t="shared" si="0"/>
        <v>28100909</v>
      </c>
      <c r="E7" s="201">
        <f t="shared" si="0"/>
        <v>20368181</v>
      </c>
      <c r="F7" s="201">
        <f t="shared" si="0"/>
        <v>12779090</v>
      </c>
      <c r="G7" s="201">
        <f t="shared" si="0"/>
        <v>8059999</v>
      </c>
      <c r="H7" s="201">
        <f t="shared" si="0"/>
        <v>14094544</v>
      </c>
      <c r="I7" s="201">
        <f t="shared" si="0"/>
        <v>11259089</v>
      </c>
      <c r="J7" s="201">
        <f t="shared" si="0"/>
        <v>12798178</v>
      </c>
      <c r="K7" s="201">
        <f t="shared" si="0"/>
        <v>8673635</v>
      </c>
      <c r="L7" s="201">
        <f>SUM(L4:L4)</f>
        <v>0</v>
      </c>
      <c r="M7" s="201">
        <f>SUM(M4:M4)</f>
        <v>0</v>
      </c>
      <c r="N7" s="202">
        <f>SUM(N4:N6)</f>
        <v>123812716</v>
      </c>
      <c r="O7" s="203">
        <f>SUM(O4:O4)</f>
        <v>0</v>
      </c>
      <c r="P7" s="204">
        <f>SUM(P4:P6)</f>
        <v>41270905.333333328</v>
      </c>
      <c r="Q7" s="205">
        <f>SUM(Q4:Q6)</f>
        <v>165083621.33333331</v>
      </c>
    </row>
    <row r="9" spans="1:21" ht="17.25" thickBot="1"/>
    <row r="10" spans="1:21" ht="17.25" thickBot="1">
      <c r="A10" s="97" t="s">
        <v>4351</v>
      </c>
      <c r="B10" s="94" t="s">
        <v>93</v>
      </c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6"/>
      <c r="O10" s="96"/>
      <c r="P10" s="96"/>
      <c r="Q10" s="99">
        <f>Q11+Q12+Q13+Q14</f>
        <v>-89854001.790123463</v>
      </c>
    </row>
    <row r="11" spans="1:21">
      <c r="A11" t="s">
        <v>4526</v>
      </c>
      <c r="B11" t="s">
        <v>96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58"/>
      <c r="O11" s="58"/>
      <c r="P11" s="58"/>
      <c r="Q11" s="98">
        <v>-6160000</v>
      </c>
    </row>
    <row r="12" spans="1:21">
      <c r="A12" t="s">
        <v>4527</v>
      </c>
      <c r="B12" t="s">
        <v>96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58"/>
      <c r="O12" s="58"/>
      <c r="P12" s="58"/>
      <c r="Q12" s="98"/>
    </row>
    <row r="13" spans="1:21">
      <c r="A13" t="s">
        <v>4346</v>
      </c>
      <c r="B13" t="s">
        <v>96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58"/>
      <c r="O13" s="58"/>
      <c r="P13" s="58"/>
      <c r="Q13" s="98">
        <v>0</v>
      </c>
    </row>
    <row r="14" spans="1:21">
      <c r="A14" s="92" t="s">
        <v>4350</v>
      </c>
      <c r="B14" s="89"/>
      <c r="C14" s="93">
        <f>SUM(C15:C28)</f>
        <v>-5374616</v>
      </c>
      <c r="D14" s="93">
        <f t="shared" ref="D14:K14" si="1">SUM(D15:D28)</f>
        <v>-6934592</v>
      </c>
      <c r="E14" s="93">
        <f t="shared" si="1"/>
        <v>-4611410</v>
      </c>
      <c r="F14" s="93">
        <f t="shared" si="1"/>
        <v>-5660262</v>
      </c>
      <c r="G14" s="93">
        <f t="shared" si="1"/>
        <v>-5167048</v>
      </c>
      <c r="H14" s="93">
        <f t="shared" si="1"/>
        <v>-4800710</v>
      </c>
      <c r="I14" s="93">
        <f t="shared" si="1"/>
        <v>-4993115.333333334</v>
      </c>
      <c r="J14" s="93">
        <f t="shared" si="1"/>
        <v>-5219537.388888889</v>
      </c>
      <c r="K14" s="93">
        <f t="shared" si="1"/>
        <v>-4992605.6203703703</v>
      </c>
      <c r="L14" s="90"/>
      <c r="M14" s="90"/>
      <c r="N14" s="93">
        <f>SUM(N15:N35)</f>
        <v>-47753896.342592597</v>
      </c>
      <c r="O14" s="91"/>
      <c r="P14" s="93">
        <f t="shared" ref="P14" si="2">SUM(P15:P28)</f>
        <v>-15940105.447530866</v>
      </c>
      <c r="Q14" s="93">
        <f>SUM(Q15:Q32)</f>
        <v>-83694001.790123463</v>
      </c>
      <c r="R14">
        <f>Q14/Q7</f>
        <v>-0.50697943935413392</v>
      </c>
    </row>
    <row r="15" spans="1:21">
      <c r="A15" s="73" t="s">
        <v>6976</v>
      </c>
      <c r="C15" s="100">
        <v>-1700000</v>
      </c>
      <c r="D15" s="100">
        <v>-1700000</v>
      </c>
      <c r="E15" s="100">
        <v>-1700000</v>
      </c>
      <c r="F15" s="100">
        <v>-1700000</v>
      </c>
      <c r="G15" s="100">
        <v>-1700000</v>
      </c>
      <c r="H15" s="100">
        <v>-1700000</v>
      </c>
      <c r="I15" s="206">
        <v>-1700000</v>
      </c>
      <c r="J15" s="206">
        <v>-1700000</v>
      </c>
      <c r="K15" s="206">
        <v>-1700000</v>
      </c>
      <c r="L15" s="80"/>
      <c r="M15" s="80"/>
      <c r="N15" s="85">
        <f t="shared" ref="N15:N35" si="3">SUM(C15:K15)</f>
        <v>-15300000</v>
      </c>
      <c r="P15" s="88">
        <f t="shared" ref="P15:P28" si="4">N15/9*3</f>
        <v>-5100000</v>
      </c>
      <c r="Q15" s="87">
        <f>N15+P15</f>
        <v>-20400000</v>
      </c>
      <c r="R15" s="82">
        <f t="shared" ref="R15:R35" si="5">Q15/$Q$7</f>
        <v>-0.12357373696575723</v>
      </c>
      <c r="U15" t="s">
        <v>93</v>
      </c>
    </row>
    <row r="16" spans="1:21">
      <c r="A16" s="73" t="s">
        <v>6975</v>
      </c>
      <c r="C16" s="100">
        <v>-130075</v>
      </c>
      <c r="D16" s="100">
        <v>-494773</v>
      </c>
      <c r="E16" s="100">
        <v>-530423</v>
      </c>
      <c r="F16" s="100">
        <v>-456205</v>
      </c>
      <c r="G16" s="100">
        <v>-549550</v>
      </c>
      <c r="H16" s="100">
        <v>-359405</v>
      </c>
      <c r="I16" s="206">
        <f t="shared" ref="I16:K18" si="6">SUM(C16:H16)/6</f>
        <v>-420071.83333333331</v>
      </c>
      <c r="J16" s="206">
        <f t="shared" si="6"/>
        <v>-468404.63888888893</v>
      </c>
      <c r="K16" s="206">
        <f t="shared" si="6"/>
        <v>-464009.91203703708</v>
      </c>
      <c r="L16" s="80"/>
      <c r="M16" s="80"/>
      <c r="N16" s="85">
        <f t="shared" si="3"/>
        <v>-3872917.3842592593</v>
      </c>
      <c r="P16" s="88">
        <f t="shared" si="4"/>
        <v>-1290972.461419753</v>
      </c>
      <c r="Q16" s="87">
        <f t="shared" ref="Q16:Q30" si="7">N16+P16</f>
        <v>-5163889.8456790121</v>
      </c>
      <c r="R16" s="82"/>
      <c r="S16" s="23"/>
    </row>
    <row r="17" spans="1:19">
      <c r="A17" s="73" t="s">
        <v>6974</v>
      </c>
      <c r="C17" s="100">
        <v>-333100</v>
      </c>
      <c r="D17" s="100">
        <v>-321731</v>
      </c>
      <c r="E17" s="100">
        <v>-177850</v>
      </c>
      <c r="F17" s="100">
        <v>-373053</v>
      </c>
      <c r="G17" s="100">
        <v>-175845</v>
      </c>
      <c r="H17" s="100">
        <v>-183080</v>
      </c>
      <c r="I17" s="206">
        <f t="shared" si="6"/>
        <v>-260776.5</v>
      </c>
      <c r="J17" s="206">
        <f t="shared" si="6"/>
        <v>-248722.58333333334</v>
      </c>
      <c r="K17" s="206">
        <f t="shared" si="6"/>
        <v>-236554.51388888888</v>
      </c>
      <c r="L17" s="80"/>
      <c r="M17" s="80"/>
      <c r="N17" s="85">
        <f t="shared" si="3"/>
        <v>-2310712.597222222</v>
      </c>
      <c r="P17" s="88">
        <f t="shared" si="4"/>
        <v>-770237.5324074073</v>
      </c>
      <c r="Q17" s="87">
        <f t="shared" si="7"/>
        <v>-3080950.1296296292</v>
      </c>
      <c r="R17" s="82">
        <f t="shared" si="5"/>
        <v>-1.8662966711934677E-2</v>
      </c>
      <c r="S17" s="82"/>
    </row>
    <row r="18" spans="1:19">
      <c r="A18" s="73" t="s">
        <v>6973</v>
      </c>
      <c r="C18" s="100">
        <v>-75900</v>
      </c>
      <c r="D18" s="100">
        <v>-249700</v>
      </c>
      <c r="E18" s="100">
        <v>-91500</v>
      </c>
      <c r="F18" s="100">
        <v>-214700</v>
      </c>
      <c r="G18" s="100">
        <v>-138500</v>
      </c>
      <c r="H18" s="100">
        <v>-201700</v>
      </c>
      <c r="I18" s="206">
        <f t="shared" si="6"/>
        <v>-162000</v>
      </c>
      <c r="J18" s="206">
        <f t="shared" si="6"/>
        <v>-176350</v>
      </c>
      <c r="K18" s="206">
        <f t="shared" si="6"/>
        <v>-164125</v>
      </c>
      <c r="L18" s="80"/>
      <c r="M18" s="80"/>
      <c r="N18" s="85">
        <f t="shared" si="3"/>
        <v>-1474475</v>
      </c>
      <c r="P18" s="88">
        <f t="shared" si="4"/>
        <v>-491491.66666666669</v>
      </c>
      <c r="Q18" s="87">
        <f t="shared" si="7"/>
        <v>-1965966.6666666667</v>
      </c>
      <c r="R18" s="82">
        <f t="shared" si="5"/>
        <v>-1.1908914105397706E-2</v>
      </c>
    </row>
    <row r="19" spans="1:19">
      <c r="A19" s="73" t="s">
        <v>6972</v>
      </c>
      <c r="C19" s="100">
        <v>-38381</v>
      </c>
      <c r="D19" s="100">
        <v>-36299</v>
      </c>
      <c r="E19" s="100">
        <v>-37392</v>
      </c>
      <c r="F19" s="100">
        <v>-39691</v>
      </c>
      <c r="G19" s="100">
        <v>-39930</v>
      </c>
      <c r="H19" s="100">
        <v>-38297</v>
      </c>
      <c r="I19" s="100">
        <v>-34444</v>
      </c>
      <c r="J19" s="100">
        <v>-32315</v>
      </c>
      <c r="K19" s="100">
        <v>-34650</v>
      </c>
      <c r="L19" s="80"/>
      <c r="M19" s="80"/>
      <c r="N19" s="85">
        <f t="shared" si="3"/>
        <v>-331399</v>
      </c>
      <c r="P19" s="88">
        <f t="shared" si="4"/>
        <v>-110466.33333333333</v>
      </c>
      <c r="Q19" s="87">
        <f t="shared" si="7"/>
        <v>-441865.33333333331</v>
      </c>
      <c r="R19" s="82">
        <f t="shared" si="5"/>
        <v>-2.6766152193931358E-3</v>
      </c>
    </row>
    <row r="20" spans="1:19">
      <c r="A20" s="73" t="s">
        <v>6971</v>
      </c>
      <c r="C20" s="100">
        <v>-1170890</v>
      </c>
      <c r="D20" s="100">
        <v>-149400</v>
      </c>
      <c r="E20" s="100">
        <v>-149400</v>
      </c>
      <c r="F20" s="100">
        <v>-149400</v>
      </c>
      <c r="G20" s="100">
        <v>-149400</v>
      </c>
      <c r="H20" s="100">
        <v>-149400</v>
      </c>
      <c r="I20" s="206">
        <v>-149400</v>
      </c>
      <c r="J20" s="206">
        <v>-149400</v>
      </c>
      <c r="K20" s="206">
        <v>-149400</v>
      </c>
      <c r="L20" s="80"/>
      <c r="M20" s="80"/>
      <c r="N20" s="85">
        <f t="shared" si="3"/>
        <v>-2366090</v>
      </c>
      <c r="P20" s="88">
        <f t="shared" si="4"/>
        <v>-788696.66666666663</v>
      </c>
      <c r="Q20" s="87">
        <f t="shared" si="7"/>
        <v>-3154786.6666666665</v>
      </c>
      <c r="R20" s="82">
        <f t="shared" si="5"/>
        <v>-1.9110234202438466E-2</v>
      </c>
      <c r="S20" t="s">
        <v>93</v>
      </c>
    </row>
    <row r="21" spans="1:19">
      <c r="A21" s="73" t="s">
        <v>6970</v>
      </c>
      <c r="C21" s="100">
        <v>-823630</v>
      </c>
      <c r="D21" s="100">
        <v>-823630</v>
      </c>
      <c r="E21" s="100">
        <v>-663710</v>
      </c>
      <c r="F21" s="100">
        <v>-663710</v>
      </c>
      <c r="G21" s="100">
        <v>-8050</v>
      </c>
      <c r="H21" s="100">
        <v>-8050</v>
      </c>
      <c r="I21" s="100">
        <v>-516310</v>
      </c>
      <c r="J21" s="206">
        <v>-510660</v>
      </c>
      <c r="K21" s="206">
        <v>-510660</v>
      </c>
      <c r="L21" s="80"/>
      <c r="M21" s="80"/>
      <c r="N21" s="85">
        <f t="shared" si="3"/>
        <v>-4528410</v>
      </c>
      <c r="P21" s="88">
        <f>K21*3</f>
        <v>-1531980</v>
      </c>
      <c r="Q21" s="87">
        <f t="shared" si="7"/>
        <v>-6060390</v>
      </c>
      <c r="R21" s="82">
        <f t="shared" si="5"/>
        <v>-3.6711031361269873E-2</v>
      </c>
    </row>
    <row r="22" spans="1:19">
      <c r="A22" s="73" t="s">
        <v>6969</v>
      </c>
      <c r="C22" s="100">
        <v>-205500</v>
      </c>
      <c r="D22" s="100">
        <v>-105500</v>
      </c>
      <c r="E22" s="100">
        <v>-205500</v>
      </c>
      <c r="F22" s="100">
        <v>-260500</v>
      </c>
      <c r="G22" s="100">
        <v>-362500</v>
      </c>
      <c r="H22" s="100">
        <v>-325500</v>
      </c>
      <c r="I22" s="100">
        <v>-5500</v>
      </c>
      <c r="J22" s="100">
        <v>-5500</v>
      </c>
      <c r="K22" s="100">
        <v>-5500</v>
      </c>
      <c r="L22" s="80"/>
      <c r="M22" s="80"/>
      <c r="N22" s="85">
        <f t="shared" si="3"/>
        <v>-1481500</v>
      </c>
      <c r="P22" s="88">
        <f t="shared" si="4"/>
        <v>-493833.33333333337</v>
      </c>
      <c r="Q22" s="87">
        <f t="shared" si="7"/>
        <v>-1975333.3333333335</v>
      </c>
      <c r="R22" s="82">
        <f t="shared" si="5"/>
        <v>-1.1965653027109108E-2</v>
      </c>
    </row>
    <row r="23" spans="1:19">
      <c r="A23" s="73" t="s">
        <v>6968</v>
      </c>
      <c r="C23" s="100">
        <v>-13820</v>
      </c>
      <c r="D23" s="100">
        <v>-18560</v>
      </c>
      <c r="E23" s="100">
        <v>-9160</v>
      </c>
      <c r="F23" s="100">
        <v>-23740</v>
      </c>
      <c r="G23" s="100">
        <v>-20000</v>
      </c>
      <c r="H23" s="100">
        <v>-4280</v>
      </c>
      <c r="I23" s="100"/>
      <c r="J23" s="100"/>
      <c r="K23" s="100"/>
      <c r="L23" s="80"/>
      <c r="M23" s="80"/>
      <c r="N23" s="85">
        <f t="shared" si="3"/>
        <v>-89560</v>
      </c>
      <c r="P23" s="88">
        <f t="shared" si="4"/>
        <v>-29853.333333333336</v>
      </c>
      <c r="Q23" s="87">
        <f t="shared" si="7"/>
        <v>-119413.33333333334</v>
      </c>
      <c r="R23" s="82">
        <f t="shared" si="5"/>
        <v>-7.2335058056556989E-4</v>
      </c>
    </row>
    <row r="24" spans="1:19">
      <c r="A24" s="73" t="s">
        <v>6967</v>
      </c>
      <c r="C24" s="100">
        <v>-68300</v>
      </c>
      <c r="D24" s="100"/>
      <c r="E24" s="100">
        <v>-30000</v>
      </c>
      <c r="F24" s="100">
        <v>-18800</v>
      </c>
      <c r="G24" s="100"/>
      <c r="H24" s="100">
        <v>-29300</v>
      </c>
      <c r="I24" s="100"/>
      <c r="J24" s="100"/>
      <c r="K24" s="100"/>
      <c r="L24" s="80"/>
      <c r="M24" s="80"/>
      <c r="N24" s="85">
        <f t="shared" si="3"/>
        <v>-146400</v>
      </c>
      <c r="P24" s="88">
        <f t="shared" si="4"/>
        <v>-48800</v>
      </c>
      <c r="Q24" s="87">
        <f t="shared" si="7"/>
        <v>-195200</v>
      </c>
      <c r="R24" s="82">
        <f t="shared" si="5"/>
        <v>-1.1824310517507752E-3</v>
      </c>
      <c r="S24" s="82"/>
    </row>
    <row r="25" spans="1:19">
      <c r="A25" s="73" t="s">
        <v>6966</v>
      </c>
      <c r="C25" s="100">
        <v>-396603</v>
      </c>
      <c r="D25" s="100">
        <v>-807319</v>
      </c>
      <c r="E25" s="100">
        <v>-596073</v>
      </c>
      <c r="F25" s="100">
        <v>-1354692</v>
      </c>
      <c r="G25" s="100">
        <v>-847876</v>
      </c>
      <c r="H25" s="100">
        <v>-1408032</v>
      </c>
      <c r="I25" s="206">
        <f t="shared" ref="I25:K26" si="8">SUM(C25:H25)/6</f>
        <v>-901765.83333333337</v>
      </c>
      <c r="J25" s="206">
        <f t="shared" si="8"/>
        <v>-985959.63888888888</v>
      </c>
      <c r="K25" s="206">
        <f t="shared" si="8"/>
        <v>-1015733.0787037037</v>
      </c>
      <c r="L25" s="80"/>
      <c r="M25" s="80"/>
      <c r="N25" s="85">
        <f t="shared" si="3"/>
        <v>-8314053.5509259254</v>
      </c>
      <c r="P25" s="88">
        <f t="shared" si="4"/>
        <v>-2771351.1836419748</v>
      </c>
      <c r="Q25" s="87">
        <f t="shared" si="7"/>
        <v>-11085404.734567899</v>
      </c>
      <c r="R25" s="82">
        <f t="shared" si="5"/>
        <v>-6.7150239648453597E-2</v>
      </c>
    </row>
    <row r="26" spans="1:19">
      <c r="A26" s="73" t="s">
        <v>6965</v>
      </c>
      <c r="C26" s="100">
        <v>-236997</v>
      </c>
      <c r="D26" s="100">
        <v>-2047420</v>
      </c>
      <c r="E26" s="100">
        <v>-227902</v>
      </c>
      <c r="F26" s="100">
        <v>-234001</v>
      </c>
      <c r="G26" s="100">
        <v>-1017617</v>
      </c>
      <c r="H26" s="100">
        <v>-236306</v>
      </c>
      <c r="I26" s="206">
        <f t="shared" si="8"/>
        <v>-666707.16666666663</v>
      </c>
      <c r="J26" s="206">
        <f t="shared" si="8"/>
        <v>-738325.52777777787</v>
      </c>
      <c r="K26" s="206">
        <f t="shared" si="8"/>
        <v>-520143.11574074073</v>
      </c>
      <c r="L26" s="80"/>
      <c r="M26" s="80"/>
      <c r="N26" s="85">
        <f t="shared" si="3"/>
        <v>-5925418.8101851856</v>
      </c>
      <c r="P26" s="88">
        <f t="shared" si="4"/>
        <v>-1975139.603395062</v>
      </c>
      <c r="Q26" s="87">
        <f t="shared" si="7"/>
        <v>-7900558.4135802481</v>
      </c>
      <c r="R26" s="82">
        <f t="shared" si="5"/>
        <v>-4.785791800403754E-2</v>
      </c>
    </row>
    <row r="27" spans="1:19">
      <c r="A27" s="73" t="s">
        <v>6964</v>
      </c>
      <c r="C27" s="100"/>
      <c r="D27" s="100"/>
      <c r="E27" s="100">
        <v>-1110</v>
      </c>
      <c r="F27" s="100"/>
      <c r="G27" s="100"/>
      <c r="H27" s="100"/>
      <c r="I27" s="100"/>
      <c r="J27" s="100"/>
      <c r="K27" s="100"/>
      <c r="L27" s="80"/>
      <c r="M27" s="80"/>
      <c r="N27" s="85">
        <f t="shared" si="3"/>
        <v>-1110</v>
      </c>
      <c r="P27" s="88"/>
      <c r="Q27" s="87">
        <f t="shared" si="7"/>
        <v>-1110</v>
      </c>
      <c r="R27" s="82">
        <f t="shared" si="5"/>
        <v>-6.7238650996073792E-6</v>
      </c>
    </row>
    <row r="28" spans="1:19">
      <c r="A28" s="73" t="s">
        <v>6963</v>
      </c>
      <c r="C28" s="100">
        <v>-181420</v>
      </c>
      <c r="D28" s="100">
        <v>-180260</v>
      </c>
      <c r="E28" s="100">
        <v>-191390</v>
      </c>
      <c r="F28" s="100">
        <v>-171770</v>
      </c>
      <c r="G28" s="100">
        <v>-157780</v>
      </c>
      <c r="H28" s="100">
        <v>-157360</v>
      </c>
      <c r="I28" s="100">
        <v>-176140</v>
      </c>
      <c r="J28" s="100">
        <v>-203900</v>
      </c>
      <c r="K28" s="100">
        <v>-191830</v>
      </c>
      <c r="L28" s="80"/>
      <c r="M28" s="80"/>
      <c r="N28" s="85">
        <f t="shared" si="3"/>
        <v>-1611850</v>
      </c>
      <c r="P28" s="88">
        <f t="shared" si="4"/>
        <v>-537283.33333333326</v>
      </c>
      <c r="Q28" s="87">
        <f t="shared" si="7"/>
        <v>-2149133.333333333</v>
      </c>
      <c r="R28" s="82">
        <f t="shared" si="5"/>
        <v>-1.3018452805768351E-2</v>
      </c>
    </row>
    <row r="29" spans="1:19">
      <c r="A29" s="73"/>
      <c r="C29" s="100"/>
      <c r="D29" s="100"/>
      <c r="E29" s="100"/>
      <c r="F29" s="100"/>
      <c r="G29" s="100"/>
      <c r="H29" s="100"/>
      <c r="I29" s="100"/>
      <c r="J29" s="100"/>
      <c r="K29" s="100"/>
      <c r="L29" s="80"/>
      <c r="M29" s="80"/>
      <c r="N29" s="85">
        <f t="shared" si="3"/>
        <v>0</v>
      </c>
      <c r="P29" s="88">
        <f>I29+J29+K29</f>
        <v>0</v>
      </c>
      <c r="Q29" s="87">
        <f t="shared" si="7"/>
        <v>0</v>
      </c>
      <c r="R29" s="82">
        <f t="shared" si="5"/>
        <v>0</v>
      </c>
      <c r="S29" s="82"/>
    </row>
    <row r="30" spans="1:19">
      <c r="A30" s="73"/>
      <c r="C30" s="100"/>
      <c r="D30" s="100"/>
      <c r="E30" s="100"/>
      <c r="F30" s="100"/>
      <c r="G30" s="100"/>
      <c r="H30" s="100"/>
      <c r="I30" s="100"/>
      <c r="J30" s="100"/>
      <c r="K30" s="100"/>
      <c r="L30" s="80"/>
      <c r="M30" s="80"/>
      <c r="N30" s="85">
        <f t="shared" si="3"/>
        <v>0</v>
      </c>
      <c r="P30" s="88">
        <v>0</v>
      </c>
      <c r="Q30" s="87">
        <f t="shared" si="7"/>
        <v>0</v>
      </c>
      <c r="R30" s="82">
        <f t="shared" si="5"/>
        <v>0</v>
      </c>
    </row>
    <row r="31" spans="1:19">
      <c r="A31" s="207" t="s">
        <v>6383</v>
      </c>
      <c r="C31" s="100"/>
      <c r="D31" s="100"/>
      <c r="E31" s="100"/>
      <c r="F31" s="100"/>
      <c r="G31" s="100"/>
      <c r="H31" s="100"/>
      <c r="I31" s="100"/>
      <c r="J31" s="100"/>
      <c r="K31" s="100"/>
      <c r="L31" s="80"/>
      <c r="M31" s="80"/>
      <c r="N31" s="85">
        <f t="shared" si="3"/>
        <v>0</v>
      </c>
      <c r="P31" s="88">
        <f t="shared" ref="P31:P34" si="9">N31/9*3</f>
        <v>0</v>
      </c>
      <c r="Q31" s="208">
        <v>-20000000</v>
      </c>
      <c r="R31" s="82">
        <f t="shared" si="5"/>
        <v>-0.12115072251544827</v>
      </c>
    </row>
    <row r="32" spans="1:19">
      <c r="A32" s="73"/>
      <c r="B32" s="83"/>
      <c r="C32" s="100"/>
      <c r="D32" s="100"/>
      <c r="E32" s="100"/>
      <c r="F32" s="100"/>
      <c r="G32" s="100"/>
      <c r="H32" s="100"/>
      <c r="I32" s="100"/>
      <c r="J32" s="100"/>
      <c r="K32" s="100"/>
      <c r="L32" s="80"/>
      <c r="M32" s="80"/>
      <c r="N32" s="85">
        <f t="shared" si="3"/>
        <v>0</v>
      </c>
      <c r="P32" s="88">
        <f t="shared" si="9"/>
        <v>0</v>
      </c>
      <c r="Q32" s="87">
        <f t="shared" ref="Q32:Q33" si="10">N32+P32</f>
        <v>0</v>
      </c>
      <c r="R32" s="82">
        <f t="shared" si="5"/>
        <v>0</v>
      </c>
    </row>
    <row r="33" spans="1:18">
      <c r="A33" s="73"/>
      <c r="C33" s="100"/>
      <c r="D33" s="100"/>
      <c r="E33" s="100"/>
      <c r="F33" s="100"/>
      <c r="G33" s="100"/>
      <c r="H33" s="100"/>
      <c r="I33" s="100"/>
      <c r="J33" s="100"/>
      <c r="K33" s="100"/>
      <c r="L33" s="80"/>
      <c r="M33" s="80"/>
      <c r="N33" s="85">
        <f t="shared" si="3"/>
        <v>0</v>
      </c>
      <c r="P33" s="88">
        <v>0</v>
      </c>
      <c r="Q33" s="87">
        <f t="shared" si="10"/>
        <v>0</v>
      </c>
      <c r="R33" s="82">
        <f t="shared" si="5"/>
        <v>0</v>
      </c>
    </row>
    <row r="34" spans="1:18">
      <c r="A34" s="73"/>
      <c r="C34" s="100"/>
      <c r="D34" s="100"/>
      <c r="E34" s="100"/>
      <c r="F34" s="100"/>
      <c r="G34" s="100"/>
      <c r="H34" s="100"/>
      <c r="I34" s="100"/>
      <c r="J34" s="100"/>
      <c r="K34" s="100"/>
      <c r="L34" s="84"/>
      <c r="M34" s="84"/>
      <c r="N34" s="85">
        <f t="shared" si="3"/>
        <v>0</v>
      </c>
      <c r="P34" s="88">
        <f t="shared" si="9"/>
        <v>0</v>
      </c>
      <c r="Q34" s="87">
        <f t="shared" ref="Q34:Q35" si="11">N34+P34</f>
        <v>0</v>
      </c>
      <c r="R34" s="82">
        <f t="shared" si="5"/>
        <v>0</v>
      </c>
    </row>
    <row r="35" spans="1:18">
      <c r="C35" s="81"/>
      <c r="D35" s="81"/>
      <c r="E35" s="81"/>
      <c r="F35" s="81"/>
      <c r="G35" s="81"/>
      <c r="H35" s="81"/>
      <c r="I35" s="81"/>
      <c r="J35" s="81"/>
      <c r="K35" s="81"/>
      <c r="L35" s="80"/>
      <c r="M35" s="80"/>
      <c r="N35" s="85">
        <f t="shared" si="3"/>
        <v>0</v>
      </c>
      <c r="P35" s="81"/>
      <c r="Q35" s="87">
        <f t="shared" si="11"/>
        <v>0</v>
      </c>
      <c r="R35" s="82">
        <f t="shared" si="5"/>
        <v>0</v>
      </c>
    </row>
    <row r="36" spans="1:18"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58"/>
      <c r="O36" s="58"/>
      <c r="P36" s="58"/>
      <c r="Q36" s="58"/>
    </row>
    <row r="37" spans="1:18"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58"/>
      <c r="O37" s="58"/>
      <c r="P37" s="58"/>
      <c r="Q37" s="58"/>
    </row>
    <row r="38" spans="1:18"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58"/>
      <c r="O38" s="58"/>
      <c r="P38" s="58"/>
      <c r="Q38" s="58"/>
    </row>
    <row r="39" spans="1:18"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58"/>
      <c r="O39" s="58"/>
      <c r="P39" s="58"/>
      <c r="Q39" s="58"/>
    </row>
    <row r="40" spans="1:18"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58"/>
      <c r="O40" s="58"/>
      <c r="P40" s="58"/>
      <c r="Q40" s="58"/>
    </row>
    <row r="41" spans="1:18"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58"/>
      <c r="O41" s="58"/>
      <c r="P41" s="58"/>
      <c r="Q41" s="58"/>
    </row>
    <row r="42" spans="1:18"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58"/>
      <c r="O42" s="58"/>
      <c r="P42" s="58"/>
      <c r="Q42" s="58"/>
    </row>
    <row r="43" spans="1:18"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58"/>
      <c r="O43" s="58"/>
      <c r="P43" s="58"/>
      <c r="Q43" s="58"/>
    </row>
    <row r="44" spans="1:18"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58"/>
      <c r="O44" s="58"/>
      <c r="P44" s="58"/>
      <c r="Q44" s="58"/>
    </row>
    <row r="45" spans="1:18"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58"/>
      <c r="O45" s="58"/>
      <c r="P45" s="58"/>
      <c r="Q45" s="58"/>
    </row>
    <row r="46" spans="1:18"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58"/>
      <c r="O46" s="58"/>
      <c r="P46" s="58"/>
      <c r="Q46" s="58"/>
    </row>
    <row r="47" spans="1:18"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58"/>
      <c r="O47" s="58"/>
      <c r="P47" s="58"/>
      <c r="Q47" s="58"/>
    </row>
    <row r="48" spans="1:18"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58"/>
      <c r="O48" s="58"/>
      <c r="P48" s="58"/>
      <c r="Q48" s="58"/>
    </row>
    <row r="49" spans="3:17"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58"/>
      <c r="O49" s="58"/>
      <c r="P49" s="58"/>
      <c r="Q49" s="58"/>
    </row>
    <row r="50" spans="3:17"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58"/>
      <c r="O50" s="58"/>
      <c r="P50" s="58"/>
      <c r="Q50" s="58"/>
    </row>
    <row r="51" spans="3:17"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58"/>
      <c r="O51" s="58"/>
      <c r="P51" s="58"/>
      <c r="Q51" s="58"/>
    </row>
    <row r="52" spans="3:17"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58"/>
      <c r="O52" s="58"/>
      <c r="P52" s="58"/>
      <c r="Q52" s="58"/>
    </row>
    <row r="53" spans="3:17"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58"/>
      <c r="O53" s="58"/>
      <c r="P53" s="58"/>
      <c r="Q53" s="58"/>
    </row>
    <row r="54" spans="3:17"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58"/>
      <c r="O54" s="58"/>
      <c r="P54" s="58"/>
      <c r="Q54" s="58"/>
    </row>
    <row r="55" spans="3:17"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58"/>
      <c r="O55" s="58"/>
      <c r="P55" s="58"/>
      <c r="Q55" s="58"/>
    </row>
    <row r="56" spans="3:17"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58"/>
      <c r="O56" s="58"/>
      <c r="P56" s="58"/>
      <c r="Q56" s="58"/>
    </row>
    <row r="57" spans="3:17"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58"/>
      <c r="O57" s="58"/>
      <c r="P57" s="58"/>
      <c r="Q57" s="58"/>
    </row>
    <row r="58" spans="3:17"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58"/>
      <c r="O58" s="58"/>
      <c r="P58" s="58"/>
      <c r="Q58" s="58"/>
    </row>
    <row r="59" spans="3:17"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58"/>
      <c r="O59" s="58"/>
      <c r="P59" s="58"/>
      <c r="Q59" s="58"/>
    </row>
    <row r="60" spans="3:17"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58"/>
      <c r="O60" s="58"/>
      <c r="P60" s="58"/>
      <c r="Q60" s="58"/>
    </row>
    <row r="61" spans="3:17"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58"/>
      <c r="O61" s="58"/>
      <c r="P61" s="58"/>
      <c r="Q61" s="58"/>
    </row>
    <row r="62" spans="3:17"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58"/>
      <c r="O62" s="58"/>
      <c r="P62" s="58"/>
      <c r="Q62" s="58"/>
    </row>
    <row r="63" spans="3:17"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58"/>
      <c r="O63" s="58"/>
      <c r="P63" s="58"/>
      <c r="Q63" s="58"/>
    </row>
    <row r="64" spans="3:17"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58"/>
      <c r="O64" s="58"/>
      <c r="P64" s="58"/>
      <c r="Q64" s="58"/>
    </row>
    <row r="65" spans="3:17"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58"/>
      <c r="O65" s="58"/>
      <c r="P65" s="58"/>
      <c r="Q65" s="58"/>
    </row>
    <row r="66" spans="3:17"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58"/>
      <c r="O66" s="58"/>
      <c r="P66" s="58"/>
      <c r="Q66" s="58"/>
    </row>
    <row r="67" spans="3:17"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58"/>
      <c r="O67" s="58"/>
      <c r="P67" s="58"/>
      <c r="Q67" s="58"/>
    </row>
    <row r="68" spans="3:17"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58"/>
      <c r="O68" s="58"/>
      <c r="P68" s="58"/>
      <c r="Q68" s="58"/>
    </row>
    <row r="69" spans="3:17"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58"/>
      <c r="O69" s="58"/>
      <c r="P69" s="58"/>
      <c r="Q69" s="58"/>
    </row>
    <row r="70" spans="3:17"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58"/>
      <c r="O70" s="58"/>
      <c r="P70" s="58"/>
      <c r="Q70" s="58"/>
    </row>
    <row r="71" spans="3:17"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58"/>
      <c r="O71" s="58"/>
      <c r="P71" s="58"/>
      <c r="Q71" s="58"/>
    </row>
    <row r="72" spans="3:17"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58"/>
      <c r="O72" s="58"/>
      <c r="P72" s="58"/>
      <c r="Q72" s="58"/>
    </row>
    <row r="73" spans="3:17"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58"/>
      <c r="O73" s="58"/>
      <c r="P73" s="58"/>
      <c r="Q73" s="58"/>
    </row>
    <row r="74" spans="3:17">
      <c r="C74" s="69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58"/>
      <c r="O74" s="58"/>
      <c r="P74" s="58"/>
      <c r="Q74" s="58"/>
    </row>
    <row r="75" spans="3:17"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58"/>
      <c r="O75" s="58"/>
      <c r="P75" s="58"/>
      <c r="Q75" s="58"/>
    </row>
    <row r="76" spans="3:17"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58"/>
      <c r="O76" s="58"/>
      <c r="P76" s="58"/>
      <c r="Q76" s="58"/>
    </row>
    <row r="77" spans="3:17"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58"/>
      <c r="O77" s="58"/>
      <c r="P77" s="58"/>
      <c r="Q77" s="58"/>
    </row>
    <row r="78" spans="3:17"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58"/>
      <c r="O78" s="58"/>
      <c r="P78" s="58"/>
      <c r="Q78" s="58"/>
    </row>
    <row r="79" spans="3:17"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58"/>
      <c r="O79" s="58"/>
      <c r="P79" s="58"/>
      <c r="Q79" s="58"/>
    </row>
    <row r="80" spans="3:17"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58"/>
      <c r="O80" s="58"/>
      <c r="P80" s="58"/>
      <c r="Q80" s="58"/>
    </row>
    <row r="81" spans="3:17">
      <c r="C81" s="6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58"/>
      <c r="O81" s="58"/>
      <c r="P81" s="58"/>
      <c r="Q81" s="58"/>
    </row>
    <row r="82" spans="3:17"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58"/>
      <c r="O82" s="58"/>
      <c r="P82" s="58"/>
      <c r="Q82" s="58"/>
    </row>
    <row r="83" spans="3:17"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58"/>
      <c r="O83" s="58"/>
      <c r="P83" s="58"/>
      <c r="Q83" s="58"/>
    </row>
    <row r="84" spans="3:17"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58"/>
      <c r="O84" s="58"/>
      <c r="P84" s="58"/>
      <c r="Q84" s="58"/>
    </row>
    <row r="85" spans="3:17"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58"/>
      <c r="O85" s="58"/>
      <c r="P85" s="58"/>
      <c r="Q85" s="58"/>
    </row>
    <row r="86" spans="3:17"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58"/>
      <c r="O86" s="58"/>
      <c r="P86" s="58"/>
      <c r="Q86" s="58"/>
    </row>
    <row r="87" spans="3:17">
      <c r="C87" s="69"/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58"/>
      <c r="O87" s="58"/>
      <c r="P87" s="58"/>
      <c r="Q87" s="58"/>
    </row>
    <row r="88" spans="3:17"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58"/>
      <c r="O88" s="58"/>
      <c r="P88" s="58"/>
      <c r="Q88" s="58"/>
    </row>
    <row r="89" spans="3:17"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58"/>
      <c r="O89" s="58"/>
      <c r="P89" s="58"/>
      <c r="Q89" s="58"/>
    </row>
    <row r="90" spans="3:17"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58"/>
      <c r="O90" s="58"/>
      <c r="P90" s="58"/>
      <c r="Q90" s="58"/>
    </row>
    <row r="91" spans="3:17"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58"/>
      <c r="O91" s="58"/>
      <c r="P91" s="58"/>
      <c r="Q91" s="58"/>
    </row>
    <row r="92" spans="3:17"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58"/>
      <c r="O92" s="58"/>
      <c r="P92" s="58"/>
      <c r="Q92" s="58"/>
    </row>
    <row r="93" spans="3:17"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58"/>
      <c r="O93" s="58"/>
      <c r="P93" s="58"/>
      <c r="Q93" s="58"/>
    </row>
    <row r="94" spans="3:17"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58"/>
      <c r="O94" s="58"/>
      <c r="P94" s="58"/>
      <c r="Q94" s="58"/>
    </row>
    <row r="95" spans="3:17"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58"/>
      <c r="O95" s="58"/>
      <c r="P95" s="58"/>
      <c r="Q95" s="58"/>
    </row>
    <row r="96" spans="3:17"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58"/>
      <c r="O96" s="58"/>
      <c r="P96" s="58"/>
      <c r="Q96" s="58"/>
    </row>
    <row r="97" spans="3:17"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58"/>
      <c r="O97" s="58"/>
      <c r="P97" s="58"/>
      <c r="Q97" s="58"/>
    </row>
    <row r="98" spans="3:17"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58"/>
      <c r="O98" s="58"/>
      <c r="P98" s="58"/>
      <c r="Q98" s="58"/>
    </row>
    <row r="99" spans="3:17"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58"/>
      <c r="O99" s="58"/>
      <c r="P99" s="58"/>
      <c r="Q99" s="58"/>
    </row>
    <row r="100" spans="3:17"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58"/>
      <c r="O100" s="58"/>
      <c r="P100" s="58"/>
      <c r="Q100" s="58"/>
    </row>
    <row r="101" spans="3:17"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58"/>
      <c r="O101" s="58"/>
      <c r="P101" s="58"/>
      <c r="Q101" s="58"/>
    </row>
    <row r="102" spans="3:17"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58"/>
      <c r="O102" s="58"/>
      <c r="P102" s="58"/>
      <c r="Q102" s="58"/>
    </row>
    <row r="103" spans="3:17"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58"/>
      <c r="O103" s="58"/>
      <c r="P103" s="58"/>
      <c r="Q103" s="58"/>
    </row>
    <row r="104" spans="3:17"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58"/>
      <c r="O104" s="58"/>
      <c r="P104" s="58"/>
      <c r="Q104" s="58"/>
    </row>
    <row r="105" spans="3:17"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58"/>
      <c r="O105" s="58"/>
      <c r="P105" s="58"/>
      <c r="Q105" s="58"/>
    </row>
    <row r="106" spans="3:17"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58"/>
      <c r="O106" s="58"/>
      <c r="P106" s="58"/>
      <c r="Q106" s="58"/>
    </row>
    <row r="107" spans="3:17"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58"/>
      <c r="O107" s="58"/>
      <c r="P107" s="58"/>
      <c r="Q107" s="58"/>
    </row>
    <row r="108" spans="3:17"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58"/>
      <c r="O108" s="58"/>
      <c r="P108" s="58"/>
      <c r="Q108" s="58"/>
    </row>
    <row r="109" spans="3:17"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58"/>
      <c r="O109" s="58"/>
      <c r="P109" s="58"/>
      <c r="Q109" s="58"/>
    </row>
    <row r="110" spans="3:17"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58"/>
      <c r="O110" s="58"/>
      <c r="P110" s="58"/>
      <c r="Q110" s="58"/>
    </row>
    <row r="111" spans="3:17"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58"/>
      <c r="O111" s="58"/>
      <c r="P111" s="58"/>
      <c r="Q111" s="58"/>
    </row>
    <row r="112" spans="3:17"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58"/>
      <c r="O112" s="58"/>
      <c r="P112" s="58"/>
      <c r="Q112" s="58"/>
    </row>
    <row r="113" spans="3:17"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58"/>
      <c r="O113" s="58"/>
      <c r="P113" s="58"/>
      <c r="Q113" s="58"/>
    </row>
    <row r="114" spans="3:17"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58"/>
      <c r="O114" s="58"/>
      <c r="P114" s="58"/>
      <c r="Q114" s="58"/>
    </row>
    <row r="115" spans="3:17"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58"/>
      <c r="O115" s="58"/>
      <c r="P115" s="58"/>
      <c r="Q115" s="58"/>
    </row>
    <row r="116" spans="3:17"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58"/>
      <c r="O116" s="58"/>
      <c r="P116" s="58"/>
      <c r="Q116" s="58"/>
    </row>
    <row r="117" spans="3:17"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58"/>
      <c r="O117" s="58"/>
      <c r="P117" s="58"/>
      <c r="Q117" s="58"/>
    </row>
    <row r="118" spans="3:17"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58"/>
      <c r="O118" s="58"/>
      <c r="P118" s="58"/>
      <c r="Q118" s="58"/>
    </row>
    <row r="119" spans="3:17"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58"/>
      <c r="O119" s="58"/>
      <c r="P119" s="58"/>
      <c r="Q119" s="58"/>
    </row>
    <row r="120" spans="3:17"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58"/>
      <c r="O120" s="58"/>
      <c r="P120" s="58"/>
      <c r="Q120" s="58"/>
    </row>
    <row r="121" spans="3:17"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58"/>
      <c r="O121" s="58"/>
      <c r="P121" s="58"/>
      <c r="Q121" s="58"/>
    </row>
    <row r="122" spans="3:17"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58"/>
      <c r="O122" s="58"/>
      <c r="P122" s="58"/>
      <c r="Q122" s="58"/>
    </row>
    <row r="123" spans="3:17"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58"/>
      <c r="O123" s="58"/>
      <c r="P123" s="58"/>
      <c r="Q123" s="58"/>
    </row>
    <row r="124" spans="3:17"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58"/>
      <c r="O124" s="58"/>
      <c r="P124" s="58"/>
      <c r="Q124" s="58"/>
    </row>
    <row r="125" spans="3:17"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58"/>
      <c r="O125" s="58"/>
      <c r="P125" s="58"/>
      <c r="Q125" s="58"/>
    </row>
    <row r="126" spans="3:17"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58"/>
      <c r="O126" s="58"/>
      <c r="P126" s="58"/>
      <c r="Q126" s="58"/>
    </row>
    <row r="127" spans="3:17"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58"/>
      <c r="O127" s="58"/>
      <c r="P127" s="58"/>
      <c r="Q127" s="58"/>
    </row>
    <row r="128" spans="3:17"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58"/>
      <c r="O128" s="58"/>
      <c r="P128" s="58"/>
      <c r="Q128" s="58"/>
    </row>
    <row r="129" spans="3:17"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58"/>
      <c r="O129" s="58"/>
      <c r="P129" s="58"/>
      <c r="Q129" s="58"/>
    </row>
    <row r="130" spans="3:17"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58"/>
      <c r="O130" s="58"/>
      <c r="P130" s="58"/>
      <c r="Q130" s="58"/>
    </row>
    <row r="131" spans="3:17"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58"/>
      <c r="O131" s="58"/>
      <c r="P131" s="58"/>
      <c r="Q131" s="58"/>
    </row>
    <row r="132" spans="3:17"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58"/>
      <c r="O132" s="58"/>
      <c r="P132" s="58"/>
      <c r="Q132" s="58"/>
    </row>
    <row r="133" spans="3:17"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58"/>
      <c r="O133" s="58"/>
      <c r="P133" s="58"/>
      <c r="Q133" s="58"/>
    </row>
    <row r="134" spans="3:17"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58"/>
      <c r="O134" s="58"/>
      <c r="P134" s="58"/>
      <c r="Q134" s="58"/>
    </row>
    <row r="135" spans="3:17"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58"/>
      <c r="O135" s="58"/>
      <c r="P135" s="58"/>
      <c r="Q135" s="58"/>
    </row>
    <row r="136" spans="3:17"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58"/>
      <c r="O136" s="58"/>
      <c r="P136" s="58"/>
      <c r="Q136" s="58"/>
    </row>
    <row r="137" spans="3:17">
      <c r="C137" s="69"/>
      <c r="D137" s="69"/>
      <c r="E137" s="69"/>
      <c r="F137" s="69"/>
      <c r="G137" s="69"/>
      <c r="H137" s="69"/>
      <c r="I137" s="69"/>
      <c r="J137" s="69"/>
      <c r="K137" s="69"/>
      <c r="L137" s="69"/>
      <c r="M137" s="69"/>
      <c r="N137" s="58"/>
      <c r="O137" s="58"/>
      <c r="P137" s="58"/>
      <c r="Q137" s="58"/>
    </row>
    <row r="138" spans="3:17">
      <c r="C138" s="69"/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58"/>
      <c r="O138" s="58"/>
      <c r="P138" s="58"/>
      <c r="Q138" s="58"/>
    </row>
    <row r="139" spans="3:17"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58"/>
      <c r="O139" s="58"/>
      <c r="P139" s="58"/>
      <c r="Q139" s="58"/>
    </row>
    <row r="140" spans="3:17"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58"/>
      <c r="O140" s="58"/>
      <c r="P140" s="58"/>
      <c r="Q140" s="58"/>
    </row>
    <row r="141" spans="3:17"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58"/>
      <c r="O141" s="58"/>
      <c r="P141" s="58"/>
      <c r="Q141" s="58"/>
    </row>
    <row r="142" spans="3:17"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58"/>
      <c r="O142" s="58"/>
      <c r="P142" s="58"/>
      <c r="Q142" s="58"/>
    </row>
    <row r="143" spans="3:17"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58"/>
      <c r="O143" s="58"/>
      <c r="P143" s="58"/>
      <c r="Q143" s="58"/>
    </row>
    <row r="144" spans="3:17">
      <c r="C144" s="69"/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58"/>
      <c r="O144" s="58"/>
      <c r="P144" s="58"/>
      <c r="Q144" s="58"/>
    </row>
    <row r="145" spans="3:17">
      <c r="C145" s="69"/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58"/>
      <c r="O145" s="58"/>
      <c r="P145" s="58"/>
      <c r="Q145" s="58"/>
    </row>
    <row r="146" spans="3:17">
      <c r="C146" s="69"/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58"/>
      <c r="O146" s="58"/>
      <c r="P146" s="58"/>
      <c r="Q146" s="58"/>
    </row>
    <row r="147" spans="3:17">
      <c r="C147" s="69"/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58"/>
      <c r="O147" s="58"/>
      <c r="P147" s="58"/>
      <c r="Q147" s="58"/>
    </row>
    <row r="148" spans="3:17">
      <c r="C148" s="69"/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58"/>
      <c r="O148" s="58"/>
      <c r="P148" s="58"/>
      <c r="Q148" s="58"/>
    </row>
    <row r="149" spans="3:17">
      <c r="C149" s="69"/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58"/>
      <c r="O149" s="58"/>
      <c r="P149" s="58"/>
      <c r="Q149" s="58"/>
    </row>
    <row r="150" spans="3:17">
      <c r="C150" s="69"/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58"/>
      <c r="O150" s="58"/>
      <c r="P150" s="58"/>
      <c r="Q150" s="58"/>
    </row>
    <row r="151" spans="3:17">
      <c r="C151" s="69"/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58"/>
      <c r="O151" s="58"/>
      <c r="P151" s="58"/>
      <c r="Q151" s="58"/>
    </row>
    <row r="152" spans="3:17">
      <c r="C152" s="69"/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58"/>
      <c r="O152" s="58"/>
      <c r="P152" s="58"/>
      <c r="Q152" s="58"/>
    </row>
    <row r="153" spans="3:17">
      <c r="C153" s="69"/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58"/>
      <c r="O153" s="58"/>
      <c r="P153" s="58"/>
      <c r="Q153" s="58"/>
    </row>
    <row r="154" spans="3:17">
      <c r="C154" s="69"/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58"/>
      <c r="O154" s="58"/>
      <c r="P154" s="58"/>
      <c r="Q154" s="58"/>
    </row>
    <row r="155" spans="3:17">
      <c r="C155" s="69"/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58"/>
      <c r="O155" s="58"/>
      <c r="P155" s="58"/>
      <c r="Q155" s="58"/>
    </row>
    <row r="156" spans="3:17">
      <c r="C156" s="69"/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58"/>
      <c r="O156" s="58"/>
      <c r="P156" s="58"/>
      <c r="Q156" s="58"/>
    </row>
    <row r="157" spans="3:17">
      <c r="C157" s="69"/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58"/>
      <c r="O157" s="58"/>
      <c r="P157" s="58"/>
      <c r="Q157" s="58"/>
    </row>
    <row r="158" spans="3:17"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58"/>
      <c r="O158" s="58"/>
      <c r="P158" s="58"/>
      <c r="Q158" s="58"/>
    </row>
    <row r="159" spans="3:17"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58"/>
      <c r="O159" s="58"/>
      <c r="P159" s="58"/>
      <c r="Q159" s="58"/>
    </row>
    <row r="160" spans="3:17"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58"/>
      <c r="O160" s="58"/>
      <c r="P160" s="58"/>
      <c r="Q160" s="58"/>
    </row>
    <row r="161" spans="3:17">
      <c r="C161" s="69"/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58"/>
      <c r="O161" s="58"/>
      <c r="P161" s="58"/>
      <c r="Q161" s="58"/>
    </row>
    <row r="162" spans="3:17"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58"/>
      <c r="O162" s="58"/>
      <c r="P162" s="58"/>
      <c r="Q162" s="58"/>
    </row>
    <row r="163" spans="3:17">
      <c r="C163" s="69"/>
      <c r="D163" s="69"/>
      <c r="E163" s="69"/>
      <c r="F163" s="69"/>
      <c r="G163" s="69"/>
      <c r="H163" s="69"/>
      <c r="I163" s="69"/>
      <c r="J163" s="69"/>
      <c r="K163" s="69"/>
      <c r="L163" s="69"/>
      <c r="M163" s="69"/>
      <c r="N163" s="58"/>
      <c r="O163" s="58"/>
      <c r="P163" s="58"/>
      <c r="Q163" s="58"/>
    </row>
    <row r="164" spans="3:17"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58"/>
      <c r="O164" s="58"/>
      <c r="P164" s="58"/>
      <c r="Q164" s="58"/>
    </row>
    <row r="165" spans="3:17">
      <c r="C165" s="69"/>
      <c r="D165" s="69"/>
      <c r="E165" s="69"/>
      <c r="F165" s="69"/>
      <c r="G165" s="69"/>
      <c r="H165" s="69"/>
      <c r="I165" s="69"/>
      <c r="J165" s="69"/>
      <c r="K165" s="69"/>
      <c r="L165" s="69"/>
      <c r="M165" s="69"/>
      <c r="N165" s="58"/>
      <c r="O165" s="58"/>
      <c r="P165" s="58"/>
      <c r="Q165" s="58"/>
    </row>
    <row r="166" spans="3:17"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58"/>
      <c r="O166" s="58"/>
      <c r="P166" s="58"/>
      <c r="Q166" s="58"/>
    </row>
    <row r="167" spans="3:17"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58"/>
      <c r="O167" s="58"/>
      <c r="P167" s="58"/>
      <c r="Q167" s="58"/>
    </row>
    <row r="168" spans="3:17"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58"/>
      <c r="O168" s="58"/>
      <c r="P168" s="58"/>
      <c r="Q168" s="58"/>
    </row>
    <row r="169" spans="3:17">
      <c r="C169" s="69"/>
      <c r="D169" s="69"/>
      <c r="E169" s="69"/>
      <c r="F169" s="69"/>
      <c r="G169" s="69"/>
      <c r="H169" s="69"/>
      <c r="I169" s="69"/>
      <c r="J169" s="69"/>
      <c r="K169" s="69"/>
      <c r="L169" s="69"/>
      <c r="M169" s="69"/>
      <c r="N169" s="58"/>
      <c r="O169" s="58"/>
      <c r="P169" s="58"/>
      <c r="Q169" s="58"/>
    </row>
    <row r="170" spans="3:17">
      <c r="C170" s="69"/>
      <c r="D170" s="69"/>
      <c r="E170" s="69"/>
      <c r="F170" s="69"/>
      <c r="G170" s="69"/>
      <c r="H170" s="69"/>
      <c r="I170" s="69"/>
      <c r="J170" s="69"/>
      <c r="K170" s="69"/>
      <c r="L170" s="69"/>
      <c r="M170" s="69"/>
      <c r="N170" s="58"/>
      <c r="O170" s="58"/>
      <c r="P170" s="58"/>
      <c r="Q170" s="58"/>
    </row>
    <row r="171" spans="3:17">
      <c r="C171" s="69"/>
      <c r="D171" s="69"/>
      <c r="E171" s="69"/>
      <c r="F171" s="69"/>
      <c r="G171" s="69"/>
      <c r="H171" s="69"/>
      <c r="I171" s="69"/>
      <c r="J171" s="69"/>
      <c r="K171" s="69"/>
      <c r="L171" s="69"/>
      <c r="M171" s="69"/>
      <c r="N171" s="58"/>
      <c r="O171" s="58"/>
      <c r="P171" s="58"/>
      <c r="Q171" s="58"/>
    </row>
    <row r="172" spans="3:17">
      <c r="C172" s="69"/>
      <c r="D172" s="69"/>
      <c r="E172" s="69"/>
      <c r="F172" s="69"/>
      <c r="G172" s="69"/>
      <c r="H172" s="69"/>
      <c r="I172" s="69"/>
      <c r="J172" s="69"/>
      <c r="K172" s="69"/>
      <c r="L172" s="69"/>
      <c r="M172" s="69"/>
      <c r="N172" s="58"/>
      <c r="O172" s="58"/>
      <c r="P172" s="58"/>
      <c r="Q172" s="58"/>
    </row>
    <row r="173" spans="3:17">
      <c r="C173" s="69"/>
      <c r="D173" s="69"/>
      <c r="E173" s="69"/>
      <c r="F173" s="69"/>
      <c r="G173" s="69"/>
      <c r="H173" s="69"/>
      <c r="I173" s="69"/>
      <c r="J173" s="69"/>
      <c r="K173" s="69"/>
      <c r="L173" s="69"/>
      <c r="M173" s="69"/>
      <c r="N173" s="58"/>
      <c r="O173" s="58"/>
      <c r="P173" s="58"/>
      <c r="Q173" s="58"/>
    </row>
    <row r="174" spans="3:17">
      <c r="C174" s="69"/>
      <c r="D174" s="69"/>
      <c r="E174" s="69"/>
      <c r="F174" s="69"/>
      <c r="G174" s="69"/>
      <c r="H174" s="69"/>
      <c r="I174" s="69"/>
      <c r="J174" s="69"/>
      <c r="K174" s="69"/>
      <c r="L174" s="69"/>
      <c r="M174" s="69"/>
      <c r="N174" s="58"/>
      <c r="O174" s="58"/>
      <c r="P174" s="58"/>
      <c r="Q174" s="58"/>
    </row>
    <row r="175" spans="3:17">
      <c r="C175" s="69"/>
      <c r="D175" s="69"/>
      <c r="E175" s="69"/>
      <c r="F175" s="69"/>
      <c r="G175" s="69"/>
      <c r="H175" s="69"/>
      <c r="I175" s="69"/>
      <c r="J175" s="69"/>
      <c r="K175" s="69"/>
      <c r="L175" s="69"/>
      <c r="M175" s="69"/>
      <c r="N175" s="58"/>
      <c r="O175" s="58"/>
      <c r="P175" s="58"/>
      <c r="Q175" s="58"/>
    </row>
    <row r="176" spans="3:17">
      <c r="C176" s="69"/>
      <c r="D176" s="69"/>
      <c r="E176" s="69"/>
      <c r="F176" s="69"/>
      <c r="G176" s="69"/>
      <c r="H176" s="69"/>
      <c r="I176" s="69"/>
      <c r="J176" s="69"/>
      <c r="K176" s="69"/>
      <c r="L176" s="69"/>
      <c r="M176" s="69"/>
      <c r="N176" s="58"/>
      <c r="O176" s="58"/>
      <c r="P176" s="58"/>
      <c r="Q176" s="58"/>
    </row>
    <row r="177" spans="3:17">
      <c r="C177" s="69"/>
      <c r="D177" s="69"/>
      <c r="E177" s="69"/>
      <c r="F177" s="69"/>
      <c r="G177" s="69"/>
      <c r="H177" s="69"/>
      <c r="I177" s="69"/>
      <c r="J177" s="69"/>
      <c r="K177" s="69"/>
      <c r="L177" s="69"/>
      <c r="M177" s="69"/>
      <c r="N177" s="58"/>
      <c r="O177" s="58"/>
      <c r="P177" s="58"/>
      <c r="Q177" s="58"/>
    </row>
    <row r="178" spans="3:17"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58"/>
      <c r="O178" s="58"/>
      <c r="P178" s="58"/>
      <c r="Q178" s="58"/>
    </row>
    <row r="179" spans="3:17">
      <c r="C179" s="69"/>
      <c r="D179" s="69"/>
      <c r="E179" s="69"/>
      <c r="F179" s="69"/>
      <c r="G179" s="69"/>
      <c r="H179" s="69"/>
      <c r="I179" s="69"/>
      <c r="J179" s="69"/>
      <c r="K179" s="69"/>
      <c r="L179" s="69"/>
      <c r="M179" s="69"/>
      <c r="N179" s="58"/>
      <c r="O179" s="58"/>
      <c r="P179" s="58"/>
      <c r="Q179" s="58"/>
    </row>
    <row r="180" spans="3:17"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58"/>
      <c r="O180" s="58"/>
      <c r="P180" s="58"/>
      <c r="Q180" s="58"/>
    </row>
    <row r="181" spans="3:17">
      <c r="C181" s="69"/>
      <c r="D181" s="69"/>
      <c r="E181" s="69"/>
      <c r="F181" s="69"/>
      <c r="G181" s="69"/>
      <c r="H181" s="69"/>
      <c r="I181" s="69"/>
      <c r="J181" s="69"/>
      <c r="K181" s="69"/>
      <c r="L181" s="69"/>
      <c r="M181" s="69"/>
      <c r="N181" s="58"/>
      <c r="O181" s="58"/>
      <c r="P181" s="58"/>
      <c r="Q181" s="58"/>
    </row>
    <row r="182" spans="3:17"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58"/>
      <c r="O182" s="58"/>
      <c r="P182" s="58"/>
      <c r="Q182" s="58"/>
    </row>
    <row r="183" spans="3:17">
      <c r="C183" s="69"/>
      <c r="D183" s="69"/>
      <c r="E183" s="69"/>
      <c r="F183" s="69"/>
      <c r="G183" s="69"/>
      <c r="H183" s="69"/>
      <c r="I183" s="69"/>
      <c r="J183" s="69"/>
      <c r="K183" s="69"/>
      <c r="L183" s="69"/>
      <c r="M183" s="69"/>
      <c r="N183" s="58"/>
      <c r="O183" s="58"/>
      <c r="P183" s="58"/>
      <c r="Q183" s="58"/>
    </row>
    <row r="184" spans="3:17">
      <c r="C184" s="69"/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58"/>
      <c r="O184" s="58"/>
      <c r="P184" s="58"/>
      <c r="Q184" s="58"/>
    </row>
    <row r="185" spans="3:17"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58"/>
      <c r="O185" s="58"/>
      <c r="P185" s="58"/>
      <c r="Q185" s="58"/>
    </row>
    <row r="186" spans="3:17"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58"/>
      <c r="O186" s="58"/>
      <c r="P186" s="58"/>
      <c r="Q186" s="58"/>
    </row>
    <row r="187" spans="3:17"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58"/>
      <c r="O187" s="58"/>
      <c r="P187" s="58"/>
      <c r="Q187" s="58"/>
    </row>
    <row r="188" spans="3:17">
      <c r="C188" s="69"/>
      <c r="D188" s="69"/>
      <c r="E188" s="69"/>
      <c r="F188" s="69"/>
      <c r="G188" s="69"/>
      <c r="H188" s="69"/>
      <c r="I188" s="69"/>
      <c r="J188" s="69"/>
      <c r="K188" s="69"/>
      <c r="L188" s="69"/>
      <c r="M188" s="69"/>
      <c r="N188" s="58"/>
      <c r="O188" s="58"/>
      <c r="P188" s="58"/>
      <c r="Q188" s="58"/>
    </row>
    <row r="189" spans="3:17">
      <c r="C189" s="69"/>
      <c r="D189" s="69"/>
      <c r="E189" s="69"/>
      <c r="F189" s="69"/>
      <c r="G189" s="69"/>
      <c r="H189" s="69"/>
      <c r="I189" s="69"/>
      <c r="J189" s="69"/>
      <c r="K189" s="69"/>
      <c r="L189" s="69"/>
      <c r="M189" s="69"/>
      <c r="N189" s="58"/>
      <c r="O189" s="58"/>
      <c r="P189" s="58"/>
      <c r="Q189" s="58"/>
    </row>
    <row r="190" spans="3:17"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58"/>
      <c r="O190" s="58"/>
      <c r="P190" s="58"/>
      <c r="Q190" s="58"/>
    </row>
    <row r="191" spans="3:17">
      <c r="C191" s="69"/>
      <c r="D191" s="69"/>
      <c r="E191" s="69"/>
      <c r="F191" s="69"/>
      <c r="G191" s="69"/>
      <c r="H191" s="69"/>
      <c r="I191" s="69"/>
      <c r="J191" s="69"/>
      <c r="K191" s="69"/>
      <c r="L191" s="69"/>
      <c r="M191" s="69"/>
      <c r="N191" s="58"/>
      <c r="O191" s="58"/>
      <c r="P191" s="58"/>
      <c r="Q191" s="58"/>
    </row>
    <row r="192" spans="3:17"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58"/>
      <c r="O192" s="58"/>
      <c r="P192" s="58"/>
      <c r="Q192" s="58"/>
    </row>
    <row r="193" spans="3:17">
      <c r="C193" s="69"/>
      <c r="D193" s="69"/>
      <c r="E193" s="69"/>
      <c r="F193" s="69"/>
      <c r="G193" s="69"/>
      <c r="H193" s="69"/>
      <c r="I193" s="69"/>
      <c r="J193" s="69"/>
      <c r="K193" s="69"/>
      <c r="L193" s="69"/>
      <c r="M193" s="69"/>
      <c r="N193" s="58"/>
      <c r="O193" s="58"/>
      <c r="P193" s="58"/>
      <c r="Q193" s="58"/>
    </row>
    <row r="194" spans="3:17">
      <c r="C194" s="69"/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58"/>
      <c r="O194" s="58"/>
      <c r="P194" s="58"/>
      <c r="Q194" s="58"/>
    </row>
    <row r="195" spans="3:17">
      <c r="C195" s="69"/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58"/>
      <c r="O195" s="58"/>
      <c r="P195" s="58"/>
      <c r="Q195" s="58"/>
    </row>
    <row r="196" spans="3:17">
      <c r="C196" s="69"/>
      <c r="D196" s="69"/>
      <c r="E196" s="69"/>
      <c r="F196" s="69"/>
      <c r="G196" s="69"/>
      <c r="H196" s="69"/>
      <c r="I196" s="69"/>
      <c r="J196" s="69"/>
      <c r="K196" s="69"/>
      <c r="L196" s="69"/>
      <c r="M196" s="69"/>
      <c r="N196" s="58"/>
      <c r="O196" s="58"/>
      <c r="P196" s="58"/>
      <c r="Q196" s="58"/>
    </row>
    <row r="197" spans="3:17">
      <c r="C197" s="69"/>
      <c r="D197" s="69"/>
      <c r="E197" s="69"/>
      <c r="F197" s="69"/>
      <c r="G197" s="69"/>
      <c r="H197" s="69"/>
      <c r="I197" s="69"/>
      <c r="J197" s="69"/>
      <c r="K197" s="69"/>
      <c r="L197" s="69"/>
      <c r="M197" s="69"/>
      <c r="N197" s="58"/>
      <c r="O197" s="58"/>
      <c r="P197" s="58"/>
      <c r="Q197" s="58"/>
    </row>
    <row r="198" spans="3:17"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58"/>
      <c r="O198" s="58"/>
      <c r="P198" s="58"/>
      <c r="Q198" s="58"/>
    </row>
    <row r="199" spans="3:17"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58"/>
      <c r="O199" s="58"/>
      <c r="P199" s="58"/>
      <c r="Q199" s="58"/>
    </row>
    <row r="200" spans="3:17"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58"/>
      <c r="O200" s="58"/>
      <c r="P200" s="58"/>
      <c r="Q200" s="58"/>
    </row>
    <row r="201" spans="3:17">
      <c r="C201" s="69"/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58"/>
      <c r="O201" s="58"/>
      <c r="P201" s="58"/>
      <c r="Q201" s="58"/>
    </row>
    <row r="202" spans="3:17"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58"/>
      <c r="O202" s="58"/>
      <c r="P202" s="58"/>
      <c r="Q202" s="58"/>
    </row>
    <row r="203" spans="3:17"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58"/>
      <c r="O203" s="58"/>
      <c r="P203" s="58"/>
      <c r="Q203" s="58"/>
    </row>
    <row r="204" spans="3:17"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58"/>
      <c r="O204" s="58"/>
      <c r="P204" s="58"/>
      <c r="Q204" s="58"/>
    </row>
    <row r="205" spans="3:17">
      <c r="C205" s="69"/>
      <c r="D205" s="69"/>
      <c r="E205" s="69"/>
      <c r="F205" s="69"/>
      <c r="G205" s="69"/>
      <c r="H205" s="69"/>
      <c r="I205" s="69"/>
      <c r="J205" s="69"/>
      <c r="K205" s="69"/>
      <c r="L205" s="69"/>
      <c r="M205" s="69"/>
      <c r="N205" s="58"/>
      <c r="O205" s="58"/>
      <c r="P205" s="58"/>
      <c r="Q205" s="58"/>
    </row>
    <row r="206" spans="3:17">
      <c r="C206" s="69"/>
      <c r="D206" s="69"/>
      <c r="E206" s="69"/>
      <c r="F206" s="69"/>
      <c r="G206" s="69"/>
      <c r="H206" s="69"/>
      <c r="I206" s="69"/>
      <c r="J206" s="69"/>
      <c r="K206" s="69"/>
      <c r="L206" s="69"/>
      <c r="M206" s="69"/>
      <c r="N206" s="58"/>
      <c r="O206" s="58"/>
      <c r="P206" s="58"/>
      <c r="Q206" s="58"/>
    </row>
    <row r="207" spans="3:17">
      <c r="C207" s="69"/>
      <c r="D207" s="69"/>
      <c r="E207" s="69"/>
      <c r="F207" s="69"/>
      <c r="G207" s="69"/>
      <c r="H207" s="69"/>
      <c r="I207" s="69"/>
      <c r="J207" s="69"/>
      <c r="K207" s="69"/>
      <c r="L207" s="69"/>
      <c r="M207" s="69"/>
      <c r="N207" s="58"/>
      <c r="O207" s="58"/>
      <c r="P207" s="58"/>
      <c r="Q207" s="58"/>
    </row>
    <row r="208" spans="3:17">
      <c r="C208" s="69"/>
      <c r="D208" s="69"/>
      <c r="E208" s="69"/>
      <c r="F208" s="69"/>
      <c r="G208" s="69"/>
      <c r="H208" s="69"/>
      <c r="I208" s="69"/>
      <c r="J208" s="69"/>
      <c r="K208" s="69"/>
      <c r="L208" s="69"/>
      <c r="M208" s="69"/>
      <c r="N208" s="58"/>
      <c r="O208" s="58"/>
      <c r="P208" s="58"/>
      <c r="Q208" s="58"/>
    </row>
    <row r="209" spans="3:17">
      <c r="C209" s="69"/>
      <c r="D209" s="69"/>
      <c r="E209" s="69"/>
      <c r="F209" s="69"/>
      <c r="G209" s="69"/>
      <c r="H209" s="69"/>
      <c r="I209" s="69"/>
      <c r="J209" s="69"/>
      <c r="K209" s="69"/>
      <c r="L209" s="69"/>
      <c r="M209" s="69"/>
      <c r="N209" s="58"/>
      <c r="O209" s="58"/>
      <c r="P209" s="58"/>
      <c r="Q209" s="58"/>
    </row>
    <row r="210" spans="3:17">
      <c r="C210" s="69"/>
      <c r="D210" s="69"/>
      <c r="E210" s="69"/>
      <c r="F210" s="69"/>
      <c r="G210" s="69"/>
      <c r="H210" s="69"/>
      <c r="I210" s="69"/>
      <c r="J210" s="69"/>
      <c r="K210" s="69"/>
      <c r="L210" s="69"/>
      <c r="M210" s="69"/>
      <c r="N210" s="58"/>
      <c r="O210" s="58"/>
      <c r="P210" s="58"/>
      <c r="Q210" s="58"/>
    </row>
    <row r="211" spans="3:17">
      <c r="C211" s="69"/>
      <c r="D211" s="69"/>
      <c r="E211" s="69"/>
      <c r="F211" s="69"/>
      <c r="G211" s="69"/>
      <c r="H211" s="69"/>
      <c r="I211" s="69"/>
      <c r="J211" s="69"/>
      <c r="K211" s="69"/>
      <c r="L211" s="69"/>
      <c r="M211" s="69"/>
      <c r="N211" s="58"/>
      <c r="O211" s="58"/>
      <c r="P211" s="58"/>
      <c r="Q211" s="58"/>
    </row>
    <row r="212" spans="3:17">
      <c r="C212" s="69"/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58"/>
      <c r="O212" s="58"/>
      <c r="P212" s="58"/>
      <c r="Q212" s="58"/>
    </row>
    <row r="213" spans="3:17">
      <c r="C213" s="69"/>
      <c r="D213" s="69"/>
      <c r="E213" s="69"/>
      <c r="F213" s="69"/>
      <c r="G213" s="69"/>
      <c r="H213" s="69"/>
      <c r="I213" s="69"/>
      <c r="J213" s="69"/>
      <c r="K213" s="69"/>
      <c r="L213" s="69"/>
      <c r="M213" s="69"/>
      <c r="N213" s="58"/>
      <c r="O213" s="58"/>
      <c r="P213" s="58"/>
      <c r="Q213" s="58"/>
    </row>
    <row r="214" spans="3:17">
      <c r="C214" s="69"/>
      <c r="D214" s="69"/>
      <c r="E214" s="69"/>
      <c r="F214" s="69"/>
      <c r="G214" s="69"/>
      <c r="H214" s="69"/>
      <c r="I214" s="69"/>
      <c r="J214" s="69"/>
      <c r="K214" s="69"/>
      <c r="L214" s="69"/>
      <c r="M214" s="69"/>
      <c r="N214" s="58"/>
      <c r="O214" s="58"/>
      <c r="P214" s="58"/>
      <c r="Q214" s="58"/>
    </row>
    <row r="215" spans="3:17">
      <c r="C215" s="69"/>
      <c r="D215" s="69"/>
      <c r="E215" s="69"/>
      <c r="F215" s="69"/>
      <c r="G215" s="69"/>
      <c r="H215" s="69"/>
      <c r="I215" s="69"/>
      <c r="J215" s="69"/>
      <c r="K215" s="69"/>
      <c r="L215" s="69"/>
      <c r="M215" s="69"/>
      <c r="N215" s="58"/>
      <c r="O215" s="58"/>
      <c r="P215" s="58"/>
      <c r="Q215" s="58"/>
    </row>
    <row r="216" spans="3:17"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58"/>
      <c r="O216" s="58"/>
      <c r="P216" s="58"/>
      <c r="Q216" s="58"/>
    </row>
    <row r="217" spans="3:17">
      <c r="C217" s="69"/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58"/>
      <c r="O217" s="58"/>
      <c r="P217" s="58"/>
      <c r="Q217" s="58"/>
    </row>
    <row r="218" spans="3:17"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58"/>
      <c r="O218" s="58"/>
      <c r="P218" s="58"/>
      <c r="Q218" s="58"/>
    </row>
    <row r="219" spans="3:17">
      <c r="C219" s="69"/>
      <c r="D219" s="69"/>
      <c r="E219" s="69"/>
      <c r="F219" s="69"/>
      <c r="G219" s="69"/>
      <c r="H219" s="69"/>
      <c r="I219" s="69"/>
      <c r="J219" s="69"/>
      <c r="K219" s="69"/>
      <c r="L219" s="69"/>
      <c r="M219" s="69"/>
      <c r="N219" s="58"/>
      <c r="O219" s="58"/>
      <c r="P219" s="58"/>
      <c r="Q219" s="58"/>
    </row>
    <row r="220" spans="3:17"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58"/>
      <c r="O220" s="58"/>
      <c r="P220" s="58"/>
      <c r="Q220" s="58"/>
    </row>
    <row r="221" spans="3:17">
      <c r="C221" s="69"/>
      <c r="D221" s="69"/>
      <c r="E221" s="69"/>
      <c r="F221" s="69"/>
      <c r="G221" s="69"/>
      <c r="H221" s="69"/>
      <c r="I221" s="69"/>
      <c r="J221" s="69"/>
      <c r="K221" s="69"/>
      <c r="L221" s="69"/>
      <c r="M221" s="69"/>
      <c r="N221" s="58"/>
      <c r="O221" s="58"/>
      <c r="P221" s="58"/>
      <c r="Q221" s="58"/>
    </row>
    <row r="222" spans="3:17"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58"/>
      <c r="O222" s="58"/>
      <c r="P222" s="58"/>
      <c r="Q222" s="58"/>
    </row>
    <row r="223" spans="3:17">
      <c r="C223" s="69"/>
      <c r="D223" s="69"/>
      <c r="E223" s="69"/>
      <c r="F223" s="69"/>
      <c r="G223" s="69"/>
      <c r="H223" s="69"/>
      <c r="I223" s="69"/>
      <c r="J223" s="69"/>
      <c r="K223" s="69"/>
      <c r="L223" s="69"/>
      <c r="M223" s="69"/>
      <c r="N223" s="58"/>
      <c r="O223" s="58"/>
      <c r="P223" s="58"/>
      <c r="Q223" s="58"/>
    </row>
    <row r="224" spans="3:17"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58"/>
      <c r="O224" s="58"/>
      <c r="P224" s="58"/>
      <c r="Q224" s="58"/>
    </row>
    <row r="225" spans="3:17">
      <c r="C225" s="69"/>
      <c r="D225" s="69"/>
      <c r="E225" s="69"/>
      <c r="F225" s="69"/>
      <c r="G225" s="69"/>
      <c r="H225" s="69"/>
      <c r="I225" s="69"/>
      <c r="J225" s="69"/>
      <c r="K225" s="69"/>
      <c r="L225" s="69"/>
      <c r="M225" s="69"/>
      <c r="N225" s="58"/>
      <c r="O225" s="58"/>
      <c r="P225" s="58"/>
      <c r="Q225" s="58"/>
    </row>
    <row r="226" spans="3:17"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58"/>
      <c r="O226" s="58"/>
      <c r="P226" s="58"/>
      <c r="Q226" s="58"/>
    </row>
    <row r="227" spans="3:17">
      <c r="C227" s="69"/>
      <c r="D227" s="69"/>
      <c r="E227" s="69"/>
      <c r="F227" s="69"/>
      <c r="G227" s="69"/>
      <c r="H227" s="69"/>
      <c r="I227" s="69"/>
      <c r="J227" s="69"/>
      <c r="K227" s="69"/>
      <c r="L227" s="69"/>
      <c r="M227" s="69"/>
      <c r="N227" s="58"/>
      <c r="O227" s="58"/>
      <c r="P227" s="58"/>
      <c r="Q227" s="58"/>
    </row>
    <row r="228" spans="3:17"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58"/>
      <c r="O228" s="58"/>
      <c r="P228" s="58"/>
      <c r="Q228" s="58"/>
    </row>
    <row r="229" spans="3:17">
      <c r="C229" s="69"/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58"/>
      <c r="O229" s="58"/>
      <c r="P229" s="58"/>
      <c r="Q229" s="58"/>
    </row>
    <row r="230" spans="3:17"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58"/>
      <c r="O230" s="58"/>
      <c r="P230" s="58"/>
      <c r="Q230" s="58"/>
    </row>
    <row r="231" spans="3:17">
      <c r="C231" s="69"/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58"/>
      <c r="O231" s="58"/>
      <c r="P231" s="58"/>
      <c r="Q231" s="58"/>
    </row>
    <row r="232" spans="3:17">
      <c r="C232" s="69"/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58"/>
      <c r="O232" s="58"/>
      <c r="P232" s="58"/>
      <c r="Q232" s="58"/>
    </row>
    <row r="233" spans="3:17">
      <c r="C233" s="69"/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58"/>
      <c r="O233" s="58"/>
      <c r="P233" s="58"/>
      <c r="Q233" s="58"/>
    </row>
    <row r="234" spans="3:17">
      <c r="C234" s="69"/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58"/>
      <c r="O234" s="58"/>
      <c r="P234" s="58"/>
      <c r="Q234" s="58"/>
    </row>
    <row r="235" spans="3:17">
      <c r="C235" s="69"/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58"/>
      <c r="O235" s="58"/>
      <c r="P235" s="58"/>
      <c r="Q235" s="58"/>
    </row>
    <row r="236" spans="3:17">
      <c r="C236" s="69"/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58"/>
      <c r="O236" s="58"/>
      <c r="P236" s="58"/>
      <c r="Q236" s="58"/>
    </row>
    <row r="237" spans="3:17">
      <c r="C237" s="69"/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58"/>
      <c r="O237" s="58"/>
      <c r="P237" s="58"/>
      <c r="Q237" s="58"/>
    </row>
    <row r="238" spans="3:17"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58"/>
      <c r="O238" s="58"/>
      <c r="P238" s="58"/>
      <c r="Q238" s="58"/>
    </row>
    <row r="239" spans="3:17"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58"/>
      <c r="O239" s="58"/>
      <c r="P239" s="58"/>
      <c r="Q239" s="58"/>
    </row>
    <row r="240" spans="3:17"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58"/>
      <c r="O240" s="58"/>
      <c r="P240" s="58"/>
      <c r="Q240" s="58"/>
    </row>
    <row r="241" spans="3:17"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58"/>
      <c r="O241" s="58"/>
      <c r="P241" s="58"/>
      <c r="Q241" s="58"/>
    </row>
    <row r="242" spans="3:17"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58"/>
      <c r="O242" s="58"/>
      <c r="P242" s="58"/>
      <c r="Q242" s="58"/>
    </row>
    <row r="243" spans="3:17">
      <c r="C243" s="69"/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58"/>
      <c r="O243" s="58"/>
      <c r="P243" s="58"/>
      <c r="Q243" s="58"/>
    </row>
    <row r="244" spans="3:17">
      <c r="C244" s="69"/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58"/>
      <c r="O244" s="58"/>
      <c r="P244" s="58"/>
      <c r="Q244" s="58"/>
    </row>
    <row r="245" spans="3:17">
      <c r="C245" s="69"/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58"/>
      <c r="O245" s="58"/>
      <c r="P245" s="58"/>
      <c r="Q245" s="58"/>
    </row>
    <row r="246" spans="3:17">
      <c r="C246" s="69"/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58"/>
      <c r="O246" s="58"/>
      <c r="P246" s="58"/>
      <c r="Q246" s="58"/>
    </row>
    <row r="247" spans="3:17">
      <c r="C247" s="69"/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58"/>
      <c r="O247" s="58"/>
      <c r="P247" s="58"/>
      <c r="Q247" s="58"/>
    </row>
    <row r="248" spans="3:17"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58"/>
      <c r="O248" s="58"/>
      <c r="P248" s="58"/>
      <c r="Q248" s="58"/>
    </row>
    <row r="249" spans="3:17">
      <c r="C249" s="69"/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58"/>
      <c r="O249" s="58"/>
      <c r="P249" s="58"/>
      <c r="Q249" s="58"/>
    </row>
    <row r="250" spans="3:17">
      <c r="C250" s="69"/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58"/>
      <c r="O250" s="58"/>
      <c r="P250" s="58"/>
      <c r="Q250" s="58"/>
    </row>
    <row r="251" spans="3:17">
      <c r="C251" s="69"/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58"/>
      <c r="O251" s="58"/>
      <c r="P251" s="58"/>
      <c r="Q251" s="58"/>
    </row>
    <row r="252" spans="3:17"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9"/>
      <c r="N252" s="58"/>
      <c r="O252" s="58"/>
      <c r="P252" s="58"/>
      <c r="Q252" s="58"/>
    </row>
    <row r="253" spans="3:17">
      <c r="C253" s="69"/>
      <c r="D253" s="69"/>
      <c r="E253" s="69"/>
      <c r="F253" s="69"/>
      <c r="G253" s="69"/>
      <c r="H253" s="69"/>
      <c r="I253" s="69"/>
      <c r="J253" s="69"/>
      <c r="K253" s="69"/>
      <c r="L253" s="69"/>
      <c r="M253" s="69"/>
      <c r="N253" s="58"/>
      <c r="O253" s="58"/>
      <c r="P253" s="58"/>
      <c r="Q253" s="58"/>
    </row>
    <row r="254" spans="3:17"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9"/>
      <c r="N254" s="58"/>
      <c r="O254" s="58"/>
      <c r="P254" s="58"/>
      <c r="Q254" s="58"/>
    </row>
    <row r="255" spans="3:17">
      <c r="C255" s="69"/>
      <c r="D255" s="69"/>
      <c r="E255" s="69"/>
      <c r="F255" s="69"/>
      <c r="G255" s="69"/>
      <c r="H255" s="69"/>
      <c r="I255" s="69"/>
      <c r="J255" s="69"/>
      <c r="K255" s="69"/>
      <c r="L255" s="69"/>
      <c r="M255" s="69"/>
      <c r="N255" s="58"/>
      <c r="O255" s="58"/>
      <c r="P255" s="58"/>
      <c r="Q255" s="58"/>
    </row>
    <row r="256" spans="3:17"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9"/>
      <c r="N256" s="58"/>
      <c r="O256" s="58"/>
      <c r="P256" s="58"/>
      <c r="Q256" s="58"/>
    </row>
    <row r="257" spans="3:17">
      <c r="C257" s="69"/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58"/>
      <c r="O257" s="58"/>
      <c r="P257" s="58"/>
      <c r="Q257" s="58"/>
    </row>
    <row r="258" spans="3:17"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58"/>
      <c r="O258" s="58"/>
      <c r="P258" s="58"/>
      <c r="Q258" s="58"/>
    </row>
    <row r="259" spans="3:17">
      <c r="C259" s="69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58"/>
      <c r="O259" s="58"/>
      <c r="P259" s="58"/>
      <c r="Q259" s="58"/>
    </row>
    <row r="260" spans="3:17"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58"/>
      <c r="O260" s="58"/>
      <c r="P260" s="58"/>
      <c r="Q260" s="58"/>
    </row>
    <row r="261" spans="3:17">
      <c r="C261" s="69"/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58"/>
      <c r="O261" s="58"/>
      <c r="P261" s="58"/>
      <c r="Q261" s="58"/>
    </row>
    <row r="262" spans="3:17"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58"/>
      <c r="O262" s="58"/>
      <c r="P262" s="58"/>
      <c r="Q262" s="58"/>
    </row>
    <row r="263" spans="3:17">
      <c r="C263" s="69"/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58"/>
      <c r="O263" s="58"/>
      <c r="P263" s="58"/>
      <c r="Q263" s="58"/>
    </row>
    <row r="264" spans="3:17"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58"/>
      <c r="O264" s="58"/>
      <c r="P264" s="58"/>
      <c r="Q264" s="58"/>
    </row>
  </sheetData>
  <phoneticPr fontId="3" type="noConversion"/>
  <pageMargins left="0.31496062992125984" right="0.31496062992125984" top="0.35433070866141736" bottom="0.35433070866141736" header="0.31496062992125984" footer="0.31496062992125984"/>
  <pageSetup paperSize="9" scale="56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DD2AC-1D4A-4E9F-AC02-FBE6FB471E6B}">
  <sheetPr codeName="Sheet7"/>
  <dimension ref="A1:P53"/>
  <sheetViews>
    <sheetView tabSelected="1" zoomScaleNormal="100" workbookViewId="0">
      <selection activeCell="B41" sqref="B41"/>
    </sheetView>
  </sheetViews>
  <sheetFormatPr defaultRowHeight="16.5"/>
  <cols>
    <col min="1" max="1" width="21.75" customWidth="1"/>
    <col min="2" max="2" width="14.5" customWidth="1"/>
    <col min="3" max="3" width="14.125" bestFit="1" customWidth="1"/>
    <col min="4" max="4" width="15.625" bestFit="1" customWidth="1"/>
    <col min="5" max="5" width="10.875" bestFit="1" customWidth="1"/>
    <col min="6" max="6" width="11.5" customWidth="1"/>
    <col min="7" max="7" width="14.75" bestFit="1" customWidth="1"/>
    <col min="8" max="8" width="13" bestFit="1" customWidth="1"/>
    <col min="9" max="9" width="12.875" customWidth="1"/>
    <col min="10" max="10" width="12.375" bestFit="1" customWidth="1"/>
    <col min="11" max="11" width="11.875" bestFit="1" customWidth="1"/>
    <col min="12" max="12" width="11" bestFit="1" customWidth="1"/>
    <col min="13" max="13" width="10.875" bestFit="1" customWidth="1"/>
    <col min="16" max="16" width="10.875" bestFit="1" customWidth="1"/>
  </cols>
  <sheetData>
    <row r="1" spans="1:16" ht="57" customHeight="1">
      <c r="A1" s="25">
        <v>2025</v>
      </c>
      <c r="B1" s="25" t="s">
        <v>321</v>
      </c>
    </row>
    <row r="3" spans="1:16">
      <c r="A3" t="s">
        <v>74</v>
      </c>
      <c r="B3" t="s">
        <v>97</v>
      </c>
      <c r="E3" t="s">
        <v>75</v>
      </c>
      <c r="F3" s="22" t="s">
        <v>98</v>
      </c>
    </row>
    <row r="5" spans="1:16" ht="26.25">
      <c r="A5" s="47" t="s">
        <v>6347</v>
      </c>
    </row>
    <row r="6" spans="1:16">
      <c r="D6" s="67">
        <v>0.9</v>
      </c>
    </row>
    <row r="7" spans="1:16">
      <c r="A7" t="s">
        <v>62</v>
      </c>
      <c r="B7" s="20">
        <v>741109</v>
      </c>
      <c r="C7" s="18">
        <f>VLOOKUP(B7,rate!A:E,3)*0.01</f>
        <v>0.66099999999999992</v>
      </c>
      <c r="D7">
        <f>1-((1-C7)*D6)</f>
        <v>0.69489999999999985</v>
      </c>
      <c r="F7" s="1"/>
      <c r="G7" s="1" t="s">
        <v>10</v>
      </c>
      <c r="H7" s="1" t="s">
        <v>3</v>
      </c>
      <c r="I7" s="1" t="s">
        <v>4</v>
      </c>
      <c r="J7" s="1" t="s">
        <v>5</v>
      </c>
      <c r="K7" s="1" t="s">
        <v>6</v>
      </c>
      <c r="L7" s="1" t="s">
        <v>7</v>
      </c>
    </row>
    <row r="8" spans="1:16">
      <c r="A8" t="s">
        <v>18</v>
      </c>
      <c r="B8" s="20">
        <v>0.66100000000000003</v>
      </c>
      <c r="F8" s="1" t="s">
        <v>8</v>
      </c>
      <c r="G8" s="20"/>
      <c r="H8" s="20">
        <v>1</v>
      </c>
      <c r="I8" s="20"/>
      <c r="J8" s="20"/>
      <c r="K8" s="20"/>
      <c r="L8" s="20"/>
      <c r="O8" t="s">
        <v>326</v>
      </c>
      <c r="P8" t="s">
        <v>327</v>
      </c>
    </row>
    <row r="9" spans="1:16">
      <c r="F9" s="1" t="s">
        <v>9</v>
      </c>
      <c r="G9" s="20"/>
      <c r="H9" s="20"/>
      <c r="I9" s="20"/>
      <c r="J9" s="20"/>
      <c r="K9" s="5"/>
      <c r="L9" s="5"/>
      <c r="O9">
        <f>INDEX(tax_rate!$D$2:$D$9,MATCH('4. 가결산'!$B$17,tax_rate!$B$2:$B$9,1),1)</f>
        <v>0.24</v>
      </c>
      <c r="P9" s="70">
        <f>INDEX(tax_rate!$E$2:$E$9,MATCH('4. 가결산'!$B$17,tax_rate!$B$2:$B$9,1),1)</f>
        <v>5760000</v>
      </c>
    </row>
    <row r="10" spans="1:16">
      <c r="A10" t="s">
        <v>0</v>
      </c>
      <c r="B10" s="51">
        <f>'3. 중간결산'!Q7+12000000</f>
        <v>177083621.33333331</v>
      </c>
      <c r="F10" s="1" t="s">
        <v>11</v>
      </c>
      <c r="G10" s="20">
        <v>2015</v>
      </c>
      <c r="H10" s="20">
        <v>1</v>
      </c>
      <c r="I10" s="20"/>
      <c r="J10" s="20"/>
      <c r="K10" s="5"/>
      <c r="L10" s="5"/>
      <c r="M10">
        <f>$A$1-G10</f>
        <v>10</v>
      </c>
    </row>
    <row r="11" spans="1:16">
      <c r="A11" t="s">
        <v>1</v>
      </c>
      <c r="B11" s="51">
        <f>-'3. 중간결산'!Q10</f>
        <v>89854001.790123463</v>
      </c>
      <c r="F11" s="1" t="s">
        <v>11</v>
      </c>
      <c r="G11" s="20"/>
      <c r="H11" s="20"/>
      <c r="I11" s="20"/>
      <c r="J11" s="20"/>
      <c r="K11" s="5"/>
      <c r="L11" s="5"/>
      <c r="M11">
        <f t="shared" ref="M11:M16" si="0">$A$1-G11</f>
        <v>2025</v>
      </c>
    </row>
    <row r="12" spans="1:16">
      <c r="A12" t="s">
        <v>69</v>
      </c>
      <c r="B12" s="7">
        <f>B10-B11</f>
        <v>87229619.543209851</v>
      </c>
      <c r="F12" s="1" t="s">
        <v>11</v>
      </c>
      <c r="G12" s="20"/>
      <c r="H12" s="20"/>
      <c r="I12" s="20"/>
      <c r="J12" s="20"/>
      <c r="K12" s="5"/>
      <c r="L12" s="5"/>
      <c r="M12">
        <f t="shared" si="0"/>
        <v>2025</v>
      </c>
    </row>
    <row r="13" spans="1:16">
      <c r="A13" t="s">
        <v>72</v>
      </c>
      <c r="B13" s="7">
        <f>B10*(1-(B8*0.9989))-200</f>
        <v>60159905.133071452</v>
      </c>
      <c r="C13" t="s">
        <v>68</v>
      </c>
      <c r="D13" s="9">
        <f>B12-B13</f>
        <v>27069714.410138398</v>
      </c>
      <c r="F13" s="1" t="s">
        <v>12</v>
      </c>
      <c r="G13" s="20"/>
      <c r="H13" s="20">
        <v>1</v>
      </c>
      <c r="I13" s="20"/>
      <c r="J13" s="20">
        <v>1</v>
      </c>
      <c r="K13" s="5"/>
      <c r="L13" s="5"/>
      <c r="M13">
        <f t="shared" si="0"/>
        <v>2025</v>
      </c>
    </row>
    <row r="14" spans="1:16">
      <c r="A14" t="s">
        <v>89</v>
      </c>
      <c r="B14" s="51">
        <v>80000000</v>
      </c>
      <c r="C14" t="s">
        <v>68</v>
      </c>
      <c r="D14" s="9">
        <f>B12-B14</f>
        <v>7229619.5432098508</v>
      </c>
      <c r="F14" s="1" t="s">
        <v>13</v>
      </c>
      <c r="G14" s="20"/>
      <c r="H14" s="20">
        <v>1</v>
      </c>
      <c r="I14" s="20"/>
      <c r="J14" s="20">
        <v>1</v>
      </c>
      <c r="K14" s="5"/>
      <c r="L14" s="5"/>
      <c r="M14">
        <f t="shared" si="0"/>
        <v>2025</v>
      </c>
    </row>
    <row r="15" spans="1:16">
      <c r="A15" t="s">
        <v>26</v>
      </c>
      <c r="B15" s="51">
        <v>80000000</v>
      </c>
      <c r="C15" s="23" t="s">
        <v>67</v>
      </c>
      <c r="D15">
        <f>IF(B10=0,"수입금액입력하세요",1-(B15/B10))</f>
        <v>0.5482360288453102</v>
      </c>
      <c r="F15" s="1" t="s">
        <v>14</v>
      </c>
      <c r="G15" s="20"/>
      <c r="H15" s="20"/>
      <c r="I15" s="20"/>
      <c r="J15" s="20"/>
      <c r="K15" s="5"/>
      <c r="L15" s="5"/>
      <c r="M15">
        <f t="shared" si="0"/>
        <v>2025</v>
      </c>
    </row>
    <row r="16" spans="1:16" ht="17.25" thickBot="1">
      <c r="A16" t="s">
        <v>2</v>
      </c>
      <c r="B16" s="7">
        <f>M27</f>
        <v>16581120</v>
      </c>
      <c r="F16" s="2" t="s">
        <v>15</v>
      </c>
      <c r="G16" s="21"/>
      <c r="H16" s="21"/>
      <c r="I16" s="21"/>
      <c r="J16" s="21"/>
      <c r="K16" s="6"/>
      <c r="L16" s="6"/>
      <c r="M16">
        <f t="shared" si="0"/>
        <v>2025</v>
      </c>
    </row>
    <row r="17" spans="1:13" ht="17.25" thickBot="1">
      <c r="A17" t="s">
        <v>28</v>
      </c>
      <c r="B17" s="7">
        <f>B15-B16</f>
        <v>63418880</v>
      </c>
      <c r="D17" s="9"/>
      <c r="F17" s="3" t="s">
        <v>16</v>
      </c>
      <c r="G17" s="4"/>
      <c r="H17" s="4">
        <f>SUM(H8:H16)</f>
        <v>4</v>
      </c>
      <c r="I17" s="4">
        <f t="shared" ref="I17:L17" si="1">SUM(I8:I16)</f>
        <v>0</v>
      </c>
      <c r="J17" s="4">
        <f t="shared" si="1"/>
        <v>2</v>
      </c>
      <c r="K17" s="4">
        <f t="shared" si="1"/>
        <v>0</v>
      </c>
      <c r="L17" s="4">
        <f t="shared" si="1"/>
        <v>0</v>
      </c>
    </row>
    <row r="18" spans="1:13">
      <c r="A18" t="s">
        <v>27</v>
      </c>
      <c r="B18" s="7">
        <f>B17*O9-P9</f>
        <v>9460531.1999999993</v>
      </c>
      <c r="C18" s="9"/>
      <c r="H18" s="7">
        <v>1500000</v>
      </c>
      <c r="I18" s="7">
        <v>2000000</v>
      </c>
      <c r="J18" s="7">
        <v>1000000</v>
      </c>
      <c r="K18" s="7">
        <v>500000</v>
      </c>
      <c r="L18" s="7">
        <v>1000000</v>
      </c>
    </row>
    <row r="19" spans="1:13">
      <c r="A19" t="s">
        <v>91</v>
      </c>
      <c r="B19" s="64">
        <f>B18*K35+C19</f>
        <v>0</v>
      </c>
      <c r="C19">
        <f>MIN(B18*J35,1000000)</f>
        <v>0</v>
      </c>
      <c r="D19" t="s">
        <v>1258</v>
      </c>
      <c r="F19" t="s">
        <v>17</v>
      </c>
      <c r="H19">
        <f>H17*H18</f>
        <v>6000000</v>
      </c>
      <c r="I19">
        <f t="shared" ref="I19:L19" si="2">I17*I18</f>
        <v>0</v>
      </c>
      <c r="J19">
        <f t="shared" si="2"/>
        <v>2000000</v>
      </c>
      <c r="K19">
        <f t="shared" si="2"/>
        <v>0</v>
      </c>
      <c r="L19">
        <f t="shared" si="2"/>
        <v>0</v>
      </c>
      <c r="M19">
        <f>SUM(H19:L19)</f>
        <v>8000000</v>
      </c>
    </row>
    <row r="20" spans="1:13" ht="17.25" thickBot="1">
      <c r="A20" t="s">
        <v>29</v>
      </c>
      <c r="B20" s="7">
        <f>M34</f>
        <v>364000</v>
      </c>
    </row>
    <row r="21" spans="1:13">
      <c r="A21" t="s">
        <v>64</v>
      </c>
      <c r="B21" s="9">
        <f>IF((B18-B19-B20)&lt;0,0,B18-B19-B20)</f>
        <v>9096531.1999999993</v>
      </c>
      <c r="F21" s="7" t="s">
        <v>24</v>
      </c>
      <c r="G21" s="7"/>
      <c r="H21" s="7"/>
      <c r="I21" s="10" t="s">
        <v>19</v>
      </c>
      <c r="J21" s="11"/>
      <c r="K21" s="53">
        <v>5581120</v>
      </c>
      <c r="L21" s="7">
        <f>K21</f>
        <v>5581120</v>
      </c>
      <c r="M21" s="7"/>
    </row>
    <row r="22" spans="1:13">
      <c r="A22" t="s">
        <v>71</v>
      </c>
      <c r="B22" s="9">
        <f>B21*1.1</f>
        <v>10006184.32</v>
      </c>
      <c r="F22" s="7"/>
      <c r="G22" s="7"/>
      <c r="H22" s="7"/>
      <c r="I22" s="12" t="s">
        <v>20</v>
      </c>
      <c r="J22" s="13"/>
      <c r="K22" s="54">
        <v>0</v>
      </c>
      <c r="L22" s="7">
        <f>MIN(K22*0.4,720000)</f>
        <v>0</v>
      </c>
      <c r="M22" s="7"/>
    </row>
    <row r="23" spans="1:13">
      <c r="A23" t="s">
        <v>63</v>
      </c>
      <c r="B23" s="51">
        <v>3496000</v>
      </c>
      <c r="C23" t="s">
        <v>70</v>
      </c>
      <c r="D23" s="17">
        <f>B10*0.033</f>
        <v>5843759.5039999997</v>
      </c>
      <c r="F23" s="7"/>
      <c r="G23" s="7"/>
      <c r="H23" s="7"/>
      <c r="I23" s="12" t="s">
        <v>21</v>
      </c>
      <c r="J23" s="13"/>
      <c r="K23" s="54">
        <v>3000000</v>
      </c>
      <c r="L23" s="7">
        <f>MIN(K23*1,3000000)</f>
        <v>3000000</v>
      </c>
      <c r="M23" s="7"/>
    </row>
    <row r="24" spans="1:13">
      <c r="A24" t="s">
        <v>65</v>
      </c>
      <c r="B24" s="58">
        <f>B22-B23</f>
        <v>6510184.3200000003</v>
      </c>
      <c r="F24" s="7"/>
      <c r="G24" s="7"/>
      <c r="H24" s="7"/>
      <c r="I24" s="12" t="s">
        <v>22</v>
      </c>
      <c r="J24" s="13"/>
      <c r="K24" s="55"/>
      <c r="L24" s="7">
        <f>K24*1</f>
        <v>0</v>
      </c>
      <c r="M24" s="7"/>
    </row>
    <row r="25" spans="1:13" ht="17.25" thickBot="1">
      <c r="F25" s="7"/>
      <c r="G25" s="7"/>
      <c r="H25" s="7"/>
      <c r="I25" s="14" t="s">
        <v>23</v>
      </c>
      <c r="J25" s="15"/>
      <c r="K25" s="56"/>
      <c r="L25" s="7">
        <f>MIN(K25*1,3000000)</f>
        <v>0</v>
      </c>
      <c r="M25" s="7">
        <f>SUM(L21:L25)</f>
        <v>8581120</v>
      </c>
    </row>
    <row r="26" spans="1:13">
      <c r="A26" t="s">
        <v>90</v>
      </c>
      <c r="B26" s="59"/>
      <c r="F26" s="7"/>
      <c r="G26" s="7"/>
      <c r="H26" s="7"/>
      <c r="I26" s="7"/>
      <c r="J26" s="7"/>
      <c r="K26" s="7"/>
      <c r="L26" s="7"/>
      <c r="M26" s="7"/>
    </row>
    <row r="27" spans="1:13">
      <c r="B27" s="19"/>
      <c r="F27" s="7" t="s">
        <v>25</v>
      </c>
      <c r="G27" s="7"/>
      <c r="H27" s="7"/>
      <c r="I27" s="7"/>
      <c r="J27" s="7"/>
      <c r="K27" s="7"/>
      <c r="L27" s="7"/>
      <c r="M27" s="7">
        <f>M19+M25</f>
        <v>16581120</v>
      </c>
    </row>
    <row r="28" spans="1:13">
      <c r="A28" s="64" t="s">
        <v>92</v>
      </c>
      <c r="B28" s="64"/>
      <c r="C28" s="64"/>
      <c r="D28" s="64"/>
      <c r="F28" s="7"/>
      <c r="G28" s="7"/>
      <c r="H28" s="7"/>
      <c r="I28" s="7"/>
      <c r="J28" s="7"/>
      <c r="K28" s="7"/>
      <c r="L28" s="7"/>
      <c r="M28" s="7"/>
    </row>
    <row r="29" spans="1:13">
      <c r="A29" s="64" t="s">
        <v>6345</v>
      </c>
      <c r="B29" s="64"/>
      <c r="C29" s="64"/>
      <c r="D29" s="64"/>
      <c r="F29" s="7" t="s">
        <v>29</v>
      </c>
      <c r="G29" s="7" t="s">
        <v>11</v>
      </c>
      <c r="H29" s="7"/>
      <c r="I29" s="7"/>
      <c r="J29" s="51">
        <v>1</v>
      </c>
      <c r="K29" s="7"/>
      <c r="L29" s="7">
        <f>IF(J29&gt;=2,(J29-1)*300000,IF(J29=1,150000,IF(J29=0,0)))</f>
        <v>150000</v>
      </c>
      <c r="M29" s="7"/>
    </row>
    <row r="30" spans="1:13">
      <c r="A30" s="64" t="s">
        <v>6344</v>
      </c>
      <c r="B30" s="64"/>
      <c r="C30" s="64"/>
      <c r="D30" s="64"/>
      <c r="F30" s="7"/>
      <c r="G30" s="7">
        <v>6</v>
      </c>
      <c r="H30" s="7"/>
      <c r="I30" s="7"/>
      <c r="J30" s="51"/>
      <c r="K30" s="7"/>
      <c r="L30" s="7">
        <f>IF(J30&gt;=1,(J30-1)*150000,IF(J30=0,0))</f>
        <v>0</v>
      </c>
      <c r="M30" s="7"/>
    </row>
    <row r="31" spans="1:13">
      <c r="A31" s="64" t="s">
        <v>6385</v>
      </c>
      <c r="B31" s="64"/>
      <c r="C31" s="64"/>
      <c r="D31" s="64"/>
      <c r="F31" s="7"/>
      <c r="G31" s="7" t="s">
        <v>30</v>
      </c>
      <c r="H31" s="7"/>
      <c r="I31" s="7"/>
      <c r="J31" s="51"/>
      <c r="K31" s="7"/>
      <c r="L31" s="7">
        <f>J31*300000</f>
        <v>0</v>
      </c>
      <c r="M31" s="7"/>
    </row>
    <row r="32" spans="1:13">
      <c r="A32" s="64" t="s">
        <v>6986</v>
      </c>
      <c r="B32" s="64"/>
      <c r="C32" s="64"/>
      <c r="D32" s="64"/>
      <c r="F32" s="7"/>
      <c r="G32" s="7" t="s">
        <v>31</v>
      </c>
      <c r="H32" s="7"/>
      <c r="I32" s="7"/>
      <c r="J32" s="52">
        <v>1200000</v>
      </c>
      <c r="K32" s="7"/>
      <c r="L32" s="7">
        <f>J32*0.12</f>
        <v>144000</v>
      </c>
      <c r="M32" s="7"/>
    </row>
    <row r="33" spans="1:13">
      <c r="A33" s="64"/>
      <c r="B33" s="64"/>
      <c r="C33" s="64"/>
      <c r="D33" s="64"/>
      <c r="F33" s="7"/>
      <c r="G33" s="7" t="s">
        <v>32</v>
      </c>
      <c r="H33" s="7"/>
      <c r="I33" s="7"/>
      <c r="J33" s="52">
        <v>0</v>
      </c>
      <c r="K33" s="7"/>
      <c r="L33" s="7">
        <f>J33*0.12</f>
        <v>0</v>
      </c>
      <c r="M33" s="7"/>
    </row>
    <row r="34" spans="1:13">
      <c r="A34" s="64" t="s">
        <v>6983</v>
      </c>
      <c r="B34" s="64"/>
      <c r="C34" s="64"/>
      <c r="D34" s="64"/>
      <c r="F34" s="7"/>
      <c r="G34" s="7" t="s">
        <v>66</v>
      </c>
      <c r="H34" s="7"/>
      <c r="I34" s="7"/>
      <c r="J34" s="7"/>
      <c r="K34" s="7"/>
      <c r="L34" s="7">
        <v>70000</v>
      </c>
      <c r="M34" s="7">
        <f>SUM(L29:L34)</f>
        <v>364000</v>
      </c>
    </row>
    <row r="35" spans="1:13">
      <c r="A35" s="64"/>
      <c r="B35" s="64"/>
      <c r="C35" s="64"/>
      <c r="D35" s="64"/>
      <c r="G35" t="s">
        <v>73</v>
      </c>
      <c r="H35" s="20" t="s">
        <v>6165</v>
      </c>
      <c r="I35" s="61" t="s">
        <v>4521</v>
      </c>
      <c r="J35" s="62">
        <f>IF(H35="기장세액공제",20%,0)</f>
        <v>0</v>
      </c>
      <c r="K35" s="63">
        <f>IF(I35=10%,10%,(IF(I35=20%,20%,(IF(I35=30%,30%,IF(I35=50%,50%,IF(I35=100%,100%,0)))))))</f>
        <v>0</v>
      </c>
      <c r="L35" s="60">
        <f>J35+K35</f>
        <v>0</v>
      </c>
    </row>
    <row r="36" spans="1:13">
      <c r="A36" s="64" t="s">
        <v>6173</v>
      </c>
      <c r="B36" s="64"/>
      <c r="C36" s="64"/>
      <c r="D36" s="64"/>
    </row>
    <row r="37" spans="1:13">
      <c r="A37" s="64" t="s">
        <v>6984</v>
      </c>
      <c r="B37" s="65"/>
      <c r="C37" s="65"/>
      <c r="D37" s="65"/>
      <c r="F37" s="66" t="s">
        <v>17</v>
      </c>
      <c r="G37" s="66" t="s">
        <v>6166</v>
      </c>
      <c r="H37" s="66" t="s">
        <v>6346</v>
      </c>
      <c r="I37" s="66"/>
      <c r="J37" s="66"/>
      <c r="K37" s="66"/>
      <c r="L37" s="66"/>
      <c r="M37" s="66"/>
    </row>
    <row r="38" spans="1:13">
      <c r="A38" s="64"/>
      <c r="B38" s="65"/>
      <c r="C38" s="65"/>
      <c r="D38" s="65"/>
      <c r="F38" s="66" t="s">
        <v>93</v>
      </c>
      <c r="G38" s="66"/>
      <c r="H38" s="66"/>
      <c r="I38" s="66"/>
      <c r="J38" s="66"/>
      <c r="K38" s="66"/>
      <c r="L38" s="66"/>
      <c r="M38" s="66"/>
    </row>
    <row r="39" spans="1:13">
      <c r="A39" s="64" t="s">
        <v>6985</v>
      </c>
      <c r="B39" s="65"/>
      <c r="C39" s="65"/>
      <c r="D39" s="65"/>
      <c r="F39" s="66" t="s">
        <v>24</v>
      </c>
      <c r="G39" s="66" t="s">
        <v>6386</v>
      </c>
      <c r="H39" s="66"/>
      <c r="I39" s="66"/>
      <c r="J39" s="66"/>
      <c r="K39" s="66"/>
      <c r="L39" s="66"/>
      <c r="M39" s="66"/>
    </row>
    <row r="40" spans="1:13">
      <c r="A40" s="209"/>
      <c r="B40" s="65"/>
      <c r="C40" s="65"/>
      <c r="D40" s="65"/>
      <c r="F40" s="66" t="s">
        <v>93</v>
      </c>
      <c r="G40" s="66" t="s">
        <v>20</v>
      </c>
      <c r="H40" s="66" t="s">
        <v>6169</v>
      </c>
      <c r="I40" s="66"/>
      <c r="J40" s="66"/>
      <c r="K40" s="66"/>
      <c r="L40" s="66"/>
      <c r="M40" s="66"/>
    </row>
    <row r="41" spans="1:13">
      <c r="A41" s="64"/>
      <c r="B41" s="65"/>
      <c r="C41" s="65"/>
      <c r="D41" s="65"/>
      <c r="F41" s="66" t="s">
        <v>93</v>
      </c>
      <c r="G41" s="66" t="s">
        <v>6168</v>
      </c>
      <c r="H41" s="66" t="s">
        <v>6169</v>
      </c>
      <c r="I41" s="66"/>
      <c r="J41" s="66"/>
      <c r="K41" s="66"/>
      <c r="L41" s="66"/>
      <c r="M41" s="66"/>
    </row>
    <row r="42" spans="1:13">
      <c r="A42" s="64" t="s">
        <v>6349</v>
      </c>
      <c r="B42" s="65"/>
      <c r="C42" s="65"/>
      <c r="D42" s="65"/>
      <c r="F42" s="66"/>
      <c r="G42" s="66"/>
      <c r="H42" s="66" t="s">
        <v>93</v>
      </c>
      <c r="I42" s="66"/>
      <c r="J42" s="66"/>
      <c r="K42" s="66"/>
      <c r="L42" s="66"/>
      <c r="M42" s="66"/>
    </row>
    <row r="43" spans="1:13">
      <c r="A43" s="64" t="s">
        <v>6987</v>
      </c>
      <c r="B43" s="65"/>
      <c r="C43" s="65"/>
      <c r="D43" s="65"/>
      <c r="F43" s="66" t="s">
        <v>29</v>
      </c>
      <c r="G43" s="66" t="s">
        <v>6170</v>
      </c>
      <c r="H43" s="66" t="s">
        <v>6167</v>
      </c>
      <c r="I43" s="66"/>
      <c r="J43" s="66"/>
      <c r="K43" s="66"/>
      <c r="L43" s="66"/>
      <c r="M43" s="66"/>
    </row>
    <row r="44" spans="1:13">
      <c r="A44" s="64" t="s">
        <v>6988</v>
      </c>
      <c r="B44" s="65"/>
      <c r="C44" s="65"/>
      <c r="D44" s="65"/>
      <c r="F44" s="66"/>
      <c r="G44" s="66" t="s">
        <v>6171</v>
      </c>
      <c r="H44" s="66" t="s">
        <v>6172</v>
      </c>
      <c r="I44" s="66"/>
      <c r="J44" s="66"/>
      <c r="K44" s="66"/>
      <c r="L44" s="66"/>
      <c r="M44" s="66"/>
    </row>
    <row r="45" spans="1:13">
      <c r="A45" s="64" t="s">
        <v>6989</v>
      </c>
      <c r="B45" s="65"/>
      <c r="C45" s="65"/>
      <c r="D45" s="65" t="s">
        <v>93</v>
      </c>
      <c r="F45" s="66"/>
      <c r="G45" s="66"/>
      <c r="H45" s="66"/>
      <c r="I45" s="66"/>
      <c r="J45" s="66"/>
      <c r="K45" s="66"/>
      <c r="L45" s="66"/>
      <c r="M45" s="66"/>
    </row>
    <row r="46" spans="1:13">
      <c r="A46" s="64"/>
      <c r="B46" s="65"/>
      <c r="C46" s="65"/>
      <c r="D46" s="65"/>
      <c r="F46" s="66"/>
      <c r="G46" s="66"/>
      <c r="H46" s="66"/>
      <c r="I46" s="66"/>
      <c r="J46" s="66"/>
      <c r="K46" s="66"/>
      <c r="L46" s="66"/>
      <c r="M46" s="66"/>
    </row>
    <row r="47" spans="1:13">
      <c r="A47" s="64"/>
      <c r="B47" s="65"/>
      <c r="C47" s="65"/>
      <c r="D47" s="65"/>
      <c r="F47" s="66"/>
      <c r="G47" s="66"/>
      <c r="H47" s="66"/>
      <c r="I47" s="66"/>
      <c r="J47" s="66"/>
      <c r="K47" s="66"/>
      <c r="L47" s="66"/>
      <c r="M47" s="66"/>
    </row>
    <row r="49" spans="1:5">
      <c r="A49" t="e">
        <f>VLOOKUP($B$7,표준산업분류표!$B:$V,14,FALSE)</f>
        <v>#N/A</v>
      </c>
    </row>
    <row r="50" spans="1:5">
      <c r="A50" t="e">
        <f>VLOOKUP($B$7,표준산업분류표!$B:$V,16,FALSE)</f>
        <v>#N/A</v>
      </c>
    </row>
    <row r="51" spans="1:5">
      <c r="C51" t="e">
        <f>VLOOKUP($B$7,표준산업분류표!$B:$V,18,FALSE)</f>
        <v>#N/A</v>
      </c>
    </row>
    <row r="52" spans="1:5">
      <c r="D52" t="e">
        <f>VLOOKUP($B$7,표준산업분류표!$B:$V,20,FALSE)</f>
        <v>#N/A</v>
      </c>
    </row>
    <row r="53" spans="1:5">
      <c r="E53" t="e">
        <f>VLOOKUP($B$7,표준산업분류표!$B:$V,21,FALSE)</f>
        <v>#N/A</v>
      </c>
    </row>
  </sheetData>
  <sheetProtection selectLockedCells="1"/>
  <phoneticPr fontId="3" type="noConversion"/>
  <dataValidations count="3">
    <dataValidation type="list" allowBlank="1" showInputMessage="1" showErrorMessage="1" sqref="I35" xr:uid="{3231D71A-0514-43BD-A5F2-676AA0CD92B2}">
      <formula1>"중특_창중선택,10%,20%,30%,50%,100%"</formula1>
    </dataValidation>
    <dataValidation type="list" allowBlank="1" showInputMessage="1" showErrorMessage="1" sqref="H35" xr:uid="{A1329E41-4F47-457B-A072-2A57506EBF23}">
      <formula1>"선택하세요,기장세액공제,기장세액공제비적용"</formula1>
    </dataValidation>
    <dataValidation type="list" allowBlank="1" showInputMessage="1" showErrorMessage="1" sqref="B15" xr:uid="{C3CAA202-0294-4C39-B951-F4F2B5383F4B}">
      <formula1>$B$12:$B$14</formula1>
    </dataValidation>
  </dataValidations>
  <hyperlinks>
    <hyperlink ref="F3" r:id="rId1" xr:uid="{E1CF0F53-660E-4A9C-B39E-730977439071}"/>
  </hyperlinks>
  <pageMargins left="0.70866141732283472" right="0.70866141732283472" top="0.74803149606299213" bottom="0.74803149606299213" header="0.31496062992125984" footer="0.31496062992125984"/>
  <pageSetup paperSize="9" scale="69" orientation="landscape" r:id="rId2"/>
  <rowBreaks count="1" manualBreakCount="1">
    <brk id="25" max="16383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goalNI">
                <anchor moveWithCells="1" sizeWithCells="1">
                  <from>
                    <xdr:col>2</xdr:col>
                    <xdr:colOff>9525</xdr:colOff>
                    <xdr:row>25</xdr:row>
                    <xdr:rowOff>0</xdr:rowOff>
                  </from>
                  <to>
                    <xdr:col>3</xdr:col>
                    <xdr:colOff>1076325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초기화">
                <anchor moveWithCells="1" sizeWithCells="1">
                  <from>
                    <xdr:col>2</xdr:col>
                    <xdr:colOff>0</xdr:colOff>
                    <xdr:row>3</xdr:row>
                    <xdr:rowOff>200025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74A0-9023-4D5E-8775-738DF55F39B5}">
  <dimension ref="A1:D32"/>
  <sheetViews>
    <sheetView workbookViewId="0">
      <selection activeCell="G13" sqref="G13"/>
    </sheetView>
  </sheetViews>
  <sheetFormatPr defaultRowHeight="16.5"/>
  <cols>
    <col min="1" max="1" width="13" bestFit="1" customWidth="1"/>
  </cols>
  <sheetData>
    <row r="1" spans="1:4">
      <c r="A1" t="str">
        <f>'4. 가결산'!A5</f>
        <v>노무사사무소진흥</v>
      </c>
      <c r="B1" t="s">
        <v>4483</v>
      </c>
      <c r="C1" s="72"/>
      <c r="D1" t="s">
        <v>4484</v>
      </c>
    </row>
    <row r="2" spans="1:4">
      <c r="B2" s="72" t="s">
        <v>4485</v>
      </c>
    </row>
    <row r="3" spans="1:4">
      <c r="B3" s="72" t="s">
        <v>4487</v>
      </c>
    </row>
    <row r="4" spans="1:4">
      <c r="B4" t="s">
        <v>4486</v>
      </c>
      <c r="C4">
        <f>'4. 가결산'!B7</f>
        <v>741109</v>
      </c>
    </row>
    <row r="6" spans="1:4">
      <c r="A6" t="s">
        <v>4496</v>
      </c>
    </row>
    <row r="7" spans="1:4">
      <c r="B7" t="e">
        <f>VLOOKUP($C$4,표준산업분류표!$B:$V,14,FALSE)</f>
        <v>#N/A</v>
      </c>
    </row>
    <row r="8" spans="1:4">
      <c r="B8" t="e">
        <f>VLOOKUP($C$4,표준산업분류표!$B:$V,16,FALSE)</f>
        <v>#N/A</v>
      </c>
    </row>
    <row r="9" spans="1:4">
      <c r="B9" t="e">
        <f>VLOOKUP($C$4,표준산업분류표!$B:$V,18,FALSE)</f>
        <v>#N/A</v>
      </c>
    </row>
    <row r="10" spans="1:4">
      <c r="B10" t="e">
        <f>VLOOKUP($C$4,표준산업분류표!$B:$V,20,FALSE)</f>
        <v>#N/A</v>
      </c>
    </row>
    <row r="11" spans="1:4">
      <c r="B11" t="e">
        <f>VLOOKUP($C$4,표준산업분류표!$B:$V,21,FALSE)</f>
        <v>#N/A</v>
      </c>
    </row>
    <row r="13" spans="1:4">
      <c r="A13" t="s">
        <v>4498</v>
      </c>
    </row>
    <row r="17" spans="1:2">
      <c r="A17" t="s">
        <v>4497</v>
      </c>
    </row>
    <row r="18" spans="1:2">
      <c r="B18" t="s">
        <v>4488</v>
      </c>
    </row>
    <row r="20" spans="1:2">
      <c r="B20" t="s">
        <v>4489</v>
      </c>
    </row>
    <row r="22" spans="1:2">
      <c r="B22" t="s">
        <v>4490</v>
      </c>
    </row>
    <row r="24" spans="1:2">
      <c r="B24" t="s">
        <v>4491</v>
      </c>
    </row>
    <row r="26" spans="1:2">
      <c r="B26" t="s">
        <v>4492</v>
      </c>
    </row>
    <row r="28" spans="1:2">
      <c r="B28" t="s">
        <v>4493</v>
      </c>
    </row>
    <row r="30" spans="1:2">
      <c r="B30" t="s">
        <v>4494</v>
      </c>
    </row>
    <row r="32" spans="1:2">
      <c r="B32" t="s">
        <v>4495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G41"/>
  <sheetViews>
    <sheetView workbookViewId="0">
      <selection activeCell="E24" sqref="E24"/>
    </sheetView>
  </sheetViews>
  <sheetFormatPr defaultRowHeight="16.5"/>
  <cols>
    <col min="1" max="1" width="1.5" customWidth="1"/>
    <col min="2" max="7" width="12.125" customWidth="1"/>
    <col min="8" max="8" width="1.75" customWidth="1"/>
  </cols>
  <sheetData>
    <row r="1" spans="2:7" ht="11.25" customHeight="1" thickBot="1"/>
    <row r="2" spans="2:7" ht="21.75" customHeight="1">
      <c r="B2" s="26"/>
      <c r="C2" s="27"/>
      <c r="D2" s="27"/>
      <c r="E2" s="27"/>
      <c r="F2" s="27"/>
      <c r="G2" s="28"/>
    </row>
    <row r="3" spans="2:7" ht="48.75" customHeight="1">
      <c r="B3" s="229" t="s">
        <v>83</v>
      </c>
      <c r="C3" s="230"/>
      <c r="D3" s="230"/>
      <c r="E3" s="230"/>
      <c r="F3" s="230"/>
      <c r="G3" s="231"/>
    </row>
    <row r="4" spans="2:7" ht="21.75" customHeight="1" thickBot="1">
      <c r="B4" s="29"/>
      <c r="G4" s="30"/>
    </row>
    <row r="5" spans="2:7" s="24" customFormat="1" ht="21" customHeight="1">
      <c r="B5" s="40"/>
      <c r="C5" s="41" t="s">
        <v>76</v>
      </c>
      <c r="D5" s="41"/>
      <c r="E5" s="42"/>
      <c r="F5" s="41"/>
      <c r="G5" s="43"/>
    </row>
    <row r="6" spans="2:7" s="24" customFormat="1" ht="21" customHeight="1">
      <c r="B6" s="37"/>
      <c r="C6" s="38" t="s">
        <v>77</v>
      </c>
      <c r="D6" s="38"/>
      <c r="E6" s="38"/>
      <c r="F6" s="38"/>
      <c r="G6" s="39"/>
    </row>
    <row r="7" spans="2:7" s="38" customFormat="1" ht="21" customHeight="1" thickBot="1">
      <c r="B7" s="44"/>
      <c r="C7" s="45" t="s">
        <v>78</v>
      </c>
      <c r="D7" s="45"/>
      <c r="E7" s="45"/>
      <c r="F7" s="45"/>
      <c r="G7" s="46"/>
    </row>
    <row r="8" spans="2:7">
      <c r="B8" s="29"/>
      <c r="G8" s="30"/>
    </row>
    <row r="9" spans="2:7">
      <c r="B9" s="29"/>
      <c r="G9" s="30"/>
    </row>
    <row r="10" spans="2:7">
      <c r="B10" s="226" t="s">
        <v>328</v>
      </c>
      <c r="C10" s="227"/>
      <c r="D10" s="227"/>
      <c r="E10" s="227"/>
      <c r="F10" s="227"/>
      <c r="G10" s="30"/>
    </row>
    <row r="11" spans="2:7">
      <c r="B11" s="29"/>
      <c r="G11" s="30"/>
    </row>
    <row r="12" spans="2:7">
      <c r="B12" s="226" t="s">
        <v>84</v>
      </c>
      <c r="C12" s="227"/>
      <c r="D12" s="227"/>
      <c r="E12" s="227"/>
      <c r="F12" s="227"/>
      <c r="G12" s="228"/>
    </row>
    <row r="13" spans="2:7">
      <c r="B13" s="29"/>
      <c r="G13" s="30"/>
    </row>
    <row r="14" spans="2:7">
      <c r="B14" s="29"/>
      <c r="G14" s="30"/>
    </row>
    <row r="15" spans="2:7">
      <c r="B15" s="29"/>
      <c r="G15" s="30"/>
    </row>
    <row r="16" spans="2:7">
      <c r="B16" s="223" t="s">
        <v>79</v>
      </c>
      <c r="C16" s="224"/>
      <c r="D16" s="224"/>
      <c r="E16" s="224"/>
      <c r="F16" s="224"/>
      <c r="G16" s="225"/>
    </row>
    <row r="17" spans="2:7">
      <c r="B17" s="48"/>
      <c r="C17" s="49"/>
      <c r="D17" s="49"/>
      <c r="E17" s="49"/>
      <c r="F17" s="49"/>
      <c r="G17" s="50"/>
    </row>
    <row r="18" spans="2:7">
      <c r="B18" s="48"/>
      <c r="C18" t="s">
        <v>88</v>
      </c>
      <c r="D18" s="49"/>
      <c r="E18" s="49"/>
      <c r="F18" s="49"/>
      <c r="G18" s="50"/>
    </row>
    <row r="19" spans="2:7">
      <c r="B19" s="29"/>
      <c r="G19" s="30"/>
    </row>
    <row r="20" spans="2:7">
      <c r="B20" s="29"/>
      <c r="C20" t="s">
        <v>330</v>
      </c>
      <c r="F20" s="9" t="e">
        <f>#REF!</f>
        <v>#REF!</v>
      </c>
      <c r="G20" s="30"/>
    </row>
    <row r="21" spans="2:7">
      <c r="B21" s="29"/>
      <c r="F21" s="9"/>
      <c r="G21" s="30"/>
    </row>
    <row r="22" spans="2:7">
      <c r="B22" s="29"/>
      <c r="C22" t="s">
        <v>331</v>
      </c>
      <c r="F22" s="9" t="e">
        <f>#REF!-#REF!</f>
        <v>#REF!</v>
      </c>
      <c r="G22" s="30"/>
    </row>
    <row r="23" spans="2:7">
      <c r="B23" s="29"/>
      <c r="E23" s="9"/>
      <c r="G23" s="30"/>
    </row>
    <row r="24" spans="2:7">
      <c r="B24" s="29"/>
      <c r="C24" t="s">
        <v>85</v>
      </c>
      <c r="E24" t="e">
        <f>#REF!</f>
        <v>#REF!</v>
      </c>
      <c r="F24" t="s">
        <v>86</v>
      </c>
      <c r="G24" s="30"/>
    </row>
    <row r="25" spans="2:7">
      <c r="B25" s="29"/>
      <c r="G25" s="30"/>
    </row>
    <row r="26" spans="2:7">
      <c r="B26" s="29"/>
      <c r="C26" t="s">
        <v>87</v>
      </c>
      <c r="G26" s="30"/>
    </row>
    <row r="27" spans="2:7">
      <c r="B27" s="29"/>
      <c r="E27" s="9"/>
      <c r="G27" s="30"/>
    </row>
    <row r="28" spans="2:7">
      <c r="B28" s="29"/>
      <c r="E28" s="9"/>
      <c r="G28" s="30"/>
    </row>
    <row r="29" spans="2:7">
      <c r="B29" s="29"/>
      <c r="E29" s="9"/>
      <c r="G29" s="30"/>
    </row>
    <row r="30" spans="2:7">
      <c r="B30" s="29"/>
      <c r="C30" t="s">
        <v>80</v>
      </c>
      <c r="G30" s="30"/>
    </row>
    <row r="31" spans="2:7">
      <c r="B31" s="29"/>
      <c r="G31" s="30"/>
    </row>
    <row r="32" spans="2:7">
      <c r="B32" s="226" t="s">
        <v>329</v>
      </c>
      <c r="C32" s="227"/>
      <c r="D32" s="227"/>
      <c r="E32" s="227"/>
      <c r="F32" s="227"/>
      <c r="G32" s="228"/>
    </row>
    <row r="33" spans="2:7">
      <c r="B33" s="34"/>
      <c r="C33" s="35"/>
      <c r="D33" s="35"/>
      <c r="E33" s="35"/>
      <c r="F33" s="35"/>
      <c r="G33" s="36"/>
    </row>
    <row r="34" spans="2:7">
      <c r="B34" s="29"/>
      <c r="G34" s="30"/>
    </row>
    <row r="35" spans="2:7">
      <c r="B35" s="29"/>
      <c r="E35" t="s">
        <v>81</v>
      </c>
      <c r="G35" s="30" t="s">
        <v>82</v>
      </c>
    </row>
    <row r="36" spans="2:7">
      <c r="B36" s="29"/>
      <c r="G36" s="30"/>
    </row>
    <row r="37" spans="2:7">
      <c r="B37" s="29"/>
      <c r="E37" t="s">
        <v>78</v>
      </c>
      <c r="G37" s="30" t="s">
        <v>82</v>
      </c>
    </row>
    <row r="38" spans="2:7">
      <c r="B38" s="29"/>
      <c r="G38" s="30"/>
    </row>
    <row r="39" spans="2:7">
      <c r="B39" s="29"/>
      <c r="G39" s="30"/>
    </row>
    <row r="40" spans="2:7" ht="17.25" thickBot="1">
      <c r="B40" s="31"/>
      <c r="C40" s="32"/>
      <c r="D40" s="32"/>
      <c r="E40" s="32"/>
      <c r="F40" s="32"/>
      <c r="G40" s="33"/>
    </row>
    <row r="41" spans="2:7" ht="7.5" customHeight="1"/>
  </sheetData>
  <mergeCells count="5">
    <mergeCell ref="B16:G16"/>
    <mergeCell ref="B32:G32"/>
    <mergeCell ref="B10:F10"/>
    <mergeCell ref="B12:G12"/>
    <mergeCell ref="B3:G3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E10:H10"/>
  <sheetViews>
    <sheetView topLeftCell="A13" workbookViewId="0">
      <selection activeCell="D47" sqref="D47"/>
    </sheetView>
  </sheetViews>
  <sheetFormatPr defaultRowHeight="16.5"/>
  <sheetData>
    <row r="10" spans="5:8">
      <c r="E10" s="57"/>
      <c r="F10" s="57"/>
      <c r="G10" s="57"/>
      <c r="H10" s="57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"/>
  <sheetViews>
    <sheetView topLeftCell="A10" workbookViewId="0">
      <selection activeCell="G42" sqref="G42"/>
    </sheetView>
  </sheetViews>
  <sheetFormatPr defaultRowHeight="16.5"/>
  <sheetData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E1539"/>
  <sheetViews>
    <sheetView zoomScale="130" zoomScaleNormal="130" workbookViewId="0">
      <selection activeCell="A6" sqref="A6"/>
    </sheetView>
  </sheetViews>
  <sheetFormatPr defaultRowHeight="22.5" customHeight="1"/>
  <cols>
    <col min="1" max="1" width="10.25" bestFit="1" customWidth="1"/>
    <col min="2" max="2" width="28.5" customWidth="1"/>
    <col min="3" max="4" width="8.125" bestFit="1" customWidth="1"/>
    <col min="5" max="5" width="12.625" bestFit="1" customWidth="1"/>
  </cols>
  <sheetData>
    <row r="1" spans="1:5" ht="22.5" customHeight="1">
      <c r="A1" s="8" t="s">
        <v>33</v>
      </c>
      <c r="B1" s="8" t="s">
        <v>34</v>
      </c>
      <c r="C1" s="8" t="s">
        <v>35</v>
      </c>
      <c r="D1" s="8" t="s">
        <v>36</v>
      </c>
      <c r="E1" s="8" t="s">
        <v>37</v>
      </c>
    </row>
    <row r="2" spans="1:5" ht="22.5" customHeight="1">
      <c r="A2" s="101">
        <v>11000</v>
      </c>
      <c r="B2" s="104" t="s">
        <v>99</v>
      </c>
      <c r="C2" s="107">
        <v>0</v>
      </c>
      <c r="D2" s="107">
        <v>0</v>
      </c>
      <c r="E2" s="109">
        <v>0</v>
      </c>
    </row>
    <row r="3" spans="1:5" ht="22.5" customHeight="1">
      <c r="A3" s="101">
        <v>11001</v>
      </c>
      <c r="B3" s="104" t="s">
        <v>335</v>
      </c>
      <c r="C3" s="107">
        <v>93.5</v>
      </c>
      <c r="D3" s="107">
        <v>0</v>
      </c>
      <c r="E3" s="109">
        <v>8.1</v>
      </c>
    </row>
    <row r="4" spans="1:5" ht="22.5" customHeight="1">
      <c r="A4" s="101">
        <v>11002</v>
      </c>
      <c r="B4" s="104" t="s">
        <v>336</v>
      </c>
      <c r="C4" s="107">
        <v>93.5</v>
      </c>
      <c r="D4" s="107">
        <v>0</v>
      </c>
      <c r="E4" s="109">
        <v>6</v>
      </c>
    </row>
    <row r="5" spans="1:5" ht="22.5" customHeight="1">
      <c r="A5" s="101">
        <v>11003</v>
      </c>
      <c r="B5" s="104" t="s">
        <v>337</v>
      </c>
      <c r="C5" s="107">
        <v>93.5</v>
      </c>
      <c r="D5" s="107">
        <v>0</v>
      </c>
      <c r="E5" s="109">
        <v>8.1999999999999993</v>
      </c>
    </row>
    <row r="6" spans="1:5" ht="22.5" customHeight="1">
      <c r="A6" s="101">
        <v>11004</v>
      </c>
      <c r="B6" s="104" t="s">
        <v>338</v>
      </c>
      <c r="C6" s="107">
        <v>93.5</v>
      </c>
      <c r="D6" s="107">
        <v>0</v>
      </c>
      <c r="E6" s="109">
        <v>4.5</v>
      </c>
    </row>
    <row r="7" spans="1:5" ht="22.5" customHeight="1">
      <c r="A7" s="101">
        <v>11005</v>
      </c>
      <c r="B7" s="104" t="s">
        <v>339</v>
      </c>
      <c r="C7" s="107">
        <v>93.5</v>
      </c>
      <c r="D7" s="107">
        <v>0</v>
      </c>
      <c r="E7" s="109">
        <v>9</v>
      </c>
    </row>
    <row r="8" spans="1:5" ht="22.5" customHeight="1">
      <c r="A8" s="101">
        <v>11006</v>
      </c>
      <c r="B8" s="104" t="s">
        <v>340</v>
      </c>
      <c r="C8" s="107">
        <v>93.5</v>
      </c>
      <c r="D8" s="107">
        <v>0</v>
      </c>
      <c r="E8" s="109">
        <v>8.6</v>
      </c>
    </row>
    <row r="9" spans="1:5" ht="22.5" customHeight="1">
      <c r="A9" s="101">
        <v>11007</v>
      </c>
      <c r="B9" s="104" t="s">
        <v>341</v>
      </c>
      <c r="C9" s="107">
        <v>93.5</v>
      </c>
      <c r="D9" s="107">
        <v>0</v>
      </c>
      <c r="E9" s="109">
        <v>6.3</v>
      </c>
    </row>
    <row r="10" spans="1:5" ht="22.5" customHeight="1">
      <c r="A10" s="101">
        <v>11008</v>
      </c>
      <c r="B10" s="104" t="s">
        <v>342</v>
      </c>
      <c r="C10" s="107">
        <v>93.5</v>
      </c>
      <c r="D10" s="107">
        <v>0</v>
      </c>
      <c r="E10" s="109">
        <v>8.6</v>
      </c>
    </row>
    <row r="11" spans="1:5" ht="22.5" customHeight="1">
      <c r="A11" s="101">
        <v>11009</v>
      </c>
      <c r="B11" s="104" t="s">
        <v>343</v>
      </c>
      <c r="C11" s="107">
        <v>93.5</v>
      </c>
      <c r="D11" s="107">
        <v>0</v>
      </c>
      <c r="E11" s="109">
        <v>8.1999999999999993</v>
      </c>
    </row>
    <row r="12" spans="1:5" ht="22.5" customHeight="1">
      <c r="A12" s="101">
        <v>12101</v>
      </c>
      <c r="B12" s="104" t="s">
        <v>344</v>
      </c>
      <c r="C12" s="107">
        <v>97.2</v>
      </c>
      <c r="D12" s="107">
        <v>0</v>
      </c>
      <c r="E12" s="109">
        <v>7.3</v>
      </c>
    </row>
    <row r="13" spans="1:5" ht="22.5" customHeight="1">
      <c r="A13" s="101">
        <v>12102</v>
      </c>
      <c r="B13" s="104" t="s">
        <v>345</v>
      </c>
      <c r="C13" s="107">
        <v>91.8</v>
      </c>
      <c r="D13" s="107">
        <v>0</v>
      </c>
      <c r="E13" s="109">
        <v>6.8</v>
      </c>
    </row>
    <row r="14" spans="1:5" ht="22.5" customHeight="1">
      <c r="A14" s="101">
        <v>12103</v>
      </c>
      <c r="B14" s="104" t="s">
        <v>346</v>
      </c>
      <c r="C14" s="107">
        <v>88</v>
      </c>
      <c r="D14" s="107">
        <v>0</v>
      </c>
      <c r="E14" s="109">
        <v>5.7</v>
      </c>
    </row>
    <row r="15" spans="1:5" ht="22.5" customHeight="1">
      <c r="A15" s="101">
        <v>12104</v>
      </c>
      <c r="B15" s="104" t="s">
        <v>347</v>
      </c>
      <c r="C15" s="107">
        <v>97.2</v>
      </c>
      <c r="D15" s="107">
        <v>0</v>
      </c>
      <c r="E15" s="109">
        <v>6.1</v>
      </c>
    </row>
    <row r="16" spans="1:5" ht="22.5" customHeight="1">
      <c r="A16" s="101">
        <v>12201</v>
      </c>
      <c r="B16" s="104" t="s">
        <v>100</v>
      </c>
      <c r="C16" s="107">
        <v>96.5</v>
      </c>
      <c r="D16" s="107">
        <v>0</v>
      </c>
      <c r="E16" s="109">
        <v>8.5</v>
      </c>
    </row>
    <row r="17" spans="1:5" ht="22.5" customHeight="1">
      <c r="A17" s="101">
        <v>12202</v>
      </c>
      <c r="B17" s="104" t="s">
        <v>101</v>
      </c>
      <c r="C17" s="107">
        <v>95.9</v>
      </c>
      <c r="D17" s="107">
        <v>0</v>
      </c>
      <c r="E17" s="109">
        <v>6.7</v>
      </c>
    </row>
    <row r="18" spans="1:5" ht="22.5" customHeight="1">
      <c r="A18" s="101">
        <v>12203</v>
      </c>
      <c r="B18" s="104" t="s">
        <v>102</v>
      </c>
      <c r="C18" s="107">
        <v>94.2</v>
      </c>
      <c r="D18" s="107">
        <v>0</v>
      </c>
      <c r="E18" s="109">
        <v>5.4</v>
      </c>
    </row>
    <row r="19" spans="1:5" ht="22.5" customHeight="1">
      <c r="A19" s="101">
        <v>12204</v>
      </c>
      <c r="B19" s="104" t="s">
        <v>348</v>
      </c>
      <c r="C19" s="107">
        <v>93.9</v>
      </c>
      <c r="D19" s="107">
        <v>0</v>
      </c>
      <c r="E19" s="109">
        <v>9.8000000000000007</v>
      </c>
    </row>
    <row r="20" spans="1:5" ht="22.5" customHeight="1">
      <c r="A20" s="101">
        <v>14300</v>
      </c>
      <c r="B20" s="104" t="s">
        <v>349</v>
      </c>
      <c r="C20" s="107">
        <v>93.7</v>
      </c>
      <c r="D20" s="107">
        <v>0</v>
      </c>
      <c r="E20" s="109">
        <v>17.899999999999999</v>
      </c>
    </row>
    <row r="21" spans="1:5" ht="22.5" customHeight="1">
      <c r="A21" s="101">
        <v>14301</v>
      </c>
      <c r="B21" s="104" t="s">
        <v>350</v>
      </c>
      <c r="C21" s="107">
        <v>93.7</v>
      </c>
      <c r="D21" s="107">
        <v>0</v>
      </c>
      <c r="E21" s="109">
        <v>12</v>
      </c>
    </row>
    <row r="22" spans="1:5" ht="22.5" customHeight="1">
      <c r="A22" s="101">
        <v>14302</v>
      </c>
      <c r="B22" s="104" t="s">
        <v>351</v>
      </c>
      <c r="C22" s="107">
        <v>93.7</v>
      </c>
      <c r="D22" s="107">
        <v>0</v>
      </c>
      <c r="E22" s="109">
        <v>14.2</v>
      </c>
    </row>
    <row r="23" spans="1:5" ht="22.5" customHeight="1">
      <c r="A23" s="101">
        <v>14303</v>
      </c>
      <c r="B23" s="104" t="s">
        <v>352</v>
      </c>
      <c r="C23" s="107">
        <v>93.7</v>
      </c>
      <c r="D23" s="107">
        <v>0</v>
      </c>
      <c r="E23" s="109">
        <v>15</v>
      </c>
    </row>
    <row r="24" spans="1:5" ht="22.5" customHeight="1">
      <c r="A24" s="101">
        <v>15000</v>
      </c>
      <c r="B24" s="104" t="s">
        <v>103</v>
      </c>
      <c r="C24" s="107">
        <v>80</v>
      </c>
      <c r="D24" s="107">
        <v>0</v>
      </c>
      <c r="E24" s="109">
        <v>14.3</v>
      </c>
    </row>
    <row r="25" spans="1:5" ht="22.5" customHeight="1">
      <c r="A25" s="101">
        <v>20100</v>
      </c>
      <c r="B25" s="104" t="s">
        <v>353</v>
      </c>
      <c r="C25" s="107">
        <v>91.3</v>
      </c>
      <c r="D25" s="107">
        <v>0</v>
      </c>
      <c r="E25" s="109">
        <v>8.1999999999999993</v>
      </c>
    </row>
    <row r="26" spans="1:5" ht="22.5" customHeight="1">
      <c r="A26" s="101">
        <v>20101</v>
      </c>
      <c r="B26" s="104" t="s">
        <v>354</v>
      </c>
      <c r="C26" s="107">
        <v>91.3</v>
      </c>
      <c r="D26" s="107">
        <v>0</v>
      </c>
      <c r="E26" s="109">
        <v>10.1</v>
      </c>
    </row>
    <row r="27" spans="1:5" ht="22.5" customHeight="1">
      <c r="A27" s="101">
        <v>20102</v>
      </c>
      <c r="B27" s="104" t="s">
        <v>355</v>
      </c>
      <c r="C27" s="107">
        <v>91.3</v>
      </c>
      <c r="D27" s="107">
        <v>0</v>
      </c>
      <c r="E27" s="109">
        <v>10.1</v>
      </c>
    </row>
    <row r="28" spans="1:5" ht="22.5" customHeight="1">
      <c r="A28" s="101">
        <v>20200</v>
      </c>
      <c r="B28" s="104" t="s">
        <v>104</v>
      </c>
      <c r="C28" s="107">
        <v>90.5</v>
      </c>
      <c r="D28" s="107">
        <v>0</v>
      </c>
      <c r="E28" s="109">
        <v>13.7</v>
      </c>
    </row>
    <row r="29" spans="1:5" ht="22.5" customHeight="1">
      <c r="A29" s="101">
        <v>20300</v>
      </c>
      <c r="B29" s="104" t="s">
        <v>105</v>
      </c>
      <c r="C29" s="107">
        <v>90.5</v>
      </c>
      <c r="D29" s="107">
        <v>0</v>
      </c>
      <c r="E29" s="109">
        <v>12.3</v>
      </c>
    </row>
    <row r="30" spans="1:5" ht="22.5" customHeight="1">
      <c r="A30" s="101">
        <v>51102</v>
      </c>
      <c r="B30" s="104" t="s">
        <v>356</v>
      </c>
      <c r="C30" s="107">
        <v>96.8</v>
      </c>
      <c r="D30" s="107">
        <v>0</v>
      </c>
      <c r="E30" s="109">
        <v>13.9</v>
      </c>
    </row>
    <row r="31" spans="1:5" ht="22.5" customHeight="1">
      <c r="A31" s="101">
        <v>51104</v>
      </c>
      <c r="B31" s="104" t="s">
        <v>357</v>
      </c>
      <c r="C31" s="107">
        <v>96.4</v>
      </c>
      <c r="D31" s="107">
        <v>0</v>
      </c>
      <c r="E31" s="109">
        <v>17.5</v>
      </c>
    </row>
    <row r="32" spans="1:5" ht="22.5" customHeight="1">
      <c r="A32" s="101">
        <v>51200</v>
      </c>
      <c r="B32" s="104" t="s">
        <v>358</v>
      </c>
      <c r="C32" s="107">
        <v>93.5</v>
      </c>
      <c r="D32" s="107">
        <v>0</v>
      </c>
      <c r="E32" s="109">
        <v>8.4</v>
      </c>
    </row>
    <row r="33" spans="1:5" ht="22.5" customHeight="1">
      <c r="A33" s="101">
        <v>52101</v>
      </c>
      <c r="B33" s="104" t="s">
        <v>359</v>
      </c>
      <c r="C33" s="107">
        <v>95.3</v>
      </c>
      <c r="D33" s="107">
        <v>0</v>
      </c>
      <c r="E33" s="109">
        <v>8.1</v>
      </c>
    </row>
    <row r="34" spans="1:5" ht="22.5" customHeight="1">
      <c r="A34" s="101">
        <v>52103</v>
      </c>
      <c r="B34" s="104" t="s">
        <v>360</v>
      </c>
      <c r="C34" s="107">
        <v>92.7</v>
      </c>
      <c r="D34" s="107">
        <v>0</v>
      </c>
      <c r="E34" s="109">
        <v>10.1</v>
      </c>
    </row>
    <row r="35" spans="1:5" ht="22.5" customHeight="1">
      <c r="A35" s="101">
        <v>52104</v>
      </c>
      <c r="B35" s="104" t="s">
        <v>361</v>
      </c>
      <c r="C35" s="107">
        <v>95.5</v>
      </c>
      <c r="D35" s="107">
        <v>0</v>
      </c>
      <c r="E35" s="109">
        <v>8.5</v>
      </c>
    </row>
    <row r="36" spans="1:5" ht="22.5" customHeight="1">
      <c r="A36" s="101">
        <v>52200</v>
      </c>
      <c r="B36" s="104" t="s">
        <v>362</v>
      </c>
      <c r="C36" s="107">
        <v>95.3</v>
      </c>
      <c r="D36" s="107">
        <v>0</v>
      </c>
      <c r="E36" s="109">
        <v>11</v>
      </c>
    </row>
    <row r="37" spans="1:5" ht="22.5" customHeight="1">
      <c r="A37" s="101">
        <v>101000</v>
      </c>
      <c r="B37" s="104" t="s">
        <v>363</v>
      </c>
      <c r="C37" s="107">
        <v>96.9</v>
      </c>
      <c r="D37" s="107">
        <v>0</v>
      </c>
      <c r="E37" s="109">
        <v>18.899999999999999</v>
      </c>
    </row>
    <row r="38" spans="1:5" ht="22.5" customHeight="1">
      <c r="A38" s="101">
        <v>101001</v>
      </c>
      <c r="B38" s="104" t="s">
        <v>364</v>
      </c>
      <c r="C38" s="107">
        <v>96.9</v>
      </c>
      <c r="D38" s="107">
        <v>0</v>
      </c>
      <c r="E38" s="109">
        <v>18.899999999999999</v>
      </c>
    </row>
    <row r="39" spans="1:5" ht="22.5" customHeight="1">
      <c r="A39" s="101">
        <v>131000</v>
      </c>
      <c r="B39" s="104" t="s">
        <v>365</v>
      </c>
      <c r="C39" s="107">
        <v>92.2</v>
      </c>
      <c r="D39" s="107">
        <v>0</v>
      </c>
      <c r="E39" s="109">
        <v>23.6</v>
      </c>
    </row>
    <row r="40" spans="1:5" ht="22.5" customHeight="1">
      <c r="A40" s="101">
        <v>131003</v>
      </c>
      <c r="B40" s="104" t="s">
        <v>366</v>
      </c>
      <c r="C40" s="107">
        <v>92.2</v>
      </c>
      <c r="D40" s="107">
        <v>0</v>
      </c>
      <c r="E40" s="109">
        <v>23.6</v>
      </c>
    </row>
    <row r="41" spans="1:5" ht="22.5" customHeight="1">
      <c r="A41" s="101">
        <v>132002</v>
      </c>
      <c r="B41" s="104" t="s">
        <v>366</v>
      </c>
      <c r="C41" s="107">
        <v>95.5</v>
      </c>
      <c r="D41" s="107">
        <v>0</v>
      </c>
      <c r="E41" s="109">
        <v>23.6</v>
      </c>
    </row>
    <row r="42" spans="1:5" ht="22.5" customHeight="1">
      <c r="A42" s="101">
        <v>132003</v>
      </c>
      <c r="B42" s="104" t="s">
        <v>366</v>
      </c>
      <c r="C42" s="107">
        <v>96.6</v>
      </c>
      <c r="D42" s="107">
        <v>0</v>
      </c>
      <c r="E42" s="109">
        <v>21.2</v>
      </c>
    </row>
    <row r="43" spans="1:5" ht="22.5" customHeight="1">
      <c r="A43" s="101">
        <v>141001</v>
      </c>
      <c r="B43" s="104" t="s">
        <v>367</v>
      </c>
      <c r="C43" s="107">
        <v>91.9</v>
      </c>
      <c r="D43" s="107">
        <v>0</v>
      </c>
      <c r="E43" s="109">
        <v>26.7</v>
      </c>
    </row>
    <row r="44" spans="1:5" ht="22.5" customHeight="1">
      <c r="A44" s="101">
        <v>141002</v>
      </c>
      <c r="B44" s="104" t="s">
        <v>368</v>
      </c>
      <c r="C44" s="107">
        <v>94.1</v>
      </c>
      <c r="D44" s="107">
        <v>0</v>
      </c>
      <c r="E44" s="109">
        <v>39.9</v>
      </c>
    </row>
    <row r="45" spans="1:5" ht="22.5" customHeight="1">
      <c r="A45" s="101">
        <v>141003</v>
      </c>
      <c r="B45" s="104" t="s">
        <v>367</v>
      </c>
      <c r="C45" s="107">
        <v>89.4</v>
      </c>
      <c r="D45" s="107">
        <v>0</v>
      </c>
      <c r="E45" s="109">
        <v>26.7</v>
      </c>
    </row>
    <row r="46" spans="1:5" ht="22.5" customHeight="1">
      <c r="A46" s="101">
        <v>141004</v>
      </c>
      <c r="B46" s="104" t="s">
        <v>106</v>
      </c>
      <c r="C46" s="107">
        <v>88.3</v>
      </c>
      <c r="D46" s="107">
        <v>0</v>
      </c>
      <c r="E46" s="109">
        <v>39.9</v>
      </c>
    </row>
    <row r="47" spans="1:5" ht="22.5" customHeight="1">
      <c r="A47" s="101">
        <v>141006</v>
      </c>
      <c r="B47" s="104" t="s">
        <v>106</v>
      </c>
      <c r="C47" s="107">
        <v>94.1</v>
      </c>
      <c r="D47" s="107">
        <v>0</v>
      </c>
      <c r="E47" s="109">
        <v>39.9</v>
      </c>
    </row>
    <row r="48" spans="1:5" ht="22.5" customHeight="1">
      <c r="A48" s="101">
        <v>142101</v>
      </c>
      <c r="B48" s="104" t="s">
        <v>364</v>
      </c>
      <c r="C48" s="107">
        <v>93.5</v>
      </c>
      <c r="D48" s="107">
        <v>0</v>
      </c>
      <c r="E48" s="109">
        <v>23.3</v>
      </c>
    </row>
    <row r="49" spans="1:5" ht="22.5" customHeight="1">
      <c r="A49" s="101">
        <v>142102</v>
      </c>
      <c r="B49" s="104" t="s">
        <v>369</v>
      </c>
      <c r="C49" s="107">
        <v>94.2</v>
      </c>
      <c r="D49" s="107">
        <v>0</v>
      </c>
      <c r="E49" s="109">
        <v>23.3</v>
      </c>
    </row>
    <row r="50" spans="1:5" ht="22.5" customHeight="1">
      <c r="A50" s="101">
        <v>142104</v>
      </c>
      <c r="B50" s="104" t="s">
        <v>369</v>
      </c>
      <c r="C50" s="107">
        <v>93.5</v>
      </c>
      <c r="D50" s="107">
        <v>0</v>
      </c>
      <c r="E50" s="109">
        <v>23.3</v>
      </c>
    </row>
    <row r="51" spans="1:5" ht="22.5" customHeight="1">
      <c r="A51" s="101">
        <v>142200</v>
      </c>
      <c r="B51" s="104" t="s">
        <v>370</v>
      </c>
      <c r="C51" s="107">
        <v>93.7</v>
      </c>
      <c r="D51" s="107">
        <v>0</v>
      </c>
      <c r="E51" s="109">
        <v>11.7</v>
      </c>
    </row>
    <row r="52" spans="1:5" ht="22.5" customHeight="1">
      <c r="A52" s="101">
        <v>142902</v>
      </c>
      <c r="B52" s="104" t="s">
        <v>364</v>
      </c>
      <c r="C52" s="107">
        <v>94.3</v>
      </c>
      <c r="D52" s="107">
        <v>0</v>
      </c>
      <c r="E52" s="109">
        <v>21.4</v>
      </c>
    </row>
    <row r="53" spans="1:5" ht="22.5" customHeight="1">
      <c r="A53" s="101">
        <v>142909</v>
      </c>
      <c r="B53" s="104" t="s">
        <v>371</v>
      </c>
      <c r="C53" s="107">
        <v>94.3</v>
      </c>
      <c r="D53" s="107">
        <v>0</v>
      </c>
      <c r="E53" s="109">
        <v>18.899999999999999</v>
      </c>
    </row>
    <row r="54" spans="1:5" ht="22.5" customHeight="1">
      <c r="A54" s="101">
        <v>142910</v>
      </c>
      <c r="B54" s="104" t="s">
        <v>372</v>
      </c>
      <c r="C54" s="107">
        <v>94.3</v>
      </c>
      <c r="D54" s="107">
        <v>0</v>
      </c>
      <c r="E54" s="109">
        <v>18.899999999999999</v>
      </c>
    </row>
    <row r="55" spans="1:5" ht="22.5" customHeight="1">
      <c r="A55" s="101">
        <v>143101</v>
      </c>
      <c r="B55" s="104" t="s">
        <v>373</v>
      </c>
      <c r="C55" s="107">
        <v>97.5</v>
      </c>
      <c r="D55" s="107">
        <v>0</v>
      </c>
      <c r="E55" s="109">
        <v>23.3</v>
      </c>
    </row>
    <row r="56" spans="1:5" ht="22.5" customHeight="1">
      <c r="A56" s="101">
        <v>143103</v>
      </c>
      <c r="B56" s="104" t="s">
        <v>374</v>
      </c>
      <c r="C56" s="107">
        <v>94.9</v>
      </c>
      <c r="D56" s="107">
        <v>0</v>
      </c>
      <c r="E56" s="109">
        <v>23.3</v>
      </c>
    </row>
    <row r="57" spans="1:5" ht="22.5" customHeight="1">
      <c r="A57" s="101">
        <v>143106</v>
      </c>
      <c r="B57" s="104" t="s">
        <v>375</v>
      </c>
      <c r="C57" s="107">
        <v>97.5</v>
      </c>
      <c r="D57" s="107">
        <v>0</v>
      </c>
      <c r="E57" s="109">
        <v>23.3</v>
      </c>
    </row>
    <row r="58" spans="1:5" ht="22.5" customHeight="1">
      <c r="A58" s="101">
        <v>143107</v>
      </c>
      <c r="B58" s="104" t="s">
        <v>4389</v>
      </c>
      <c r="C58" s="107">
        <v>94.9</v>
      </c>
      <c r="D58" s="107">
        <v>0</v>
      </c>
      <c r="E58" s="109">
        <v>23.3</v>
      </c>
    </row>
    <row r="59" spans="1:5" ht="22.5" customHeight="1">
      <c r="A59" s="101">
        <v>143200</v>
      </c>
      <c r="B59" s="104" t="s">
        <v>1150</v>
      </c>
      <c r="C59" s="107">
        <v>90.1</v>
      </c>
      <c r="D59" s="107">
        <v>0</v>
      </c>
      <c r="E59" s="109">
        <v>18</v>
      </c>
    </row>
    <row r="60" spans="1:5" ht="22.5" customHeight="1">
      <c r="A60" s="101">
        <v>151101</v>
      </c>
      <c r="B60" s="104" t="s">
        <v>376</v>
      </c>
      <c r="C60" s="107">
        <v>91.1</v>
      </c>
      <c r="D60" s="107">
        <v>0</v>
      </c>
      <c r="E60" s="109">
        <v>13.6</v>
      </c>
    </row>
    <row r="61" spans="1:5" ht="22.5" customHeight="1">
      <c r="A61" s="101">
        <v>151102</v>
      </c>
      <c r="B61" s="104" t="s">
        <v>377</v>
      </c>
      <c r="C61" s="107">
        <v>90.2</v>
      </c>
      <c r="D61" s="107">
        <v>0</v>
      </c>
      <c r="E61" s="109">
        <v>4.7</v>
      </c>
    </row>
    <row r="62" spans="1:5" ht="22.5" customHeight="1">
      <c r="A62" s="101">
        <v>151103</v>
      </c>
      <c r="B62" s="104" t="s">
        <v>378</v>
      </c>
      <c r="C62" s="107">
        <v>91.1</v>
      </c>
      <c r="D62" s="107">
        <v>0</v>
      </c>
      <c r="E62" s="109">
        <v>13.6</v>
      </c>
    </row>
    <row r="63" spans="1:5" ht="22.5" customHeight="1">
      <c r="A63" s="101">
        <v>151104</v>
      </c>
      <c r="B63" s="104" t="s">
        <v>379</v>
      </c>
      <c r="C63" s="107">
        <v>90.2</v>
      </c>
      <c r="D63" s="107">
        <v>0</v>
      </c>
      <c r="E63" s="109">
        <v>7.4</v>
      </c>
    </row>
    <row r="64" spans="1:5" ht="22.5" customHeight="1">
      <c r="A64" s="101">
        <v>151105</v>
      </c>
      <c r="B64" s="104" t="s">
        <v>380</v>
      </c>
      <c r="C64" s="107">
        <v>90.2</v>
      </c>
      <c r="D64" s="107">
        <v>0</v>
      </c>
      <c r="E64" s="109">
        <v>6</v>
      </c>
    </row>
    <row r="65" spans="1:5" ht="22.5" customHeight="1">
      <c r="A65" s="101">
        <v>151200</v>
      </c>
      <c r="B65" s="104" t="s">
        <v>381</v>
      </c>
      <c r="C65" s="107">
        <v>94.2</v>
      </c>
      <c r="D65" s="107">
        <v>0</v>
      </c>
      <c r="E65" s="109">
        <v>6.1</v>
      </c>
    </row>
    <row r="66" spans="1:5" ht="22.5" customHeight="1">
      <c r="A66" s="101">
        <v>151201</v>
      </c>
      <c r="B66" s="104" t="s">
        <v>382</v>
      </c>
      <c r="C66" s="107">
        <v>94.2</v>
      </c>
      <c r="D66" s="107">
        <v>0</v>
      </c>
      <c r="E66" s="109">
        <v>3.9</v>
      </c>
    </row>
    <row r="67" spans="1:5" ht="22.5" customHeight="1">
      <c r="A67" s="101">
        <v>151202</v>
      </c>
      <c r="B67" s="104" t="s">
        <v>383</v>
      </c>
      <c r="C67" s="107">
        <v>94.2</v>
      </c>
      <c r="D67" s="107">
        <v>0</v>
      </c>
      <c r="E67" s="109">
        <v>7.8</v>
      </c>
    </row>
    <row r="68" spans="1:5" ht="22.5" customHeight="1">
      <c r="A68" s="101">
        <v>151203</v>
      </c>
      <c r="B68" s="104" t="s">
        <v>384</v>
      </c>
      <c r="C68" s="107">
        <v>94.2</v>
      </c>
      <c r="D68" s="107">
        <v>0</v>
      </c>
      <c r="E68" s="109">
        <v>7.8</v>
      </c>
    </row>
    <row r="69" spans="1:5" ht="22.5" customHeight="1">
      <c r="A69" s="101">
        <v>151301</v>
      </c>
      <c r="B69" s="104" t="s">
        <v>385</v>
      </c>
      <c r="C69" s="107">
        <v>92.3</v>
      </c>
      <c r="D69" s="107">
        <v>0</v>
      </c>
      <c r="E69" s="109">
        <v>8</v>
      </c>
    </row>
    <row r="70" spans="1:5" ht="22.5" customHeight="1">
      <c r="A70" s="101">
        <v>151302</v>
      </c>
      <c r="B70" s="104" t="s">
        <v>386</v>
      </c>
      <c r="C70" s="107">
        <v>92.3</v>
      </c>
      <c r="D70" s="107">
        <v>0</v>
      </c>
      <c r="E70" s="109">
        <v>9.1</v>
      </c>
    </row>
    <row r="71" spans="1:5" ht="22.5" customHeight="1">
      <c r="A71" s="101">
        <v>151304</v>
      </c>
      <c r="B71" s="104" t="s">
        <v>387</v>
      </c>
      <c r="C71" s="107">
        <v>92.3</v>
      </c>
      <c r="D71" s="107">
        <v>0</v>
      </c>
      <c r="E71" s="109">
        <v>6.3</v>
      </c>
    </row>
    <row r="72" spans="1:5" ht="22.5" customHeight="1">
      <c r="A72" s="101">
        <v>151400</v>
      </c>
      <c r="B72" s="104" t="s">
        <v>388</v>
      </c>
      <c r="C72" s="107">
        <v>92.6</v>
      </c>
      <c r="D72" s="107">
        <v>0</v>
      </c>
      <c r="E72" s="109">
        <v>4.2</v>
      </c>
    </row>
    <row r="73" spans="1:5" ht="22.5" customHeight="1">
      <c r="A73" s="101">
        <v>151401</v>
      </c>
      <c r="B73" s="104" t="s">
        <v>389</v>
      </c>
      <c r="C73" s="107">
        <v>92.6</v>
      </c>
      <c r="D73" s="107">
        <v>0</v>
      </c>
      <c r="E73" s="109">
        <v>5.9</v>
      </c>
    </row>
    <row r="74" spans="1:5" ht="22.5" customHeight="1">
      <c r="A74" s="101">
        <v>151402</v>
      </c>
      <c r="B74" s="104" t="s">
        <v>390</v>
      </c>
      <c r="C74" s="107">
        <v>92.6</v>
      </c>
      <c r="D74" s="107">
        <v>0</v>
      </c>
      <c r="E74" s="109">
        <v>4.0999999999999996</v>
      </c>
    </row>
    <row r="75" spans="1:5" ht="22.5" customHeight="1">
      <c r="A75" s="101">
        <v>152001</v>
      </c>
      <c r="B75" s="104" t="s">
        <v>391</v>
      </c>
      <c r="C75" s="107">
        <v>94.9</v>
      </c>
      <c r="D75" s="107">
        <v>0</v>
      </c>
      <c r="E75" s="109">
        <v>6.1</v>
      </c>
    </row>
    <row r="76" spans="1:5" ht="22.5" customHeight="1">
      <c r="A76" s="101">
        <v>152002</v>
      </c>
      <c r="B76" s="104" t="s">
        <v>392</v>
      </c>
      <c r="C76" s="107">
        <v>91.2</v>
      </c>
      <c r="D76" s="107">
        <v>0</v>
      </c>
      <c r="E76" s="109">
        <v>6.1</v>
      </c>
    </row>
    <row r="77" spans="1:5" ht="22.5" customHeight="1">
      <c r="A77" s="101">
        <v>152003</v>
      </c>
      <c r="B77" s="104" t="s">
        <v>393</v>
      </c>
      <c r="C77" s="107">
        <v>91.2</v>
      </c>
      <c r="D77" s="107">
        <v>0</v>
      </c>
      <c r="E77" s="109">
        <v>6.1</v>
      </c>
    </row>
    <row r="78" spans="1:5" ht="22.5" customHeight="1">
      <c r="A78" s="101">
        <v>153101</v>
      </c>
      <c r="B78" s="104" t="s">
        <v>394</v>
      </c>
      <c r="C78" s="107">
        <v>90.2</v>
      </c>
      <c r="D78" s="107">
        <v>0</v>
      </c>
      <c r="E78" s="109">
        <v>8.6</v>
      </c>
    </row>
    <row r="79" spans="1:5" ht="22.5" customHeight="1">
      <c r="A79" s="101">
        <v>153102</v>
      </c>
      <c r="B79" s="104" t="s">
        <v>395</v>
      </c>
      <c r="C79" s="107">
        <v>97.5</v>
      </c>
      <c r="D79" s="107">
        <v>0</v>
      </c>
      <c r="E79" s="109">
        <v>3</v>
      </c>
    </row>
    <row r="80" spans="1:5" ht="22.5" customHeight="1">
      <c r="A80" s="101">
        <v>153103</v>
      </c>
      <c r="B80" s="104" t="s">
        <v>396</v>
      </c>
      <c r="C80" s="107">
        <v>92.6</v>
      </c>
      <c r="D80" s="107">
        <v>0</v>
      </c>
      <c r="E80" s="109">
        <v>6.3</v>
      </c>
    </row>
    <row r="81" spans="1:5" ht="22.5" customHeight="1">
      <c r="A81" s="101">
        <v>153104</v>
      </c>
      <c r="B81" s="104" t="s">
        <v>397</v>
      </c>
      <c r="C81" s="107">
        <v>90.2</v>
      </c>
      <c r="D81" s="107">
        <v>0</v>
      </c>
      <c r="E81" s="109">
        <v>8.4</v>
      </c>
    </row>
    <row r="82" spans="1:5" ht="22.5" customHeight="1">
      <c r="A82" s="101">
        <v>153105</v>
      </c>
      <c r="B82" s="104" t="s">
        <v>109</v>
      </c>
      <c r="C82" s="107">
        <v>92.2</v>
      </c>
      <c r="D82" s="107">
        <v>0</v>
      </c>
      <c r="E82" s="109">
        <v>7.8</v>
      </c>
    </row>
    <row r="83" spans="1:5" ht="22.5" customHeight="1">
      <c r="A83" s="101">
        <v>153106</v>
      </c>
      <c r="B83" s="104" t="s">
        <v>398</v>
      </c>
      <c r="C83" s="107">
        <v>90.2</v>
      </c>
      <c r="D83" s="107">
        <v>0</v>
      </c>
      <c r="E83" s="109">
        <v>9.6</v>
      </c>
    </row>
    <row r="84" spans="1:5" ht="22.5" customHeight="1">
      <c r="A84" s="101">
        <v>153107</v>
      </c>
      <c r="B84" s="104" t="s">
        <v>399</v>
      </c>
      <c r="C84" s="107">
        <v>90.2</v>
      </c>
      <c r="D84" s="107">
        <v>0</v>
      </c>
      <c r="E84" s="109">
        <v>8.6</v>
      </c>
    </row>
    <row r="85" spans="1:5" ht="22.5" customHeight="1">
      <c r="A85" s="101">
        <v>153202</v>
      </c>
      <c r="B85" s="104" t="s">
        <v>109</v>
      </c>
      <c r="C85" s="107">
        <v>89.8</v>
      </c>
      <c r="D85" s="107">
        <v>0</v>
      </c>
      <c r="E85" s="109">
        <v>10.199999999999999</v>
      </c>
    </row>
    <row r="86" spans="1:5" ht="22.5" customHeight="1">
      <c r="A86" s="101">
        <v>153300</v>
      </c>
      <c r="B86" s="104" t="s">
        <v>400</v>
      </c>
      <c r="C86" s="107">
        <v>96</v>
      </c>
      <c r="D86" s="107">
        <v>0</v>
      </c>
      <c r="E86" s="109">
        <v>9.9</v>
      </c>
    </row>
    <row r="87" spans="1:5" ht="22.5" customHeight="1">
      <c r="A87" s="101">
        <v>153301</v>
      </c>
      <c r="B87" s="104" t="s">
        <v>397</v>
      </c>
      <c r="C87" s="107">
        <v>96.2</v>
      </c>
      <c r="D87" s="107">
        <v>0</v>
      </c>
      <c r="E87" s="109">
        <v>9</v>
      </c>
    </row>
    <row r="88" spans="1:5" ht="22.5" customHeight="1">
      <c r="A88" s="101">
        <v>154101</v>
      </c>
      <c r="B88" s="104" t="s">
        <v>401</v>
      </c>
      <c r="C88" s="107">
        <v>91.9</v>
      </c>
      <c r="D88" s="107">
        <v>0</v>
      </c>
      <c r="E88" s="109">
        <v>10.6</v>
      </c>
    </row>
    <row r="89" spans="1:5" ht="22.5" customHeight="1">
      <c r="A89" s="101">
        <v>154102</v>
      </c>
      <c r="B89" s="104" t="s">
        <v>402</v>
      </c>
      <c r="C89" s="107">
        <v>90.2</v>
      </c>
      <c r="D89" s="107">
        <v>0</v>
      </c>
      <c r="E89" s="109">
        <v>10.6</v>
      </c>
    </row>
    <row r="90" spans="1:5" ht="22.5" customHeight="1">
      <c r="A90" s="101">
        <v>154103</v>
      </c>
      <c r="B90" s="104" t="s">
        <v>403</v>
      </c>
      <c r="C90" s="107">
        <v>91.9</v>
      </c>
      <c r="D90" s="107">
        <v>0</v>
      </c>
      <c r="E90" s="109">
        <v>7.8</v>
      </c>
    </row>
    <row r="91" spans="1:5" ht="22.5" customHeight="1">
      <c r="A91" s="101">
        <v>154104</v>
      </c>
      <c r="B91" s="104" t="s">
        <v>404</v>
      </c>
      <c r="C91" s="107">
        <v>90.2</v>
      </c>
      <c r="D91" s="107">
        <v>0</v>
      </c>
      <c r="E91" s="109">
        <v>13.8</v>
      </c>
    </row>
    <row r="92" spans="1:5" ht="22.5" customHeight="1">
      <c r="A92" s="101">
        <v>154200</v>
      </c>
      <c r="B92" s="104" t="s">
        <v>405</v>
      </c>
      <c r="C92" s="107">
        <v>91.4</v>
      </c>
      <c r="D92" s="107">
        <v>0</v>
      </c>
      <c r="E92" s="109">
        <v>11.5</v>
      </c>
    </row>
    <row r="93" spans="1:5" ht="22.5" customHeight="1">
      <c r="A93" s="101">
        <v>154400</v>
      </c>
      <c r="B93" s="104" t="s">
        <v>406</v>
      </c>
      <c r="C93" s="107">
        <v>94.2</v>
      </c>
      <c r="D93" s="107">
        <v>0</v>
      </c>
      <c r="E93" s="109">
        <v>11.2</v>
      </c>
    </row>
    <row r="94" spans="1:5" ht="22.5" customHeight="1">
      <c r="A94" s="101">
        <v>154501</v>
      </c>
      <c r="B94" s="104" t="s">
        <v>407</v>
      </c>
      <c r="C94" s="107">
        <v>89.2</v>
      </c>
      <c r="D94" s="107">
        <v>0</v>
      </c>
      <c r="E94" s="109">
        <v>8.4</v>
      </c>
    </row>
    <row r="95" spans="1:5" ht="22.5" customHeight="1">
      <c r="A95" s="101">
        <v>154502</v>
      </c>
      <c r="B95" s="104" t="s">
        <v>408</v>
      </c>
      <c r="C95" s="107">
        <v>91.5</v>
      </c>
      <c r="D95" s="107">
        <v>0</v>
      </c>
      <c r="E95" s="109">
        <v>9.5</v>
      </c>
    </row>
    <row r="96" spans="1:5" ht="22.5" customHeight="1">
      <c r="A96" s="101">
        <v>154503</v>
      </c>
      <c r="B96" s="104" t="s">
        <v>409</v>
      </c>
      <c r="C96" s="107">
        <v>89.2</v>
      </c>
      <c r="D96" s="107">
        <v>0</v>
      </c>
      <c r="E96" s="109">
        <v>8.3000000000000007</v>
      </c>
    </row>
    <row r="97" spans="1:5" ht="22.5" customHeight="1">
      <c r="A97" s="101">
        <v>154509</v>
      </c>
      <c r="B97" s="104" t="s">
        <v>110</v>
      </c>
      <c r="C97" s="107">
        <v>93.7</v>
      </c>
      <c r="D97" s="107">
        <v>0</v>
      </c>
      <c r="E97" s="109">
        <v>10</v>
      </c>
    </row>
    <row r="98" spans="1:5" ht="22.5" customHeight="1">
      <c r="A98" s="101">
        <v>154801</v>
      </c>
      <c r="B98" s="104" t="s">
        <v>395</v>
      </c>
      <c r="C98" s="107">
        <v>91.2</v>
      </c>
      <c r="D98" s="107">
        <v>0</v>
      </c>
      <c r="E98" s="109">
        <v>9.6</v>
      </c>
    </row>
    <row r="99" spans="1:5" ht="22.5" customHeight="1">
      <c r="A99" s="101">
        <v>154802</v>
      </c>
      <c r="B99" s="104" t="s">
        <v>396</v>
      </c>
      <c r="C99" s="107">
        <v>92.7</v>
      </c>
      <c r="D99" s="107">
        <v>0</v>
      </c>
      <c r="E99" s="109">
        <v>9.1</v>
      </c>
    </row>
    <row r="100" spans="1:5" ht="22.5" customHeight="1">
      <c r="A100" s="101">
        <v>154803</v>
      </c>
      <c r="B100" s="104" t="s">
        <v>4390</v>
      </c>
      <c r="C100" s="107">
        <v>92.3</v>
      </c>
      <c r="D100" s="107">
        <v>0</v>
      </c>
      <c r="E100" s="109">
        <v>3.2</v>
      </c>
    </row>
    <row r="101" spans="1:5" ht="22.5" customHeight="1">
      <c r="A101" s="101">
        <v>154804</v>
      </c>
      <c r="B101" s="104" t="s">
        <v>4391</v>
      </c>
      <c r="C101" s="107">
        <v>93.1</v>
      </c>
      <c r="D101" s="107">
        <v>0</v>
      </c>
      <c r="E101" s="109">
        <v>6</v>
      </c>
    </row>
    <row r="102" spans="1:5" ht="22.5" customHeight="1">
      <c r="A102" s="101">
        <v>154805</v>
      </c>
      <c r="B102" s="104" t="s">
        <v>4392</v>
      </c>
      <c r="C102" s="107">
        <v>92</v>
      </c>
      <c r="D102" s="107">
        <v>0</v>
      </c>
      <c r="E102" s="109">
        <v>6.1</v>
      </c>
    </row>
    <row r="103" spans="1:5" ht="22.5" customHeight="1">
      <c r="A103" s="101">
        <v>154806</v>
      </c>
      <c r="B103" s="104" t="s">
        <v>396</v>
      </c>
      <c r="C103" s="107">
        <v>91.2</v>
      </c>
      <c r="D103" s="107">
        <v>0</v>
      </c>
      <c r="E103" s="109">
        <v>10.199999999999999</v>
      </c>
    </row>
    <row r="104" spans="1:5" ht="22.5" customHeight="1">
      <c r="A104" s="101">
        <v>154901</v>
      </c>
      <c r="B104" s="104" t="s">
        <v>410</v>
      </c>
      <c r="C104" s="107">
        <v>91.4</v>
      </c>
      <c r="D104" s="107">
        <v>0</v>
      </c>
      <c r="E104" s="109">
        <v>12.3</v>
      </c>
    </row>
    <row r="105" spans="1:5" ht="22.5" customHeight="1">
      <c r="A105" s="101">
        <v>154902</v>
      </c>
      <c r="B105" s="104" t="s">
        <v>411</v>
      </c>
      <c r="C105" s="107">
        <v>94.1</v>
      </c>
      <c r="D105" s="107">
        <v>0</v>
      </c>
      <c r="E105" s="109">
        <v>8.1</v>
      </c>
    </row>
    <row r="106" spans="1:5" ht="22.5" customHeight="1">
      <c r="A106" s="101">
        <v>154903</v>
      </c>
      <c r="B106" s="104" t="s">
        <v>412</v>
      </c>
      <c r="C106" s="107">
        <v>89.3</v>
      </c>
      <c r="D106" s="107">
        <v>0</v>
      </c>
      <c r="E106" s="109">
        <v>10.1</v>
      </c>
    </row>
    <row r="107" spans="1:5" ht="22.5" customHeight="1">
      <c r="A107" s="101">
        <v>154904</v>
      </c>
      <c r="B107" s="104" t="s">
        <v>111</v>
      </c>
      <c r="C107" s="107">
        <v>94.4</v>
      </c>
      <c r="D107" s="107">
        <v>0</v>
      </c>
      <c r="E107" s="109">
        <v>4.4000000000000004</v>
      </c>
    </row>
    <row r="108" spans="1:5" ht="22.5" customHeight="1">
      <c r="A108" s="101">
        <v>154905</v>
      </c>
      <c r="B108" s="104" t="s">
        <v>413</v>
      </c>
      <c r="C108" s="107">
        <v>91.4</v>
      </c>
      <c r="D108" s="107">
        <v>0</v>
      </c>
      <c r="E108" s="109">
        <v>11.1</v>
      </c>
    </row>
    <row r="109" spans="1:5" ht="22.5" customHeight="1">
      <c r="A109" s="101">
        <v>154906</v>
      </c>
      <c r="B109" s="104" t="s">
        <v>414</v>
      </c>
      <c r="C109" s="107">
        <v>91.4</v>
      </c>
      <c r="D109" s="107">
        <v>0</v>
      </c>
      <c r="E109" s="109">
        <v>6.9</v>
      </c>
    </row>
    <row r="110" spans="1:5" ht="22.5" customHeight="1">
      <c r="A110" s="101">
        <v>154907</v>
      </c>
      <c r="B110" s="104" t="s">
        <v>415</v>
      </c>
      <c r="C110" s="107">
        <v>94.1</v>
      </c>
      <c r="D110" s="107">
        <v>0</v>
      </c>
      <c r="E110" s="109">
        <v>6.9</v>
      </c>
    </row>
    <row r="111" spans="1:5" ht="22.5" customHeight="1">
      <c r="A111" s="101">
        <v>154908</v>
      </c>
      <c r="B111" s="104" t="s">
        <v>416</v>
      </c>
      <c r="C111" s="107">
        <v>89.3</v>
      </c>
      <c r="D111" s="107">
        <v>0</v>
      </c>
      <c r="E111" s="109">
        <v>13.5</v>
      </c>
    </row>
    <row r="112" spans="1:5" ht="22.5" customHeight="1">
      <c r="A112" s="101">
        <v>154909</v>
      </c>
      <c r="B112" s="104" t="s">
        <v>417</v>
      </c>
      <c r="C112" s="107">
        <v>91.4</v>
      </c>
      <c r="D112" s="107">
        <v>0</v>
      </c>
      <c r="E112" s="109">
        <v>9.1</v>
      </c>
    </row>
    <row r="113" spans="1:5" ht="22.5" customHeight="1">
      <c r="A113" s="101">
        <v>155101</v>
      </c>
      <c r="B113" s="104" t="s">
        <v>418</v>
      </c>
      <c r="C113" s="107">
        <v>83.9</v>
      </c>
      <c r="D113" s="107">
        <v>0</v>
      </c>
      <c r="E113" s="109">
        <v>17.8</v>
      </c>
    </row>
    <row r="114" spans="1:5" ht="22.5" customHeight="1">
      <c r="A114" s="101">
        <v>155102</v>
      </c>
      <c r="B114" s="104" t="s">
        <v>419</v>
      </c>
      <c r="C114" s="107">
        <v>90.9</v>
      </c>
      <c r="D114" s="107">
        <v>0</v>
      </c>
      <c r="E114" s="109">
        <v>17</v>
      </c>
    </row>
    <row r="115" spans="1:5" ht="22.5" customHeight="1">
      <c r="A115" s="101">
        <v>155103</v>
      </c>
      <c r="B115" s="104" t="s">
        <v>112</v>
      </c>
      <c r="C115" s="107">
        <v>91.4</v>
      </c>
      <c r="D115" s="107">
        <v>0</v>
      </c>
      <c r="E115" s="109">
        <v>18.100000000000001</v>
      </c>
    </row>
    <row r="116" spans="1:5" ht="22.5" customHeight="1">
      <c r="A116" s="101">
        <v>155201</v>
      </c>
      <c r="B116" s="104" t="s">
        <v>113</v>
      </c>
      <c r="C116" s="107">
        <v>83.3</v>
      </c>
      <c r="D116" s="107">
        <v>0</v>
      </c>
      <c r="E116" s="109">
        <v>15.8</v>
      </c>
    </row>
    <row r="117" spans="1:5" ht="22.5" customHeight="1">
      <c r="A117" s="101">
        <v>155202</v>
      </c>
      <c r="B117" s="104" t="s">
        <v>113</v>
      </c>
      <c r="C117" s="107">
        <v>89.1</v>
      </c>
      <c r="D117" s="107">
        <v>0</v>
      </c>
      <c r="E117" s="109">
        <v>16.2</v>
      </c>
    </row>
    <row r="118" spans="1:5" ht="22.5" customHeight="1">
      <c r="A118" s="101">
        <v>155203</v>
      </c>
      <c r="B118" s="104" t="s">
        <v>420</v>
      </c>
      <c r="C118" s="107">
        <v>88.4</v>
      </c>
      <c r="D118" s="107">
        <v>0</v>
      </c>
      <c r="E118" s="109">
        <v>17.2</v>
      </c>
    </row>
    <row r="119" spans="1:5" ht="22.5" customHeight="1">
      <c r="A119" s="101">
        <v>155300</v>
      </c>
      <c r="B119" s="104" t="s">
        <v>421</v>
      </c>
      <c r="C119" s="107">
        <v>85.3</v>
      </c>
      <c r="D119" s="107">
        <v>0</v>
      </c>
      <c r="E119" s="109">
        <v>18.100000000000001</v>
      </c>
    </row>
    <row r="120" spans="1:5" ht="22.5" customHeight="1">
      <c r="A120" s="101">
        <v>155401</v>
      </c>
      <c r="B120" s="104" t="s">
        <v>422</v>
      </c>
      <c r="C120" s="107">
        <v>85.7</v>
      </c>
      <c r="D120" s="107">
        <v>0</v>
      </c>
      <c r="E120" s="109">
        <v>14.4</v>
      </c>
    </row>
    <row r="121" spans="1:5" ht="22.5" customHeight="1">
      <c r="A121" s="101">
        <v>155402</v>
      </c>
      <c r="B121" s="104" t="s">
        <v>422</v>
      </c>
      <c r="C121" s="107">
        <v>89.2</v>
      </c>
      <c r="D121" s="107">
        <v>0</v>
      </c>
      <c r="E121" s="109">
        <v>7.3</v>
      </c>
    </row>
    <row r="122" spans="1:5" ht="22.5" customHeight="1">
      <c r="A122" s="101">
        <v>155403</v>
      </c>
      <c r="B122" s="104" t="s">
        <v>423</v>
      </c>
      <c r="C122" s="107">
        <v>85.7</v>
      </c>
      <c r="D122" s="107">
        <v>0</v>
      </c>
      <c r="E122" s="109">
        <v>14.4</v>
      </c>
    </row>
    <row r="123" spans="1:5" ht="22.5" customHeight="1">
      <c r="A123" s="101">
        <v>155404</v>
      </c>
      <c r="B123" s="104" t="s">
        <v>424</v>
      </c>
      <c r="C123" s="107">
        <v>89.2</v>
      </c>
      <c r="D123" s="107">
        <v>0</v>
      </c>
      <c r="E123" s="109">
        <v>14.4</v>
      </c>
    </row>
    <row r="124" spans="1:5" ht="22.5" customHeight="1">
      <c r="A124" s="101">
        <v>160000</v>
      </c>
      <c r="B124" s="104" t="s">
        <v>425</v>
      </c>
      <c r="C124" s="107">
        <v>94.3</v>
      </c>
      <c r="D124" s="107">
        <v>0</v>
      </c>
      <c r="E124" s="109">
        <v>16.100000000000001</v>
      </c>
    </row>
    <row r="125" spans="1:5" ht="22.5" customHeight="1">
      <c r="A125" s="101">
        <v>171101</v>
      </c>
      <c r="B125" s="104" t="s">
        <v>115</v>
      </c>
      <c r="C125" s="107">
        <v>95.2</v>
      </c>
      <c r="D125" s="107">
        <v>0</v>
      </c>
      <c r="E125" s="109">
        <v>13.1</v>
      </c>
    </row>
    <row r="126" spans="1:5" ht="22.5" customHeight="1">
      <c r="A126" s="101">
        <v>171102</v>
      </c>
      <c r="B126" s="104" t="s">
        <v>426</v>
      </c>
      <c r="C126" s="107">
        <v>91.1</v>
      </c>
      <c r="D126" s="107">
        <v>0</v>
      </c>
      <c r="E126" s="109">
        <v>17.600000000000001</v>
      </c>
    </row>
    <row r="127" spans="1:5" ht="22.5" customHeight="1">
      <c r="A127" s="101">
        <v>171104</v>
      </c>
      <c r="B127" s="104" t="s">
        <v>427</v>
      </c>
      <c r="C127" s="107">
        <v>93</v>
      </c>
      <c r="D127" s="107">
        <v>0</v>
      </c>
      <c r="E127" s="109">
        <v>9.8000000000000007</v>
      </c>
    </row>
    <row r="128" spans="1:5" ht="22.5" customHeight="1">
      <c r="A128" s="101">
        <v>171105</v>
      </c>
      <c r="B128" s="104" t="s">
        <v>114</v>
      </c>
      <c r="C128" s="107">
        <v>94.6</v>
      </c>
      <c r="D128" s="107">
        <v>0</v>
      </c>
      <c r="E128" s="109">
        <v>7.7</v>
      </c>
    </row>
    <row r="129" spans="1:5" ht="22.5" customHeight="1">
      <c r="A129" s="101">
        <v>171106</v>
      </c>
      <c r="B129" s="104" t="s">
        <v>115</v>
      </c>
      <c r="C129" s="107">
        <v>88</v>
      </c>
      <c r="D129" s="107">
        <v>0</v>
      </c>
      <c r="E129" s="109">
        <v>8.8000000000000007</v>
      </c>
    </row>
    <row r="130" spans="1:5" ht="22.5" customHeight="1">
      <c r="A130" s="101">
        <v>171107</v>
      </c>
      <c r="B130" s="104" t="s">
        <v>115</v>
      </c>
      <c r="C130" s="107">
        <v>92.4</v>
      </c>
      <c r="D130" s="107">
        <v>0</v>
      </c>
      <c r="E130" s="109">
        <v>8.8000000000000007</v>
      </c>
    </row>
    <row r="131" spans="1:5" ht="22.5" customHeight="1">
      <c r="A131" s="101">
        <v>171108</v>
      </c>
      <c r="B131" s="104" t="s">
        <v>115</v>
      </c>
      <c r="C131" s="107">
        <v>91.5</v>
      </c>
      <c r="D131" s="107">
        <v>0</v>
      </c>
      <c r="E131" s="109">
        <v>10</v>
      </c>
    </row>
    <row r="132" spans="1:5" ht="22.5" customHeight="1">
      <c r="A132" s="101">
        <v>171109</v>
      </c>
      <c r="B132" s="104" t="s">
        <v>428</v>
      </c>
      <c r="C132" s="107">
        <v>95.7</v>
      </c>
      <c r="D132" s="107">
        <v>0</v>
      </c>
      <c r="E132" s="109">
        <v>5.9</v>
      </c>
    </row>
    <row r="133" spans="1:5" ht="22.5" customHeight="1">
      <c r="A133" s="101">
        <v>171110</v>
      </c>
      <c r="B133" s="104" t="s">
        <v>429</v>
      </c>
      <c r="C133" s="107">
        <v>95.2</v>
      </c>
      <c r="D133" s="107">
        <v>0</v>
      </c>
      <c r="E133" s="109">
        <v>13.1</v>
      </c>
    </row>
    <row r="134" spans="1:5" ht="22.5" customHeight="1">
      <c r="A134" s="101">
        <v>171112</v>
      </c>
      <c r="B134" s="104" t="s">
        <v>430</v>
      </c>
      <c r="C134" s="107">
        <v>94.3</v>
      </c>
      <c r="D134" s="107">
        <v>0</v>
      </c>
      <c r="E134" s="109">
        <v>12.1</v>
      </c>
    </row>
    <row r="135" spans="1:5" ht="22.5" customHeight="1">
      <c r="A135" s="101">
        <v>171114</v>
      </c>
      <c r="B135" s="104" t="s">
        <v>429</v>
      </c>
      <c r="C135" s="107">
        <v>91.1</v>
      </c>
      <c r="D135" s="107">
        <v>0</v>
      </c>
      <c r="E135" s="109">
        <v>17.600000000000001</v>
      </c>
    </row>
    <row r="136" spans="1:5" ht="22.5" customHeight="1">
      <c r="A136" s="101">
        <v>171115</v>
      </c>
      <c r="B136" s="104" t="s">
        <v>431</v>
      </c>
      <c r="C136" s="107">
        <v>95.7</v>
      </c>
      <c r="D136" s="107">
        <v>0</v>
      </c>
      <c r="E136" s="109">
        <v>8.1</v>
      </c>
    </row>
    <row r="137" spans="1:5" ht="22.5" customHeight="1">
      <c r="A137" s="101">
        <v>171116</v>
      </c>
      <c r="B137" s="104" t="s">
        <v>432</v>
      </c>
      <c r="C137" s="107">
        <v>95.7</v>
      </c>
      <c r="D137" s="107">
        <v>0</v>
      </c>
      <c r="E137" s="109">
        <v>8.1</v>
      </c>
    </row>
    <row r="138" spans="1:5" ht="22.5" customHeight="1">
      <c r="A138" s="101">
        <v>171200</v>
      </c>
      <c r="B138" s="104" t="s">
        <v>433</v>
      </c>
      <c r="C138" s="107">
        <v>94.6</v>
      </c>
      <c r="D138" s="107">
        <v>0</v>
      </c>
      <c r="E138" s="109">
        <v>9.4</v>
      </c>
    </row>
    <row r="139" spans="1:5" ht="22.5" customHeight="1">
      <c r="A139" s="101">
        <v>171201</v>
      </c>
      <c r="B139" s="104" t="s">
        <v>434</v>
      </c>
      <c r="C139" s="107">
        <v>94.6</v>
      </c>
      <c r="D139" s="107">
        <v>0</v>
      </c>
      <c r="E139" s="109">
        <v>11</v>
      </c>
    </row>
    <row r="140" spans="1:5" ht="22.5" customHeight="1">
      <c r="A140" s="101">
        <v>171202</v>
      </c>
      <c r="B140" s="104" t="s">
        <v>435</v>
      </c>
      <c r="C140" s="107">
        <v>94.6</v>
      </c>
      <c r="D140" s="107">
        <v>0</v>
      </c>
      <c r="E140" s="109">
        <v>10.7</v>
      </c>
    </row>
    <row r="141" spans="1:5" ht="22.5" customHeight="1">
      <c r="A141" s="101">
        <v>171203</v>
      </c>
      <c r="B141" s="104" t="s">
        <v>436</v>
      </c>
      <c r="C141" s="107">
        <v>94.6</v>
      </c>
      <c r="D141" s="107">
        <v>0</v>
      </c>
      <c r="E141" s="109">
        <v>5.4</v>
      </c>
    </row>
    <row r="142" spans="1:5" ht="22.5" customHeight="1">
      <c r="A142" s="101">
        <v>172101</v>
      </c>
      <c r="B142" s="104" t="s">
        <v>116</v>
      </c>
      <c r="C142" s="107">
        <v>93.5</v>
      </c>
      <c r="D142" s="107">
        <v>0</v>
      </c>
      <c r="E142" s="109">
        <v>8.4</v>
      </c>
    </row>
    <row r="143" spans="1:5" ht="22.5" customHeight="1">
      <c r="A143" s="101">
        <v>172102</v>
      </c>
      <c r="B143" s="104" t="s">
        <v>437</v>
      </c>
      <c r="C143" s="107">
        <v>94</v>
      </c>
      <c r="D143" s="107">
        <v>0</v>
      </c>
      <c r="E143" s="109">
        <v>10.7</v>
      </c>
    </row>
    <row r="144" spans="1:5" ht="22.5" customHeight="1">
      <c r="A144" s="101">
        <v>172103</v>
      </c>
      <c r="B144" s="104" t="s">
        <v>438</v>
      </c>
      <c r="C144" s="107">
        <v>93.3</v>
      </c>
      <c r="D144" s="107">
        <v>0</v>
      </c>
      <c r="E144" s="109">
        <v>9.1</v>
      </c>
    </row>
    <row r="145" spans="1:5" ht="22.5" customHeight="1">
      <c r="A145" s="101">
        <v>172106</v>
      </c>
      <c r="B145" s="104" t="s">
        <v>439</v>
      </c>
      <c r="C145" s="107">
        <v>93.5</v>
      </c>
      <c r="D145" s="107">
        <v>0</v>
      </c>
      <c r="E145" s="109">
        <v>6.8</v>
      </c>
    </row>
    <row r="146" spans="1:5" ht="22.5" customHeight="1">
      <c r="A146" s="101">
        <v>172107</v>
      </c>
      <c r="B146" s="104" t="s">
        <v>440</v>
      </c>
      <c r="C146" s="107">
        <v>93.5</v>
      </c>
      <c r="D146" s="107">
        <v>0</v>
      </c>
      <c r="E146" s="109">
        <v>9.8000000000000007</v>
      </c>
    </row>
    <row r="147" spans="1:5" ht="22.5" customHeight="1">
      <c r="A147" s="101">
        <v>172108</v>
      </c>
      <c r="B147" s="104" t="s">
        <v>441</v>
      </c>
      <c r="C147" s="107">
        <v>93.5</v>
      </c>
      <c r="D147" s="107">
        <v>0</v>
      </c>
      <c r="E147" s="109">
        <v>9.8000000000000007</v>
      </c>
    </row>
    <row r="148" spans="1:5" ht="22.5" customHeight="1">
      <c r="A148" s="101">
        <v>172109</v>
      </c>
      <c r="B148" s="104" t="s">
        <v>117</v>
      </c>
      <c r="C148" s="107">
        <v>91</v>
      </c>
      <c r="D148" s="107">
        <v>0</v>
      </c>
      <c r="E148" s="109">
        <v>10.3</v>
      </c>
    </row>
    <row r="149" spans="1:5" ht="22.5" customHeight="1">
      <c r="A149" s="101">
        <v>172111</v>
      </c>
      <c r="B149" s="104" t="s">
        <v>117</v>
      </c>
      <c r="C149" s="107">
        <v>94</v>
      </c>
      <c r="D149" s="107">
        <v>0</v>
      </c>
      <c r="E149" s="109">
        <v>12.5</v>
      </c>
    </row>
    <row r="150" spans="1:5" ht="22.5" customHeight="1">
      <c r="A150" s="101">
        <v>172200</v>
      </c>
      <c r="B150" s="104" t="s">
        <v>442</v>
      </c>
      <c r="C150" s="107">
        <v>91.8</v>
      </c>
      <c r="D150" s="107">
        <v>0</v>
      </c>
      <c r="E150" s="109">
        <v>9.8000000000000007</v>
      </c>
    </row>
    <row r="151" spans="1:5" ht="22.5" customHeight="1">
      <c r="A151" s="101">
        <v>172300</v>
      </c>
      <c r="B151" s="104" t="s">
        <v>443</v>
      </c>
      <c r="C151" s="107">
        <v>91.5</v>
      </c>
      <c r="D151" s="107">
        <v>0</v>
      </c>
      <c r="E151" s="109">
        <v>6.9</v>
      </c>
    </row>
    <row r="152" spans="1:5" ht="22.5" customHeight="1">
      <c r="A152" s="101">
        <v>172301</v>
      </c>
      <c r="B152" s="104" t="s">
        <v>444</v>
      </c>
      <c r="C152" s="107">
        <v>91.5</v>
      </c>
      <c r="D152" s="107">
        <v>0</v>
      </c>
      <c r="E152" s="109">
        <v>9.6</v>
      </c>
    </row>
    <row r="153" spans="1:5" ht="22.5" customHeight="1">
      <c r="A153" s="101">
        <v>172901</v>
      </c>
      <c r="B153" s="104" t="s">
        <v>445</v>
      </c>
      <c r="C153" s="107">
        <v>93.9</v>
      </c>
      <c r="D153" s="107">
        <v>0</v>
      </c>
      <c r="E153" s="109">
        <v>8.4</v>
      </c>
    </row>
    <row r="154" spans="1:5" ht="22.5" customHeight="1">
      <c r="A154" s="101">
        <v>172902</v>
      </c>
      <c r="B154" s="104" t="s">
        <v>446</v>
      </c>
      <c r="C154" s="107">
        <v>94.3</v>
      </c>
      <c r="D154" s="107">
        <v>0</v>
      </c>
      <c r="E154" s="109">
        <v>7.4</v>
      </c>
    </row>
    <row r="155" spans="1:5" ht="22.5" customHeight="1">
      <c r="A155" s="101">
        <v>172903</v>
      </c>
      <c r="B155" s="104" t="s">
        <v>118</v>
      </c>
      <c r="C155" s="107">
        <v>93.2</v>
      </c>
      <c r="D155" s="107">
        <v>0</v>
      </c>
      <c r="E155" s="109">
        <v>13.9</v>
      </c>
    </row>
    <row r="156" spans="1:5" ht="22.5" customHeight="1">
      <c r="A156" s="101">
        <v>172904</v>
      </c>
      <c r="B156" s="104" t="s">
        <v>447</v>
      </c>
      <c r="C156" s="107">
        <v>94.3</v>
      </c>
      <c r="D156" s="107">
        <v>0</v>
      </c>
      <c r="E156" s="109">
        <v>10.3</v>
      </c>
    </row>
    <row r="157" spans="1:5" ht="22.5" customHeight="1">
      <c r="A157" s="101">
        <v>172905</v>
      </c>
      <c r="B157" s="104" t="s">
        <v>448</v>
      </c>
      <c r="C157" s="107">
        <v>94.3</v>
      </c>
      <c r="D157" s="107">
        <v>0</v>
      </c>
      <c r="E157" s="109">
        <v>10.3</v>
      </c>
    </row>
    <row r="158" spans="1:5" ht="22.5" customHeight="1">
      <c r="A158" s="101">
        <v>173001</v>
      </c>
      <c r="B158" s="104" t="s">
        <v>119</v>
      </c>
      <c r="C158" s="107">
        <v>93.7</v>
      </c>
      <c r="D158" s="107">
        <v>0</v>
      </c>
      <c r="E158" s="109">
        <v>12.9</v>
      </c>
    </row>
    <row r="159" spans="1:5" ht="22.5" customHeight="1">
      <c r="A159" s="101">
        <v>173002</v>
      </c>
      <c r="B159" s="104" t="s">
        <v>449</v>
      </c>
      <c r="C159" s="107">
        <v>94.3</v>
      </c>
      <c r="D159" s="107">
        <v>0</v>
      </c>
      <c r="E159" s="109">
        <v>7.2</v>
      </c>
    </row>
    <row r="160" spans="1:5" ht="22.5" customHeight="1">
      <c r="A160" s="101">
        <v>173004</v>
      </c>
      <c r="B160" s="104" t="s">
        <v>120</v>
      </c>
      <c r="C160" s="107">
        <v>94.6</v>
      </c>
      <c r="D160" s="107">
        <v>0</v>
      </c>
      <c r="E160" s="109">
        <v>10.6</v>
      </c>
    </row>
    <row r="161" spans="1:5" ht="22.5" customHeight="1">
      <c r="A161" s="101">
        <v>173006</v>
      </c>
      <c r="B161" s="104" t="s">
        <v>450</v>
      </c>
      <c r="C161" s="107">
        <v>94.3</v>
      </c>
      <c r="D161" s="107">
        <v>0</v>
      </c>
      <c r="E161" s="109">
        <v>4</v>
      </c>
    </row>
    <row r="162" spans="1:5" ht="22.5" customHeight="1">
      <c r="A162" s="101">
        <v>173009</v>
      </c>
      <c r="B162" s="104" t="s">
        <v>450</v>
      </c>
      <c r="C162" s="107">
        <v>93.2</v>
      </c>
      <c r="D162" s="107">
        <v>0</v>
      </c>
      <c r="E162" s="109">
        <v>10.1</v>
      </c>
    </row>
    <row r="163" spans="1:5" ht="22.5" customHeight="1">
      <c r="A163" s="101">
        <v>181101</v>
      </c>
      <c r="B163" s="104" t="s">
        <v>451</v>
      </c>
      <c r="C163" s="107">
        <v>90.4</v>
      </c>
      <c r="D163" s="107">
        <v>0</v>
      </c>
      <c r="E163" s="109">
        <v>12</v>
      </c>
    </row>
    <row r="164" spans="1:5" ht="22.5" customHeight="1">
      <c r="A164" s="101">
        <v>181103</v>
      </c>
      <c r="B164" s="104" t="s">
        <v>452</v>
      </c>
      <c r="C164" s="107">
        <v>93.7</v>
      </c>
      <c r="D164" s="107">
        <v>0</v>
      </c>
      <c r="E164" s="109">
        <v>7</v>
      </c>
    </row>
    <row r="165" spans="1:5" ht="22.5" customHeight="1">
      <c r="A165" s="101">
        <v>181105</v>
      </c>
      <c r="B165" s="104" t="s">
        <v>453</v>
      </c>
      <c r="C165" s="107">
        <v>90.4</v>
      </c>
      <c r="D165" s="107">
        <v>0</v>
      </c>
      <c r="E165" s="109">
        <v>6.2</v>
      </c>
    </row>
    <row r="166" spans="1:5" ht="22.5" customHeight="1">
      <c r="A166" s="101">
        <v>181109</v>
      </c>
      <c r="B166" s="104" t="s">
        <v>454</v>
      </c>
      <c r="C166" s="107">
        <v>91.5</v>
      </c>
      <c r="D166" s="107">
        <v>0</v>
      </c>
      <c r="E166" s="109">
        <v>11.3</v>
      </c>
    </row>
    <row r="167" spans="1:5" ht="22.5" customHeight="1">
      <c r="A167" s="101">
        <v>181110</v>
      </c>
      <c r="B167" s="104" t="s">
        <v>455</v>
      </c>
      <c r="C167" s="107">
        <v>91.5</v>
      </c>
      <c r="D167" s="107">
        <v>0</v>
      </c>
      <c r="E167" s="109">
        <v>8.9</v>
      </c>
    </row>
    <row r="168" spans="1:5" ht="22.5" customHeight="1">
      <c r="A168" s="101">
        <v>181201</v>
      </c>
      <c r="B168" s="104" t="s">
        <v>456</v>
      </c>
      <c r="C168" s="107">
        <v>93.5</v>
      </c>
      <c r="D168" s="107">
        <v>0</v>
      </c>
      <c r="E168" s="109">
        <v>8.6999999999999993</v>
      </c>
    </row>
    <row r="169" spans="1:5" ht="22.5" customHeight="1">
      <c r="A169" s="101">
        <v>181202</v>
      </c>
      <c r="B169" s="104" t="s">
        <v>457</v>
      </c>
      <c r="C169" s="107">
        <v>94</v>
      </c>
      <c r="D169" s="107">
        <v>0</v>
      </c>
      <c r="E169" s="109">
        <v>7.4</v>
      </c>
    </row>
    <row r="170" spans="1:5" ht="22.5" customHeight="1">
      <c r="A170" s="101">
        <v>181203</v>
      </c>
      <c r="B170" s="104" t="s">
        <v>458</v>
      </c>
      <c r="C170" s="107">
        <v>94.4</v>
      </c>
      <c r="D170" s="107">
        <v>0</v>
      </c>
      <c r="E170" s="109">
        <v>9.9</v>
      </c>
    </row>
    <row r="171" spans="1:5" ht="22.5" customHeight="1">
      <c r="A171" s="101">
        <v>181204</v>
      </c>
      <c r="B171" s="104" t="s">
        <v>459</v>
      </c>
      <c r="C171" s="107">
        <v>93.8</v>
      </c>
      <c r="D171" s="107">
        <v>0</v>
      </c>
      <c r="E171" s="109">
        <v>9.4</v>
      </c>
    </row>
    <row r="172" spans="1:5" ht="22.5" customHeight="1">
      <c r="A172" s="101">
        <v>181205</v>
      </c>
      <c r="B172" s="104" t="s">
        <v>451</v>
      </c>
      <c r="C172" s="107">
        <v>93.5</v>
      </c>
      <c r="D172" s="107">
        <v>0</v>
      </c>
      <c r="E172" s="109">
        <v>3.8</v>
      </c>
    </row>
    <row r="173" spans="1:5" ht="22.5" customHeight="1">
      <c r="A173" s="101">
        <v>181206</v>
      </c>
      <c r="B173" s="104" t="s">
        <v>453</v>
      </c>
      <c r="C173" s="107">
        <v>93.5</v>
      </c>
      <c r="D173" s="107">
        <v>0</v>
      </c>
      <c r="E173" s="109">
        <v>9</v>
      </c>
    </row>
    <row r="174" spans="1:5" ht="22.5" customHeight="1">
      <c r="A174" s="101">
        <v>181207</v>
      </c>
      <c r="B174" s="104" t="s">
        <v>455</v>
      </c>
      <c r="C174" s="107">
        <v>93.5</v>
      </c>
      <c r="D174" s="107">
        <v>0</v>
      </c>
      <c r="E174" s="109">
        <v>3.8</v>
      </c>
    </row>
    <row r="175" spans="1:5" ht="22.5" customHeight="1">
      <c r="A175" s="101">
        <v>181208</v>
      </c>
      <c r="B175" s="104" t="s">
        <v>460</v>
      </c>
      <c r="C175" s="107">
        <v>93.5</v>
      </c>
      <c r="D175" s="107">
        <v>0</v>
      </c>
      <c r="E175" s="109">
        <v>11</v>
      </c>
    </row>
    <row r="176" spans="1:5" ht="22.5" customHeight="1">
      <c r="A176" s="101">
        <v>181209</v>
      </c>
      <c r="B176" s="104" t="s">
        <v>452</v>
      </c>
      <c r="C176" s="107">
        <v>93.8</v>
      </c>
      <c r="D176" s="107">
        <v>0</v>
      </c>
      <c r="E176" s="109">
        <v>10.5</v>
      </c>
    </row>
    <row r="177" spans="1:5" ht="22.5" customHeight="1">
      <c r="A177" s="101">
        <v>181211</v>
      </c>
      <c r="B177" s="104" t="s">
        <v>461</v>
      </c>
      <c r="C177" s="107">
        <v>93.8</v>
      </c>
      <c r="D177" s="107">
        <v>0</v>
      </c>
      <c r="E177" s="109">
        <v>10</v>
      </c>
    </row>
    <row r="178" spans="1:5" ht="22.5" customHeight="1">
      <c r="A178" s="101">
        <v>182001</v>
      </c>
      <c r="B178" s="104" t="s">
        <v>462</v>
      </c>
      <c r="C178" s="107">
        <v>89.2</v>
      </c>
      <c r="D178" s="107">
        <v>0</v>
      </c>
      <c r="E178" s="109">
        <v>9.1</v>
      </c>
    </row>
    <row r="179" spans="1:5" ht="22.5" customHeight="1">
      <c r="A179" s="101">
        <v>191100</v>
      </c>
      <c r="B179" s="104" t="s">
        <v>463</v>
      </c>
      <c r="C179" s="107">
        <v>92.2</v>
      </c>
      <c r="D179" s="107">
        <v>0</v>
      </c>
      <c r="E179" s="109">
        <v>7.9</v>
      </c>
    </row>
    <row r="180" spans="1:5" ht="22.5" customHeight="1">
      <c r="A180" s="101">
        <v>191200</v>
      </c>
      <c r="B180" s="104" t="s">
        <v>464</v>
      </c>
      <c r="C180" s="107">
        <v>93.4</v>
      </c>
      <c r="D180" s="107">
        <v>0</v>
      </c>
      <c r="E180" s="109">
        <v>10.199999999999999</v>
      </c>
    </row>
    <row r="181" spans="1:5" ht="22.5" customHeight="1">
      <c r="A181" s="101">
        <v>191201</v>
      </c>
      <c r="B181" s="104" t="s">
        <v>121</v>
      </c>
      <c r="C181" s="107">
        <v>93.4</v>
      </c>
      <c r="D181" s="107">
        <v>0</v>
      </c>
      <c r="E181" s="109">
        <v>4.9000000000000004</v>
      </c>
    </row>
    <row r="182" spans="1:5" ht="22.5" customHeight="1">
      <c r="A182" s="101">
        <v>191202</v>
      </c>
      <c r="B182" s="104" t="s">
        <v>465</v>
      </c>
      <c r="C182" s="107">
        <v>93.4</v>
      </c>
      <c r="D182" s="107">
        <v>0</v>
      </c>
      <c r="E182" s="109">
        <v>7.1</v>
      </c>
    </row>
    <row r="183" spans="1:5" ht="22.5" customHeight="1">
      <c r="A183" s="101">
        <v>192001</v>
      </c>
      <c r="B183" s="104" t="s">
        <v>466</v>
      </c>
      <c r="C183" s="107">
        <v>93.5</v>
      </c>
      <c r="D183" s="107">
        <v>0</v>
      </c>
      <c r="E183" s="109">
        <v>9.3000000000000007</v>
      </c>
    </row>
    <row r="184" spans="1:5" ht="22.5" customHeight="1">
      <c r="A184" s="101">
        <v>192004</v>
      </c>
      <c r="B184" s="104" t="s">
        <v>467</v>
      </c>
      <c r="C184" s="107">
        <v>93.5</v>
      </c>
      <c r="D184" s="107">
        <v>0</v>
      </c>
      <c r="E184" s="109">
        <v>7.3</v>
      </c>
    </row>
    <row r="185" spans="1:5" ht="22.5" customHeight="1">
      <c r="A185" s="101">
        <v>192005</v>
      </c>
      <c r="B185" s="104" t="s">
        <v>468</v>
      </c>
      <c r="C185" s="107">
        <v>93.5</v>
      </c>
      <c r="D185" s="107">
        <v>0</v>
      </c>
      <c r="E185" s="109">
        <v>3.5</v>
      </c>
    </row>
    <row r="186" spans="1:5" ht="22.5" customHeight="1">
      <c r="A186" s="101">
        <v>193001</v>
      </c>
      <c r="B186" s="104" t="s">
        <v>4393</v>
      </c>
      <c r="C186" s="107">
        <v>93.8</v>
      </c>
      <c r="D186" s="107">
        <v>0</v>
      </c>
      <c r="E186" s="109">
        <v>12</v>
      </c>
    </row>
    <row r="187" spans="1:5" ht="22.5" customHeight="1">
      <c r="A187" s="101">
        <v>193009</v>
      </c>
      <c r="B187" s="104" t="s">
        <v>4394</v>
      </c>
      <c r="C187" s="107">
        <v>91.1</v>
      </c>
      <c r="D187" s="107">
        <v>0</v>
      </c>
      <c r="E187" s="109">
        <v>12.2</v>
      </c>
    </row>
    <row r="188" spans="1:5" ht="22.5" customHeight="1">
      <c r="A188" s="101">
        <v>201001</v>
      </c>
      <c r="B188" s="104" t="s">
        <v>469</v>
      </c>
      <c r="C188" s="107">
        <v>92</v>
      </c>
      <c r="D188" s="107">
        <v>0</v>
      </c>
      <c r="E188" s="109">
        <v>7.1</v>
      </c>
    </row>
    <row r="189" spans="1:5" ht="22.5" customHeight="1">
      <c r="A189" s="101">
        <v>201002</v>
      </c>
      <c r="B189" s="104" t="s">
        <v>470</v>
      </c>
      <c r="C189" s="107">
        <v>87.7</v>
      </c>
      <c r="D189" s="107">
        <v>0</v>
      </c>
      <c r="E189" s="109">
        <v>12</v>
      </c>
    </row>
    <row r="190" spans="1:5" ht="22.5" customHeight="1">
      <c r="A190" s="101">
        <v>201009</v>
      </c>
      <c r="B190" s="104" t="s">
        <v>471</v>
      </c>
      <c r="C190" s="107">
        <v>90.4</v>
      </c>
      <c r="D190" s="107">
        <v>0</v>
      </c>
      <c r="E190" s="109">
        <v>11.4</v>
      </c>
    </row>
    <row r="191" spans="1:5" ht="22.5" customHeight="1">
      <c r="A191" s="101">
        <v>202101</v>
      </c>
      <c r="B191" s="104" t="s">
        <v>472</v>
      </c>
      <c r="C191" s="107">
        <v>89.5</v>
      </c>
      <c r="D191" s="107">
        <v>0</v>
      </c>
      <c r="E191" s="109">
        <v>10.5</v>
      </c>
    </row>
    <row r="192" spans="1:5" ht="22.5" customHeight="1">
      <c r="A192" s="101">
        <v>202102</v>
      </c>
      <c r="B192" s="104" t="s">
        <v>473</v>
      </c>
      <c r="C192" s="107">
        <v>92.8</v>
      </c>
      <c r="D192" s="107">
        <v>0</v>
      </c>
      <c r="E192" s="109">
        <v>9.6</v>
      </c>
    </row>
    <row r="193" spans="1:5" ht="22.5" customHeight="1">
      <c r="A193" s="101">
        <v>202200</v>
      </c>
      <c r="B193" s="104" t="s">
        <v>474</v>
      </c>
      <c r="C193" s="107">
        <v>91.6</v>
      </c>
      <c r="D193" s="107">
        <v>0</v>
      </c>
      <c r="E193" s="109">
        <v>9.6</v>
      </c>
    </row>
    <row r="194" spans="1:5" ht="22.5" customHeight="1">
      <c r="A194" s="101">
        <v>202201</v>
      </c>
      <c r="B194" s="104" t="s">
        <v>475</v>
      </c>
      <c r="C194" s="107">
        <v>92.1</v>
      </c>
      <c r="D194" s="107">
        <v>0</v>
      </c>
      <c r="E194" s="109">
        <v>9.6</v>
      </c>
    </row>
    <row r="195" spans="1:5" ht="22.5" customHeight="1">
      <c r="A195" s="101">
        <v>202202</v>
      </c>
      <c r="B195" s="104" t="s">
        <v>476</v>
      </c>
      <c r="C195" s="107">
        <v>91.6</v>
      </c>
      <c r="D195" s="107">
        <v>0</v>
      </c>
      <c r="E195" s="109">
        <v>5.6</v>
      </c>
    </row>
    <row r="196" spans="1:5" ht="22.5" customHeight="1">
      <c r="A196" s="101">
        <v>202203</v>
      </c>
      <c r="B196" s="104" t="s">
        <v>477</v>
      </c>
      <c r="C196" s="107">
        <v>92.1</v>
      </c>
      <c r="D196" s="107">
        <v>0</v>
      </c>
      <c r="E196" s="109">
        <v>11.9</v>
      </c>
    </row>
    <row r="197" spans="1:5" ht="22.5" customHeight="1">
      <c r="A197" s="101">
        <v>202901</v>
      </c>
      <c r="B197" s="104" t="s">
        <v>478</v>
      </c>
      <c r="C197" s="107">
        <v>92.4</v>
      </c>
      <c r="D197" s="107">
        <v>0</v>
      </c>
      <c r="E197" s="109">
        <v>10.3</v>
      </c>
    </row>
    <row r="198" spans="1:5" ht="22.5" customHeight="1">
      <c r="A198" s="101">
        <v>202902</v>
      </c>
      <c r="B198" s="104" t="s">
        <v>479</v>
      </c>
      <c r="C198" s="107">
        <v>91</v>
      </c>
      <c r="D198" s="107">
        <v>0</v>
      </c>
      <c r="E198" s="109">
        <v>4.7</v>
      </c>
    </row>
    <row r="199" spans="1:5" ht="22.5" customHeight="1">
      <c r="A199" s="101">
        <v>202903</v>
      </c>
      <c r="B199" s="104" t="s">
        <v>480</v>
      </c>
      <c r="C199" s="107">
        <v>94.5</v>
      </c>
      <c r="D199" s="107">
        <v>0</v>
      </c>
      <c r="E199" s="109">
        <v>10.8</v>
      </c>
    </row>
    <row r="200" spans="1:5" ht="22.5" customHeight="1">
      <c r="A200" s="101">
        <v>202904</v>
      </c>
      <c r="B200" s="104" t="s">
        <v>479</v>
      </c>
      <c r="C200" s="107">
        <v>92.4</v>
      </c>
      <c r="D200" s="107">
        <v>0</v>
      </c>
      <c r="E200" s="109">
        <v>8.3000000000000007</v>
      </c>
    </row>
    <row r="201" spans="1:5" ht="22.5" customHeight="1">
      <c r="A201" s="101">
        <v>202905</v>
      </c>
      <c r="B201" s="104" t="s">
        <v>481</v>
      </c>
      <c r="C201" s="107">
        <v>92.4</v>
      </c>
      <c r="D201" s="107">
        <v>0</v>
      </c>
      <c r="E201" s="109">
        <v>5.6</v>
      </c>
    </row>
    <row r="202" spans="1:5" ht="22.5" customHeight="1">
      <c r="A202" s="101">
        <v>202906</v>
      </c>
      <c r="B202" s="104" t="s">
        <v>480</v>
      </c>
      <c r="C202" s="107">
        <v>92.4</v>
      </c>
      <c r="D202" s="107">
        <v>0</v>
      </c>
      <c r="E202" s="109">
        <v>11.4</v>
      </c>
    </row>
    <row r="203" spans="1:5" ht="22.5" customHeight="1">
      <c r="A203" s="101">
        <v>202907</v>
      </c>
      <c r="B203" s="104" t="s">
        <v>480</v>
      </c>
      <c r="C203" s="107">
        <v>91</v>
      </c>
      <c r="D203" s="107">
        <v>0</v>
      </c>
      <c r="E203" s="109">
        <v>10.5</v>
      </c>
    </row>
    <row r="204" spans="1:5" ht="22.5" customHeight="1">
      <c r="A204" s="101">
        <v>210101</v>
      </c>
      <c r="B204" s="104" t="s">
        <v>482</v>
      </c>
      <c r="C204" s="107">
        <v>89.6</v>
      </c>
      <c r="D204" s="107">
        <v>0</v>
      </c>
      <c r="E204" s="109">
        <v>10.7</v>
      </c>
    </row>
    <row r="205" spans="1:5" ht="22.5" customHeight="1">
      <c r="A205" s="101">
        <v>210102</v>
      </c>
      <c r="B205" s="104" t="s">
        <v>483</v>
      </c>
      <c r="C205" s="107">
        <v>91.3</v>
      </c>
      <c r="D205" s="107">
        <v>0</v>
      </c>
      <c r="E205" s="109">
        <v>9.6</v>
      </c>
    </row>
    <row r="206" spans="1:5" ht="22.5" customHeight="1">
      <c r="A206" s="101">
        <v>210104</v>
      </c>
      <c r="B206" s="104" t="s">
        <v>122</v>
      </c>
      <c r="C206" s="107">
        <v>88.7</v>
      </c>
      <c r="D206" s="107">
        <v>0</v>
      </c>
      <c r="E206" s="109">
        <v>10.7</v>
      </c>
    </row>
    <row r="207" spans="1:5" ht="22.5" customHeight="1">
      <c r="A207" s="101">
        <v>210106</v>
      </c>
      <c r="B207" s="104" t="s">
        <v>484</v>
      </c>
      <c r="C207" s="107">
        <v>89.6</v>
      </c>
      <c r="D207" s="107">
        <v>0</v>
      </c>
      <c r="E207" s="109">
        <v>10.7</v>
      </c>
    </row>
    <row r="208" spans="1:5" ht="22.5" customHeight="1">
      <c r="A208" s="101">
        <v>210107</v>
      </c>
      <c r="B208" s="104" t="s">
        <v>485</v>
      </c>
      <c r="C208" s="107">
        <v>89.6</v>
      </c>
      <c r="D208" s="107">
        <v>0</v>
      </c>
      <c r="E208" s="109">
        <v>10.7</v>
      </c>
    </row>
    <row r="209" spans="1:5" ht="22.5" customHeight="1">
      <c r="A209" s="101">
        <v>210108</v>
      </c>
      <c r="B209" s="104" t="s">
        <v>486</v>
      </c>
      <c r="C209" s="107">
        <v>89.6</v>
      </c>
      <c r="D209" s="107">
        <v>0</v>
      </c>
      <c r="E209" s="109">
        <v>10.7</v>
      </c>
    </row>
    <row r="210" spans="1:5" ht="22.5" customHeight="1">
      <c r="A210" s="101">
        <v>210111</v>
      </c>
      <c r="B210" s="104" t="s">
        <v>487</v>
      </c>
      <c r="C210" s="107">
        <v>91.3</v>
      </c>
      <c r="D210" s="107">
        <v>0</v>
      </c>
      <c r="E210" s="109">
        <v>9.6</v>
      </c>
    </row>
    <row r="211" spans="1:5" ht="22.5" customHeight="1">
      <c r="A211" s="101">
        <v>210112</v>
      </c>
      <c r="B211" s="104" t="s">
        <v>122</v>
      </c>
      <c r="C211" s="107">
        <v>91.3</v>
      </c>
      <c r="D211" s="107">
        <v>0</v>
      </c>
      <c r="E211" s="109">
        <v>9.6</v>
      </c>
    </row>
    <row r="212" spans="1:5" ht="22.5" customHeight="1">
      <c r="A212" s="101">
        <v>210200</v>
      </c>
      <c r="B212" s="104" t="s">
        <v>488</v>
      </c>
      <c r="C212" s="107">
        <v>93</v>
      </c>
      <c r="D212" s="107">
        <v>0</v>
      </c>
      <c r="E212" s="109">
        <v>7.4</v>
      </c>
    </row>
    <row r="213" spans="1:5" ht="22.5" customHeight="1">
      <c r="A213" s="101">
        <v>210201</v>
      </c>
      <c r="B213" s="104" t="s">
        <v>489</v>
      </c>
      <c r="C213" s="107">
        <v>93.6</v>
      </c>
      <c r="D213" s="107">
        <v>0</v>
      </c>
      <c r="E213" s="109">
        <v>9.1999999999999993</v>
      </c>
    </row>
    <row r="214" spans="1:5" ht="22.5" customHeight="1">
      <c r="A214" s="101">
        <v>210202</v>
      </c>
      <c r="B214" s="104" t="s">
        <v>490</v>
      </c>
      <c r="C214" s="107">
        <v>93</v>
      </c>
      <c r="D214" s="107">
        <v>0</v>
      </c>
      <c r="E214" s="109">
        <v>10.199999999999999</v>
      </c>
    </row>
    <row r="215" spans="1:5" ht="22.5" customHeight="1">
      <c r="A215" s="101">
        <v>210203</v>
      </c>
      <c r="B215" s="104" t="s">
        <v>491</v>
      </c>
      <c r="C215" s="107">
        <v>93.6</v>
      </c>
      <c r="D215" s="107">
        <v>0</v>
      </c>
      <c r="E215" s="109">
        <v>10.199999999999999</v>
      </c>
    </row>
    <row r="216" spans="1:5" ht="22.5" customHeight="1">
      <c r="A216" s="101">
        <v>210204</v>
      </c>
      <c r="B216" s="104" t="s">
        <v>492</v>
      </c>
      <c r="C216" s="107">
        <v>93.6</v>
      </c>
      <c r="D216" s="107">
        <v>0</v>
      </c>
      <c r="E216" s="109">
        <v>10.199999999999999</v>
      </c>
    </row>
    <row r="217" spans="1:5" ht="22.5" customHeight="1">
      <c r="A217" s="101">
        <v>210205</v>
      </c>
      <c r="B217" s="104" t="s">
        <v>493</v>
      </c>
      <c r="C217" s="107">
        <v>93.6</v>
      </c>
      <c r="D217" s="107">
        <v>0</v>
      </c>
      <c r="E217" s="109">
        <v>10.199999999999999</v>
      </c>
    </row>
    <row r="218" spans="1:5" ht="22.5" customHeight="1">
      <c r="A218" s="101">
        <v>210206</v>
      </c>
      <c r="B218" s="104" t="s">
        <v>494</v>
      </c>
      <c r="C218" s="107">
        <v>93.6</v>
      </c>
      <c r="D218" s="107">
        <v>0</v>
      </c>
      <c r="E218" s="109">
        <v>10.199999999999999</v>
      </c>
    </row>
    <row r="219" spans="1:5" ht="22.5" customHeight="1">
      <c r="A219" s="101">
        <v>210901</v>
      </c>
      <c r="B219" s="104" t="s">
        <v>123</v>
      </c>
      <c r="C219" s="107">
        <v>94</v>
      </c>
      <c r="D219" s="107">
        <v>0</v>
      </c>
      <c r="E219" s="109">
        <v>10.4</v>
      </c>
    </row>
    <row r="220" spans="1:5" ht="22.5" customHeight="1">
      <c r="A220" s="101">
        <v>210902</v>
      </c>
      <c r="B220" s="104" t="s">
        <v>495</v>
      </c>
      <c r="C220" s="107">
        <v>92.4</v>
      </c>
      <c r="D220" s="107">
        <v>0</v>
      </c>
      <c r="E220" s="109">
        <v>16.2</v>
      </c>
    </row>
    <row r="221" spans="1:5" ht="22.5" customHeight="1">
      <c r="A221" s="101">
        <v>210903</v>
      </c>
      <c r="B221" s="104" t="s">
        <v>496</v>
      </c>
      <c r="C221" s="107">
        <v>90.5</v>
      </c>
      <c r="D221" s="107">
        <v>0</v>
      </c>
      <c r="E221" s="109">
        <v>7.3</v>
      </c>
    </row>
    <row r="222" spans="1:5" ht="22.5" customHeight="1">
      <c r="A222" s="101">
        <v>210905</v>
      </c>
      <c r="B222" s="104" t="s">
        <v>494</v>
      </c>
      <c r="C222" s="107">
        <v>90.5</v>
      </c>
      <c r="D222" s="107">
        <v>0</v>
      </c>
      <c r="E222" s="109">
        <v>10.1</v>
      </c>
    </row>
    <row r="223" spans="1:5" ht="22.5" customHeight="1">
      <c r="A223" s="101">
        <v>221100</v>
      </c>
      <c r="B223" s="104" t="s">
        <v>1034</v>
      </c>
      <c r="C223" s="107">
        <v>95.6</v>
      </c>
      <c r="D223" s="107">
        <v>0</v>
      </c>
      <c r="E223" s="109">
        <v>17.100000000000001</v>
      </c>
    </row>
    <row r="224" spans="1:5" ht="22.5" customHeight="1">
      <c r="A224" s="101">
        <v>221103</v>
      </c>
      <c r="B224" s="104" t="s">
        <v>1035</v>
      </c>
      <c r="C224" s="107">
        <v>95.2</v>
      </c>
      <c r="D224" s="107">
        <v>0</v>
      </c>
      <c r="E224" s="109">
        <v>15.1</v>
      </c>
    </row>
    <row r="225" spans="1:5" ht="22.5" customHeight="1">
      <c r="A225" s="101">
        <v>221104</v>
      </c>
      <c r="B225" s="104" t="s">
        <v>1036</v>
      </c>
      <c r="C225" s="107">
        <v>95.6</v>
      </c>
      <c r="D225" s="107">
        <v>0</v>
      </c>
      <c r="E225" s="109">
        <v>15.6</v>
      </c>
    </row>
    <row r="226" spans="1:5" ht="22.5" customHeight="1">
      <c r="A226" s="101">
        <v>221200</v>
      </c>
      <c r="B226" s="104" t="s">
        <v>1037</v>
      </c>
      <c r="C226" s="107">
        <v>94.6</v>
      </c>
      <c r="D226" s="107">
        <v>0</v>
      </c>
      <c r="E226" s="109">
        <v>18.100000000000001</v>
      </c>
    </row>
    <row r="227" spans="1:5" ht="22.5" customHeight="1">
      <c r="A227" s="101">
        <v>221201</v>
      </c>
      <c r="B227" s="104" t="s">
        <v>1038</v>
      </c>
      <c r="C227" s="107">
        <v>94.6</v>
      </c>
      <c r="D227" s="107">
        <v>0</v>
      </c>
      <c r="E227" s="109">
        <v>23</v>
      </c>
    </row>
    <row r="228" spans="1:5" ht="22.5" customHeight="1">
      <c r="A228" s="101">
        <v>221202</v>
      </c>
      <c r="B228" s="104" t="s">
        <v>1039</v>
      </c>
      <c r="C228" s="107">
        <v>94.6</v>
      </c>
      <c r="D228" s="107">
        <v>0</v>
      </c>
      <c r="E228" s="109">
        <v>20.100000000000001</v>
      </c>
    </row>
    <row r="229" spans="1:5" ht="22.5" customHeight="1">
      <c r="A229" s="101">
        <v>221300</v>
      </c>
      <c r="B229" s="104" t="s">
        <v>254</v>
      </c>
      <c r="C229" s="107">
        <v>91.2</v>
      </c>
      <c r="D229" s="107">
        <v>0</v>
      </c>
      <c r="E229" s="109">
        <v>21.9</v>
      </c>
    </row>
    <row r="230" spans="1:5" ht="22.5" customHeight="1">
      <c r="A230" s="101">
        <v>221900</v>
      </c>
      <c r="B230" s="104" t="s">
        <v>255</v>
      </c>
      <c r="C230" s="107">
        <v>92.6</v>
      </c>
      <c r="D230" s="107">
        <v>0</v>
      </c>
      <c r="E230" s="109">
        <v>17</v>
      </c>
    </row>
    <row r="231" spans="1:5" ht="22.5" customHeight="1">
      <c r="A231" s="101">
        <v>222101</v>
      </c>
      <c r="B231" s="104" t="s">
        <v>497</v>
      </c>
      <c r="C231" s="107">
        <v>93.3</v>
      </c>
      <c r="D231" s="107">
        <v>0</v>
      </c>
      <c r="E231" s="109">
        <v>12.1</v>
      </c>
    </row>
    <row r="232" spans="1:5" ht="22.5" customHeight="1">
      <c r="A232" s="101">
        <v>222102</v>
      </c>
      <c r="B232" s="104" t="s">
        <v>498</v>
      </c>
      <c r="C232" s="107">
        <v>92.5</v>
      </c>
      <c r="D232" s="107">
        <v>0</v>
      </c>
      <c r="E232" s="109">
        <v>12</v>
      </c>
    </row>
    <row r="233" spans="1:5" ht="22.5" customHeight="1">
      <c r="A233" s="101">
        <v>222103</v>
      </c>
      <c r="B233" s="104" t="s">
        <v>497</v>
      </c>
      <c r="C233" s="107">
        <v>92.5</v>
      </c>
      <c r="D233" s="107">
        <v>0</v>
      </c>
      <c r="E233" s="109">
        <v>9.4</v>
      </c>
    </row>
    <row r="234" spans="1:5" ht="22.5" customHeight="1">
      <c r="A234" s="101">
        <v>222104</v>
      </c>
      <c r="B234" s="104" t="s">
        <v>499</v>
      </c>
      <c r="C234" s="107">
        <v>92.5</v>
      </c>
      <c r="D234" s="107">
        <v>0</v>
      </c>
      <c r="E234" s="109">
        <v>6.6</v>
      </c>
    </row>
    <row r="235" spans="1:5" ht="22.5" customHeight="1">
      <c r="A235" s="101">
        <v>222105</v>
      </c>
      <c r="B235" s="104" t="s">
        <v>500</v>
      </c>
      <c r="C235" s="107">
        <v>92.5</v>
      </c>
      <c r="D235" s="107">
        <v>0</v>
      </c>
      <c r="E235" s="109">
        <v>10</v>
      </c>
    </row>
    <row r="236" spans="1:5" ht="22.5" customHeight="1">
      <c r="A236" s="101">
        <v>222201</v>
      </c>
      <c r="B236" s="104" t="s">
        <v>124</v>
      </c>
      <c r="C236" s="107">
        <v>90.6</v>
      </c>
      <c r="D236" s="107">
        <v>0</v>
      </c>
      <c r="E236" s="109">
        <v>15.8</v>
      </c>
    </row>
    <row r="237" spans="1:5" ht="22.5" customHeight="1">
      <c r="A237" s="101">
        <v>222202</v>
      </c>
      <c r="B237" s="104" t="s">
        <v>501</v>
      </c>
      <c r="C237" s="107">
        <v>89.6</v>
      </c>
      <c r="D237" s="107">
        <v>0</v>
      </c>
      <c r="E237" s="109">
        <v>11</v>
      </c>
    </row>
    <row r="238" spans="1:5" ht="22.5" customHeight="1">
      <c r="A238" s="101">
        <v>222203</v>
      </c>
      <c r="B238" s="104" t="s">
        <v>125</v>
      </c>
      <c r="C238" s="107">
        <v>89.6</v>
      </c>
      <c r="D238" s="107">
        <v>0</v>
      </c>
      <c r="E238" s="109">
        <v>5.8</v>
      </c>
    </row>
    <row r="239" spans="1:5" ht="22.5" customHeight="1">
      <c r="A239" s="101">
        <v>223001</v>
      </c>
      <c r="B239" s="104" t="s">
        <v>126</v>
      </c>
      <c r="C239" s="107">
        <v>89.7</v>
      </c>
      <c r="D239" s="107">
        <v>0</v>
      </c>
      <c r="E239" s="109">
        <v>17.399999999999999</v>
      </c>
    </row>
    <row r="240" spans="1:5" ht="22.5" customHeight="1">
      <c r="A240" s="101">
        <v>231001</v>
      </c>
      <c r="B240" s="104" t="s">
        <v>127</v>
      </c>
      <c r="C240" s="107">
        <v>95.3</v>
      </c>
      <c r="D240" s="107">
        <v>0</v>
      </c>
      <c r="E240" s="109">
        <v>21.7</v>
      </c>
    </row>
    <row r="241" spans="1:5" ht="22.5" customHeight="1">
      <c r="A241" s="101">
        <v>231002</v>
      </c>
      <c r="B241" s="104" t="s">
        <v>128</v>
      </c>
      <c r="C241" s="107">
        <v>98.2</v>
      </c>
      <c r="D241" s="107">
        <v>0</v>
      </c>
      <c r="E241" s="109">
        <v>21.7</v>
      </c>
    </row>
    <row r="242" spans="1:5" ht="22.5" customHeight="1">
      <c r="A242" s="101">
        <v>232100</v>
      </c>
      <c r="B242" s="104" t="s">
        <v>129</v>
      </c>
      <c r="C242" s="107">
        <v>91.1</v>
      </c>
      <c r="D242" s="107">
        <v>0</v>
      </c>
      <c r="E242" s="109">
        <v>10.5</v>
      </c>
    </row>
    <row r="243" spans="1:5" ht="22.5" customHeight="1">
      <c r="A243" s="101">
        <v>232101</v>
      </c>
      <c r="B243" s="104" t="s">
        <v>502</v>
      </c>
      <c r="C243" s="107">
        <v>91.1</v>
      </c>
      <c r="D243" s="107">
        <v>0</v>
      </c>
      <c r="E243" s="109">
        <v>10.5</v>
      </c>
    </row>
    <row r="244" spans="1:5" ht="22.5" customHeight="1">
      <c r="A244" s="101">
        <v>232200</v>
      </c>
      <c r="B244" s="104" t="s">
        <v>503</v>
      </c>
      <c r="C244" s="107">
        <v>95.8</v>
      </c>
      <c r="D244" s="107">
        <v>0</v>
      </c>
      <c r="E244" s="109">
        <v>11</v>
      </c>
    </row>
    <row r="245" spans="1:5" ht="22.5" customHeight="1">
      <c r="A245" s="101">
        <v>232201</v>
      </c>
      <c r="B245" s="104" t="s">
        <v>504</v>
      </c>
      <c r="C245" s="107">
        <v>95.8</v>
      </c>
      <c r="D245" s="107">
        <v>0</v>
      </c>
      <c r="E245" s="109">
        <v>11</v>
      </c>
    </row>
    <row r="246" spans="1:5" ht="22.5" customHeight="1">
      <c r="A246" s="101">
        <v>241101</v>
      </c>
      <c r="B246" s="104" t="s">
        <v>130</v>
      </c>
      <c r="C246" s="107">
        <v>89.3</v>
      </c>
      <c r="D246" s="107">
        <v>0</v>
      </c>
      <c r="E246" s="109">
        <v>16.7</v>
      </c>
    </row>
    <row r="247" spans="1:5" ht="22.5" customHeight="1">
      <c r="A247" s="101">
        <v>241102</v>
      </c>
      <c r="B247" s="104" t="s">
        <v>502</v>
      </c>
      <c r="C247" s="107">
        <v>90.7</v>
      </c>
      <c r="D247" s="107">
        <v>0</v>
      </c>
      <c r="E247" s="109">
        <v>16.7</v>
      </c>
    </row>
    <row r="248" spans="1:5" ht="22.5" customHeight="1">
      <c r="A248" s="101">
        <v>241105</v>
      </c>
      <c r="B248" s="104" t="s">
        <v>502</v>
      </c>
      <c r="C248" s="107">
        <v>92.8</v>
      </c>
      <c r="D248" s="107">
        <v>0</v>
      </c>
      <c r="E248" s="109">
        <v>15.9</v>
      </c>
    </row>
    <row r="249" spans="1:5" ht="22.5" customHeight="1">
      <c r="A249" s="101">
        <v>241106</v>
      </c>
      <c r="B249" s="104" t="s">
        <v>505</v>
      </c>
      <c r="C249" s="107">
        <v>91.4</v>
      </c>
      <c r="D249" s="107">
        <v>0</v>
      </c>
      <c r="E249" s="109">
        <v>10.3</v>
      </c>
    </row>
    <row r="250" spans="1:5" ht="22.5" customHeight="1">
      <c r="A250" s="101">
        <v>241109</v>
      </c>
      <c r="B250" s="104" t="s">
        <v>506</v>
      </c>
      <c r="C250" s="107">
        <v>90.7</v>
      </c>
      <c r="D250" s="107">
        <v>0</v>
      </c>
      <c r="E250" s="109">
        <v>16.7</v>
      </c>
    </row>
    <row r="251" spans="1:5" ht="22.5" customHeight="1">
      <c r="A251" s="101">
        <v>241110</v>
      </c>
      <c r="B251" s="104" t="s">
        <v>507</v>
      </c>
      <c r="C251" s="107">
        <v>91.4</v>
      </c>
      <c r="D251" s="107">
        <v>0</v>
      </c>
      <c r="E251" s="109">
        <v>10.3</v>
      </c>
    </row>
    <row r="252" spans="1:5" ht="22.5" customHeight="1">
      <c r="A252" s="101">
        <v>241114</v>
      </c>
      <c r="B252" s="104" t="s">
        <v>508</v>
      </c>
      <c r="C252" s="107">
        <v>91.4</v>
      </c>
      <c r="D252" s="107">
        <v>0</v>
      </c>
      <c r="E252" s="109">
        <v>10.3</v>
      </c>
    </row>
    <row r="253" spans="1:5" ht="22.5" customHeight="1">
      <c r="A253" s="101">
        <v>241115</v>
      </c>
      <c r="B253" s="104" t="s">
        <v>509</v>
      </c>
      <c r="C253" s="107">
        <v>91.4</v>
      </c>
      <c r="D253" s="107">
        <v>0</v>
      </c>
      <c r="E253" s="109">
        <v>10.3</v>
      </c>
    </row>
    <row r="254" spans="1:5" ht="22.5" customHeight="1">
      <c r="A254" s="101">
        <v>241200</v>
      </c>
      <c r="B254" s="104" t="s">
        <v>510</v>
      </c>
      <c r="C254" s="107">
        <v>91.4</v>
      </c>
      <c r="D254" s="107">
        <v>0</v>
      </c>
      <c r="E254" s="109">
        <v>16.7</v>
      </c>
    </row>
    <row r="255" spans="1:5" ht="22.5" customHeight="1">
      <c r="A255" s="101">
        <v>241201</v>
      </c>
      <c r="B255" s="104" t="s">
        <v>1713</v>
      </c>
      <c r="C255" s="107">
        <v>91.4</v>
      </c>
      <c r="D255" s="107">
        <v>0</v>
      </c>
      <c r="E255" s="109">
        <v>16.7</v>
      </c>
    </row>
    <row r="256" spans="1:5" ht="22.5" customHeight="1">
      <c r="A256" s="101">
        <v>241202</v>
      </c>
      <c r="B256" s="104" t="s">
        <v>511</v>
      </c>
      <c r="C256" s="107">
        <v>91.4</v>
      </c>
      <c r="D256" s="107">
        <v>0</v>
      </c>
      <c r="E256" s="109">
        <v>16.7</v>
      </c>
    </row>
    <row r="257" spans="1:5" ht="22.5" customHeight="1">
      <c r="A257" s="101">
        <v>241301</v>
      </c>
      <c r="B257" s="104" t="s">
        <v>131</v>
      </c>
      <c r="C257" s="107">
        <v>92.8</v>
      </c>
      <c r="D257" s="107">
        <v>0</v>
      </c>
      <c r="E257" s="109">
        <v>12.4</v>
      </c>
    </row>
    <row r="258" spans="1:5" ht="22.5" customHeight="1">
      <c r="A258" s="101">
        <v>241302</v>
      </c>
      <c r="B258" s="104" t="s">
        <v>512</v>
      </c>
      <c r="C258" s="107">
        <v>89.6</v>
      </c>
      <c r="D258" s="107">
        <v>0</v>
      </c>
      <c r="E258" s="109">
        <v>7.7</v>
      </c>
    </row>
    <row r="259" spans="1:5" ht="22.5" customHeight="1">
      <c r="A259" s="101">
        <v>241303</v>
      </c>
      <c r="B259" s="104" t="s">
        <v>513</v>
      </c>
      <c r="C259" s="107">
        <v>89.6</v>
      </c>
      <c r="D259" s="107">
        <v>0</v>
      </c>
      <c r="E259" s="109">
        <v>9.5</v>
      </c>
    </row>
    <row r="260" spans="1:5" ht="22.5" customHeight="1">
      <c r="A260" s="101">
        <v>242101</v>
      </c>
      <c r="B260" s="104" t="s">
        <v>514</v>
      </c>
      <c r="C260" s="107">
        <v>85.1</v>
      </c>
      <c r="D260" s="107">
        <v>0</v>
      </c>
      <c r="E260" s="109">
        <v>9.4</v>
      </c>
    </row>
    <row r="261" spans="1:5" ht="22.5" customHeight="1">
      <c r="A261" s="101">
        <v>242102</v>
      </c>
      <c r="B261" s="104" t="s">
        <v>514</v>
      </c>
      <c r="C261" s="107">
        <v>92</v>
      </c>
      <c r="D261" s="107">
        <v>0</v>
      </c>
      <c r="E261" s="109">
        <v>9.4</v>
      </c>
    </row>
    <row r="262" spans="1:5" ht="22.5" customHeight="1">
      <c r="A262" s="101">
        <v>242103</v>
      </c>
      <c r="B262" s="104" t="s">
        <v>515</v>
      </c>
      <c r="C262" s="107">
        <v>85.1</v>
      </c>
      <c r="D262" s="107">
        <v>0</v>
      </c>
      <c r="E262" s="109">
        <v>9.4</v>
      </c>
    </row>
    <row r="263" spans="1:5" ht="22.5" customHeight="1">
      <c r="A263" s="101">
        <v>242104</v>
      </c>
      <c r="B263" s="104" t="s">
        <v>515</v>
      </c>
      <c r="C263" s="107">
        <v>92</v>
      </c>
      <c r="D263" s="107">
        <v>0</v>
      </c>
      <c r="E263" s="109">
        <v>9.4</v>
      </c>
    </row>
    <row r="264" spans="1:5" ht="22.5" customHeight="1">
      <c r="A264" s="101">
        <v>242201</v>
      </c>
      <c r="B264" s="104" t="s">
        <v>516</v>
      </c>
      <c r="C264" s="107">
        <v>89.2</v>
      </c>
      <c r="D264" s="107">
        <v>0</v>
      </c>
      <c r="E264" s="109">
        <v>10.4</v>
      </c>
    </row>
    <row r="265" spans="1:5" ht="22.5" customHeight="1">
      <c r="A265" s="101">
        <v>242202</v>
      </c>
      <c r="B265" s="104" t="s">
        <v>516</v>
      </c>
      <c r="C265" s="107">
        <v>91.4</v>
      </c>
      <c r="D265" s="107">
        <v>0</v>
      </c>
      <c r="E265" s="109">
        <v>9.4</v>
      </c>
    </row>
    <row r="266" spans="1:5" ht="22.5" customHeight="1">
      <c r="A266" s="101">
        <v>242203</v>
      </c>
      <c r="B266" s="104" t="s">
        <v>132</v>
      </c>
      <c r="C266" s="107">
        <v>92.8</v>
      </c>
      <c r="D266" s="107">
        <v>0</v>
      </c>
      <c r="E266" s="109">
        <v>9.4</v>
      </c>
    </row>
    <row r="267" spans="1:5" ht="22.5" customHeight="1">
      <c r="A267" s="101">
        <v>242204</v>
      </c>
      <c r="B267" s="104" t="s">
        <v>132</v>
      </c>
      <c r="C267" s="107">
        <v>87</v>
      </c>
      <c r="D267" s="107">
        <v>0</v>
      </c>
      <c r="E267" s="109">
        <v>10.4</v>
      </c>
    </row>
    <row r="268" spans="1:5" ht="22.5" customHeight="1">
      <c r="A268" s="101">
        <v>242205</v>
      </c>
      <c r="B268" s="104" t="s">
        <v>517</v>
      </c>
      <c r="C268" s="107">
        <v>89.2</v>
      </c>
      <c r="D268" s="107">
        <v>0</v>
      </c>
      <c r="E268" s="109">
        <v>10.4</v>
      </c>
    </row>
    <row r="269" spans="1:5" ht="22.5" customHeight="1">
      <c r="A269" s="101">
        <v>242301</v>
      </c>
      <c r="B269" s="104" t="s">
        <v>518</v>
      </c>
      <c r="C269" s="107">
        <v>85.8</v>
      </c>
      <c r="D269" s="107">
        <v>0</v>
      </c>
      <c r="E269" s="109">
        <v>11.9</v>
      </c>
    </row>
    <row r="270" spans="1:5" ht="22.5" customHeight="1">
      <c r="A270" s="101">
        <v>242302</v>
      </c>
      <c r="B270" s="104" t="s">
        <v>133</v>
      </c>
      <c r="C270" s="107">
        <v>79.3</v>
      </c>
      <c r="D270" s="107">
        <v>0</v>
      </c>
      <c r="E270" s="109">
        <v>11.9</v>
      </c>
    </row>
    <row r="271" spans="1:5" ht="22.5" customHeight="1">
      <c r="A271" s="101">
        <v>242303</v>
      </c>
      <c r="B271" s="104" t="s">
        <v>519</v>
      </c>
      <c r="C271" s="107">
        <v>85.8</v>
      </c>
      <c r="D271" s="107">
        <v>0</v>
      </c>
      <c r="E271" s="109">
        <v>11.9</v>
      </c>
    </row>
    <row r="272" spans="1:5" ht="22.5" customHeight="1">
      <c r="A272" s="101">
        <v>242304</v>
      </c>
      <c r="B272" s="104" t="s">
        <v>520</v>
      </c>
      <c r="C272" s="107">
        <v>85.8</v>
      </c>
      <c r="D272" s="107">
        <v>0</v>
      </c>
      <c r="E272" s="109">
        <v>11.9</v>
      </c>
    </row>
    <row r="273" spans="1:5" ht="22.5" customHeight="1">
      <c r="A273" s="101">
        <v>242305</v>
      </c>
      <c r="B273" s="104" t="s">
        <v>521</v>
      </c>
      <c r="C273" s="107">
        <v>85.8</v>
      </c>
      <c r="D273" s="107">
        <v>0</v>
      </c>
      <c r="E273" s="109">
        <v>11.9</v>
      </c>
    </row>
    <row r="274" spans="1:5" ht="22.5" customHeight="1">
      <c r="A274" s="101">
        <v>242309</v>
      </c>
      <c r="B274" s="104" t="s">
        <v>522</v>
      </c>
      <c r="C274" s="107">
        <v>88.8</v>
      </c>
      <c r="D274" s="107">
        <v>0</v>
      </c>
      <c r="E274" s="109">
        <v>11.9</v>
      </c>
    </row>
    <row r="275" spans="1:5" ht="22.5" customHeight="1">
      <c r="A275" s="101">
        <v>242401</v>
      </c>
      <c r="B275" s="104" t="s">
        <v>134</v>
      </c>
      <c r="C275" s="107">
        <v>92.4</v>
      </c>
      <c r="D275" s="107">
        <v>0</v>
      </c>
      <c r="E275" s="109">
        <v>5.2</v>
      </c>
    </row>
    <row r="276" spans="1:5" ht="22.5" customHeight="1">
      <c r="A276" s="101">
        <v>242402</v>
      </c>
      <c r="B276" s="104" t="s">
        <v>134</v>
      </c>
      <c r="C276" s="107">
        <v>89.6</v>
      </c>
      <c r="D276" s="107">
        <v>0</v>
      </c>
      <c r="E276" s="109">
        <v>10.1</v>
      </c>
    </row>
    <row r="277" spans="1:5" ht="22.5" customHeight="1">
      <c r="A277" s="101">
        <v>242403</v>
      </c>
      <c r="B277" s="104" t="s">
        <v>523</v>
      </c>
      <c r="C277" s="107">
        <v>84.8</v>
      </c>
      <c r="D277" s="107">
        <v>0</v>
      </c>
      <c r="E277" s="109">
        <v>12.8</v>
      </c>
    </row>
    <row r="278" spans="1:5" ht="22.5" customHeight="1">
      <c r="A278" s="101">
        <v>242404</v>
      </c>
      <c r="B278" s="104" t="s">
        <v>524</v>
      </c>
      <c r="C278" s="107">
        <v>89.6</v>
      </c>
      <c r="D278" s="107">
        <v>0</v>
      </c>
      <c r="E278" s="109">
        <v>11.2</v>
      </c>
    </row>
    <row r="279" spans="1:5" ht="22.5" customHeight="1">
      <c r="A279" s="101">
        <v>242405</v>
      </c>
      <c r="B279" s="104" t="s">
        <v>525</v>
      </c>
      <c r="C279" s="107">
        <v>89.6</v>
      </c>
      <c r="D279" s="107">
        <v>0</v>
      </c>
      <c r="E279" s="109">
        <v>11.2</v>
      </c>
    </row>
    <row r="280" spans="1:5" ht="22.5" customHeight="1">
      <c r="A280" s="101">
        <v>242406</v>
      </c>
      <c r="B280" s="104" t="s">
        <v>525</v>
      </c>
      <c r="C280" s="107">
        <v>84.8</v>
      </c>
      <c r="D280" s="107">
        <v>0</v>
      </c>
      <c r="E280" s="109">
        <v>5</v>
      </c>
    </row>
    <row r="281" spans="1:5" ht="22.5" customHeight="1">
      <c r="A281" s="101">
        <v>242901</v>
      </c>
      <c r="B281" s="104" t="s">
        <v>526</v>
      </c>
      <c r="C281" s="107">
        <v>88.7</v>
      </c>
      <c r="D281" s="107">
        <v>0</v>
      </c>
      <c r="E281" s="109">
        <v>7.8</v>
      </c>
    </row>
    <row r="282" spans="1:5" ht="22.5" customHeight="1">
      <c r="A282" s="101">
        <v>242902</v>
      </c>
      <c r="B282" s="104" t="s">
        <v>135</v>
      </c>
      <c r="C282" s="107">
        <v>89</v>
      </c>
      <c r="D282" s="107">
        <v>0</v>
      </c>
      <c r="E282" s="109">
        <v>8.6</v>
      </c>
    </row>
    <row r="283" spans="1:5" ht="22.5" customHeight="1">
      <c r="A283" s="101">
        <v>242903</v>
      </c>
      <c r="B283" s="104" t="s">
        <v>527</v>
      </c>
      <c r="C283" s="107">
        <v>95.3</v>
      </c>
      <c r="D283" s="107">
        <v>0</v>
      </c>
      <c r="E283" s="109">
        <v>8.6</v>
      </c>
    </row>
    <row r="284" spans="1:5" ht="22.5" customHeight="1">
      <c r="A284" s="101">
        <v>242904</v>
      </c>
      <c r="B284" s="104" t="s">
        <v>136</v>
      </c>
      <c r="C284" s="107">
        <v>89.5</v>
      </c>
      <c r="D284" s="107">
        <v>0</v>
      </c>
      <c r="E284" s="109">
        <v>9.5</v>
      </c>
    </row>
    <row r="285" spans="1:5" ht="22.5" customHeight="1">
      <c r="A285" s="101">
        <v>242905</v>
      </c>
      <c r="B285" s="104" t="s">
        <v>528</v>
      </c>
      <c r="C285" s="107">
        <v>88.7</v>
      </c>
      <c r="D285" s="107">
        <v>0</v>
      </c>
      <c r="E285" s="109">
        <v>9.6999999999999993</v>
      </c>
    </row>
    <row r="286" spans="1:5" ht="22.5" customHeight="1">
      <c r="A286" s="101">
        <v>242906</v>
      </c>
      <c r="B286" s="104" t="s">
        <v>529</v>
      </c>
      <c r="C286" s="107">
        <v>88.7</v>
      </c>
      <c r="D286" s="107">
        <v>0</v>
      </c>
      <c r="E286" s="109">
        <v>9.6999999999999993</v>
      </c>
    </row>
    <row r="287" spans="1:5" ht="22.5" customHeight="1">
      <c r="A287" s="101">
        <v>242907</v>
      </c>
      <c r="B287" s="104" t="s">
        <v>527</v>
      </c>
      <c r="C287" s="107">
        <v>88.7</v>
      </c>
      <c r="D287" s="107">
        <v>0</v>
      </c>
      <c r="E287" s="109">
        <v>4.3</v>
      </c>
    </row>
    <row r="288" spans="1:5" ht="22.5" customHeight="1">
      <c r="A288" s="101">
        <v>242908</v>
      </c>
      <c r="B288" s="104" t="s">
        <v>530</v>
      </c>
      <c r="C288" s="107">
        <v>95.3</v>
      </c>
      <c r="D288" s="107">
        <v>0</v>
      </c>
      <c r="E288" s="109">
        <v>8.6</v>
      </c>
    </row>
    <row r="289" spans="1:5" ht="22.5" customHeight="1">
      <c r="A289" s="101">
        <v>243000</v>
      </c>
      <c r="B289" s="104" t="s">
        <v>531</v>
      </c>
      <c r="C289" s="107">
        <v>90.6</v>
      </c>
      <c r="D289" s="107">
        <v>0</v>
      </c>
      <c r="E289" s="109">
        <v>12.1</v>
      </c>
    </row>
    <row r="290" spans="1:5" ht="22.5" customHeight="1">
      <c r="A290" s="101">
        <v>243001</v>
      </c>
      <c r="B290" s="104" t="s">
        <v>532</v>
      </c>
      <c r="C290" s="107">
        <v>90.6</v>
      </c>
      <c r="D290" s="107">
        <v>0</v>
      </c>
      <c r="E290" s="109">
        <v>12.1</v>
      </c>
    </row>
    <row r="291" spans="1:5" ht="22.5" customHeight="1">
      <c r="A291" s="101">
        <v>251101</v>
      </c>
      <c r="B291" s="104" t="s">
        <v>137</v>
      </c>
      <c r="C291" s="107">
        <v>90.2</v>
      </c>
      <c r="D291" s="107">
        <v>0</v>
      </c>
      <c r="E291" s="109">
        <v>9.1999999999999993</v>
      </c>
    </row>
    <row r="292" spans="1:5" ht="22.5" customHeight="1">
      <c r="A292" s="101">
        <v>251102</v>
      </c>
      <c r="B292" s="104" t="s">
        <v>138</v>
      </c>
      <c r="C292" s="107">
        <v>94.2</v>
      </c>
      <c r="D292" s="107">
        <v>0</v>
      </c>
      <c r="E292" s="109">
        <v>10</v>
      </c>
    </row>
    <row r="293" spans="1:5" ht="22.5" customHeight="1">
      <c r="A293" s="101">
        <v>251901</v>
      </c>
      <c r="B293" s="104" t="s">
        <v>533</v>
      </c>
      <c r="C293" s="107">
        <v>92</v>
      </c>
      <c r="D293" s="107">
        <v>0</v>
      </c>
      <c r="E293" s="109">
        <v>10.4</v>
      </c>
    </row>
    <row r="294" spans="1:5" ht="22.5" customHeight="1">
      <c r="A294" s="101">
        <v>251902</v>
      </c>
      <c r="B294" s="104" t="s">
        <v>534</v>
      </c>
      <c r="C294" s="107">
        <v>89</v>
      </c>
      <c r="D294" s="107">
        <v>0</v>
      </c>
      <c r="E294" s="109">
        <v>11</v>
      </c>
    </row>
    <row r="295" spans="1:5" ht="22.5" customHeight="1">
      <c r="A295" s="101">
        <v>251903</v>
      </c>
      <c r="B295" s="104" t="s">
        <v>535</v>
      </c>
      <c r="C295" s="107">
        <v>92</v>
      </c>
      <c r="D295" s="107">
        <v>0</v>
      </c>
      <c r="E295" s="109">
        <v>11.5</v>
      </c>
    </row>
    <row r="296" spans="1:5" ht="22.5" customHeight="1">
      <c r="A296" s="101">
        <v>251904</v>
      </c>
      <c r="B296" s="104" t="s">
        <v>536</v>
      </c>
      <c r="C296" s="107">
        <v>89</v>
      </c>
      <c r="D296" s="107">
        <v>0</v>
      </c>
      <c r="E296" s="109">
        <v>12.2</v>
      </c>
    </row>
    <row r="297" spans="1:5" ht="22.5" customHeight="1">
      <c r="A297" s="101">
        <v>252101</v>
      </c>
      <c r="B297" s="104" t="s">
        <v>139</v>
      </c>
      <c r="C297" s="107">
        <v>89.2</v>
      </c>
      <c r="D297" s="107">
        <v>0</v>
      </c>
      <c r="E297" s="109">
        <v>11.6</v>
      </c>
    </row>
    <row r="298" spans="1:5" ht="22.5" customHeight="1">
      <c r="A298" s="101">
        <v>252102</v>
      </c>
      <c r="B298" s="104" t="s">
        <v>537</v>
      </c>
      <c r="C298" s="107">
        <v>94.2</v>
      </c>
      <c r="D298" s="107">
        <v>0</v>
      </c>
      <c r="E298" s="109">
        <v>11.1</v>
      </c>
    </row>
    <row r="299" spans="1:5" ht="22.5" customHeight="1">
      <c r="A299" s="101">
        <v>252103</v>
      </c>
      <c r="B299" s="104" t="s">
        <v>538</v>
      </c>
      <c r="C299" s="107">
        <v>92.8</v>
      </c>
      <c r="D299" s="107">
        <v>0</v>
      </c>
      <c r="E299" s="109">
        <v>8</v>
      </c>
    </row>
    <row r="300" spans="1:5" ht="22.5" customHeight="1">
      <c r="A300" s="101">
        <v>252105</v>
      </c>
      <c r="B300" s="104" t="s">
        <v>537</v>
      </c>
      <c r="C300" s="107">
        <v>92.8</v>
      </c>
      <c r="D300" s="107">
        <v>0</v>
      </c>
      <c r="E300" s="109">
        <v>11.1</v>
      </c>
    </row>
    <row r="301" spans="1:5" ht="22.5" customHeight="1">
      <c r="A301" s="101">
        <v>252106</v>
      </c>
      <c r="B301" s="104" t="s">
        <v>539</v>
      </c>
      <c r="C301" s="107">
        <v>92.8</v>
      </c>
      <c r="D301" s="107">
        <v>0</v>
      </c>
      <c r="E301" s="109">
        <v>11.1</v>
      </c>
    </row>
    <row r="302" spans="1:5" ht="22.5" customHeight="1">
      <c r="A302" s="101">
        <v>252200</v>
      </c>
      <c r="B302" s="104" t="s">
        <v>540</v>
      </c>
      <c r="C302" s="107">
        <v>93.3</v>
      </c>
      <c r="D302" s="107">
        <v>0</v>
      </c>
      <c r="E302" s="109">
        <v>8.6</v>
      </c>
    </row>
    <row r="303" spans="1:5" ht="22.5" customHeight="1">
      <c r="A303" s="101">
        <v>252201</v>
      </c>
      <c r="B303" s="104" t="s">
        <v>541</v>
      </c>
      <c r="C303" s="107">
        <v>93.3</v>
      </c>
      <c r="D303" s="107">
        <v>0</v>
      </c>
      <c r="E303" s="109">
        <v>10.6</v>
      </c>
    </row>
    <row r="304" spans="1:5" ht="22.5" customHeight="1">
      <c r="A304" s="101">
        <v>252301</v>
      </c>
      <c r="B304" s="104" t="s">
        <v>542</v>
      </c>
      <c r="C304" s="107">
        <v>90.7</v>
      </c>
      <c r="D304" s="107">
        <v>0</v>
      </c>
      <c r="E304" s="109">
        <v>9.6</v>
      </c>
    </row>
    <row r="305" spans="1:5" ht="22.5" customHeight="1">
      <c r="A305" s="101">
        <v>252303</v>
      </c>
      <c r="B305" s="104" t="s">
        <v>543</v>
      </c>
      <c r="C305" s="107">
        <v>90.7</v>
      </c>
      <c r="D305" s="107">
        <v>0</v>
      </c>
      <c r="E305" s="109">
        <v>10.7</v>
      </c>
    </row>
    <row r="306" spans="1:5" ht="22.5" customHeight="1">
      <c r="A306" s="101">
        <v>252400</v>
      </c>
      <c r="B306" s="104" t="s">
        <v>544</v>
      </c>
      <c r="C306" s="107">
        <v>92.6</v>
      </c>
      <c r="D306" s="107">
        <v>0</v>
      </c>
      <c r="E306" s="109">
        <v>8.8000000000000007</v>
      </c>
    </row>
    <row r="307" spans="1:5" ht="22.5" customHeight="1">
      <c r="A307" s="101">
        <v>252401</v>
      </c>
      <c r="B307" s="104" t="s">
        <v>545</v>
      </c>
      <c r="C307" s="107">
        <v>92.6</v>
      </c>
      <c r="D307" s="107">
        <v>0</v>
      </c>
      <c r="E307" s="109">
        <v>9.8000000000000007</v>
      </c>
    </row>
    <row r="308" spans="1:5" ht="22.5" customHeight="1">
      <c r="A308" s="101">
        <v>252402</v>
      </c>
      <c r="B308" s="104" t="s">
        <v>546</v>
      </c>
      <c r="C308" s="107">
        <v>92.6</v>
      </c>
      <c r="D308" s="107">
        <v>0</v>
      </c>
      <c r="E308" s="109">
        <v>12.7</v>
      </c>
    </row>
    <row r="309" spans="1:5" ht="22.5" customHeight="1">
      <c r="A309" s="101">
        <v>252403</v>
      </c>
      <c r="B309" s="104" t="s">
        <v>547</v>
      </c>
      <c r="C309" s="107">
        <v>92.6</v>
      </c>
      <c r="D309" s="107">
        <v>0</v>
      </c>
      <c r="E309" s="109">
        <v>9.8000000000000007</v>
      </c>
    </row>
    <row r="310" spans="1:5" ht="22.5" customHeight="1">
      <c r="A310" s="101">
        <v>252404</v>
      </c>
      <c r="B310" s="104" t="s">
        <v>548</v>
      </c>
      <c r="C310" s="107">
        <v>92.6</v>
      </c>
      <c r="D310" s="107">
        <v>0</v>
      </c>
      <c r="E310" s="109">
        <v>9.8000000000000007</v>
      </c>
    </row>
    <row r="311" spans="1:5" ht="22.5" customHeight="1">
      <c r="A311" s="101">
        <v>252901</v>
      </c>
      <c r="B311" s="104" t="s">
        <v>549</v>
      </c>
      <c r="C311" s="107">
        <v>92.3</v>
      </c>
      <c r="D311" s="107">
        <v>0</v>
      </c>
      <c r="E311" s="109">
        <v>9.5</v>
      </c>
    </row>
    <row r="312" spans="1:5" ht="22.5" customHeight="1">
      <c r="A312" s="101">
        <v>252902</v>
      </c>
      <c r="B312" s="104" t="s">
        <v>550</v>
      </c>
      <c r="C312" s="107">
        <v>92.7</v>
      </c>
      <c r="D312" s="107">
        <v>0</v>
      </c>
      <c r="E312" s="109">
        <v>11.3</v>
      </c>
    </row>
    <row r="313" spans="1:5" ht="22.5" customHeight="1">
      <c r="A313" s="101">
        <v>252903</v>
      </c>
      <c r="B313" s="104" t="s">
        <v>551</v>
      </c>
      <c r="C313" s="107">
        <v>92.3</v>
      </c>
      <c r="D313" s="107">
        <v>0</v>
      </c>
      <c r="E313" s="109">
        <v>11.9</v>
      </c>
    </row>
    <row r="314" spans="1:5" ht="22.5" customHeight="1">
      <c r="A314" s="101">
        <v>252904</v>
      </c>
      <c r="B314" s="104" t="s">
        <v>552</v>
      </c>
      <c r="C314" s="107">
        <v>92.3</v>
      </c>
      <c r="D314" s="107">
        <v>0</v>
      </c>
      <c r="E314" s="109">
        <v>9.9</v>
      </c>
    </row>
    <row r="315" spans="1:5" ht="22.5" customHeight="1">
      <c r="A315" s="101">
        <v>252909</v>
      </c>
      <c r="B315" s="104" t="s">
        <v>550</v>
      </c>
      <c r="C315" s="107">
        <v>93.1</v>
      </c>
      <c r="D315" s="107">
        <v>0</v>
      </c>
      <c r="E315" s="109">
        <v>8.9</v>
      </c>
    </row>
    <row r="316" spans="1:5" ht="22.5" customHeight="1">
      <c r="A316" s="101">
        <v>261001</v>
      </c>
      <c r="B316" s="104" t="s">
        <v>141</v>
      </c>
      <c r="C316" s="107">
        <v>86.4</v>
      </c>
      <c r="D316" s="107">
        <v>0</v>
      </c>
      <c r="E316" s="109">
        <v>11.3</v>
      </c>
    </row>
    <row r="317" spans="1:5" ht="22.5" customHeight="1">
      <c r="A317" s="101">
        <v>261002</v>
      </c>
      <c r="B317" s="104" t="s">
        <v>553</v>
      </c>
      <c r="C317" s="107">
        <v>89.5</v>
      </c>
      <c r="D317" s="107">
        <v>0</v>
      </c>
      <c r="E317" s="109">
        <v>8.6999999999999993</v>
      </c>
    </row>
    <row r="318" spans="1:5" ht="22.5" customHeight="1">
      <c r="A318" s="101">
        <v>261004</v>
      </c>
      <c r="B318" s="104" t="s">
        <v>554</v>
      </c>
      <c r="C318" s="107">
        <v>89.5</v>
      </c>
      <c r="D318" s="107">
        <v>0</v>
      </c>
      <c r="E318" s="109">
        <v>10.9</v>
      </c>
    </row>
    <row r="319" spans="1:5" ht="22.5" customHeight="1">
      <c r="A319" s="101">
        <v>261005</v>
      </c>
      <c r="B319" s="104" t="s">
        <v>555</v>
      </c>
      <c r="C319" s="107">
        <v>89.5</v>
      </c>
      <c r="D319" s="107">
        <v>0</v>
      </c>
      <c r="E319" s="109">
        <v>10.9</v>
      </c>
    </row>
    <row r="320" spans="1:5" ht="22.5" customHeight="1">
      <c r="A320" s="101">
        <v>261006</v>
      </c>
      <c r="B320" s="104" t="s">
        <v>556</v>
      </c>
      <c r="C320" s="107">
        <v>89.5</v>
      </c>
      <c r="D320" s="107">
        <v>0</v>
      </c>
      <c r="E320" s="109">
        <v>10.9</v>
      </c>
    </row>
    <row r="321" spans="1:5" ht="22.5" customHeight="1">
      <c r="A321" s="101">
        <v>261007</v>
      </c>
      <c r="B321" s="104" t="s">
        <v>557</v>
      </c>
      <c r="C321" s="107">
        <v>89.5</v>
      </c>
      <c r="D321" s="107">
        <v>0</v>
      </c>
      <c r="E321" s="109">
        <v>10.9</v>
      </c>
    </row>
    <row r="322" spans="1:5" ht="22.5" customHeight="1">
      <c r="A322" s="101">
        <v>261008</v>
      </c>
      <c r="B322" s="104" t="s">
        <v>558</v>
      </c>
      <c r="C322" s="107">
        <v>89.5</v>
      </c>
      <c r="D322" s="107">
        <v>0</v>
      </c>
      <c r="E322" s="109">
        <v>10.9</v>
      </c>
    </row>
    <row r="323" spans="1:5" ht="22.5" customHeight="1">
      <c r="A323" s="101">
        <v>261009</v>
      </c>
      <c r="B323" s="104" t="s">
        <v>559</v>
      </c>
      <c r="C323" s="107">
        <v>89.5</v>
      </c>
      <c r="D323" s="107">
        <v>0</v>
      </c>
      <c r="E323" s="109">
        <v>10.9</v>
      </c>
    </row>
    <row r="324" spans="1:5" ht="22.5" customHeight="1">
      <c r="A324" s="101">
        <v>261011</v>
      </c>
      <c r="B324" s="104" t="s">
        <v>560</v>
      </c>
      <c r="C324" s="107">
        <v>89.5</v>
      </c>
      <c r="D324" s="107">
        <v>0</v>
      </c>
      <c r="E324" s="109">
        <v>10.9</v>
      </c>
    </row>
    <row r="325" spans="1:5" ht="22.5" customHeight="1">
      <c r="A325" s="101">
        <v>269100</v>
      </c>
      <c r="B325" s="104" t="s">
        <v>561</v>
      </c>
      <c r="C325" s="107">
        <v>88.6</v>
      </c>
      <c r="D325" s="107">
        <v>0</v>
      </c>
      <c r="E325" s="109">
        <v>10.9</v>
      </c>
    </row>
    <row r="326" spans="1:5" ht="22.5" customHeight="1">
      <c r="A326" s="101">
        <v>269101</v>
      </c>
      <c r="B326" s="104" t="s">
        <v>562</v>
      </c>
      <c r="C326" s="107">
        <v>88.6</v>
      </c>
      <c r="D326" s="107">
        <v>0</v>
      </c>
      <c r="E326" s="109">
        <v>11.1</v>
      </c>
    </row>
    <row r="327" spans="1:5" ht="22.5" customHeight="1">
      <c r="A327" s="101">
        <v>269102</v>
      </c>
      <c r="B327" s="104" t="s">
        <v>563</v>
      </c>
      <c r="C327" s="107">
        <v>88.6</v>
      </c>
      <c r="D327" s="107">
        <v>0</v>
      </c>
      <c r="E327" s="109">
        <v>5.5</v>
      </c>
    </row>
    <row r="328" spans="1:5" ht="22.5" customHeight="1">
      <c r="A328" s="101">
        <v>269200</v>
      </c>
      <c r="B328" s="104" t="s">
        <v>564</v>
      </c>
      <c r="C328" s="107">
        <v>91.9</v>
      </c>
      <c r="D328" s="107">
        <v>0</v>
      </c>
      <c r="E328" s="109">
        <v>17.399999999999999</v>
      </c>
    </row>
    <row r="329" spans="1:5" ht="22.5" customHeight="1">
      <c r="A329" s="101">
        <v>269201</v>
      </c>
      <c r="B329" s="104" t="s">
        <v>565</v>
      </c>
      <c r="C329" s="107">
        <v>91.9</v>
      </c>
      <c r="D329" s="107">
        <v>0</v>
      </c>
      <c r="E329" s="109">
        <v>17.399999999999999</v>
      </c>
    </row>
    <row r="330" spans="1:5" ht="22.5" customHeight="1">
      <c r="A330" s="101">
        <v>269300</v>
      </c>
      <c r="B330" s="104" t="s">
        <v>566</v>
      </c>
      <c r="C330" s="107">
        <v>91.5</v>
      </c>
      <c r="D330" s="107">
        <v>0</v>
      </c>
      <c r="E330" s="109">
        <v>11.3</v>
      </c>
    </row>
    <row r="331" spans="1:5" ht="22.5" customHeight="1">
      <c r="A331" s="101">
        <v>269301</v>
      </c>
      <c r="B331" s="104" t="s">
        <v>567</v>
      </c>
      <c r="C331" s="107">
        <v>91.5</v>
      </c>
      <c r="D331" s="107">
        <v>0</v>
      </c>
      <c r="E331" s="109">
        <v>12.4</v>
      </c>
    </row>
    <row r="332" spans="1:5" ht="22.5" customHeight="1">
      <c r="A332" s="101">
        <v>269302</v>
      </c>
      <c r="B332" s="104" t="s">
        <v>568</v>
      </c>
      <c r="C332" s="107">
        <v>91.5</v>
      </c>
      <c r="D332" s="107">
        <v>0</v>
      </c>
      <c r="E332" s="109">
        <v>12.4</v>
      </c>
    </row>
    <row r="333" spans="1:5" ht="22.5" customHeight="1">
      <c r="A333" s="101">
        <v>269401</v>
      </c>
      <c r="B333" s="104" t="s">
        <v>569</v>
      </c>
      <c r="C333" s="107">
        <v>95.3</v>
      </c>
      <c r="D333" s="107">
        <v>0</v>
      </c>
      <c r="E333" s="109">
        <v>25.3</v>
      </c>
    </row>
    <row r="334" spans="1:5" ht="22.5" customHeight="1">
      <c r="A334" s="101">
        <v>269402</v>
      </c>
      <c r="B334" s="104" t="s">
        <v>142</v>
      </c>
      <c r="C334" s="107">
        <v>93.1</v>
      </c>
      <c r="D334" s="107">
        <v>0</v>
      </c>
      <c r="E334" s="109">
        <v>25.3</v>
      </c>
    </row>
    <row r="335" spans="1:5" ht="22.5" customHeight="1">
      <c r="A335" s="101">
        <v>269403</v>
      </c>
      <c r="B335" s="104" t="s">
        <v>142</v>
      </c>
      <c r="C335" s="107">
        <v>95.3</v>
      </c>
      <c r="D335" s="107">
        <v>0</v>
      </c>
      <c r="E335" s="109">
        <v>25.3</v>
      </c>
    </row>
    <row r="336" spans="1:5" ht="22.5" customHeight="1">
      <c r="A336" s="101">
        <v>269501</v>
      </c>
      <c r="B336" s="104" t="s">
        <v>570</v>
      </c>
      <c r="C336" s="107">
        <v>91.9</v>
      </c>
      <c r="D336" s="107">
        <v>0</v>
      </c>
      <c r="E336" s="109">
        <v>18.8</v>
      </c>
    </row>
    <row r="337" spans="1:5" ht="22.5" customHeight="1">
      <c r="A337" s="101">
        <v>269502</v>
      </c>
      <c r="B337" s="104" t="s">
        <v>571</v>
      </c>
      <c r="C337" s="107">
        <v>93.9</v>
      </c>
      <c r="D337" s="107">
        <v>0</v>
      </c>
      <c r="E337" s="109">
        <v>18.8</v>
      </c>
    </row>
    <row r="338" spans="1:5" ht="22.5" customHeight="1">
      <c r="A338" s="101">
        <v>269503</v>
      </c>
      <c r="B338" s="104" t="s">
        <v>572</v>
      </c>
      <c r="C338" s="107">
        <v>90.2</v>
      </c>
      <c r="D338" s="107">
        <v>0</v>
      </c>
      <c r="E338" s="109">
        <v>15.9</v>
      </c>
    </row>
    <row r="339" spans="1:5" ht="22.5" customHeight="1">
      <c r="A339" s="101">
        <v>269504</v>
      </c>
      <c r="B339" s="104" t="s">
        <v>573</v>
      </c>
      <c r="C339" s="107">
        <v>92.3</v>
      </c>
      <c r="D339" s="107">
        <v>0</v>
      </c>
      <c r="E339" s="109">
        <v>11.6</v>
      </c>
    </row>
    <row r="340" spans="1:5" ht="22.5" customHeight="1">
      <c r="A340" s="101">
        <v>269505</v>
      </c>
      <c r="B340" s="104" t="s">
        <v>574</v>
      </c>
      <c r="C340" s="107">
        <v>91.9</v>
      </c>
      <c r="D340" s="107">
        <v>0</v>
      </c>
      <c r="E340" s="109">
        <v>18.8</v>
      </c>
    </row>
    <row r="341" spans="1:5" ht="22.5" customHeight="1">
      <c r="A341" s="101">
        <v>269506</v>
      </c>
      <c r="B341" s="104" t="s">
        <v>575</v>
      </c>
      <c r="C341" s="107">
        <v>93.9</v>
      </c>
      <c r="D341" s="107">
        <v>0</v>
      </c>
      <c r="E341" s="109">
        <v>18.8</v>
      </c>
    </row>
    <row r="342" spans="1:5" ht="22.5" customHeight="1">
      <c r="A342" s="101">
        <v>269507</v>
      </c>
      <c r="B342" s="104" t="s">
        <v>573</v>
      </c>
      <c r="C342" s="107">
        <v>90.2</v>
      </c>
      <c r="D342" s="107">
        <v>0</v>
      </c>
      <c r="E342" s="109">
        <v>15.9</v>
      </c>
    </row>
    <row r="343" spans="1:5" ht="22.5" customHeight="1">
      <c r="A343" s="101">
        <v>269508</v>
      </c>
      <c r="B343" s="104" t="s">
        <v>572</v>
      </c>
      <c r="C343" s="107">
        <v>92.3</v>
      </c>
      <c r="D343" s="107">
        <v>0</v>
      </c>
      <c r="E343" s="109">
        <v>14.3</v>
      </c>
    </row>
    <row r="344" spans="1:5" ht="22.5" customHeight="1">
      <c r="A344" s="101">
        <v>269509</v>
      </c>
      <c r="B344" s="104" t="s">
        <v>575</v>
      </c>
      <c r="C344" s="107">
        <v>92.3</v>
      </c>
      <c r="D344" s="107">
        <v>0</v>
      </c>
      <c r="E344" s="109">
        <v>14.3</v>
      </c>
    </row>
    <row r="345" spans="1:5" ht="22.5" customHeight="1">
      <c r="A345" s="101">
        <v>269601</v>
      </c>
      <c r="B345" s="104" t="s">
        <v>576</v>
      </c>
      <c r="C345" s="107">
        <v>93.3</v>
      </c>
      <c r="D345" s="107">
        <v>0</v>
      </c>
      <c r="E345" s="109">
        <v>9</v>
      </c>
    </row>
    <row r="346" spans="1:5" ht="22.5" customHeight="1">
      <c r="A346" s="101">
        <v>269603</v>
      </c>
      <c r="B346" s="104" t="s">
        <v>577</v>
      </c>
      <c r="C346" s="107">
        <v>93.3</v>
      </c>
      <c r="D346" s="107">
        <v>0</v>
      </c>
      <c r="E346" s="109">
        <v>4.5</v>
      </c>
    </row>
    <row r="347" spans="1:5" ht="22.5" customHeight="1">
      <c r="A347" s="101">
        <v>269901</v>
      </c>
      <c r="B347" s="104" t="s">
        <v>578</v>
      </c>
      <c r="C347" s="107">
        <v>89.6</v>
      </c>
      <c r="D347" s="107">
        <v>0</v>
      </c>
      <c r="E347" s="109">
        <v>12.1</v>
      </c>
    </row>
    <row r="348" spans="1:5" ht="22.5" customHeight="1">
      <c r="A348" s="101">
        <v>269902</v>
      </c>
      <c r="B348" s="104" t="s">
        <v>143</v>
      </c>
      <c r="C348" s="107">
        <v>94.4</v>
      </c>
      <c r="D348" s="107">
        <v>0</v>
      </c>
      <c r="E348" s="109">
        <v>10.5</v>
      </c>
    </row>
    <row r="349" spans="1:5" ht="22.5" customHeight="1">
      <c r="A349" s="101">
        <v>269903</v>
      </c>
      <c r="B349" s="104" t="s">
        <v>579</v>
      </c>
      <c r="C349" s="107">
        <v>95.6</v>
      </c>
      <c r="D349" s="107">
        <v>0</v>
      </c>
      <c r="E349" s="109">
        <v>14.2</v>
      </c>
    </row>
    <row r="350" spans="1:5" ht="22.5" customHeight="1">
      <c r="A350" s="101">
        <v>269904</v>
      </c>
      <c r="B350" s="104" t="s">
        <v>580</v>
      </c>
      <c r="C350" s="107">
        <v>92.3</v>
      </c>
      <c r="D350" s="107">
        <v>0</v>
      </c>
      <c r="E350" s="109">
        <v>14.2</v>
      </c>
    </row>
    <row r="351" spans="1:5" ht="22.5" customHeight="1">
      <c r="A351" s="101">
        <v>269905</v>
      </c>
      <c r="B351" s="104" t="s">
        <v>581</v>
      </c>
      <c r="C351" s="107">
        <v>89.6</v>
      </c>
      <c r="D351" s="107">
        <v>0</v>
      </c>
      <c r="E351" s="109">
        <v>12.1</v>
      </c>
    </row>
    <row r="352" spans="1:5" ht="22.5" customHeight="1">
      <c r="A352" s="101">
        <v>269906</v>
      </c>
      <c r="B352" s="104" t="s">
        <v>582</v>
      </c>
      <c r="C352" s="107">
        <v>89.6</v>
      </c>
      <c r="D352" s="107">
        <v>0</v>
      </c>
      <c r="E352" s="109">
        <v>12.1</v>
      </c>
    </row>
    <row r="353" spans="1:5" ht="22.5" customHeight="1">
      <c r="A353" s="101">
        <v>269907</v>
      </c>
      <c r="B353" s="104" t="s">
        <v>143</v>
      </c>
      <c r="C353" s="107">
        <v>92.3</v>
      </c>
      <c r="D353" s="107">
        <v>0</v>
      </c>
      <c r="E353" s="109">
        <v>14.2</v>
      </c>
    </row>
    <row r="354" spans="1:5" ht="22.5" customHeight="1">
      <c r="A354" s="101">
        <v>269908</v>
      </c>
      <c r="B354" s="104" t="s">
        <v>582</v>
      </c>
      <c r="C354" s="107">
        <v>92.3</v>
      </c>
      <c r="D354" s="107">
        <v>0</v>
      </c>
      <c r="E354" s="109">
        <v>14.2</v>
      </c>
    </row>
    <row r="355" spans="1:5" ht="22.5" customHeight="1">
      <c r="A355" s="101">
        <v>271101</v>
      </c>
      <c r="B355" s="104" t="s">
        <v>144</v>
      </c>
      <c r="C355" s="107">
        <v>92.4</v>
      </c>
      <c r="D355" s="107">
        <v>0</v>
      </c>
      <c r="E355" s="109">
        <v>13.3</v>
      </c>
    </row>
    <row r="356" spans="1:5" ht="22.5" customHeight="1">
      <c r="A356" s="101">
        <v>271102</v>
      </c>
      <c r="B356" s="104" t="s">
        <v>583</v>
      </c>
      <c r="C356" s="107">
        <v>88.8</v>
      </c>
      <c r="D356" s="107">
        <v>0</v>
      </c>
      <c r="E356" s="109">
        <v>16.2</v>
      </c>
    </row>
    <row r="357" spans="1:5" ht="22.5" customHeight="1">
      <c r="A357" s="101">
        <v>271103</v>
      </c>
      <c r="B357" s="104" t="s">
        <v>584</v>
      </c>
      <c r="C357" s="107">
        <v>88.8</v>
      </c>
      <c r="D357" s="107">
        <v>0</v>
      </c>
      <c r="E357" s="109">
        <v>16.2</v>
      </c>
    </row>
    <row r="358" spans="1:5" ht="22.5" customHeight="1">
      <c r="A358" s="101">
        <v>271104</v>
      </c>
      <c r="B358" s="104" t="s">
        <v>585</v>
      </c>
      <c r="C358" s="107">
        <v>88.8</v>
      </c>
      <c r="D358" s="107">
        <v>0</v>
      </c>
      <c r="E358" s="109">
        <v>16.2</v>
      </c>
    </row>
    <row r="359" spans="1:5" ht="22.5" customHeight="1">
      <c r="A359" s="101">
        <v>271201</v>
      </c>
      <c r="B359" s="104" t="s">
        <v>586</v>
      </c>
      <c r="C359" s="107">
        <v>91.6</v>
      </c>
      <c r="D359" s="107">
        <v>0</v>
      </c>
      <c r="E359" s="109">
        <v>10.1</v>
      </c>
    </row>
    <row r="360" spans="1:5" ht="22.5" customHeight="1">
      <c r="A360" s="101">
        <v>271202</v>
      </c>
      <c r="B360" s="104" t="s">
        <v>145</v>
      </c>
      <c r="C360" s="107">
        <v>91</v>
      </c>
      <c r="D360" s="107">
        <v>0</v>
      </c>
      <c r="E360" s="109">
        <v>15.1</v>
      </c>
    </row>
    <row r="361" spans="1:5" ht="22.5" customHeight="1">
      <c r="A361" s="101">
        <v>271204</v>
      </c>
      <c r="B361" s="104" t="s">
        <v>587</v>
      </c>
      <c r="C361" s="107">
        <v>91.6</v>
      </c>
      <c r="D361" s="107">
        <v>0</v>
      </c>
      <c r="E361" s="109">
        <v>11.2</v>
      </c>
    </row>
    <row r="362" spans="1:5" ht="22.5" customHeight="1">
      <c r="A362" s="101">
        <v>271205</v>
      </c>
      <c r="B362" s="104" t="s">
        <v>588</v>
      </c>
      <c r="C362" s="107">
        <v>91.6</v>
      </c>
      <c r="D362" s="107">
        <v>0</v>
      </c>
      <c r="E362" s="109">
        <v>11.2</v>
      </c>
    </row>
    <row r="363" spans="1:5" ht="22.5" customHeight="1">
      <c r="A363" s="101">
        <v>271206</v>
      </c>
      <c r="B363" s="104" t="s">
        <v>589</v>
      </c>
      <c r="C363" s="107">
        <v>91.6</v>
      </c>
      <c r="D363" s="107">
        <v>0</v>
      </c>
      <c r="E363" s="109">
        <v>11.2</v>
      </c>
    </row>
    <row r="364" spans="1:5" ht="22.5" customHeight="1">
      <c r="A364" s="101">
        <v>271207</v>
      </c>
      <c r="B364" s="104" t="s">
        <v>590</v>
      </c>
      <c r="C364" s="107">
        <v>91.6</v>
      </c>
      <c r="D364" s="107">
        <v>0</v>
      </c>
      <c r="E364" s="109">
        <v>11.2</v>
      </c>
    </row>
    <row r="365" spans="1:5" ht="22.5" customHeight="1">
      <c r="A365" s="101">
        <v>271208</v>
      </c>
      <c r="B365" s="104" t="s">
        <v>591</v>
      </c>
      <c r="C365" s="107">
        <v>91</v>
      </c>
      <c r="D365" s="107">
        <v>0</v>
      </c>
      <c r="E365" s="109">
        <v>15.1</v>
      </c>
    </row>
    <row r="366" spans="1:5" ht="22.5" customHeight="1">
      <c r="A366" s="101">
        <v>271901</v>
      </c>
      <c r="B366" s="104" t="s">
        <v>592</v>
      </c>
      <c r="C366" s="107">
        <v>89</v>
      </c>
      <c r="D366" s="107">
        <v>0</v>
      </c>
      <c r="E366" s="109">
        <v>10.5</v>
      </c>
    </row>
    <row r="367" spans="1:5" ht="22.5" customHeight="1">
      <c r="A367" s="101">
        <v>271902</v>
      </c>
      <c r="B367" s="104" t="s">
        <v>586</v>
      </c>
      <c r="C367" s="107">
        <v>88.2</v>
      </c>
      <c r="D367" s="107">
        <v>0</v>
      </c>
      <c r="E367" s="109">
        <v>10</v>
      </c>
    </row>
    <row r="368" spans="1:5" ht="22.5" customHeight="1">
      <c r="A368" s="101">
        <v>272100</v>
      </c>
      <c r="B368" s="104" t="s">
        <v>593</v>
      </c>
      <c r="C368" s="107">
        <v>86.6</v>
      </c>
      <c r="D368" s="107">
        <v>0</v>
      </c>
      <c r="E368" s="109">
        <v>12.4</v>
      </c>
    </row>
    <row r="369" spans="1:5" ht="22.5" customHeight="1">
      <c r="A369" s="101">
        <v>272101</v>
      </c>
      <c r="B369" s="104" t="s">
        <v>594</v>
      </c>
      <c r="C369" s="107">
        <v>86.6</v>
      </c>
      <c r="D369" s="107">
        <v>0</v>
      </c>
      <c r="E369" s="109">
        <v>12.4</v>
      </c>
    </row>
    <row r="370" spans="1:5" ht="22.5" customHeight="1">
      <c r="A370" s="101">
        <v>272102</v>
      </c>
      <c r="B370" s="104" t="s">
        <v>595</v>
      </c>
      <c r="C370" s="107">
        <v>86.6</v>
      </c>
      <c r="D370" s="107">
        <v>0</v>
      </c>
      <c r="E370" s="109">
        <v>12.4</v>
      </c>
    </row>
    <row r="371" spans="1:5" ht="22.5" customHeight="1">
      <c r="A371" s="101">
        <v>272103</v>
      </c>
      <c r="B371" s="104" t="s">
        <v>596</v>
      </c>
      <c r="C371" s="107">
        <v>86.6</v>
      </c>
      <c r="D371" s="107">
        <v>0</v>
      </c>
      <c r="E371" s="109">
        <v>12.4</v>
      </c>
    </row>
    <row r="372" spans="1:5" ht="22.5" customHeight="1">
      <c r="A372" s="101">
        <v>272200</v>
      </c>
      <c r="B372" s="104" t="s">
        <v>593</v>
      </c>
      <c r="C372" s="107">
        <v>87.3</v>
      </c>
      <c r="D372" s="107">
        <v>0</v>
      </c>
      <c r="E372" s="109">
        <v>12.8</v>
      </c>
    </row>
    <row r="373" spans="1:5" ht="22.5" customHeight="1">
      <c r="A373" s="101">
        <v>272201</v>
      </c>
      <c r="B373" s="104" t="s">
        <v>594</v>
      </c>
      <c r="C373" s="107">
        <v>87.3</v>
      </c>
      <c r="D373" s="107">
        <v>0</v>
      </c>
      <c r="E373" s="109">
        <v>12.8</v>
      </c>
    </row>
    <row r="374" spans="1:5" ht="22.5" customHeight="1">
      <c r="A374" s="101">
        <v>272202</v>
      </c>
      <c r="B374" s="104" t="s">
        <v>595</v>
      </c>
      <c r="C374" s="107">
        <v>87.3</v>
      </c>
      <c r="D374" s="107">
        <v>0</v>
      </c>
      <c r="E374" s="109">
        <v>12.8</v>
      </c>
    </row>
    <row r="375" spans="1:5" ht="22.5" customHeight="1">
      <c r="A375" s="101">
        <v>272203</v>
      </c>
      <c r="B375" s="104" t="s">
        <v>596</v>
      </c>
      <c r="C375" s="107">
        <v>87.3</v>
      </c>
      <c r="D375" s="107">
        <v>0</v>
      </c>
      <c r="E375" s="109">
        <v>12.8</v>
      </c>
    </row>
    <row r="376" spans="1:5" ht="22.5" customHeight="1">
      <c r="A376" s="101">
        <v>272300</v>
      </c>
      <c r="B376" s="104" t="s">
        <v>597</v>
      </c>
      <c r="C376" s="107">
        <v>89.4</v>
      </c>
      <c r="D376" s="107">
        <v>0</v>
      </c>
      <c r="E376" s="109">
        <v>7.7</v>
      </c>
    </row>
    <row r="377" spans="1:5" ht="22.5" customHeight="1">
      <c r="A377" s="101">
        <v>272301</v>
      </c>
      <c r="B377" s="104" t="s">
        <v>598</v>
      </c>
      <c r="C377" s="107">
        <v>89.4</v>
      </c>
      <c r="D377" s="107">
        <v>0</v>
      </c>
      <c r="E377" s="109">
        <v>8.3000000000000007</v>
      </c>
    </row>
    <row r="378" spans="1:5" ht="22.5" customHeight="1">
      <c r="A378" s="101">
        <v>272302</v>
      </c>
      <c r="B378" s="104" t="s">
        <v>599</v>
      </c>
      <c r="C378" s="107">
        <v>89.4</v>
      </c>
      <c r="D378" s="107">
        <v>0</v>
      </c>
      <c r="E378" s="109">
        <v>8.3000000000000007</v>
      </c>
    </row>
    <row r="379" spans="1:5" ht="22.5" customHeight="1">
      <c r="A379" s="101">
        <v>272900</v>
      </c>
      <c r="B379" s="104" t="s">
        <v>600</v>
      </c>
      <c r="C379" s="107">
        <v>88.8</v>
      </c>
      <c r="D379" s="107">
        <v>0</v>
      </c>
      <c r="E379" s="109">
        <v>13.5</v>
      </c>
    </row>
    <row r="380" spans="1:5" ht="22.5" customHeight="1">
      <c r="A380" s="101">
        <v>273101</v>
      </c>
      <c r="B380" s="104" t="s">
        <v>601</v>
      </c>
      <c r="C380" s="107">
        <v>90.1</v>
      </c>
      <c r="D380" s="107">
        <v>0</v>
      </c>
      <c r="E380" s="109">
        <v>17.3</v>
      </c>
    </row>
    <row r="381" spans="1:5" ht="22.5" customHeight="1">
      <c r="A381" s="101">
        <v>273102</v>
      </c>
      <c r="B381" s="104" t="s">
        <v>602</v>
      </c>
      <c r="C381" s="107">
        <v>88.8</v>
      </c>
      <c r="D381" s="107">
        <v>0</v>
      </c>
      <c r="E381" s="109">
        <v>15.7</v>
      </c>
    </row>
    <row r="382" spans="1:5" ht="22.5" customHeight="1">
      <c r="A382" s="101">
        <v>273200</v>
      </c>
      <c r="B382" s="104" t="s">
        <v>603</v>
      </c>
      <c r="C382" s="107">
        <v>90.1</v>
      </c>
      <c r="D382" s="107">
        <v>0</v>
      </c>
      <c r="E382" s="109">
        <v>9.6</v>
      </c>
    </row>
    <row r="383" spans="1:5" ht="22.5" customHeight="1">
      <c r="A383" s="101">
        <v>273201</v>
      </c>
      <c r="B383" s="104" t="s">
        <v>604</v>
      </c>
      <c r="C383" s="107">
        <v>90.1</v>
      </c>
      <c r="D383" s="107">
        <v>0</v>
      </c>
      <c r="E383" s="109">
        <v>9.1999999999999993</v>
      </c>
    </row>
    <row r="384" spans="1:5" ht="22.5" customHeight="1">
      <c r="A384" s="101">
        <v>273202</v>
      </c>
      <c r="B384" s="104" t="s">
        <v>605</v>
      </c>
      <c r="C384" s="107">
        <v>90.1</v>
      </c>
      <c r="D384" s="107">
        <v>0</v>
      </c>
      <c r="E384" s="109">
        <v>9.1999999999999993</v>
      </c>
    </row>
    <row r="385" spans="1:5" ht="22.5" customHeight="1">
      <c r="A385" s="101">
        <v>281100</v>
      </c>
      <c r="B385" s="104" t="s">
        <v>606</v>
      </c>
      <c r="C385" s="107">
        <v>91.5</v>
      </c>
      <c r="D385" s="107">
        <v>0</v>
      </c>
      <c r="E385" s="109">
        <v>8.8000000000000007</v>
      </c>
    </row>
    <row r="386" spans="1:5" ht="22.5" customHeight="1">
      <c r="A386" s="101">
        <v>281101</v>
      </c>
      <c r="B386" s="104" t="s">
        <v>607</v>
      </c>
      <c r="C386" s="107">
        <v>91.5</v>
      </c>
      <c r="D386" s="107">
        <v>0</v>
      </c>
      <c r="E386" s="109">
        <v>11.1</v>
      </c>
    </row>
    <row r="387" spans="1:5" ht="22.5" customHeight="1">
      <c r="A387" s="101">
        <v>281102</v>
      </c>
      <c r="B387" s="104" t="s">
        <v>608</v>
      </c>
      <c r="C387" s="107">
        <v>91.5</v>
      </c>
      <c r="D387" s="107">
        <v>0</v>
      </c>
      <c r="E387" s="109">
        <v>10.5</v>
      </c>
    </row>
    <row r="388" spans="1:5" ht="22.5" customHeight="1">
      <c r="A388" s="101">
        <v>281103</v>
      </c>
      <c r="B388" s="104" t="s">
        <v>609</v>
      </c>
      <c r="C388" s="107">
        <v>91.5</v>
      </c>
      <c r="D388" s="107">
        <v>0</v>
      </c>
      <c r="E388" s="109">
        <v>10.5</v>
      </c>
    </row>
    <row r="389" spans="1:5" ht="22.5" customHeight="1">
      <c r="A389" s="101">
        <v>281104</v>
      </c>
      <c r="B389" s="104" t="s">
        <v>610</v>
      </c>
      <c r="C389" s="107">
        <v>91.5</v>
      </c>
      <c r="D389" s="107">
        <v>0</v>
      </c>
      <c r="E389" s="109">
        <v>10.5</v>
      </c>
    </row>
    <row r="390" spans="1:5" ht="22.5" customHeight="1">
      <c r="A390" s="101">
        <v>281105</v>
      </c>
      <c r="B390" s="104" t="s">
        <v>611</v>
      </c>
      <c r="C390" s="107">
        <v>91.5</v>
      </c>
      <c r="D390" s="107">
        <v>0</v>
      </c>
      <c r="E390" s="109">
        <v>12.3</v>
      </c>
    </row>
    <row r="391" spans="1:5" ht="22.5" customHeight="1">
      <c r="A391" s="101">
        <v>281106</v>
      </c>
      <c r="B391" s="104" t="s">
        <v>612</v>
      </c>
      <c r="C391" s="107">
        <v>91.5</v>
      </c>
      <c r="D391" s="107">
        <v>0</v>
      </c>
      <c r="E391" s="109">
        <v>7.7</v>
      </c>
    </row>
    <row r="392" spans="1:5" ht="22.5" customHeight="1">
      <c r="A392" s="101">
        <v>281201</v>
      </c>
      <c r="B392" s="104" t="s">
        <v>613</v>
      </c>
      <c r="C392" s="107">
        <v>88.4</v>
      </c>
      <c r="D392" s="107">
        <v>0</v>
      </c>
      <c r="E392" s="109">
        <v>11.4</v>
      </c>
    </row>
    <row r="393" spans="1:5" ht="22.5" customHeight="1">
      <c r="A393" s="101">
        <v>281202</v>
      </c>
      <c r="B393" s="104" t="s">
        <v>613</v>
      </c>
      <c r="C393" s="107">
        <v>90.5</v>
      </c>
      <c r="D393" s="107">
        <v>0</v>
      </c>
      <c r="E393" s="109">
        <v>10.8</v>
      </c>
    </row>
    <row r="394" spans="1:5" ht="22.5" customHeight="1">
      <c r="A394" s="101">
        <v>281204</v>
      </c>
      <c r="B394" s="104" t="s">
        <v>614</v>
      </c>
      <c r="C394" s="107">
        <v>90.5</v>
      </c>
      <c r="D394" s="107">
        <v>0</v>
      </c>
      <c r="E394" s="109">
        <v>13.3</v>
      </c>
    </row>
    <row r="395" spans="1:5" ht="22.5" customHeight="1">
      <c r="A395" s="101">
        <v>281205</v>
      </c>
      <c r="B395" s="104" t="s">
        <v>615</v>
      </c>
      <c r="C395" s="107">
        <v>90.5</v>
      </c>
      <c r="D395" s="107">
        <v>0</v>
      </c>
      <c r="E395" s="109">
        <v>13.3</v>
      </c>
    </row>
    <row r="396" spans="1:5" ht="22.5" customHeight="1">
      <c r="A396" s="101">
        <v>281300</v>
      </c>
      <c r="B396" s="104" t="s">
        <v>616</v>
      </c>
      <c r="C396" s="107">
        <v>91</v>
      </c>
      <c r="D396" s="107">
        <v>0</v>
      </c>
      <c r="E396" s="109">
        <v>15.7</v>
      </c>
    </row>
    <row r="397" spans="1:5" ht="22.5" customHeight="1">
      <c r="A397" s="101">
        <v>289101</v>
      </c>
      <c r="B397" s="104" t="s">
        <v>617</v>
      </c>
      <c r="C397" s="107">
        <v>91.1</v>
      </c>
      <c r="D397" s="107">
        <v>0</v>
      </c>
      <c r="E397" s="109">
        <v>12.3</v>
      </c>
    </row>
    <row r="398" spans="1:5" ht="22.5" customHeight="1">
      <c r="A398" s="101">
        <v>289102</v>
      </c>
      <c r="B398" s="104" t="s">
        <v>618</v>
      </c>
      <c r="C398" s="107">
        <v>89.6</v>
      </c>
      <c r="D398" s="107">
        <v>0</v>
      </c>
      <c r="E398" s="109">
        <v>9.1999999999999993</v>
      </c>
    </row>
    <row r="399" spans="1:5" ht="22.5" customHeight="1">
      <c r="A399" s="101">
        <v>289103</v>
      </c>
      <c r="B399" s="104" t="s">
        <v>619</v>
      </c>
      <c r="C399" s="107">
        <v>91.1</v>
      </c>
      <c r="D399" s="107">
        <v>0</v>
      </c>
      <c r="E399" s="109">
        <v>4.2</v>
      </c>
    </row>
    <row r="400" spans="1:5" ht="22.5" customHeight="1">
      <c r="A400" s="101">
        <v>289104</v>
      </c>
      <c r="B400" s="104" t="s">
        <v>620</v>
      </c>
      <c r="C400" s="107">
        <v>91.1</v>
      </c>
      <c r="D400" s="107">
        <v>0</v>
      </c>
      <c r="E400" s="109">
        <v>6.1</v>
      </c>
    </row>
    <row r="401" spans="1:5" ht="22.5" customHeight="1">
      <c r="A401" s="101">
        <v>289201</v>
      </c>
      <c r="B401" s="104" t="s">
        <v>621</v>
      </c>
      <c r="C401" s="107">
        <v>87.7</v>
      </c>
      <c r="D401" s="107">
        <v>0</v>
      </c>
      <c r="E401" s="109">
        <v>11.4</v>
      </c>
    </row>
    <row r="402" spans="1:5" ht="22.5" customHeight="1">
      <c r="A402" s="101">
        <v>289202</v>
      </c>
      <c r="B402" s="104" t="s">
        <v>622</v>
      </c>
      <c r="C402" s="107">
        <v>91.5</v>
      </c>
      <c r="D402" s="107">
        <v>0</v>
      </c>
      <c r="E402" s="109">
        <v>11.7</v>
      </c>
    </row>
    <row r="403" spans="1:5" ht="22.5" customHeight="1">
      <c r="A403" s="101">
        <v>289205</v>
      </c>
      <c r="B403" s="104" t="s">
        <v>623</v>
      </c>
      <c r="C403" s="107">
        <v>87.7</v>
      </c>
      <c r="D403" s="107">
        <v>0</v>
      </c>
      <c r="E403" s="109">
        <v>13.2</v>
      </c>
    </row>
    <row r="404" spans="1:5" ht="22.5" customHeight="1">
      <c r="A404" s="101">
        <v>289206</v>
      </c>
      <c r="B404" s="104" t="s">
        <v>624</v>
      </c>
      <c r="C404" s="107">
        <v>91.5</v>
      </c>
      <c r="D404" s="107">
        <v>0</v>
      </c>
      <c r="E404" s="109">
        <v>8.1999999999999993</v>
      </c>
    </row>
    <row r="405" spans="1:5" ht="22.5" customHeight="1">
      <c r="A405" s="101">
        <v>289207</v>
      </c>
      <c r="B405" s="104" t="s">
        <v>625</v>
      </c>
      <c r="C405" s="107">
        <v>91.5</v>
      </c>
      <c r="D405" s="107">
        <v>0</v>
      </c>
      <c r="E405" s="109">
        <v>13</v>
      </c>
    </row>
    <row r="406" spans="1:5" ht="22.5" customHeight="1">
      <c r="A406" s="101">
        <v>289208</v>
      </c>
      <c r="B406" s="104" t="s">
        <v>621</v>
      </c>
      <c r="C406" s="107">
        <v>91.5</v>
      </c>
      <c r="D406" s="107">
        <v>0</v>
      </c>
      <c r="E406" s="109">
        <v>13.5</v>
      </c>
    </row>
    <row r="407" spans="1:5" ht="22.5" customHeight="1">
      <c r="A407" s="101">
        <v>289301</v>
      </c>
      <c r="B407" s="104" t="s">
        <v>146</v>
      </c>
      <c r="C407" s="107">
        <v>94.5</v>
      </c>
      <c r="D407" s="107">
        <v>0</v>
      </c>
      <c r="E407" s="109">
        <v>4.5</v>
      </c>
    </row>
    <row r="408" spans="1:5" ht="22.5" customHeight="1">
      <c r="A408" s="101">
        <v>289302</v>
      </c>
      <c r="B408" s="104" t="s">
        <v>626</v>
      </c>
      <c r="C408" s="107">
        <v>92.9</v>
      </c>
      <c r="D408" s="107">
        <v>0</v>
      </c>
      <c r="E408" s="109">
        <v>9.6999999999999993</v>
      </c>
    </row>
    <row r="409" spans="1:5" ht="22.5" customHeight="1">
      <c r="A409" s="101">
        <v>289303</v>
      </c>
      <c r="B409" s="104" t="s">
        <v>627</v>
      </c>
      <c r="C409" s="107">
        <v>91.6</v>
      </c>
      <c r="D409" s="107">
        <v>0</v>
      </c>
      <c r="E409" s="109">
        <v>11</v>
      </c>
    </row>
    <row r="410" spans="1:5" ht="22.5" customHeight="1">
      <c r="A410" s="101">
        <v>289304</v>
      </c>
      <c r="B410" s="104" t="s">
        <v>628</v>
      </c>
      <c r="C410" s="107">
        <v>91.6</v>
      </c>
      <c r="D410" s="107">
        <v>0</v>
      </c>
      <c r="E410" s="109">
        <v>12.2</v>
      </c>
    </row>
    <row r="411" spans="1:5" ht="22.5" customHeight="1">
      <c r="A411" s="101">
        <v>289305</v>
      </c>
      <c r="B411" s="104" t="s">
        <v>626</v>
      </c>
      <c r="C411" s="107">
        <v>91.6</v>
      </c>
      <c r="D411" s="107">
        <v>0</v>
      </c>
      <c r="E411" s="109">
        <v>12.2</v>
      </c>
    </row>
    <row r="412" spans="1:5" ht="22.5" customHeight="1">
      <c r="A412" s="101">
        <v>289306</v>
      </c>
      <c r="B412" s="104" t="s">
        <v>146</v>
      </c>
      <c r="C412" s="107">
        <v>91.6</v>
      </c>
      <c r="D412" s="107">
        <v>0</v>
      </c>
      <c r="E412" s="109">
        <v>12.2</v>
      </c>
    </row>
    <row r="413" spans="1:5" ht="22.5" customHeight="1">
      <c r="A413" s="101">
        <v>289901</v>
      </c>
      <c r="B413" s="104" t="s">
        <v>629</v>
      </c>
      <c r="C413" s="107">
        <v>92</v>
      </c>
      <c r="D413" s="107">
        <v>0</v>
      </c>
      <c r="E413" s="109">
        <v>11.1</v>
      </c>
    </row>
    <row r="414" spans="1:5" ht="22.5" customHeight="1">
      <c r="A414" s="101">
        <v>289902</v>
      </c>
      <c r="B414" s="104" t="s">
        <v>630</v>
      </c>
      <c r="C414" s="107">
        <v>88</v>
      </c>
      <c r="D414" s="107">
        <v>0</v>
      </c>
      <c r="E414" s="109">
        <v>9.8000000000000007</v>
      </c>
    </row>
    <row r="415" spans="1:5" ht="22.5" customHeight="1">
      <c r="A415" s="101">
        <v>289903</v>
      </c>
      <c r="B415" s="104" t="s">
        <v>631</v>
      </c>
      <c r="C415" s="107">
        <v>92.4</v>
      </c>
      <c r="D415" s="107">
        <v>0</v>
      </c>
      <c r="E415" s="109">
        <v>10.5</v>
      </c>
    </row>
    <row r="416" spans="1:5" ht="22.5" customHeight="1">
      <c r="A416" s="101">
        <v>289908</v>
      </c>
      <c r="B416" s="104" t="s">
        <v>632</v>
      </c>
      <c r="C416" s="107">
        <v>92</v>
      </c>
      <c r="D416" s="107">
        <v>0</v>
      </c>
      <c r="E416" s="109">
        <v>10.8</v>
      </c>
    </row>
    <row r="417" spans="1:5" ht="22.5" customHeight="1">
      <c r="A417" s="101">
        <v>289910</v>
      </c>
      <c r="B417" s="104" t="s">
        <v>633</v>
      </c>
      <c r="C417" s="107">
        <v>92</v>
      </c>
      <c r="D417" s="107">
        <v>0</v>
      </c>
      <c r="E417" s="109">
        <v>12.3</v>
      </c>
    </row>
    <row r="418" spans="1:5" ht="22.5" customHeight="1">
      <c r="A418" s="101">
        <v>289913</v>
      </c>
      <c r="B418" s="104" t="s">
        <v>634</v>
      </c>
      <c r="C418" s="107">
        <v>92</v>
      </c>
      <c r="D418" s="107">
        <v>0</v>
      </c>
      <c r="E418" s="109">
        <v>12.3</v>
      </c>
    </row>
    <row r="419" spans="1:5" ht="22.5" customHeight="1">
      <c r="A419" s="101">
        <v>289914</v>
      </c>
      <c r="B419" s="104" t="s">
        <v>635</v>
      </c>
      <c r="C419" s="107">
        <v>92</v>
      </c>
      <c r="D419" s="107">
        <v>0</v>
      </c>
      <c r="E419" s="109">
        <v>12.3</v>
      </c>
    </row>
    <row r="420" spans="1:5" ht="22.5" customHeight="1">
      <c r="A420" s="101">
        <v>289915</v>
      </c>
      <c r="B420" s="104" t="s">
        <v>607</v>
      </c>
      <c r="C420" s="107">
        <v>92</v>
      </c>
      <c r="D420" s="107">
        <v>0</v>
      </c>
      <c r="E420" s="109">
        <v>12.3</v>
      </c>
    </row>
    <row r="421" spans="1:5" ht="22.5" customHeight="1">
      <c r="A421" s="101">
        <v>289916</v>
      </c>
      <c r="B421" s="104" t="s">
        <v>636</v>
      </c>
      <c r="C421" s="107">
        <v>88</v>
      </c>
      <c r="D421" s="107">
        <v>0</v>
      </c>
      <c r="E421" s="109">
        <v>10.9</v>
      </c>
    </row>
    <row r="422" spans="1:5" ht="22.5" customHeight="1">
      <c r="A422" s="101">
        <v>289917</v>
      </c>
      <c r="B422" s="104" t="s">
        <v>637</v>
      </c>
      <c r="C422" s="107">
        <v>92.4</v>
      </c>
      <c r="D422" s="107">
        <v>0</v>
      </c>
      <c r="E422" s="109">
        <v>13</v>
      </c>
    </row>
    <row r="423" spans="1:5" ht="22.5" customHeight="1">
      <c r="A423" s="101">
        <v>289918</v>
      </c>
      <c r="B423" s="104" t="s">
        <v>607</v>
      </c>
      <c r="C423" s="107">
        <v>92.4</v>
      </c>
      <c r="D423" s="107">
        <v>0</v>
      </c>
      <c r="E423" s="109">
        <v>11.9</v>
      </c>
    </row>
    <row r="424" spans="1:5" ht="22.5" customHeight="1">
      <c r="A424" s="101">
        <v>291100</v>
      </c>
      <c r="B424" s="104" t="s">
        <v>638</v>
      </c>
      <c r="C424" s="107">
        <v>91.9</v>
      </c>
      <c r="D424" s="107">
        <v>0</v>
      </c>
      <c r="E424" s="109">
        <v>12</v>
      </c>
    </row>
    <row r="425" spans="1:5" ht="22.5" customHeight="1">
      <c r="A425" s="101">
        <v>291101</v>
      </c>
      <c r="B425" s="104" t="s">
        <v>639</v>
      </c>
      <c r="C425" s="107">
        <v>91.9</v>
      </c>
      <c r="D425" s="107">
        <v>0</v>
      </c>
      <c r="E425" s="109">
        <v>14.7</v>
      </c>
    </row>
    <row r="426" spans="1:5" ht="22.5" customHeight="1">
      <c r="A426" s="101">
        <v>291200</v>
      </c>
      <c r="B426" s="104" t="s">
        <v>640</v>
      </c>
      <c r="C426" s="107">
        <v>89.6</v>
      </c>
      <c r="D426" s="107">
        <v>0</v>
      </c>
      <c r="E426" s="109">
        <v>7.9</v>
      </c>
    </row>
    <row r="427" spans="1:5" ht="22.5" customHeight="1">
      <c r="A427" s="101">
        <v>291201</v>
      </c>
      <c r="B427" s="104" t="s">
        <v>641</v>
      </c>
      <c r="C427" s="107">
        <v>89.6</v>
      </c>
      <c r="D427" s="107">
        <v>0</v>
      </c>
      <c r="E427" s="109">
        <v>12.2</v>
      </c>
    </row>
    <row r="428" spans="1:5" ht="22.5" customHeight="1">
      <c r="A428" s="101">
        <v>291202</v>
      </c>
      <c r="B428" s="104" t="s">
        <v>642</v>
      </c>
      <c r="C428" s="107">
        <v>89.6</v>
      </c>
      <c r="D428" s="107">
        <v>0</v>
      </c>
      <c r="E428" s="109">
        <v>12.2</v>
      </c>
    </row>
    <row r="429" spans="1:5" ht="22.5" customHeight="1">
      <c r="A429" s="101">
        <v>291300</v>
      </c>
      <c r="B429" s="104" t="s">
        <v>643</v>
      </c>
      <c r="C429" s="107">
        <v>90.7</v>
      </c>
      <c r="D429" s="107">
        <v>0</v>
      </c>
      <c r="E429" s="109">
        <v>10.5</v>
      </c>
    </row>
    <row r="430" spans="1:5" ht="22.5" customHeight="1">
      <c r="A430" s="101">
        <v>291301</v>
      </c>
      <c r="B430" s="104" t="s">
        <v>644</v>
      </c>
      <c r="C430" s="107">
        <v>90.7</v>
      </c>
      <c r="D430" s="107">
        <v>0</v>
      </c>
      <c r="E430" s="109">
        <v>14.5</v>
      </c>
    </row>
    <row r="431" spans="1:5" ht="22.5" customHeight="1">
      <c r="A431" s="101">
        <v>291401</v>
      </c>
      <c r="B431" s="104" t="s">
        <v>147</v>
      </c>
      <c r="C431" s="107">
        <v>88.6</v>
      </c>
      <c r="D431" s="107">
        <v>0</v>
      </c>
      <c r="E431" s="109">
        <v>16.8</v>
      </c>
    </row>
    <row r="432" spans="1:5" ht="22.5" customHeight="1">
      <c r="A432" s="101">
        <v>291501</v>
      </c>
      <c r="B432" s="104" t="s">
        <v>148</v>
      </c>
      <c r="C432" s="107">
        <v>89.2</v>
      </c>
      <c r="D432" s="107">
        <v>0</v>
      </c>
      <c r="E432" s="109">
        <v>14.7</v>
      </c>
    </row>
    <row r="433" spans="1:5" ht="22.5" customHeight="1">
      <c r="A433" s="101">
        <v>291502</v>
      </c>
      <c r="B433" s="104" t="s">
        <v>645</v>
      </c>
      <c r="C433" s="107">
        <v>91.1</v>
      </c>
      <c r="D433" s="107">
        <v>0</v>
      </c>
      <c r="E433" s="109">
        <v>10.9</v>
      </c>
    </row>
    <row r="434" spans="1:5" ht="22.5" customHeight="1">
      <c r="A434" s="101">
        <v>291503</v>
      </c>
      <c r="B434" s="104" t="s">
        <v>646</v>
      </c>
      <c r="C434" s="107">
        <v>91.1</v>
      </c>
      <c r="D434" s="107">
        <v>0</v>
      </c>
      <c r="E434" s="109">
        <v>10.9</v>
      </c>
    </row>
    <row r="435" spans="1:5" ht="22.5" customHeight="1">
      <c r="A435" s="101">
        <v>291504</v>
      </c>
      <c r="B435" s="104" t="s">
        <v>647</v>
      </c>
      <c r="C435" s="107">
        <v>91.1</v>
      </c>
      <c r="D435" s="107">
        <v>0</v>
      </c>
      <c r="E435" s="109">
        <v>7.7</v>
      </c>
    </row>
    <row r="436" spans="1:5" ht="22.5" customHeight="1">
      <c r="A436" s="101">
        <v>291901</v>
      </c>
      <c r="B436" s="104" t="s">
        <v>648</v>
      </c>
      <c r="C436" s="107">
        <v>92</v>
      </c>
      <c r="D436" s="107">
        <v>0</v>
      </c>
      <c r="E436" s="109">
        <v>12</v>
      </c>
    </row>
    <row r="437" spans="1:5" ht="22.5" customHeight="1">
      <c r="A437" s="101">
        <v>291902</v>
      </c>
      <c r="B437" s="104" t="s">
        <v>649</v>
      </c>
      <c r="C437" s="107">
        <v>89.9</v>
      </c>
      <c r="D437" s="107">
        <v>0</v>
      </c>
      <c r="E437" s="109">
        <v>10.6</v>
      </c>
    </row>
    <row r="438" spans="1:5" ht="22.5" customHeight="1">
      <c r="A438" s="101">
        <v>291903</v>
      </c>
      <c r="B438" s="104" t="s">
        <v>650</v>
      </c>
      <c r="C438" s="107">
        <v>89.9</v>
      </c>
      <c r="D438" s="107">
        <v>0</v>
      </c>
      <c r="E438" s="109">
        <v>8.3000000000000007</v>
      </c>
    </row>
    <row r="439" spans="1:5" ht="22.5" customHeight="1">
      <c r="A439" s="101">
        <v>291904</v>
      </c>
      <c r="B439" s="104" t="s">
        <v>651</v>
      </c>
      <c r="C439" s="107">
        <v>89.9</v>
      </c>
      <c r="D439" s="107">
        <v>0</v>
      </c>
      <c r="E439" s="109">
        <v>11.8</v>
      </c>
    </row>
    <row r="440" spans="1:5" ht="22.5" customHeight="1">
      <c r="A440" s="101">
        <v>291905</v>
      </c>
      <c r="B440" s="104" t="s">
        <v>652</v>
      </c>
      <c r="C440" s="107">
        <v>89.9</v>
      </c>
      <c r="D440" s="107">
        <v>0</v>
      </c>
      <c r="E440" s="109">
        <v>11.8</v>
      </c>
    </row>
    <row r="441" spans="1:5" ht="22.5" customHeight="1">
      <c r="A441" s="101">
        <v>291906</v>
      </c>
      <c r="B441" s="104" t="s">
        <v>653</v>
      </c>
      <c r="C441" s="107">
        <v>89.9</v>
      </c>
      <c r="D441" s="107">
        <v>0</v>
      </c>
      <c r="E441" s="109">
        <v>8.3000000000000007</v>
      </c>
    </row>
    <row r="442" spans="1:5" ht="22.5" customHeight="1">
      <c r="A442" s="101">
        <v>291907</v>
      </c>
      <c r="B442" s="104" t="s">
        <v>654</v>
      </c>
      <c r="C442" s="107">
        <v>89.9</v>
      </c>
      <c r="D442" s="107">
        <v>0</v>
      </c>
      <c r="E442" s="109">
        <v>11.8</v>
      </c>
    </row>
    <row r="443" spans="1:5" ht="22.5" customHeight="1">
      <c r="A443" s="101">
        <v>291908</v>
      </c>
      <c r="B443" s="104" t="s">
        <v>655</v>
      </c>
      <c r="C443" s="107">
        <v>89.9</v>
      </c>
      <c r="D443" s="107">
        <v>0</v>
      </c>
      <c r="E443" s="109">
        <v>11.8</v>
      </c>
    </row>
    <row r="444" spans="1:5" ht="22.5" customHeight="1">
      <c r="A444" s="101">
        <v>291909</v>
      </c>
      <c r="B444" s="104" t="s">
        <v>656</v>
      </c>
      <c r="C444" s="107">
        <v>89.9</v>
      </c>
      <c r="D444" s="107">
        <v>0</v>
      </c>
      <c r="E444" s="109">
        <v>11.8</v>
      </c>
    </row>
    <row r="445" spans="1:5" ht="22.5" customHeight="1">
      <c r="A445" s="101">
        <v>291911</v>
      </c>
      <c r="B445" s="104" t="s">
        <v>657</v>
      </c>
      <c r="C445" s="107">
        <v>89.9</v>
      </c>
      <c r="D445" s="107">
        <v>0</v>
      </c>
      <c r="E445" s="109">
        <v>9.9</v>
      </c>
    </row>
    <row r="446" spans="1:5" ht="22.5" customHeight="1">
      <c r="A446" s="101">
        <v>292100</v>
      </c>
      <c r="B446" s="104" t="s">
        <v>149</v>
      </c>
      <c r="C446" s="107">
        <v>92.8</v>
      </c>
      <c r="D446" s="107">
        <v>0</v>
      </c>
      <c r="E446" s="109">
        <v>10.1</v>
      </c>
    </row>
    <row r="447" spans="1:5" ht="22.5" customHeight="1">
      <c r="A447" s="101">
        <v>292201</v>
      </c>
      <c r="B447" s="104" t="s">
        <v>658</v>
      </c>
      <c r="C447" s="107">
        <v>90.1</v>
      </c>
      <c r="D447" s="107">
        <v>0</v>
      </c>
      <c r="E447" s="109">
        <v>11.9</v>
      </c>
    </row>
    <row r="448" spans="1:5" ht="22.5" customHeight="1">
      <c r="A448" s="101">
        <v>292202</v>
      </c>
      <c r="B448" s="104" t="s">
        <v>659</v>
      </c>
      <c r="C448" s="107">
        <v>89.8</v>
      </c>
      <c r="D448" s="107">
        <v>0</v>
      </c>
      <c r="E448" s="109">
        <v>11.1</v>
      </c>
    </row>
    <row r="449" spans="1:5" ht="22.5" customHeight="1">
      <c r="A449" s="101">
        <v>292203</v>
      </c>
      <c r="B449" s="104" t="s">
        <v>660</v>
      </c>
      <c r="C449" s="107">
        <v>91.9</v>
      </c>
      <c r="D449" s="107">
        <v>0</v>
      </c>
      <c r="E449" s="109">
        <v>11.9</v>
      </c>
    </row>
    <row r="450" spans="1:5" ht="22.5" customHeight="1">
      <c r="A450" s="101">
        <v>292204</v>
      </c>
      <c r="B450" s="104" t="s">
        <v>661</v>
      </c>
      <c r="C450" s="107">
        <v>89.8</v>
      </c>
      <c r="D450" s="107">
        <v>0</v>
      </c>
      <c r="E450" s="109">
        <v>12.5</v>
      </c>
    </row>
    <row r="451" spans="1:5" ht="22.5" customHeight="1">
      <c r="A451" s="101">
        <v>292205</v>
      </c>
      <c r="B451" s="104" t="s">
        <v>662</v>
      </c>
      <c r="C451" s="107">
        <v>91.9</v>
      </c>
      <c r="D451" s="107">
        <v>0</v>
      </c>
      <c r="E451" s="109">
        <v>13.2</v>
      </c>
    </row>
    <row r="452" spans="1:5" ht="22.5" customHeight="1">
      <c r="A452" s="101">
        <v>292206</v>
      </c>
      <c r="B452" s="104" t="s">
        <v>663</v>
      </c>
      <c r="C452" s="107">
        <v>91.9</v>
      </c>
      <c r="D452" s="107">
        <v>0</v>
      </c>
      <c r="E452" s="109">
        <v>6.5</v>
      </c>
    </row>
    <row r="453" spans="1:5" ht="22.5" customHeight="1">
      <c r="A453" s="101">
        <v>292300</v>
      </c>
      <c r="B453" s="104" t="s">
        <v>150</v>
      </c>
      <c r="C453" s="107">
        <v>92</v>
      </c>
      <c r="D453" s="107">
        <v>0</v>
      </c>
      <c r="E453" s="109">
        <v>13.3</v>
      </c>
    </row>
    <row r="454" spans="1:5" ht="22.5" customHeight="1">
      <c r="A454" s="101">
        <v>292400</v>
      </c>
      <c r="B454" s="104" t="s">
        <v>664</v>
      </c>
      <c r="C454" s="107">
        <v>90.1</v>
      </c>
      <c r="D454" s="107">
        <v>0</v>
      </c>
      <c r="E454" s="109">
        <v>11</v>
      </c>
    </row>
    <row r="455" spans="1:5" ht="22.5" customHeight="1">
      <c r="A455" s="101">
        <v>292401</v>
      </c>
      <c r="B455" s="104" t="s">
        <v>665</v>
      </c>
      <c r="C455" s="107">
        <v>90.1</v>
      </c>
      <c r="D455" s="107">
        <v>0</v>
      </c>
      <c r="E455" s="109">
        <v>13.5</v>
      </c>
    </row>
    <row r="456" spans="1:5" ht="22.5" customHeight="1">
      <c r="A456" s="101">
        <v>292500</v>
      </c>
      <c r="B456" s="104" t="s">
        <v>666</v>
      </c>
      <c r="C456" s="107">
        <v>89.9</v>
      </c>
      <c r="D456" s="107">
        <v>0</v>
      </c>
      <c r="E456" s="109">
        <v>9.4</v>
      </c>
    </row>
    <row r="457" spans="1:5" ht="22.5" customHeight="1">
      <c r="A457" s="101">
        <v>292600</v>
      </c>
      <c r="B457" s="104" t="s">
        <v>667</v>
      </c>
      <c r="C457" s="107">
        <v>91.4</v>
      </c>
      <c r="D457" s="107">
        <v>0</v>
      </c>
      <c r="E457" s="109">
        <v>10.9</v>
      </c>
    </row>
    <row r="458" spans="1:5" ht="22.5" customHeight="1">
      <c r="A458" s="101">
        <v>292601</v>
      </c>
      <c r="B458" s="104" t="s">
        <v>668</v>
      </c>
      <c r="C458" s="107">
        <v>91.4</v>
      </c>
      <c r="D458" s="107">
        <v>0</v>
      </c>
      <c r="E458" s="109">
        <v>12.1</v>
      </c>
    </row>
    <row r="459" spans="1:5" ht="22.5" customHeight="1">
      <c r="A459" s="101">
        <v>292700</v>
      </c>
      <c r="B459" s="104" t="s">
        <v>151</v>
      </c>
      <c r="C459" s="107">
        <v>89.6</v>
      </c>
      <c r="D459" s="107">
        <v>0</v>
      </c>
      <c r="E459" s="109">
        <v>10.5</v>
      </c>
    </row>
    <row r="460" spans="1:5" ht="22.5" customHeight="1">
      <c r="A460" s="101">
        <v>292901</v>
      </c>
      <c r="B460" s="104" t="s">
        <v>152</v>
      </c>
      <c r="C460" s="107">
        <v>89.6</v>
      </c>
      <c r="D460" s="107">
        <v>0</v>
      </c>
      <c r="E460" s="109">
        <v>12.8</v>
      </c>
    </row>
    <row r="461" spans="1:5" ht="22.5" customHeight="1">
      <c r="A461" s="101">
        <v>292902</v>
      </c>
      <c r="B461" s="104" t="s">
        <v>669</v>
      </c>
      <c r="C461" s="107">
        <v>90.6</v>
      </c>
      <c r="D461" s="107">
        <v>0</v>
      </c>
      <c r="E461" s="109">
        <v>10.199999999999999</v>
      </c>
    </row>
    <row r="462" spans="1:5" ht="22.5" customHeight="1">
      <c r="A462" s="101">
        <v>292903</v>
      </c>
      <c r="B462" s="104" t="s">
        <v>670</v>
      </c>
      <c r="C462" s="107">
        <v>90.8</v>
      </c>
      <c r="D462" s="107">
        <v>0</v>
      </c>
      <c r="E462" s="109">
        <v>12.9</v>
      </c>
    </row>
    <row r="463" spans="1:5" ht="22.5" customHeight="1">
      <c r="A463" s="101">
        <v>292905</v>
      </c>
      <c r="B463" s="104" t="s">
        <v>671</v>
      </c>
      <c r="C463" s="107">
        <v>90.6</v>
      </c>
      <c r="D463" s="107">
        <v>0</v>
      </c>
      <c r="E463" s="109">
        <v>12</v>
      </c>
    </row>
    <row r="464" spans="1:5" ht="22.5" customHeight="1">
      <c r="A464" s="101">
        <v>292906</v>
      </c>
      <c r="B464" s="104" t="s">
        <v>672</v>
      </c>
      <c r="C464" s="107">
        <v>90.6</v>
      </c>
      <c r="D464" s="107">
        <v>0</v>
      </c>
      <c r="E464" s="109">
        <v>12</v>
      </c>
    </row>
    <row r="465" spans="1:5" ht="22.5" customHeight="1">
      <c r="A465" s="101">
        <v>292907</v>
      </c>
      <c r="B465" s="104" t="s">
        <v>673</v>
      </c>
      <c r="C465" s="107">
        <v>90.6</v>
      </c>
      <c r="D465" s="107">
        <v>0</v>
      </c>
      <c r="E465" s="109">
        <v>10.9</v>
      </c>
    </row>
    <row r="466" spans="1:5" ht="22.5" customHeight="1">
      <c r="A466" s="101">
        <v>292908</v>
      </c>
      <c r="B466" s="104" t="s">
        <v>674</v>
      </c>
      <c r="C466" s="107">
        <v>90.8</v>
      </c>
      <c r="D466" s="107">
        <v>0</v>
      </c>
      <c r="E466" s="109">
        <v>12.4</v>
      </c>
    </row>
    <row r="467" spans="1:5" ht="22.5" customHeight="1">
      <c r="A467" s="101">
        <v>292909</v>
      </c>
      <c r="B467" s="104" t="s">
        <v>675</v>
      </c>
      <c r="C467" s="107">
        <v>90.8</v>
      </c>
      <c r="D467" s="107">
        <v>0</v>
      </c>
      <c r="E467" s="109">
        <v>12.9</v>
      </c>
    </row>
    <row r="468" spans="1:5" ht="22.5" customHeight="1">
      <c r="A468" s="101">
        <v>293001</v>
      </c>
      <c r="B468" s="104" t="s">
        <v>676</v>
      </c>
      <c r="C468" s="107">
        <v>89.7</v>
      </c>
      <c r="D468" s="107">
        <v>0</v>
      </c>
      <c r="E468" s="109">
        <v>10</v>
      </c>
    </row>
    <row r="469" spans="1:5" ht="22.5" customHeight="1">
      <c r="A469" s="101">
        <v>293002</v>
      </c>
      <c r="B469" s="104" t="s">
        <v>677</v>
      </c>
      <c r="C469" s="107">
        <v>92.4</v>
      </c>
      <c r="D469" s="107">
        <v>0</v>
      </c>
      <c r="E469" s="109">
        <v>9</v>
      </c>
    </row>
    <row r="470" spans="1:5" ht="22.5" customHeight="1">
      <c r="A470" s="101">
        <v>293004</v>
      </c>
      <c r="B470" s="104" t="s">
        <v>153</v>
      </c>
      <c r="C470" s="107">
        <v>91.5</v>
      </c>
      <c r="D470" s="107">
        <v>0</v>
      </c>
      <c r="E470" s="109">
        <v>10.7</v>
      </c>
    </row>
    <row r="471" spans="1:5" ht="22.5" customHeight="1">
      <c r="A471" s="101">
        <v>293005</v>
      </c>
      <c r="B471" s="104" t="s">
        <v>678</v>
      </c>
      <c r="C471" s="107">
        <v>89.7</v>
      </c>
      <c r="D471" s="107">
        <v>0</v>
      </c>
      <c r="E471" s="109">
        <v>10.6</v>
      </c>
    </row>
    <row r="472" spans="1:5" ht="22.5" customHeight="1">
      <c r="A472" s="101">
        <v>300100</v>
      </c>
      <c r="B472" s="104" t="s">
        <v>154</v>
      </c>
      <c r="C472" s="107">
        <v>90</v>
      </c>
      <c r="D472" s="107">
        <v>0</v>
      </c>
      <c r="E472" s="109">
        <v>10.199999999999999</v>
      </c>
    </row>
    <row r="473" spans="1:5" ht="22.5" customHeight="1">
      <c r="A473" s="101">
        <v>300101</v>
      </c>
      <c r="B473" s="104" t="s">
        <v>679</v>
      </c>
      <c r="C473" s="107">
        <v>90</v>
      </c>
      <c r="D473" s="107">
        <v>0</v>
      </c>
      <c r="E473" s="109">
        <v>11.2</v>
      </c>
    </row>
    <row r="474" spans="1:5" ht="22.5" customHeight="1">
      <c r="A474" s="101">
        <v>300102</v>
      </c>
      <c r="B474" s="104" t="s">
        <v>680</v>
      </c>
      <c r="C474" s="107">
        <v>90</v>
      </c>
      <c r="D474" s="107">
        <v>0</v>
      </c>
      <c r="E474" s="109">
        <v>12.4</v>
      </c>
    </row>
    <row r="475" spans="1:5" ht="22.5" customHeight="1">
      <c r="A475" s="101">
        <v>300103</v>
      </c>
      <c r="B475" s="104" t="s">
        <v>681</v>
      </c>
      <c r="C475" s="107">
        <v>90</v>
      </c>
      <c r="D475" s="107">
        <v>0</v>
      </c>
      <c r="E475" s="109">
        <v>12.4</v>
      </c>
    </row>
    <row r="476" spans="1:5" ht="22.5" customHeight="1">
      <c r="A476" s="101">
        <v>300104</v>
      </c>
      <c r="B476" s="104" t="s">
        <v>682</v>
      </c>
      <c r="C476" s="107">
        <v>90</v>
      </c>
      <c r="D476" s="107">
        <v>0</v>
      </c>
      <c r="E476" s="109">
        <v>12.4</v>
      </c>
    </row>
    <row r="477" spans="1:5" ht="22.5" customHeight="1">
      <c r="A477" s="101">
        <v>300201</v>
      </c>
      <c r="B477" s="104" t="s">
        <v>155</v>
      </c>
      <c r="C477" s="107">
        <v>91.1</v>
      </c>
      <c r="D477" s="107">
        <v>0</v>
      </c>
      <c r="E477" s="109">
        <v>9.5</v>
      </c>
    </row>
    <row r="478" spans="1:5" ht="22.5" customHeight="1">
      <c r="A478" s="101">
        <v>300202</v>
      </c>
      <c r="B478" s="104" t="s">
        <v>155</v>
      </c>
      <c r="C478" s="107">
        <v>90.2</v>
      </c>
      <c r="D478" s="107">
        <v>0</v>
      </c>
      <c r="E478" s="109">
        <v>11</v>
      </c>
    </row>
    <row r="479" spans="1:5" ht="22.5" customHeight="1">
      <c r="A479" s="101">
        <v>311001</v>
      </c>
      <c r="B479" s="104" t="s">
        <v>683</v>
      </c>
      <c r="C479" s="107">
        <v>91.5</v>
      </c>
      <c r="D479" s="107">
        <v>0</v>
      </c>
      <c r="E479" s="109">
        <v>10.4</v>
      </c>
    </row>
    <row r="480" spans="1:5" ht="22.5" customHeight="1">
      <c r="A480" s="101">
        <v>311002</v>
      </c>
      <c r="B480" s="104" t="s">
        <v>684</v>
      </c>
      <c r="C480" s="107">
        <v>89.6</v>
      </c>
      <c r="D480" s="107">
        <v>0</v>
      </c>
      <c r="E480" s="109">
        <v>9</v>
      </c>
    </row>
    <row r="481" spans="1:5" ht="22.5" customHeight="1">
      <c r="A481" s="101">
        <v>311003</v>
      </c>
      <c r="B481" s="104" t="s">
        <v>685</v>
      </c>
      <c r="C481" s="107">
        <v>89.6</v>
      </c>
      <c r="D481" s="107">
        <v>0</v>
      </c>
      <c r="E481" s="109">
        <v>11.2</v>
      </c>
    </row>
    <row r="482" spans="1:5" ht="22.5" customHeight="1">
      <c r="A482" s="101">
        <v>311004</v>
      </c>
      <c r="B482" s="104" t="s">
        <v>686</v>
      </c>
      <c r="C482" s="107">
        <v>89.6</v>
      </c>
      <c r="D482" s="107">
        <v>0</v>
      </c>
      <c r="E482" s="109">
        <v>11.2</v>
      </c>
    </row>
    <row r="483" spans="1:5" ht="22.5" customHeight="1">
      <c r="A483" s="101">
        <v>311005</v>
      </c>
      <c r="B483" s="104" t="s">
        <v>687</v>
      </c>
      <c r="C483" s="107">
        <v>89.6</v>
      </c>
      <c r="D483" s="107">
        <v>0</v>
      </c>
      <c r="E483" s="109">
        <v>11.2</v>
      </c>
    </row>
    <row r="484" spans="1:5" ht="22.5" customHeight="1">
      <c r="A484" s="101">
        <v>311006</v>
      </c>
      <c r="B484" s="104" t="s">
        <v>688</v>
      </c>
      <c r="C484" s="107">
        <v>89.6</v>
      </c>
      <c r="D484" s="107">
        <v>0</v>
      </c>
      <c r="E484" s="109">
        <v>7.8</v>
      </c>
    </row>
    <row r="485" spans="1:5" ht="22.5" customHeight="1">
      <c r="A485" s="101">
        <v>312000</v>
      </c>
      <c r="B485" s="104" t="s">
        <v>689</v>
      </c>
      <c r="C485" s="107">
        <v>90.2</v>
      </c>
      <c r="D485" s="107">
        <v>0</v>
      </c>
      <c r="E485" s="109">
        <v>11.2</v>
      </c>
    </row>
    <row r="486" spans="1:5" ht="22.5" customHeight="1">
      <c r="A486" s="101">
        <v>312001</v>
      </c>
      <c r="B486" s="104" t="s">
        <v>690</v>
      </c>
      <c r="C486" s="107">
        <v>90.2</v>
      </c>
      <c r="D486" s="107">
        <v>0</v>
      </c>
      <c r="E486" s="109">
        <v>7.5</v>
      </c>
    </row>
    <row r="487" spans="1:5" ht="22.5" customHeight="1">
      <c r="A487" s="101">
        <v>312002</v>
      </c>
      <c r="B487" s="104" t="s">
        <v>1975</v>
      </c>
      <c r="C487" s="107">
        <v>90.2</v>
      </c>
      <c r="D487" s="107">
        <v>0</v>
      </c>
      <c r="E487" s="109">
        <v>8</v>
      </c>
    </row>
    <row r="488" spans="1:5" ht="22.5" customHeight="1">
      <c r="A488" s="101">
        <v>313001</v>
      </c>
      <c r="B488" s="104" t="s">
        <v>691</v>
      </c>
      <c r="C488" s="107">
        <v>89.3</v>
      </c>
      <c r="D488" s="107">
        <v>0</v>
      </c>
      <c r="E488" s="109">
        <v>8.3000000000000007</v>
      </c>
    </row>
    <row r="489" spans="1:5" ht="22.5" customHeight="1">
      <c r="A489" s="101">
        <v>313002</v>
      </c>
      <c r="B489" s="104" t="s">
        <v>156</v>
      </c>
      <c r="C489" s="107">
        <v>90.1</v>
      </c>
      <c r="D489" s="107">
        <v>0</v>
      </c>
      <c r="E489" s="109">
        <v>14.6</v>
      </c>
    </row>
    <row r="490" spans="1:5" ht="22.5" customHeight="1">
      <c r="A490" s="101">
        <v>313003</v>
      </c>
      <c r="B490" s="104" t="s">
        <v>692</v>
      </c>
      <c r="C490" s="107">
        <v>89.3</v>
      </c>
      <c r="D490" s="107">
        <v>0</v>
      </c>
      <c r="E490" s="109">
        <v>10.4</v>
      </c>
    </row>
    <row r="491" spans="1:5" ht="22.5" customHeight="1">
      <c r="A491" s="101">
        <v>314000</v>
      </c>
      <c r="B491" s="104" t="s">
        <v>693</v>
      </c>
      <c r="C491" s="107">
        <v>90.7</v>
      </c>
      <c r="D491" s="107">
        <v>0</v>
      </c>
      <c r="E491" s="109">
        <v>14.6</v>
      </c>
    </row>
    <row r="492" spans="1:5" ht="22.5" customHeight="1">
      <c r="A492" s="101">
        <v>314001</v>
      </c>
      <c r="B492" s="104" t="s">
        <v>694</v>
      </c>
      <c r="C492" s="107">
        <v>90.7</v>
      </c>
      <c r="D492" s="107">
        <v>0</v>
      </c>
      <c r="E492" s="109">
        <v>14.6</v>
      </c>
    </row>
    <row r="493" spans="1:5" ht="22.5" customHeight="1">
      <c r="A493" s="101">
        <v>315001</v>
      </c>
      <c r="B493" s="104" t="s">
        <v>695</v>
      </c>
      <c r="C493" s="107">
        <v>91.4</v>
      </c>
      <c r="D493" s="107">
        <v>0</v>
      </c>
      <c r="E493" s="109">
        <v>8.1</v>
      </c>
    </row>
    <row r="494" spans="1:5" ht="22.5" customHeight="1">
      <c r="A494" s="101">
        <v>315002</v>
      </c>
      <c r="B494" s="104" t="s">
        <v>157</v>
      </c>
      <c r="C494" s="107">
        <v>88.2</v>
      </c>
      <c r="D494" s="107">
        <v>0</v>
      </c>
      <c r="E494" s="109">
        <v>5.9</v>
      </c>
    </row>
    <row r="495" spans="1:5" ht="22.5" customHeight="1">
      <c r="A495" s="101">
        <v>315003</v>
      </c>
      <c r="B495" s="104" t="s">
        <v>696</v>
      </c>
      <c r="C495" s="107">
        <v>91.4</v>
      </c>
      <c r="D495" s="107">
        <v>0</v>
      </c>
      <c r="E495" s="109">
        <v>11.4</v>
      </c>
    </row>
    <row r="496" spans="1:5" ht="22.5" customHeight="1">
      <c r="A496" s="101">
        <v>315005</v>
      </c>
      <c r="B496" s="104" t="s">
        <v>697</v>
      </c>
      <c r="C496" s="107">
        <v>91.4</v>
      </c>
      <c r="D496" s="107">
        <v>0</v>
      </c>
      <c r="E496" s="109">
        <v>11.4</v>
      </c>
    </row>
    <row r="497" spans="1:5" ht="22.5" customHeight="1">
      <c r="A497" s="101">
        <v>319001</v>
      </c>
      <c r="B497" s="104" t="s">
        <v>158</v>
      </c>
      <c r="C497" s="107">
        <v>90</v>
      </c>
      <c r="D497" s="107">
        <v>0</v>
      </c>
      <c r="E497" s="109">
        <v>10.6</v>
      </c>
    </row>
    <row r="498" spans="1:5" ht="22.5" customHeight="1">
      <c r="A498" s="101">
        <v>319002</v>
      </c>
      <c r="B498" s="104" t="s">
        <v>698</v>
      </c>
      <c r="C498" s="107">
        <v>90.5</v>
      </c>
      <c r="D498" s="107">
        <v>0</v>
      </c>
      <c r="E498" s="109">
        <v>10</v>
      </c>
    </row>
    <row r="499" spans="1:5" ht="22.5" customHeight="1">
      <c r="A499" s="101">
        <v>319003</v>
      </c>
      <c r="B499" s="104" t="s">
        <v>699</v>
      </c>
      <c r="C499" s="107">
        <v>90.5</v>
      </c>
      <c r="D499" s="107">
        <v>0</v>
      </c>
      <c r="E499" s="109">
        <v>13.1</v>
      </c>
    </row>
    <row r="500" spans="1:5" ht="22.5" customHeight="1">
      <c r="A500" s="101">
        <v>319004</v>
      </c>
      <c r="B500" s="104" t="s">
        <v>700</v>
      </c>
      <c r="C500" s="107">
        <v>90.5</v>
      </c>
      <c r="D500" s="107">
        <v>0</v>
      </c>
      <c r="E500" s="109">
        <v>13.1</v>
      </c>
    </row>
    <row r="501" spans="1:5" ht="22.5" customHeight="1">
      <c r="A501" s="101">
        <v>319005</v>
      </c>
      <c r="B501" s="104" t="s">
        <v>701</v>
      </c>
      <c r="C501" s="107">
        <v>90.5</v>
      </c>
      <c r="D501" s="107">
        <v>0</v>
      </c>
      <c r="E501" s="109">
        <v>13.1</v>
      </c>
    </row>
    <row r="502" spans="1:5" ht="22.5" customHeight="1">
      <c r="A502" s="101">
        <v>321000</v>
      </c>
      <c r="B502" s="104" t="s">
        <v>702</v>
      </c>
      <c r="C502" s="107">
        <v>90.7</v>
      </c>
      <c r="D502" s="107">
        <v>0</v>
      </c>
      <c r="E502" s="109">
        <v>10.199999999999999</v>
      </c>
    </row>
    <row r="503" spans="1:5" ht="22.5" customHeight="1">
      <c r="A503" s="101">
        <v>321001</v>
      </c>
      <c r="B503" s="104" t="s">
        <v>703</v>
      </c>
      <c r="C503" s="107">
        <v>90.7</v>
      </c>
      <c r="D503" s="107">
        <v>0</v>
      </c>
      <c r="E503" s="109">
        <v>12.4</v>
      </c>
    </row>
    <row r="504" spans="1:5" ht="22.5" customHeight="1">
      <c r="A504" s="101">
        <v>321002</v>
      </c>
      <c r="B504" s="104" t="s">
        <v>704</v>
      </c>
      <c r="C504" s="107">
        <v>90.7</v>
      </c>
      <c r="D504" s="107">
        <v>0</v>
      </c>
      <c r="E504" s="109">
        <v>12.8</v>
      </c>
    </row>
    <row r="505" spans="1:5" ht="22.5" customHeight="1">
      <c r="A505" s="101">
        <v>321003</v>
      </c>
      <c r="B505" s="104" t="s">
        <v>705</v>
      </c>
      <c r="C505" s="107">
        <v>90.7</v>
      </c>
      <c r="D505" s="107">
        <v>0</v>
      </c>
      <c r="E505" s="109">
        <v>12.8</v>
      </c>
    </row>
    <row r="506" spans="1:5" ht="22.5" customHeight="1">
      <c r="A506" s="101">
        <v>321004</v>
      </c>
      <c r="B506" s="104" t="s">
        <v>706</v>
      </c>
      <c r="C506" s="107">
        <v>90.7</v>
      </c>
      <c r="D506" s="107">
        <v>0</v>
      </c>
      <c r="E506" s="109">
        <v>12.8</v>
      </c>
    </row>
    <row r="507" spans="1:5" ht="22.5" customHeight="1">
      <c r="A507" s="101">
        <v>321005</v>
      </c>
      <c r="B507" s="104" t="s">
        <v>707</v>
      </c>
      <c r="C507" s="107">
        <v>90.7</v>
      </c>
      <c r="D507" s="107">
        <v>0</v>
      </c>
      <c r="E507" s="109">
        <v>12.4</v>
      </c>
    </row>
    <row r="508" spans="1:5" ht="22.5" customHeight="1">
      <c r="A508" s="101">
        <v>321006</v>
      </c>
      <c r="B508" s="104" t="s">
        <v>708</v>
      </c>
      <c r="C508" s="107">
        <v>90.7</v>
      </c>
      <c r="D508" s="107">
        <v>0</v>
      </c>
      <c r="E508" s="109">
        <v>12.4</v>
      </c>
    </row>
    <row r="509" spans="1:5" ht="22.5" customHeight="1">
      <c r="A509" s="101">
        <v>321007</v>
      </c>
      <c r="B509" s="104" t="s">
        <v>709</v>
      </c>
      <c r="C509" s="107">
        <v>90.7</v>
      </c>
      <c r="D509" s="107">
        <v>0</v>
      </c>
      <c r="E509" s="109">
        <v>12.4</v>
      </c>
    </row>
    <row r="510" spans="1:5" ht="22.5" customHeight="1">
      <c r="A510" s="101">
        <v>321008</v>
      </c>
      <c r="B510" s="104" t="s">
        <v>710</v>
      </c>
      <c r="C510" s="107">
        <v>90.7</v>
      </c>
      <c r="D510" s="107">
        <v>0</v>
      </c>
      <c r="E510" s="109">
        <v>8.6999999999999993</v>
      </c>
    </row>
    <row r="511" spans="1:5" ht="22.5" customHeight="1">
      <c r="A511" s="101">
        <v>321009</v>
      </c>
      <c r="B511" s="104" t="s">
        <v>711</v>
      </c>
      <c r="C511" s="107">
        <v>90.7</v>
      </c>
      <c r="D511" s="107">
        <v>0</v>
      </c>
      <c r="E511" s="109">
        <v>12.4</v>
      </c>
    </row>
    <row r="512" spans="1:5" ht="22.5" customHeight="1">
      <c r="A512" s="101">
        <v>321011</v>
      </c>
      <c r="B512" s="104" t="s">
        <v>712</v>
      </c>
      <c r="C512" s="107">
        <v>90.7</v>
      </c>
      <c r="D512" s="107">
        <v>0</v>
      </c>
      <c r="E512" s="109">
        <v>12.4</v>
      </c>
    </row>
    <row r="513" spans="1:5" ht="22.5" customHeight="1">
      <c r="A513" s="101">
        <v>321012</v>
      </c>
      <c r="B513" s="104" t="s">
        <v>713</v>
      </c>
      <c r="C513" s="107">
        <v>90.7</v>
      </c>
      <c r="D513" s="107">
        <v>0</v>
      </c>
      <c r="E513" s="109">
        <v>6.1</v>
      </c>
    </row>
    <row r="514" spans="1:5" ht="22.5" customHeight="1">
      <c r="A514" s="101">
        <v>321013</v>
      </c>
      <c r="B514" s="104" t="s">
        <v>714</v>
      </c>
      <c r="C514" s="107">
        <v>90.7</v>
      </c>
      <c r="D514" s="107">
        <v>0</v>
      </c>
      <c r="E514" s="109">
        <v>12.4</v>
      </c>
    </row>
    <row r="515" spans="1:5" ht="22.5" customHeight="1">
      <c r="A515" s="101">
        <v>321014</v>
      </c>
      <c r="B515" s="104" t="s">
        <v>715</v>
      </c>
      <c r="C515" s="107">
        <v>90.7</v>
      </c>
      <c r="D515" s="107">
        <v>0</v>
      </c>
      <c r="E515" s="109">
        <v>12.4</v>
      </c>
    </row>
    <row r="516" spans="1:5" ht="22.5" customHeight="1">
      <c r="A516" s="101">
        <v>321015</v>
      </c>
      <c r="B516" s="104" t="s">
        <v>716</v>
      </c>
      <c r="C516" s="107">
        <v>90.7</v>
      </c>
      <c r="D516" s="107">
        <v>0</v>
      </c>
      <c r="E516" s="109">
        <v>12.4</v>
      </c>
    </row>
    <row r="517" spans="1:5" ht="22.5" customHeight="1">
      <c r="A517" s="101">
        <v>321016</v>
      </c>
      <c r="B517" s="104" t="s">
        <v>717</v>
      </c>
      <c r="C517" s="107">
        <v>90.7</v>
      </c>
      <c r="D517" s="107">
        <v>0</v>
      </c>
      <c r="E517" s="109">
        <v>8.6999999999999993</v>
      </c>
    </row>
    <row r="518" spans="1:5" ht="22.5" customHeight="1">
      <c r="A518" s="101">
        <v>322002</v>
      </c>
      <c r="B518" s="104" t="s">
        <v>159</v>
      </c>
      <c r="C518" s="107">
        <v>90.6</v>
      </c>
      <c r="D518" s="107">
        <v>0</v>
      </c>
      <c r="E518" s="109">
        <v>10.199999999999999</v>
      </c>
    </row>
    <row r="519" spans="1:5" ht="22.5" customHeight="1">
      <c r="A519" s="101">
        <v>322003</v>
      </c>
      <c r="B519" s="104" t="s">
        <v>718</v>
      </c>
      <c r="C519" s="107">
        <v>90.6</v>
      </c>
      <c r="D519" s="107">
        <v>0</v>
      </c>
      <c r="E519" s="109">
        <v>11.3</v>
      </c>
    </row>
    <row r="520" spans="1:5" ht="22.5" customHeight="1">
      <c r="A520" s="101">
        <v>322004</v>
      </c>
      <c r="B520" s="104" t="s">
        <v>719</v>
      </c>
      <c r="C520" s="107">
        <v>90.6</v>
      </c>
      <c r="D520" s="107">
        <v>0</v>
      </c>
      <c r="E520" s="109">
        <v>11.3</v>
      </c>
    </row>
    <row r="521" spans="1:5" ht="22.5" customHeight="1">
      <c r="A521" s="101">
        <v>322005</v>
      </c>
      <c r="B521" s="104" t="s">
        <v>720</v>
      </c>
      <c r="C521" s="107">
        <v>90.6</v>
      </c>
      <c r="D521" s="107">
        <v>0</v>
      </c>
      <c r="E521" s="109">
        <v>13.2</v>
      </c>
    </row>
    <row r="522" spans="1:5" ht="22.5" customHeight="1">
      <c r="A522" s="101">
        <v>323001</v>
      </c>
      <c r="B522" s="104" t="s">
        <v>721</v>
      </c>
      <c r="C522" s="107">
        <v>91.2</v>
      </c>
      <c r="D522" s="107">
        <v>0</v>
      </c>
      <c r="E522" s="109">
        <v>9.8000000000000007</v>
      </c>
    </row>
    <row r="523" spans="1:5" ht="22.5" customHeight="1">
      <c r="A523" s="101">
        <v>323005</v>
      </c>
      <c r="B523" s="104" t="s">
        <v>722</v>
      </c>
      <c r="C523" s="107">
        <v>91.2</v>
      </c>
      <c r="D523" s="107">
        <v>0</v>
      </c>
      <c r="E523" s="109">
        <v>12.2</v>
      </c>
    </row>
    <row r="524" spans="1:5" ht="22.5" customHeight="1">
      <c r="A524" s="101">
        <v>323006</v>
      </c>
      <c r="B524" s="104" t="s">
        <v>723</v>
      </c>
      <c r="C524" s="107">
        <v>91.2</v>
      </c>
      <c r="D524" s="107">
        <v>0</v>
      </c>
      <c r="E524" s="109">
        <v>12.2</v>
      </c>
    </row>
    <row r="525" spans="1:5" ht="22.5" customHeight="1">
      <c r="A525" s="101">
        <v>323007</v>
      </c>
      <c r="B525" s="104" t="s">
        <v>724</v>
      </c>
      <c r="C525" s="107">
        <v>91.2</v>
      </c>
      <c r="D525" s="107">
        <v>0</v>
      </c>
      <c r="E525" s="109">
        <v>8.6</v>
      </c>
    </row>
    <row r="526" spans="1:5" ht="22.5" customHeight="1">
      <c r="A526" s="101">
        <v>331100</v>
      </c>
      <c r="B526" s="104" t="s">
        <v>725</v>
      </c>
      <c r="C526" s="107">
        <v>89.6</v>
      </c>
      <c r="D526" s="107">
        <v>0</v>
      </c>
      <c r="E526" s="109">
        <v>14.1</v>
      </c>
    </row>
    <row r="527" spans="1:5" ht="22.5" customHeight="1">
      <c r="A527" s="101">
        <v>331101</v>
      </c>
      <c r="B527" s="104" t="s">
        <v>726</v>
      </c>
      <c r="C527" s="107">
        <v>72</v>
      </c>
      <c r="D527" s="107">
        <v>0</v>
      </c>
      <c r="E527" s="109">
        <v>12.7</v>
      </c>
    </row>
    <row r="528" spans="1:5" ht="22.5" customHeight="1">
      <c r="A528" s="101">
        <v>331102</v>
      </c>
      <c r="B528" s="104" t="s">
        <v>727</v>
      </c>
      <c r="C528" s="107">
        <v>89.6</v>
      </c>
      <c r="D528" s="107">
        <v>0</v>
      </c>
      <c r="E528" s="109">
        <v>12.7</v>
      </c>
    </row>
    <row r="529" spans="1:5" ht="22.5" customHeight="1">
      <c r="A529" s="101">
        <v>331103</v>
      </c>
      <c r="B529" s="104" t="s">
        <v>728</v>
      </c>
      <c r="C529" s="107">
        <v>89.6</v>
      </c>
      <c r="D529" s="107">
        <v>0</v>
      </c>
      <c r="E529" s="109">
        <v>14.1</v>
      </c>
    </row>
    <row r="530" spans="1:5" ht="22.5" customHeight="1">
      <c r="A530" s="101">
        <v>331104</v>
      </c>
      <c r="B530" s="104" t="s">
        <v>729</v>
      </c>
      <c r="C530" s="107">
        <v>89.6</v>
      </c>
      <c r="D530" s="107">
        <v>0</v>
      </c>
      <c r="E530" s="109">
        <v>14.1</v>
      </c>
    </row>
    <row r="531" spans="1:5" ht="22.5" customHeight="1">
      <c r="A531" s="101">
        <v>331105</v>
      </c>
      <c r="B531" s="104" t="s">
        <v>726</v>
      </c>
      <c r="C531" s="107">
        <v>89.6</v>
      </c>
      <c r="D531" s="107">
        <v>0</v>
      </c>
      <c r="E531" s="109">
        <v>14.1</v>
      </c>
    </row>
    <row r="532" spans="1:5" ht="22.5" customHeight="1">
      <c r="A532" s="101">
        <v>331106</v>
      </c>
      <c r="B532" s="104" t="s">
        <v>730</v>
      </c>
      <c r="C532" s="107">
        <v>89.6</v>
      </c>
      <c r="D532" s="107">
        <v>0</v>
      </c>
      <c r="E532" s="109">
        <v>14.1</v>
      </c>
    </row>
    <row r="533" spans="1:5" ht="22.5" customHeight="1">
      <c r="A533" s="101">
        <v>331201</v>
      </c>
      <c r="B533" s="104" t="s">
        <v>731</v>
      </c>
      <c r="C533" s="107">
        <v>90.5</v>
      </c>
      <c r="D533" s="107">
        <v>0</v>
      </c>
      <c r="E533" s="109">
        <v>10.3</v>
      </c>
    </row>
    <row r="534" spans="1:5" ht="22.5" customHeight="1">
      <c r="A534" s="101">
        <v>331203</v>
      </c>
      <c r="B534" s="104" t="s">
        <v>732</v>
      </c>
      <c r="C534" s="107">
        <v>90.5</v>
      </c>
      <c r="D534" s="107">
        <v>0</v>
      </c>
      <c r="E534" s="109">
        <v>11.4</v>
      </c>
    </row>
    <row r="535" spans="1:5" ht="22.5" customHeight="1">
      <c r="A535" s="101">
        <v>331204</v>
      </c>
      <c r="B535" s="104" t="s">
        <v>733</v>
      </c>
      <c r="C535" s="107">
        <v>90.5</v>
      </c>
      <c r="D535" s="107">
        <v>0</v>
      </c>
      <c r="E535" s="109">
        <v>11.4</v>
      </c>
    </row>
    <row r="536" spans="1:5" ht="22.5" customHeight="1">
      <c r="A536" s="101">
        <v>331205</v>
      </c>
      <c r="B536" s="104" t="s">
        <v>734</v>
      </c>
      <c r="C536" s="107">
        <v>90.5</v>
      </c>
      <c r="D536" s="107">
        <v>0</v>
      </c>
      <c r="E536" s="109">
        <v>11.4</v>
      </c>
    </row>
    <row r="537" spans="1:5" ht="22.5" customHeight="1">
      <c r="A537" s="101">
        <v>331206</v>
      </c>
      <c r="B537" s="104" t="s">
        <v>735</v>
      </c>
      <c r="C537" s="107">
        <v>90.5</v>
      </c>
      <c r="D537" s="107">
        <v>0</v>
      </c>
      <c r="E537" s="109">
        <v>11.4</v>
      </c>
    </row>
    <row r="538" spans="1:5" ht="22.5" customHeight="1">
      <c r="A538" s="101">
        <v>331207</v>
      </c>
      <c r="B538" s="104" t="s">
        <v>736</v>
      </c>
      <c r="C538" s="107">
        <v>90.5</v>
      </c>
      <c r="D538" s="107">
        <v>0</v>
      </c>
      <c r="E538" s="109">
        <v>11.4</v>
      </c>
    </row>
    <row r="539" spans="1:5" ht="22.5" customHeight="1">
      <c r="A539" s="101">
        <v>331300</v>
      </c>
      <c r="B539" s="104" t="s">
        <v>737</v>
      </c>
      <c r="C539" s="107">
        <v>89.6</v>
      </c>
      <c r="D539" s="107">
        <v>0</v>
      </c>
      <c r="E539" s="109">
        <v>12</v>
      </c>
    </row>
    <row r="540" spans="1:5" ht="22.5" customHeight="1">
      <c r="A540" s="101">
        <v>332000</v>
      </c>
      <c r="B540" s="104" t="s">
        <v>738</v>
      </c>
      <c r="C540" s="107">
        <v>90.5</v>
      </c>
      <c r="D540" s="107">
        <v>0</v>
      </c>
      <c r="E540" s="109">
        <v>8.8000000000000007</v>
      </c>
    </row>
    <row r="541" spans="1:5" ht="22.5" customHeight="1">
      <c r="A541" s="101">
        <v>332001</v>
      </c>
      <c r="B541" s="104" t="s">
        <v>739</v>
      </c>
      <c r="C541" s="107">
        <v>91</v>
      </c>
      <c r="D541" s="107">
        <v>0</v>
      </c>
      <c r="E541" s="109">
        <v>10.199999999999999</v>
      </c>
    </row>
    <row r="542" spans="1:5" ht="22.5" customHeight="1">
      <c r="A542" s="101">
        <v>332002</v>
      </c>
      <c r="B542" s="104" t="s">
        <v>738</v>
      </c>
      <c r="C542" s="107">
        <v>91</v>
      </c>
      <c r="D542" s="107">
        <v>0</v>
      </c>
      <c r="E542" s="109">
        <v>12.8</v>
      </c>
    </row>
    <row r="543" spans="1:5" ht="22.5" customHeight="1">
      <c r="A543" s="101">
        <v>332003</v>
      </c>
      <c r="B543" s="104" t="s">
        <v>740</v>
      </c>
      <c r="C543" s="107">
        <v>91</v>
      </c>
      <c r="D543" s="107">
        <v>0</v>
      </c>
      <c r="E543" s="109">
        <v>12.8</v>
      </c>
    </row>
    <row r="544" spans="1:5" ht="22.5" customHeight="1">
      <c r="A544" s="101">
        <v>332004</v>
      </c>
      <c r="B544" s="104" t="s">
        <v>741</v>
      </c>
      <c r="C544" s="107">
        <v>91</v>
      </c>
      <c r="D544" s="107">
        <v>0</v>
      </c>
      <c r="E544" s="109">
        <v>12.8</v>
      </c>
    </row>
    <row r="545" spans="1:5" ht="22.5" customHeight="1">
      <c r="A545" s="101">
        <v>333000</v>
      </c>
      <c r="B545" s="104" t="s">
        <v>742</v>
      </c>
      <c r="C545" s="107">
        <v>91.3</v>
      </c>
      <c r="D545" s="107">
        <v>0</v>
      </c>
      <c r="E545" s="109">
        <v>11.9</v>
      </c>
    </row>
    <row r="546" spans="1:5" ht="22.5" customHeight="1">
      <c r="A546" s="101">
        <v>341001</v>
      </c>
      <c r="B546" s="104" t="s">
        <v>743</v>
      </c>
      <c r="C546" s="107">
        <v>89.6</v>
      </c>
      <c r="D546" s="107">
        <v>0</v>
      </c>
      <c r="E546" s="109">
        <v>12.7</v>
      </c>
    </row>
    <row r="547" spans="1:5" ht="22.5" customHeight="1">
      <c r="A547" s="101">
        <v>341003</v>
      </c>
      <c r="B547" s="104" t="s">
        <v>744</v>
      </c>
      <c r="C547" s="107">
        <v>89.6</v>
      </c>
      <c r="D547" s="107">
        <v>0</v>
      </c>
      <c r="E547" s="109">
        <v>12.7</v>
      </c>
    </row>
    <row r="548" spans="1:5" ht="22.5" customHeight="1">
      <c r="A548" s="101">
        <v>341004</v>
      </c>
      <c r="B548" s="104" t="s">
        <v>745</v>
      </c>
      <c r="C548" s="107">
        <v>89.6</v>
      </c>
      <c r="D548" s="107">
        <v>0</v>
      </c>
      <c r="E548" s="109">
        <v>12.7</v>
      </c>
    </row>
    <row r="549" spans="1:5" ht="22.5" customHeight="1">
      <c r="A549" s="101">
        <v>342000</v>
      </c>
      <c r="B549" s="104" t="s">
        <v>746</v>
      </c>
      <c r="C549" s="107">
        <v>89.6</v>
      </c>
      <c r="D549" s="107">
        <v>0</v>
      </c>
      <c r="E549" s="109">
        <v>7.4</v>
      </c>
    </row>
    <row r="550" spans="1:5" ht="22.5" customHeight="1">
      <c r="A550" s="101">
        <v>342001</v>
      </c>
      <c r="B550" s="104" t="s">
        <v>747</v>
      </c>
      <c r="C550" s="107">
        <v>89.6</v>
      </c>
      <c r="D550" s="107">
        <v>0</v>
      </c>
      <c r="E550" s="109">
        <v>11.1</v>
      </c>
    </row>
    <row r="551" spans="1:5" ht="22.5" customHeight="1">
      <c r="A551" s="101">
        <v>342002</v>
      </c>
      <c r="B551" s="104" t="s">
        <v>748</v>
      </c>
      <c r="C551" s="107">
        <v>89.6</v>
      </c>
      <c r="D551" s="107">
        <v>0</v>
      </c>
      <c r="E551" s="109">
        <v>11.1</v>
      </c>
    </row>
    <row r="552" spans="1:5" ht="22.5" customHeight="1">
      <c r="A552" s="101">
        <v>343000</v>
      </c>
      <c r="B552" s="104" t="s">
        <v>749</v>
      </c>
      <c r="C552" s="107">
        <v>90.6</v>
      </c>
      <c r="D552" s="107">
        <v>0</v>
      </c>
      <c r="E552" s="109">
        <v>10.199999999999999</v>
      </c>
    </row>
    <row r="553" spans="1:5" ht="22.5" customHeight="1">
      <c r="A553" s="101">
        <v>343001</v>
      </c>
      <c r="B553" s="104" t="s">
        <v>750</v>
      </c>
      <c r="C553" s="107">
        <v>90.6</v>
      </c>
      <c r="D553" s="107">
        <v>0</v>
      </c>
      <c r="E553" s="109">
        <v>10.199999999999999</v>
      </c>
    </row>
    <row r="554" spans="1:5" ht="22.5" customHeight="1">
      <c r="A554" s="101">
        <v>343002</v>
      </c>
      <c r="B554" s="104" t="s">
        <v>751</v>
      </c>
      <c r="C554" s="107">
        <v>90.6</v>
      </c>
      <c r="D554" s="107">
        <v>0</v>
      </c>
      <c r="E554" s="109">
        <v>15.6</v>
      </c>
    </row>
    <row r="555" spans="1:5" ht="22.5" customHeight="1">
      <c r="A555" s="101">
        <v>343003</v>
      </c>
      <c r="B555" s="104" t="s">
        <v>752</v>
      </c>
      <c r="C555" s="107">
        <v>90.6</v>
      </c>
      <c r="D555" s="107">
        <v>0</v>
      </c>
      <c r="E555" s="109">
        <v>10.199999999999999</v>
      </c>
    </row>
    <row r="556" spans="1:5" ht="22.5" customHeight="1">
      <c r="A556" s="101">
        <v>343004</v>
      </c>
      <c r="B556" s="104" t="s">
        <v>753</v>
      </c>
      <c r="C556" s="107">
        <v>90.6</v>
      </c>
      <c r="D556" s="107">
        <v>0</v>
      </c>
      <c r="E556" s="109">
        <v>10.199999999999999</v>
      </c>
    </row>
    <row r="557" spans="1:5" ht="22.5" customHeight="1">
      <c r="A557" s="101">
        <v>343005</v>
      </c>
      <c r="B557" s="104" t="s">
        <v>754</v>
      </c>
      <c r="C557" s="107">
        <v>90.6</v>
      </c>
      <c r="D557" s="107">
        <v>0</v>
      </c>
      <c r="E557" s="109">
        <v>10.199999999999999</v>
      </c>
    </row>
    <row r="558" spans="1:5" ht="22.5" customHeight="1">
      <c r="A558" s="101">
        <v>343006</v>
      </c>
      <c r="B558" s="104" t="s">
        <v>755</v>
      </c>
      <c r="C558" s="107">
        <v>90.6</v>
      </c>
      <c r="D558" s="107">
        <v>0</v>
      </c>
      <c r="E558" s="109">
        <v>10.199999999999999</v>
      </c>
    </row>
    <row r="559" spans="1:5" ht="22.5" customHeight="1">
      <c r="A559" s="101">
        <v>343007</v>
      </c>
      <c r="B559" s="104" t="s">
        <v>756</v>
      </c>
      <c r="C559" s="107">
        <v>90.6</v>
      </c>
      <c r="D559" s="107">
        <v>0</v>
      </c>
      <c r="E559" s="109">
        <v>10.199999999999999</v>
      </c>
    </row>
    <row r="560" spans="1:5" ht="22.5" customHeight="1">
      <c r="A560" s="101">
        <v>351101</v>
      </c>
      <c r="B560" s="104" t="s">
        <v>160</v>
      </c>
      <c r="C560" s="107">
        <v>94.5</v>
      </c>
      <c r="D560" s="107">
        <v>0</v>
      </c>
      <c r="E560" s="109">
        <v>11</v>
      </c>
    </row>
    <row r="561" spans="1:5" ht="22.5" customHeight="1">
      <c r="A561" s="101">
        <v>351102</v>
      </c>
      <c r="B561" s="104" t="s">
        <v>757</v>
      </c>
      <c r="C561" s="107">
        <v>95.4</v>
      </c>
      <c r="D561" s="107">
        <v>0</v>
      </c>
      <c r="E561" s="109">
        <v>3.8</v>
      </c>
    </row>
    <row r="562" spans="1:5" ht="22.5" customHeight="1">
      <c r="A562" s="101">
        <v>351103</v>
      </c>
      <c r="B562" s="104" t="s">
        <v>758</v>
      </c>
      <c r="C562" s="107">
        <v>94.1</v>
      </c>
      <c r="D562" s="107">
        <v>0</v>
      </c>
      <c r="E562" s="109">
        <v>11.5</v>
      </c>
    </row>
    <row r="563" spans="1:5" ht="22.5" customHeight="1">
      <c r="A563" s="101">
        <v>351104</v>
      </c>
      <c r="B563" s="104" t="s">
        <v>797</v>
      </c>
      <c r="C563" s="107">
        <v>93.5</v>
      </c>
      <c r="D563" s="107">
        <v>0</v>
      </c>
      <c r="E563" s="109">
        <v>15</v>
      </c>
    </row>
    <row r="564" spans="1:5" ht="22.5" customHeight="1">
      <c r="A564" s="101">
        <v>351105</v>
      </c>
      <c r="B564" s="104" t="s">
        <v>757</v>
      </c>
      <c r="C564" s="107">
        <v>94.5</v>
      </c>
      <c r="D564" s="107">
        <v>0</v>
      </c>
      <c r="E564" s="109">
        <v>12.8</v>
      </c>
    </row>
    <row r="565" spans="1:5" ht="22.5" customHeight="1">
      <c r="A565" s="101">
        <v>351106</v>
      </c>
      <c r="B565" s="104" t="s">
        <v>759</v>
      </c>
      <c r="C565" s="107">
        <v>94.1</v>
      </c>
      <c r="D565" s="107">
        <v>0</v>
      </c>
      <c r="E565" s="109">
        <v>12.8</v>
      </c>
    </row>
    <row r="566" spans="1:5" ht="22.5" customHeight="1">
      <c r="A566" s="101">
        <v>351107</v>
      </c>
      <c r="B566" s="104" t="s">
        <v>757</v>
      </c>
      <c r="C566" s="107">
        <v>94.1</v>
      </c>
      <c r="D566" s="107">
        <v>0</v>
      </c>
      <c r="E566" s="109">
        <v>12.8</v>
      </c>
    </row>
    <row r="567" spans="1:5" ht="22.5" customHeight="1">
      <c r="A567" s="101">
        <v>351200</v>
      </c>
      <c r="B567" s="104" t="s">
        <v>161</v>
      </c>
      <c r="C567" s="107">
        <v>94.1</v>
      </c>
      <c r="D567" s="107">
        <v>0</v>
      </c>
      <c r="E567" s="109">
        <v>10.6</v>
      </c>
    </row>
    <row r="568" spans="1:5" ht="22.5" customHeight="1">
      <c r="A568" s="101">
        <v>352000</v>
      </c>
      <c r="B568" s="104" t="s">
        <v>760</v>
      </c>
      <c r="C568" s="107">
        <v>90.2</v>
      </c>
      <c r="D568" s="107">
        <v>0</v>
      </c>
      <c r="E568" s="109">
        <v>14.4</v>
      </c>
    </row>
    <row r="569" spans="1:5" ht="22.5" customHeight="1">
      <c r="A569" s="101">
        <v>352001</v>
      </c>
      <c r="B569" s="104" t="s">
        <v>761</v>
      </c>
      <c r="C569" s="107">
        <v>90.2</v>
      </c>
      <c r="D569" s="107">
        <v>0</v>
      </c>
      <c r="E569" s="109">
        <v>14.4</v>
      </c>
    </row>
    <row r="570" spans="1:5" ht="22.5" customHeight="1">
      <c r="A570" s="101">
        <v>353000</v>
      </c>
      <c r="B570" s="104" t="s">
        <v>762</v>
      </c>
      <c r="C570" s="107">
        <v>91.4</v>
      </c>
      <c r="D570" s="107">
        <v>0</v>
      </c>
      <c r="E570" s="109">
        <v>14.4</v>
      </c>
    </row>
    <row r="571" spans="1:5" ht="22.5" customHeight="1">
      <c r="A571" s="101">
        <v>353001</v>
      </c>
      <c r="B571" s="104" t="s">
        <v>763</v>
      </c>
      <c r="C571" s="107">
        <v>91.4</v>
      </c>
      <c r="D571" s="107">
        <v>0</v>
      </c>
      <c r="E571" s="109">
        <v>14.4</v>
      </c>
    </row>
    <row r="572" spans="1:5" ht="22.5" customHeight="1">
      <c r="A572" s="101">
        <v>353002</v>
      </c>
      <c r="B572" s="104" t="s">
        <v>764</v>
      </c>
      <c r="C572" s="107">
        <v>91.4</v>
      </c>
      <c r="D572" s="107">
        <v>0</v>
      </c>
      <c r="E572" s="109">
        <v>14.4</v>
      </c>
    </row>
    <row r="573" spans="1:5" ht="22.5" customHeight="1">
      <c r="A573" s="101">
        <v>353003</v>
      </c>
      <c r="B573" s="104" t="s">
        <v>765</v>
      </c>
      <c r="C573" s="107">
        <v>91.4</v>
      </c>
      <c r="D573" s="107">
        <v>0</v>
      </c>
      <c r="E573" s="109">
        <v>14.4</v>
      </c>
    </row>
    <row r="574" spans="1:5" ht="22.5" customHeight="1">
      <c r="A574" s="101">
        <v>359100</v>
      </c>
      <c r="B574" s="104" t="s">
        <v>162</v>
      </c>
      <c r="C574" s="107">
        <v>89.6</v>
      </c>
      <c r="D574" s="107">
        <v>0</v>
      </c>
      <c r="E574" s="109">
        <v>10.4</v>
      </c>
    </row>
    <row r="575" spans="1:5" ht="22.5" customHeight="1">
      <c r="A575" s="101">
        <v>359200</v>
      </c>
      <c r="B575" s="104" t="s">
        <v>766</v>
      </c>
      <c r="C575" s="107">
        <v>90.5</v>
      </c>
      <c r="D575" s="107">
        <v>0</v>
      </c>
      <c r="E575" s="109">
        <v>8.3000000000000007</v>
      </c>
    </row>
    <row r="576" spans="1:5" ht="22.5" customHeight="1">
      <c r="A576" s="101">
        <v>359201</v>
      </c>
      <c r="B576" s="104" t="s">
        <v>767</v>
      </c>
      <c r="C576" s="107">
        <v>90.5</v>
      </c>
      <c r="D576" s="107">
        <v>0</v>
      </c>
      <c r="E576" s="109">
        <v>13</v>
      </c>
    </row>
    <row r="577" spans="1:5" ht="22.5" customHeight="1">
      <c r="A577" s="101">
        <v>359202</v>
      </c>
      <c r="B577" s="104" t="s">
        <v>768</v>
      </c>
      <c r="C577" s="107">
        <v>90.5</v>
      </c>
      <c r="D577" s="107">
        <v>0</v>
      </c>
      <c r="E577" s="109">
        <v>13</v>
      </c>
    </row>
    <row r="578" spans="1:5" ht="22.5" customHeight="1">
      <c r="A578" s="101">
        <v>361001</v>
      </c>
      <c r="B578" s="104" t="s">
        <v>163</v>
      </c>
      <c r="C578" s="107">
        <v>91.9</v>
      </c>
      <c r="D578" s="107">
        <v>0</v>
      </c>
      <c r="E578" s="109">
        <v>7.7</v>
      </c>
    </row>
    <row r="579" spans="1:5" ht="22.5" customHeight="1">
      <c r="A579" s="101">
        <v>361002</v>
      </c>
      <c r="B579" s="104" t="s">
        <v>769</v>
      </c>
      <c r="C579" s="107">
        <v>90.3</v>
      </c>
      <c r="D579" s="107">
        <v>0</v>
      </c>
      <c r="E579" s="109">
        <v>6.6</v>
      </c>
    </row>
    <row r="580" spans="1:5" ht="22.5" customHeight="1">
      <c r="A580" s="101">
        <v>361003</v>
      </c>
      <c r="B580" s="104" t="s">
        <v>770</v>
      </c>
      <c r="C580" s="107">
        <v>92.8</v>
      </c>
      <c r="D580" s="107">
        <v>0</v>
      </c>
      <c r="E580" s="109">
        <v>9.5</v>
      </c>
    </row>
    <row r="581" spans="1:5" ht="22.5" customHeight="1">
      <c r="A581" s="101">
        <v>361005</v>
      </c>
      <c r="B581" s="104" t="s">
        <v>771</v>
      </c>
      <c r="C581" s="107">
        <v>90.3</v>
      </c>
      <c r="D581" s="107">
        <v>0</v>
      </c>
      <c r="E581" s="109">
        <v>9.8000000000000007</v>
      </c>
    </row>
    <row r="582" spans="1:5" ht="22.5" customHeight="1">
      <c r="A582" s="101">
        <v>361006</v>
      </c>
      <c r="B582" s="104" t="s">
        <v>772</v>
      </c>
      <c r="C582" s="107">
        <v>90.3</v>
      </c>
      <c r="D582" s="107">
        <v>0</v>
      </c>
      <c r="E582" s="109">
        <v>6.8</v>
      </c>
    </row>
    <row r="583" spans="1:5" ht="22.5" customHeight="1">
      <c r="A583" s="101">
        <v>361007</v>
      </c>
      <c r="B583" s="104" t="s">
        <v>773</v>
      </c>
      <c r="C583" s="107">
        <v>90.3</v>
      </c>
      <c r="D583" s="107">
        <v>0</v>
      </c>
      <c r="E583" s="109">
        <v>5.6</v>
      </c>
    </row>
    <row r="584" spans="1:5" ht="22.5" customHeight="1">
      <c r="A584" s="101">
        <v>369101</v>
      </c>
      <c r="B584" s="104" t="s">
        <v>164</v>
      </c>
      <c r="C584" s="107">
        <v>91</v>
      </c>
      <c r="D584" s="107">
        <v>0</v>
      </c>
      <c r="E584" s="109">
        <v>11</v>
      </c>
    </row>
    <row r="585" spans="1:5" ht="22.5" customHeight="1">
      <c r="A585" s="101">
        <v>369200</v>
      </c>
      <c r="B585" s="104" t="s">
        <v>774</v>
      </c>
      <c r="C585" s="107">
        <v>90.2</v>
      </c>
      <c r="D585" s="107">
        <v>0</v>
      </c>
      <c r="E585" s="109">
        <v>4</v>
      </c>
    </row>
    <row r="586" spans="1:5" ht="22.5" customHeight="1">
      <c r="A586" s="101">
        <v>369201</v>
      </c>
      <c r="B586" s="104" t="s">
        <v>775</v>
      </c>
      <c r="C586" s="107">
        <v>90.2</v>
      </c>
      <c r="D586" s="107">
        <v>0</v>
      </c>
      <c r="E586" s="109">
        <v>10.3</v>
      </c>
    </row>
    <row r="587" spans="1:5" ht="22.5" customHeight="1">
      <c r="A587" s="101">
        <v>369202</v>
      </c>
      <c r="B587" s="104" t="s">
        <v>776</v>
      </c>
      <c r="C587" s="107">
        <v>90.2</v>
      </c>
      <c r="D587" s="107">
        <v>0</v>
      </c>
      <c r="E587" s="109">
        <v>10.3</v>
      </c>
    </row>
    <row r="588" spans="1:5" ht="22.5" customHeight="1">
      <c r="A588" s="101">
        <v>369301</v>
      </c>
      <c r="B588" s="104" t="s">
        <v>777</v>
      </c>
      <c r="C588" s="107">
        <v>91</v>
      </c>
      <c r="D588" s="107">
        <v>0</v>
      </c>
      <c r="E588" s="109">
        <v>10.4</v>
      </c>
    </row>
    <row r="589" spans="1:5" ht="22.5" customHeight="1">
      <c r="A589" s="101">
        <v>369302</v>
      </c>
      <c r="B589" s="104" t="s">
        <v>165</v>
      </c>
      <c r="C589" s="107">
        <v>89.1</v>
      </c>
      <c r="D589" s="107">
        <v>0</v>
      </c>
      <c r="E589" s="109">
        <v>9.1999999999999993</v>
      </c>
    </row>
    <row r="590" spans="1:5" ht="22.5" customHeight="1">
      <c r="A590" s="101">
        <v>369305</v>
      </c>
      <c r="B590" s="104" t="s">
        <v>778</v>
      </c>
      <c r="C590" s="107">
        <v>91</v>
      </c>
      <c r="D590" s="107">
        <v>0</v>
      </c>
      <c r="E590" s="109">
        <v>12.8</v>
      </c>
    </row>
    <row r="591" spans="1:5" ht="22.5" customHeight="1">
      <c r="A591" s="101">
        <v>369306</v>
      </c>
      <c r="B591" s="104" t="s">
        <v>779</v>
      </c>
      <c r="C591" s="107">
        <v>91</v>
      </c>
      <c r="D591" s="107">
        <v>0</v>
      </c>
      <c r="E591" s="109">
        <v>9</v>
      </c>
    </row>
    <row r="592" spans="1:5" ht="22.5" customHeight="1">
      <c r="A592" s="101">
        <v>369401</v>
      </c>
      <c r="B592" s="104" t="s">
        <v>166</v>
      </c>
      <c r="C592" s="107">
        <v>93.2</v>
      </c>
      <c r="D592" s="107">
        <v>0</v>
      </c>
      <c r="E592" s="109">
        <v>13.7</v>
      </c>
    </row>
    <row r="593" spans="1:5" ht="22.5" customHeight="1">
      <c r="A593" s="101">
        <v>369402</v>
      </c>
      <c r="B593" s="104" t="s">
        <v>166</v>
      </c>
      <c r="C593" s="107">
        <v>91</v>
      </c>
      <c r="D593" s="107">
        <v>0</v>
      </c>
      <c r="E593" s="109">
        <v>12</v>
      </c>
    </row>
    <row r="594" spans="1:5" ht="22.5" customHeight="1">
      <c r="A594" s="101">
        <v>369404</v>
      </c>
      <c r="B594" s="104" t="s">
        <v>780</v>
      </c>
      <c r="C594" s="107">
        <v>91</v>
      </c>
      <c r="D594" s="107">
        <v>0</v>
      </c>
      <c r="E594" s="109">
        <v>13.1</v>
      </c>
    </row>
    <row r="595" spans="1:5" ht="22.5" customHeight="1">
      <c r="A595" s="101">
        <v>369405</v>
      </c>
      <c r="B595" s="104" t="s">
        <v>167</v>
      </c>
      <c r="C595" s="107">
        <v>91</v>
      </c>
      <c r="D595" s="107">
        <v>0</v>
      </c>
      <c r="E595" s="109">
        <v>13.1</v>
      </c>
    </row>
    <row r="596" spans="1:5" ht="22.5" customHeight="1">
      <c r="A596" s="101">
        <v>369409</v>
      </c>
      <c r="B596" s="104" t="s">
        <v>167</v>
      </c>
      <c r="C596" s="107">
        <v>92</v>
      </c>
      <c r="D596" s="107">
        <v>0</v>
      </c>
      <c r="E596" s="109">
        <v>13.1</v>
      </c>
    </row>
    <row r="597" spans="1:5" ht="22.5" customHeight="1">
      <c r="A597" s="101">
        <v>369501</v>
      </c>
      <c r="B597" s="104" t="s">
        <v>781</v>
      </c>
      <c r="C597" s="107">
        <v>90.4</v>
      </c>
      <c r="D597" s="107">
        <v>0</v>
      </c>
      <c r="E597" s="109">
        <v>9.5</v>
      </c>
    </row>
    <row r="598" spans="1:5" ht="22.5" customHeight="1">
      <c r="A598" s="101">
        <v>369502</v>
      </c>
      <c r="B598" s="104" t="s">
        <v>782</v>
      </c>
      <c r="C598" s="107">
        <v>90.9</v>
      </c>
      <c r="D598" s="107">
        <v>0</v>
      </c>
      <c r="E598" s="109">
        <v>12.9</v>
      </c>
    </row>
    <row r="599" spans="1:5" ht="22.5" customHeight="1">
      <c r="A599" s="101">
        <v>369503</v>
      </c>
      <c r="B599" s="104" t="s">
        <v>168</v>
      </c>
      <c r="C599" s="107">
        <v>86.3</v>
      </c>
      <c r="D599" s="107">
        <v>0</v>
      </c>
      <c r="E599" s="109">
        <v>12.4</v>
      </c>
    </row>
    <row r="600" spans="1:5" ht="22.5" customHeight="1">
      <c r="A600" s="101">
        <v>369504</v>
      </c>
      <c r="B600" s="104" t="s">
        <v>783</v>
      </c>
      <c r="C600" s="107">
        <v>87.6</v>
      </c>
      <c r="D600" s="107">
        <v>0</v>
      </c>
      <c r="E600" s="109">
        <v>5.3</v>
      </c>
    </row>
    <row r="601" spans="1:5" ht="22.5" customHeight="1">
      <c r="A601" s="101">
        <v>369505</v>
      </c>
      <c r="B601" s="104" t="s">
        <v>784</v>
      </c>
      <c r="C601" s="107">
        <v>90.4</v>
      </c>
      <c r="D601" s="107">
        <v>0</v>
      </c>
      <c r="E601" s="109">
        <v>9.4</v>
      </c>
    </row>
    <row r="602" spans="1:5" ht="22.5" customHeight="1">
      <c r="A602" s="101">
        <v>369902</v>
      </c>
      <c r="B602" s="104" t="s">
        <v>169</v>
      </c>
      <c r="C602" s="107">
        <v>92.2</v>
      </c>
      <c r="D602" s="107">
        <v>0</v>
      </c>
      <c r="E602" s="109">
        <v>11.1</v>
      </c>
    </row>
    <row r="603" spans="1:5" ht="22.5" customHeight="1">
      <c r="A603" s="101">
        <v>369903</v>
      </c>
      <c r="B603" s="104" t="s">
        <v>785</v>
      </c>
      <c r="C603" s="107">
        <v>92.2</v>
      </c>
      <c r="D603" s="107">
        <v>0</v>
      </c>
      <c r="E603" s="109">
        <v>9.8000000000000007</v>
      </c>
    </row>
    <row r="604" spans="1:5" ht="22.5" customHeight="1">
      <c r="A604" s="101">
        <v>369904</v>
      </c>
      <c r="B604" s="104" t="s">
        <v>786</v>
      </c>
      <c r="C604" s="107">
        <v>92.8</v>
      </c>
      <c r="D604" s="107">
        <v>0</v>
      </c>
      <c r="E604" s="109">
        <v>6.5</v>
      </c>
    </row>
    <row r="605" spans="1:5" ht="22.5" customHeight="1">
      <c r="A605" s="101">
        <v>369905</v>
      </c>
      <c r="B605" s="104" t="s">
        <v>170</v>
      </c>
      <c r="C605" s="107">
        <v>92</v>
      </c>
      <c r="D605" s="107">
        <v>0</v>
      </c>
      <c r="E605" s="109">
        <v>6.8</v>
      </c>
    </row>
    <row r="606" spans="1:5" ht="22.5" customHeight="1">
      <c r="A606" s="101">
        <v>369906</v>
      </c>
      <c r="B606" s="104" t="s">
        <v>787</v>
      </c>
      <c r="C606" s="107">
        <v>91.2</v>
      </c>
      <c r="D606" s="107">
        <v>0</v>
      </c>
      <c r="E606" s="109">
        <v>11.8</v>
      </c>
    </row>
    <row r="607" spans="1:5" ht="22.5" customHeight="1">
      <c r="A607" s="101">
        <v>369907</v>
      </c>
      <c r="B607" s="104" t="s">
        <v>529</v>
      </c>
      <c r="C607" s="107">
        <v>91.2</v>
      </c>
      <c r="D607" s="107">
        <v>0</v>
      </c>
      <c r="E607" s="109">
        <v>12.4</v>
      </c>
    </row>
    <row r="608" spans="1:5" ht="22.5" customHeight="1">
      <c r="A608" s="101">
        <v>369908</v>
      </c>
      <c r="B608" s="104" t="s">
        <v>786</v>
      </c>
      <c r="C608" s="107">
        <v>91.2</v>
      </c>
      <c r="D608" s="107">
        <v>0</v>
      </c>
      <c r="E608" s="109">
        <v>5.5</v>
      </c>
    </row>
    <row r="609" spans="1:5" ht="22.5" customHeight="1">
      <c r="A609" s="101">
        <v>371000</v>
      </c>
      <c r="B609" s="104" t="s">
        <v>798</v>
      </c>
      <c r="C609" s="107">
        <v>91.6</v>
      </c>
      <c r="D609" s="107">
        <v>0</v>
      </c>
      <c r="E609" s="109">
        <v>14</v>
      </c>
    </row>
    <row r="610" spans="1:5" ht="22.5" customHeight="1">
      <c r="A610" s="101">
        <v>371001</v>
      </c>
      <c r="B610" s="104" t="s">
        <v>797</v>
      </c>
      <c r="C610" s="107">
        <v>91.6</v>
      </c>
      <c r="D610" s="107">
        <v>0</v>
      </c>
      <c r="E610" s="109">
        <v>14</v>
      </c>
    </row>
    <row r="611" spans="1:5" ht="22.5" customHeight="1">
      <c r="A611" s="101">
        <v>372000</v>
      </c>
      <c r="B611" s="104" t="s">
        <v>799</v>
      </c>
      <c r="C611" s="107">
        <v>92.3</v>
      </c>
      <c r="D611" s="107">
        <v>0</v>
      </c>
      <c r="E611" s="109">
        <v>12</v>
      </c>
    </row>
    <row r="612" spans="1:5" ht="22.5" customHeight="1">
      <c r="A612" s="101">
        <v>372001</v>
      </c>
      <c r="B612" s="104" t="s">
        <v>800</v>
      </c>
      <c r="C612" s="107">
        <v>92.3</v>
      </c>
      <c r="D612" s="107">
        <v>0</v>
      </c>
      <c r="E612" s="109">
        <v>13.3</v>
      </c>
    </row>
    <row r="613" spans="1:5" ht="22.5" customHeight="1">
      <c r="A613" s="101">
        <v>372002</v>
      </c>
      <c r="B613" s="104" t="s">
        <v>801</v>
      </c>
      <c r="C613" s="107">
        <v>92.3</v>
      </c>
      <c r="D613" s="107">
        <v>0</v>
      </c>
      <c r="E613" s="109">
        <v>13.3</v>
      </c>
    </row>
    <row r="614" spans="1:5" ht="22.5" customHeight="1">
      <c r="A614" s="101">
        <v>372003</v>
      </c>
      <c r="B614" s="104" t="s">
        <v>802</v>
      </c>
      <c r="C614" s="107">
        <v>92.3</v>
      </c>
      <c r="D614" s="107">
        <v>0</v>
      </c>
      <c r="E614" s="109">
        <v>13.3</v>
      </c>
    </row>
    <row r="615" spans="1:5" ht="22.5" customHeight="1">
      <c r="A615" s="101">
        <v>381000</v>
      </c>
      <c r="B615" s="104" t="s">
        <v>623</v>
      </c>
      <c r="C615" s="107">
        <v>90.6</v>
      </c>
      <c r="D615" s="107">
        <v>0</v>
      </c>
      <c r="E615" s="109">
        <v>11</v>
      </c>
    </row>
    <row r="616" spans="1:5" ht="22.5" customHeight="1">
      <c r="A616" s="101">
        <v>381003</v>
      </c>
      <c r="B616" s="104" t="s">
        <v>621</v>
      </c>
      <c r="C616" s="107">
        <v>90.6</v>
      </c>
      <c r="D616" s="107">
        <v>0</v>
      </c>
      <c r="E616" s="109">
        <v>9.6</v>
      </c>
    </row>
    <row r="617" spans="1:5" ht="22.5" customHeight="1">
      <c r="A617" s="101">
        <v>381004</v>
      </c>
      <c r="B617" s="104" t="s">
        <v>749</v>
      </c>
      <c r="C617" s="107">
        <v>90.6</v>
      </c>
      <c r="D617" s="107">
        <v>0</v>
      </c>
      <c r="E617" s="109">
        <v>6</v>
      </c>
    </row>
    <row r="618" spans="1:5" ht="22.5" customHeight="1">
      <c r="A618" s="101">
        <v>381005</v>
      </c>
      <c r="B618" s="104" t="s">
        <v>786</v>
      </c>
      <c r="C618" s="107">
        <v>90.6</v>
      </c>
      <c r="D618" s="107">
        <v>0</v>
      </c>
      <c r="E618" s="109">
        <v>8.3000000000000007</v>
      </c>
    </row>
    <row r="619" spans="1:5" ht="22.5" customHeight="1">
      <c r="A619" s="101">
        <v>381006</v>
      </c>
      <c r="B619" s="104" t="s">
        <v>289</v>
      </c>
      <c r="C619" s="107">
        <v>90.6</v>
      </c>
      <c r="D619" s="107">
        <v>0</v>
      </c>
      <c r="E619" s="109">
        <v>10.7</v>
      </c>
    </row>
    <row r="620" spans="1:5" ht="22.5" customHeight="1">
      <c r="A620" s="101">
        <v>381007</v>
      </c>
      <c r="B620" s="104" t="s">
        <v>788</v>
      </c>
      <c r="C620" s="107">
        <v>90.6</v>
      </c>
      <c r="D620" s="107">
        <v>0</v>
      </c>
      <c r="E620" s="109">
        <v>9.4</v>
      </c>
    </row>
    <row r="621" spans="1:5" ht="22.5" customHeight="1">
      <c r="A621" s="101">
        <v>401000</v>
      </c>
      <c r="B621" s="104" t="s">
        <v>789</v>
      </c>
      <c r="C621" s="107">
        <v>95.1</v>
      </c>
      <c r="D621" s="107">
        <v>0</v>
      </c>
      <c r="E621" s="109">
        <v>29</v>
      </c>
    </row>
    <row r="622" spans="1:5" ht="22.5" customHeight="1">
      <c r="A622" s="101">
        <v>401001</v>
      </c>
      <c r="B622" s="104" t="s">
        <v>790</v>
      </c>
      <c r="C622" s="107">
        <v>95.1</v>
      </c>
      <c r="D622" s="107">
        <v>0</v>
      </c>
      <c r="E622" s="109">
        <v>20.2</v>
      </c>
    </row>
    <row r="623" spans="1:5" ht="22.5" customHeight="1">
      <c r="A623" s="101">
        <v>401002</v>
      </c>
      <c r="B623" s="104" t="s">
        <v>791</v>
      </c>
      <c r="C623" s="107">
        <v>95.1</v>
      </c>
      <c r="D623" s="107">
        <v>0</v>
      </c>
      <c r="E623" s="109">
        <v>20.2</v>
      </c>
    </row>
    <row r="624" spans="1:5" ht="22.5" customHeight="1">
      <c r="A624" s="101">
        <v>401003</v>
      </c>
      <c r="B624" s="104" t="s">
        <v>792</v>
      </c>
      <c r="C624" s="107">
        <v>95.1</v>
      </c>
      <c r="D624" s="107">
        <v>0</v>
      </c>
      <c r="E624" s="109">
        <v>20.2</v>
      </c>
    </row>
    <row r="625" spans="1:5" ht="22.5" customHeight="1">
      <c r="A625" s="101">
        <v>401004</v>
      </c>
      <c r="B625" s="104" t="s">
        <v>793</v>
      </c>
      <c r="C625" s="107">
        <v>95.1</v>
      </c>
      <c r="D625" s="107">
        <v>0</v>
      </c>
      <c r="E625" s="109">
        <v>27.8</v>
      </c>
    </row>
    <row r="626" spans="1:5" ht="22.5" customHeight="1">
      <c r="A626" s="101">
        <v>401005</v>
      </c>
      <c r="B626" s="104" t="s">
        <v>794</v>
      </c>
      <c r="C626" s="107">
        <v>95.1</v>
      </c>
      <c r="D626" s="107">
        <v>0</v>
      </c>
      <c r="E626" s="109">
        <v>20.2</v>
      </c>
    </row>
    <row r="627" spans="1:5" ht="22.5" customHeight="1">
      <c r="A627" s="101">
        <v>401006</v>
      </c>
      <c r="B627" s="104" t="s">
        <v>795</v>
      </c>
      <c r="C627" s="107">
        <v>95.1</v>
      </c>
      <c r="D627" s="107">
        <v>0</v>
      </c>
      <c r="E627" s="109">
        <v>20.2</v>
      </c>
    </row>
    <row r="628" spans="1:5" ht="22.5" customHeight="1">
      <c r="A628" s="101">
        <v>402001</v>
      </c>
      <c r="B628" s="104" t="s">
        <v>796</v>
      </c>
      <c r="C628" s="107">
        <v>89.8</v>
      </c>
      <c r="D628" s="107">
        <v>0</v>
      </c>
      <c r="E628" s="109">
        <v>25.4</v>
      </c>
    </row>
    <row r="629" spans="1:5" ht="22.5" customHeight="1">
      <c r="A629" s="101">
        <v>403000</v>
      </c>
      <c r="B629" s="104" t="s">
        <v>2184</v>
      </c>
      <c r="C629" s="107">
        <v>87</v>
      </c>
      <c r="D629" s="107">
        <v>0</v>
      </c>
      <c r="E629" s="109">
        <v>27.1</v>
      </c>
    </row>
    <row r="630" spans="1:5" ht="22.5" customHeight="1">
      <c r="A630" s="101">
        <v>410000</v>
      </c>
      <c r="B630" s="104" t="s">
        <v>171</v>
      </c>
      <c r="C630" s="107">
        <v>84.1</v>
      </c>
      <c r="D630" s="107">
        <v>0</v>
      </c>
      <c r="E630" s="109">
        <v>28.5</v>
      </c>
    </row>
    <row r="631" spans="1:5" ht="22.5" customHeight="1">
      <c r="A631" s="101">
        <v>410001</v>
      </c>
      <c r="B631" s="104" t="s">
        <v>803</v>
      </c>
      <c r="C631" s="107">
        <v>84.1</v>
      </c>
      <c r="D631" s="107">
        <v>0</v>
      </c>
      <c r="E631" s="109">
        <v>28.5</v>
      </c>
    </row>
    <row r="632" spans="1:5" ht="22.5" customHeight="1">
      <c r="A632" s="101">
        <v>451101</v>
      </c>
      <c r="B632" s="104" t="s">
        <v>815</v>
      </c>
      <c r="C632" s="107">
        <v>91.6</v>
      </c>
      <c r="D632" s="107">
        <v>0</v>
      </c>
      <c r="E632" s="109">
        <v>10.6</v>
      </c>
    </row>
    <row r="633" spans="1:5" ht="22.5" customHeight="1">
      <c r="A633" s="101">
        <v>451102</v>
      </c>
      <c r="B633" s="104" t="s">
        <v>816</v>
      </c>
      <c r="C633" s="107">
        <v>91</v>
      </c>
      <c r="D633" s="107">
        <v>0</v>
      </c>
      <c r="E633" s="109">
        <v>14.9</v>
      </c>
    </row>
    <row r="634" spans="1:5" ht="22.5" customHeight="1">
      <c r="A634" s="101">
        <v>451103</v>
      </c>
      <c r="B634" s="104" t="s">
        <v>816</v>
      </c>
      <c r="C634" s="107">
        <v>87.6</v>
      </c>
      <c r="D634" s="107">
        <v>0</v>
      </c>
      <c r="E634" s="109">
        <v>13.5</v>
      </c>
    </row>
    <row r="635" spans="1:5" ht="22.5" customHeight="1">
      <c r="A635" s="101">
        <v>451104</v>
      </c>
      <c r="B635" s="104" t="s">
        <v>817</v>
      </c>
      <c r="C635" s="107">
        <v>91.2</v>
      </c>
      <c r="D635" s="107">
        <v>0</v>
      </c>
      <c r="E635" s="109">
        <v>11.8</v>
      </c>
    </row>
    <row r="636" spans="1:5" ht="22.5" customHeight="1">
      <c r="A636" s="101">
        <v>451105</v>
      </c>
      <c r="B636" s="104" t="s">
        <v>4395</v>
      </c>
      <c r="C636" s="107">
        <v>91.6</v>
      </c>
      <c r="D636" s="107">
        <v>0</v>
      </c>
      <c r="E636" s="109">
        <v>11.8</v>
      </c>
    </row>
    <row r="637" spans="1:5" ht="22.5" customHeight="1">
      <c r="A637" s="101">
        <v>451106</v>
      </c>
      <c r="B637" s="104" t="s">
        <v>818</v>
      </c>
      <c r="C637" s="107">
        <v>91.6</v>
      </c>
      <c r="D637" s="107">
        <v>0</v>
      </c>
      <c r="E637" s="109">
        <v>12.2</v>
      </c>
    </row>
    <row r="638" spans="1:5" ht="22.5" customHeight="1">
      <c r="A638" s="101">
        <v>451107</v>
      </c>
      <c r="B638" s="104" t="s">
        <v>819</v>
      </c>
      <c r="C638" s="107">
        <v>91.6</v>
      </c>
      <c r="D638" s="107">
        <v>0</v>
      </c>
      <c r="E638" s="109">
        <v>8</v>
      </c>
    </row>
    <row r="639" spans="1:5" ht="22.5" customHeight="1">
      <c r="A639" s="101">
        <v>451108</v>
      </c>
      <c r="B639" s="104" t="s">
        <v>820</v>
      </c>
      <c r="C639" s="107">
        <v>91.2</v>
      </c>
      <c r="D639" s="107">
        <v>0</v>
      </c>
      <c r="E639" s="109">
        <v>12</v>
      </c>
    </row>
    <row r="640" spans="1:5" ht="22.5" customHeight="1">
      <c r="A640" s="101">
        <v>451109</v>
      </c>
      <c r="B640" s="104" t="s">
        <v>821</v>
      </c>
      <c r="C640" s="107">
        <v>91.2</v>
      </c>
      <c r="D640" s="107">
        <v>0</v>
      </c>
      <c r="E640" s="109">
        <v>16.899999999999999</v>
      </c>
    </row>
    <row r="641" spans="1:5" ht="22.5" customHeight="1">
      <c r="A641" s="101">
        <v>451200</v>
      </c>
      <c r="B641" s="104" t="s">
        <v>822</v>
      </c>
      <c r="C641" s="107">
        <v>89.6</v>
      </c>
      <c r="D641" s="107">
        <v>0</v>
      </c>
      <c r="E641" s="109">
        <v>13.4</v>
      </c>
    </row>
    <row r="642" spans="1:5" ht="22.5" customHeight="1">
      <c r="A642" s="101">
        <v>451204</v>
      </c>
      <c r="B642" s="104" t="s">
        <v>823</v>
      </c>
      <c r="C642" s="107">
        <v>89.6</v>
      </c>
      <c r="D642" s="107">
        <v>0</v>
      </c>
      <c r="E642" s="109">
        <v>14.5</v>
      </c>
    </row>
    <row r="643" spans="1:5" ht="22.5" customHeight="1">
      <c r="A643" s="101">
        <v>451205</v>
      </c>
      <c r="B643" s="104" t="s">
        <v>824</v>
      </c>
      <c r="C643" s="107">
        <v>89.6</v>
      </c>
      <c r="D643" s="107">
        <v>0</v>
      </c>
      <c r="E643" s="109">
        <v>15.9</v>
      </c>
    </row>
    <row r="644" spans="1:5" ht="22.5" customHeight="1">
      <c r="A644" s="101">
        <v>451206</v>
      </c>
      <c r="B644" s="104" t="s">
        <v>825</v>
      </c>
      <c r="C644" s="107">
        <v>89.6</v>
      </c>
      <c r="D644" s="107">
        <v>0</v>
      </c>
      <c r="E644" s="109">
        <v>13.4</v>
      </c>
    </row>
    <row r="645" spans="1:5" ht="22.5" customHeight="1">
      <c r="A645" s="101">
        <v>451207</v>
      </c>
      <c r="B645" s="104" t="s">
        <v>826</v>
      </c>
      <c r="C645" s="107">
        <v>89.6</v>
      </c>
      <c r="D645" s="107">
        <v>0</v>
      </c>
      <c r="E645" s="109">
        <v>13.4</v>
      </c>
    </row>
    <row r="646" spans="1:5" ht="22.5" customHeight="1">
      <c r="A646" s="101">
        <v>451208</v>
      </c>
      <c r="B646" s="104" t="s">
        <v>827</v>
      </c>
      <c r="C646" s="107">
        <v>89.6</v>
      </c>
      <c r="D646" s="107">
        <v>0</v>
      </c>
      <c r="E646" s="109">
        <v>13.4</v>
      </c>
    </row>
    <row r="647" spans="1:5" ht="22.5" customHeight="1">
      <c r="A647" s="101">
        <v>451300</v>
      </c>
      <c r="B647" s="104" t="s">
        <v>828</v>
      </c>
      <c r="C647" s="107">
        <v>87.7</v>
      </c>
      <c r="D647" s="107">
        <v>0</v>
      </c>
      <c r="E647" s="109">
        <v>13.4</v>
      </c>
    </row>
    <row r="648" spans="1:5" ht="22.5" customHeight="1">
      <c r="A648" s="101">
        <v>451400</v>
      </c>
      <c r="B648" s="104" t="s">
        <v>172</v>
      </c>
      <c r="C648" s="107">
        <v>91</v>
      </c>
      <c r="D648" s="107">
        <v>0</v>
      </c>
      <c r="E648" s="109">
        <v>11.5</v>
      </c>
    </row>
    <row r="649" spans="1:5" ht="22.5" customHeight="1">
      <c r="A649" s="101">
        <v>452101</v>
      </c>
      <c r="B649" s="104" t="s">
        <v>829</v>
      </c>
      <c r="C649" s="107">
        <v>92.8</v>
      </c>
      <c r="D649" s="107">
        <v>0</v>
      </c>
      <c r="E649" s="109">
        <v>11.1</v>
      </c>
    </row>
    <row r="650" spans="1:5" ht="22.5" customHeight="1">
      <c r="A650" s="101">
        <v>452102</v>
      </c>
      <c r="B650" s="104" t="s">
        <v>830</v>
      </c>
      <c r="C650" s="107">
        <v>92.5</v>
      </c>
      <c r="D650" s="107">
        <v>0</v>
      </c>
      <c r="E650" s="109">
        <v>11.4</v>
      </c>
    </row>
    <row r="651" spans="1:5" ht="22.5" customHeight="1">
      <c r="A651" s="101">
        <v>452103</v>
      </c>
      <c r="B651" s="104" t="s">
        <v>831</v>
      </c>
      <c r="C651" s="107">
        <v>91.1</v>
      </c>
      <c r="D651" s="107">
        <v>0</v>
      </c>
      <c r="E651" s="109">
        <v>14.4</v>
      </c>
    </row>
    <row r="652" spans="1:5" ht="22.5" customHeight="1">
      <c r="A652" s="101">
        <v>452104</v>
      </c>
      <c r="B652" s="104" t="s">
        <v>832</v>
      </c>
      <c r="C652" s="107">
        <v>91.2</v>
      </c>
      <c r="D652" s="107">
        <v>0</v>
      </c>
      <c r="E652" s="109">
        <v>11.3</v>
      </c>
    </row>
    <row r="653" spans="1:5" ht="22.5" customHeight="1">
      <c r="A653" s="101">
        <v>452105</v>
      </c>
      <c r="B653" s="104" t="s">
        <v>833</v>
      </c>
      <c r="C653" s="107">
        <v>88.7</v>
      </c>
      <c r="D653" s="107">
        <v>0</v>
      </c>
      <c r="E653" s="109">
        <v>11.2</v>
      </c>
    </row>
    <row r="654" spans="1:5" ht="22.5" customHeight="1">
      <c r="A654" s="101">
        <v>452106</v>
      </c>
      <c r="B654" s="104" t="s">
        <v>833</v>
      </c>
      <c r="C654" s="107">
        <v>88.2</v>
      </c>
      <c r="D654" s="107">
        <v>0</v>
      </c>
      <c r="E654" s="109">
        <v>10.7</v>
      </c>
    </row>
    <row r="655" spans="1:5" ht="22.5" customHeight="1">
      <c r="A655" s="101">
        <v>452107</v>
      </c>
      <c r="B655" s="104" t="s">
        <v>833</v>
      </c>
      <c r="C655" s="107">
        <v>91.2</v>
      </c>
      <c r="D655" s="107">
        <v>0</v>
      </c>
      <c r="E655" s="109">
        <v>10.4</v>
      </c>
    </row>
    <row r="656" spans="1:5" ht="22.5" customHeight="1">
      <c r="A656" s="101">
        <v>452108</v>
      </c>
      <c r="B656" s="104" t="s">
        <v>834</v>
      </c>
      <c r="C656" s="107">
        <v>91.4</v>
      </c>
      <c r="D656" s="107">
        <v>0</v>
      </c>
      <c r="E656" s="109">
        <v>15</v>
      </c>
    </row>
    <row r="657" spans="1:5" ht="22.5" customHeight="1">
      <c r="A657" s="101">
        <v>452109</v>
      </c>
      <c r="B657" s="104" t="s">
        <v>835</v>
      </c>
      <c r="C657" s="107">
        <v>92.2</v>
      </c>
      <c r="D657" s="107">
        <v>0</v>
      </c>
      <c r="E657" s="109">
        <v>11.2</v>
      </c>
    </row>
    <row r="658" spans="1:5" ht="22.5" customHeight="1">
      <c r="A658" s="101">
        <v>452110</v>
      </c>
      <c r="B658" s="104" t="s">
        <v>836</v>
      </c>
      <c r="C658" s="107">
        <v>92.8</v>
      </c>
      <c r="D658" s="107">
        <v>0</v>
      </c>
      <c r="E658" s="109">
        <v>15.2</v>
      </c>
    </row>
    <row r="659" spans="1:5" ht="22.5" customHeight="1">
      <c r="A659" s="101">
        <v>452111</v>
      </c>
      <c r="B659" s="104" t="s">
        <v>837</v>
      </c>
      <c r="C659" s="107">
        <v>90.7</v>
      </c>
      <c r="D659" s="107">
        <v>0</v>
      </c>
      <c r="E659" s="109">
        <v>14.1</v>
      </c>
    </row>
    <row r="660" spans="1:5" ht="22.5" customHeight="1">
      <c r="A660" s="101">
        <v>452112</v>
      </c>
      <c r="B660" s="104" t="s">
        <v>831</v>
      </c>
      <c r="C660" s="107">
        <v>92.8</v>
      </c>
      <c r="D660" s="107">
        <v>0</v>
      </c>
      <c r="E660" s="109">
        <v>19</v>
      </c>
    </row>
    <row r="661" spans="1:5" ht="22.5" customHeight="1">
      <c r="A661" s="101">
        <v>452113</v>
      </c>
      <c r="B661" s="104" t="s">
        <v>838</v>
      </c>
      <c r="C661" s="107">
        <v>92.8</v>
      </c>
      <c r="D661" s="107">
        <v>0</v>
      </c>
      <c r="E661" s="109">
        <v>13.5</v>
      </c>
    </row>
    <row r="662" spans="1:5" ht="22.5" customHeight="1">
      <c r="A662" s="101">
        <v>452114</v>
      </c>
      <c r="B662" s="104" t="s">
        <v>839</v>
      </c>
      <c r="C662" s="107">
        <v>92.8</v>
      </c>
      <c r="D662" s="107">
        <v>0</v>
      </c>
      <c r="E662" s="109">
        <v>11.2</v>
      </c>
    </row>
    <row r="663" spans="1:5" ht="22.5" customHeight="1">
      <c r="A663" s="101">
        <v>452115</v>
      </c>
      <c r="B663" s="104" t="s">
        <v>840</v>
      </c>
      <c r="C663" s="107">
        <v>92.8</v>
      </c>
      <c r="D663" s="107">
        <v>0</v>
      </c>
      <c r="E663" s="109">
        <v>12.2</v>
      </c>
    </row>
    <row r="664" spans="1:5" ht="22.5" customHeight="1">
      <c r="A664" s="101">
        <v>452116</v>
      </c>
      <c r="B664" s="104" t="s">
        <v>841</v>
      </c>
      <c r="C664" s="107">
        <v>92.8</v>
      </c>
      <c r="D664" s="107">
        <v>0</v>
      </c>
      <c r="E664" s="109">
        <v>12.8</v>
      </c>
    </row>
    <row r="665" spans="1:5" ht="22.5" customHeight="1">
      <c r="A665" s="101">
        <v>452117</v>
      </c>
      <c r="B665" s="104" t="s">
        <v>842</v>
      </c>
      <c r="C665" s="107">
        <v>92.5</v>
      </c>
      <c r="D665" s="107">
        <v>0</v>
      </c>
      <c r="E665" s="109">
        <v>15.8</v>
      </c>
    </row>
    <row r="666" spans="1:5" ht="22.5" customHeight="1">
      <c r="A666" s="101">
        <v>452118</v>
      </c>
      <c r="B666" s="104" t="s">
        <v>843</v>
      </c>
      <c r="C666" s="107">
        <v>92.5</v>
      </c>
      <c r="D666" s="107">
        <v>0</v>
      </c>
      <c r="E666" s="109">
        <v>12.7</v>
      </c>
    </row>
    <row r="667" spans="1:5" ht="22.5" customHeight="1">
      <c r="A667" s="101">
        <v>452119</v>
      </c>
      <c r="B667" s="104" t="s">
        <v>844</v>
      </c>
      <c r="C667" s="107">
        <v>92.5</v>
      </c>
      <c r="D667" s="107">
        <v>0</v>
      </c>
      <c r="E667" s="109">
        <v>14.6</v>
      </c>
    </row>
    <row r="668" spans="1:5" ht="22.5" customHeight="1">
      <c r="A668" s="101">
        <v>452120</v>
      </c>
      <c r="B668" s="104" t="s">
        <v>845</v>
      </c>
      <c r="C668" s="107">
        <v>92.5</v>
      </c>
      <c r="D668" s="107">
        <v>0</v>
      </c>
      <c r="E668" s="109">
        <v>15.8</v>
      </c>
    </row>
    <row r="669" spans="1:5" ht="22.5" customHeight="1">
      <c r="A669" s="101">
        <v>452121</v>
      </c>
      <c r="B669" s="104" t="s">
        <v>846</v>
      </c>
      <c r="C669" s="107">
        <v>92.5</v>
      </c>
      <c r="D669" s="107">
        <v>0</v>
      </c>
      <c r="E669" s="109">
        <v>14.9</v>
      </c>
    </row>
    <row r="670" spans="1:5" ht="22.5" customHeight="1">
      <c r="A670" s="101">
        <v>452122</v>
      </c>
      <c r="B670" s="104" t="s">
        <v>847</v>
      </c>
      <c r="C670" s="107">
        <v>91.1</v>
      </c>
      <c r="D670" s="107">
        <v>0</v>
      </c>
      <c r="E670" s="109">
        <v>16.899999999999999</v>
      </c>
    </row>
    <row r="671" spans="1:5" ht="22.5" customHeight="1">
      <c r="A671" s="101">
        <v>452123</v>
      </c>
      <c r="B671" s="104" t="s">
        <v>848</v>
      </c>
      <c r="C671" s="107">
        <v>91.1</v>
      </c>
      <c r="D671" s="107">
        <v>0</v>
      </c>
      <c r="E671" s="109">
        <v>11.6</v>
      </c>
    </row>
    <row r="672" spans="1:5" ht="22.5" customHeight="1">
      <c r="A672" s="101">
        <v>452124</v>
      </c>
      <c r="B672" s="104" t="s">
        <v>849</v>
      </c>
      <c r="C672" s="107">
        <v>91.2</v>
      </c>
      <c r="D672" s="107">
        <v>0</v>
      </c>
      <c r="E672" s="109">
        <v>14.3</v>
      </c>
    </row>
    <row r="673" spans="1:5" ht="22.5" customHeight="1">
      <c r="A673" s="101">
        <v>452125</v>
      </c>
      <c r="B673" s="104" t="s">
        <v>850</v>
      </c>
      <c r="C673" s="107">
        <v>91.2</v>
      </c>
      <c r="D673" s="107">
        <v>0</v>
      </c>
      <c r="E673" s="109">
        <v>14.2</v>
      </c>
    </row>
    <row r="674" spans="1:5" ht="22.5" customHeight="1">
      <c r="A674" s="101">
        <v>452126</v>
      </c>
      <c r="B674" s="104" t="s">
        <v>851</v>
      </c>
      <c r="C674" s="107">
        <v>91.2</v>
      </c>
      <c r="D674" s="107">
        <v>0</v>
      </c>
      <c r="E674" s="109">
        <v>12.7</v>
      </c>
    </row>
    <row r="675" spans="1:5" ht="22.5" customHeight="1">
      <c r="A675" s="101">
        <v>452127</v>
      </c>
      <c r="B675" s="104" t="s">
        <v>852</v>
      </c>
      <c r="C675" s="107">
        <v>91.2</v>
      </c>
      <c r="D675" s="107">
        <v>0</v>
      </c>
      <c r="E675" s="109">
        <v>16.7</v>
      </c>
    </row>
    <row r="676" spans="1:5" ht="22.5" customHeight="1">
      <c r="A676" s="101">
        <v>452128</v>
      </c>
      <c r="B676" s="104" t="s">
        <v>853</v>
      </c>
      <c r="C676" s="107">
        <v>91.2</v>
      </c>
      <c r="D676" s="107">
        <v>0</v>
      </c>
      <c r="E676" s="109">
        <v>17.8</v>
      </c>
    </row>
    <row r="677" spans="1:5" ht="22.5" customHeight="1">
      <c r="A677" s="101">
        <v>452129</v>
      </c>
      <c r="B677" s="104" t="s">
        <v>854</v>
      </c>
      <c r="C677" s="107">
        <v>88.7</v>
      </c>
      <c r="D677" s="107">
        <v>0</v>
      </c>
      <c r="E677" s="109">
        <v>12.3</v>
      </c>
    </row>
    <row r="678" spans="1:5" ht="22.5" customHeight="1">
      <c r="A678" s="101">
        <v>452130</v>
      </c>
      <c r="B678" s="104" t="s">
        <v>855</v>
      </c>
      <c r="C678" s="107">
        <v>91.4</v>
      </c>
      <c r="D678" s="107">
        <v>0</v>
      </c>
      <c r="E678" s="109">
        <v>11.9</v>
      </c>
    </row>
    <row r="679" spans="1:5" ht="22.5" customHeight="1">
      <c r="A679" s="101">
        <v>452131</v>
      </c>
      <c r="B679" s="104" t="s">
        <v>856</v>
      </c>
      <c r="C679" s="107">
        <v>90.7</v>
      </c>
      <c r="D679" s="107">
        <v>0</v>
      </c>
      <c r="E679" s="109">
        <v>12.8</v>
      </c>
    </row>
    <row r="680" spans="1:5" ht="22.5" customHeight="1">
      <c r="A680" s="101">
        <v>452132</v>
      </c>
      <c r="B680" s="104" t="s">
        <v>832</v>
      </c>
      <c r="C680" s="107">
        <v>90.7</v>
      </c>
      <c r="D680" s="107">
        <v>0</v>
      </c>
      <c r="E680" s="109">
        <v>12.1</v>
      </c>
    </row>
    <row r="681" spans="1:5" ht="22.5" customHeight="1">
      <c r="A681" s="101">
        <v>452200</v>
      </c>
      <c r="B681" s="104" t="s">
        <v>857</v>
      </c>
      <c r="C681" s="107">
        <v>93.4</v>
      </c>
      <c r="D681" s="107">
        <v>0</v>
      </c>
      <c r="E681" s="109">
        <v>14.2</v>
      </c>
    </row>
    <row r="682" spans="1:5" ht="22.5" customHeight="1">
      <c r="A682" s="101">
        <v>452201</v>
      </c>
      <c r="B682" s="104" t="s">
        <v>858</v>
      </c>
      <c r="C682" s="107">
        <v>93.4</v>
      </c>
      <c r="D682" s="107">
        <v>0</v>
      </c>
      <c r="E682" s="109">
        <v>17.2</v>
      </c>
    </row>
    <row r="683" spans="1:5" ht="22.5" customHeight="1">
      <c r="A683" s="101">
        <v>453000</v>
      </c>
      <c r="B683" s="104" t="s">
        <v>173</v>
      </c>
      <c r="C683" s="107">
        <v>89.7</v>
      </c>
      <c r="D683" s="107">
        <v>0</v>
      </c>
      <c r="E683" s="109">
        <v>27.3</v>
      </c>
    </row>
    <row r="684" spans="1:5" ht="22.5" customHeight="1">
      <c r="A684" s="101">
        <v>501101</v>
      </c>
      <c r="B684" s="104" t="s">
        <v>174</v>
      </c>
      <c r="C684" s="107">
        <v>91.3</v>
      </c>
      <c r="D684" s="107">
        <v>0</v>
      </c>
      <c r="E684" s="109">
        <v>9.1</v>
      </c>
    </row>
    <row r="685" spans="1:5" ht="22.5" customHeight="1">
      <c r="A685" s="101">
        <v>501103</v>
      </c>
      <c r="B685" s="104" t="s">
        <v>175</v>
      </c>
      <c r="C685" s="107">
        <v>91.3</v>
      </c>
      <c r="D685" s="107">
        <v>0</v>
      </c>
      <c r="E685" s="109">
        <v>5.6</v>
      </c>
    </row>
    <row r="686" spans="1:5" ht="22.5" customHeight="1">
      <c r="A686" s="101">
        <v>501201</v>
      </c>
      <c r="B686" s="104" t="s">
        <v>174</v>
      </c>
      <c r="C686" s="107">
        <v>92.2</v>
      </c>
      <c r="D686" s="107">
        <v>0</v>
      </c>
      <c r="E686" s="109">
        <v>3.8</v>
      </c>
    </row>
    <row r="687" spans="1:5" ht="22.5" customHeight="1">
      <c r="A687" s="101">
        <v>501202</v>
      </c>
      <c r="B687" s="104" t="s">
        <v>175</v>
      </c>
      <c r="C687" s="107">
        <v>91.8</v>
      </c>
      <c r="D687" s="107">
        <v>0</v>
      </c>
      <c r="E687" s="109">
        <v>1.5</v>
      </c>
    </row>
    <row r="688" spans="1:5" ht="22.5" customHeight="1">
      <c r="A688" s="101">
        <v>501301</v>
      </c>
      <c r="B688" s="104" t="s">
        <v>174</v>
      </c>
      <c r="C688" s="107">
        <v>80.3</v>
      </c>
      <c r="D688" s="107">
        <v>0</v>
      </c>
      <c r="E688" s="109">
        <v>27.5</v>
      </c>
    </row>
    <row r="689" spans="1:5" ht="22.5" customHeight="1">
      <c r="A689" s="101">
        <v>501302</v>
      </c>
      <c r="B689" s="104" t="s">
        <v>174</v>
      </c>
      <c r="C689" s="107">
        <v>80.900000000000006</v>
      </c>
      <c r="D689" s="107">
        <v>0</v>
      </c>
      <c r="E689" s="109">
        <v>30.4</v>
      </c>
    </row>
    <row r="690" spans="1:5" ht="22.5" customHeight="1">
      <c r="A690" s="101">
        <v>501303</v>
      </c>
      <c r="B690" s="104" t="s">
        <v>175</v>
      </c>
      <c r="C690" s="107">
        <v>82</v>
      </c>
      <c r="D690" s="107">
        <v>0</v>
      </c>
      <c r="E690" s="109">
        <v>21.6</v>
      </c>
    </row>
    <row r="691" spans="1:5" ht="22.5" customHeight="1">
      <c r="A691" s="101">
        <v>503001</v>
      </c>
      <c r="B691" s="104" t="s">
        <v>859</v>
      </c>
      <c r="C691" s="107">
        <v>93.9</v>
      </c>
      <c r="D691" s="107">
        <v>0</v>
      </c>
      <c r="E691" s="109">
        <v>4.5</v>
      </c>
    </row>
    <row r="692" spans="1:5" ht="22.5" customHeight="1">
      <c r="A692" s="101">
        <v>503002</v>
      </c>
      <c r="B692" s="104" t="s">
        <v>859</v>
      </c>
      <c r="C692" s="107">
        <v>90.3</v>
      </c>
      <c r="D692" s="107">
        <v>0</v>
      </c>
      <c r="E692" s="109">
        <v>5.3</v>
      </c>
    </row>
    <row r="693" spans="1:5" ht="22.5" customHeight="1">
      <c r="A693" s="101">
        <v>503003</v>
      </c>
      <c r="B693" s="104" t="s">
        <v>860</v>
      </c>
      <c r="C693" s="107">
        <v>91.2</v>
      </c>
      <c r="D693" s="107">
        <v>0</v>
      </c>
      <c r="E693" s="109">
        <v>4.3</v>
      </c>
    </row>
    <row r="694" spans="1:5" ht="22.5" customHeight="1">
      <c r="A694" s="101">
        <v>503004</v>
      </c>
      <c r="B694" s="104" t="s">
        <v>860</v>
      </c>
      <c r="C694" s="107">
        <v>86.5</v>
      </c>
      <c r="D694" s="107">
        <v>0</v>
      </c>
      <c r="E694" s="109">
        <v>5.4</v>
      </c>
    </row>
    <row r="695" spans="1:5" ht="22.5" customHeight="1">
      <c r="A695" s="101">
        <v>503005</v>
      </c>
      <c r="B695" s="104" t="s">
        <v>861</v>
      </c>
      <c r="C695" s="107">
        <v>84.6</v>
      </c>
      <c r="D695" s="107">
        <v>0</v>
      </c>
      <c r="E695" s="109">
        <v>7.3</v>
      </c>
    </row>
    <row r="696" spans="1:5" ht="22.5" customHeight="1">
      <c r="A696" s="101">
        <v>503006</v>
      </c>
      <c r="B696" s="104" t="s">
        <v>862</v>
      </c>
      <c r="C696" s="107">
        <v>91.2</v>
      </c>
      <c r="D696" s="107">
        <v>0</v>
      </c>
      <c r="E696" s="109">
        <v>4.4000000000000004</v>
      </c>
    </row>
    <row r="697" spans="1:5" ht="22.5" customHeight="1">
      <c r="A697" s="101">
        <v>503007</v>
      </c>
      <c r="B697" s="104" t="s">
        <v>863</v>
      </c>
      <c r="C697" s="107">
        <v>91.2</v>
      </c>
      <c r="D697" s="107">
        <v>0</v>
      </c>
      <c r="E697" s="109">
        <v>7.8</v>
      </c>
    </row>
    <row r="698" spans="1:5" ht="22.5" customHeight="1">
      <c r="A698" s="101">
        <v>503008</v>
      </c>
      <c r="B698" s="104" t="s">
        <v>861</v>
      </c>
      <c r="C698" s="107">
        <v>91.2</v>
      </c>
      <c r="D698" s="107">
        <v>0</v>
      </c>
      <c r="E698" s="109">
        <v>4.7</v>
      </c>
    </row>
    <row r="699" spans="1:5" ht="22.5" customHeight="1">
      <c r="A699" s="101">
        <v>503009</v>
      </c>
      <c r="B699" s="104" t="s">
        <v>862</v>
      </c>
      <c r="C699" s="107">
        <v>86.5</v>
      </c>
      <c r="D699" s="107">
        <v>0</v>
      </c>
      <c r="E699" s="109">
        <v>5.4</v>
      </c>
    </row>
    <row r="700" spans="1:5" ht="22.5" customHeight="1">
      <c r="A700" s="101">
        <v>503010</v>
      </c>
      <c r="B700" s="104" t="s">
        <v>863</v>
      </c>
      <c r="C700" s="107">
        <v>86.5</v>
      </c>
      <c r="D700" s="107">
        <v>0</v>
      </c>
      <c r="E700" s="109">
        <v>4.9000000000000004</v>
      </c>
    </row>
    <row r="701" spans="1:5" ht="22.5" customHeight="1">
      <c r="A701" s="101">
        <v>503013</v>
      </c>
      <c r="B701" s="104" t="s">
        <v>861</v>
      </c>
      <c r="C701" s="107">
        <v>86.5</v>
      </c>
      <c r="D701" s="107">
        <v>0</v>
      </c>
      <c r="E701" s="109">
        <v>4.8</v>
      </c>
    </row>
    <row r="702" spans="1:5" ht="22.5" customHeight="1">
      <c r="A702" s="101">
        <v>504001</v>
      </c>
      <c r="B702" s="104" t="s">
        <v>176</v>
      </c>
      <c r="C702" s="107">
        <v>93.7</v>
      </c>
      <c r="D702" s="107">
        <v>0</v>
      </c>
      <c r="E702" s="109">
        <v>3.1</v>
      </c>
    </row>
    <row r="703" spans="1:5" ht="22.5" customHeight="1">
      <c r="A703" s="101">
        <v>504002</v>
      </c>
      <c r="B703" s="104" t="s">
        <v>177</v>
      </c>
      <c r="C703" s="107">
        <v>88.7</v>
      </c>
      <c r="D703" s="107">
        <v>0</v>
      </c>
      <c r="E703" s="109">
        <v>3.9</v>
      </c>
    </row>
    <row r="704" spans="1:5" ht="22.5" customHeight="1">
      <c r="A704" s="101">
        <v>505001</v>
      </c>
      <c r="B704" s="104" t="s">
        <v>864</v>
      </c>
      <c r="C704" s="107">
        <v>96.4</v>
      </c>
      <c r="D704" s="107">
        <v>0</v>
      </c>
      <c r="E704" s="109">
        <v>1.6</v>
      </c>
    </row>
    <row r="705" spans="1:5" ht="22.5" customHeight="1">
      <c r="A705" s="101">
        <v>505002</v>
      </c>
      <c r="B705" s="104" t="s">
        <v>865</v>
      </c>
      <c r="C705" s="107">
        <v>94.3</v>
      </c>
      <c r="D705" s="107">
        <v>0</v>
      </c>
      <c r="E705" s="109">
        <v>4.4000000000000004</v>
      </c>
    </row>
    <row r="706" spans="1:5" ht="22.5" customHeight="1">
      <c r="A706" s="101">
        <v>511111</v>
      </c>
      <c r="B706" s="104" t="s">
        <v>866</v>
      </c>
      <c r="C706" s="107">
        <v>86.2</v>
      </c>
      <c r="D706" s="107">
        <v>0</v>
      </c>
      <c r="E706" s="109">
        <v>4.7</v>
      </c>
    </row>
    <row r="707" spans="1:5" ht="22.5" customHeight="1">
      <c r="A707" s="101">
        <v>511112</v>
      </c>
      <c r="B707" s="104" t="s">
        <v>866</v>
      </c>
      <c r="C707" s="107">
        <v>84</v>
      </c>
      <c r="D707" s="107">
        <v>0</v>
      </c>
      <c r="E707" s="109">
        <v>18.7</v>
      </c>
    </row>
    <row r="708" spans="1:5" ht="22.5" customHeight="1">
      <c r="A708" s="101">
        <v>511113</v>
      </c>
      <c r="B708" s="104" t="s">
        <v>867</v>
      </c>
      <c r="C708" s="107">
        <v>86.5</v>
      </c>
      <c r="D708" s="107">
        <v>0</v>
      </c>
      <c r="E708" s="109">
        <v>6.7</v>
      </c>
    </row>
    <row r="709" spans="1:5" ht="22.5" customHeight="1">
      <c r="A709" s="101">
        <v>511114</v>
      </c>
      <c r="B709" s="104" t="s">
        <v>867</v>
      </c>
      <c r="C709" s="107">
        <v>86.4</v>
      </c>
      <c r="D709" s="107">
        <v>0</v>
      </c>
      <c r="E709" s="109">
        <v>5.2</v>
      </c>
    </row>
    <row r="710" spans="1:5" ht="22.5" customHeight="1">
      <c r="A710" s="101">
        <v>511115</v>
      </c>
      <c r="B710" s="104" t="s">
        <v>4396</v>
      </c>
      <c r="C710" s="107">
        <v>80.400000000000006</v>
      </c>
      <c r="D710" s="107">
        <v>0</v>
      </c>
      <c r="E710" s="109">
        <v>17.3</v>
      </c>
    </row>
    <row r="711" spans="1:5" ht="22.5" customHeight="1">
      <c r="A711" s="101">
        <v>511116</v>
      </c>
      <c r="B711" s="104" t="s">
        <v>4397</v>
      </c>
      <c r="C711" s="107">
        <v>82.4</v>
      </c>
      <c r="D711" s="107">
        <v>0</v>
      </c>
      <c r="E711" s="109">
        <v>18.100000000000001</v>
      </c>
    </row>
    <row r="712" spans="1:5" ht="22.5" customHeight="1">
      <c r="A712" s="101">
        <v>511117</v>
      </c>
      <c r="B712" s="104" t="s">
        <v>4398</v>
      </c>
      <c r="C712" s="107">
        <v>79</v>
      </c>
      <c r="D712" s="107">
        <v>0</v>
      </c>
      <c r="E712" s="109">
        <v>20.5</v>
      </c>
    </row>
    <row r="713" spans="1:5" ht="22.5" customHeight="1">
      <c r="A713" s="101">
        <v>511118</v>
      </c>
      <c r="B713" s="104" t="s">
        <v>867</v>
      </c>
      <c r="C713" s="107">
        <v>80.900000000000006</v>
      </c>
      <c r="D713" s="107">
        <v>0</v>
      </c>
      <c r="E713" s="109">
        <v>13.7</v>
      </c>
    </row>
    <row r="714" spans="1:5" ht="22.5" customHeight="1">
      <c r="A714" s="101">
        <v>511119</v>
      </c>
      <c r="B714" s="104" t="s">
        <v>4397</v>
      </c>
      <c r="C714" s="107">
        <v>78</v>
      </c>
      <c r="D714" s="107">
        <v>0</v>
      </c>
      <c r="E714" s="109">
        <v>23.1</v>
      </c>
    </row>
    <row r="715" spans="1:5" ht="22.5" customHeight="1">
      <c r="A715" s="101">
        <v>511121</v>
      </c>
      <c r="B715" s="104" t="s">
        <v>867</v>
      </c>
      <c r="C715" s="107">
        <v>88.6</v>
      </c>
      <c r="D715" s="107">
        <v>0</v>
      </c>
      <c r="E715" s="109">
        <v>5.0999999999999996</v>
      </c>
    </row>
    <row r="716" spans="1:5" ht="22.5" customHeight="1">
      <c r="A716" s="101">
        <v>511122</v>
      </c>
      <c r="B716" s="104" t="s">
        <v>867</v>
      </c>
      <c r="C716" s="107">
        <v>86</v>
      </c>
      <c r="D716" s="107">
        <v>0</v>
      </c>
      <c r="E716" s="109">
        <v>4.5999999999999996</v>
      </c>
    </row>
    <row r="717" spans="1:5" ht="22.5" customHeight="1">
      <c r="A717" s="101">
        <v>511123</v>
      </c>
      <c r="B717" s="104" t="s">
        <v>867</v>
      </c>
      <c r="C717" s="107">
        <v>85.6</v>
      </c>
      <c r="D717" s="107">
        <v>0</v>
      </c>
      <c r="E717" s="109">
        <v>10.5</v>
      </c>
    </row>
    <row r="718" spans="1:5" ht="22.5" customHeight="1">
      <c r="A718" s="101">
        <v>512111</v>
      </c>
      <c r="B718" s="104" t="s">
        <v>868</v>
      </c>
      <c r="C718" s="107">
        <v>97.3</v>
      </c>
      <c r="D718" s="107">
        <v>0</v>
      </c>
      <c r="E718" s="109">
        <v>1.8</v>
      </c>
    </row>
    <row r="719" spans="1:5" ht="22.5" customHeight="1">
      <c r="A719" s="101">
        <v>512112</v>
      </c>
      <c r="B719" s="104" t="s">
        <v>868</v>
      </c>
      <c r="C719" s="107">
        <v>98.9</v>
      </c>
      <c r="D719" s="107">
        <v>0</v>
      </c>
      <c r="E719" s="109">
        <v>1.5</v>
      </c>
    </row>
    <row r="720" spans="1:5" ht="22.5" customHeight="1">
      <c r="A720" s="101">
        <v>512113</v>
      </c>
      <c r="B720" s="104" t="s">
        <v>178</v>
      </c>
      <c r="C720" s="107">
        <v>92</v>
      </c>
      <c r="D720" s="107">
        <v>0</v>
      </c>
      <c r="E720" s="109">
        <v>3.9</v>
      </c>
    </row>
    <row r="721" spans="1:5" ht="22.5" customHeight="1">
      <c r="A721" s="101">
        <v>512116</v>
      </c>
      <c r="B721" s="104" t="s">
        <v>182</v>
      </c>
      <c r="C721" s="107">
        <v>97.3</v>
      </c>
      <c r="D721" s="107">
        <v>0</v>
      </c>
      <c r="E721" s="109">
        <v>3.1</v>
      </c>
    </row>
    <row r="722" spans="1:5" ht="22.5" customHeight="1">
      <c r="A722" s="101">
        <v>512119</v>
      </c>
      <c r="B722" s="104" t="s">
        <v>868</v>
      </c>
      <c r="C722" s="107">
        <v>94.9</v>
      </c>
      <c r="D722" s="107">
        <v>0</v>
      </c>
      <c r="E722" s="109">
        <v>2.2999999999999998</v>
      </c>
    </row>
    <row r="723" spans="1:5" ht="22.5" customHeight="1">
      <c r="A723" s="101">
        <v>512120</v>
      </c>
      <c r="B723" s="104" t="s">
        <v>179</v>
      </c>
      <c r="C723" s="107">
        <v>94.5</v>
      </c>
      <c r="D723" s="107">
        <v>0</v>
      </c>
      <c r="E723" s="109">
        <v>4.7</v>
      </c>
    </row>
    <row r="724" spans="1:5" ht="22.5" customHeight="1">
      <c r="A724" s="101">
        <v>512131</v>
      </c>
      <c r="B724" s="104" t="s">
        <v>869</v>
      </c>
      <c r="C724" s="107">
        <v>89.8</v>
      </c>
      <c r="D724" s="107">
        <v>0</v>
      </c>
      <c r="E724" s="109">
        <v>5.6</v>
      </c>
    </row>
    <row r="725" spans="1:5" ht="22.5" customHeight="1">
      <c r="A725" s="101">
        <v>512132</v>
      </c>
      <c r="B725" s="104" t="s">
        <v>869</v>
      </c>
      <c r="C725" s="107">
        <v>92.6</v>
      </c>
      <c r="D725" s="107">
        <v>0</v>
      </c>
      <c r="E725" s="109">
        <v>4.5</v>
      </c>
    </row>
    <row r="726" spans="1:5" ht="22.5" customHeight="1">
      <c r="A726" s="101">
        <v>512133</v>
      </c>
      <c r="B726" s="104" t="s">
        <v>869</v>
      </c>
      <c r="C726" s="107">
        <v>96.3</v>
      </c>
      <c r="D726" s="107">
        <v>0</v>
      </c>
      <c r="E726" s="109">
        <v>2.9</v>
      </c>
    </row>
    <row r="727" spans="1:5" ht="22.5" customHeight="1">
      <c r="A727" s="101">
        <v>512135</v>
      </c>
      <c r="B727" s="104" t="s">
        <v>178</v>
      </c>
      <c r="C727" s="107">
        <v>89.8</v>
      </c>
      <c r="D727" s="107">
        <v>0</v>
      </c>
      <c r="E727" s="109">
        <v>5.4</v>
      </c>
    </row>
    <row r="728" spans="1:5" ht="22.5" customHeight="1">
      <c r="A728" s="101">
        <v>512140</v>
      </c>
      <c r="B728" s="104" t="s">
        <v>870</v>
      </c>
      <c r="C728" s="107">
        <v>97.3</v>
      </c>
      <c r="D728" s="107">
        <v>0</v>
      </c>
      <c r="E728" s="109">
        <v>3.1</v>
      </c>
    </row>
    <row r="729" spans="1:5" ht="22.5" customHeight="1">
      <c r="A729" s="101">
        <v>512190</v>
      </c>
      <c r="B729" s="104" t="s">
        <v>871</v>
      </c>
      <c r="C729" s="107">
        <v>93.9</v>
      </c>
      <c r="D729" s="107">
        <v>0</v>
      </c>
      <c r="E729" s="109">
        <v>4.2</v>
      </c>
    </row>
    <row r="730" spans="1:5" ht="22.5" customHeight="1">
      <c r="A730" s="101">
        <v>512192</v>
      </c>
      <c r="B730" s="104" t="s">
        <v>870</v>
      </c>
      <c r="C730" s="107">
        <v>93.9</v>
      </c>
      <c r="D730" s="107">
        <v>0</v>
      </c>
      <c r="E730" s="109">
        <v>4</v>
      </c>
    </row>
    <row r="731" spans="1:5" ht="22.5" customHeight="1">
      <c r="A731" s="101">
        <v>512211</v>
      </c>
      <c r="B731" s="104" t="s">
        <v>872</v>
      </c>
      <c r="C731" s="107">
        <v>95.9</v>
      </c>
      <c r="D731" s="107">
        <v>0</v>
      </c>
      <c r="E731" s="109">
        <v>2</v>
      </c>
    </row>
    <row r="732" spans="1:5" ht="22.5" customHeight="1">
      <c r="A732" s="101">
        <v>512212</v>
      </c>
      <c r="B732" s="104" t="s">
        <v>873</v>
      </c>
      <c r="C732" s="107">
        <v>94.9</v>
      </c>
      <c r="D732" s="107">
        <v>0</v>
      </c>
      <c r="E732" s="109">
        <v>1.9</v>
      </c>
    </row>
    <row r="733" spans="1:5" ht="22.5" customHeight="1">
      <c r="A733" s="101">
        <v>512214</v>
      </c>
      <c r="B733" s="104" t="s">
        <v>872</v>
      </c>
      <c r="C733" s="107">
        <v>97.4</v>
      </c>
      <c r="D733" s="107">
        <v>0</v>
      </c>
      <c r="E733" s="109">
        <v>0.9</v>
      </c>
    </row>
    <row r="734" spans="1:5" ht="22.5" customHeight="1">
      <c r="A734" s="101">
        <v>512215</v>
      </c>
      <c r="B734" s="104" t="s">
        <v>873</v>
      </c>
      <c r="C734" s="107">
        <v>97</v>
      </c>
      <c r="D734" s="107">
        <v>0</v>
      </c>
      <c r="E734" s="109">
        <v>0.9</v>
      </c>
    </row>
    <row r="735" spans="1:5" ht="22.5" customHeight="1">
      <c r="A735" s="101">
        <v>512221</v>
      </c>
      <c r="B735" s="104" t="s">
        <v>871</v>
      </c>
      <c r="C735" s="107">
        <v>95.8</v>
      </c>
      <c r="D735" s="107">
        <v>0</v>
      </c>
      <c r="E735" s="109">
        <v>4</v>
      </c>
    </row>
    <row r="736" spans="1:5" ht="22.5" customHeight="1">
      <c r="A736" s="101">
        <v>512222</v>
      </c>
      <c r="B736" s="104" t="s">
        <v>871</v>
      </c>
      <c r="C736" s="107">
        <v>96.3</v>
      </c>
      <c r="D736" s="107">
        <v>0</v>
      </c>
      <c r="E736" s="109">
        <v>2.2000000000000002</v>
      </c>
    </row>
    <row r="737" spans="1:5" ht="22.5" customHeight="1">
      <c r="A737" s="101">
        <v>512223</v>
      </c>
      <c r="B737" s="104" t="s">
        <v>180</v>
      </c>
      <c r="C737" s="107">
        <v>95.8</v>
      </c>
      <c r="D737" s="107">
        <v>0</v>
      </c>
      <c r="E737" s="109">
        <v>4.2</v>
      </c>
    </row>
    <row r="738" spans="1:5" ht="22.5" customHeight="1">
      <c r="A738" s="101">
        <v>512224</v>
      </c>
      <c r="B738" s="104" t="s">
        <v>180</v>
      </c>
      <c r="C738" s="107">
        <v>96.5</v>
      </c>
      <c r="D738" s="107">
        <v>0</v>
      </c>
      <c r="E738" s="109">
        <v>4.3</v>
      </c>
    </row>
    <row r="739" spans="1:5" ht="22.5" customHeight="1">
      <c r="A739" s="101">
        <v>512231</v>
      </c>
      <c r="B739" s="104" t="s">
        <v>874</v>
      </c>
      <c r="C739" s="107">
        <v>95.1</v>
      </c>
      <c r="D739" s="107">
        <v>0</v>
      </c>
      <c r="E739" s="109">
        <v>2.7</v>
      </c>
    </row>
    <row r="740" spans="1:5" ht="22.5" customHeight="1">
      <c r="A740" s="101">
        <v>512232</v>
      </c>
      <c r="B740" s="104" t="s">
        <v>874</v>
      </c>
      <c r="C740" s="107">
        <v>95.8</v>
      </c>
      <c r="D740" s="107">
        <v>0</v>
      </c>
      <c r="E740" s="109">
        <v>2.4</v>
      </c>
    </row>
    <row r="741" spans="1:5" ht="22.5" customHeight="1">
      <c r="A741" s="101">
        <v>512233</v>
      </c>
      <c r="B741" s="104" t="s">
        <v>875</v>
      </c>
      <c r="C741" s="107">
        <v>94</v>
      </c>
      <c r="D741" s="107">
        <v>0</v>
      </c>
      <c r="E741" s="109">
        <v>3.2</v>
      </c>
    </row>
    <row r="742" spans="1:5" ht="22.5" customHeight="1">
      <c r="A742" s="101">
        <v>512234</v>
      </c>
      <c r="B742" s="104" t="s">
        <v>874</v>
      </c>
      <c r="C742" s="107">
        <v>96.9</v>
      </c>
      <c r="D742" s="107">
        <v>0</v>
      </c>
      <c r="E742" s="109">
        <v>1.7</v>
      </c>
    </row>
    <row r="743" spans="1:5" ht="22.5" customHeight="1">
      <c r="A743" s="101">
        <v>512235</v>
      </c>
      <c r="B743" s="104" t="s">
        <v>874</v>
      </c>
      <c r="C743" s="107">
        <v>97.7</v>
      </c>
      <c r="D743" s="107">
        <v>0</v>
      </c>
      <c r="E743" s="109">
        <v>2.7</v>
      </c>
    </row>
    <row r="744" spans="1:5" ht="22.5" customHeight="1">
      <c r="A744" s="101">
        <v>512236</v>
      </c>
      <c r="B744" s="104" t="s">
        <v>875</v>
      </c>
      <c r="C744" s="107">
        <v>96.9</v>
      </c>
      <c r="D744" s="107">
        <v>0</v>
      </c>
      <c r="E744" s="109">
        <v>1.8</v>
      </c>
    </row>
    <row r="745" spans="1:5" ht="22.5" customHeight="1">
      <c r="A745" s="101">
        <v>512241</v>
      </c>
      <c r="B745" s="104" t="s">
        <v>876</v>
      </c>
      <c r="C745" s="107">
        <v>95.6</v>
      </c>
      <c r="D745" s="107">
        <v>0</v>
      </c>
      <c r="E745" s="109">
        <v>2.5</v>
      </c>
    </row>
    <row r="746" spans="1:5" ht="22.5" customHeight="1">
      <c r="A746" s="101">
        <v>512242</v>
      </c>
      <c r="B746" s="104" t="s">
        <v>876</v>
      </c>
      <c r="C746" s="107">
        <v>95.7</v>
      </c>
      <c r="D746" s="107">
        <v>0</v>
      </c>
      <c r="E746" s="109">
        <v>4.3</v>
      </c>
    </row>
    <row r="747" spans="1:5" ht="22.5" customHeight="1">
      <c r="A747" s="101">
        <v>512243</v>
      </c>
      <c r="B747" s="104" t="s">
        <v>876</v>
      </c>
      <c r="C747" s="107">
        <v>93.4</v>
      </c>
      <c r="D747" s="107">
        <v>0</v>
      </c>
      <c r="E747" s="109">
        <v>4</v>
      </c>
    </row>
    <row r="748" spans="1:5" ht="22.5" customHeight="1">
      <c r="A748" s="101">
        <v>512244</v>
      </c>
      <c r="B748" s="104" t="s">
        <v>876</v>
      </c>
      <c r="C748" s="107">
        <v>95.1</v>
      </c>
      <c r="D748" s="107">
        <v>0</v>
      </c>
      <c r="E748" s="109">
        <v>3.6</v>
      </c>
    </row>
    <row r="749" spans="1:5" ht="22.5" customHeight="1">
      <c r="A749" s="101">
        <v>512245</v>
      </c>
      <c r="B749" s="104" t="s">
        <v>877</v>
      </c>
      <c r="C749" s="107">
        <v>95.1</v>
      </c>
      <c r="D749" s="107">
        <v>0</v>
      </c>
      <c r="E749" s="109">
        <v>3.2</v>
      </c>
    </row>
    <row r="750" spans="1:5" ht="22.5" customHeight="1">
      <c r="A750" s="101">
        <v>512251</v>
      </c>
      <c r="B750" s="104" t="s">
        <v>181</v>
      </c>
      <c r="C750" s="107">
        <v>95.1</v>
      </c>
      <c r="D750" s="107">
        <v>0</v>
      </c>
      <c r="E750" s="109">
        <v>3.5</v>
      </c>
    </row>
    <row r="751" spans="1:5" ht="22.5" customHeight="1">
      <c r="A751" s="101">
        <v>512252</v>
      </c>
      <c r="B751" s="104" t="s">
        <v>181</v>
      </c>
      <c r="C751" s="107">
        <v>94.7</v>
      </c>
      <c r="D751" s="107">
        <v>0</v>
      </c>
      <c r="E751" s="109">
        <v>2.8</v>
      </c>
    </row>
    <row r="752" spans="1:5" ht="22.5" customHeight="1">
      <c r="A752" s="101">
        <v>512260</v>
      </c>
      <c r="B752" s="104" t="s">
        <v>878</v>
      </c>
      <c r="C752" s="107">
        <v>93.7</v>
      </c>
      <c r="D752" s="107">
        <v>0</v>
      </c>
      <c r="E752" s="109">
        <v>2.5</v>
      </c>
    </row>
    <row r="753" spans="1:5" ht="22.5" customHeight="1">
      <c r="A753" s="101">
        <v>512271</v>
      </c>
      <c r="B753" s="104" t="s">
        <v>879</v>
      </c>
      <c r="C753" s="107">
        <v>95.8</v>
      </c>
      <c r="D753" s="107">
        <v>0</v>
      </c>
      <c r="E753" s="109">
        <v>3.1</v>
      </c>
    </row>
    <row r="754" spans="1:5" ht="22.5" customHeight="1">
      <c r="A754" s="101">
        <v>512272</v>
      </c>
      <c r="B754" s="104" t="s">
        <v>880</v>
      </c>
      <c r="C754" s="107">
        <v>94.9</v>
      </c>
      <c r="D754" s="107">
        <v>0</v>
      </c>
      <c r="E754" s="109">
        <v>2.5</v>
      </c>
    </row>
    <row r="755" spans="1:5" ht="22.5" customHeight="1">
      <c r="A755" s="101">
        <v>512273</v>
      </c>
      <c r="B755" s="104" t="s">
        <v>881</v>
      </c>
      <c r="C755" s="107">
        <v>94.6</v>
      </c>
      <c r="D755" s="107">
        <v>0</v>
      </c>
      <c r="E755" s="109">
        <v>5.9</v>
      </c>
    </row>
    <row r="756" spans="1:5" ht="22.5" customHeight="1">
      <c r="A756" s="101">
        <v>512274</v>
      </c>
      <c r="B756" s="104" t="s">
        <v>182</v>
      </c>
      <c r="C756" s="107">
        <v>97.1</v>
      </c>
      <c r="D756" s="107">
        <v>0</v>
      </c>
      <c r="E756" s="109">
        <v>1.6</v>
      </c>
    </row>
    <row r="757" spans="1:5" ht="22.5" customHeight="1">
      <c r="A757" s="101">
        <v>512279</v>
      </c>
      <c r="B757" s="104" t="s">
        <v>182</v>
      </c>
      <c r="C757" s="107">
        <v>94.4</v>
      </c>
      <c r="D757" s="107">
        <v>0</v>
      </c>
      <c r="E757" s="109">
        <v>2.9</v>
      </c>
    </row>
    <row r="758" spans="1:5" ht="22.5" customHeight="1">
      <c r="A758" s="101">
        <v>512280</v>
      </c>
      <c r="B758" s="104" t="s">
        <v>182</v>
      </c>
      <c r="C758" s="107">
        <v>95.8</v>
      </c>
      <c r="D758" s="107">
        <v>0</v>
      </c>
      <c r="E758" s="109">
        <v>4.0999999999999996</v>
      </c>
    </row>
    <row r="759" spans="1:5" ht="22.5" customHeight="1">
      <c r="A759" s="101">
        <v>512281</v>
      </c>
      <c r="B759" s="104" t="s">
        <v>882</v>
      </c>
      <c r="C759" s="107">
        <v>96.5</v>
      </c>
      <c r="D759" s="107">
        <v>0</v>
      </c>
      <c r="E759" s="109">
        <v>2.7</v>
      </c>
    </row>
    <row r="760" spans="1:5" ht="22.5" customHeight="1">
      <c r="A760" s="101">
        <v>512282</v>
      </c>
      <c r="B760" s="104" t="s">
        <v>877</v>
      </c>
      <c r="C760" s="107">
        <v>94.3</v>
      </c>
      <c r="D760" s="107">
        <v>0</v>
      </c>
      <c r="E760" s="109">
        <v>2.6</v>
      </c>
    </row>
    <row r="761" spans="1:5" ht="22.5" customHeight="1">
      <c r="A761" s="101">
        <v>512283</v>
      </c>
      <c r="B761" s="104" t="s">
        <v>877</v>
      </c>
      <c r="C761" s="107">
        <v>97.5</v>
      </c>
      <c r="D761" s="107">
        <v>0</v>
      </c>
      <c r="E761" s="109">
        <v>2.6</v>
      </c>
    </row>
    <row r="762" spans="1:5" ht="22.5" customHeight="1">
      <c r="A762" s="101">
        <v>512284</v>
      </c>
      <c r="B762" s="104" t="s">
        <v>182</v>
      </c>
      <c r="C762" s="107">
        <v>95.1</v>
      </c>
      <c r="D762" s="107">
        <v>0</v>
      </c>
      <c r="E762" s="109">
        <v>3</v>
      </c>
    </row>
    <row r="763" spans="1:5" ht="22.5" customHeight="1">
      <c r="A763" s="101">
        <v>512285</v>
      </c>
      <c r="B763" s="104" t="s">
        <v>877</v>
      </c>
      <c r="C763" s="107">
        <v>91.1</v>
      </c>
      <c r="D763" s="107">
        <v>0</v>
      </c>
      <c r="E763" s="109">
        <v>2.2000000000000002</v>
      </c>
    </row>
    <row r="764" spans="1:5" ht="22.5" customHeight="1">
      <c r="A764" s="101">
        <v>512286</v>
      </c>
      <c r="B764" s="104" t="s">
        <v>183</v>
      </c>
      <c r="C764" s="107">
        <v>95.3</v>
      </c>
      <c r="D764" s="107">
        <v>0</v>
      </c>
      <c r="E764" s="109">
        <v>0.8</v>
      </c>
    </row>
    <row r="765" spans="1:5" ht="22.5" customHeight="1">
      <c r="A765" s="101">
        <v>512287</v>
      </c>
      <c r="B765" s="104" t="s">
        <v>182</v>
      </c>
      <c r="C765" s="107">
        <v>89.4</v>
      </c>
      <c r="D765" s="107">
        <v>0</v>
      </c>
      <c r="E765" s="109">
        <v>6.8</v>
      </c>
    </row>
    <row r="766" spans="1:5" ht="22.5" customHeight="1">
      <c r="A766" s="101">
        <v>512288</v>
      </c>
      <c r="B766" s="104" t="s">
        <v>182</v>
      </c>
      <c r="C766" s="107">
        <v>93.2</v>
      </c>
      <c r="D766" s="107">
        <v>0</v>
      </c>
      <c r="E766" s="109">
        <v>3.1</v>
      </c>
    </row>
    <row r="767" spans="1:5" ht="22.5" customHeight="1">
      <c r="A767" s="101">
        <v>512289</v>
      </c>
      <c r="B767" s="104" t="s">
        <v>883</v>
      </c>
      <c r="C767" s="107">
        <v>93.9</v>
      </c>
      <c r="D767" s="107">
        <v>0</v>
      </c>
      <c r="E767" s="109">
        <v>2.9</v>
      </c>
    </row>
    <row r="768" spans="1:5" ht="22.5" customHeight="1">
      <c r="A768" s="101">
        <v>512290</v>
      </c>
      <c r="B768" s="104" t="s">
        <v>877</v>
      </c>
      <c r="C768" s="107">
        <v>96.5</v>
      </c>
      <c r="D768" s="107">
        <v>0</v>
      </c>
      <c r="E768" s="109">
        <v>2.7</v>
      </c>
    </row>
    <row r="769" spans="1:5" ht="22.5" customHeight="1">
      <c r="A769" s="101">
        <v>512293</v>
      </c>
      <c r="B769" s="104" t="s">
        <v>1195</v>
      </c>
      <c r="C769" s="107">
        <v>95.3</v>
      </c>
      <c r="D769" s="107">
        <v>0</v>
      </c>
      <c r="E769" s="109">
        <v>1.1000000000000001</v>
      </c>
    </row>
    <row r="770" spans="1:5" ht="22.5" customHeight="1">
      <c r="A770" s="101">
        <v>512294</v>
      </c>
      <c r="B770" s="104" t="s">
        <v>877</v>
      </c>
      <c r="C770" s="107">
        <v>93.9</v>
      </c>
      <c r="D770" s="107">
        <v>0</v>
      </c>
      <c r="E770" s="109">
        <v>4.2</v>
      </c>
    </row>
    <row r="771" spans="1:5" ht="22.5" customHeight="1">
      <c r="A771" s="101">
        <v>512295</v>
      </c>
      <c r="B771" s="104" t="s">
        <v>182</v>
      </c>
      <c r="C771" s="107">
        <v>93.9</v>
      </c>
      <c r="D771" s="107">
        <v>0</v>
      </c>
      <c r="E771" s="109">
        <v>3.8</v>
      </c>
    </row>
    <row r="772" spans="1:5" ht="22.5" customHeight="1">
      <c r="A772" s="101">
        <v>513111</v>
      </c>
      <c r="B772" s="104" t="s">
        <v>884</v>
      </c>
      <c r="C772" s="107">
        <v>95.1</v>
      </c>
      <c r="D772" s="107">
        <v>0</v>
      </c>
      <c r="E772" s="109">
        <v>3.9</v>
      </c>
    </row>
    <row r="773" spans="1:5" ht="22.5" customHeight="1">
      <c r="A773" s="101">
        <v>513112</v>
      </c>
      <c r="B773" s="104" t="s">
        <v>184</v>
      </c>
      <c r="C773" s="107">
        <v>95.6</v>
      </c>
      <c r="D773" s="107">
        <v>0</v>
      </c>
      <c r="E773" s="109">
        <v>5.9</v>
      </c>
    </row>
    <row r="774" spans="1:5" ht="22.5" customHeight="1">
      <c r="A774" s="101">
        <v>513113</v>
      </c>
      <c r="B774" s="104" t="s">
        <v>184</v>
      </c>
      <c r="C774" s="107">
        <v>90.8</v>
      </c>
      <c r="D774" s="107">
        <v>0</v>
      </c>
      <c r="E774" s="109">
        <v>5</v>
      </c>
    </row>
    <row r="775" spans="1:5" ht="22.5" customHeight="1">
      <c r="A775" s="101">
        <v>513119</v>
      </c>
      <c r="B775" s="104" t="s">
        <v>885</v>
      </c>
      <c r="C775" s="107">
        <v>94</v>
      </c>
      <c r="D775" s="107">
        <v>0</v>
      </c>
      <c r="E775" s="109">
        <v>4.8</v>
      </c>
    </row>
    <row r="776" spans="1:5" ht="22.5" customHeight="1">
      <c r="A776" s="101">
        <v>513121</v>
      </c>
      <c r="B776" s="104" t="s">
        <v>886</v>
      </c>
      <c r="C776" s="107">
        <v>93.6</v>
      </c>
      <c r="D776" s="107">
        <v>0</v>
      </c>
      <c r="E776" s="109">
        <v>4.3</v>
      </c>
    </row>
    <row r="777" spans="1:5" ht="22.5" customHeight="1">
      <c r="A777" s="101">
        <v>513130</v>
      </c>
      <c r="B777" s="104" t="s">
        <v>886</v>
      </c>
      <c r="C777" s="107">
        <v>94.2</v>
      </c>
      <c r="D777" s="107">
        <v>0</v>
      </c>
      <c r="E777" s="109">
        <v>5.7</v>
      </c>
    </row>
    <row r="778" spans="1:5" ht="22.5" customHeight="1">
      <c r="A778" s="101">
        <v>513131</v>
      </c>
      <c r="B778" s="104" t="s">
        <v>887</v>
      </c>
      <c r="C778" s="107">
        <v>94.2</v>
      </c>
      <c r="D778" s="107">
        <v>0</v>
      </c>
      <c r="E778" s="109">
        <v>5.2</v>
      </c>
    </row>
    <row r="779" spans="1:5" ht="22.5" customHeight="1">
      <c r="A779" s="101">
        <v>513132</v>
      </c>
      <c r="B779" s="104" t="s">
        <v>888</v>
      </c>
      <c r="C779" s="107">
        <v>94.2</v>
      </c>
      <c r="D779" s="107">
        <v>0</v>
      </c>
      <c r="E779" s="109">
        <v>3.1</v>
      </c>
    </row>
    <row r="780" spans="1:5" ht="22.5" customHeight="1">
      <c r="A780" s="101">
        <v>513141</v>
      </c>
      <c r="B780" s="104" t="s">
        <v>185</v>
      </c>
      <c r="C780" s="107">
        <v>93.2</v>
      </c>
      <c r="D780" s="107">
        <v>0</v>
      </c>
      <c r="E780" s="109">
        <v>4.2</v>
      </c>
    </row>
    <row r="781" spans="1:5" ht="22.5" customHeight="1">
      <c r="A781" s="101">
        <v>513150</v>
      </c>
      <c r="B781" s="104" t="s">
        <v>889</v>
      </c>
      <c r="C781" s="107">
        <v>93.7</v>
      </c>
      <c r="D781" s="107">
        <v>0</v>
      </c>
      <c r="E781" s="109">
        <v>5.6</v>
      </c>
    </row>
    <row r="782" spans="1:5" ht="22.5" customHeight="1">
      <c r="A782" s="101">
        <v>513191</v>
      </c>
      <c r="B782" s="104" t="s">
        <v>890</v>
      </c>
      <c r="C782" s="107">
        <v>93.7</v>
      </c>
      <c r="D782" s="107">
        <v>0</v>
      </c>
      <c r="E782" s="109">
        <v>4</v>
      </c>
    </row>
    <row r="783" spans="1:5" ht="22.5" customHeight="1">
      <c r="A783" s="101">
        <v>513211</v>
      </c>
      <c r="B783" s="104" t="s">
        <v>891</v>
      </c>
      <c r="C783" s="107">
        <v>93.4</v>
      </c>
      <c r="D783" s="107">
        <v>0</v>
      </c>
      <c r="E783" s="109">
        <v>4.2</v>
      </c>
    </row>
    <row r="784" spans="1:5" ht="22.5" customHeight="1">
      <c r="A784" s="101">
        <v>513221</v>
      </c>
      <c r="B784" s="104" t="s">
        <v>186</v>
      </c>
      <c r="C784" s="107">
        <v>92.3</v>
      </c>
      <c r="D784" s="107">
        <v>0</v>
      </c>
      <c r="E784" s="109">
        <v>6.5</v>
      </c>
    </row>
    <row r="785" spans="1:5" ht="22.5" customHeight="1">
      <c r="A785" s="101">
        <v>513230</v>
      </c>
      <c r="B785" s="104" t="s">
        <v>892</v>
      </c>
      <c r="C785" s="107">
        <v>93.2</v>
      </c>
      <c r="D785" s="107">
        <v>0</v>
      </c>
      <c r="E785" s="109">
        <v>4.0999999999999996</v>
      </c>
    </row>
    <row r="786" spans="1:5" ht="22.5" customHeight="1">
      <c r="A786" s="101">
        <v>513231</v>
      </c>
      <c r="B786" s="104" t="s">
        <v>893</v>
      </c>
      <c r="C786" s="107">
        <v>92.3</v>
      </c>
      <c r="D786" s="107">
        <v>0</v>
      </c>
      <c r="E786" s="109">
        <v>5.5</v>
      </c>
    </row>
    <row r="787" spans="1:5" ht="22.5" customHeight="1">
      <c r="A787" s="101">
        <v>513241</v>
      </c>
      <c r="B787" s="104" t="s">
        <v>894</v>
      </c>
      <c r="C787" s="107">
        <v>90.6</v>
      </c>
      <c r="D787" s="107">
        <v>0</v>
      </c>
      <c r="E787" s="109">
        <v>4.0999999999999996</v>
      </c>
    </row>
    <row r="788" spans="1:5" ht="22.5" customHeight="1">
      <c r="A788" s="101">
        <v>513250</v>
      </c>
      <c r="B788" s="104" t="s">
        <v>895</v>
      </c>
      <c r="C788" s="107">
        <v>93.4</v>
      </c>
      <c r="D788" s="107">
        <v>0</v>
      </c>
      <c r="E788" s="109">
        <v>5.3</v>
      </c>
    </row>
    <row r="789" spans="1:5" ht="22.5" customHeight="1">
      <c r="A789" s="101">
        <v>513253</v>
      </c>
      <c r="B789" s="104" t="s">
        <v>896</v>
      </c>
      <c r="C789" s="107">
        <v>93.4</v>
      </c>
      <c r="D789" s="107">
        <v>0</v>
      </c>
      <c r="E789" s="109">
        <v>6.3</v>
      </c>
    </row>
    <row r="790" spans="1:5" ht="22.5" customHeight="1">
      <c r="A790" s="101">
        <v>513261</v>
      </c>
      <c r="B790" s="104" t="s">
        <v>885</v>
      </c>
      <c r="C790" s="107">
        <v>94.3</v>
      </c>
      <c r="D790" s="107">
        <v>0</v>
      </c>
      <c r="E790" s="109">
        <v>5.6</v>
      </c>
    </row>
    <row r="791" spans="1:5" ht="22.5" customHeight="1">
      <c r="A791" s="101">
        <v>513263</v>
      </c>
      <c r="B791" s="104" t="s">
        <v>187</v>
      </c>
      <c r="C791" s="107">
        <v>93.5</v>
      </c>
      <c r="D791" s="107">
        <v>0</v>
      </c>
      <c r="E791" s="109">
        <v>2.6</v>
      </c>
    </row>
    <row r="792" spans="1:5" ht="22.5" customHeight="1">
      <c r="A792" s="101">
        <v>513271</v>
      </c>
      <c r="B792" s="104" t="s">
        <v>892</v>
      </c>
      <c r="C792" s="107">
        <v>93.2</v>
      </c>
      <c r="D792" s="107">
        <v>0</v>
      </c>
      <c r="E792" s="109">
        <v>5.0999999999999996</v>
      </c>
    </row>
    <row r="793" spans="1:5" ht="22.5" customHeight="1">
      <c r="A793" s="101">
        <v>513272</v>
      </c>
      <c r="B793" s="104" t="s">
        <v>892</v>
      </c>
      <c r="C793" s="107">
        <v>94.4</v>
      </c>
      <c r="D793" s="107">
        <v>0</v>
      </c>
      <c r="E793" s="109">
        <v>4.5999999999999996</v>
      </c>
    </row>
    <row r="794" spans="1:5" ht="22.5" customHeight="1">
      <c r="A794" s="101">
        <v>513290</v>
      </c>
      <c r="B794" s="104" t="s">
        <v>891</v>
      </c>
      <c r="C794" s="107">
        <v>93.7</v>
      </c>
      <c r="D794" s="107">
        <v>0</v>
      </c>
      <c r="E794" s="109">
        <v>3.8</v>
      </c>
    </row>
    <row r="795" spans="1:5" ht="22.5" customHeight="1">
      <c r="A795" s="101">
        <v>513291</v>
      </c>
      <c r="B795" s="104" t="s">
        <v>186</v>
      </c>
      <c r="C795" s="107">
        <v>94</v>
      </c>
      <c r="D795" s="107">
        <v>0</v>
      </c>
      <c r="E795" s="109">
        <v>4.9000000000000004</v>
      </c>
    </row>
    <row r="796" spans="1:5" ht="22.5" customHeight="1">
      <c r="A796" s="101">
        <v>513295</v>
      </c>
      <c r="B796" s="104" t="s">
        <v>892</v>
      </c>
      <c r="C796" s="107">
        <v>93.7</v>
      </c>
      <c r="D796" s="107">
        <v>0</v>
      </c>
      <c r="E796" s="109">
        <v>4.7</v>
      </c>
    </row>
    <row r="797" spans="1:5" ht="22.5" customHeight="1">
      <c r="A797" s="101">
        <v>513296</v>
      </c>
      <c r="B797" s="104" t="s">
        <v>897</v>
      </c>
      <c r="C797" s="107">
        <v>93.7</v>
      </c>
      <c r="D797" s="107">
        <v>0</v>
      </c>
      <c r="E797" s="109">
        <v>3.4</v>
      </c>
    </row>
    <row r="798" spans="1:5" ht="22.5" customHeight="1">
      <c r="A798" s="101">
        <v>513297</v>
      </c>
      <c r="B798" s="104" t="s">
        <v>192</v>
      </c>
      <c r="C798" s="107">
        <v>93.7</v>
      </c>
      <c r="D798" s="107">
        <v>0</v>
      </c>
      <c r="E798" s="109">
        <v>6.7</v>
      </c>
    </row>
    <row r="799" spans="1:5" ht="22.5" customHeight="1">
      <c r="A799" s="101">
        <v>513298</v>
      </c>
      <c r="B799" s="104" t="s">
        <v>898</v>
      </c>
      <c r="C799" s="107">
        <v>93.7</v>
      </c>
      <c r="D799" s="107">
        <v>0</v>
      </c>
      <c r="E799" s="109">
        <v>5.8</v>
      </c>
    </row>
    <row r="800" spans="1:5" ht="22.5" customHeight="1">
      <c r="A800" s="101">
        <v>513311</v>
      </c>
      <c r="B800" s="104" t="s">
        <v>188</v>
      </c>
      <c r="C800" s="107">
        <v>94.8</v>
      </c>
      <c r="D800" s="107">
        <v>0</v>
      </c>
      <c r="E800" s="109">
        <v>5.6</v>
      </c>
    </row>
    <row r="801" spans="1:5" ht="22.5" customHeight="1">
      <c r="A801" s="101">
        <v>513312</v>
      </c>
      <c r="B801" s="104" t="s">
        <v>188</v>
      </c>
      <c r="C801" s="107">
        <v>89</v>
      </c>
      <c r="D801" s="107">
        <v>0</v>
      </c>
      <c r="E801" s="109">
        <v>3.9</v>
      </c>
    </row>
    <row r="802" spans="1:5" ht="22.5" customHeight="1">
      <c r="A802" s="101">
        <v>513313</v>
      </c>
      <c r="B802" s="104" t="s">
        <v>189</v>
      </c>
      <c r="C802" s="107">
        <v>91.3</v>
      </c>
      <c r="D802" s="107">
        <v>0</v>
      </c>
      <c r="E802" s="109">
        <v>6.6</v>
      </c>
    </row>
    <row r="803" spans="1:5" ht="22.5" customHeight="1">
      <c r="A803" s="101">
        <v>513320</v>
      </c>
      <c r="B803" s="104" t="s">
        <v>899</v>
      </c>
      <c r="C803" s="107">
        <v>92.4</v>
      </c>
      <c r="D803" s="107">
        <v>0</v>
      </c>
      <c r="E803" s="109">
        <v>7.6</v>
      </c>
    </row>
    <row r="804" spans="1:5" ht="22.5" customHeight="1">
      <c r="A804" s="101">
        <v>513330</v>
      </c>
      <c r="B804" s="104" t="s">
        <v>190</v>
      </c>
      <c r="C804" s="107">
        <v>95</v>
      </c>
      <c r="D804" s="107">
        <v>0</v>
      </c>
      <c r="E804" s="109">
        <v>3.5</v>
      </c>
    </row>
    <row r="805" spans="1:5" ht="22.5" customHeight="1">
      <c r="A805" s="101">
        <v>513410</v>
      </c>
      <c r="B805" s="104" t="s">
        <v>900</v>
      </c>
      <c r="C805" s="107">
        <v>94</v>
      </c>
      <c r="D805" s="107">
        <v>0</v>
      </c>
      <c r="E805" s="109">
        <v>3.4</v>
      </c>
    </row>
    <row r="806" spans="1:5" ht="22.5" customHeight="1">
      <c r="A806" s="101">
        <v>513414</v>
      </c>
      <c r="B806" s="104" t="s">
        <v>901</v>
      </c>
      <c r="C806" s="107">
        <v>94</v>
      </c>
      <c r="D806" s="107">
        <v>0</v>
      </c>
      <c r="E806" s="109">
        <v>5.4</v>
      </c>
    </row>
    <row r="807" spans="1:5" ht="22.5" customHeight="1">
      <c r="A807" s="101">
        <v>513415</v>
      </c>
      <c r="B807" s="104" t="s">
        <v>898</v>
      </c>
      <c r="C807" s="107">
        <v>94</v>
      </c>
      <c r="D807" s="107">
        <v>0</v>
      </c>
      <c r="E807" s="109">
        <v>4.5999999999999996</v>
      </c>
    </row>
    <row r="808" spans="1:5" ht="22.5" customHeight="1">
      <c r="A808" s="101">
        <v>513421</v>
      </c>
      <c r="B808" s="104" t="s">
        <v>902</v>
      </c>
      <c r="C808" s="107">
        <v>94.7</v>
      </c>
      <c r="D808" s="107">
        <v>0</v>
      </c>
      <c r="E808" s="109">
        <v>6.4</v>
      </c>
    </row>
    <row r="809" spans="1:5" ht="22.5" customHeight="1">
      <c r="A809" s="101">
        <v>513430</v>
      </c>
      <c r="B809" s="104" t="s">
        <v>903</v>
      </c>
      <c r="C809" s="107">
        <v>93.7</v>
      </c>
      <c r="D809" s="107">
        <v>0</v>
      </c>
      <c r="E809" s="109">
        <v>4.0999999999999996</v>
      </c>
    </row>
    <row r="810" spans="1:5" ht="22.5" customHeight="1">
      <c r="A810" s="101">
        <v>513911</v>
      </c>
      <c r="B810" s="104" t="s">
        <v>904</v>
      </c>
      <c r="C810" s="107">
        <v>94.3</v>
      </c>
      <c r="D810" s="107">
        <v>0</v>
      </c>
      <c r="E810" s="109">
        <v>3.9</v>
      </c>
    </row>
    <row r="811" spans="1:5" ht="22.5" customHeight="1">
      <c r="A811" s="101">
        <v>513912</v>
      </c>
      <c r="B811" s="104" t="s">
        <v>904</v>
      </c>
      <c r="C811" s="107">
        <v>92.6</v>
      </c>
      <c r="D811" s="107">
        <v>0</v>
      </c>
      <c r="E811" s="109">
        <v>3.6</v>
      </c>
    </row>
    <row r="812" spans="1:5" ht="22.5" customHeight="1">
      <c r="A812" s="101">
        <v>513913</v>
      </c>
      <c r="B812" s="104" t="s">
        <v>904</v>
      </c>
      <c r="C812" s="107">
        <v>92.2</v>
      </c>
      <c r="D812" s="107">
        <v>0</v>
      </c>
      <c r="E812" s="109">
        <v>7.7</v>
      </c>
    </row>
    <row r="813" spans="1:5" ht="22.5" customHeight="1">
      <c r="A813" s="101">
        <v>513920</v>
      </c>
      <c r="B813" s="104" t="s">
        <v>890</v>
      </c>
      <c r="C813" s="107">
        <v>92.7</v>
      </c>
      <c r="D813" s="107">
        <v>0</v>
      </c>
      <c r="E813" s="109">
        <v>5.0999999999999996</v>
      </c>
    </row>
    <row r="814" spans="1:5" ht="22.5" customHeight="1">
      <c r="A814" s="101">
        <v>513921</v>
      </c>
      <c r="B814" s="104" t="s">
        <v>905</v>
      </c>
      <c r="C814" s="107">
        <v>93.1</v>
      </c>
      <c r="D814" s="107">
        <v>0</v>
      </c>
      <c r="E814" s="109">
        <v>4.4000000000000004</v>
      </c>
    </row>
    <row r="815" spans="1:5" ht="22.5" customHeight="1">
      <c r="A815" s="101">
        <v>513931</v>
      </c>
      <c r="B815" s="104" t="s">
        <v>906</v>
      </c>
      <c r="C815" s="107">
        <v>94.6</v>
      </c>
      <c r="D815" s="107">
        <v>0</v>
      </c>
      <c r="E815" s="109">
        <v>6.2</v>
      </c>
    </row>
    <row r="816" spans="1:5" ht="22.5" customHeight="1">
      <c r="A816" s="101">
        <v>513933</v>
      </c>
      <c r="B816" s="104" t="s">
        <v>906</v>
      </c>
      <c r="C816" s="107">
        <v>97.1</v>
      </c>
      <c r="D816" s="107">
        <v>0</v>
      </c>
      <c r="E816" s="109">
        <v>1.9</v>
      </c>
    </row>
    <row r="817" spans="1:5" ht="22.5" customHeight="1">
      <c r="A817" s="101">
        <v>513934</v>
      </c>
      <c r="B817" s="104" t="s">
        <v>906</v>
      </c>
      <c r="C817" s="107">
        <v>91.9</v>
      </c>
      <c r="D817" s="107">
        <v>0</v>
      </c>
      <c r="E817" s="109">
        <v>3.7</v>
      </c>
    </row>
    <row r="818" spans="1:5" ht="22.5" customHeight="1">
      <c r="A818" s="101">
        <v>513941</v>
      </c>
      <c r="B818" s="104" t="s">
        <v>191</v>
      </c>
      <c r="C818" s="107">
        <v>93.2</v>
      </c>
      <c r="D818" s="107">
        <v>0</v>
      </c>
      <c r="E818" s="109">
        <v>3.8</v>
      </c>
    </row>
    <row r="819" spans="1:5" ht="22.5" customHeight="1">
      <c r="A819" s="101">
        <v>513942</v>
      </c>
      <c r="B819" s="104" t="s">
        <v>191</v>
      </c>
      <c r="C819" s="107">
        <v>85.7</v>
      </c>
      <c r="D819" s="107">
        <v>0</v>
      </c>
      <c r="E819" s="109">
        <v>6.6</v>
      </c>
    </row>
    <row r="820" spans="1:5" ht="22.5" customHeight="1">
      <c r="A820" s="101">
        <v>513945</v>
      </c>
      <c r="B820" s="104" t="s">
        <v>905</v>
      </c>
      <c r="C820" s="107">
        <v>93.2</v>
      </c>
      <c r="D820" s="107">
        <v>0</v>
      </c>
      <c r="E820" s="109">
        <v>5.8</v>
      </c>
    </row>
    <row r="821" spans="1:5" ht="22.5" customHeight="1">
      <c r="A821" s="101">
        <v>513950</v>
      </c>
      <c r="B821" s="104" t="s">
        <v>907</v>
      </c>
      <c r="C821" s="107">
        <v>94</v>
      </c>
      <c r="D821" s="107">
        <v>0</v>
      </c>
      <c r="E821" s="109">
        <v>7.1</v>
      </c>
    </row>
    <row r="822" spans="1:5" ht="22.5" customHeight="1">
      <c r="A822" s="101">
        <v>513960</v>
      </c>
      <c r="B822" s="104" t="s">
        <v>192</v>
      </c>
      <c r="C822" s="107">
        <v>93.7</v>
      </c>
      <c r="D822" s="107">
        <v>0</v>
      </c>
      <c r="E822" s="109">
        <v>3.2</v>
      </c>
    </row>
    <row r="823" spans="1:5" ht="22.5" customHeight="1">
      <c r="A823" s="101">
        <v>513991</v>
      </c>
      <c r="B823" s="104" t="s">
        <v>890</v>
      </c>
      <c r="C823" s="107">
        <v>93.1</v>
      </c>
      <c r="D823" s="107">
        <v>0</v>
      </c>
      <c r="E823" s="109">
        <v>4.2</v>
      </c>
    </row>
    <row r="824" spans="1:5" ht="22.5" customHeight="1">
      <c r="A824" s="101">
        <v>513992</v>
      </c>
      <c r="B824" s="104" t="s">
        <v>908</v>
      </c>
      <c r="C824" s="107">
        <v>93.2</v>
      </c>
      <c r="D824" s="107">
        <v>0</v>
      </c>
      <c r="E824" s="109">
        <v>4.2</v>
      </c>
    </row>
    <row r="825" spans="1:5" ht="22.5" customHeight="1">
      <c r="A825" s="101">
        <v>514111</v>
      </c>
      <c r="B825" s="104" t="s">
        <v>909</v>
      </c>
      <c r="C825" s="107">
        <v>97.2</v>
      </c>
      <c r="D825" s="107">
        <v>0</v>
      </c>
      <c r="E825" s="109">
        <v>2.2000000000000002</v>
      </c>
    </row>
    <row r="826" spans="1:5" ht="22.5" customHeight="1">
      <c r="A826" s="101">
        <v>514112</v>
      </c>
      <c r="B826" s="104" t="s">
        <v>909</v>
      </c>
      <c r="C826" s="107">
        <v>95.4</v>
      </c>
      <c r="D826" s="107">
        <v>0</v>
      </c>
      <c r="E826" s="109">
        <v>5</v>
      </c>
    </row>
    <row r="827" spans="1:5" ht="22.5" customHeight="1">
      <c r="A827" s="101">
        <v>514121</v>
      </c>
      <c r="B827" s="104" t="s">
        <v>910</v>
      </c>
      <c r="C827" s="107">
        <v>96</v>
      </c>
      <c r="D827" s="107">
        <v>0</v>
      </c>
      <c r="E827" s="109">
        <v>4</v>
      </c>
    </row>
    <row r="828" spans="1:5" ht="22.5" customHeight="1">
      <c r="A828" s="101">
        <v>514122</v>
      </c>
      <c r="B828" s="104" t="s">
        <v>898</v>
      </c>
      <c r="C828" s="107">
        <v>93.7</v>
      </c>
      <c r="D828" s="107">
        <v>0</v>
      </c>
      <c r="E828" s="109">
        <v>3.3</v>
      </c>
    </row>
    <row r="829" spans="1:5" ht="22.5" customHeight="1">
      <c r="A829" s="101">
        <v>514130</v>
      </c>
      <c r="B829" s="104" t="s">
        <v>911</v>
      </c>
      <c r="C829" s="107">
        <v>94.9</v>
      </c>
      <c r="D829" s="107">
        <v>0</v>
      </c>
      <c r="E829" s="109">
        <v>6.3</v>
      </c>
    </row>
    <row r="830" spans="1:5" ht="22.5" customHeight="1">
      <c r="A830" s="101">
        <v>514210</v>
      </c>
      <c r="B830" s="104" t="s">
        <v>193</v>
      </c>
      <c r="C830" s="107">
        <v>90.7</v>
      </c>
      <c r="D830" s="107">
        <v>0</v>
      </c>
      <c r="E830" s="109">
        <v>2.6</v>
      </c>
    </row>
    <row r="831" spans="1:5" ht="22.5" customHeight="1">
      <c r="A831" s="101">
        <v>514220</v>
      </c>
      <c r="B831" s="104" t="s">
        <v>193</v>
      </c>
      <c r="C831" s="107">
        <v>93.2</v>
      </c>
      <c r="D831" s="107">
        <v>0</v>
      </c>
      <c r="E831" s="109">
        <v>3.5</v>
      </c>
    </row>
    <row r="832" spans="1:5" ht="22.5" customHeight="1">
      <c r="A832" s="101">
        <v>514232</v>
      </c>
      <c r="B832" s="104" t="s">
        <v>193</v>
      </c>
      <c r="C832" s="107">
        <v>95.6</v>
      </c>
      <c r="D832" s="107">
        <v>0</v>
      </c>
      <c r="E832" s="109">
        <v>4.2</v>
      </c>
    </row>
    <row r="833" spans="1:5" ht="22.5" customHeight="1">
      <c r="A833" s="101">
        <v>514239</v>
      </c>
      <c r="B833" s="104" t="s">
        <v>193</v>
      </c>
      <c r="C833" s="107">
        <v>92.4</v>
      </c>
      <c r="D833" s="107">
        <v>0</v>
      </c>
      <c r="E833" s="109">
        <v>3.3</v>
      </c>
    </row>
    <row r="834" spans="1:5" ht="22.5" customHeight="1">
      <c r="A834" s="101">
        <v>514240</v>
      </c>
      <c r="B834" s="104" t="s">
        <v>193</v>
      </c>
      <c r="C834" s="107">
        <v>91.3</v>
      </c>
      <c r="D834" s="107">
        <v>0</v>
      </c>
      <c r="E834" s="109">
        <v>3.9</v>
      </c>
    </row>
    <row r="835" spans="1:5" ht="22.5" customHeight="1">
      <c r="A835" s="101">
        <v>514250</v>
      </c>
      <c r="B835" s="104" t="s">
        <v>194</v>
      </c>
      <c r="C835" s="107">
        <v>93.2</v>
      </c>
      <c r="D835" s="107">
        <v>0</v>
      </c>
      <c r="E835" s="109">
        <v>10</v>
      </c>
    </row>
    <row r="836" spans="1:5" ht="22.5" customHeight="1">
      <c r="A836" s="101">
        <v>514291</v>
      </c>
      <c r="B836" s="104" t="s">
        <v>193</v>
      </c>
      <c r="C836" s="107">
        <v>93.4</v>
      </c>
      <c r="D836" s="107">
        <v>0</v>
      </c>
      <c r="E836" s="109">
        <v>6.5</v>
      </c>
    </row>
    <row r="837" spans="1:5" ht="22.5" customHeight="1">
      <c r="A837" s="101">
        <v>514292</v>
      </c>
      <c r="B837" s="104" t="s">
        <v>193</v>
      </c>
      <c r="C837" s="107">
        <v>91.6</v>
      </c>
      <c r="D837" s="107">
        <v>0</v>
      </c>
      <c r="E837" s="109">
        <v>3.9</v>
      </c>
    </row>
    <row r="838" spans="1:5" ht="22.5" customHeight="1">
      <c r="A838" s="101">
        <v>514312</v>
      </c>
      <c r="B838" s="104" t="s">
        <v>912</v>
      </c>
      <c r="C838" s="107">
        <v>93.3</v>
      </c>
      <c r="D838" s="107">
        <v>0</v>
      </c>
      <c r="E838" s="109">
        <v>3.2</v>
      </c>
    </row>
    <row r="839" spans="1:5" ht="22.5" customHeight="1">
      <c r="A839" s="101">
        <v>514320</v>
      </c>
      <c r="B839" s="104" t="s">
        <v>195</v>
      </c>
      <c r="C839" s="107">
        <v>94.4</v>
      </c>
      <c r="D839" s="107">
        <v>0</v>
      </c>
      <c r="E839" s="109">
        <v>4.5</v>
      </c>
    </row>
    <row r="840" spans="1:5" ht="22.5" customHeight="1">
      <c r="A840" s="101">
        <v>514321</v>
      </c>
      <c r="B840" s="104" t="s">
        <v>913</v>
      </c>
      <c r="C840" s="107">
        <v>94.4</v>
      </c>
      <c r="D840" s="107">
        <v>0</v>
      </c>
      <c r="E840" s="109">
        <v>4.4000000000000004</v>
      </c>
    </row>
    <row r="841" spans="1:5" ht="22.5" customHeight="1">
      <c r="A841" s="101">
        <v>514330</v>
      </c>
      <c r="B841" s="104" t="s">
        <v>195</v>
      </c>
      <c r="C841" s="107">
        <v>93.5</v>
      </c>
      <c r="D841" s="107">
        <v>0</v>
      </c>
      <c r="E841" s="109">
        <v>9.8000000000000007</v>
      </c>
    </row>
    <row r="842" spans="1:5" ht="22.5" customHeight="1">
      <c r="A842" s="101">
        <v>514350</v>
      </c>
      <c r="B842" s="104" t="s">
        <v>914</v>
      </c>
      <c r="C842" s="107">
        <v>92.7</v>
      </c>
      <c r="D842" s="107">
        <v>0</v>
      </c>
      <c r="E842" s="109">
        <v>4.8</v>
      </c>
    </row>
    <row r="843" spans="1:5" ht="22.5" customHeight="1">
      <c r="A843" s="101">
        <v>514361</v>
      </c>
      <c r="B843" s="104" t="s">
        <v>915</v>
      </c>
      <c r="C843" s="107">
        <v>92.2</v>
      </c>
      <c r="D843" s="107">
        <v>0</v>
      </c>
      <c r="E843" s="109">
        <v>3.9</v>
      </c>
    </row>
    <row r="844" spans="1:5" ht="22.5" customHeight="1">
      <c r="A844" s="101">
        <v>514366</v>
      </c>
      <c r="B844" s="104" t="s">
        <v>916</v>
      </c>
      <c r="C844" s="107">
        <v>92.2</v>
      </c>
      <c r="D844" s="107">
        <v>0</v>
      </c>
      <c r="E844" s="109">
        <v>4.5999999999999996</v>
      </c>
    </row>
    <row r="845" spans="1:5" ht="22.5" customHeight="1">
      <c r="A845" s="101">
        <v>514370</v>
      </c>
      <c r="B845" s="104" t="s">
        <v>917</v>
      </c>
      <c r="C845" s="107">
        <v>92.2</v>
      </c>
      <c r="D845" s="107">
        <v>0</v>
      </c>
      <c r="E845" s="109">
        <v>5.5</v>
      </c>
    </row>
    <row r="846" spans="1:5" ht="22.5" customHeight="1">
      <c r="A846" s="101">
        <v>514380</v>
      </c>
      <c r="B846" s="104" t="s">
        <v>195</v>
      </c>
      <c r="C846" s="107">
        <v>89</v>
      </c>
      <c r="D846" s="107">
        <v>0</v>
      </c>
      <c r="E846" s="109">
        <v>4.2</v>
      </c>
    </row>
    <row r="847" spans="1:5" ht="22.5" customHeight="1">
      <c r="A847" s="101">
        <v>514392</v>
      </c>
      <c r="B847" s="104" t="s">
        <v>917</v>
      </c>
      <c r="C847" s="107">
        <v>92.9</v>
      </c>
      <c r="D847" s="107">
        <v>0</v>
      </c>
      <c r="E847" s="109">
        <v>4.3</v>
      </c>
    </row>
    <row r="848" spans="1:5" ht="22.5" customHeight="1">
      <c r="A848" s="101">
        <v>514393</v>
      </c>
      <c r="B848" s="104" t="s">
        <v>917</v>
      </c>
      <c r="C848" s="107">
        <v>92.2</v>
      </c>
      <c r="D848" s="107">
        <v>0</v>
      </c>
      <c r="E848" s="109">
        <v>5.2</v>
      </c>
    </row>
    <row r="849" spans="1:5" ht="22.5" customHeight="1">
      <c r="A849" s="101">
        <v>514911</v>
      </c>
      <c r="B849" s="104" t="s">
        <v>918</v>
      </c>
      <c r="C849" s="107">
        <v>91.1</v>
      </c>
      <c r="D849" s="107">
        <v>0</v>
      </c>
      <c r="E849" s="109">
        <v>5.9</v>
      </c>
    </row>
    <row r="850" spans="1:5" ht="22.5" customHeight="1">
      <c r="A850" s="101">
        <v>514912</v>
      </c>
      <c r="B850" s="104" t="s">
        <v>918</v>
      </c>
      <c r="C850" s="107">
        <v>93.2</v>
      </c>
      <c r="D850" s="107">
        <v>0</v>
      </c>
      <c r="E850" s="109">
        <v>4.0999999999999996</v>
      </c>
    </row>
    <row r="851" spans="1:5" ht="22.5" customHeight="1">
      <c r="A851" s="101">
        <v>514916</v>
      </c>
      <c r="B851" s="104" t="s">
        <v>919</v>
      </c>
      <c r="C851" s="107">
        <v>93.2</v>
      </c>
      <c r="D851" s="107">
        <v>0</v>
      </c>
      <c r="E851" s="109">
        <v>4.5999999999999996</v>
      </c>
    </row>
    <row r="852" spans="1:5" ht="22.5" customHeight="1">
      <c r="A852" s="101">
        <v>514919</v>
      </c>
      <c r="B852" s="104" t="s">
        <v>918</v>
      </c>
      <c r="C852" s="107">
        <v>92.2</v>
      </c>
      <c r="D852" s="107">
        <v>0</v>
      </c>
      <c r="E852" s="109">
        <v>4.0999999999999996</v>
      </c>
    </row>
    <row r="853" spans="1:5" ht="22.5" customHeight="1">
      <c r="A853" s="101">
        <v>514920</v>
      </c>
      <c r="B853" s="104" t="s">
        <v>196</v>
      </c>
      <c r="C853" s="107">
        <v>92.2</v>
      </c>
      <c r="D853" s="107">
        <v>0</v>
      </c>
      <c r="E853" s="109">
        <v>5.4</v>
      </c>
    </row>
    <row r="854" spans="1:5" ht="22.5" customHeight="1">
      <c r="A854" s="101">
        <v>514930</v>
      </c>
      <c r="B854" s="104" t="s">
        <v>197</v>
      </c>
      <c r="C854" s="107">
        <v>96.6</v>
      </c>
      <c r="D854" s="107">
        <v>0</v>
      </c>
      <c r="E854" s="109">
        <v>8.4</v>
      </c>
    </row>
    <row r="855" spans="1:5" ht="22.5" customHeight="1">
      <c r="A855" s="101">
        <v>514940</v>
      </c>
      <c r="B855" s="104" t="s">
        <v>197</v>
      </c>
      <c r="C855" s="107">
        <v>95.6</v>
      </c>
      <c r="D855" s="107">
        <v>0</v>
      </c>
      <c r="E855" s="109">
        <v>3.9</v>
      </c>
    </row>
    <row r="856" spans="1:5" ht="22.5" customHeight="1">
      <c r="A856" s="101">
        <v>514950</v>
      </c>
      <c r="B856" s="104" t="s">
        <v>919</v>
      </c>
      <c r="C856" s="107">
        <v>92.4</v>
      </c>
      <c r="D856" s="107">
        <v>0</v>
      </c>
      <c r="E856" s="109">
        <v>3.9</v>
      </c>
    </row>
    <row r="857" spans="1:5" ht="22.5" customHeight="1">
      <c r="A857" s="101">
        <v>514961</v>
      </c>
      <c r="B857" s="104" t="s">
        <v>920</v>
      </c>
      <c r="C857" s="107">
        <v>95.3</v>
      </c>
      <c r="D857" s="107">
        <v>0</v>
      </c>
      <c r="E857" s="109">
        <v>3.1</v>
      </c>
    </row>
    <row r="858" spans="1:5" ht="22.5" customHeight="1">
      <c r="A858" s="101">
        <v>514969</v>
      </c>
      <c r="B858" s="104" t="s">
        <v>198</v>
      </c>
      <c r="C858" s="107">
        <v>94.8</v>
      </c>
      <c r="D858" s="107">
        <v>0</v>
      </c>
      <c r="E858" s="109">
        <v>3.4</v>
      </c>
    </row>
    <row r="859" spans="1:5" ht="22.5" customHeight="1">
      <c r="A859" s="101">
        <v>514971</v>
      </c>
      <c r="B859" s="104" t="s">
        <v>199</v>
      </c>
      <c r="C859" s="107">
        <v>95.6</v>
      </c>
      <c r="D859" s="107">
        <v>0</v>
      </c>
      <c r="E859" s="109">
        <v>4.4000000000000004</v>
      </c>
    </row>
    <row r="860" spans="1:5" ht="22.5" customHeight="1">
      <c r="A860" s="101">
        <v>514990</v>
      </c>
      <c r="B860" s="104" t="s">
        <v>898</v>
      </c>
      <c r="C860" s="107">
        <v>92</v>
      </c>
      <c r="D860" s="107">
        <v>0</v>
      </c>
      <c r="E860" s="109">
        <v>5.0999999999999996</v>
      </c>
    </row>
    <row r="861" spans="1:5" ht="22.5" customHeight="1">
      <c r="A861" s="101">
        <v>515010</v>
      </c>
      <c r="B861" s="104" t="s">
        <v>893</v>
      </c>
      <c r="C861" s="107">
        <v>91.5</v>
      </c>
      <c r="D861" s="107">
        <v>0</v>
      </c>
      <c r="E861" s="109">
        <v>5.6</v>
      </c>
    </row>
    <row r="862" spans="1:5" ht="22.5" customHeight="1">
      <c r="A862" s="101">
        <v>515020</v>
      </c>
      <c r="B862" s="104" t="s">
        <v>921</v>
      </c>
      <c r="C862" s="107">
        <v>94.6</v>
      </c>
      <c r="D862" s="107">
        <v>0</v>
      </c>
      <c r="E862" s="109">
        <v>3.4</v>
      </c>
    </row>
    <row r="863" spans="1:5" ht="22.5" customHeight="1">
      <c r="A863" s="101">
        <v>515030</v>
      </c>
      <c r="B863" s="104" t="s">
        <v>922</v>
      </c>
      <c r="C863" s="107">
        <v>92</v>
      </c>
      <c r="D863" s="107">
        <v>0</v>
      </c>
      <c r="E863" s="109">
        <v>5.2</v>
      </c>
    </row>
    <row r="864" spans="1:5" ht="22.5" customHeight="1">
      <c r="A864" s="101">
        <v>515031</v>
      </c>
      <c r="B864" s="104" t="s">
        <v>893</v>
      </c>
      <c r="C864" s="107">
        <v>92</v>
      </c>
      <c r="D864" s="107">
        <v>0</v>
      </c>
      <c r="E864" s="109">
        <v>9.3000000000000007</v>
      </c>
    </row>
    <row r="865" spans="1:5" ht="22.5" customHeight="1">
      <c r="A865" s="101">
        <v>515040</v>
      </c>
      <c r="B865" s="104" t="s">
        <v>923</v>
      </c>
      <c r="C865" s="107">
        <v>91.6</v>
      </c>
      <c r="D865" s="107">
        <v>0</v>
      </c>
      <c r="E865" s="109">
        <v>6.8</v>
      </c>
    </row>
    <row r="866" spans="1:5" ht="22.5" customHeight="1">
      <c r="A866" s="101">
        <v>515050</v>
      </c>
      <c r="B866" s="104" t="s">
        <v>200</v>
      </c>
      <c r="C866" s="107">
        <v>91.8</v>
      </c>
      <c r="D866" s="107">
        <v>0</v>
      </c>
      <c r="E866" s="109">
        <v>8.1999999999999993</v>
      </c>
    </row>
    <row r="867" spans="1:5" ht="22.5" customHeight="1">
      <c r="A867" s="101">
        <v>515051</v>
      </c>
      <c r="B867" s="104" t="s">
        <v>201</v>
      </c>
      <c r="C867" s="107">
        <v>91.4</v>
      </c>
      <c r="D867" s="107">
        <v>0</v>
      </c>
      <c r="E867" s="109">
        <v>9.5</v>
      </c>
    </row>
    <row r="868" spans="1:5" ht="22.5" customHeight="1">
      <c r="A868" s="101">
        <v>515060</v>
      </c>
      <c r="B868" s="104" t="s">
        <v>924</v>
      </c>
      <c r="C868" s="107">
        <v>90</v>
      </c>
      <c r="D868" s="107">
        <v>0</v>
      </c>
      <c r="E868" s="109">
        <v>12.8</v>
      </c>
    </row>
    <row r="869" spans="1:5" ht="22.5" customHeight="1">
      <c r="A869" s="101">
        <v>515070</v>
      </c>
      <c r="B869" s="104" t="s">
        <v>925</v>
      </c>
      <c r="C869" s="107">
        <v>92.3</v>
      </c>
      <c r="D869" s="107">
        <v>0</v>
      </c>
      <c r="E869" s="109">
        <v>4.9000000000000004</v>
      </c>
    </row>
    <row r="870" spans="1:5" ht="22.5" customHeight="1">
      <c r="A870" s="101">
        <v>515074</v>
      </c>
      <c r="B870" s="104" t="s">
        <v>926</v>
      </c>
      <c r="C870" s="107">
        <v>92.3</v>
      </c>
      <c r="D870" s="107">
        <v>0</v>
      </c>
      <c r="E870" s="109">
        <v>11.4</v>
      </c>
    </row>
    <row r="871" spans="1:5" ht="22.5" customHeight="1">
      <c r="A871" s="101">
        <v>515080</v>
      </c>
      <c r="B871" s="104" t="s">
        <v>927</v>
      </c>
      <c r="C871" s="107">
        <v>91.6</v>
      </c>
      <c r="D871" s="107">
        <v>0</v>
      </c>
      <c r="E871" s="109">
        <v>6.8</v>
      </c>
    </row>
    <row r="872" spans="1:5" ht="22.5" customHeight="1">
      <c r="A872" s="101">
        <v>515081</v>
      </c>
      <c r="B872" s="104" t="s">
        <v>928</v>
      </c>
      <c r="C872" s="107">
        <v>91.6</v>
      </c>
      <c r="D872" s="107">
        <v>0</v>
      </c>
      <c r="E872" s="109">
        <v>6.9</v>
      </c>
    </row>
    <row r="873" spans="1:5" ht="22.5" customHeight="1">
      <c r="A873" s="101">
        <v>515090</v>
      </c>
      <c r="B873" s="104" t="s">
        <v>929</v>
      </c>
      <c r="C873" s="107">
        <v>91.7</v>
      </c>
      <c r="D873" s="107">
        <v>0</v>
      </c>
      <c r="E873" s="109">
        <v>4.5999999999999996</v>
      </c>
    </row>
    <row r="874" spans="1:5" ht="22.5" customHeight="1">
      <c r="A874" s="101">
        <v>515093</v>
      </c>
      <c r="B874" s="104" t="s">
        <v>192</v>
      </c>
      <c r="C874" s="107">
        <v>91.7</v>
      </c>
      <c r="D874" s="107">
        <v>0</v>
      </c>
      <c r="E874" s="109">
        <v>8</v>
      </c>
    </row>
    <row r="875" spans="1:5" ht="22.5" customHeight="1">
      <c r="A875" s="101">
        <v>515094</v>
      </c>
      <c r="B875" s="104" t="s">
        <v>930</v>
      </c>
      <c r="C875" s="107">
        <v>91.7</v>
      </c>
      <c r="D875" s="107">
        <v>0</v>
      </c>
      <c r="E875" s="109">
        <v>8</v>
      </c>
    </row>
    <row r="876" spans="1:5" ht="22.5" customHeight="1">
      <c r="A876" s="101">
        <v>519111</v>
      </c>
      <c r="B876" s="104" t="s">
        <v>202</v>
      </c>
      <c r="C876" s="107">
        <v>94</v>
      </c>
      <c r="D876" s="107">
        <v>0</v>
      </c>
      <c r="E876" s="109">
        <v>4.5999999999999996</v>
      </c>
    </row>
    <row r="877" spans="1:5" ht="22.5" customHeight="1">
      <c r="A877" s="101">
        <v>519112</v>
      </c>
      <c r="B877" s="104" t="s">
        <v>202</v>
      </c>
      <c r="C877" s="107">
        <v>88.4</v>
      </c>
      <c r="D877" s="107">
        <v>0</v>
      </c>
      <c r="E877" s="109">
        <v>5.8</v>
      </c>
    </row>
    <row r="878" spans="1:5" ht="22.5" customHeight="1">
      <c r="A878" s="101">
        <v>519113</v>
      </c>
      <c r="B878" s="104" t="s">
        <v>202</v>
      </c>
      <c r="C878" s="107">
        <v>85.2</v>
      </c>
      <c r="D878" s="107">
        <v>0</v>
      </c>
      <c r="E878" s="109">
        <v>6.3</v>
      </c>
    </row>
    <row r="879" spans="1:5" ht="22.5" customHeight="1">
      <c r="A879" s="101">
        <v>519910</v>
      </c>
      <c r="B879" s="104" t="s">
        <v>202</v>
      </c>
      <c r="C879" s="107">
        <v>93.6</v>
      </c>
      <c r="D879" s="107">
        <v>0</v>
      </c>
      <c r="E879" s="109">
        <v>4.9000000000000004</v>
      </c>
    </row>
    <row r="880" spans="1:5" ht="22.5" customHeight="1">
      <c r="A880" s="101">
        <v>519991</v>
      </c>
      <c r="B880" s="104" t="s">
        <v>905</v>
      </c>
      <c r="C880" s="107">
        <v>94.8</v>
      </c>
      <c r="D880" s="107">
        <v>0</v>
      </c>
      <c r="E880" s="109">
        <v>5.0999999999999996</v>
      </c>
    </row>
    <row r="881" spans="1:5" ht="22.5" customHeight="1">
      <c r="A881" s="101">
        <v>519992</v>
      </c>
      <c r="B881" s="104" t="s">
        <v>898</v>
      </c>
      <c r="C881" s="107">
        <v>93.2</v>
      </c>
      <c r="D881" s="107">
        <v>0</v>
      </c>
      <c r="E881" s="109">
        <v>4.5</v>
      </c>
    </row>
    <row r="882" spans="1:5" ht="22.5" customHeight="1">
      <c r="A882" s="101">
        <v>521100</v>
      </c>
      <c r="B882" s="104" t="s">
        <v>931</v>
      </c>
      <c r="C882" s="107">
        <v>95.2</v>
      </c>
      <c r="D882" s="107">
        <v>0</v>
      </c>
      <c r="E882" s="109">
        <v>2.8</v>
      </c>
    </row>
    <row r="883" spans="1:5" ht="22.5" customHeight="1">
      <c r="A883" s="101">
        <v>521910</v>
      </c>
      <c r="B883" s="104" t="s">
        <v>203</v>
      </c>
      <c r="C883" s="107">
        <v>92.5</v>
      </c>
      <c r="D883" s="107">
        <v>0</v>
      </c>
      <c r="E883" s="109">
        <v>4</v>
      </c>
    </row>
    <row r="884" spans="1:5" ht="22.5" customHeight="1">
      <c r="A884" s="101">
        <v>521911</v>
      </c>
      <c r="B884" s="104" t="s">
        <v>204</v>
      </c>
      <c r="C884" s="107">
        <v>91.3</v>
      </c>
      <c r="D884" s="107">
        <v>0</v>
      </c>
      <c r="E884" s="109">
        <v>4</v>
      </c>
    </row>
    <row r="885" spans="1:5" ht="22.5" customHeight="1">
      <c r="A885" s="101">
        <v>521912</v>
      </c>
      <c r="B885" s="104" t="s">
        <v>932</v>
      </c>
      <c r="C885" s="107">
        <v>91.3</v>
      </c>
      <c r="D885" s="107">
        <v>0</v>
      </c>
      <c r="E885" s="109">
        <v>4</v>
      </c>
    </row>
    <row r="886" spans="1:5" ht="22.5" customHeight="1">
      <c r="A886" s="101">
        <v>521913</v>
      </c>
      <c r="B886" s="104" t="s">
        <v>933</v>
      </c>
      <c r="C886" s="107">
        <v>91.3</v>
      </c>
      <c r="D886" s="107">
        <v>0</v>
      </c>
      <c r="E886" s="109">
        <v>4</v>
      </c>
    </row>
    <row r="887" spans="1:5" ht="22.5" customHeight="1">
      <c r="A887" s="101">
        <v>521991</v>
      </c>
      <c r="B887" s="104" t="s">
        <v>934</v>
      </c>
      <c r="C887" s="107">
        <v>95.7</v>
      </c>
      <c r="D887" s="107">
        <v>0</v>
      </c>
      <c r="E887" s="109">
        <v>4.4000000000000004</v>
      </c>
    </row>
    <row r="888" spans="1:5" ht="22.5" customHeight="1">
      <c r="A888" s="101">
        <v>521992</v>
      </c>
      <c r="B888" s="104" t="s">
        <v>205</v>
      </c>
      <c r="C888" s="107">
        <v>93.7</v>
      </c>
      <c r="D888" s="107">
        <v>0</v>
      </c>
      <c r="E888" s="109">
        <v>7.4</v>
      </c>
    </row>
    <row r="889" spans="1:5" ht="22.5" customHeight="1">
      <c r="A889" s="101">
        <v>522011</v>
      </c>
      <c r="B889" s="104" t="s">
        <v>935</v>
      </c>
      <c r="C889" s="107">
        <v>96.3</v>
      </c>
      <c r="D889" s="107">
        <v>0</v>
      </c>
      <c r="E889" s="109">
        <v>2.5</v>
      </c>
    </row>
    <row r="890" spans="1:5" ht="22.5" customHeight="1">
      <c r="A890" s="101">
        <v>522012</v>
      </c>
      <c r="B890" s="104" t="s">
        <v>935</v>
      </c>
      <c r="C890" s="107">
        <v>93.7</v>
      </c>
      <c r="D890" s="107">
        <v>0</v>
      </c>
      <c r="E890" s="109">
        <v>4.5999999999999996</v>
      </c>
    </row>
    <row r="891" spans="1:5" ht="22.5" customHeight="1">
      <c r="A891" s="101">
        <v>522020</v>
      </c>
      <c r="B891" s="104" t="s">
        <v>936</v>
      </c>
      <c r="C891" s="107">
        <v>91.2</v>
      </c>
      <c r="D891" s="107">
        <v>0</v>
      </c>
      <c r="E891" s="109">
        <v>4.0999999999999996</v>
      </c>
    </row>
    <row r="892" spans="1:5" ht="22.5" customHeight="1">
      <c r="A892" s="101">
        <v>522031</v>
      </c>
      <c r="B892" s="104" t="s">
        <v>937</v>
      </c>
      <c r="C892" s="107">
        <v>93.7</v>
      </c>
      <c r="D892" s="107">
        <v>0</v>
      </c>
      <c r="E892" s="109">
        <v>3.6</v>
      </c>
    </row>
    <row r="893" spans="1:5" ht="22.5" customHeight="1">
      <c r="A893" s="101">
        <v>522039</v>
      </c>
      <c r="B893" s="104" t="s">
        <v>938</v>
      </c>
      <c r="C893" s="107">
        <v>91.6</v>
      </c>
      <c r="D893" s="107">
        <v>0</v>
      </c>
      <c r="E893" s="109">
        <v>4</v>
      </c>
    </row>
    <row r="894" spans="1:5" ht="22.5" customHeight="1">
      <c r="A894" s="101">
        <v>522040</v>
      </c>
      <c r="B894" s="104" t="s">
        <v>939</v>
      </c>
      <c r="C894" s="107">
        <v>94.1</v>
      </c>
      <c r="D894" s="107">
        <v>0</v>
      </c>
      <c r="E894" s="109">
        <v>2.2999999999999998</v>
      </c>
    </row>
    <row r="895" spans="1:5" ht="22.5" customHeight="1">
      <c r="A895" s="101">
        <v>522050</v>
      </c>
      <c r="B895" s="104" t="s">
        <v>939</v>
      </c>
      <c r="C895" s="107">
        <v>93.7</v>
      </c>
      <c r="D895" s="107">
        <v>0</v>
      </c>
      <c r="E895" s="109">
        <v>2.4</v>
      </c>
    </row>
    <row r="896" spans="1:5" ht="22.5" customHeight="1">
      <c r="A896" s="101">
        <v>522061</v>
      </c>
      <c r="B896" s="104" t="s">
        <v>940</v>
      </c>
      <c r="C896" s="107">
        <v>90.7</v>
      </c>
      <c r="D896" s="107">
        <v>0</v>
      </c>
      <c r="E896" s="109">
        <v>4.7</v>
      </c>
    </row>
    <row r="897" spans="1:5" ht="22.5" customHeight="1">
      <c r="A897" s="101">
        <v>522062</v>
      </c>
      <c r="B897" s="104" t="s">
        <v>940</v>
      </c>
      <c r="C897" s="107">
        <v>95.3</v>
      </c>
      <c r="D897" s="107">
        <v>0</v>
      </c>
      <c r="E897" s="109">
        <v>6.5</v>
      </c>
    </row>
    <row r="898" spans="1:5" ht="22.5" customHeight="1">
      <c r="A898" s="101">
        <v>522063</v>
      </c>
      <c r="B898" s="104" t="s">
        <v>207</v>
      </c>
      <c r="C898" s="107">
        <v>90.1</v>
      </c>
      <c r="D898" s="107">
        <v>0</v>
      </c>
      <c r="E898" s="109">
        <v>8.6999999999999993</v>
      </c>
    </row>
    <row r="899" spans="1:5" ht="22.5" customHeight="1">
      <c r="A899" s="101">
        <v>522071</v>
      </c>
      <c r="B899" s="104" t="s">
        <v>941</v>
      </c>
      <c r="C899" s="107">
        <v>92.7</v>
      </c>
      <c r="D899" s="107">
        <v>0</v>
      </c>
      <c r="E899" s="109">
        <v>3.2</v>
      </c>
    </row>
    <row r="900" spans="1:5" ht="22.5" customHeight="1">
      <c r="A900" s="101">
        <v>522080</v>
      </c>
      <c r="B900" s="104" t="s">
        <v>206</v>
      </c>
      <c r="C900" s="107">
        <v>96</v>
      </c>
      <c r="D900" s="107">
        <v>0</v>
      </c>
      <c r="E900" s="109">
        <v>4.8</v>
      </c>
    </row>
    <row r="901" spans="1:5" ht="22.5" customHeight="1">
      <c r="A901" s="101">
        <v>522081</v>
      </c>
      <c r="B901" s="104" t="s">
        <v>942</v>
      </c>
      <c r="C901" s="107">
        <v>95</v>
      </c>
      <c r="D901" s="107">
        <v>0</v>
      </c>
      <c r="E901" s="109">
        <v>7.1</v>
      </c>
    </row>
    <row r="902" spans="1:5" ht="22.5" customHeight="1">
      <c r="A902" s="101">
        <v>522082</v>
      </c>
      <c r="B902" s="104" t="s">
        <v>1195</v>
      </c>
      <c r="C902" s="107">
        <v>95.2</v>
      </c>
      <c r="D902" s="107">
        <v>0</v>
      </c>
      <c r="E902" s="109">
        <v>4.9000000000000004</v>
      </c>
    </row>
    <row r="903" spans="1:5" ht="22.5" customHeight="1">
      <c r="A903" s="101">
        <v>522091</v>
      </c>
      <c r="B903" s="104" t="s">
        <v>943</v>
      </c>
      <c r="C903" s="107">
        <v>92.8</v>
      </c>
      <c r="D903" s="107">
        <v>0</v>
      </c>
      <c r="E903" s="109">
        <v>4</v>
      </c>
    </row>
    <row r="904" spans="1:5" ht="22.5" customHeight="1">
      <c r="A904" s="101">
        <v>522092</v>
      </c>
      <c r="B904" s="104" t="s">
        <v>944</v>
      </c>
      <c r="C904" s="107">
        <v>86.3</v>
      </c>
      <c r="D904" s="107">
        <v>0</v>
      </c>
      <c r="E904" s="109">
        <v>2.1</v>
      </c>
    </row>
    <row r="905" spans="1:5" ht="22.5" customHeight="1">
      <c r="A905" s="101">
        <v>522093</v>
      </c>
      <c r="B905" s="104" t="s">
        <v>208</v>
      </c>
      <c r="C905" s="107">
        <v>85.8</v>
      </c>
      <c r="D905" s="107">
        <v>0</v>
      </c>
      <c r="E905" s="109">
        <v>3.3</v>
      </c>
    </row>
    <row r="906" spans="1:5" ht="22.5" customHeight="1">
      <c r="A906" s="101">
        <v>522094</v>
      </c>
      <c r="B906" s="104" t="s">
        <v>208</v>
      </c>
      <c r="C906" s="107">
        <v>89.1</v>
      </c>
      <c r="D906" s="107">
        <v>0</v>
      </c>
      <c r="E906" s="109">
        <v>3.5</v>
      </c>
    </row>
    <row r="907" spans="1:5" ht="22.5" customHeight="1">
      <c r="A907" s="101">
        <v>522095</v>
      </c>
      <c r="B907" s="104" t="s">
        <v>208</v>
      </c>
      <c r="C907" s="107">
        <v>88.3</v>
      </c>
      <c r="D907" s="107">
        <v>0</v>
      </c>
      <c r="E907" s="109">
        <v>10.3</v>
      </c>
    </row>
    <row r="908" spans="1:5" ht="22.5" customHeight="1">
      <c r="A908" s="101">
        <v>522096</v>
      </c>
      <c r="B908" s="104" t="s">
        <v>207</v>
      </c>
      <c r="C908" s="107">
        <v>88.5</v>
      </c>
      <c r="D908" s="107">
        <v>0</v>
      </c>
      <c r="E908" s="109">
        <v>3.7</v>
      </c>
    </row>
    <row r="909" spans="1:5" ht="22.5" customHeight="1">
      <c r="A909" s="101">
        <v>522098</v>
      </c>
      <c r="B909" s="104" t="s">
        <v>208</v>
      </c>
      <c r="C909" s="107">
        <v>93.4</v>
      </c>
      <c r="D909" s="107">
        <v>0</v>
      </c>
      <c r="E909" s="109">
        <v>2.8</v>
      </c>
    </row>
    <row r="910" spans="1:5" ht="22.5" customHeight="1">
      <c r="A910" s="101">
        <v>522099</v>
      </c>
      <c r="B910" s="104" t="s">
        <v>208</v>
      </c>
      <c r="C910" s="107">
        <v>93.5</v>
      </c>
      <c r="D910" s="107">
        <v>0</v>
      </c>
      <c r="E910" s="109">
        <v>2.8</v>
      </c>
    </row>
    <row r="911" spans="1:5" ht="22.5" customHeight="1">
      <c r="A911" s="101">
        <v>522101</v>
      </c>
      <c r="B911" s="104" t="s">
        <v>943</v>
      </c>
      <c r="C911" s="107">
        <v>81.900000000000006</v>
      </c>
      <c r="D911" s="107">
        <v>0</v>
      </c>
      <c r="E911" s="109">
        <v>5.7</v>
      </c>
    </row>
    <row r="912" spans="1:5" ht="22.5" customHeight="1">
      <c r="A912" s="101">
        <v>522105</v>
      </c>
      <c r="B912" s="104" t="s">
        <v>944</v>
      </c>
      <c r="C912" s="107">
        <v>82.6</v>
      </c>
      <c r="D912" s="107">
        <v>0</v>
      </c>
      <c r="E912" s="109">
        <v>1.5</v>
      </c>
    </row>
    <row r="913" spans="1:5" ht="22.5" customHeight="1">
      <c r="A913" s="101">
        <v>522109</v>
      </c>
      <c r="B913" s="104" t="s">
        <v>945</v>
      </c>
      <c r="C913" s="107">
        <v>91.2</v>
      </c>
      <c r="D913" s="107">
        <v>0</v>
      </c>
      <c r="E913" s="109">
        <v>6.6</v>
      </c>
    </row>
    <row r="914" spans="1:5" ht="22.5" customHeight="1">
      <c r="A914" s="101">
        <v>523111</v>
      </c>
      <c r="B914" s="104" t="s">
        <v>209</v>
      </c>
      <c r="C914" s="107">
        <v>83.5</v>
      </c>
      <c r="D914" s="107">
        <v>0</v>
      </c>
      <c r="E914" s="109">
        <v>3.8</v>
      </c>
    </row>
    <row r="915" spans="1:5" ht="22.5" customHeight="1">
      <c r="A915" s="101">
        <v>523114</v>
      </c>
      <c r="B915" s="104" t="s">
        <v>209</v>
      </c>
      <c r="C915" s="107">
        <v>79.099999999999994</v>
      </c>
      <c r="D915" s="107">
        <v>0</v>
      </c>
      <c r="E915" s="109">
        <v>7.1</v>
      </c>
    </row>
    <row r="916" spans="1:5" ht="22.5" customHeight="1">
      <c r="A916" s="101">
        <v>523116</v>
      </c>
      <c r="B916" s="104" t="s">
        <v>209</v>
      </c>
      <c r="C916" s="107">
        <v>86.9</v>
      </c>
      <c r="D916" s="107">
        <v>0</v>
      </c>
      <c r="E916" s="109">
        <v>6.3</v>
      </c>
    </row>
    <row r="917" spans="1:5" ht="22.5" customHeight="1">
      <c r="A917" s="101">
        <v>523120</v>
      </c>
      <c r="B917" s="104" t="s">
        <v>210</v>
      </c>
      <c r="C917" s="107">
        <v>86.7</v>
      </c>
      <c r="D917" s="107">
        <v>0</v>
      </c>
      <c r="E917" s="109">
        <v>7.5</v>
      </c>
    </row>
    <row r="918" spans="1:5" ht="22.5" customHeight="1">
      <c r="A918" s="101">
        <v>523131</v>
      </c>
      <c r="B918" s="104" t="s">
        <v>946</v>
      </c>
      <c r="C918" s="107">
        <v>87.2</v>
      </c>
      <c r="D918" s="107">
        <v>0</v>
      </c>
      <c r="E918" s="109">
        <v>10.199999999999999</v>
      </c>
    </row>
    <row r="919" spans="1:5" ht="22.5" customHeight="1">
      <c r="A919" s="101">
        <v>523132</v>
      </c>
      <c r="B919" s="104" t="s">
        <v>211</v>
      </c>
      <c r="C919" s="107">
        <v>92.2</v>
      </c>
      <c r="D919" s="107">
        <v>0</v>
      </c>
      <c r="E919" s="109">
        <v>8.6999999999999993</v>
      </c>
    </row>
    <row r="920" spans="1:5" ht="22.5" customHeight="1">
      <c r="A920" s="101">
        <v>523211</v>
      </c>
      <c r="B920" s="104" t="s">
        <v>947</v>
      </c>
      <c r="C920" s="107">
        <v>91.9</v>
      </c>
      <c r="D920" s="107">
        <v>0</v>
      </c>
      <c r="E920" s="109">
        <v>3.6</v>
      </c>
    </row>
    <row r="921" spans="1:5" ht="22.5" customHeight="1">
      <c r="A921" s="101">
        <v>523214</v>
      </c>
      <c r="B921" s="104" t="s">
        <v>947</v>
      </c>
      <c r="C921" s="107">
        <v>91.1</v>
      </c>
      <c r="D921" s="107">
        <v>0</v>
      </c>
      <c r="E921" s="109">
        <v>5.8</v>
      </c>
    </row>
    <row r="922" spans="1:5" ht="22.5" customHeight="1">
      <c r="A922" s="101">
        <v>523221</v>
      </c>
      <c r="B922" s="104" t="s">
        <v>948</v>
      </c>
      <c r="C922" s="107">
        <v>90.2</v>
      </c>
      <c r="D922" s="107">
        <v>0</v>
      </c>
      <c r="E922" s="109">
        <v>6.5</v>
      </c>
    </row>
    <row r="923" spans="1:5" ht="22.5" customHeight="1">
      <c r="A923" s="101">
        <v>523223</v>
      </c>
      <c r="B923" s="104" t="s">
        <v>949</v>
      </c>
      <c r="C923" s="107">
        <v>90.2</v>
      </c>
      <c r="D923" s="107">
        <v>0</v>
      </c>
      <c r="E923" s="109">
        <v>5.9</v>
      </c>
    </row>
    <row r="924" spans="1:5" ht="22.5" customHeight="1">
      <c r="A924" s="101">
        <v>523231</v>
      </c>
      <c r="B924" s="104" t="s">
        <v>950</v>
      </c>
      <c r="C924" s="107">
        <v>89</v>
      </c>
      <c r="D924" s="107">
        <v>0</v>
      </c>
      <c r="E924" s="109">
        <v>5.5</v>
      </c>
    </row>
    <row r="925" spans="1:5" ht="22.5" customHeight="1">
      <c r="A925" s="101">
        <v>523233</v>
      </c>
      <c r="B925" s="104" t="s">
        <v>951</v>
      </c>
      <c r="C925" s="107">
        <v>89</v>
      </c>
      <c r="D925" s="107">
        <v>0</v>
      </c>
      <c r="E925" s="109">
        <v>5</v>
      </c>
    </row>
    <row r="926" spans="1:5" ht="22.5" customHeight="1">
      <c r="A926" s="101">
        <v>523234</v>
      </c>
      <c r="B926" s="104" t="s">
        <v>952</v>
      </c>
      <c r="C926" s="107">
        <v>89</v>
      </c>
      <c r="D926" s="107">
        <v>0</v>
      </c>
      <c r="E926" s="109">
        <v>6.6</v>
      </c>
    </row>
    <row r="927" spans="1:5" ht="22.5" customHeight="1">
      <c r="A927" s="101">
        <v>523235</v>
      </c>
      <c r="B927" s="104" t="s">
        <v>953</v>
      </c>
      <c r="C927" s="107">
        <v>89</v>
      </c>
      <c r="D927" s="107">
        <v>0</v>
      </c>
      <c r="E927" s="109">
        <v>7</v>
      </c>
    </row>
    <row r="928" spans="1:5" ht="22.5" customHeight="1">
      <c r="A928" s="101">
        <v>523236</v>
      </c>
      <c r="B928" s="104" t="s">
        <v>954</v>
      </c>
      <c r="C928" s="107">
        <v>89</v>
      </c>
      <c r="D928" s="107">
        <v>0</v>
      </c>
      <c r="E928" s="109">
        <v>8.1999999999999993</v>
      </c>
    </row>
    <row r="929" spans="1:5" ht="22.5" customHeight="1">
      <c r="A929" s="101">
        <v>523237</v>
      </c>
      <c r="B929" s="104" t="s">
        <v>955</v>
      </c>
      <c r="C929" s="107">
        <v>89</v>
      </c>
      <c r="D929" s="107">
        <v>0</v>
      </c>
      <c r="E929" s="109">
        <v>4.2</v>
      </c>
    </row>
    <row r="930" spans="1:5" ht="22.5" customHeight="1">
      <c r="A930" s="101">
        <v>523241</v>
      </c>
      <c r="B930" s="104" t="s">
        <v>212</v>
      </c>
      <c r="C930" s="107">
        <v>88.1</v>
      </c>
      <c r="D930" s="107">
        <v>0</v>
      </c>
      <c r="E930" s="109">
        <v>6.1</v>
      </c>
    </row>
    <row r="931" spans="1:5" ht="22.5" customHeight="1">
      <c r="A931" s="101">
        <v>523242</v>
      </c>
      <c r="B931" s="104" t="s">
        <v>212</v>
      </c>
      <c r="C931" s="107">
        <v>91.2</v>
      </c>
      <c r="D931" s="107">
        <v>0</v>
      </c>
      <c r="E931" s="109">
        <v>5.8</v>
      </c>
    </row>
    <row r="932" spans="1:5" ht="22.5" customHeight="1">
      <c r="A932" s="101">
        <v>523252</v>
      </c>
      <c r="B932" s="104" t="s">
        <v>956</v>
      </c>
      <c r="C932" s="107">
        <v>89.1</v>
      </c>
      <c r="D932" s="107">
        <v>0</v>
      </c>
      <c r="E932" s="109">
        <v>7.7</v>
      </c>
    </row>
    <row r="933" spans="1:5" ht="22.5" customHeight="1">
      <c r="A933" s="101">
        <v>523260</v>
      </c>
      <c r="B933" s="104" t="s">
        <v>213</v>
      </c>
      <c r="C933" s="107">
        <v>89.2</v>
      </c>
      <c r="D933" s="107">
        <v>0</v>
      </c>
      <c r="E933" s="109">
        <v>8.6</v>
      </c>
    </row>
    <row r="934" spans="1:5" ht="22.5" customHeight="1">
      <c r="A934" s="101">
        <v>523291</v>
      </c>
      <c r="B934" s="104" t="s">
        <v>947</v>
      </c>
      <c r="C934" s="107">
        <v>91.6</v>
      </c>
      <c r="D934" s="107">
        <v>0</v>
      </c>
      <c r="E934" s="109">
        <v>1.9</v>
      </c>
    </row>
    <row r="935" spans="1:5" ht="22.5" customHeight="1">
      <c r="A935" s="101">
        <v>523292</v>
      </c>
      <c r="B935" s="104" t="s">
        <v>956</v>
      </c>
      <c r="C935" s="107">
        <v>88.5</v>
      </c>
      <c r="D935" s="107">
        <v>0</v>
      </c>
      <c r="E935" s="109">
        <v>6.6</v>
      </c>
    </row>
    <row r="936" spans="1:5" ht="22.5" customHeight="1">
      <c r="A936" s="101">
        <v>523311</v>
      </c>
      <c r="B936" s="104" t="s">
        <v>214</v>
      </c>
      <c r="C936" s="107">
        <v>92</v>
      </c>
      <c r="D936" s="107">
        <v>0</v>
      </c>
      <c r="E936" s="109">
        <v>6.1</v>
      </c>
    </row>
    <row r="937" spans="1:5" ht="22.5" customHeight="1">
      <c r="A937" s="101">
        <v>523312</v>
      </c>
      <c r="B937" s="104" t="s">
        <v>214</v>
      </c>
      <c r="C937" s="107">
        <v>89.5</v>
      </c>
      <c r="D937" s="107">
        <v>0</v>
      </c>
      <c r="E937" s="109">
        <v>3.2</v>
      </c>
    </row>
    <row r="938" spans="1:5" ht="22.5" customHeight="1">
      <c r="A938" s="101">
        <v>523314</v>
      </c>
      <c r="B938" s="104" t="s">
        <v>214</v>
      </c>
      <c r="C938" s="107">
        <v>89.2</v>
      </c>
      <c r="D938" s="107">
        <v>0</v>
      </c>
      <c r="E938" s="109">
        <v>3.2</v>
      </c>
    </row>
    <row r="939" spans="1:5" ht="22.5" customHeight="1">
      <c r="A939" s="101">
        <v>523321</v>
      </c>
      <c r="B939" s="104" t="s">
        <v>215</v>
      </c>
      <c r="C939" s="107">
        <v>92.8</v>
      </c>
      <c r="D939" s="107">
        <v>0</v>
      </c>
      <c r="E939" s="109">
        <v>5</v>
      </c>
    </row>
    <row r="940" spans="1:5" ht="22.5" customHeight="1">
      <c r="A940" s="101">
        <v>523323</v>
      </c>
      <c r="B940" s="104" t="s">
        <v>216</v>
      </c>
      <c r="C940" s="107">
        <v>86.7</v>
      </c>
      <c r="D940" s="107">
        <v>0</v>
      </c>
      <c r="E940" s="109">
        <v>18.899999999999999</v>
      </c>
    </row>
    <row r="941" spans="1:5" ht="22.5" customHeight="1">
      <c r="A941" s="101">
        <v>523330</v>
      </c>
      <c r="B941" s="104" t="s">
        <v>215</v>
      </c>
      <c r="C941" s="107">
        <v>90.1</v>
      </c>
      <c r="D941" s="107">
        <v>0</v>
      </c>
      <c r="E941" s="109">
        <v>3.7</v>
      </c>
    </row>
    <row r="942" spans="1:5" ht="22.5" customHeight="1">
      <c r="A942" s="101">
        <v>523331</v>
      </c>
      <c r="B942" s="104" t="s">
        <v>214</v>
      </c>
      <c r="C942" s="107">
        <v>90.6</v>
      </c>
      <c r="D942" s="107">
        <v>0</v>
      </c>
      <c r="E942" s="109">
        <v>3.7</v>
      </c>
    </row>
    <row r="943" spans="1:5" ht="22.5" customHeight="1">
      <c r="A943" s="101">
        <v>523332</v>
      </c>
      <c r="B943" s="104" t="s">
        <v>957</v>
      </c>
      <c r="C943" s="107">
        <v>90.6</v>
      </c>
      <c r="D943" s="107">
        <v>0</v>
      </c>
      <c r="E943" s="109">
        <v>4.0999999999999996</v>
      </c>
    </row>
    <row r="944" spans="1:5" ht="22.5" customHeight="1">
      <c r="A944" s="101">
        <v>523341</v>
      </c>
      <c r="B944" s="104" t="s">
        <v>217</v>
      </c>
      <c r="C944" s="107">
        <v>90.2</v>
      </c>
      <c r="D944" s="107">
        <v>0</v>
      </c>
      <c r="E944" s="109">
        <v>3</v>
      </c>
    </row>
    <row r="945" spans="1:5" ht="22.5" customHeight="1">
      <c r="A945" s="101">
        <v>523349</v>
      </c>
      <c r="B945" s="104" t="s">
        <v>217</v>
      </c>
      <c r="C945" s="107">
        <v>89.6</v>
      </c>
      <c r="D945" s="107">
        <v>0</v>
      </c>
      <c r="E945" s="109">
        <v>4.5</v>
      </c>
    </row>
    <row r="946" spans="1:5" ht="22.5" customHeight="1">
      <c r="A946" s="101">
        <v>523352</v>
      </c>
      <c r="B946" s="104" t="s">
        <v>218</v>
      </c>
      <c r="C946" s="107">
        <v>88.7</v>
      </c>
      <c r="D946" s="107">
        <v>0</v>
      </c>
      <c r="E946" s="109">
        <v>6.4</v>
      </c>
    </row>
    <row r="947" spans="1:5" ht="22.5" customHeight="1">
      <c r="A947" s="101">
        <v>523361</v>
      </c>
      <c r="B947" s="104" t="s">
        <v>219</v>
      </c>
      <c r="C947" s="107">
        <v>87.5</v>
      </c>
      <c r="D947" s="107">
        <v>0</v>
      </c>
      <c r="E947" s="109">
        <v>6</v>
      </c>
    </row>
    <row r="948" spans="1:5" ht="22.5" customHeight="1">
      <c r="A948" s="101">
        <v>523363</v>
      </c>
      <c r="B948" s="104" t="s">
        <v>219</v>
      </c>
      <c r="C948" s="107">
        <v>90.1</v>
      </c>
      <c r="D948" s="107">
        <v>0</v>
      </c>
      <c r="E948" s="109">
        <v>4.5999999999999996</v>
      </c>
    </row>
    <row r="949" spans="1:5" ht="22.5" customHeight="1">
      <c r="A949" s="101">
        <v>523370</v>
      </c>
      <c r="B949" s="104" t="s">
        <v>942</v>
      </c>
      <c r="C949" s="107">
        <v>90.6</v>
      </c>
      <c r="D949" s="107">
        <v>0</v>
      </c>
      <c r="E949" s="109">
        <v>3.5</v>
      </c>
    </row>
    <row r="950" spans="1:5" ht="22.5" customHeight="1">
      <c r="A950" s="101">
        <v>523390</v>
      </c>
      <c r="B950" s="104" t="s">
        <v>215</v>
      </c>
      <c r="C950" s="107">
        <v>89.3</v>
      </c>
      <c r="D950" s="107">
        <v>0</v>
      </c>
      <c r="E950" s="109">
        <v>7.9</v>
      </c>
    </row>
    <row r="951" spans="1:5" ht="22.5" customHeight="1">
      <c r="A951" s="101">
        <v>523391</v>
      </c>
      <c r="B951" s="104" t="s">
        <v>942</v>
      </c>
      <c r="C951" s="107">
        <v>89.3</v>
      </c>
      <c r="D951" s="107">
        <v>0</v>
      </c>
      <c r="E951" s="109">
        <v>5.3</v>
      </c>
    </row>
    <row r="952" spans="1:5" ht="22.5" customHeight="1">
      <c r="A952" s="101">
        <v>523411</v>
      </c>
      <c r="B952" s="104" t="s">
        <v>220</v>
      </c>
      <c r="C952" s="107">
        <v>90.1</v>
      </c>
      <c r="D952" s="107">
        <v>0</v>
      </c>
      <c r="E952" s="109">
        <v>3.2</v>
      </c>
    </row>
    <row r="953" spans="1:5" ht="22.5" customHeight="1">
      <c r="A953" s="101">
        <v>523412</v>
      </c>
      <c r="B953" s="104" t="s">
        <v>220</v>
      </c>
      <c r="C953" s="107">
        <v>89.3</v>
      </c>
      <c r="D953" s="107">
        <v>0</v>
      </c>
      <c r="E953" s="109">
        <v>4.5</v>
      </c>
    </row>
    <row r="954" spans="1:5" ht="22.5" customHeight="1">
      <c r="A954" s="101">
        <v>523413</v>
      </c>
      <c r="B954" s="104" t="s">
        <v>958</v>
      </c>
      <c r="C954" s="107">
        <v>95.1</v>
      </c>
      <c r="D954" s="107">
        <v>0</v>
      </c>
      <c r="E954" s="109">
        <v>3.5</v>
      </c>
    </row>
    <row r="955" spans="1:5" ht="22.5" customHeight="1">
      <c r="A955" s="101">
        <v>523421</v>
      </c>
      <c r="B955" s="104" t="s">
        <v>959</v>
      </c>
      <c r="C955" s="107">
        <v>86.6</v>
      </c>
      <c r="D955" s="107">
        <v>0</v>
      </c>
      <c r="E955" s="109">
        <v>5.2</v>
      </c>
    </row>
    <row r="956" spans="1:5" ht="22.5" customHeight="1">
      <c r="A956" s="101">
        <v>523422</v>
      </c>
      <c r="B956" s="104" t="s">
        <v>957</v>
      </c>
      <c r="C956" s="107">
        <v>89.1</v>
      </c>
      <c r="D956" s="107">
        <v>0</v>
      </c>
      <c r="E956" s="109">
        <v>8.1</v>
      </c>
    </row>
    <row r="957" spans="1:5" ht="22.5" customHeight="1">
      <c r="A957" s="101">
        <v>523491</v>
      </c>
      <c r="B957" s="104" t="s">
        <v>959</v>
      </c>
      <c r="C957" s="107">
        <v>91.9</v>
      </c>
      <c r="D957" s="107">
        <v>0</v>
      </c>
      <c r="E957" s="109">
        <v>6.1</v>
      </c>
    </row>
    <row r="958" spans="1:5" ht="22.5" customHeight="1">
      <c r="A958" s="101">
        <v>523492</v>
      </c>
      <c r="B958" s="104" t="s">
        <v>959</v>
      </c>
      <c r="C958" s="107">
        <v>88.9</v>
      </c>
      <c r="D958" s="107">
        <v>0</v>
      </c>
      <c r="E958" s="109">
        <v>4.3</v>
      </c>
    </row>
    <row r="959" spans="1:5" ht="22.5" customHeight="1">
      <c r="A959" s="101">
        <v>523494</v>
      </c>
      <c r="B959" s="104" t="s">
        <v>959</v>
      </c>
      <c r="C959" s="107">
        <v>89.6</v>
      </c>
      <c r="D959" s="107">
        <v>0</v>
      </c>
      <c r="E959" s="109">
        <v>2.7</v>
      </c>
    </row>
    <row r="960" spans="1:5" ht="22.5" customHeight="1">
      <c r="A960" s="101">
        <v>523499</v>
      </c>
      <c r="B960" s="104" t="s">
        <v>959</v>
      </c>
      <c r="C960" s="107">
        <v>89.1</v>
      </c>
      <c r="D960" s="107">
        <v>0</v>
      </c>
      <c r="E960" s="109">
        <v>4.7</v>
      </c>
    </row>
    <row r="961" spans="1:5" ht="22.5" customHeight="1">
      <c r="A961" s="101">
        <v>523511</v>
      </c>
      <c r="B961" s="104" t="s">
        <v>960</v>
      </c>
      <c r="C961" s="107">
        <v>92.8</v>
      </c>
      <c r="D961" s="107">
        <v>0</v>
      </c>
      <c r="E961" s="109">
        <v>6.1</v>
      </c>
    </row>
    <row r="962" spans="1:5" ht="22.5" customHeight="1">
      <c r="A962" s="101">
        <v>523520</v>
      </c>
      <c r="B962" s="104" t="s">
        <v>961</v>
      </c>
      <c r="C962" s="107">
        <v>90.1</v>
      </c>
      <c r="D962" s="107">
        <v>0</v>
      </c>
      <c r="E962" s="109">
        <v>6.7</v>
      </c>
    </row>
    <row r="963" spans="1:5" ht="22.5" customHeight="1">
      <c r="A963" s="101">
        <v>523521</v>
      </c>
      <c r="B963" s="104" t="s">
        <v>960</v>
      </c>
      <c r="C963" s="107">
        <v>90.1</v>
      </c>
      <c r="D963" s="107">
        <v>0</v>
      </c>
      <c r="E963" s="109">
        <v>3.5</v>
      </c>
    </row>
    <row r="964" spans="1:5" ht="22.5" customHeight="1">
      <c r="A964" s="101">
        <v>523531</v>
      </c>
      <c r="B964" s="104" t="s">
        <v>221</v>
      </c>
      <c r="C964" s="107">
        <v>88.2</v>
      </c>
      <c r="D964" s="107">
        <v>0</v>
      </c>
      <c r="E964" s="109">
        <v>8.1999999999999993</v>
      </c>
    </row>
    <row r="965" spans="1:5" ht="22.5" customHeight="1">
      <c r="A965" s="101">
        <v>523532</v>
      </c>
      <c r="B965" s="104" t="s">
        <v>222</v>
      </c>
      <c r="C965" s="107">
        <v>89.4</v>
      </c>
      <c r="D965" s="107">
        <v>0</v>
      </c>
      <c r="E965" s="109">
        <v>9.4</v>
      </c>
    </row>
    <row r="966" spans="1:5" ht="22.5" customHeight="1">
      <c r="A966" s="101">
        <v>523541</v>
      </c>
      <c r="B966" s="104" t="s">
        <v>962</v>
      </c>
      <c r="C966" s="107">
        <v>82</v>
      </c>
      <c r="D966" s="107">
        <v>0</v>
      </c>
      <c r="E966" s="109">
        <v>8.6</v>
      </c>
    </row>
    <row r="967" spans="1:5" ht="22.5" customHeight="1">
      <c r="A967" s="101">
        <v>523550</v>
      </c>
      <c r="B967" s="104" t="s">
        <v>223</v>
      </c>
      <c r="C967" s="107">
        <v>87.2</v>
      </c>
      <c r="D967" s="107">
        <v>0</v>
      </c>
      <c r="E967" s="109">
        <v>2.2999999999999998</v>
      </c>
    </row>
    <row r="968" spans="1:5" ht="22.5" customHeight="1">
      <c r="A968" s="101">
        <v>523552</v>
      </c>
      <c r="B968" s="104" t="s">
        <v>963</v>
      </c>
      <c r="C968" s="107">
        <v>87.2</v>
      </c>
      <c r="D968" s="107">
        <v>0</v>
      </c>
      <c r="E968" s="109">
        <v>4.5999999999999996</v>
      </c>
    </row>
    <row r="969" spans="1:5" ht="22.5" customHeight="1">
      <c r="A969" s="101">
        <v>523611</v>
      </c>
      <c r="B969" s="104" t="s">
        <v>964</v>
      </c>
      <c r="C969" s="107">
        <v>97.5</v>
      </c>
      <c r="D969" s="107">
        <v>0</v>
      </c>
      <c r="E969" s="109">
        <v>3.5</v>
      </c>
    </row>
    <row r="970" spans="1:5" ht="22.5" customHeight="1">
      <c r="A970" s="101">
        <v>523612</v>
      </c>
      <c r="B970" s="104" t="s">
        <v>964</v>
      </c>
      <c r="C970" s="107">
        <v>96.1</v>
      </c>
      <c r="D970" s="107">
        <v>0</v>
      </c>
      <c r="E970" s="109">
        <v>3</v>
      </c>
    </row>
    <row r="971" spans="1:5" ht="22.5" customHeight="1">
      <c r="A971" s="101">
        <v>523619</v>
      </c>
      <c r="B971" s="104" t="s">
        <v>964</v>
      </c>
      <c r="C971" s="107">
        <v>92.8</v>
      </c>
      <c r="D971" s="107">
        <v>0</v>
      </c>
      <c r="E971" s="109">
        <v>2.9</v>
      </c>
    </row>
    <row r="972" spans="1:5" ht="22.5" customHeight="1">
      <c r="A972" s="101">
        <v>523621</v>
      </c>
      <c r="B972" s="104" t="s">
        <v>965</v>
      </c>
      <c r="C972" s="107">
        <v>95.1</v>
      </c>
      <c r="D972" s="107">
        <v>0</v>
      </c>
      <c r="E972" s="109">
        <v>2.9</v>
      </c>
    </row>
    <row r="973" spans="1:5" ht="22.5" customHeight="1">
      <c r="A973" s="101">
        <v>523630</v>
      </c>
      <c r="B973" s="104" t="s">
        <v>966</v>
      </c>
      <c r="C973" s="107">
        <v>94</v>
      </c>
      <c r="D973" s="107">
        <v>0</v>
      </c>
      <c r="E973" s="109">
        <v>6.6</v>
      </c>
    </row>
    <row r="974" spans="1:5" ht="22.5" customHeight="1">
      <c r="A974" s="101">
        <v>523910</v>
      </c>
      <c r="B974" s="104" t="s">
        <v>967</v>
      </c>
      <c r="C974" s="107">
        <v>89.2</v>
      </c>
      <c r="D974" s="107">
        <v>0</v>
      </c>
      <c r="E974" s="109">
        <v>4.5999999999999996</v>
      </c>
    </row>
    <row r="975" spans="1:5" ht="22.5" customHeight="1">
      <c r="A975" s="101">
        <v>523921</v>
      </c>
      <c r="B975" s="104" t="s">
        <v>224</v>
      </c>
      <c r="C975" s="107">
        <v>88.5</v>
      </c>
      <c r="D975" s="107">
        <v>0</v>
      </c>
      <c r="E975" s="109">
        <v>5.0999999999999996</v>
      </c>
    </row>
    <row r="976" spans="1:5" ht="22.5" customHeight="1">
      <c r="A976" s="101">
        <v>523922</v>
      </c>
      <c r="B976" s="104" t="s">
        <v>224</v>
      </c>
      <c r="C976" s="107">
        <v>82.1</v>
      </c>
      <c r="D976" s="107">
        <v>0</v>
      </c>
      <c r="E976" s="109">
        <v>3.8</v>
      </c>
    </row>
    <row r="977" spans="1:5" ht="22.5" customHeight="1">
      <c r="A977" s="101">
        <v>523923</v>
      </c>
      <c r="B977" s="104" t="s">
        <v>224</v>
      </c>
      <c r="C977" s="107">
        <v>86.5</v>
      </c>
      <c r="D977" s="107">
        <v>0</v>
      </c>
      <c r="E977" s="109">
        <v>4.5999999999999996</v>
      </c>
    </row>
    <row r="978" spans="1:5" ht="22.5" customHeight="1">
      <c r="A978" s="101">
        <v>523931</v>
      </c>
      <c r="B978" s="104" t="s">
        <v>225</v>
      </c>
      <c r="C978" s="107">
        <v>86.3</v>
      </c>
      <c r="D978" s="107">
        <v>0</v>
      </c>
      <c r="E978" s="109">
        <v>6.1</v>
      </c>
    </row>
    <row r="979" spans="1:5" ht="22.5" customHeight="1">
      <c r="A979" s="101">
        <v>523932</v>
      </c>
      <c r="B979" s="104" t="s">
        <v>225</v>
      </c>
      <c r="C979" s="107">
        <v>89.7</v>
      </c>
      <c r="D979" s="107">
        <v>0</v>
      </c>
      <c r="E979" s="109">
        <v>4.8</v>
      </c>
    </row>
    <row r="980" spans="1:5" ht="22.5" customHeight="1">
      <c r="A980" s="101">
        <v>523935</v>
      </c>
      <c r="B980" s="104" t="s">
        <v>955</v>
      </c>
      <c r="C980" s="107">
        <v>89.7</v>
      </c>
      <c r="D980" s="107">
        <v>0</v>
      </c>
      <c r="E980" s="109">
        <v>4.2</v>
      </c>
    </row>
    <row r="981" spans="1:5" ht="22.5" customHeight="1">
      <c r="A981" s="101">
        <v>523936</v>
      </c>
      <c r="B981" s="104" t="s">
        <v>955</v>
      </c>
      <c r="C981" s="107">
        <v>89.7</v>
      </c>
      <c r="D981" s="107">
        <v>0</v>
      </c>
      <c r="E981" s="109">
        <v>5.9</v>
      </c>
    </row>
    <row r="982" spans="1:5" ht="22.5" customHeight="1">
      <c r="A982" s="101">
        <v>523940</v>
      </c>
      <c r="B982" s="104" t="s">
        <v>226</v>
      </c>
      <c r="C982" s="107">
        <v>90.1</v>
      </c>
      <c r="D982" s="107">
        <v>0</v>
      </c>
      <c r="E982" s="109">
        <v>5.9</v>
      </c>
    </row>
    <row r="983" spans="1:5" ht="22.5" customHeight="1">
      <c r="A983" s="101">
        <v>523951</v>
      </c>
      <c r="B983" s="104" t="s">
        <v>227</v>
      </c>
      <c r="C983" s="107">
        <v>85.2</v>
      </c>
      <c r="D983" s="107">
        <v>0</v>
      </c>
      <c r="E983" s="109">
        <v>5.9</v>
      </c>
    </row>
    <row r="984" spans="1:5" ht="22.5" customHeight="1">
      <c r="A984" s="101">
        <v>523952</v>
      </c>
      <c r="B984" s="104" t="s">
        <v>227</v>
      </c>
      <c r="C984" s="107">
        <v>87.6</v>
      </c>
      <c r="D984" s="107">
        <v>0</v>
      </c>
      <c r="E984" s="109">
        <v>8.6</v>
      </c>
    </row>
    <row r="985" spans="1:5" ht="22.5" customHeight="1">
      <c r="A985" s="101">
        <v>523954</v>
      </c>
      <c r="B985" s="104" t="s">
        <v>944</v>
      </c>
      <c r="C985" s="107">
        <v>88.9</v>
      </c>
      <c r="D985" s="107">
        <v>0</v>
      </c>
      <c r="E985" s="109">
        <v>7.1</v>
      </c>
    </row>
    <row r="986" spans="1:5" ht="22.5" customHeight="1">
      <c r="A986" s="101">
        <v>523961</v>
      </c>
      <c r="B986" s="104" t="s">
        <v>968</v>
      </c>
      <c r="C986" s="107">
        <v>89.9</v>
      </c>
      <c r="D986" s="107">
        <v>0</v>
      </c>
      <c r="E986" s="109">
        <v>9.6999999999999993</v>
      </c>
    </row>
    <row r="987" spans="1:5" ht="22.5" customHeight="1">
      <c r="A987" s="101">
        <v>523970</v>
      </c>
      <c r="B987" s="104" t="s">
        <v>228</v>
      </c>
      <c r="C987" s="107">
        <v>91.9</v>
      </c>
      <c r="D987" s="107">
        <v>0</v>
      </c>
      <c r="E987" s="109">
        <v>3</v>
      </c>
    </row>
    <row r="988" spans="1:5" ht="22.5" customHeight="1">
      <c r="A988" s="101">
        <v>523980</v>
      </c>
      <c r="B988" s="104" t="s">
        <v>229</v>
      </c>
      <c r="C988" s="107">
        <v>90.1</v>
      </c>
      <c r="D988" s="107">
        <v>0</v>
      </c>
      <c r="E988" s="109">
        <v>1.9</v>
      </c>
    </row>
    <row r="989" spans="1:5" ht="22.5" customHeight="1">
      <c r="A989" s="101">
        <v>523981</v>
      </c>
      <c r="B989" s="104" t="s">
        <v>942</v>
      </c>
      <c r="C989" s="107">
        <v>90.6</v>
      </c>
      <c r="D989" s="107">
        <v>0</v>
      </c>
      <c r="E989" s="109">
        <v>1.7</v>
      </c>
    </row>
    <row r="990" spans="1:5" ht="22.5" customHeight="1">
      <c r="A990" s="101">
        <v>523982</v>
      </c>
      <c r="B990" s="104" t="s">
        <v>942</v>
      </c>
      <c r="C990" s="107">
        <v>90</v>
      </c>
      <c r="D990" s="107">
        <v>0</v>
      </c>
      <c r="E990" s="109">
        <v>6.1</v>
      </c>
    </row>
    <row r="991" spans="1:5" ht="22.5" customHeight="1">
      <c r="A991" s="101">
        <v>523983</v>
      </c>
      <c r="B991" s="104" t="s">
        <v>961</v>
      </c>
      <c r="C991" s="107">
        <v>86.6</v>
      </c>
      <c r="D991" s="107">
        <v>0</v>
      </c>
      <c r="E991" s="109">
        <v>2.8</v>
      </c>
    </row>
    <row r="992" spans="1:5" ht="22.5" customHeight="1">
      <c r="A992" s="101">
        <v>523984</v>
      </c>
      <c r="B992" s="104" t="s">
        <v>944</v>
      </c>
      <c r="C992" s="107">
        <v>98.3</v>
      </c>
      <c r="D992" s="107">
        <v>0</v>
      </c>
      <c r="E992" s="109">
        <v>5</v>
      </c>
    </row>
    <row r="993" spans="1:5" ht="22.5" customHeight="1">
      <c r="A993" s="101">
        <v>523985</v>
      </c>
      <c r="B993" s="104" t="s">
        <v>944</v>
      </c>
      <c r="C993" s="107">
        <v>99.6</v>
      </c>
      <c r="D993" s="107">
        <v>0</v>
      </c>
      <c r="E993" s="109">
        <v>4.5999999999999996</v>
      </c>
    </row>
    <row r="994" spans="1:5" ht="22.5" customHeight="1">
      <c r="A994" s="101">
        <v>523986</v>
      </c>
      <c r="B994" s="104" t="s">
        <v>944</v>
      </c>
      <c r="C994" s="107">
        <v>87.7</v>
      </c>
      <c r="D994" s="107">
        <v>0</v>
      </c>
      <c r="E994" s="109">
        <v>7.3</v>
      </c>
    </row>
    <row r="995" spans="1:5" ht="22.5" customHeight="1">
      <c r="A995" s="101">
        <v>523987</v>
      </c>
      <c r="B995" s="104" t="s">
        <v>969</v>
      </c>
      <c r="C995" s="107">
        <v>90.5</v>
      </c>
      <c r="D995" s="107">
        <v>0</v>
      </c>
      <c r="E995" s="109">
        <v>5.2</v>
      </c>
    </row>
    <row r="996" spans="1:5" ht="22.5" customHeight="1">
      <c r="A996" s="101">
        <v>523988</v>
      </c>
      <c r="B996" s="104" t="s">
        <v>969</v>
      </c>
      <c r="C996" s="107">
        <v>86.7</v>
      </c>
      <c r="D996" s="107">
        <v>0</v>
      </c>
      <c r="E996" s="109">
        <v>6.6</v>
      </c>
    </row>
    <row r="997" spans="1:5" ht="22.5" customHeight="1">
      <c r="A997" s="101">
        <v>523990</v>
      </c>
      <c r="B997" s="104" t="s">
        <v>1151</v>
      </c>
      <c r="C997" s="107">
        <v>98.3</v>
      </c>
      <c r="D997" s="107">
        <v>0</v>
      </c>
      <c r="E997" s="109">
        <v>19</v>
      </c>
    </row>
    <row r="998" spans="1:5" ht="22.5" customHeight="1">
      <c r="A998" s="101">
        <v>523993</v>
      </c>
      <c r="B998" s="104" t="s">
        <v>213</v>
      </c>
      <c r="C998" s="107">
        <v>91.1</v>
      </c>
      <c r="D998" s="107">
        <v>0</v>
      </c>
      <c r="E998" s="109">
        <v>6</v>
      </c>
    </row>
    <row r="999" spans="1:5" ht="22.5" customHeight="1">
      <c r="A999" s="101">
        <v>523994</v>
      </c>
      <c r="B999" s="104" t="s">
        <v>944</v>
      </c>
      <c r="C999" s="107">
        <v>91.7</v>
      </c>
      <c r="D999" s="107">
        <v>0</v>
      </c>
      <c r="E999" s="109">
        <v>3</v>
      </c>
    </row>
    <row r="1000" spans="1:5" ht="22.5" customHeight="1">
      <c r="A1000" s="101">
        <v>523995</v>
      </c>
      <c r="B1000" s="104" t="s">
        <v>944</v>
      </c>
      <c r="C1000" s="107">
        <v>96.6</v>
      </c>
      <c r="D1000" s="107">
        <v>0</v>
      </c>
      <c r="E1000" s="109">
        <v>6.7</v>
      </c>
    </row>
    <row r="1001" spans="1:5" ht="22.5" customHeight="1">
      <c r="A1001" s="101">
        <v>523996</v>
      </c>
      <c r="B1001" s="104" t="s">
        <v>230</v>
      </c>
      <c r="C1001" s="107">
        <v>84.5</v>
      </c>
      <c r="D1001" s="107">
        <v>0</v>
      </c>
      <c r="E1001" s="109">
        <v>9</v>
      </c>
    </row>
    <row r="1002" spans="1:5" ht="22.5" customHeight="1">
      <c r="A1002" s="101">
        <v>523999</v>
      </c>
      <c r="B1002" s="104" t="s">
        <v>944</v>
      </c>
      <c r="C1002" s="107">
        <v>85.2</v>
      </c>
      <c r="D1002" s="107">
        <v>0</v>
      </c>
      <c r="E1002" s="109">
        <v>6</v>
      </c>
    </row>
    <row r="1003" spans="1:5" ht="22.5" customHeight="1">
      <c r="A1003" s="101">
        <v>524000</v>
      </c>
      <c r="B1003" s="104" t="s">
        <v>956</v>
      </c>
      <c r="C1003" s="107">
        <v>85.2</v>
      </c>
      <c r="D1003" s="107">
        <v>0</v>
      </c>
      <c r="E1003" s="109">
        <v>6.1</v>
      </c>
    </row>
    <row r="1004" spans="1:5" ht="22.5" customHeight="1">
      <c r="A1004" s="101">
        <v>524001</v>
      </c>
      <c r="B1004" s="104" t="s">
        <v>958</v>
      </c>
      <c r="C1004" s="107">
        <v>85.2</v>
      </c>
      <c r="D1004" s="107">
        <v>0</v>
      </c>
      <c r="E1004" s="109">
        <v>8.6</v>
      </c>
    </row>
    <row r="1005" spans="1:5" ht="22.5" customHeight="1">
      <c r="A1005" s="101">
        <v>524010</v>
      </c>
      <c r="B1005" s="104" t="s">
        <v>970</v>
      </c>
      <c r="C1005" s="107">
        <v>87.9</v>
      </c>
      <c r="D1005" s="107">
        <v>0</v>
      </c>
      <c r="E1005" s="109">
        <v>2.8</v>
      </c>
    </row>
    <row r="1006" spans="1:5" ht="22.5" customHeight="1">
      <c r="A1006" s="101">
        <v>524020</v>
      </c>
      <c r="B1006" s="104" t="s">
        <v>971</v>
      </c>
      <c r="C1006" s="107">
        <v>92.4</v>
      </c>
      <c r="D1006" s="107">
        <v>0</v>
      </c>
      <c r="E1006" s="109">
        <v>4</v>
      </c>
    </row>
    <row r="1007" spans="1:5" ht="22.5" customHeight="1">
      <c r="A1007" s="101">
        <v>524091</v>
      </c>
      <c r="B1007" s="104" t="s">
        <v>971</v>
      </c>
      <c r="C1007" s="107">
        <v>94.9</v>
      </c>
      <c r="D1007" s="107">
        <v>0</v>
      </c>
      <c r="E1007" s="109">
        <v>5.5</v>
      </c>
    </row>
    <row r="1008" spans="1:5" ht="22.5" customHeight="1">
      <c r="A1008" s="101">
        <v>524092</v>
      </c>
      <c r="B1008" s="104" t="s">
        <v>972</v>
      </c>
      <c r="C1008" s="107">
        <v>90.1</v>
      </c>
      <c r="D1008" s="107">
        <v>0</v>
      </c>
      <c r="E1008" s="109">
        <v>8.6</v>
      </c>
    </row>
    <row r="1009" spans="1:5" ht="22.5" customHeight="1">
      <c r="A1009" s="101">
        <v>524093</v>
      </c>
      <c r="B1009" s="104" t="s">
        <v>971</v>
      </c>
      <c r="C1009" s="107">
        <v>90.1</v>
      </c>
      <c r="D1009" s="107">
        <v>0</v>
      </c>
      <c r="E1009" s="109">
        <v>2.5</v>
      </c>
    </row>
    <row r="1010" spans="1:5" ht="22.5" customHeight="1">
      <c r="A1010" s="101">
        <v>525101</v>
      </c>
      <c r="B1010" s="104" t="s">
        <v>973</v>
      </c>
      <c r="C1010" s="107">
        <v>86</v>
      </c>
      <c r="D1010" s="107">
        <v>0</v>
      </c>
      <c r="E1010" s="109">
        <v>10.6</v>
      </c>
    </row>
    <row r="1011" spans="1:5" ht="22.5" customHeight="1">
      <c r="A1011" s="101">
        <v>525102</v>
      </c>
      <c r="B1011" s="104" t="s">
        <v>231</v>
      </c>
      <c r="C1011" s="107">
        <v>87.6</v>
      </c>
      <c r="D1011" s="107">
        <v>0</v>
      </c>
      <c r="E1011" s="109">
        <v>11.3</v>
      </c>
    </row>
    <row r="1012" spans="1:5" ht="22.5" customHeight="1">
      <c r="A1012" s="101">
        <v>525103</v>
      </c>
      <c r="B1012" s="104" t="s">
        <v>974</v>
      </c>
      <c r="C1012" s="107">
        <v>86</v>
      </c>
      <c r="D1012" s="107">
        <v>0</v>
      </c>
      <c r="E1012" s="109">
        <v>9.5</v>
      </c>
    </row>
    <row r="1013" spans="1:5" ht="22.5" customHeight="1">
      <c r="A1013" s="101">
        <v>525104</v>
      </c>
      <c r="B1013" s="104" t="s">
        <v>4399</v>
      </c>
      <c r="C1013" s="107">
        <v>86</v>
      </c>
      <c r="D1013" s="107">
        <v>0</v>
      </c>
      <c r="E1013" s="109">
        <v>5.9</v>
      </c>
    </row>
    <row r="1014" spans="1:5" ht="22.5" customHeight="1">
      <c r="A1014" s="101">
        <v>525105</v>
      </c>
      <c r="B1014" s="104" t="s">
        <v>2911</v>
      </c>
      <c r="C1014" s="107">
        <v>86</v>
      </c>
      <c r="D1014" s="107">
        <v>0</v>
      </c>
      <c r="E1014" s="109">
        <v>16</v>
      </c>
    </row>
    <row r="1015" spans="1:5" ht="22.5" customHeight="1">
      <c r="A1015" s="101">
        <v>525200</v>
      </c>
      <c r="B1015" s="104" t="s">
        <v>211</v>
      </c>
      <c r="C1015" s="107">
        <v>82.6</v>
      </c>
      <c r="D1015" s="107">
        <v>0</v>
      </c>
      <c r="E1015" s="109">
        <v>14.6</v>
      </c>
    </row>
    <row r="1016" spans="1:5" ht="22.5" customHeight="1">
      <c r="A1016" s="101">
        <v>525300</v>
      </c>
      <c r="B1016" s="104" t="s">
        <v>232</v>
      </c>
      <c r="C1016" s="107">
        <v>95.6</v>
      </c>
      <c r="D1016" s="107">
        <v>0</v>
      </c>
      <c r="E1016" s="109">
        <v>7.5</v>
      </c>
    </row>
    <row r="1017" spans="1:5" ht="22.5" customHeight="1">
      <c r="A1017" s="101">
        <v>525910</v>
      </c>
      <c r="B1017" s="104" t="s">
        <v>976</v>
      </c>
      <c r="C1017" s="107">
        <v>88.2</v>
      </c>
      <c r="D1017" s="107">
        <v>0</v>
      </c>
      <c r="E1017" s="109">
        <v>10</v>
      </c>
    </row>
    <row r="1018" spans="1:5" ht="22.5" customHeight="1">
      <c r="A1018" s="101">
        <v>525911</v>
      </c>
      <c r="B1018" s="104" t="s">
        <v>977</v>
      </c>
      <c r="C1018" s="107">
        <v>87.6</v>
      </c>
      <c r="D1018" s="107">
        <v>0</v>
      </c>
      <c r="E1018" s="109">
        <v>6.7</v>
      </c>
    </row>
    <row r="1019" spans="1:5" ht="22.5" customHeight="1">
      <c r="A1019" s="101">
        <v>525912</v>
      </c>
      <c r="B1019" s="104" t="s">
        <v>978</v>
      </c>
      <c r="C1019" s="107">
        <v>86.3</v>
      </c>
      <c r="D1019" s="107">
        <v>0</v>
      </c>
      <c r="E1019" s="109">
        <v>8.6</v>
      </c>
    </row>
    <row r="1020" spans="1:5" ht="22.5" customHeight="1">
      <c r="A1020" s="101">
        <v>551001</v>
      </c>
      <c r="B1020" s="104" t="s">
        <v>38</v>
      </c>
      <c r="C1020" s="107">
        <v>87.1</v>
      </c>
      <c r="D1020" s="107">
        <v>0</v>
      </c>
      <c r="E1020" s="109">
        <v>26.1</v>
      </c>
    </row>
    <row r="1021" spans="1:5" ht="22.5" customHeight="1">
      <c r="A1021" s="101">
        <v>551002</v>
      </c>
      <c r="B1021" s="104" t="s">
        <v>39</v>
      </c>
      <c r="C1021" s="107">
        <v>85</v>
      </c>
      <c r="D1021" s="107">
        <v>0</v>
      </c>
      <c r="E1021" s="109">
        <v>21.5</v>
      </c>
    </row>
    <row r="1022" spans="1:5" ht="22.5" customHeight="1">
      <c r="A1022" s="101">
        <v>551003</v>
      </c>
      <c r="B1022" s="104" t="s">
        <v>1174</v>
      </c>
      <c r="C1022" s="107">
        <v>86.4</v>
      </c>
      <c r="D1022" s="107">
        <v>0</v>
      </c>
      <c r="E1022" s="109">
        <v>18.399999999999999</v>
      </c>
    </row>
    <row r="1023" spans="1:5" ht="22.5" customHeight="1">
      <c r="A1023" s="101">
        <v>551004</v>
      </c>
      <c r="B1023" s="104" t="s">
        <v>1011</v>
      </c>
      <c r="C1023" s="107">
        <v>77</v>
      </c>
      <c r="D1023" s="107">
        <v>0</v>
      </c>
      <c r="E1023" s="109">
        <v>26.1</v>
      </c>
    </row>
    <row r="1024" spans="1:5" ht="22.5" customHeight="1">
      <c r="A1024" s="101">
        <v>551005</v>
      </c>
      <c r="B1024" s="104" t="s">
        <v>1012</v>
      </c>
      <c r="C1024" s="107">
        <v>82.9</v>
      </c>
      <c r="D1024" s="107">
        <v>0</v>
      </c>
      <c r="E1024" s="109">
        <v>19.7</v>
      </c>
    </row>
    <row r="1025" spans="1:5" ht="22.5" customHeight="1">
      <c r="A1025" s="101">
        <v>551006</v>
      </c>
      <c r="B1025" s="104" t="s">
        <v>1013</v>
      </c>
      <c r="C1025" s="107">
        <v>86.3</v>
      </c>
      <c r="D1025" s="107">
        <v>0</v>
      </c>
      <c r="E1025" s="109">
        <v>18.399999999999999</v>
      </c>
    </row>
    <row r="1026" spans="1:5" ht="22.5" customHeight="1">
      <c r="A1026" s="101">
        <v>551007</v>
      </c>
      <c r="B1026" s="104" t="s">
        <v>4405</v>
      </c>
      <c r="C1026" s="107">
        <v>84.6</v>
      </c>
      <c r="D1026" s="107">
        <v>0</v>
      </c>
      <c r="E1026" s="109">
        <v>17.3</v>
      </c>
    </row>
    <row r="1027" spans="1:5" ht="22.5" customHeight="1">
      <c r="A1027" s="101">
        <v>551009</v>
      </c>
      <c r="B1027" s="104" t="s">
        <v>39</v>
      </c>
      <c r="C1027" s="107">
        <v>86</v>
      </c>
      <c r="D1027" s="107">
        <v>0</v>
      </c>
      <c r="E1027" s="109">
        <v>20.2</v>
      </c>
    </row>
    <row r="1028" spans="1:5" ht="22.5" customHeight="1">
      <c r="A1028" s="101">
        <v>551010</v>
      </c>
      <c r="B1028" s="104" t="s">
        <v>1011</v>
      </c>
      <c r="C1028" s="107">
        <v>84.9</v>
      </c>
      <c r="D1028" s="107">
        <v>0</v>
      </c>
      <c r="E1028" s="109">
        <v>21.2</v>
      </c>
    </row>
    <row r="1029" spans="1:5" ht="22.5" customHeight="1">
      <c r="A1029" s="101">
        <v>551015</v>
      </c>
      <c r="B1029" s="104" t="s">
        <v>1013</v>
      </c>
      <c r="C1029" s="107">
        <v>87.4</v>
      </c>
      <c r="D1029" s="107">
        <v>0</v>
      </c>
      <c r="E1029" s="109">
        <v>22.1</v>
      </c>
    </row>
    <row r="1030" spans="1:5" ht="22.5" customHeight="1">
      <c r="A1030" s="101">
        <v>551016</v>
      </c>
      <c r="B1030" s="104" t="s">
        <v>1015</v>
      </c>
      <c r="C1030" s="107">
        <v>86.4</v>
      </c>
      <c r="D1030" s="107">
        <v>0</v>
      </c>
      <c r="E1030" s="109">
        <v>17.7</v>
      </c>
    </row>
    <row r="1031" spans="1:5" ht="22.5" customHeight="1">
      <c r="A1031" s="101">
        <v>551017</v>
      </c>
      <c r="B1031" s="104" t="s">
        <v>1016</v>
      </c>
      <c r="C1031" s="107">
        <v>86.9</v>
      </c>
      <c r="D1031" s="107">
        <v>0</v>
      </c>
      <c r="E1031" s="109">
        <v>16.100000000000001</v>
      </c>
    </row>
    <row r="1032" spans="1:5" ht="22.5" customHeight="1">
      <c r="A1032" s="101">
        <v>552101</v>
      </c>
      <c r="B1032" s="104" t="s">
        <v>1017</v>
      </c>
      <c r="C1032" s="107">
        <v>89.7</v>
      </c>
      <c r="D1032" s="107">
        <v>0</v>
      </c>
      <c r="E1032" s="109">
        <v>10.199999999999999</v>
      </c>
    </row>
    <row r="1033" spans="1:5" ht="22.5" customHeight="1">
      <c r="A1033" s="101">
        <v>552102</v>
      </c>
      <c r="B1033" s="104" t="s">
        <v>249</v>
      </c>
      <c r="C1033" s="107">
        <v>88.4</v>
      </c>
      <c r="D1033" s="107">
        <v>0</v>
      </c>
      <c r="E1033" s="109">
        <v>11.4</v>
      </c>
    </row>
    <row r="1034" spans="1:5" ht="22.5" customHeight="1">
      <c r="A1034" s="101">
        <v>552103</v>
      </c>
      <c r="B1034" s="104" t="s">
        <v>250</v>
      </c>
      <c r="C1034" s="107">
        <v>86.7</v>
      </c>
      <c r="D1034" s="107">
        <v>0</v>
      </c>
      <c r="E1034" s="109">
        <v>9.1999999999999993</v>
      </c>
    </row>
    <row r="1035" spans="1:5" ht="22.5" customHeight="1">
      <c r="A1035" s="101">
        <v>552104</v>
      </c>
      <c r="B1035" s="104" t="s">
        <v>1018</v>
      </c>
      <c r="C1035" s="107">
        <v>87.4</v>
      </c>
      <c r="D1035" s="107">
        <v>0</v>
      </c>
      <c r="E1035" s="109">
        <v>11.6</v>
      </c>
    </row>
    <row r="1036" spans="1:5" ht="22.5" customHeight="1">
      <c r="A1036" s="101">
        <v>552105</v>
      </c>
      <c r="B1036" s="104" t="s">
        <v>251</v>
      </c>
      <c r="C1036" s="107">
        <v>86</v>
      </c>
      <c r="D1036" s="107">
        <v>0</v>
      </c>
      <c r="E1036" s="109">
        <v>11</v>
      </c>
    </row>
    <row r="1037" spans="1:5" ht="22.5" customHeight="1">
      <c r="A1037" s="101">
        <v>552107</v>
      </c>
      <c r="B1037" s="104" t="s">
        <v>1019</v>
      </c>
      <c r="C1037" s="107">
        <v>86.1</v>
      </c>
      <c r="D1037" s="107">
        <v>0</v>
      </c>
      <c r="E1037" s="109">
        <v>9.6999999999999993</v>
      </c>
    </row>
    <row r="1038" spans="1:5" ht="22.5" customHeight="1">
      <c r="A1038" s="101">
        <v>552108</v>
      </c>
      <c r="B1038" s="104" t="s">
        <v>1020</v>
      </c>
      <c r="C1038" s="107">
        <v>91</v>
      </c>
      <c r="D1038" s="107">
        <v>0</v>
      </c>
      <c r="E1038" s="109">
        <v>12.5</v>
      </c>
    </row>
    <row r="1039" spans="1:5" ht="22.5" customHeight="1">
      <c r="A1039" s="101">
        <v>552109</v>
      </c>
      <c r="B1039" s="104" t="s">
        <v>1021</v>
      </c>
      <c r="C1039" s="107">
        <v>90</v>
      </c>
      <c r="D1039" s="107">
        <v>0</v>
      </c>
      <c r="E1039" s="109">
        <v>9</v>
      </c>
    </row>
    <row r="1040" spans="1:5" ht="22.5" customHeight="1">
      <c r="A1040" s="101">
        <v>552114</v>
      </c>
      <c r="B1040" s="104" t="s">
        <v>1022</v>
      </c>
      <c r="C1040" s="107">
        <v>89.7</v>
      </c>
      <c r="D1040" s="107">
        <v>0</v>
      </c>
      <c r="E1040" s="109">
        <v>10.8</v>
      </c>
    </row>
    <row r="1041" spans="1:5" ht="22.5" customHeight="1">
      <c r="A1041" s="101">
        <v>552115</v>
      </c>
      <c r="B1041" s="104" t="s">
        <v>1023</v>
      </c>
      <c r="C1041" s="107">
        <v>89.7</v>
      </c>
      <c r="D1041" s="107">
        <v>0</v>
      </c>
      <c r="E1041" s="109">
        <v>9.5</v>
      </c>
    </row>
    <row r="1042" spans="1:5" ht="22.5" customHeight="1">
      <c r="A1042" s="101">
        <v>552116</v>
      </c>
      <c r="B1042" s="104" t="s">
        <v>1024</v>
      </c>
      <c r="C1042" s="107">
        <v>89.7</v>
      </c>
      <c r="D1042" s="107">
        <v>0</v>
      </c>
      <c r="E1042" s="109">
        <v>10.1</v>
      </c>
    </row>
    <row r="1043" spans="1:5" ht="22.5" customHeight="1">
      <c r="A1043" s="101">
        <v>552117</v>
      </c>
      <c r="B1043" s="104" t="s">
        <v>1025</v>
      </c>
      <c r="C1043" s="107">
        <v>86.7</v>
      </c>
      <c r="D1043" s="107">
        <v>0</v>
      </c>
      <c r="E1043" s="109">
        <v>13.4</v>
      </c>
    </row>
    <row r="1044" spans="1:5" ht="22.5" customHeight="1">
      <c r="A1044" s="101">
        <v>552118</v>
      </c>
      <c r="B1044" s="104" t="s">
        <v>1026</v>
      </c>
      <c r="C1044" s="107">
        <v>86.1</v>
      </c>
      <c r="D1044" s="107">
        <v>0</v>
      </c>
      <c r="E1044" s="109">
        <v>14.2</v>
      </c>
    </row>
    <row r="1045" spans="1:5" ht="22.5" customHeight="1">
      <c r="A1045" s="101">
        <v>552119</v>
      </c>
      <c r="B1045" s="104" t="s">
        <v>1020</v>
      </c>
      <c r="C1045" s="107">
        <v>86.1</v>
      </c>
      <c r="D1045" s="107">
        <v>0</v>
      </c>
      <c r="E1045" s="109">
        <v>7.9</v>
      </c>
    </row>
    <row r="1046" spans="1:5" ht="22.5" customHeight="1">
      <c r="A1046" s="101">
        <v>552123</v>
      </c>
      <c r="B1046" s="104" t="s">
        <v>1027</v>
      </c>
      <c r="C1046" s="107">
        <v>91</v>
      </c>
      <c r="D1046" s="107">
        <v>0</v>
      </c>
      <c r="E1046" s="109">
        <v>12</v>
      </c>
    </row>
    <row r="1047" spans="1:5" ht="22.5" customHeight="1">
      <c r="A1047" s="101">
        <v>552201</v>
      </c>
      <c r="B1047" s="104" t="s">
        <v>1028</v>
      </c>
      <c r="C1047" s="107">
        <v>46</v>
      </c>
      <c r="D1047" s="107">
        <v>0</v>
      </c>
      <c r="E1047" s="109">
        <v>12.6</v>
      </c>
    </row>
    <row r="1048" spans="1:5" ht="22.5" customHeight="1">
      <c r="A1048" s="101">
        <v>552202</v>
      </c>
      <c r="B1048" s="104" t="s">
        <v>1028</v>
      </c>
      <c r="C1048" s="107">
        <v>64.599999999999994</v>
      </c>
      <c r="D1048" s="107">
        <v>0</v>
      </c>
      <c r="E1048" s="109">
        <v>10.5</v>
      </c>
    </row>
    <row r="1049" spans="1:5" ht="22.5" customHeight="1">
      <c r="A1049" s="101">
        <v>552203</v>
      </c>
      <c r="B1049" s="104" t="s">
        <v>1029</v>
      </c>
      <c r="C1049" s="107">
        <v>56.5</v>
      </c>
      <c r="D1049" s="107">
        <v>0</v>
      </c>
      <c r="E1049" s="109">
        <v>7.8</v>
      </c>
    </row>
    <row r="1050" spans="1:5" ht="22.5" customHeight="1">
      <c r="A1050" s="101">
        <v>552204</v>
      </c>
      <c r="B1050" s="104" t="s">
        <v>1028</v>
      </c>
      <c r="C1050" s="107">
        <v>84.2</v>
      </c>
      <c r="D1050" s="107">
        <v>0</v>
      </c>
      <c r="E1050" s="109">
        <v>12.2</v>
      </c>
    </row>
    <row r="1051" spans="1:5" ht="22.5" customHeight="1">
      <c r="A1051" s="101">
        <v>552205</v>
      </c>
      <c r="B1051" s="104" t="s">
        <v>1030</v>
      </c>
      <c r="C1051" s="107">
        <v>88.2</v>
      </c>
      <c r="D1051" s="107">
        <v>0</v>
      </c>
      <c r="E1051" s="109">
        <v>11.1</v>
      </c>
    </row>
    <row r="1052" spans="1:5" ht="22.5" customHeight="1">
      <c r="A1052" s="101">
        <v>552206</v>
      </c>
      <c r="B1052" s="104" t="s">
        <v>1028</v>
      </c>
      <c r="C1052" s="107">
        <v>56.5</v>
      </c>
      <c r="D1052" s="107">
        <v>0</v>
      </c>
      <c r="E1052" s="109">
        <v>9.9</v>
      </c>
    </row>
    <row r="1053" spans="1:5" ht="22.5" customHeight="1">
      <c r="A1053" s="101">
        <v>552207</v>
      </c>
      <c r="B1053" s="104" t="s">
        <v>252</v>
      </c>
      <c r="C1053" s="107">
        <v>58.4</v>
      </c>
      <c r="D1053" s="107">
        <v>0</v>
      </c>
      <c r="E1053" s="109">
        <v>9.6999999999999993</v>
      </c>
    </row>
    <row r="1054" spans="1:5" ht="22.5" customHeight="1">
      <c r="A1054" s="101">
        <v>552208</v>
      </c>
      <c r="B1054" s="104" t="s">
        <v>252</v>
      </c>
      <c r="C1054" s="107">
        <v>75.2</v>
      </c>
      <c r="D1054" s="107">
        <v>0</v>
      </c>
      <c r="E1054" s="109">
        <v>15</v>
      </c>
    </row>
    <row r="1055" spans="1:5" ht="22.5" customHeight="1">
      <c r="A1055" s="101">
        <v>552209</v>
      </c>
      <c r="B1055" s="104" t="s">
        <v>252</v>
      </c>
      <c r="C1055" s="107">
        <v>88.7</v>
      </c>
      <c r="D1055" s="107">
        <v>0</v>
      </c>
      <c r="E1055" s="109">
        <v>11.9</v>
      </c>
    </row>
    <row r="1056" spans="1:5" ht="22.5" customHeight="1">
      <c r="A1056" s="101">
        <v>552210</v>
      </c>
      <c r="B1056" s="104" t="s">
        <v>252</v>
      </c>
      <c r="C1056" s="107">
        <v>88.2</v>
      </c>
      <c r="D1056" s="107">
        <v>0</v>
      </c>
      <c r="E1056" s="109">
        <v>11.5</v>
      </c>
    </row>
    <row r="1057" spans="1:5" ht="22.5" customHeight="1">
      <c r="A1057" s="101">
        <v>552211</v>
      </c>
      <c r="B1057" s="104" t="s">
        <v>252</v>
      </c>
      <c r="C1057" s="107">
        <v>64.599999999999994</v>
      </c>
      <c r="D1057" s="107">
        <v>0</v>
      </c>
      <c r="E1057" s="109">
        <v>15</v>
      </c>
    </row>
    <row r="1058" spans="1:5" ht="22.5" customHeight="1">
      <c r="A1058" s="101">
        <v>552301</v>
      </c>
      <c r="B1058" s="104" t="s">
        <v>253</v>
      </c>
      <c r="C1058" s="107">
        <v>89.9</v>
      </c>
      <c r="D1058" s="107">
        <v>0</v>
      </c>
      <c r="E1058" s="109">
        <v>8.6</v>
      </c>
    </row>
    <row r="1059" spans="1:5" ht="22.5" customHeight="1">
      <c r="A1059" s="101">
        <v>552303</v>
      </c>
      <c r="B1059" s="104" t="s">
        <v>1031</v>
      </c>
      <c r="C1059" s="107">
        <v>87.5</v>
      </c>
      <c r="D1059" s="107">
        <v>0</v>
      </c>
      <c r="E1059" s="109">
        <v>12.9</v>
      </c>
    </row>
    <row r="1060" spans="1:5" ht="22.5" customHeight="1">
      <c r="A1060" s="101">
        <v>552305</v>
      </c>
      <c r="B1060" s="104" t="s">
        <v>1027</v>
      </c>
      <c r="C1060" s="107">
        <v>87.1</v>
      </c>
      <c r="D1060" s="107">
        <v>0</v>
      </c>
      <c r="E1060" s="109">
        <v>12.7</v>
      </c>
    </row>
    <row r="1061" spans="1:5" ht="22.5" customHeight="1">
      <c r="A1061" s="101">
        <v>552307</v>
      </c>
      <c r="B1061" s="104" t="s">
        <v>1032</v>
      </c>
      <c r="C1061" s="107">
        <v>89</v>
      </c>
      <c r="D1061" s="107">
        <v>0</v>
      </c>
      <c r="E1061" s="109">
        <v>12.9</v>
      </c>
    </row>
    <row r="1062" spans="1:5" ht="22.5" customHeight="1">
      <c r="A1062" s="101">
        <v>552308</v>
      </c>
      <c r="B1062" s="104" t="s">
        <v>1033</v>
      </c>
      <c r="C1062" s="107">
        <v>87.1</v>
      </c>
      <c r="D1062" s="107">
        <v>0</v>
      </c>
      <c r="E1062" s="109">
        <v>8.4</v>
      </c>
    </row>
    <row r="1063" spans="1:5" ht="22.5" customHeight="1">
      <c r="A1063" s="101">
        <v>552309</v>
      </c>
      <c r="B1063" s="104" t="s">
        <v>1026</v>
      </c>
      <c r="C1063" s="107">
        <v>87.1</v>
      </c>
      <c r="D1063" s="107">
        <v>0</v>
      </c>
      <c r="E1063" s="109">
        <v>13.5</v>
      </c>
    </row>
    <row r="1064" spans="1:5" ht="22.5" customHeight="1">
      <c r="A1064" s="101">
        <v>601000</v>
      </c>
      <c r="B1064" s="104" t="s">
        <v>979</v>
      </c>
      <c r="C1064" s="107">
        <v>95.1</v>
      </c>
      <c r="D1064" s="107">
        <v>0</v>
      </c>
      <c r="E1064" s="109">
        <v>24.5</v>
      </c>
    </row>
    <row r="1065" spans="1:5" ht="22.5" customHeight="1">
      <c r="A1065" s="101">
        <v>601001</v>
      </c>
      <c r="B1065" s="104" t="s">
        <v>980</v>
      </c>
      <c r="C1065" s="107">
        <v>95.1</v>
      </c>
      <c r="D1065" s="107">
        <v>0</v>
      </c>
      <c r="E1065" s="109">
        <v>24.5</v>
      </c>
    </row>
    <row r="1066" spans="1:5" ht="22.5" customHeight="1">
      <c r="A1066" s="101">
        <v>601002</v>
      </c>
      <c r="B1066" s="104" t="s">
        <v>981</v>
      </c>
      <c r="C1066" s="107">
        <v>95.1</v>
      </c>
      <c r="D1066" s="107">
        <v>0</v>
      </c>
      <c r="E1066" s="109">
        <v>24.5</v>
      </c>
    </row>
    <row r="1067" spans="1:5" ht="22.5" customHeight="1">
      <c r="A1067" s="101">
        <v>602101</v>
      </c>
      <c r="B1067" s="104" t="s">
        <v>233</v>
      </c>
      <c r="C1067" s="107">
        <v>83</v>
      </c>
      <c r="D1067" s="107">
        <v>0</v>
      </c>
      <c r="E1067" s="109">
        <v>21.1</v>
      </c>
    </row>
    <row r="1068" spans="1:5" ht="22.5" customHeight="1">
      <c r="A1068" s="101">
        <v>602102</v>
      </c>
      <c r="B1068" s="104" t="s">
        <v>233</v>
      </c>
      <c r="C1068" s="107">
        <v>92</v>
      </c>
      <c r="D1068" s="107">
        <v>0</v>
      </c>
      <c r="E1068" s="109">
        <v>16</v>
      </c>
    </row>
    <row r="1069" spans="1:5" ht="22.5" customHeight="1">
      <c r="A1069" s="101">
        <v>602103</v>
      </c>
      <c r="B1069" s="104" t="s">
        <v>234</v>
      </c>
      <c r="C1069" s="107">
        <v>93.5</v>
      </c>
      <c r="D1069" s="107">
        <v>0</v>
      </c>
      <c r="E1069" s="109">
        <v>20</v>
      </c>
    </row>
    <row r="1070" spans="1:5" ht="22.5" customHeight="1">
      <c r="A1070" s="101">
        <v>602104</v>
      </c>
      <c r="B1070" s="104" t="s">
        <v>235</v>
      </c>
      <c r="C1070" s="107">
        <v>93.5</v>
      </c>
      <c r="D1070" s="107">
        <v>0</v>
      </c>
      <c r="E1070" s="109">
        <v>15.7</v>
      </c>
    </row>
    <row r="1071" spans="1:5" ht="22.5" customHeight="1">
      <c r="A1071" s="101">
        <v>602109</v>
      </c>
      <c r="B1071" s="104" t="s">
        <v>235</v>
      </c>
      <c r="C1071" s="107">
        <v>85.6</v>
      </c>
      <c r="D1071" s="107">
        <v>0</v>
      </c>
      <c r="E1071" s="109">
        <v>14</v>
      </c>
    </row>
    <row r="1072" spans="1:5" ht="22.5" customHeight="1">
      <c r="A1072" s="102">
        <v>602110</v>
      </c>
      <c r="B1072" s="105" t="s">
        <v>235</v>
      </c>
      <c r="C1072" s="107">
        <v>85.6</v>
      </c>
      <c r="D1072" s="107">
        <v>0</v>
      </c>
      <c r="E1072" s="109">
        <v>14</v>
      </c>
    </row>
    <row r="1073" spans="1:5" ht="22.5" customHeight="1">
      <c r="A1073" s="101">
        <v>602201</v>
      </c>
      <c r="B1073" s="104" t="s">
        <v>236</v>
      </c>
      <c r="C1073" s="107">
        <v>90.8</v>
      </c>
      <c r="D1073" s="107">
        <v>0</v>
      </c>
      <c r="E1073" s="109">
        <v>21.7</v>
      </c>
    </row>
    <row r="1074" spans="1:5" ht="22.5" customHeight="1">
      <c r="A1074" s="101">
        <v>602203</v>
      </c>
      <c r="B1074" s="104" t="s">
        <v>236</v>
      </c>
      <c r="C1074" s="107">
        <v>86</v>
      </c>
      <c r="D1074" s="107">
        <v>0</v>
      </c>
      <c r="E1074" s="109">
        <v>16.8</v>
      </c>
    </row>
    <row r="1075" spans="1:5" ht="22.5" customHeight="1">
      <c r="A1075" s="101">
        <v>602204</v>
      </c>
      <c r="B1075" s="104" t="s">
        <v>4400</v>
      </c>
      <c r="C1075" s="107">
        <v>95.7</v>
      </c>
      <c r="D1075" s="107">
        <v>0</v>
      </c>
      <c r="E1075" s="109">
        <v>22.3</v>
      </c>
    </row>
    <row r="1076" spans="1:5" ht="22.5" customHeight="1">
      <c r="A1076" s="101">
        <v>602205</v>
      </c>
      <c r="B1076" s="104" t="s">
        <v>237</v>
      </c>
      <c r="C1076" s="107">
        <v>87.6</v>
      </c>
      <c r="D1076" s="107">
        <v>0</v>
      </c>
      <c r="E1076" s="109">
        <v>23.6</v>
      </c>
    </row>
    <row r="1077" spans="1:5" ht="22.5" customHeight="1">
      <c r="A1077" s="101">
        <v>602206</v>
      </c>
      <c r="B1077" s="104" t="s">
        <v>236</v>
      </c>
      <c r="C1077" s="107">
        <v>95.7</v>
      </c>
      <c r="D1077" s="107">
        <v>0</v>
      </c>
      <c r="E1077" s="109">
        <v>11.8</v>
      </c>
    </row>
    <row r="1078" spans="1:5" ht="22.5" customHeight="1">
      <c r="A1078" s="101">
        <v>602209</v>
      </c>
      <c r="B1078" s="104" t="s">
        <v>238</v>
      </c>
      <c r="C1078" s="107">
        <v>86.3</v>
      </c>
      <c r="D1078" s="107">
        <v>0</v>
      </c>
      <c r="E1078" s="109">
        <v>22.4</v>
      </c>
    </row>
    <row r="1079" spans="1:5" ht="22.5" customHeight="1">
      <c r="A1079" s="101">
        <v>602301</v>
      </c>
      <c r="B1079" s="104" t="s">
        <v>982</v>
      </c>
      <c r="C1079" s="107">
        <v>91.6</v>
      </c>
      <c r="D1079" s="107">
        <v>0</v>
      </c>
      <c r="E1079" s="109">
        <v>25.8</v>
      </c>
    </row>
    <row r="1080" spans="1:5" ht="22.5" customHeight="1">
      <c r="A1080" s="101">
        <v>602302</v>
      </c>
      <c r="B1080" s="104" t="s">
        <v>983</v>
      </c>
      <c r="C1080" s="107">
        <v>91.1</v>
      </c>
      <c r="D1080" s="107">
        <v>0</v>
      </c>
      <c r="E1080" s="109">
        <v>23.9</v>
      </c>
    </row>
    <row r="1081" spans="1:5" ht="22.5" customHeight="1">
      <c r="A1081" s="101">
        <v>602303</v>
      </c>
      <c r="B1081" s="104" t="s">
        <v>983</v>
      </c>
      <c r="C1081" s="107">
        <v>90.8</v>
      </c>
      <c r="D1081" s="107">
        <v>0</v>
      </c>
      <c r="E1081" s="109">
        <v>24.9</v>
      </c>
    </row>
    <row r="1082" spans="1:5" ht="22.5" customHeight="1">
      <c r="A1082" s="101">
        <v>602304</v>
      </c>
      <c r="B1082" s="104" t="s">
        <v>983</v>
      </c>
      <c r="C1082" s="107">
        <v>86.2</v>
      </c>
      <c r="D1082" s="107">
        <v>0</v>
      </c>
      <c r="E1082" s="109">
        <v>23.4</v>
      </c>
    </row>
    <row r="1083" spans="1:5" ht="22.5" customHeight="1">
      <c r="A1083" s="101">
        <v>602305</v>
      </c>
      <c r="B1083" s="104" t="s">
        <v>983</v>
      </c>
      <c r="C1083" s="107">
        <v>90.8</v>
      </c>
      <c r="D1083" s="107">
        <v>0</v>
      </c>
      <c r="E1083" s="109">
        <v>22.2</v>
      </c>
    </row>
    <row r="1084" spans="1:5" ht="22.5" customHeight="1">
      <c r="A1084" s="101">
        <v>602306</v>
      </c>
      <c r="B1084" s="104" t="s">
        <v>984</v>
      </c>
      <c r="C1084" s="107">
        <v>88.6</v>
      </c>
      <c r="D1084" s="107">
        <v>0</v>
      </c>
      <c r="E1084" s="109">
        <v>23.1</v>
      </c>
    </row>
    <row r="1085" spans="1:5" ht="22.5" customHeight="1">
      <c r="A1085" s="101">
        <v>602307</v>
      </c>
      <c r="B1085" s="104" t="s">
        <v>982</v>
      </c>
      <c r="C1085" s="107">
        <v>89.2</v>
      </c>
      <c r="D1085" s="107">
        <v>0</v>
      </c>
      <c r="E1085" s="109">
        <v>25.4</v>
      </c>
    </row>
    <row r="1086" spans="1:5" ht="22.5" customHeight="1">
      <c r="A1086" s="101">
        <v>602308</v>
      </c>
      <c r="B1086" s="104" t="s">
        <v>4401</v>
      </c>
      <c r="C1086" s="107">
        <v>87.3</v>
      </c>
      <c r="D1086" s="107">
        <v>0</v>
      </c>
      <c r="E1086" s="109">
        <v>23.7</v>
      </c>
    </row>
    <row r="1087" spans="1:5" ht="22.5" customHeight="1">
      <c r="A1087" s="101">
        <v>602309</v>
      </c>
      <c r="B1087" s="104" t="s">
        <v>985</v>
      </c>
      <c r="C1087" s="107">
        <v>93.5</v>
      </c>
      <c r="D1087" s="107">
        <v>0</v>
      </c>
      <c r="E1087" s="109">
        <v>17.5</v>
      </c>
    </row>
    <row r="1088" spans="1:5" ht="22.5" customHeight="1">
      <c r="A1088" s="101">
        <v>602310</v>
      </c>
      <c r="B1088" s="104" t="s">
        <v>986</v>
      </c>
      <c r="C1088" s="107">
        <v>91.6</v>
      </c>
      <c r="D1088" s="107">
        <v>0</v>
      </c>
      <c r="E1088" s="109">
        <v>23.5</v>
      </c>
    </row>
    <row r="1089" spans="1:5" ht="22.5" customHeight="1">
      <c r="A1089" s="101">
        <v>602313</v>
      </c>
      <c r="B1089" s="104" t="s">
        <v>987</v>
      </c>
      <c r="C1089" s="107">
        <v>93.5</v>
      </c>
      <c r="D1089" s="107">
        <v>0</v>
      </c>
      <c r="E1089" s="109">
        <v>33.4</v>
      </c>
    </row>
    <row r="1090" spans="1:5" ht="22.5" customHeight="1">
      <c r="A1090" s="101">
        <v>602314</v>
      </c>
      <c r="B1090" s="104" t="s">
        <v>983</v>
      </c>
      <c r="C1090" s="107">
        <v>90.8</v>
      </c>
      <c r="D1090" s="107">
        <v>0</v>
      </c>
      <c r="E1090" s="109">
        <v>24.7</v>
      </c>
    </row>
    <row r="1091" spans="1:5" ht="22.5" customHeight="1">
      <c r="A1091" s="101">
        <v>602315</v>
      </c>
      <c r="B1091" s="104" t="s">
        <v>983</v>
      </c>
      <c r="C1091" s="107">
        <v>91.6</v>
      </c>
      <c r="D1091" s="107">
        <v>0</v>
      </c>
      <c r="E1091" s="109">
        <v>24.2</v>
      </c>
    </row>
    <row r="1092" spans="1:5" ht="22.5" customHeight="1">
      <c r="A1092" s="102">
        <v>602316</v>
      </c>
      <c r="B1092" s="105" t="s">
        <v>983</v>
      </c>
      <c r="C1092" s="107">
        <v>91.1</v>
      </c>
      <c r="D1092" s="107">
        <v>0</v>
      </c>
      <c r="E1092" s="109">
        <v>23.9</v>
      </c>
    </row>
    <row r="1093" spans="1:5" ht="22.5" customHeight="1">
      <c r="A1093" s="101">
        <v>603000</v>
      </c>
      <c r="B1093" s="104" t="s">
        <v>239</v>
      </c>
      <c r="C1093" s="107">
        <v>91.9</v>
      </c>
      <c r="D1093" s="107">
        <v>0</v>
      </c>
      <c r="E1093" s="109">
        <v>27.5</v>
      </c>
    </row>
    <row r="1094" spans="1:5" ht="22.5" customHeight="1">
      <c r="A1094" s="101">
        <v>611001</v>
      </c>
      <c r="B1094" s="104" t="s">
        <v>240</v>
      </c>
      <c r="C1094" s="107">
        <v>93.3</v>
      </c>
      <c r="D1094" s="107">
        <v>0</v>
      </c>
      <c r="E1094" s="109">
        <v>20.3</v>
      </c>
    </row>
    <row r="1095" spans="1:5" ht="22.5" customHeight="1">
      <c r="A1095" s="101">
        <v>611002</v>
      </c>
      <c r="B1095" s="104" t="s">
        <v>988</v>
      </c>
      <c r="C1095" s="107">
        <v>88.2</v>
      </c>
      <c r="D1095" s="107">
        <v>0</v>
      </c>
      <c r="E1095" s="109">
        <v>22.2</v>
      </c>
    </row>
    <row r="1096" spans="1:5" ht="22.5" customHeight="1">
      <c r="A1096" s="101">
        <v>611003</v>
      </c>
      <c r="B1096" s="104" t="s">
        <v>241</v>
      </c>
      <c r="C1096" s="107">
        <v>88.8</v>
      </c>
      <c r="D1096" s="107">
        <v>0</v>
      </c>
      <c r="E1096" s="109">
        <v>24.8</v>
      </c>
    </row>
    <row r="1097" spans="1:5" ht="22.5" customHeight="1">
      <c r="A1097" s="101">
        <v>611004</v>
      </c>
      <c r="B1097" s="104" t="s">
        <v>242</v>
      </c>
      <c r="C1097" s="107">
        <v>88.2</v>
      </c>
      <c r="D1097" s="107">
        <v>0</v>
      </c>
      <c r="E1097" s="109">
        <v>18.100000000000001</v>
      </c>
    </row>
    <row r="1098" spans="1:5" ht="22.5" customHeight="1">
      <c r="A1098" s="101">
        <v>611005</v>
      </c>
      <c r="B1098" s="104" t="s">
        <v>989</v>
      </c>
      <c r="C1098" s="107">
        <v>88.2</v>
      </c>
      <c r="D1098" s="107">
        <v>0</v>
      </c>
      <c r="E1098" s="109">
        <v>24.7</v>
      </c>
    </row>
    <row r="1099" spans="1:5" ht="22.5" customHeight="1">
      <c r="A1099" s="101">
        <v>612000</v>
      </c>
      <c r="B1099" s="104" t="s">
        <v>990</v>
      </c>
      <c r="C1099" s="107">
        <v>88.7</v>
      </c>
      <c r="D1099" s="107">
        <v>0</v>
      </c>
      <c r="E1099" s="109">
        <v>22.7</v>
      </c>
    </row>
    <row r="1100" spans="1:5" ht="22.5" customHeight="1">
      <c r="A1100" s="101">
        <v>612001</v>
      </c>
      <c r="B1100" s="104" t="s">
        <v>991</v>
      </c>
      <c r="C1100" s="107">
        <v>88.7</v>
      </c>
      <c r="D1100" s="107">
        <v>0</v>
      </c>
      <c r="E1100" s="109">
        <v>25.2</v>
      </c>
    </row>
    <row r="1101" spans="1:5" ht="22.5" customHeight="1">
      <c r="A1101" s="101">
        <v>612002</v>
      </c>
      <c r="B1101" s="104" t="s">
        <v>992</v>
      </c>
      <c r="C1101" s="107">
        <v>88.7</v>
      </c>
      <c r="D1101" s="107">
        <v>0</v>
      </c>
      <c r="E1101" s="109">
        <v>25.2</v>
      </c>
    </row>
    <row r="1102" spans="1:5" ht="22.5" customHeight="1">
      <c r="A1102" s="101">
        <v>612003</v>
      </c>
      <c r="B1102" s="104" t="s">
        <v>244</v>
      </c>
      <c r="C1102" s="107">
        <v>88.7</v>
      </c>
      <c r="D1102" s="107">
        <v>0</v>
      </c>
      <c r="E1102" s="109">
        <v>25.2</v>
      </c>
    </row>
    <row r="1103" spans="1:5" ht="22.5" customHeight="1">
      <c r="A1103" s="101">
        <v>621000</v>
      </c>
      <c r="B1103" s="104" t="s">
        <v>993</v>
      </c>
      <c r="C1103" s="107">
        <v>97</v>
      </c>
      <c r="D1103" s="107">
        <v>0</v>
      </c>
      <c r="E1103" s="109">
        <v>23.5</v>
      </c>
    </row>
    <row r="1104" spans="1:5" ht="22.5" customHeight="1">
      <c r="A1104" s="101">
        <v>621001</v>
      </c>
      <c r="B1104" s="104" t="s">
        <v>994</v>
      </c>
      <c r="C1104" s="107">
        <v>97</v>
      </c>
      <c r="D1104" s="107">
        <v>0</v>
      </c>
      <c r="E1104" s="109">
        <v>23.5</v>
      </c>
    </row>
    <row r="1105" spans="1:5" ht="22.5" customHeight="1">
      <c r="A1105" s="101">
        <v>630101</v>
      </c>
      <c r="B1105" s="104" t="s">
        <v>243</v>
      </c>
      <c r="C1105" s="107">
        <v>89.2</v>
      </c>
      <c r="D1105" s="107">
        <v>0</v>
      </c>
      <c r="E1105" s="109">
        <v>17.100000000000001</v>
      </c>
    </row>
    <row r="1106" spans="1:5" ht="22.5" customHeight="1">
      <c r="A1106" s="101">
        <v>630102</v>
      </c>
      <c r="B1106" s="104" t="s">
        <v>244</v>
      </c>
      <c r="C1106" s="107">
        <v>92.4</v>
      </c>
      <c r="D1106" s="107">
        <v>0</v>
      </c>
      <c r="E1106" s="109">
        <v>20.5</v>
      </c>
    </row>
    <row r="1107" spans="1:5" ht="22.5" customHeight="1">
      <c r="A1107" s="101">
        <v>630201</v>
      </c>
      <c r="B1107" s="104" t="s">
        <v>245</v>
      </c>
      <c r="C1107" s="107">
        <v>77.2</v>
      </c>
      <c r="D1107" s="107">
        <v>0</v>
      </c>
      <c r="E1107" s="109">
        <v>22.5</v>
      </c>
    </row>
    <row r="1108" spans="1:5" ht="22.5" customHeight="1">
      <c r="A1108" s="101">
        <v>630202</v>
      </c>
      <c r="B1108" s="104" t="s">
        <v>995</v>
      </c>
      <c r="C1108" s="107">
        <v>76.900000000000006</v>
      </c>
      <c r="D1108" s="107">
        <v>0</v>
      </c>
      <c r="E1108" s="109">
        <v>19.3</v>
      </c>
    </row>
    <row r="1109" spans="1:5" ht="22.5" customHeight="1">
      <c r="A1109" s="101">
        <v>630203</v>
      </c>
      <c r="B1109" s="104" t="s">
        <v>996</v>
      </c>
      <c r="C1109" s="107">
        <v>76.3</v>
      </c>
      <c r="D1109" s="107">
        <v>0</v>
      </c>
      <c r="E1109" s="109">
        <v>15.8</v>
      </c>
    </row>
    <row r="1110" spans="1:5" ht="22.5" customHeight="1">
      <c r="A1110" s="101">
        <v>630204</v>
      </c>
      <c r="B1110" s="104" t="s">
        <v>997</v>
      </c>
      <c r="C1110" s="107">
        <v>76.3</v>
      </c>
      <c r="D1110" s="107">
        <v>0</v>
      </c>
      <c r="E1110" s="109">
        <v>19.3</v>
      </c>
    </row>
    <row r="1111" spans="1:5" ht="22.5" customHeight="1">
      <c r="A1111" s="101">
        <v>630205</v>
      </c>
      <c r="B1111" s="104" t="s">
        <v>998</v>
      </c>
      <c r="C1111" s="107">
        <v>77.2</v>
      </c>
      <c r="D1111" s="107">
        <v>0</v>
      </c>
      <c r="E1111" s="109">
        <v>17.399999999999999</v>
      </c>
    </row>
    <row r="1112" spans="1:5" ht="22.5" customHeight="1">
      <c r="A1112" s="101">
        <v>630301</v>
      </c>
      <c r="B1112" s="104" t="s">
        <v>999</v>
      </c>
      <c r="C1112" s="107">
        <v>91.5</v>
      </c>
      <c r="D1112" s="107">
        <v>0</v>
      </c>
      <c r="E1112" s="109">
        <v>25.2</v>
      </c>
    </row>
    <row r="1113" spans="1:5" ht="22.5" customHeight="1">
      <c r="A1113" s="101">
        <v>630302</v>
      </c>
      <c r="B1113" s="104" t="s">
        <v>1000</v>
      </c>
      <c r="C1113" s="107">
        <v>87.6</v>
      </c>
      <c r="D1113" s="107">
        <v>0</v>
      </c>
      <c r="E1113" s="109">
        <v>31.3</v>
      </c>
    </row>
    <row r="1114" spans="1:5" ht="22.5" customHeight="1">
      <c r="A1114" s="101">
        <v>630303</v>
      </c>
      <c r="B1114" s="104" t="s">
        <v>246</v>
      </c>
      <c r="C1114" s="107">
        <v>82.3</v>
      </c>
      <c r="D1114" s="107">
        <v>0</v>
      </c>
      <c r="E1114" s="109">
        <v>15.8</v>
      </c>
    </row>
    <row r="1115" spans="1:5" ht="22.5" customHeight="1">
      <c r="A1115" s="101">
        <v>630304</v>
      </c>
      <c r="B1115" s="104" t="s">
        <v>264</v>
      </c>
      <c r="C1115" s="107">
        <v>82.1</v>
      </c>
      <c r="D1115" s="107">
        <v>0</v>
      </c>
      <c r="E1115" s="109">
        <v>22.9</v>
      </c>
    </row>
    <row r="1116" spans="1:5" ht="22.5" customHeight="1">
      <c r="A1116" s="101">
        <v>630305</v>
      </c>
      <c r="B1116" s="104" t="s">
        <v>1001</v>
      </c>
      <c r="C1116" s="107">
        <v>87.6</v>
      </c>
      <c r="D1116" s="107">
        <v>0</v>
      </c>
      <c r="E1116" s="109">
        <v>31.3</v>
      </c>
    </row>
    <row r="1117" spans="1:5" ht="22.5" customHeight="1">
      <c r="A1117" s="101">
        <v>630309</v>
      </c>
      <c r="B1117" s="104" t="s">
        <v>247</v>
      </c>
      <c r="C1117" s="107">
        <v>81.3</v>
      </c>
      <c r="D1117" s="107">
        <v>0</v>
      </c>
      <c r="E1117" s="109">
        <v>19.5</v>
      </c>
    </row>
    <row r="1118" spans="1:5" ht="22.5" customHeight="1">
      <c r="A1118" s="101">
        <v>630311</v>
      </c>
      <c r="B1118" s="104" t="s">
        <v>1002</v>
      </c>
      <c r="C1118" s="107">
        <v>81.3</v>
      </c>
      <c r="D1118" s="107">
        <v>0</v>
      </c>
      <c r="E1118" s="109">
        <v>19.5</v>
      </c>
    </row>
    <row r="1119" spans="1:5" ht="22.5" customHeight="1">
      <c r="A1119" s="101">
        <v>630401</v>
      </c>
      <c r="B1119" s="104" t="s">
        <v>1003</v>
      </c>
      <c r="C1119" s="107">
        <v>58.2</v>
      </c>
      <c r="D1119" s="107">
        <v>0</v>
      </c>
      <c r="E1119" s="109">
        <v>29.8</v>
      </c>
    </row>
    <row r="1120" spans="1:5" ht="22.5" customHeight="1">
      <c r="A1120" s="101">
        <v>630402</v>
      </c>
      <c r="B1120" s="104" t="s">
        <v>1003</v>
      </c>
      <c r="C1120" s="107">
        <v>83.9</v>
      </c>
      <c r="D1120" s="107">
        <v>0</v>
      </c>
      <c r="E1120" s="109">
        <v>8.6999999999999993</v>
      </c>
    </row>
    <row r="1121" spans="1:5" ht="22.5" customHeight="1">
      <c r="A1121" s="101">
        <v>630403</v>
      </c>
      <c r="B1121" s="104" t="s">
        <v>1003</v>
      </c>
      <c r="C1121" s="107">
        <v>60.2</v>
      </c>
      <c r="D1121" s="107">
        <v>0</v>
      </c>
      <c r="E1121" s="109">
        <v>34.700000000000003</v>
      </c>
    </row>
    <row r="1122" spans="1:5" ht="22.5" customHeight="1">
      <c r="A1122" s="101">
        <v>630405</v>
      </c>
      <c r="B1122" s="104" t="s">
        <v>1004</v>
      </c>
      <c r="C1122" s="107">
        <v>83.9</v>
      </c>
      <c r="D1122" s="107">
        <v>0</v>
      </c>
      <c r="E1122" s="109">
        <v>25.2</v>
      </c>
    </row>
    <row r="1123" spans="1:5" ht="22.5" customHeight="1">
      <c r="A1123" s="101">
        <v>630500</v>
      </c>
      <c r="B1123" s="104" t="s">
        <v>1005</v>
      </c>
      <c r="C1123" s="107">
        <v>97.2</v>
      </c>
      <c r="D1123" s="107">
        <v>0</v>
      </c>
      <c r="E1123" s="109">
        <v>25.2</v>
      </c>
    </row>
    <row r="1124" spans="1:5" ht="22.5" customHeight="1">
      <c r="A1124" s="101">
        <v>630501</v>
      </c>
      <c r="B1124" s="104" t="s">
        <v>1006</v>
      </c>
      <c r="C1124" s="107">
        <v>97.2</v>
      </c>
      <c r="D1124" s="107">
        <v>0</v>
      </c>
      <c r="E1124" s="109">
        <v>25.2</v>
      </c>
    </row>
    <row r="1125" spans="1:5" ht="22.5" customHeight="1">
      <c r="A1125" s="101">
        <v>630600</v>
      </c>
      <c r="B1125" s="104" t="s">
        <v>1152</v>
      </c>
      <c r="C1125" s="107">
        <v>84.2</v>
      </c>
      <c r="D1125" s="107">
        <v>0</v>
      </c>
      <c r="E1125" s="109">
        <v>22.8</v>
      </c>
    </row>
    <row r="1126" spans="1:5" ht="22.5" customHeight="1">
      <c r="A1126" s="101">
        <v>630601</v>
      </c>
      <c r="B1126" s="104" t="s">
        <v>1151</v>
      </c>
      <c r="C1126" s="107">
        <v>86.9</v>
      </c>
      <c r="D1126" s="107">
        <v>0</v>
      </c>
      <c r="E1126" s="109">
        <v>24.8</v>
      </c>
    </row>
    <row r="1127" spans="1:5" ht="22.5" customHeight="1">
      <c r="A1127" s="101">
        <v>630701</v>
      </c>
      <c r="B1127" s="104" t="s">
        <v>4402</v>
      </c>
      <c r="C1127" s="107">
        <v>78.7</v>
      </c>
      <c r="D1127" s="107">
        <v>0</v>
      </c>
      <c r="E1127" s="109">
        <v>18.399999999999999</v>
      </c>
    </row>
    <row r="1128" spans="1:5" ht="22.5" customHeight="1">
      <c r="A1128" s="101">
        <v>630702</v>
      </c>
      <c r="B1128" s="104" t="s">
        <v>4403</v>
      </c>
      <c r="C1128" s="107">
        <v>80.3</v>
      </c>
      <c r="D1128" s="107">
        <v>0</v>
      </c>
      <c r="E1128" s="109">
        <v>26.9</v>
      </c>
    </row>
    <row r="1129" spans="1:5" ht="22.5" customHeight="1">
      <c r="A1129" s="101">
        <v>630901</v>
      </c>
      <c r="B1129" s="104" t="s">
        <v>40</v>
      </c>
      <c r="C1129" s="107">
        <v>86.5</v>
      </c>
      <c r="D1129" s="107">
        <v>0</v>
      </c>
      <c r="E1129" s="109">
        <v>16.399999999999999</v>
      </c>
    </row>
    <row r="1130" spans="1:5" ht="22.5" customHeight="1">
      <c r="A1130" s="101">
        <v>630902</v>
      </c>
      <c r="B1130" s="104" t="s">
        <v>4404</v>
      </c>
      <c r="C1130" s="107">
        <v>84.4</v>
      </c>
      <c r="D1130" s="107">
        <v>0</v>
      </c>
      <c r="E1130" s="109">
        <v>18.7</v>
      </c>
    </row>
    <row r="1131" spans="1:5" ht="22.5" customHeight="1">
      <c r="A1131" s="101">
        <v>630903</v>
      </c>
      <c r="B1131" s="104" t="s">
        <v>1007</v>
      </c>
      <c r="C1131" s="107">
        <v>84.7</v>
      </c>
      <c r="D1131" s="107">
        <v>0</v>
      </c>
      <c r="E1131" s="109">
        <v>18.7</v>
      </c>
    </row>
    <row r="1132" spans="1:5" ht="22.5" customHeight="1">
      <c r="A1132" s="101">
        <v>630904</v>
      </c>
      <c r="B1132" s="104" t="s">
        <v>1008</v>
      </c>
      <c r="C1132" s="107">
        <v>86.5</v>
      </c>
      <c r="D1132" s="107">
        <v>0</v>
      </c>
      <c r="E1132" s="109">
        <v>35.4</v>
      </c>
    </row>
    <row r="1133" spans="1:5" ht="22.5" customHeight="1">
      <c r="A1133" s="101">
        <v>630905</v>
      </c>
      <c r="B1133" s="104" t="s">
        <v>1007</v>
      </c>
      <c r="C1133" s="107">
        <v>85.2</v>
      </c>
      <c r="D1133" s="107">
        <v>0</v>
      </c>
      <c r="E1133" s="109">
        <v>24.3</v>
      </c>
    </row>
    <row r="1134" spans="1:5" ht="22.5" customHeight="1">
      <c r="A1134" s="101">
        <v>630909</v>
      </c>
      <c r="B1134" s="104" t="s">
        <v>1009</v>
      </c>
      <c r="C1134" s="107">
        <v>82.1</v>
      </c>
      <c r="D1134" s="107">
        <v>0</v>
      </c>
      <c r="E1134" s="109">
        <v>22.9</v>
      </c>
    </row>
    <row r="1135" spans="1:5" ht="22.5" customHeight="1">
      <c r="A1135" s="101">
        <v>641200</v>
      </c>
      <c r="B1135" s="104" t="s">
        <v>1040</v>
      </c>
      <c r="C1135" s="107">
        <v>92.5</v>
      </c>
      <c r="D1135" s="107">
        <v>0</v>
      </c>
      <c r="E1135" s="109">
        <v>28.8</v>
      </c>
    </row>
    <row r="1136" spans="1:5" ht="22.5" customHeight="1">
      <c r="A1136" s="101">
        <v>641201</v>
      </c>
      <c r="B1136" s="104" t="s">
        <v>40</v>
      </c>
      <c r="C1136" s="107">
        <v>93.3</v>
      </c>
      <c r="D1136" s="107">
        <v>0</v>
      </c>
      <c r="E1136" s="109">
        <v>22.8</v>
      </c>
    </row>
    <row r="1137" spans="1:5" ht="22.5" customHeight="1">
      <c r="A1137" s="101">
        <v>642001</v>
      </c>
      <c r="B1137" s="104" t="s">
        <v>1041</v>
      </c>
      <c r="C1137" s="107">
        <v>81.2</v>
      </c>
      <c r="D1137" s="107">
        <v>0</v>
      </c>
      <c r="E1137" s="109">
        <v>19.600000000000001</v>
      </c>
    </row>
    <row r="1138" spans="1:5" ht="22.5" customHeight="1">
      <c r="A1138" s="101">
        <v>642002</v>
      </c>
      <c r="B1138" s="104" t="s">
        <v>256</v>
      </c>
      <c r="C1138" s="107">
        <v>83.2</v>
      </c>
      <c r="D1138" s="107">
        <v>0</v>
      </c>
      <c r="E1138" s="109">
        <v>21.7</v>
      </c>
    </row>
    <row r="1139" spans="1:5" ht="22.5" customHeight="1">
      <c r="A1139" s="101">
        <v>642003</v>
      </c>
      <c r="B1139" s="104" t="s">
        <v>1042</v>
      </c>
      <c r="C1139" s="107">
        <v>79.900000000000006</v>
      </c>
      <c r="D1139" s="107">
        <v>0</v>
      </c>
      <c r="E1139" s="109">
        <v>23.2</v>
      </c>
    </row>
    <row r="1140" spans="1:5" ht="22.5" customHeight="1">
      <c r="A1140" s="101">
        <v>642004</v>
      </c>
      <c r="B1140" s="104" t="s">
        <v>1043</v>
      </c>
      <c r="C1140" s="107">
        <v>77.900000000000006</v>
      </c>
      <c r="D1140" s="107">
        <v>0</v>
      </c>
      <c r="E1140" s="109">
        <v>22.3</v>
      </c>
    </row>
    <row r="1141" spans="1:5" ht="22.5" customHeight="1">
      <c r="A1141" s="101">
        <v>642005</v>
      </c>
      <c r="B1141" s="104" t="s">
        <v>1044</v>
      </c>
      <c r="C1141" s="107">
        <v>81.2</v>
      </c>
      <c r="D1141" s="107">
        <v>0</v>
      </c>
      <c r="E1141" s="109">
        <v>19.600000000000001</v>
      </c>
    </row>
    <row r="1142" spans="1:5" ht="22.5" customHeight="1">
      <c r="A1142" s="101">
        <v>659201</v>
      </c>
      <c r="B1142" s="104" t="s">
        <v>1068</v>
      </c>
      <c r="C1142" s="107">
        <v>71.7</v>
      </c>
      <c r="D1142" s="107">
        <v>0</v>
      </c>
      <c r="E1142" s="109">
        <v>17.600000000000001</v>
      </c>
    </row>
    <row r="1143" spans="1:5" ht="22.5" customHeight="1">
      <c r="A1143" s="101">
        <v>659202</v>
      </c>
      <c r="B1143" s="104" t="s">
        <v>263</v>
      </c>
      <c r="C1143" s="107">
        <v>83.5</v>
      </c>
      <c r="D1143" s="107">
        <v>0</v>
      </c>
      <c r="E1143" s="109">
        <v>18</v>
      </c>
    </row>
    <row r="1144" spans="1:5" ht="22.5" customHeight="1">
      <c r="A1144" s="101">
        <v>659203</v>
      </c>
      <c r="B1144" s="104" t="s">
        <v>1069</v>
      </c>
      <c r="C1144" s="107">
        <v>25.7</v>
      </c>
      <c r="D1144" s="107">
        <v>0</v>
      </c>
      <c r="E1144" s="109">
        <v>17.2</v>
      </c>
    </row>
    <row r="1145" spans="1:5" ht="22.5" customHeight="1">
      <c r="A1145" s="101">
        <v>659204</v>
      </c>
      <c r="B1145" s="104" t="s">
        <v>1069</v>
      </c>
      <c r="C1145" s="107">
        <v>40.9</v>
      </c>
      <c r="D1145" s="107">
        <v>0</v>
      </c>
      <c r="E1145" s="109">
        <v>19.5</v>
      </c>
    </row>
    <row r="1146" spans="1:5" ht="22.5" customHeight="1">
      <c r="A1146" s="101">
        <v>659205</v>
      </c>
      <c r="B1146" s="104" t="s">
        <v>1070</v>
      </c>
      <c r="C1146" s="107">
        <v>71.7</v>
      </c>
      <c r="D1146" s="107">
        <v>0</v>
      </c>
      <c r="E1146" s="109">
        <v>21.8</v>
      </c>
    </row>
    <row r="1147" spans="1:5" ht="22.5" customHeight="1">
      <c r="A1147" s="101">
        <v>659206</v>
      </c>
      <c r="B1147" s="104" t="s">
        <v>1071</v>
      </c>
      <c r="C1147" s="107">
        <v>78.5</v>
      </c>
      <c r="D1147" s="107">
        <v>0</v>
      </c>
      <c r="E1147" s="109">
        <v>17.399999999999999</v>
      </c>
    </row>
    <row r="1148" spans="1:5" ht="22.5" customHeight="1">
      <c r="A1148" s="101">
        <v>659207</v>
      </c>
      <c r="B1148" s="104" t="s">
        <v>1072</v>
      </c>
      <c r="C1148" s="107">
        <v>71.7</v>
      </c>
      <c r="D1148" s="107">
        <v>0</v>
      </c>
      <c r="E1148" s="109">
        <v>17.600000000000001</v>
      </c>
    </row>
    <row r="1149" spans="1:5" ht="22.5" customHeight="1">
      <c r="A1149" s="101">
        <v>659208</v>
      </c>
      <c r="B1149" s="104" t="s">
        <v>1073</v>
      </c>
      <c r="C1149" s="107">
        <v>78.5</v>
      </c>
      <c r="D1149" s="107">
        <v>0</v>
      </c>
      <c r="E1149" s="109">
        <v>17.399999999999999</v>
      </c>
    </row>
    <row r="1150" spans="1:5" ht="22.5" customHeight="1">
      <c r="A1150" s="101">
        <v>659209</v>
      </c>
      <c r="B1150" s="104" t="s">
        <v>1074</v>
      </c>
      <c r="C1150" s="107">
        <v>78.5</v>
      </c>
      <c r="D1150" s="107">
        <v>0</v>
      </c>
      <c r="E1150" s="109">
        <v>17.399999999999999</v>
      </c>
    </row>
    <row r="1151" spans="1:5" ht="22.5" customHeight="1">
      <c r="A1151" s="101">
        <v>659900</v>
      </c>
      <c r="B1151" s="104" t="s">
        <v>1075</v>
      </c>
      <c r="C1151" s="107">
        <v>77.599999999999994</v>
      </c>
      <c r="D1151" s="107">
        <v>0</v>
      </c>
      <c r="E1151" s="109">
        <v>17.399999999999999</v>
      </c>
    </row>
    <row r="1152" spans="1:5" ht="22.5" customHeight="1">
      <c r="A1152" s="101">
        <v>659901</v>
      </c>
      <c r="B1152" s="104" t="s">
        <v>1153</v>
      </c>
      <c r="C1152" s="107">
        <v>70.3</v>
      </c>
      <c r="D1152" s="107">
        <v>0</v>
      </c>
      <c r="E1152" s="109">
        <v>14.4</v>
      </c>
    </row>
    <row r="1153" spans="1:5" ht="22.5" customHeight="1">
      <c r="A1153" s="101">
        <v>659902</v>
      </c>
      <c r="B1153" s="104" t="s">
        <v>1076</v>
      </c>
      <c r="C1153" s="107">
        <v>79.3</v>
      </c>
      <c r="D1153" s="107">
        <v>0</v>
      </c>
      <c r="E1153" s="109">
        <v>17.399999999999999</v>
      </c>
    </row>
    <row r="1154" spans="1:5" ht="22.5" customHeight="1">
      <c r="A1154" s="101">
        <v>659903</v>
      </c>
      <c r="B1154" s="104" t="s">
        <v>1077</v>
      </c>
      <c r="C1154" s="107">
        <v>77.599999999999994</v>
      </c>
      <c r="D1154" s="107">
        <v>0</v>
      </c>
      <c r="E1154" s="109">
        <v>17.399999999999999</v>
      </c>
    </row>
    <row r="1155" spans="1:5" ht="22.5" customHeight="1">
      <c r="A1155" s="101">
        <v>659904</v>
      </c>
      <c r="B1155" s="104" t="s">
        <v>1069</v>
      </c>
      <c r="C1155" s="107">
        <v>79.3</v>
      </c>
      <c r="D1155" s="107">
        <v>0</v>
      </c>
      <c r="E1155" s="109">
        <v>17.399999999999999</v>
      </c>
    </row>
    <row r="1156" spans="1:5" ht="22.5" customHeight="1">
      <c r="A1156" s="101">
        <v>659905</v>
      </c>
      <c r="B1156" s="104" t="s">
        <v>1078</v>
      </c>
      <c r="C1156" s="107">
        <v>79.3</v>
      </c>
      <c r="D1156" s="107">
        <v>0</v>
      </c>
      <c r="E1156" s="109">
        <v>17.399999999999999</v>
      </c>
    </row>
    <row r="1157" spans="1:5" ht="22.5" customHeight="1">
      <c r="A1157" s="101">
        <v>659906</v>
      </c>
      <c r="B1157" s="104" t="s">
        <v>1079</v>
      </c>
      <c r="C1157" s="107">
        <v>79.3</v>
      </c>
      <c r="D1157" s="107">
        <v>0</v>
      </c>
      <c r="E1157" s="109">
        <v>17.399999999999999</v>
      </c>
    </row>
    <row r="1158" spans="1:5" ht="22.5" customHeight="1">
      <c r="A1158" s="101">
        <v>660100</v>
      </c>
      <c r="B1158" s="104" t="s">
        <v>1080</v>
      </c>
      <c r="C1158" s="107">
        <v>96.5</v>
      </c>
      <c r="D1158" s="107">
        <v>0</v>
      </c>
      <c r="E1158" s="109">
        <v>24.4</v>
      </c>
    </row>
    <row r="1159" spans="1:5" ht="22.5" customHeight="1">
      <c r="A1159" s="101">
        <v>660101</v>
      </c>
      <c r="B1159" s="104" t="s">
        <v>1081</v>
      </c>
      <c r="C1159" s="107">
        <v>96.5</v>
      </c>
      <c r="D1159" s="107">
        <v>0</v>
      </c>
      <c r="E1159" s="109">
        <v>28.6</v>
      </c>
    </row>
    <row r="1160" spans="1:5" ht="22.5" customHeight="1">
      <c r="A1160" s="101">
        <v>660301</v>
      </c>
      <c r="B1160" s="104" t="s">
        <v>1082</v>
      </c>
      <c r="C1160" s="107">
        <v>90.2</v>
      </c>
      <c r="D1160" s="107">
        <v>0</v>
      </c>
      <c r="E1160" s="109">
        <v>24.4</v>
      </c>
    </row>
    <row r="1161" spans="1:5" ht="22.5" customHeight="1">
      <c r="A1161" s="101">
        <v>660302</v>
      </c>
      <c r="B1161" s="104" t="s">
        <v>1082</v>
      </c>
      <c r="C1161" s="107">
        <v>72.8</v>
      </c>
      <c r="D1161" s="107">
        <v>0</v>
      </c>
      <c r="E1161" s="109">
        <v>26.3</v>
      </c>
    </row>
    <row r="1162" spans="1:5" ht="22.5" customHeight="1">
      <c r="A1162" s="101">
        <v>660303</v>
      </c>
      <c r="B1162" s="104" t="s">
        <v>1082</v>
      </c>
      <c r="C1162" s="107">
        <v>70.599999999999994</v>
      </c>
      <c r="D1162" s="107">
        <v>0</v>
      </c>
      <c r="E1162" s="109">
        <v>26.3</v>
      </c>
    </row>
    <row r="1163" spans="1:5" ht="22.5" customHeight="1">
      <c r="A1163" s="101">
        <v>660304</v>
      </c>
      <c r="B1163" s="104" t="s">
        <v>1083</v>
      </c>
      <c r="C1163" s="107">
        <v>70.599999999999994</v>
      </c>
      <c r="D1163" s="107">
        <v>0</v>
      </c>
      <c r="E1163" s="109">
        <v>26.3</v>
      </c>
    </row>
    <row r="1164" spans="1:5" ht="22.5" customHeight="1">
      <c r="A1164" s="101">
        <v>660305</v>
      </c>
      <c r="B1164" s="104" t="s">
        <v>1084</v>
      </c>
      <c r="C1164" s="107">
        <v>70.599999999999994</v>
      </c>
      <c r="D1164" s="107">
        <v>0</v>
      </c>
      <c r="E1164" s="109">
        <v>26.3</v>
      </c>
    </row>
    <row r="1165" spans="1:5" ht="22.5" customHeight="1">
      <c r="A1165" s="101">
        <v>660306</v>
      </c>
      <c r="B1165" s="104" t="s">
        <v>1085</v>
      </c>
      <c r="C1165" s="107">
        <v>70.599999999999994</v>
      </c>
      <c r="D1165" s="107">
        <v>0</v>
      </c>
      <c r="E1165" s="109">
        <v>26.3</v>
      </c>
    </row>
    <row r="1166" spans="1:5" ht="22.5" customHeight="1">
      <c r="A1166" s="101">
        <v>660307</v>
      </c>
      <c r="B1166" s="104" t="s">
        <v>1086</v>
      </c>
      <c r="C1166" s="107">
        <v>70.599999999999994</v>
      </c>
      <c r="D1166" s="107">
        <v>0</v>
      </c>
      <c r="E1166" s="109">
        <v>26.3</v>
      </c>
    </row>
    <row r="1167" spans="1:5" ht="22.5" customHeight="1">
      <c r="A1167" s="101">
        <v>660308</v>
      </c>
      <c r="B1167" s="104" t="s">
        <v>1087</v>
      </c>
      <c r="C1167" s="107">
        <v>70.599999999999994</v>
      </c>
      <c r="D1167" s="107">
        <v>0</v>
      </c>
      <c r="E1167" s="109">
        <v>26.3</v>
      </c>
    </row>
    <row r="1168" spans="1:5" ht="22.5" customHeight="1">
      <c r="A1168" s="101">
        <v>660309</v>
      </c>
      <c r="B1168" s="104" t="s">
        <v>1088</v>
      </c>
      <c r="C1168" s="107">
        <v>70.599999999999994</v>
      </c>
      <c r="D1168" s="107">
        <v>0</v>
      </c>
      <c r="E1168" s="109">
        <v>26.3</v>
      </c>
    </row>
    <row r="1169" spans="1:5" ht="22.5" customHeight="1">
      <c r="A1169" s="101">
        <v>671201</v>
      </c>
      <c r="B1169" s="104" t="s">
        <v>1089</v>
      </c>
      <c r="C1169" s="107">
        <v>99.8</v>
      </c>
      <c r="D1169" s="107">
        <v>0</v>
      </c>
      <c r="E1169" s="109">
        <v>8</v>
      </c>
    </row>
    <row r="1170" spans="1:5" ht="22.5" customHeight="1">
      <c r="A1170" s="101">
        <v>671202</v>
      </c>
      <c r="B1170" s="104" t="s">
        <v>1090</v>
      </c>
      <c r="C1170" s="107">
        <v>95</v>
      </c>
      <c r="D1170" s="107">
        <v>0</v>
      </c>
      <c r="E1170" s="109">
        <v>8</v>
      </c>
    </row>
    <row r="1171" spans="1:5" ht="22.5" customHeight="1">
      <c r="A1171" s="101">
        <v>671203</v>
      </c>
      <c r="B1171" s="104" t="s">
        <v>1091</v>
      </c>
      <c r="C1171" s="107">
        <v>95</v>
      </c>
      <c r="D1171" s="107">
        <v>0</v>
      </c>
      <c r="E1171" s="109">
        <v>8</v>
      </c>
    </row>
    <row r="1172" spans="1:5" ht="22.5" customHeight="1">
      <c r="A1172" s="101">
        <v>671900</v>
      </c>
      <c r="B1172" s="104" t="s">
        <v>1089</v>
      </c>
      <c r="C1172" s="107">
        <v>85.1</v>
      </c>
      <c r="D1172" s="107">
        <v>0</v>
      </c>
      <c r="E1172" s="109">
        <v>28.8</v>
      </c>
    </row>
    <row r="1173" spans="1:5" ht="22.5" customHeight="1">
      <c r="A1173" s="101">
        <v>671901</v>
      </c>
      <c r="B1173" s="104" t="s">
        <v>1092</v>
      </c>
      <c r="C1173" s="107">
        <v>85.1</v>
      </c>
      <c r="D1173" s="107">
        <v>0</v>
      </c>
      <c r="E1173" s="109">
        <v>29</v>
      </c>
    </row>
    <row r="1174" spans="1:5" ht="22.5" customHeight="1">
      <c r="A1174" s="101">
        <v>671902</v>
      </c>
      <c r="B1174" s="104" t="s">
        <v>1093</v>
      </c>
      <c r="C1174" s="107">
        <v>85.1</v>
      </c>
      <c r="D1174" s="107">
        <v>0</v>
      </c>
      <c r="E1174" s="109">
        <v>29</v>
      </c>
    </row>
    <row r="1175" spans="1:5" ht="22.5" customHeight="1">
      <c r="A1175" s="101">
        <v>671903</v>
      </c>
      <c r="B1175" s="104" t="s">
        <v>1094</v>
      </c>
      <c r="C1175" s="107">
        <v>85.1</v>
      </c>
      <c r="D1175" s="107">
        <v>0</v>
      </c>
      <c r="E1175" s="109">
        <v>20.3</v>
      </c>
    </row>
    <row r="1176" spans="1:5" ht="22.5" customHeight="1">
      <c r="A1176" s="101">
        <v>672000</v>
      </c>
      <c r="B1176" s="104" t="s">
        <v>1095</v>
      </c>
      <c r="C1176" s="107">
        <v>73</v>
      </c>
      <c r="D1176" s="107">
        <v>0</v>
      </c>
      <c r="E1176" s="109">
        <v>25.6</v>
      </c>
    </row>
    <row r="1177" spans="1:5" ht="22.5" customHeight="1">
      <c r="A1177" s="101">
        <v>672001</v>
      </c>
      <c r="B1177" s="104" t="s">
        <v>1096</v>
      </c>
      <c r="C1177" s="107">
        <v>73</v>
      </c>
      <c r="D1177" s="107">
        <v>0</v>
      </c>
      <c r="E1177" s="109">
        <v>20.7</v>
      </c>
    </row>
    <row r="1178" spans="1:5" ht="22.5" customHeight="1">
      <c r="A1178" s="101">
        <v>701101</v>
      </c>
      <c r="B1178" s="104" t="s">
        <v>1098</v>
      </c>
      <c r="C1178" s="107">
        <v>37.4</v>
      </c>
      <c r="D1178" s="107">
        <v>0</v>
      </c>
      <c r="E1178" s="109">
        <v>15.2</v>
      </c>
    </row>
    <row r="1179" spans="1:5" ht="22.5" customHeight="1">
      <c r="A1179" s="101">
        <v>701102</v>
      </c>
      <c r="B1179" s="104" t="s">
        <v>1098</v>
      </c>
      <c r="C1179" s="107">
        <v>42.6</v>
      </c>
      <c r="D1179" s="107">
        <v>0</v>
      </c>
      <c r="E1179" s="109">
        <v>17.2</v>
      </c>
    </row>
    <row r="1180" spans="1:5" ht="22.5" customHeight="1">
      <c r="A1180" s="101">
        <v>701103</v>
      </c>
      <c r="B1180" s="104" t="s">
        <v>4407</v>
      </c>
      <c r="C1180" s="107">
        <v>61.6</v>
      </c>
      <c r="D1180" s="107">
        <v>0</v>
      </c>
      <c r="E1180" s="109">
        <v>20.100000000000001</v>
      </c>
    </row>
    <row r="1181" spans="1:5" ht="22.5" customHeight="1">
      <c r="A1181" s="101">
        <v>701104</v>
      </c>
      <c r="B1181" s="104" t="s">
        <v>265</v>
      </c>
      <c r="C1181" s="107">
        <v>59.2</v>
      </c>
      <c r="D1181" s="107">
        <v>0</v>
      </c>
      <c r="E1181" s="109">
        <v>21.3</v>
      </c>
    </row>
    <row r="1182" spans="1:5" ht="22.5" customHeight="1">
      <c r="A1182" s="101">
        <v>701201</v>
      </c>
      <c r="B1182" s="104" t="s">
        <v>266</v>
      </c>
      <c r="C1182" s="107">
        <v>41.5</v>
      </c>
      <c r="D1182" s="107">
        <v>0</v>
      </c>
      <c r="E1182" s="109">
        <v>16.7</v>
      </c>
    </row>
    <row r="1183" spans="1:5" ht="22.5" customHeight="1">
      <c r="A1183" s="101">
        <v>701202</v>
      </c>
      <c r="B1183" s="104" t="s">
        <v>267</v>
      </c>
      <c r="C1183" s="107">
        <v>36.9</v>
      </c>
      <c r="D1183" s="107">
        <v>0</v>
      </c>
      <c r="E1183" s="109">
        <v>10.9</v>
      </c>
    </row>
    <row r="1184" spans="1:5" ht="22.5" customHeight="1">
      <c r="A1184" s="101">
        <v>701203</v>
      </c>
      <c r="B1184" s="104" t="s">
        <v>268</v>
      </c>
      <c r="C1184" s="107">
        <v>57.2</v>
      </c>
      <c r="D1184" s="107">
        <v>0</v>
      </c>
      <c r="E1184" s="109">
        <v>22.6</v>
      </c>
    </row>
    <row r="1185" spans="1:5" ht="22.5" customHeight="1">
      <c r="A1185" s="101">
        <v>701204</v>
      </c>
      <c r="B1185" s="104" t="s">
        <v>268</v>
      </c>
      <c r="C1185" s="107">
        <v>42.3</v>
      </c>
      <c r="D1185" s="107">
        <v>0</v>
      </c>
      <c r="E1185" s="109">
        <v>18.8</v>
      </c>
    </row>
    <row r="1186" spans="1:5" ht="22.5" customHeight="1">
      <c r="A1186" s="101">
        <v>701205</v>
      </c>
      <c r="B1186" s="104" t="s">
        <v>268</v>
      </c>
      <c r="C1186" s="107">
        <v>43.4</v>
      </c>
      <c r="D1186" s="107">
        <v>0</v>
      </c>
      <c r="E1186" s="109">
        <v>4.7</v>
      </c>
    </row>
    <row r="1187" spans="1:5" ht="22.5" customHeight="1">
      <c r="A1187" s="101">
        <v>701300</v>
      </c>
      <c r="B1187" s="104" t="s">
        <v>268</v>
      </c>
      <c r="C1187" s="107">
        <v>43.4</v>
      </c>
      <c r="D1187" s="107">
        <v>0</v>
      </c>
      <c r="E1187" s="109">
        <v>6.1</v>
      </c>
    </row>
    <row r="1188" spans="1:5" ht="22.5" customHeight="1">
      <c r="A1188" s="101">
        <v>701301</v>
      </c>
      <c r="B1188" s="104" t="s">
        <v>1098</v>
      </c>
      <c r="C1188" s="107">
        <v>43.4</v>
      </c>
      <c r="D1188" s="107">
        <v>0</v>
      </c>
      <c r="E1188" s="109">
        <v>5.2</v>
      </c>
    </row>
    <row r="1189" spans="1:5" ht="22.5" customHeight="1">
      <c r="A1189" s="101">
        <v>701400</v>
      </c>
      <c r="B1189" s="104" t="s">
        <v>269</v>
      </c>
      <c r="C1189" s="107">
        <v>14.6</v>
      </c>
      <c r="D1189" s="107">
        <v>0</v>
      </c>
      <c r="E1189" s="109">
        <v>4.9000000000000004</v>
      </c>
    </row>
    <row r="1190" spans="1:5" ht="22.5" customHeight="1">
      <c r="A1190" s="101">
        <v>701501</v>
      </c>
      <c r="B1190" s="104" t="s">
        <v>270</v>
      </c>
      <c r="C1190" s="107">
        <v>50.1</v>
      </c>
      <c r="D1190" s="107">
        <v>0</v>
      </c>
      <c r="E1190" s="109">
        <v>10.5</v>
      </c>
    </row>
    <row r="1191" spans="1:5" ht="22.5" customHeight="1">
      <c r="A1191" s="101">
        <v>701502</v>
      </c>
      <c r="B1191" s="104" t="s">
        <v>271</v>
      </c>
      <c r="C1191" s="107">
        <v>65.8</v>
      </c>
      <c r="D1191" s="107">
        <v>0</v>
      </c>
      <c r="E1191" s="109">
        <v>11</v>
      </c>
    </row>
    <row r="1192" spans="1:5" ht="22.5" customHeight="1">
      <c r="A1192" s="101">
        <v>701503</v>
      </c>
      <c r="B1192" s="104" t="s">
        <v>1099</v>
      </c>
      <c r="C1192" s="107">
        <v>50.1</v>
      </c>
      <c r="D1192" s="107">
        <v>0</v>
      </c>
      <c r="E1192" s="109">
        <v>8.9</v>
      </c>
    </row>
    <row r="1193" spans="1:5" ht="22.5" customHeight="1">
      <c r="A1193" s="101">
        <v>701504</v>
      </c>
      <c r="B1193" s="104" t="s">
        <v>1100</v>
      </c>
      <c r="C1193" s="107">
        <v>66.400000000000006</v>
      </c>
      <c r="D1193" s="107">
        <v>0</v>
      </c>
      <c r="E1193" s="109">
        <v>18.100000000000001</v>
      </c>
    </row>
    <row r="1194" spans="1:5" ht="22.5" customHeight="1">
      <c r="A1194" s="101">
        <v>701600</v>
      </c>
      <c r="B1194" s="104" t="s">
        <v>1150</v>
      </c>
      <c r="C1194" s="107">
        <v>67.2</v>
      </c>
      <c r="D1194" s="107">
        <v>0</v>
      </c>
      <c r="E1194" s="109">
        <v>14.3</v>
      </c>
    </row>
    <row r="1195" spans="1:5" ht="22.5" customHeight="1">
      <c r="A1195" s="101">
        <v>701700</v>
      </c>
      <c r="B1195" s="104" t="s">
        <v>1227</v>
      </c>
      <c r="C1195" s="107">
        <v>89</v>
      </c>
      <c r="D1195" s="107">
        <v>0</v>
      </c>
      <c r="E1195" s="109">
        <v>15.2</v>
      </c>
    </row>
    <row r="1196" spans="1:5" ht="22.5" customHeight="1">
      <c r="A1196" s="101">
        <v>702001</v>
      </c>
      <c r="B1196" s="104" t="s">
        <v>1101</v>
      </c>
      <c r="C1196" s="107">
        <v>71.5</v>
      </c>
      <c r="D1196" s="107">
        <v>0</v>
      </c>
      <c r="E1196" s="109">
        <v>22.6</v>
      </c>
    </row>
    <row r="1197" spans="1:5" ht="22.5" customHeight="1">
      <c r="A1197" s="101">
        <v>702002</v>
      </c>
      <c r="B1197" s="104" t="s">
        <v>1102</v>
      </c>
      <c r="C1197" s="107">
        <v>58.2</v>
      </c>
      <c r="D1197" s="107">
        <v>0</v>
      </c>
      <c r="E1197" s="109">
        <v>29.3</v>
      </c>
    </row>
    <row r="1198" spans="1:5" ht="22.5" customHeight="1">
      <c r="A1198" s="101">
        <v>702003</v>
      </c>
      <c r="B1198" s="104" t="s">
        <v>1103</v>
      </c>
      <c r="C1198" s="107">
        <v>84.2</v>
      </c>
      <c r="D1198" s="107">
        <v>0</v>
      </c>
      <c r="E1198" s="109">
        <v>21.5</v>
      </c>
    </row>
    <row r="1199" spans="1:5" ht="22.5" customHeight="1">
      <c r="A1199" s="101">
        <v>702004</v>
      </c>
      <c r="B1199" s="104" t="s">
        <v>1104</v>
      </c>
      <c r="C1199" s="107">
        <v>78</v>
      </c>
      <c r="D1199" s="107">
        <v>0</v>
      </c>
      <c r="E1199" s="109">
        <v>28.5</v>
      </c>
    </row>
    <row r="1200" spans="1:5" ht="22.5" customHeight="1">
      <c r="A1200" s="101">
        <v>702005</v>
      </c>
      <c r="B1200" s="104" t="s">
        <v>1105</v>
      </c>
      <c r="C1200" s="107">
        <v>85.8</v>
      </c>
      <c r="D1200" s="107">
        <v>0</v>
      </c>
      <c r="E1200" s="109">
        <v>14.9</v>
      </c>
    </row>
    <row r="1201" spans="1:5" ht="22.5" customHeight="1">
      <c r="A1201" s="101">
        <v>703011</v>
      </c>
      <c r="B1201" s="104" t="s">
        <v>1106</v>
      </c>
      <c r="C1201" s="107">
        <v>82.1</v>
      </c>
      <c r="D1201" s="107">
        <v>0</v>
      </c>
      <c r="E1201" s="109">
        <v>9.5</v>
      </c>
    </row>
    <row r="1202" spans="1:5" ht="22.5" customHeight="1">
      <c r="A1202" s="101">
        <v>703012</v>
      </c>
      <c r="B1202" s="104" t="s">
        <v>1106</v>
      </c>
      <c r="C1202" s="107">
        <v>70</v>
      </c>
      <c r="D1202" s="107">
        <v>0</v>
      </c>
      <c r="E1202" s="109">
        <v>12.9</v>
      </c>
    </row>
    <row r="1203" spans="1:5" ht="22.5" customHeight="1">
      <c r="A1203" s="101">
        <v>703014</v>
      </c>
      <c r="B1203" s="104" t="s">
        <v>272</v>
      </c>
      <c r="C1203" s="107">
        <v>82.1</v>
      </c>
      <c r="D1203" s="107">
        <v>0</v>
      </c>
      <c r="E1203" s="109">
        <v>11</v>
      </c>
    </row>
    <row r="1204" spans="1:5" ht="22.5" customHeight="1">
      <c r="A1204" s="101">
        <v>703015</v>
      </c>
      <c r="B1204" s="104" t="s">
        <v>1107</v>
      </c>
      <c r="C1204" s="107">
        <v>82.1</v>
      </c>
      <c r="D1204" s="107">
        <v>0</v>
      </c>
      <c r="E1204" s="109">
        <v>9.6</v>
      </c>
    </row>
    <row r="1205" spans="1:5" ht="22.5" customHeight="1">
      <c r="A1205" s="101">
        <v>703016</v>
      </c>
      <c r="B1205" s="104" t="s">
        <v>272</v>
      </c>
      <c r="C1205" s="107">
        <v>70</v>
      </c>
      <c r="D1205" s="107">
        <v>0</v>
      </c>
      <c r="E1205" s="109">
        <v>11</v>
      </c>
    </row>
    <row r="1206" spans="1:5" ht="22.5" customHeight="1">
      <c r="A1206" s="101">
        <v>703017</v>
      </c>
      <c r="B1206" s="104" t="s">
        <v>1107</v>
      </c>
      <c r="C1206" s="107">
        <v>70</v>
      </c>
      <c r="D1206" s="107">
        <v>0</v>
      </c>
      <c r="E1206" s="109">
        <v>7.7</v>
      </c>
    </row>
    <row r="1207" spans="1:5" ht="22.5" customHeight="1">
      <c r="A1207" s="101">
        <v>703021</v>
      </c>
      <c r="B1207" s="104" t="s">
        <v>272</v>
      </c>
      <c r="C1207" s="107">
        <v>85.6</v>
      </c>
      <c r="D1207" s="107">
        <v>0</v>
      </c>
      <c r="E1207" s="109">
        <v>18.2</v>
      </c>
    </row>
    <row r="1208" spans="1:5" ht="22.5" customHeight="1">
      <c r="A1208" s="101">
        <v>703022</v>
      </c>
      <c r="B1208" s="104" t="s">
        <v>272</v>
      </c>
      <c r="C1208" s="107">
        <v>83.1</v>
      </c>
      <c r="D1208" s="107">
        <v>0</v>
      </c>
      <c r="E1208" s="109">
        <v>15.2</v>
      </c>
    </row>
    <row r="1209" spans="1:5" ht="22.5" customHeight="1">
      <c r="A1209" s="101">
        <v>703023</v>
      </c>
      <c r="B1209" s="104" t="s">
        <v>272</v>
      </c>
      <c r="C1209" s="107">
        <v>85.7</v>
      </c>
      <c r="D1209" s="107">
        <v>0</v>
      </c>
      <c r="E1209" s="109">
        <v>12.4</v>
      </c>
    </row>
    <row r="1210" spans="1:5" ht="22.5" customHeight="1">
      <c r="A1210" s="101">
        <v>703024</v>
      </c>
      <c r="B1210" s="104" t="s">
        <v>272</v>
      </c>
      <c r="C1210" s="107">
        <v>85.6</v>
      </c>
      <c r="D1210" s="107">
        <v>0</v>
      </c>
      <c r="E1210" s="109">
        <v>21.2</v>
      </c>
    </row>
    <row r="1211" spans="1:5" ht="22.5" customHeight="1">
      <c r="A1211" s="101">
        <v>712100</v>
      </c>
      <c r="B1211" s="104" t="s">
        <v>273</v>
      </c>
      <c r="C1211" s="107">
        <v>81.2</v>
      </c>
      <c r="D1211" s="107">
        <v>0</v>
      </c>
      <c r="E1211" s="109">
        <v>25.1</v>
      </c>
    </row>
    <row r="1212" spans="1:5" ht="22.5" customHeight="1">
      <c r="A1212" s="101">
        <v>712200</v>
      </c>
      <c r="B1212" s="104" t="s">
        <v>274</v>
      </c>
      <c r="C1212" s="107">
        <v>78.5</v>
      </c>
      <c r="D1212" s="107">
        <v>0</v>
      </c>
      <c r="E1212" s="109">
        <v>19.399999999999999</v>
      </c>
    </row>
    <row r="1213" spans="1:5" ht="22.5" customHeight="1">
      <c r="A1213" s="101">
        <v>712201</v>
      </c>
      <c r="B1213" s="104" t="s">
        <v>273</v>
      </c>
      <c r="C1213" s="107">
        <v>79.599999999999994</v>
      </c>
      <c r="D1213" s="107">
        <v>0</v>
      </c>
      <c r="E1213" s="109">
        <v>19.3</v>
      </c>
    </row>
    <row r="1214" spans="1:5" ht="22.5" customHeight="1">
      <c r="A1214" s="101">
        <v>712202</v>
      </c>
      <c r="B1214" s="104" t="s">
        <v>1154</v>
      </c>
      <c r="C1214" s="107">
        <v>79.599999999999994</v>
      </c>
      <c r="D1214" s="107">
        <v>0</v>
      </c>
      <c r="E1214" s="109">
        <v>15</v>
      </c>
    </row>
    <row r="1215" spans="1:5" ht="22.5" customHeight="1">
      <c r="A1215" s="101">
        <v>712203</v>
      </c>
      <c r="B1215" s="104" t="s">
        <v>1155</v>
      </c>
      <c r="C1215" s="107">
        <v>79.599999999999994</v>
      </c>
      <c r="D1215" s="107">
        <v>0</v>
      </c>
      <c r="E1215" s="109">
        <v>9.4</v>
      </c>
    </row>
    <row r="1216" spans="1:5" ht="22.5" customHeight="1">
      <c r="A1216" s="101">
        <v>713001</v>
      </c>
      <c r="B1216" s="104" t="s">
        <v>1156</v>
      </c>
      <c r="C1216" s="107">
        <v>84.9</v>
      </c>
      <c r="D1216" s="107">
        <v>0</v>
      </c>
      <c r="E1216" s="109">
        <v>20.8</v>
      </c>
    </row>
    <row r="1217" spans="1:5" ht="22.5" customHeight="1">
      <c r="A1217" s="101">
        <v>713002</v>
      </c>
      <c r="B1217" s="104" t="s">
        <v>1157</v>
      </c>
      <c r="C1217" s="107">
        <v>84.8</v>
      </c>
      <c r="D1217" s="107">
        <v>0</v>
      </c>
      <c r="E1217" s="109">
        <v>19.8</v>
      </c>
    </row>
    <row r="1218" spans="1:5" ht="22.5" customHeight="1">
      <c r="A1218" s="101">
        <v>713003</v>
      </c>
      <c r="B1218" s="104" t="s">
        <v>273</v>
      </c>
      <c r="C1218" s="107">
        <v>83.2</v>
      </c>
      <c r="D1218" s="107">
        <v>0</v>
      </c>
      <c r="E1218" s="109">
        <v>24.4</v>
      </c>
    </row>
    <row r="1219" spans="1:5" ht="22.5" customHeight="1">
      <c r="A1219" s="101">
        <v>713004</v>
      </c>
      <c r="B1219" s="104" t="s">
        <v>1158</v>
      </c>
      <c r="C1219" s="107">
        <v>83.4</v>
      </c>
      <c r="D1219" s="107">
        <v>0</v>
      </c>
      <c r="E1219" s="109">
        <v>14.6</v>
      </c>
    </row>
    <row r="1220" spans="1:5" ht="22.5" customHeight="1">
      <c r="A1220" s="101">
        <v>713005</v>
      </c>
      <c r="B1220" s="104" t="s">
        <v>1159</v>
      </c>
      <c r="C1220" s="107">
        <v>85.3</v>
      </c>
      <c r="D1220" s="107">
        <v>0</v>
      </c>
      <c r="E1220" s="109">
        <v>14.6</v>
      </c>
    </row>
    <row r="1221" spans="1:5" ht="22.5" customHeight="1">
      <c r="A1221" s="101">
        <v>713006</v>
      </c>
      <c r="B1221" s="104" t="s">
        <v>275</v>
      </c>
      <c r="C1221" s="107">
        <v>85.8</v>
      </c>
      <c r="D1221" s="107">
        <v>0</v>
      </c>
      <c r="E1221" s="109">
        <v>15</v>
      </c>
    </row>
    <row r="1222" spans="1:5" ht="22.5" customHeight="1">
      <c r="A1222" s="101">
        <v>721000</v>
      </c>
      <c r="B1222" s="104" t="s">
        <v>1045</v>
      </c>
      <c r="C1222" s="107">
        <v>75</v>
      </c>
      <c r="D1222" s="107">
        <v>0</v>
      </c>
      <c r="E1222" s="109">
        <v>23.8</v>
      </c>
    </row>
    <row r="1223" spans="1:5" ht="22.5" customHeight="1">
      <c r="A1223" s="101">
        <v>721001</v>
      </c>
      <c r="B1223" s="104" t="s">
        <v>1046</v>
      </c>
      <c r="C1223" s="107">
        <v>76.400000000000006</v>
      </c>
      <c r="D1223" s="107">
        <v>0</v>
      </c>
      <c r="E1223" s="109">
        <v>17</v>
      </c>
    </row>
    <row r="1224" spans="1:5" ht="22.5" customHeight="1">
      <c r="A1224" s="101">
        <v>722000</v>
      </c>
      <c r="B1224" s="104" t="s">
        <v>1047</v>
      </c>
      <c r="C1224" s="107">
        <v>75.2</v>
      </c>
      <c r="D1224" s="107">
        <v>0</v>
      </c>
      <c r="E1224" s="109">
        <v>21.7</v>
      </c>
    </row>
    <row r="1225" spans="1:5" ht="22.5" customHeight="1">
      <c r="A1225" s="101">
        <v>722001</v>
      </c>
      <c r="B1225" s="104" t="s">
        <v>1048</v>
      </c>
      <c r="C1225" s="107">
        <v>75.2</v>
      </c>
      <c r="D1225" s="107">
        <v>0</v>
      </c>
      <c r="E1225" s="109">
        <v>17.7</v>
      </c>
    </row>
    <row r="1226" spans="1:5" ht="22.5" customHeight="1">
      <c r="A1226" s="101">
        <v>722002</v>
      </c>
      <c r="B1226" s="104" t="s">
        <v>1049</v>
      </c>
      <c r="C1226" s="107">
        <v>68</v>
      </c>
      <c r="D1226" s="107">
        <v>0</v>
      </c>
      <c r="E1226" s="109">
        <v>7</v>
      </c>
    </row>
    <row r="1227" spans="1:5" ht="22.5" customHeight="1">
      <c r="A1227" s="101">
        <v>722003</v>
      </c>
      <c r="B1227" s="104" t="s">
        <v>1050</v>
      </c>
      <c r="C1227" s="107">
        <v>76.8</v>
      </c>
      <c r="D1227" s="107">
        <v>0</v>
      </c>
      <c r="E1227" s="109">
        <v>20.8</v>
      </c>
    </row>
    <row r="1228" spans="1:5" ht="22.5" customHeight="1">
      <c r="A1228" s="101">
        <v>722004</v>
      </c>
      <c r="B1228" s="104" t="s">
        <v>1051</v>
      </c>
      <c r="C1228" s="107">
        <v>75.2</v>
      </c>
      <c r="D1228" s="107">
        <v>0</v>
      </c>
      <c r="E1228" s="109">
        <v>23.3</v>
      </c>
    </row>
    <row r="1229" spans="1:5" ht="22.5" customHeight="1">
      <c r="A1229" s="101">
        <v>722005</v>
      </c>
      <c r="B1229" s="104" t="s">
        <v>1052</v>
      </c>
      <c r="C1229" s="107">
        <v>75.2</v>
      </c>
      <c r="D1229" s="107">
        <v>0</v>
      </c>
      <c r="E1229" s="109">
        <v>23.6</v>
      </c>
    </row>
    <row r="1230" spans="1:5" ht="22.5" customHeight="1">
      <c r="A1230" s="101">
        <v>723000</v>
      </c>
      <c r="B1230" s="104" t="s">
        <v>1053</v>
      </c>
      <c r="C1230" s="107">
        <v>82</v>
      </c>
      <c r="D1230" s="107">
        <v>0</v>
      </c>
      <c r="E1230" s="109">
        <v>17.5</v>
      </c>
    </row>
    <row r="1231" spans="1:5" ht="22.5" customHeight="1">
      <c r="A1231" s="101">
        <v>723001</v>
      </c>
      <c r="B1231" s="104" t="s">
        <v>1054</v>
      </c>
      <c r="C1231" s="107">
        <v>78.8</v>
      </c>
      <c r="D1231" s="107">
        <v>0</v>
      </c>
      <c r="E1231" s="109">
        <v>23.2</v>
      </c>
    </row>
    <row r="1232" spans="1:5" ht="22.5" customHeight="1">
      <c r="A1232" s="101">
        <v>724000</v>
      </c>
      <c r="B1232" s="104" t="s">
        <v>1055</v>
      </c>
      <c r="C1232" s="107">
        <v>76</v>
      </c>
      <c r="D1232" s="107">
        <v>0</v>
      </c>
      <c r="E1232" s="109">
        <v>20.100000000000001</v>
      </c>
    </row>
    <row r="1233" spans="1:5" ht="22.5" customHeight="1">
      <c r="A1233" s="101">
        <v>724001</v>
      </c>
      <c r="B1233" s="104" t="s">
        <v>1056</v>
      </c>
      <c r="C1233" s="107">
        <v>76.7</v>
      </c>
      <c r="D1233" s="107">
        <v>0</v>
      </c>
      <c r="E1233" s="109">
        <v>19.8</v>
      </c>
    </row>
    <row r="1234" spans="1:5" ht="22.5" customHeight="1">
      <c r="A1234" s="101">
        <v>724002</v>
      </c>
      <c r="B1234" s="104" t="s">
        <v>1057</v>
      </c>
      <c r="C1234" s="107">
        <v>77.8</v>
      </c>
      <c r="D1234" s="107">
        <v>0</v>
      </c>
      <c r="E1234" s="109">
        <v>26.8</v>
      </c>
    </row>
    <row r="1235" spans="1:5" ht="22.5" customHeight="1">
      <c r="A1235" s="101">
        <v>725000</v>
      </c>
      <c r="B1235" s="104" t="s">
        <v>1228</v>
      </c>
      <c r="C1235" s="107">
        <v>80.900000000000006</v>
      </c>
      <c r="D1235" s="107">
        <v>0</v>
      </c>
      <c r="E1235" s="109">
        <v>15.7</v>
      </c>
    </row>
    <row r="1236" spans="1:5" ht="22.5" customHeight="1">
      <c r="A1236" s="101">
        <v>729000</v>
      </c>
      <c r="B1236" s="104" t="s">
        <v>1058</v>
      </c>
      <c r="C1236" s="107">
        <v>82.2</v>
      </c>
      <c r="D1236" s="107">
        <v>0</v>
      </c>
      <c r="E1236" s="109">
        <v>25.3</v>
      </c>
    </row>
    <row r="1237" spans="1:5" ht="22.5" customHeight="1">
      <c r="A1237" s="101">
        <v>730000</v>
      </c>
      <c r="B1237" s="104" t="s">
        <v>1108</v>
      </c>
      <c r="C1237" s="107">
        <v>79.3</v>
      </c>
      <c r="D1237" s="107">
        <v>0</v>
      </c>
      <c r="E1237" s="109">
        <v>22.7</v>
      </c>
    </row>
    <row r="1238" spans="1:5" ht="22.5" customHeight="1">
      <c r="A1238" s="101">
        <v>730001</v>
      </c>
      <c r="B1238" s="104" t="s">
        <v>1109</v>
      </c>
      <c r="C1238" s="107">
        <v>79.3</v>
      </c>
      <c r="D1238" s="107">
        <v>0</v>
      </c>
      <c r="E1238" s="109">
        <v>13.4</v>
      </c>
    </row>
    <row r="1239" spans="1:5" ht="22.5" customHeight="1">
      <c r="A1239" s="101">
        <v>730002</v>
      </c>
      <c r="B1239" s="104" t="s">
        <v>1110</v>
      </c>
      <c r="C1239" s="107">
        <v>79.3</v>
      </c>
      <c r="D1239" s="107">
        <v>0</v>
      </c>
      <c r="E1239" s="109">
        <v>24.6</v>
      </c>
    </row>
    <row r="1240" spans="1:5" ht="22.5" customHeight="1">
      <c r="A1240" s="101">
        <v>730003</v>
      </c>
      <c r="B1240" s="104" t="s">
        <v>1111</v>
      </c>
      <c r="C1240" s="107">
        <v>79.3</v>
      </c>
      <c r="D1240" s="107">
        <v>0</v>
      </c>
      <c r="E1240" s="109">
        <v>15</v>
      </c>
    </row>
    <row r="1241" spans="1:5" ht="22.5" customHeight="1">
      <c r="A1241" s="101">
        <v>730004</v>
      </c>
      <c r="B1241" s="104" t="s">
        <v>1112</v>
      </c>
      <c r="C1241" s="107">
        <v>79.3</v>
      </c>
      <c r="D1241" s="107">
        <v>0</v>
      </c>
      <c r="E1241" s="109">
        <v>17.600000000000001</v>
      </c>
    </row>
    <row r="1242" spans="1:5" ht="22.5" customHeight="1">
      <c r="A1242" s="101">
        <v>730005</v>
      </c>
      <c r="B1242" s="104" t="s">
        <v>1113</v>
      </c>
      <c r="C1242" s="107">
        <v>79.3</v>
      </c>
      <c r="D1242" s="107">
        <v>0</v>
      </c>
      <c r="E1242" s="109">
        <v>17.3</v>
      </c>
    </row>
    <row r="1243" spans="1:5" ht="22.5" customHeight="1">
      <c r="A1243" s="101">
        <v>730006</v>
      </c>
      <c r="B1243" s="104" t="s">
        <v>1114</v>
      </c>
      <c r="C1243" s="107">
        <v>79.3</v>
      </c>
      <c r="D1243" s="107">
        <v>0</v>
      </c>
      <c r="E1243" s="109">
        <v>21.8</v>
      </c>
    </row>
    <row r="1244" spans="1:5" ht="22.5" customHeight="1">
      <c r="A1244" s="101">
        <v>730007</v>
      </c>
      <c r="B1244" s="104" t="s">
        <v>1115</v>
      </c>
      <c r="C1244" s="107">
        <v>85.9</v>
      </c>
      <c r="D1244" s="107">
        <v>0</v>
      </c>
      <c r="E1244" s="109">
        <v>15</v>
      </c>
    </row>
    <row r="1245" spans="1:5" ht="22.5" customHeight="1">
      <c r="A1245" s="101">
        <v>730008</v>
      </c>
      <c r="B1245" s="104" t="s">
        <v>1116</v>
      </c>
      <c r="C1245" s="107">
        <v>79.3</v>
      </c>
      <c r="D1245" s="107">
        <v>0</v>
      </c>
      <c r="E1245" s="109">
        <v>20.3</v>
      </c>
    </row>
    <row r="1246" spans="1:5" ht="22.5" customHeight="1">
      <c r="A1246" s="101">
        <v>741101</v>
      </c>
      <c r="B1246" s="104" t="s">
        <v>276</v>
      </c>
      <c r="C1246" s="107">
        <v>44.6</v>
      </c>
      <c r="D1246" s="107">
        <v>0</v>
      </c>
      <c r="E1246" s="109">
        <v>15.9</v>
      </c>
    </row>
    <row r="1247" spans="1:5" ht="22.5" customHeight="1">
      <c r="A1247" s="101">
        <v>741104</v>
      </c>
      <c r="B1247" s="104" t="s">
        <v>277</v>
      </c>
      <c r="C1247" s="107">
        <v>60.7</v>
      </c>
      <c r="D1247" s="107">
        <v>0</v>
      </c>
      <c r="E1247" s="109">
        <v>19.8</v>
      </c>
    </row>
    <row r="1248" spans="1:5" ht="22.5" customHeight="1">
      <c r="A1248" s="101">
        <v>741106</v>
      </c>
      <c r="B1248" s="104" t="s">
        <v>278</v>
      </c>
      <c r="C1248" s="107">
        <v>53.8</v>
      </c>
      <c r="D1248" s="107">
        <v>0</v>
      </c>
      <c r="E1248" s="109">
        <v>16.7</v>
      </c>
    </row>
    <row r="1249" spans="1:5" ht="22.5" customHeight="1">
      <c r="A1249" s="101">
        <v>741107</v>
      </c>
      <c r="B1249" s="104" t="s">
        <v>279</v>
      </c>
      <c r="C1249" s="107">
        <v>58.3</v>
      </c>
      <c r="D1249" s="107">
        <v>0</v>
      </c>
      <c r="E1249" s="109">
        <v>15.3</v>
      </c>
    </row>
    <row r="1250" spans="1:5" ht="22.5" customHeight="1">
      <c r="A1250" s="101">
        <v>741108</v>
      </c>
      <c r="B1250" s="104" t="s">
        <v>280</v>
      </c>
      <c r="C1250" s="107">
        <v>51.5</v>
      </c>
      <c r="D1250" s="107">
        <v>0</v>
      </c>
      <c r="E1250" s="109">
        <v>27.3</v>
      </c>
    </row>
    <row r="1251" spans="1:5" ht="22.5" customHeight="1">
      <c r="A1251" s="101">
        <v>741109</v>
      </c>
      <c r="B1251" s="104" t="s">
        <v>281</v>
      </c>
      <c r="C1251" s="107">
        <v>66.099999999999994</v>
      </c>
      <c r="D1251" s="107">
        <v>0</v>
      </c>
      <c r="E1251" s="109">
        <v>17.399999999999999</v>
      </c>
    </row>
    <row r="1252" spans="1:5" ht="22.5" customHeight="1">
      <c r="A1252" s="101">
        <v>741110</v>
      </c>
      <c r="B1252" s="104" t="s">
        <v>4408</v>
      </c>
      <c r="C1252" s="107">
        <v>66.099999999999994</v>
      </c>
      <c r="D1252" s="107">
        <v>0</v>
      </c>
      <c r="E1252" s="109">
        <v>22.5</v>
      </c>
    </row>
    <row r="1253" spans="1:5" ht="22.5" customHeight="1">
      <c r="A1253" s="101">
        <v>741114</v>
      </c>
      <c r="B1253" s="104" t="s">
        <v>281</v>
      </c>
      <c r="C1253" s="107">
        <v>66.099999999999994</v>
      </c>
      <c r="D1253" s="107">
        <v>0</v>
      </c>
      <c r="E1253" s="109">
        <v>15</v>
      </c>
    </row>
    <row r="1254" spans="1:5" ht="22.5" customHeight="1">
      <c r="A1254" s="101">
        <v>741201</v>
      </c>
      <c r="B1254" s="104" t="s">
        <v>282</v>
      </c>
      <c r="C1254" s="107">
        <v>58.2</v>
      </c>
      <c r="D1254" s="107">
        <v>0</v>
      </c>
      <c r="E1254" s="109">
        <v>23</v>
      </c>
    </row>
    <row r="1255" spans="1:5" ht="22.5" customHeight="1">
      <c r="A1255" s="101">
        <v>741202</v>
      </c>
      <c r="B1255" s="104" t="s">
        <v>283</v>
      </c>
      <c r="C1255" s="107">
        <v>58.2</v>
      </c>
      <c r="D1255" s="107">
        <v>0</v>
      </c>
      <c r="E1255" s="109">
        <v>23</v>
      </c>
    </row>
    <row r="1256" spans="1:5" ht="22.5" customHeight="1">
      <c r="A1256" s="101">
        <v>741203</v>
      </c>
      <c r="B1256" s="104" t="s">
        <v>4409</v>
      </c>
      <c r="C1256" s="107">
        <v>72.900000000000006</v>
      </c>
      <c r="D1256" s="107">
        <v>0</v>
      </c>
      <c r="E1256" s="109">
        <v>23</v>
      </c>
    </row>
    <row r="1257" spans="1:5" ht="22.5" customHeight="1">
      <c r="A1257" s="101">
        <v>741204</v>
      </c>
      <c r="B1257" s="104" t="s">
        <v>4410</v>
      </c>
      <c r="C1257" s="107">
        <v>72.900000000000006</v>
      </c>
      <c r="D1257" s="107">
        <v>0</v>
      </c>
      <c r="E1257" s="109">
        <v>23</v>
      </c>
    </row>
    <row r="1258" spans="1:5" ht="22.5" customHeight="1">
      <c r="A1258" s="101">
        <v>741300</v>
      </c>
      <c r="B1258" s="104" t="s">
        <v>1118</v>
      </c>
      <c r="C1258" s="107">
        <v>78.8</v>
      </c>
      <c r="D1258" s="107">
        <v>0</v>
      </c>
      <c r="E1258" s="109">
        <v>26.2</v>
      </c>
    </row>
    <row r="1259" spans="1:5" ht="22.5" customHeight="1">
      <c r="A1259" s="101">
        <v>741400</v>
      </c>
      <c r="B1259" s="104" t="s">
        <v>1119</v>
      </c>
      <c r="C1259" s="107">
        <v>77.3</v>
      </c>
      <c r="D1259" s="107">
        <v>0</v>
      </c>
      <c r="E1259" s="109">
        <v>27.1</v>
      </c>
    </row>
    <row r="1260" spans="1:5" ht="22.5" customHeight="1">
      <c r="A1260" s="101">
        <v>741401</v>
      </c>
      <c r="B1260" s="104" t="s">
        <v>1120</v>
      </c>
      <c r="C1260" s="107">
        <v>73.2</v>
      </c>
      <c r="D1260" s="107">
        <v>0</v>
      </c>
      <c r="E1260" s="109">
        <v>23.8</v>
      </c>
    </row>
    <row r="1261" spans="1:5" ht="22.5" customHeight="1">
      <c r="A1261" s="101">
        <v>741402</v>
      </c>
      <c r="B1261" s="104" t="s">
        <v>1175</v>
      </c>
      <c r="C1261" s="107">
        <v>85.2</v>
      </c>
      <c r="D1261" s="107">
        <v>0</v>
      </c>
      <c r="E1261" s="109">
        <v>25.9</v>
      </c>
    </row>
    <row r="1262" spans="1:5" ht="22.5" customHeight="1">
      <c r="A1262" s="101">
        <v>741403</v>
      </c>
      <c r="B1262" s="104" t="s">
        <v>1121</v>
      </c>
      <c r="C1262" s="107">
        <v>77.8</v>
      </c>
      <c r="D1262" s="107">
        <v>0</v>
      </c>
      <c r="E1262" s="109">
        <v>17.5</v>
      </c>
    </row>
    <row r="1263" spans="1:5" ht="22.5" customHeight="1">
      <c r="A1263" s="101">
        <v>742101</v>
      </c>
      <c r="B1263" s="104" t="s">
        <v>1122</v>
      </c>
      <c r="C1263" s="107">
        <v>72.3</v>
      </c>
      <c r="D1263" s="107">
        <v>0</v>
      </c>
      <c r="E1263" s="109">
        <v>23.5</v>
      </c>
    </row>
    <row r="1264" spans="1:5" ht="22.5" customHeight="1">
      <c r="A1264" s="101">
        <v>742102</v>
      </c>
      <c r="B1264" s="104" t="s">
        <v>1123</v>
      </c>
      <c r="C1264" s="107">
        <v>74.2</v>
      </c>
      <c r="D1264" s="107">
        <v>0</v>
      </c>
      <c r="E1264" s="109">
        <v>20.6</v>
      </c>
    </row>
    <row r="1265" spans="1:5" ht="22.5" customHeight="1">
      <c r="A1265" s="101">
        <v>742103</v>
      </c>
      <c r="B1265" s="104" t="s">
        <v>1124</v>
      </c>
      <c r="C1265" s="107">
        <v>72.3</v>
      </c>
      <c r="D1265" s="107">
        <v>0</v>
      </c>
      <c r="E1265" s="109">
        <v>20.5</v>
      </c>
    </row>
    <row r="1266" spans="1:5" ht="22.5" customHeight="1">
      <c r="A1266" s="101">
        <v>742104</v>
      </c>
      <c r="B1266" s="104" t="s">
        <v>1125</v>
      </c>
      <c r="C1266" s="107">
        <v>76.3</v>
      </c>
      <c r="D1266" s="107">
        <v>0</v>
      </c>
      <c r="E1266" s="109">
        <v>20.9</v>
      </c>
    </row>
    <row r="1267" spans="1:5" ht="22.5" customHeight="1">
      <c r="A1267" s="101">
        <v>742105</v>
      </c>
      <c r="B1267" s="104" t="s">
        <v>1126</v>
      </c>
      <c r="C1267" s="107">
        <v>73.599999999999994</v>
      </c>
      <c r="D1267" s="107">
        <v>0</v>
      </c>
      <c r="E1267" s="109">
        <v>21</v>
      </c>
    </row>
    <row r="1268" spans="1:5" ht="22.5" customHeight="1">
      <c r="A1268" s="101">
        <v>742106</v>
      </c>
      <c r="B1268" s="104" t="s">
        <v>1127</v>
      </c>
      <c r="C1268" s="107">
        <v>77.400000000000006</v>
      </c>
      <c r="D1268" s="107">
        <v>0</v>
      </c>
      <c r="E1268" s="109">
        <v>30.2</v>
      </c>
    </row>
    <row r="1269" spans="1:5" ht="22.5" customHeight="1">
      <c r="A1269" s="101">
        <v>742107</v>
      </c>
      <c r="B1269" s="104" t="s">
        <v>1128</v>
      </c>
      <c r="C1269" s="107">
        <v>73.900000000000006</v>
      </c>
      <c r="D1269" s="107">
        <v>0</v>
      </c>
      <c r="E1269" s="109">
        <v>26.6</v>
      </c>
    </row>
    <row r="1270" spans="1:5" ht="22.5" customHeight="1">
      <c r="A1270" s="101">
        <v>742108</v>
      </c>
      <c r="B1270" s="104" t="s">
        <v>1129</v>
      </c>
      <c r="C1270" s="107">
        <v>72.3</v>
      </c>
      <c r="D1270" s="107">
        <v>0</v>
      </c>
      <c r="E1270" s="109">
        <v>26.3</v>
      </c>
    </row>
    <row r="1271" spans="1:5" ht="22.5" customHeight="1">
      <c r="A1271" s="101">
        <v>742109</v>
      </c>
      <c r="B1271" s="104" t="s">
        <v>1130</v>
      </c>
      <c r="C1271" s="107">
        <v>76.3</v>
      </c>
      <c r="D1271" s="107">
        <v>0</v>
      </c>
      <c r="E1271" s="109">
        <v>23.9</v>
      </c>
    </row>
    <row r="1272" spans="1:5" ht="22.5" customHeight="1">
      <c r="A1272" s="101">
        <v>742110</v>
      </c>
      <c r="B1272" s="104" t="s">
        <v>1131</v>
      </c>
      <c r="C1272" s="107">
        <v>76.3</v>
      </c>
      <c r="D1272" s="107">
        <v>0</v>
      </c>
      <c r="E1272" s="109">
        <v>19.899999999999999</v>
      </c>
    </row>
    <row r="1273" spans="1:5" ht="22.5" customHeight="1">
      <c r="A1273" s="101">
        <v>742113</v>
      </c>
      <c r="B1273" s="104" t="s">
        <v>1132</v>
      </c>
      <c r="C1273" s="107">
        <v>76.3</v>
      </c>
      <c r="D1273" s="107">
        <v>0</v>
      </c>
      <c r="E1273" s="109">
        <v>19.899999999999999</v>
      </c>
    </row>
    <row r="1274" spans="1:5" ht="22.5" customHeight="1">
      <c r="A1274" s="101">
        <v>742201</v>
      </c>
      <c r="B1274" s="104" t="s">
        <v>1133</v>
      </c>
      <c r="C1274" s="107">
        <v>76</v>
      </c>
      <c r="D1274" s="107">
        <v>0</v>
      </c>
      <c r="E1274" s="109">
        <v>25.3</v>
      </c>
    </row>
    <row r="1275" spans="1:5" ht="22.5" customHeight="1">
      <c r="A1275" s="101">
        <v>742202</v>
      </c>
      <c r="B1275" s="104" t="s">
        <v>284</v>
      </c>
      <c r="C1275" s="107">
        <v>80.2</v>
      </c>
      <c r="D1275" s="107">
        <v>0</v>
      </c>
      <c r="E1275" s="109">
        <v>28.8</v>
      </c>
    </row>
    <row r="1276" spans="1:5" ht="22.5" customHeight="1">
      <c r="A1276" s="101">
        <v>742203</v>
      </c>
      <c r="B1276" s="104" t="s">
        <v>1134</v>
      </c>
      <c r="C1276" s="107">
        <v>76</v>
      </c>
      <c r="D1276" s="107">
        <v>0</v>
      </c>
      <c r="E1276" s="109">
        <v>24.8</v>
      </c>
    </row>
    <row r="1277" spans="1:5" ht="22.5" customHeight="1">
      <c r="A1277" s="101">
        <v>743001</v>
      </c>
      <c r="B1277" s="104" t="s">
        <v>285</v>
      </c>
      <c r="C1277" s="107">
        <v>79.900000000000006</v>
      </c>
      <c r="D1277" s="107">
        <v>0</v>
      </c>
      <c r="E1277" s="109">
        <v>17.399999999999999</v>
      </c>
    </row>
    <row r="1278" spans="1:5" ht="22.5" customHeight="1">
      <c r="A1278" s="101">
        <v>743002</v>
      </c>
      <c r="B1278" s="104" t="s">
        <v>1135</v>
      </c>
      <c r="C1278" s="107">
        <v>79.3</v>
      </c>
      <c r="D1278" s="107">
        <v>0</v>
      </c>
      <c r="E1278" s="109">
        <v>24.5</v>
      </c>
    </row>
    <row r="1279" spans="1:5" ht="22.5" customHeight="1">
      <c r="A1279" s="101">
        <v>743003</v>
      </c>
      <c r="B1279" s="104" t="s">
        <v>1136</v>
      </c>
      <c r="C1279" s="107">
        <v>79.5</v>
      </c>
      <c r="D1279" s="107">
        <v>0</v>
      </c>
      <c r="E1279" s="109">
        <v>27.6</v>
      </c>
    </row>
    <row r="1280" spans="1:5" ht="22.5" customHeight="1">
      <c r="A1280" s="101">
        <v>743004</v>
      </c>
      <c r="B1280" s="104" t="s">
        <v>1137</v>
      </c>
      <c r="C1280" s="107">
        <v>81.400000000000006</v>
      </c>
      <c r="D1280" s="107">
        <v>0</v>
      </c>
      <c r="E1280" s="109">
        <v>22.1</v>
      </c>
    </row>
    <row r="1281" spans="1:5" ht="22.5" customHeight="1">
      <c r="A1281" s="101">
        <v>743005</v>
      </c>
      <c r="B1281" s="104" t="s">
        <v>1138</v>
      </c>
      <c r="C1281" s="107">
        <v>79.3</v>
      </c>
      <c r="D1281" s="107">
        <v>0</v>
      </c>
      <c r="E1281" s="109">
        <v>23.9</v>
      </c>
    </row>
    <row r="1282" spans="1:5" ht="22.5" customHeight="1">
      <c r="A1282" s="101">
        <v>749100</v>
      </c>
      <c r="B1282" s="104" t="s">
        <v>1160</v>
      </c>
      <c r="C1282" s="107">
        <v>84.1</v>
      </c>
      <c r="D1282" s="107">
        <v>0</v>
      </c>
      <c r="E1282" s="109">
        <v>17.600000000000001</v>
      </c>
    </row>
    <row r="1283" spans="1:5" ht="22.5" customHeight="1">
      <c r="A1283" s="101">
        <v>749101</v>
      </c>
      <c r="B1283" s="104" t="s">
        <v>1161</v>
      </c>
      <c r="C1283" s="107">
        <v>83.7</v>
      </c>
      <c r="D1283" s="107">
        <v>0</v>
      </c>
      <c r="E1283" s="109">
        <v>19.2</v>
      </c>
    </row>
    <row r="1284" spans="1:5" ht="22.5" customHeight="1">
      <c r="A1284" s="101">
        <v>749102</v>
      </c>
      <c r="B1284" s="104" t="s">
        <v>1162</v>
      </c>
      <c r="C1284" s="107">
        <v>83.7</v>
      </c>
      <c r="D1284" s="107">
        <v>0</v>
      </c>
      <c r="E1284" s="109">
        <v>13.5</v>
      </c>
    </row>
    <row r="1285" spans="1:5" ht="22.5" customHeight="1">
      <c r="A1285" s="101">
        <v>749200</v>
      </c>
      <c r="B1285" s="104" t="s">
        <v>1163</v>
      </c>
      <c r="C1285" s="107">
        <v>85</v>
      </c>
      <c r="D1285" s="107">
        <v>0</v>
      </c>
      <c r="E1285" s="109">
        <v>25.7</v>
      </c>
    </row>
    <row r="1286" spans="1:5" ht="22.5" customHeight="1">
      <c r="A1286" s="101">
        <v>749201</v>
      </c>
      <c r="B1286" s="104" t="s">
        <v>1164</v>
      </c>
      <c r="C1286" s="107">
        <v>85</v>
      </c>
      <c r="D1286" s="107">
        <v>0</v>
      </c>
      <c r="E1286" s="109">
        <v>25.7</v>
      </c>
    </row>
    <row r="1287" spans="1:5" ht="22.5" customHeight="1">
      <c r="A1287" s="101">
        <v>749300</v>
      </c>
      <c r="B1287" s="104" t="s">
        <v>1165</v>
      </c>
      <c r="C1287" s="107">
        <v>85.5</v>
      </c>
      <c r="D1287" s="107">
        <v>0</v>
      </c>
      <c r="E1287" s="109">
        <v>17.5</v>
      </c>
    </row>
    <row r="1288" spans="1:5" ht="22.5" customHeight="1">
      <c r="A1288" s="101">
        <v>749301</v>
      </c>
      <c r="B1288" s="104" t="s">
        <v>804</v>
      </c>
      <c r="C1288" s="107">
        <v>85.5</v>
      </c>
      <c r="D1288" s="107">
        <v>0</v>
      </c>
      <c r="E1288" s="109">
        <v>19.600000000000001</v>
      </c>
    </row>
    <row r="1289" spans="1:5" ht="22.5" customHeight="1">
      <c r="A1289" s="101">
        <v>749302</v>
      </c>
      <c r="B1289" s="104" t="s">
        <v>1166</v>
      </c>
      <c r="C1289" s="107">
        <v>85.5</v>
      </c>
      <c r="D1289" s="107">
        <v>0</v>
      </c>
      <c r="E1289" s="109">
        <v>17.5</v>
      </c>
    </row>
    <row r="1290" spans="1:5" ht="22.5" customHeight="1">
      <c r="A1290" s="101">
        <v>749303</v>
      </c>
      <c r="B1290" s="104" t="s">
        <v>1167</v>
      </c>
      <c r="C1290" s="107">
        <v>85.5</v>
      </c>
      <c r="D1290" s="107">
        <v>0</v>
      </c>
      <c r="E1290" s="109">
        <v>10.3</v>
      </c>
    </row>
    <row r="1291" spans="1:5" ht="22.5" customHeight="1">
      <c r="A1291" s="101">
        <v>749400</v>
      </c>
      <c r="B1291" s="104" t="s">
        <v>1139</v>
      </c>
      <c r="C1291" s="107">
        <v>87.1</v>
      </c>
      <c r="D1291" s="107">
        <v>0</v>
      </c>
      <c r="E1291" s="109">
        <v>20.100000000000001</v>
      </c>
    </row>
    <row r="1292" spans="1:5" ht="22.5" customHeight="1">
      <c r="A1292" s="101">
        <v>749401</v>
      </c>
      <c r="B1292" s="104" t="s">
        <v>1229</v>
      </c>
      <c r="C1292" s="107">
        <v>83.3</v>
      </c>
      <c r="D1292" s="107">
        <v>0</v>
      </c>
      <c r="E1292" s="109">
        <v>20.8</v>
      </c>
    </row>
    <row r="1293" spans="1:5" ht="22.5" customHeight="1">
      <c r="A1293" s="101">
        <v>749402</v>
      </c>
      <c r="B1293" s="104" t="s">
        <v>1140</v>
      </c>
      <c r="C1293" s="107">
        <v>87.1</v>
      </c>
      <c r="D1293" s="107">
        <v>0</v>
      </c>
      <c r="E1293" s="109">
        <v>25.1</v>
      </c>
    </row>
    <row r="1294" spans="1:5" ht="22.5" customHeight="1">
      <c r="A1294" s="101">
        <v>749403</v>
      </c>
      <c r="B1294" s="104" t="s">
        <v>1141</v>
      </c>
      <c r="C1294" s="107">
        <v>87.1</v>
      </c>
      <c r="D1294" s="107">
        <v>0</v>
      </c>
      <c r="E1294" s="109">
        <v>17.600000000000001</v>
      </c>
    </row>
    <row r="1295" spans="1:5" ht="22.5" customHeight="1">
      <c r="A1295" s="101">
        <v>749500</v>
      </c>
      <c r="B1295" s="104" t="s">
        <v>289</v>
      </c>
      <c r="C1295" s="107">
        <v>88.6</v>
      </c>
      <c r="D1295" s="107">
        <v>0</v>
      </c>
      <c r="E1295" s="109">
        <v>18.5</v>
      </c>
    </row>
    <row r="1296" spans="1:5" ht="22.5" customHeight="1">
      <c r="A1296" s="101">
        <v>749601</v>
      </c>
      <c r="B1296" s="104" t="s">
        <v>1153</v>
      </c>
      <c r="C1296" s="107">
        <v>84.1</v>
      </c>
      <c r="D1296" s="107">
        <v>0</v>
      </c>
      <c r="E1296" s="109">
        <v>17.8</v>
      </c>
    </row>
    <row r="1297" spans="1:5" ht="22.5" customHeight="1">
      <c r="A1297" s="101">
        <v>749602</v>
      </c>
      <c r="B1297" s="104" t="s">
        <v>1153</v>
      </c>
      <c r="C1297" s="107">
        <v>85.7</v>
      </c>
      <c r="D1297" s="107">
        <v>0</v>
      </c>
      <c r="E1297" s="109">
        <v>12</v>
      </c>
    </row>
    <row r="1298" spans="1:5" ht="22.5" customHeight="1">
      <c r="A1298" s="101">
        <v>749603</v>
      </c>
      <c r="B1298" s="104" t="s">
        <v>1153</v>
      </c>
      <c r="C1298" s="107">
        <v>91.4</v>
      </c>
      <c r="D1298" s="107">
        <v>0</v>
      </c>
      <c r="E1298" s="109">
        <v>12.2</v>
      </c>
    </row>
    <row r="1299" spans="1:5" ht="22.5" customHeight="1">
      <c r="A1299" s="101">
        <v>749604</v>
      </c>
      <c r="B1299" s="104" t="s">
        <v>1168</v>
      </c>
      <c r="C1299" s="107">
        <v>88.4</v>
      </c>
      <c r="D1299" s="107">
        <v>0</v>
      </c>
      <c r="E1299" s="109">
        <v>15.4</v>
      </c>
    </row>
    <row r="1300" spans="1:5" ht="22.5" customHeight="1">
      <c r="A1300" s="101">
        <v>749609</v>
      </c>
      <c r="B1300" s="104" t="s">
        <v>1153</v>
      </c>
      <c r="C1300" s="107">
        <v>86.4</v>
      </c>
      <c r="D1300" s="107">
        <v>0</v>
      </c>
      <c r="E1300" s="109">
        <v>18.100000000000001</v>
      </c>
    </row>
    <row r="1301" spans="1:5" ht="22.5" customHeight="1">
      <c r="A1301" s="101">
        <v>749901</v>
      </c>
      <c r="B1301" s="104" t="s">
        <v>290</v>
      </c>
      <c r="C1301" s="107">
        <v>81.5</v>
      </c>
      <c r="D1301" s="107">
        <v>0</v>
      </c>
      <c r="E1301" s="109">
        <v>24.5</v>
      </c>
    </row>
    <row r="1302" spans="1:5" ht="22.5" customHeight="1">
      <c r="A1302" s="101">
        <v>749902</v>
      </c>
      <c r="B1302" s="104" t="s">
        <v>1142</v>
      </c>
      <c r="C1302" s="107">
        <v>77.5</v>
      </c>
      <c r="D1302" s="107">
        <v>0</v>
      </c>
      <c r="E1302" s="109">
        <v>26.6</v>
      </c>
    </row>
    <row r="1303" spans="1:5" ht="22.5" customHeight="1">
      <c r="A1303" s="101">
        <v>749903</v>
      </c>
      <c r="B1303" s="104" t="s">
        <v>286</v>
      </c>
      <c r="C1303" s="107">
        <v>77.900000000000006</v>
      </c>
      <c r="D1303" s="107">
        <v>0</v>
      </c>
      <c r="E1303" s="109">
        <v>26.1</v>
      </c>
    </row>
    <row r="1304" spans="1:5" ht="22.5" customHeight="1">
      <c r="A1304" s="101">
        <v>749904</v>
      </c>
      <c r="B1304" s="104" t="s">
        <v>1097</v>
      </c>
      <c r="C1304" s="107">
        <v>73.599999999999994</v>
      </c>
      <c r="D1304" s="107">
        <v>0</v>
      </c>
      <c r="E1304" s="109">
        <v>23.2</v>
      </c>
    </row>
    <row r="1305" spans="1:5" ht="22.5" customHeight="1">
      <c r="A1305" s="101">
        <v>749905</v>
      </c>
      <c r="B1305" s="104" t="s">
        <v>290</v>
      </c>
      <c r="C1305" s="107">
        <v>78.7</v>
      </c>
      <c r="D1305" s="107">
        <v>0</v>
      </c>
      <c r="E1305" s="109">
        <v>16</v>
      </c>
    </row>
    <row r="1306" spans="1:5" ht="22.5" customHeight="1">
      <c r="A1306" s="101">
        <v>749906</v>
      </c>
      <c r="B1306" s="104" t="s">
        <v>1010</v>
      </c>
      <c r="C1306" s="107">
        <v>72.099999999999994</v>
      </c>
      <c r="D1306" s="107">
        <v>0</v>
      </c>
      <c r="E1306" s="109">
        <v>24.8</v>
      </c>
    </row>
    <row r="1307" spans="1:5" ht="22.5" customHeight="1">
      <c r="A1307" s="101">
        <v>749907</v>
      </c>
      <c r="B1307" s="104" t="s">
        <v>1169</v>
      </c>
      <c r="C1307" s="107">
        <v>83.6</v>
      </c>
      <c r="D1307" s="107">
        <v>0</v>
      </c>
      <c r="E1307" s="109">
        <v>23.5</v>
      </c>
    </row>
    <row r="1308" spans="1:5" ht="22.5" customHeight="1">
      <c r="A1308" s="101">
        <v>749909</v>
      </c>
      <c r="B1308" s="104" t="s">
        <v>41</v>
      </c>
      <c r="C1308" s="107">
        <v>85.2</v>
      </c>
      <c r="D1308" s="107">
        <v>0</v>
      </c>
      <c r="E1308" s="109">
        <v>18.100000000000001</v>
      </c>
    </row>
    <row r="1309" spans="1:5" ht="22.5" customHeight="1">
      <c r="A1309" s="101">
        <v>749910</v>
      </c>
      <c r="B1309" s="104" t="s">
        <v>1143</v>
      </c>
      <c r="C1309" s="107">
        <v>78.8</v>
      </c>
      <c r="D1309" s="107">
        <v>0</v>
      </c>
      <c r="E1309" s="109">
        <v>23.6</v>
      </c>
    </row>
    <row r="1310" spans="1:5" ht="22.5" customHeight="1">
      <c r="A1310" s="101">
        <v>749911</v>
      </c>
      <c r="B1310" s="104" t="s">
        <v>287</v>
      </c>
      <c r="C1310" s="107">
        <v>80.7</v>
      </c>
      <c r="D1310" s="107">
        <v>0</v>
      </c>
      <c r="E1310" s="109">
        <v>25.8</v>
      </c>
    </row>
    <row r="1311" spans="1:5" ht="22.5" customHeight="1">
      <c r="A1311" s="101">
        <v>749912</v>
      </c>
      <c r="B1311" s="104" t="s">
        <v>1144</v>
      </c>
      <c r="C1311" s="107">
        <v>80.900000000000006</v>
      </c>
      <c r="D1311" s="107">
        <v>0</v>
      </c>
      <c r="E1311" s="109">
        <v>22.6</v>
      </c>
    </row>
    <row r="1312" spans="1:5" ht="22.5" customHeight="1">
      <c r="A1312" s="101">
        <v>749913</v>
      </c>
      <c r="B1312" s="104" t="s">
        <v>1170</v>
      </c>
      <c r="C1312" s="107">
        <v>81.7</v>
      </c>
      <c r="D1312" s="107">
        <v>0</v>
      </c>
      <c r="E1312" s="109">
        <v>21.9</v>
      </c>
    </row>
    <row r="1313" spans="1:5" ht="22.5" customHeight="1">
      <c r="A1313" s="101">
        <v>749914</v>
      </c>
      <c r="B1313" s="104" t="s">
        <v>1145</v>
      </c>
      <c r="C1313" s="107">
        <v>81.5</v>
      </c>
      <c r="D1313" s="107">
        <v>0</v>
      </c>
      <c r="E1313" s="109">
        <v>18</v>
      </c>
    </row>
    <row r="1314" spans="1:5" ht="22.5" customHeight="1">
      <c r="A1314" s="101">
        <v>749915</v>
      </c>
      <c r="B1314" s="104" t="s">
        <v>1146</v>
      </c>
      <c r="C1314" s="107">
        <v>78.8</v>
      </c>
      <c r="D1314" s="107">
        <v>0</v>
      </c>
      <c r="E1314" s="109">
        <v>16.600000000000001</v>
      </c>
    </row>
    <row r="1315" spans="1:5" ht="22.5" customHeight="1">
      <c r="A1315" s="101">
        <v>749916</v>
      </c>
      <c r="B1315" s="104" t="s">
        <v>1147</v>
      </c>
      <c r="C1315" s="107">
        <v>78.8</v>
      </c>
      <c r="D1315" s="107">
        <v>0</v>
      </c>
      <c r="E1315" s="109">
        <v>23.1</v>
      </c>
    </row>
    <row r="1316" spans="1:5" ht="22.5" customHeight="1">
      <c r="A1316" s="101">
        <v>749921</v>
      </c>
      <c r="B1316" s="104" t="s">
        <v>1153</v>
      </c>
      <c r="C1316" s="107">
        <v>77.2</v>
      </c>
      <c r="D1316" s="107">
        <v>0</v>
      </c>
      <c r="E1316" s="109">
        <v>19.3</v>
      </c>
    </row>
    <row r="1317" spans="1:5" ht="22.5" customHeight="1">
      <c r="A1317" s="101">
        <v>749927</v>
      </c>
      <c r="B1317" s="104" t="s">
        <v>4397</v>
      </c>
      <c r="C1317" s="107">
        <v>70.400000000000006</v>
      </c>
      <c r="D1317" s="107">
        <v>0</v>
      </c>
      <c r="E1317" s="109">
        <v>17.899999999999999</v>
      </c>
    </row>
    <row r="1318" spans="1:5" ht="22.5" customHeight="1">
      <c r="A1318" s="101">
        <v>749930</v>
      </c>
      <c r="B1318" s="104" t="s">
        <v>1002</v>
      </c>
      <c r="C1318" s="107">
        <v>77.2</v>
      </c>
      <c r="D1318" s="107">
        <v>0</v>
      </c>
      <c r="E1318" s="109">
        <v>16.7</v>
      </c>
    </row>
    <row r="1319" spans="1:5" ht="22.5" customHeight="1">
      <c r="A1319" s="101">
        <v>749934</v>
      </c>
      <c r="B1319" s="104" t="s">
        <v>1150</v>
      </c>
      <c r="C1319" s="107">
        <v>44.9</v>
      </c>
      <c r="D1319" s="107">
        <v>0</v>
      </c>
      <c r="E1319" s="109">
        <v>11.1</v>
      </c>
    </row>
    <row r="1320" spans="1:5" ht="22.5" customHeight="1">
      <c r="A1320" s="101">
        <v>749935</v>
      </c>
      <c r="B1320" s="104" t="s">
        <v>3656</v>
      </c>
      <c r="C1320" s="107">
        <v>81.5</v>
      </c>
      <c r="D1320" s="107">
        <v>0</v>
      </c>
      <c r="E1320" s="109">
        <v>14.1</v>
      </c>
    </row>
    <row r="1321" spans="1:5" ht="22.5" customHeight="1">
      <c r="A1321" s="101">
        <v>749937</v>
      </c>
      <c r="B1321" s="104" t="s">
        <v>1171</v>
      </c>
      <c r="C1321" s="107">
        <v>81.2</v>
      </c>
      <c r="D1321" s="107">
        <v>0</v>
      </c>
      <c r="E1321" s="109">
        <v>15.2</v>
      </c>
    </row>
    <row r="1322" spans="1:5" ht="22.5" customHeight="1">
      <c r="A1322" s="101">
        <v>749938</v>
      </c>
      <c r="B1322" s="104" t="s">
        <v>1172</v>
      </c>
      <c r="C1322" s="107">
        <v>83.1</v>
      </c>
      <c r="D1322" s="107">
        <v>0</v>
      </c>
      <c r="E1322" s="109">
        <v>28.2</v>
      </c>
    </row>
    <row r="1323" spans="1:5" ht="22.5" customHeight="1">
      <c r="A1323" s="101">
        <v>749939</v>
      </c>
      <c r="B1323" s="104" t="s">
        <v>1148</v>
      </c>
      <c r="C1323" s="107">
        <v>79.8</v>
      </c>
      <c r="D1323" s="107">
        <v>0</v>
      </c>
      <c r="E1323" s="109">
        <v>17.399999999999999</v>
      </c>
    </row>
    <row r="1324" spans="1:5" ht="22.5" customHeight="1">
      <c r="A1324" s="101">
        <v>749940</v>
      </c>
      <c r="B1324" s="104" t="s">
        <v>199</v>
      </c>
      <c r="C1324" s="107">
        <v>83.4</v>
      </c>
      <c r="D1324" s="107">
        <v>0</v>
      </c>
      <c r="E1324" s="109">
        <v>22.3</v>
      </c>
    </row>
    <row r="1325" spans="1:5" ht="22.5" customHeight="1">
      <c r="A1325" s="101">
        <v>749941</v>
      </c>
      <c r="B1325" s="104" t="s">
        <v>286</v>
      </c>
      <c r="C1325" s="107">
        <v>49.9</v>
      </c>
      <c r="D1325" s="107">
        <v>0</v>
      </c>
      <c r="E1325" s="109">
        <v>22</v>
      </c>
    </row>
    <row r="1326" spans="1:5" ht="22.5" customHeight="1">
      <c r="A1326" s="101">
        <v>749942</v>
      </c>
      <c r="B1326" s="104" t="s">
        <v>1149</v>
      </c>
      <c r="C1326" s="107">
        <v>81.900000000000006</v>
      </c>
      <c r="D1326" s="107">
        <v>0</v>
      </c>
      <c r="E1326" s="109">
        <v>24.9</v>
      </c>
    </row>
    <row r="1327" spans="1:5" ht="22.5" customHeight="1">
      <c r="A1327" s="101">
        <v>804101</v>
      </c>
      <c r="B1327" s="104" t="s">
        <v>291</v>
      </c>
      <c r="C1327" s="107">
        <v>0</v>
      </c>
      <c r="D1327" s="107">
        <v>0</v>
      </c>
      <c r="E1327" s="109">
        <v>0</v>
      </c>
    </row>
    <row r="1328" spans="1:5" ht="22.5" customHeight="1">
      <c r="A1328" s="101">
        <v>809001</v>
      </c>
      <c r="B1328" s="104" t="s">
        <v>293</v>
      </c>
      <c r="C1328" s="107">
        <v>80.2</v>
      </c>
      <c r="D1328" s="107">
        <v>0</v>
      </c>
      <c r="E1328" s="109">
        <v>29.8</v>
      </c>
    </row>
    <row r="1329" spans="1:5" ht="22.5" customHeight="1">
      <c r="A1329" s="101">
        <v>809002</v>
      </c>
      <c r="B1329" s="104" t="s">
        <v>1176</v>
      </c>
      <c r="C1329" s="107">
        <v>81.7</v>
      </c>
      <c r="D1329" s="107">
        <v>0</v>
      </c>
      <c r="E1329" s="109">
        <v>20.8</v>
      </c>
    </row>
    <row r="1330" spans="1:5" ht="22.5" customHeight="1">
      <c r="A1330" s="101">
        <v>809003</v>
      </c>
      <c r="B1330" s="104" t="s">
        <v>1177</v>
      </c>
      <c r="C1330" s="107">
        <v>84.1</v>
      </c>
      <c r="D1330" s="107">
        <v>0</v>
      </c>
      <c r="E1330" s="109">
        <v>18.7</v>
      </c>
    </row>
    <row r="1331" spans="1:5" ht="22.5" customHeight="1">
      <c r="A1331" s="101">
        <v>809004</v>
      </c>
      <c r="B1331" s="104" t="s">
        <v>1178</v>
      </c>
      <c r="C1331" s="107">
        <v>83.3</v>
      </c>
      <c r="D1331" s="107">
        <v>0</v>
      </c>
      <c r="E1331" s="109">
        <v>23.6</v>
      </c>
    </row>
    <row r="1332" spans="1:5" ht="22.5" customHeight="1">
      <c r="A1332" s="101">
        <v>809005</v>
      </c>
      <c r="B1332" s="104" t="s">
        <v>1178</v>
      </c>
      <c r="C1332" s="107">
        <v>80</v>
      </c>
      <c r="D1332" s="107">
        <v>0</v>
      </c>
      <c r="E1332" s="109">
        <v>22.5</v>
      </c>
    </row>
    <row r="1333" spans="1:5" ht="22.5" customHeight="1">
      <c r="A1333" s="101">
        <v>809006</v>
      </c>
      <c r="B1333" s="104" t="s">
        <v>1196</v>
      </c>
      <c r="C1333" s="107">
        <v>87.2</v>
      </c>
      <c r="D1333" s="107">
        <v>0</v>
      </c>
      <c r="E1333" s="109">
        <v>23.5</v>
      </c>
    </row>
    <row r="1334" spans="1:5" ht="22.5" customHeight="1">
      <c r="A1334" s="101">
        <v>809007</v>
      </c>
      <c r="B1334" s="104" t="s">
        <v>4411</v>
      </c>
      <c r="C1334" s="107">
        <v>78</v>
      </c>
      <c r="D1334" s="107">
        <v>0</v>
      </c>
      <c r="E1334" s="109">
        <v>18.5</v>
      </c>
    </row>
    <row r="1335" spans="1:5" ht="22.5" customHeight="1">
      <c r="A1335" s="101">
        <v>809009</v>
      </c>
      <c r="B1335" s="104" t="s">
        <v>1179</v>
      </c>
      <c r="C1335" s="107">
        <v>81.8</v>
      </c>
      <c r="D1335" s="107">
        <v>0</v>
      </c>
      <c r="E1335" s="109">
        <v>22.3</v>
      </c>
    </row>
    <row r="1336" spans="1:5" ht="22.5" customHeight="1">
      <c r="A1336" s="101">
        <v>809010</v>
      </c>
      <c r="B1336" s="104" t="s">
        <v>1176</v>
      </c>
      <c r="C1336" s="107">
        <v>81.599999999999994</v>
      </c>
      <c r="D1336" s="107">
        <v>0</v>
      </c>
      <c r="E1336" s="109">
        <v>17.7</v>
      </c>
    </row>
    <row r="1337" spans="1:5" ht="22.5" customHeight="1">
      <c r="A1337" s="101">
        <v>809011</v>
      </c>
      <c r="B1337" s="104" t="s">
        <v>293</v>
      </c>
      <c r="C1337" s="107">
        <v>80.2</v>
      </c>
      <c r="D1337" s="107">
        <v>0</v>
      </c>
      <c r="E1337" s="109">
        <v>30.8</v>
      </c>
    </row>
    <row r="1338" spans="1:5" ht="22.5" customHeight="1">
      <c r="A1338" s="101">
        <v>809012</v>
      </c>
      <c r="B1338" s="104" t="s">
        <v>1178</v>
      </c>
      <c r="C1338" s="107">
        <v>81.900000000000006</v>
      </c>
      <c r="D1338" s="107">
        <v>0</v>
      </c>
      <c r="E1338" s="109">
        <v>21.9</v>
      </c>
    </row>
    <row r="1339" spans="1:5" ht="22.5" customHeight="1">
      <c r="A1339" s="101">
        <v>809013</v>
      </c>
      <c r="B1339" s="104" t="s">
        <v>1180</v>
      </c>
      <c r="C1339" s="107">
        <v>82.7</v>
      </c>
      <c r="D1339" s="107">
        <v>0</v>
      </c>
      <c r="E1339" s="109">
        <v>21.7</v>
      </c>
    </row>
    <row r="1340" spans="1:5" ht="22.5" customHeight="1">
      <c r="A1340" s="101">
        <v>809014</v>
      </c>
      <c r="B1340" s="104" t="s">
        <v>1181</v>
      </c>
      <c r="C1340" s="107">
        <v>81.099999999999994</v>
      </c>
      <c r="D1340" s="107">
        <v>0</v>
      </c>
      <c r="E1340" s="109">
        <v>20.9</v>
      </c>
    </row>
    <row r="1341" spans="1:5" ht="22.5" customHeight="1">
      <c r="A1341" s="101">
        <v>809015</v>
      </c>
      <c r="B1341" s="104" t="s">
        <v>1182</v>
      </c>
      <c r="C1341" s="107">
        <v>81.099999999999994</v>
      </c>
      <c r="D1341" s="107">
        <v>0</v>
      </c>
      <c r="E1341" s="109">
        <v>24</v>
      </c>
    </row>
    <row r="1342" spans="1:5" ht="22.5" customHeight="1">
      <c r="A1342" s="101">
        <v>809016</v>
      </c>
      <c r="B1342" s="104" t="s">
        <v>1183</v>
      </c>
      <c r="C1342" s="107">
        <v>83.2</v>
      </c>
      <c r="D1342" s="107">
        <v>0</v>
      </c>
      <c r="E1342" s="109">
        <v>27.4</v>
      </c>
    </row>
    <row r="1343" spans="1:5" ht="22.5" customHeight="1">
      <c r="A1343" s="101">
        <v>809017</v>
      </c>
      <c r="B1343" s="104" t="s">
        <v>1184</v>
      </c>
      <c r="C1343" s="107">
        <v>83.2</v>
      </c>
      <c r="D1343" s="107">
        <v>0</v>
      </c>
      <c r="E1343" s="109">
        <v>23.7</v>
      </c>
    </row>
    <row r="1344" spans="1:5" ht="22.5" customHeight="1">
      <c r="A1344" s="101">
        <v>809018</v>
      </c>
      <c r="B1344" s="104" t="s">
        <v>1185</v>
      </c>
      <c r="C1344" s="107">
        <v>79.900000000000006</v>
      </c>
      <c r="D1344" s="107">
        <v>0</v>
      </c>
      <c r="E1344" s="109">
        <v>24</v>
      </c>
    </row>
    <row r="1345" spans="1:5" ht="22.5" customHeight="1">
      <c r="A1345" s="101">
        <v>809019</v>
      </c>
      <c r="B1345" s="104" t="s">
        <v>1197</v>
      </c>
      <c r="C1345" s="107">
        <v>88.2</v>
      </c>
      <c r="D1345" s="107">
        <v>0</v>
      </c>
      <c r="E1345" s="109">
        <v>17.8</v>
      </c>
    </row>
    <row r="1346" spans="1:5" ht="22.5" customHeight="1">
      <c r="A1346" s="101">
        <v>809020</v>
      </c>
      <c r="B1346" s="104" t="s">
        <v>1186</v>
      </c>
      <c r="C1346" s="107">
        <v>83.3</v>
      </c>
      <c r="D1346" s="107">
        <v>0</v>
      </c>
      <c r="E1346" s="109">
        <v>21.6</v>
      </c>
    </row>
    <row r="1347" spans="1:5" ht="22.5" customHeight="1">
      <c r="A1347" s="101">
        <v>809021</v>
      </c>
      <c r="B1347" s="104" t="s">
        <v>1187</v>
      </c>
      <c r="C1347" s="107">
        <v>83.8</v>
      </c>
      <c r="D1347" s="107">
        <v>0</v>
      </c>
      <c r="E1347" s="109">
        <v>24.4</v>
      </c>
    </row>
    <row r="1348" spans="1:5" ht="22.5" customHeight="1">
      <c r="A1348" s="101">
        <v>809022</v>
      </c>
      <c r="B1348" s="104" t="s">
        <v>1188</v>
      </c>
      <c r="C1348" s="107">
        <v>84.2</v>
      </c>
      <c r="D1348" s="107">
        <v>0</v>
      </c>
      <c r="E1348" s="109">
        <v>18.600000000000001</v>
      </c>
    </row>
    <row r="1349" spans="1:5" ht="22.5" customHeight="1">
      <c r="A1349" s="101">
        <v>851101</v>
      </c>
      <c r="B1349" s="104" t="s">
        <v>1189</v>
      </c>
      <c r="C1349" s="107">
        <v>78.599999999999994</v>
      </c>
      <c r="D1349" s="107">
        <v>0</v>
      </c>
      <c r="E1349" s="109">
        <v>19</v>
      </c>
    </row>
    <row r="1350" spans="1:5" ht="22.5" customHeight="1">
      <c r="A1350" s="101">
        <v>851102</v>
      </c>
      <c r="B1350" s="104" t="s">
        <v>42</v>
      </c>
      <c r="C1350" s="107">
        <v>63.6</v>
      </c>
      <c r="D1350" s="107">
        <v>0</v>
      </c>
      <c r="E1350" s="109">
        <v>21.5</v>
      </c>
    </row>
    <row r="1351" spans="1:5" ht="22.5" customHeight="1">
      <c r="A1351" s="101">
        <v>851103</v>
      </c>
      <c r="B1351" s="104" t="s">
        <v>43</v>
      </c>
      <c r="C1351" s="107">
        <v>67.5</v>
      </c>
      <c r="D1351" s="107">
        <v>0</v>
      </c>
      <c r="E1351" s="109">
        <v>23.4</v>
      </c>
    </row>
    <row r="1352" spans="1:5" ht="22.5" customHeight="1">
      <c r="A1352" s="101">
        <v>851113</v>
      </c>
      <c r="B1352" s="104" t="s">
        <v>1190</v>
      </c>
      <c r="C1352" s="107">
        <v>78.599999999999994</v>
      </c>
      <c r="D1352" s="107">
        <v>0</v>
      </c>
      <c r="E1352" s="109">
        <v>19</v>
      </c>
    </row>
    <row r="1353" spans="1:5" ht="22.5" customHeight="1">
      <c r="A1353" s="101">
        <v>851114</v>
      </c>
      <c r="B1353" s="104" t="s">
        <v>1191</v>
      </c>
      <c r="C1353" s="107">
        <v>78.599999999999994</v>
      </c>
      <c r="D1353" s="107">
        <v>0</v>
      </c>
      <c r="E1353" s="109">
        <v>19</v>
      </c>
    </row>
    <row r="1354" spans="1:5" ht="22.5" customHeight="1">
      <c r="A1354" s="101">
        <v>851201</v>
      </c>
      <c r="B1354" s="104" t="s">
        <v>296</v>
      </c>
      <c r="C1354" s="107">
        <v>70.5</v>
      </c>
      <c r="D1354" s="107">
        <v>0</v>
      </c>
      <c r="E1354" s="109">
        <v>27.9</v>
      </c>
    </row>
    <row r="1355" spans="1:5" ht="22.5" customHeight="1">
      <c r="A1355" s="101">
        <v>851202</v>
      </c>
      <c r="B1355" s="104" t="s">
        <v>296</v>
      </c>
      <c r="C1355" s="107">
        <v>74.8</v>
      </c>
      <c r="D1355" s="107">
        <v>0</v>
      </c>
      <c r="E1355" s="109">
        <v>27.5</v>
      </c>
    </row>
    <row r="1356" spans="1:5" ht="22.5" customHeight="1">
      <c r="A1356" s="101">
        <v>851203</v>
      </c>
      <c r="B1356" s="104" t="s">
        <v>296</v>
      </c>
      <c r="C1356" s="107">
        <v>73.900000000000006</v>
      </c>
      <c r="D1356" s="107">
        <v>0</v>
      </c>
      <c r="E1356" s="109">
        <v>27</v>
      </c>
    </row>
    <row r="1357" spans="1:5" ht="22.5" customHeight="1">
      <c r="A1357" s="101">
        <v>851204</v>
      </c>
      <c r="B1357" s="104" t="s">
        <v>296</v>
      </c>
      <c r="C1357" s="107">
        <v>68.3</v>
      </c>
      <c r="D1357" s="107">
        <v>0</v>
      </c>
      <c r="E1357" s="109">
        <v>25.9</v>
      </c>
    </row>
    <row r="1358" spans="1:5" ht="22.5" customHeight="1">
      <c r="A1358" s="101">
        <v>851205</v>
      </c>
      <c r="B1358" s="104" t="s">
        <v>296</v>
      </c>
      <c r="C1358" s="107">
        <v>69.5</v>
      </c>
      <c r="D1358" s="107">
        <v>0</v>
      </c>
      <c r="E1358" s="109">
        <v>28.7</v>
      </c>
    </row>
    <row r="1359" spans="1:5" ht="22.5" customHeight="1">
      <c r="A1359" s="101">
        <v>851206</v>
      </c>
      <c r="B1359" s="104" t="s">
        <v>296</v>
      </c>
      <c r="C1359" s="107">
        <v>73.099999999999994</v>
      </c>
      <c r="D1359" s="107">
        <v>0</v>
      </c>
      <c r="E1359" s="109">
        <v>31</v>
      </c>
    </row>
    <row r="1360" spans="1:5" ht="22.5" customHeight="1">
      <c r="A1360" s="101">
        <v>851207</v>
      </c>
      <c r="B1360" s="104" t="s">
        <v>296</v>
      </c>
      <c r="C1360" s="107">
        <v>65</v>
      </c>
      <c r="D1360" s="107">
        <v>0</v>
      </c>
      <c r="E1360" s="109">
        <v>22.8</v>
      </c>
    </row>
    <row r="1361" spans="1:5" ht="22.5" customHeight="1">
      <c r="A1361" s="101">
        <v>851208</v>
      </c>
      <c r="B1361" s="104" t="s">
        <v>1192</v>
      </c>
      <c r="C1361" s="107">
        <v>71.099999999999994</v>
      </c>
      <c r="D1361" s="107">
        <v>0</v>
      </c>
      <c r="E1361" s="109">
        <v>29.1</v>
      </c>
    </row>
    <row r="1362" spans="1:5" ht="22.5" customHeight="1">
      <c r="A1362" s="101">
        <v>851209</v>
      </c>
      <c r="B1362" s="104" t="s">
        <v>296</v>
      </c>
      <c r="C1362" s="107">
        <v>42.7</v>
      </c>
      <c r="D1362" s="107">
        <v>0</v>
      </c>
      <c r="E1362" s="109">
        <v>16.100000000000001</v>
      </c>
    </row>
    <row r="1363" spans="1:5" ht="22.5" customHeight="1">
      <c r="A1363" s="101">
        <v>851211</v>
      </c>
      <c r="B1363" s="104" t="s">
        <v>44</v>
      </c>
      <c r="C1363" s="107">
        <v>61.7</v>
      </c>
      <c r="D1363" s="107">
        <v>0</v>
      </c>
      <c r="E1363" s="109">
        <v>17.2</v>
      </c>
    </row>
    <row r="1364" spans="1:5" ht="22.5" customHeight="1">
      <c r="A1364" s="101">
        <v>851212</v>
      </c>
      <c r="B1364" s="104" t="s">
        <v>45</v>
      </c>
      <c r="C1364" s="107">
        <v>56.6</v>
      </c>
      <c r="D1364" s="107">
        <v>0</v>
      </c>
      <c r="E1364" s="109">
        <v>18.899999999999999</v>
      </c>
    </row>
    <row r="1365" spans="1:5" ht="22.5" customHeight="1">
      <c r="A1365" s="101">
        <v>851219</v>
      </c>
      <c r="B1365" s="104" t="s">
        <v>296</v>
      </c>
      <c r="C1365" s="107">
        <v>67.099999999999994</v>
      </c>
      <c r="D1365" s="107">
        <v>0</v>
      </c>
      <c r="E1365" s="109">
        <v>15</v>
      </c>
    </row>
    <row r="1366" spans="1:5" ht="22.5" customHeight="1">
      <c r="A1366" s="101">
        <v>851901</v>
      </c>
      <c r="B1366" s="104" t="s">
        <v>1193</v>
      </c>
      <c r="C1366" s="107">
        <v>75.2</v>
      </c>
      <c r="D1366" s="107">
        <v>0</v>
      </c>
      <c r="E1366" s="109">
        <v>15</v>
      </c>
    </row>
    <row r="1367" spans="1:5" ht="22.5" customHeight="1">
      <c r="A1367" s="101">
        <v>851902</v>
      </c>
      <c r="B1367" s="104" t="s">
        <v>297</v>
      </c>
      <c r="C1367" s="107">
        <v>54.2</v>
      </c>
      <c r="D1367" s="107">
        <v>0</v>
      </c>
      <c r="E1367" s="109">
        <v>14.8</v>
      </c>
    </row>
    <row r="1368" spans="1:5" ht="22.5" customHeight="1">
      <c r="A1368" s="101">
        <v>851903</v>
      </c>
      <c r="B1368" s="104" t="s">
        <v>297</v>
      </c>
      <c r="C1368" s="107">
        <v>79.099999999999994</v>
      </c>
      <c r="D1368" s="107">
        <v>0</v>
      </c>
      <c r="E1368" s="109">
        <v>11.6</v>
      </c>
    </row>
    <row r="1369" spans="1:5" ht="22.5" customHeight="1">
      <c r="A1369" s="101">
        <v>851904</v>
      </c>
      <c r="B1369" s="104" t="s">
        <v>297</v>
      </c>
      <c r="C1369" s="107">
        <v>48</v>
      </c>
      <c r="D1369" s="107">
        <v>0</v>
      </c>
      <c r="E1369" s="109">
        <v>9.6</v>
      </c>
    </row>
    <row r="1370" spans="1:5" ht="22.5" customHeight="1">
      <c r="A1370" s="101">
        <v>851905</v>
      </c>
      <c r="B1370" s="104" t="s">
        <v>1192</v>
      </c>
      <c r="C1370" s="107">
        <v>70.400000000000006</v>
      </c>
      <c r="D1370" s="107">
        <v>0</v>
      </c>
      <c r="E1370" s="109">
        <v>15.8</v>
      </c>
    </row>
    <row r="1371" spans="1:5" ht="22.5" customHeight="1">
      <c r="A1371" s="101">
        <v>851906</v>
      </c>
      <c r="B1371" s="104" t="s">
        <v>1193</v>
      </c>
      <c r="C1371" s="107">
        <v>83.5</v>
      </c>
      <c r="D1371" s="107">
        <v>0</v>
      </c>
      <c r="E1371" s="109">
        <v>15.6</v>
      </c>
    </row>
    <row r="1372" spans="1:5" ht="22.5" customHeight="1">
      <c r="A1372" s="101">
        <v>851907</v>
      </c>
      <c r="B1372" s="104" t="s">
        <v>1193</v>
      </c>
      <c r="C1372" s="107">
        <v>78</v>
      </c>
      <c r="D1372" s="107">
        <v>0</v>
      </c>
      <c r="E1372" s="109">
        <v>13.8</v>
      </c>
    </row>
    <row r="1373" spans="1:5" ht="22.5" customHeight="1">
      <c r="A1373" s="101">
        <v>851908</v>
      </c>
      <c r="B1373" s="104" t="s">
        <v>297</v>
      </c>
      <c r="C1373" s="107">
        <v>85.3</v>
      </c>
      <c r="D1373" s="107">
        <v>0</v>
      </c>
      <c r="E1373" s="109">
        <v>18.899999999999999</v>
      </c>
    </row>
    <row r="1374" spans="1:5" ht="22.5" customHeight="1">
      <c r="A1374" s="101">
        <v>851909</v>
      </c>
      <c r="B1374" s="104" t="s">
        <v>1192</v>
      </c>
      <c r="C1374" s="107">
        <v>78</v>
      </c>
      <c r="D1374" s="107">
        <v>0</v>
      </c>
      <c r="E1374" s="109">
        <v>17.100000000000001</v>
      </c>
    </row>
    <row r="1375" spans="1:5" ht="22.5" customHeight="1">
      <c r="A1375" s="101">
        <v>851911</v>
      </c>
      <c r="B1375" s="104" t="s">
        <v>1194</v>
      </c>
      <c r="C1375" s="107">
        <v>78</v>
      </c>
      <c r="D1375" s="107">
        <v>0</v>
      </c>
      <c r="E1375" s="109">
        <v>17.100000000000001</v>
      </c>
    </row>
    <row r="1376" spans="1:5" ht="22.5" customHeight="1">
      <c r="A1376" s="101">
        <v>851912</v>
      </c>
      <c r="B1376" s="104" t="s">
        <v>297</v>
      </c>
      <c r="C1376" s="107">
        <v>85.3</v>
      </c>
      <c r="D1376" s="107">
        <v>0</v>
      </c>
      <c r="E1376" s="109">
        <v>13.3</v>
      </c>
    </row>
    <row r="1377" spans="1:5" ht="22.5" customHeight="1">
      <c r="A1377" s="101">
        <v>852000</v>
      </c>
      <c r="B1377" s="104" t="s">
        <v>46</v>
      </c>
      <c r="C1377" s="107">
        <v>65.099999999999994</v>
      </c>
      <c r="D1377" s="107">
        <v>0</v>
      </c>
      <c r="E1377" s="109">
        <v>15.7</v>
      </c>
    </row>
    <row r="1378" spans="1:5" ht="22.5" customHeight="1">
      <c r="A1378" s="101">
        <v>900100</v>
      </c>
      <c r="B1378" s="104" t="s">
        <v>805</v>
      </c>
      <c r="C1378" s="107">
        <v>88</v>
      </c>
      <c r="D1378" s="107">
        <v>0</v>
      </c>
      <c r="E1378" s="109">
        <v>18.100000000000001</v>
      </c>
    </row>
    <row r="1379" spans="1:5" ht="22.5" customHeight="1">
      <c r="A1379" s="101">
        <v>900101</v>
      </c>
      <c r="B1379" s="104" t="s">
        <v>806</v>
      </c>
      <c r="C1379" s="107">
        <v>88</v>
      </c>
      <c r="D1379" s="107">
        <v>0</v>
      </c>
      <c r="E1379" s="109">
        <v>18.899999999999999</v>
      </c>
    </row>
    <row r="1380" spans="1:5" ht="22.5" customHeight="1">
      <c r="A1380" s="101">
        <v>900102</v>
      </c>
      <c r="B1380" s="104" t="s">
        <v>807</v>
      </c>
      <c r="C1380" s="107">
        <v>88</v>
      </c>
      <c r="D1380" s="107">
        <v>0</v>
      </c>
      <c r="E1380" s="109">
        <v>20.399999999999999</v>
      </c>
    </row>
    <row r="1381" spans="1:5" ht="22.5" customHeight="1">
      <c r="A1381" s="101">
        <v>900103</v>
      </c>
      <c r="B1381" s="104" t="s">
        <v>808</v>
      </c>
      <c r="C1381" s="107">
        <v>88</v>
      </c>
      <c r="D1381" s="107">
        <v>0</v>
      </c>
      <c r="E1381" s="109">
        <v>15.6</v>
      </c>
    </row>
    <row r="1382" spans="1:5" ht="22.5" customHeight="1">
      <c r="A1382" s="101">
        <v>900104</v>
      </c>
      <c r="B1382" s="104" t="s">
        <v>809</v>
      </c>
      <c r="C1382" s="107">
        <v>88</v>
      </c>
      <c r="D1382" s="107">
        <v>0</v>
      </c>
      <c r="E1382" s="109">
        <v>15.6</v>
      </c>
    </row>
    <row r="1383" spans="1:5" ht="22.5" customHeight="1">
      <c r="A1383" s="101">
        <v>900105</v>
      </c>
      <c r="B1383" s="104" t="s">
        <v>810</v>
      </c>
      <c r="C1383" s="107">
        <v>88</v>
      </c>
      <c r="D1383" s="107">
        <v>0</v>
      </c>
      <c r="E1383" s="109">
        <v>16.600000000000001</v>
      </c>
    </row>
    <row r="1384" spans="1:5" ht="22.5" customHeight="1">
      <c r="A1384" s="101">
        <v>900106</v>
      </c>
      <c r="B1384" s="104" t="s">
        <v>811</v>
      </c>
      <c r="C1384" s="107">
        <v>88</v>
      </c>
      <c r="D1384" s="107">
        <v>0</v>
      </c>
      <c r="E1384" s="109">
        <v>16.600000000000001</v>
      </c>
    </row>
    <row r="1385" spans="1:5" ht="22.5" customHeight="1">
      <c r="A1385" s="101">
        <v>900200</v>
      </c>
      <c r="B1385" s="104" t="s">
        <v>804</v>
      </c>
      <c r="C1385" s="107">
        <v>84.6</v>
      </c>
      <c r="D1385" s="107">
        <v>0</v>
      </c>
      <c r="E1385" s="109">
        <v>19.899999999999999</v>
      </c>
    </row>
    <row r="1386" spans="1:5" ht="22.5" customHeight="1">
      <c r="A1386" s="101">
        <v>900201</v>
      </c>
      <c r="B1386" s="104" t="s">
        <v>812</v>
      </c>
      <c r="C1386" s="107">
        <v>83.8</v>
      </c>
      <c r="D1386" s="107">
        <v>0</v>
      </c>
      <c r="E1386" s="109">
        <v>19.899999999999999</v>
      </c>
    </row>
    <row r="1387" spans="1:5" ht="22.5" customHeight="1">
      <c r="A1387" s="101">
        <v>900202</v>
      </c>
      <c r="B1387" s="104" t="s">
        <v>813</v>
      </c>
      <c r="C1387" s="107">
        <v>84.6</v>
      </c>
      <c r="D1387" s="107">
        <v>0</v>
      </c>
      <c r="E1387" s="109">
        <v>19.899999999999999</v>
      </c>
    </row>
    <row r="1388" spans="1:5" ht="22.5" customHeight="1">
      <c r="A1388" s="101">
        <v>900203</v>
      </c>
      <c r="B1388" s="104" t="s">
        <v>814</v>
      </c>
      <c r="C1388" s="107">
        <v>83.8</v>
      </c>
      <c r="D1388" s="107">
        <v>0</v>
      </c>
      <c r="E1388" s="109">
        <v>19.899999999999999</v>
      </c>
    </row>
    <row r="1389" spans="1:5" ht="22.5" customHeight="1">
      <c r="A1389" s="101">
        <v>900300</v>
      </c>
      <c r="B1389" s="104" t="s">
        <v>797</v>
      </c>
      <c r="C1389" s="107">
        <v>87.9</v>
      </c>
      <c r="D1389" s="107">
        <v>0</v>
      </c>
      <c r="E1389" s="109">
        <v>15.6</v>
      </c>
    </row>
    <row r="1390" spans="1:5" ht="22.5" customHeight="1">
      <c r="A1390" s="101">
        <v>900900</v>
      </c>
      <c r="B1390" s="104" t="s">
        <v>1173</v>
      </c>
      <c r="C1390" s="107">
        <v>86.9</v>
      </c>
      <c r="D1390" s="107">
        <v>0</v>
      </c>
      <c r="E1390" s="109">
        <v>19.399999999999999</v>
      </c>
    </row>
    <row r="1391" spans="1:5" ht="22.5" customHeight="1">
      <c r="A1391" s="101">
        <v>921100</v>
      </c>
      <c r="B1391" s="104" t="s">
        <v>1059</v>
      </c>
      <c r="C1391" s="107">
        <v>81.8</v>
      </c>
      <c r="D1391" s="107">
        <v>0</v>
      </c>
      <c r="E1391" s="109">
        <v>18.600000000000001</v>
      </c>
    </row>
    <row r="1392" spans="1:5" ht="22.5" customHeight="1">
      <c r="A1392" s="101">
        <v>921200</v>
      </c>
      <c r="B1392" s="104" t="s">
        <v>257</v>
      </c>
      <c r="C1392" s="107">
        <v>82.4</v>
      </c>
      <c r="D1392" s="107">
        <v>0</v>
      </c>
      <c r="E1392" s="109">
        <v>22.7</v>
      </c>
    </row>
    <row r="1393" spans="1:5" ht="22.5" customHeight="1">
      <c r="A1393" s="101">
        <v>921301</v>
      </c>
      <c r="B1393" s="104" t="s">
        <v>258</v>
      </c>
      <c r="C1393" s="107">
        <v>79.099999999999994</v>
      </c>
      <c r="D1393" s="107">
        <v>0</v>
      </c>
      <c r="E1393" s="109">
        <v>32.200000000000003</v>
      </c>
    </row>
    <row r="1394" spans="1:5" ht="22.5" customHeight="1">
      <c r="A1394" s="101">
        <v>921302</v>
      </c>
      <c r="B1394" s="104" t="s">
        <v>259</v>
      </c>
      <c r="C1394" s="107">
        <v>78.3</v>
      </c>
      <c r="D1394" s="107">
        <v>0</v>
      </c>
      <c r="E1394" s="109">
        <v>23.7</v>
      </c>
    </row>
    <row r="1395" spans="1:5" ht="22.5" customHeight="1">
      <c r="A1395" s="101">
        <v>921303</v>
      </c>
      <c r="B1395" s="104" t="s">
        <v>1060</v>
      </c>
      <c r="C1395" s="107">
        <v>75.8</v>
      </c>
      <c r="D1395" s="107">
        <v>0</v>
      </c>
      <c r="E1395" s="109">
        <v>16.600000000000001</v>
      </c>
    </row>
    <row r="1396" spans="1:5" ht="22.5" customHeight="1">
      <c r="A1396" s="101">
        <v>921304</v>
      </c>
      <c r="B1396" s="104" t="s">
        <v>1061</v>
      </c>
      <c r="C1396" s="107">
        <v>88.6</v>
      </c>
      <c r="D1396" s="107">
        <v>0</v>
      </c>
      <c r="E1396" s="109">
        <v>29.1</v>
      </c>
    </row>
    <row r="1397" spans="1:5" ht="22.5" customHeight="1">
      <c r="A1397" s="101">
        <v>921305</v>
      </c>
      <c r="B1397" s="104" t="s">
        <v>1062</v>
      </c>
      <c r="C1397" s="107">
        <v>75.8</v>
      </c>
      <c r="D1397" s="107">
        <v>0</v>
      </c>
      <c r="E1397" s="109">
        <v>23.7</v>
      </c>
    </row>
    <row r="1398" spans="1:5" ht="22.5" customHeight="1">
      <c r="A1398" s="101">
        <v>921306</v>
      </c>
      <c r="B1398" s="104" t="s">
        <v>1063</v>
      </c>
      <c r="C1398" s="107">
        <v>88.6</v>
      </c>
      <c r="D1398" s="107">
        <v>0</v>
      </c>
      <c r="E1398" s="109">
        <v>26.9</v>
      </c>
    </row>
    <row r="1399" spans="1:5" ht="22.5" customHeight="1">
      <c r="A1399" s="101">
        <v>921401</v>
      </c>
      <c r="B1399" s="104" t="s">
        <v>1198</v>
      </c>
      <c r="C1399" s="107">
        <v>85</v>
      </c>
      <c r="D1399" s="107">
        <v>0</v>
      </c>
      <c r="E1399" s="109">
        <v>24.5</v>
      </c>
    </row>
    <row r="1400" spans="1:5" ht="22.5" customHeight="1">
      <c r="A1400" s="101">
        <v>921402</v>
      </c>
      <c r="B1400" s="104" t="s">
        <v>1199</v>
      </c>
      <c r="C1400" s="107">
        <v>94.3</v>
      </c>
      <c r="D1400" s="107">
        <v>0</v>
      </c>
      <c r="E1400" s="109">
        <v>24.5</v>
      </c>
    </row>
    <row r="1401" spans="1:5" ht="22.5" customHeight="1">
      <c r="A1401" s="101">
        <v>921403</v>
      </c>
      <c r="B1401" s="104" t="s">
        <v>300</v>
      </c>
      <c r="C1401" s="107">
        <v>96.7</v>
      </c>
      <c r="D1401" s="107">
        <v>0</v>
      </c>
      <c r="E1401" s="109">
        <v>23.7</v>
      </c>
    </row>
    <row r="1402" spans="1:5" ht="22.5" customHeight="1">
      <c r="A1402" s="101">
        <v>921404</v>
      </c>
      <c r="B1402" s="104" t="s">
        <v>268</v>
      </c>
      <c r="C1402" s="107">
        <v>85.4</v>
      </c>
      <c r="D1402" s="107">
        <v>0</v>
      </c>
      <c r="E1402" s="109">
        <v>17.7</v>
      </c>
    </row>
    <row r="1403" spans="1:5" ht="22.5" customHeight="1">
      <c r="A1403" s="101">
        <v>921405</v>
      </c>
      <c r="B1403" s="104" t="s">
        <v>1200</v>
      </c>
      <c r="C1403" s="107">
        <v>83.5</v>
      </c>
      <c r="D1403" s="107">
        <v>0</v>
      </c>
      <c r="E1403" s="109">
        <v>25.2</v>
      </c>
    </row>
    <row r="1404" spans="1:5" ht="22.5" customHeight="1">
      <c r="A1404" s="101">
        <v>921406</v>
      </c>
      <c r="B1404" s="104" t="s">
        <v>1201</v>
      </c>
      <c r="C1404" s="107">
        <v>83.5</v>
      </c>
      <c r="D1404" s="107">
        <v>0</v>
      </c>
      <c r="E1404" s="109">
        <v>25.2</v>
      </c>
    </row>
    <row r="1405" spans="1:5" ht="22.5" customHeight="1">
      <c r="A1405" s="101">
        <v>921407</v>
      </c>
      <c r="B1405" s="104" t="s">
        <v>1202</v>
      </c>
      <c r="C1405" s="107">
        <v>94.3</v>
      </c>
      <c r="D1405" s="107">
        <v>0</v>
      </c>
      <c r="E1405" s="109">
        <v>24</v>
      </c>
    </row>
    <row r="1406" spans="1:5" ht="22.5" customHeight="1">
      <c r="A1406" s="101">
        <v>921501</v>
      </c>
      <c r="B1406" s="104" t="s">
        <v>260</v>
      </c>
      <c r="C1406" s="107">
        <v>82</v>
      </c>
      <c r="D1406" s="107">
        <v>0</v>
      </c>
      <c r="E1406" s="109">
        <v>22.2</v>
      </c>
    </row>
    <row r="1407" spans="1:5" ht="22.5" customHeight="1">
      <c r="A1407" s="101">
        <v>921502</v>
      </c>
      <c r="B1407" s="104" t="s">
        <v>1064</v>
      </c>
      <c r="C1407" s="107">
        <v>87.3</v>
      </c>
      <c r="D1407" s="107">
        <v>0</v>
      </c>
      <c r="E1407" s="109">
        <v>21.7</v>
      </c>
    </row>
    <row r="1408" spans="1:5" ht="22.5" customHeight="1">
      <c r="A1408" s="101">
        <v>921503</v>
      </c>
      <c r="B1408" s="104" t="s">
        <v>1065</v>
      </c>
      <c r="C1408" s="107">
        <v>87.3</v>
      </c>
      <c r="D1408" s="107">
        <v>0</v>
      </c>
      <c r="E1408" s="109">
        <v>20.3</v>
      </c>
    </row>
    <row r="1409" spans="1:5" ht="22.5" customHeight="1">
      <c r="A1409" s="101">
        <v>921504</v>
      </c>
      <c r="B1409" s="104" t="s">
        <v>1066</v>
      </c>
      <c r="C1409" s="107">
        <v>87.3</v>
      </c>
      <c r="D1409" s="107">
        <v>0</v>
      </c>
      <c r="E1409" s="109">
        <v>7</v>
      </c>
    </row>
    <row r="1410" spans="1:5" ht="22.5" customHeight="1">
      <c r="A1410" s="101">
        <v>921505</v>
      </c>
      <c r="B1410" s="104" t="s">
        <v>4406</v>
      </c>
      <c r="C1410" s="107">
        <v>76.2</v>
      </c>
      <c r="D1410" s="107">
        <v>0</v>
      </c>
      <c r="E1410" s="109">
        <v>17.7</v>
      </c>
    </row>
    <row r="1411" spans="1:5" ht="22.5" customHeight="1">
      <c r="A1411" s="101">
        <v>921901</v>
      </c>
      <c r="B1411" s="104" t="s">
        <v>301</v>
      </c>
      <c r="C1411" s="107">
        <v>85.1</v>
      </c>
      <c r="D1411" s="107">
        <v>0</v>
      </c>
      <c r="E1411" s="109">
        <v>14.8</v>
      </c>
    </row>
    <row r="1412" spans="1:5" ht="22.5" customHeight="1">
      <c r="A1412" s="101">
        <v>921902</v>
      </c>
      <c r="B1412" s="104" t="s">
        <v>1177</v>
      </c>
      <c r="C1412" s="107">
        <v>85.8</v>
      </c>
      <c r="D1412" s="107">
        <v>0</v>
      </c>
      <c r="E1412" s="109">
        <v>21.3</v>
      </c>
    </row>
    <row r="1413" spans="1:5" ht="22.5" customHeight="1">
      <c r="A1413" s="101">
        <v>921903</v>
      </c>
      <c r="B1413" s="104" t="s">
        <v>1203</v>
      </c>
      <c r="C1413" s="107">
        <v>84</v>
      </c>
      <c r="D1413" s="107">
        <v>0</v>
      </c>
      <c r="E1413" s="109">
        <v>16.399999999999999</v>
      </c>
    </row>
    <row r="1414" spans="1:5" ht="22.5" customHeight="1">
      <c r="A1414" s="101">
        <v>921904</v>
      </c>
      <c r="B1414" s="104" t="s">
        <v>302</v>
      </c>
      <c r="C1414" s="107">
        <v>87.4</v>
      </c>
      <c r="D1414" s="107">
        <v>0</v>
      </c>
      <c r="E1414" s="109">
        <v>13.7</v>
      </c>
    </row>
    <row r="1415" spans="1:5" ht="22.5" customHeight="1">
      <c r="A1415" s="101">
        <v>922101</v>
      </c>
      <c r="B1415" s="104" t="s">
        <v>1230</v>
      </c>
      <c r="C1415" s="107">
        <v>90.9</v>
      </c>
      <c r="D1415" s="107">
        <v>0</v>
      </c>
      <c r="E1415" s="109">
        <v>17.600000000000001</v>
      </c>
    </row>
    <row r="1416" spans="1:5" ht="22.5" customHeight="1">
      <c r="A1416" s="101">
        <v>922102</v>
      </c>
      <c r="B1416" s="104" t="s">
        <v>2162</v>
      </c>
      <c r="C1416" s="107">
        <v>88.9</v>
      </c>
      <c r="D1416" s="107">
        <v>0</v>
      </c>
      <c r="E1416" s="109">
        <v>13.9</v>
      </c>
    </row>
    <row r="1417" spans="1:5" ht="22.5" customHeight="1">
      <c r="A1417" s="101">
        <v>922103</v>
      </c>
      <c r="B1417" s="104" t="s">
        <v>2165</v>
      </c>
      <c r="C1417" s="107">
        <v>88.9</v>
      </c>
      <c r="D1417" s="107">
        <v>0</v>
      </c>
      <c r="E1417" s="109">
        <v>16.7</v>
      </c>
    </row>
    <row r="1418" spans="1:5" ht="22.5" customHeight="1">
      <c r="A1418" s="101">
        <v>922104</v>
      </c>
      <c r="B1418" s="104" t="s">
        <v>309</v>
      </c>
      <c r="C1418" s="107">
        <v>89.4</v>
      </c>
      <c r="D1418" s="107">
        <v>0</v>
      </c>
      <c r="E1418" s="109">
        <v>15</v>
      </c>
    </row>
    <row r="1419" spans="1:5" ht="22.5" customHeight="1">
      <c r="A1419" s="101">
        <v>922105</v>
      </c>
      <c r="B1419" s="104" t="s">
        <v>1231</v>
      </c>
      <c r="C1419" s="107">
        <v>89.4</v>
      </c>
      <c r="D1419" s="107">
        <v>0</v>
      </c>
      <c r="E1419" s="109">
        <v>16.600000000000001</v>
      </c>
    </row>
    <row r="1420" spans="1:5" ht="22.5" customHeight="1">
      <c r="A1420" s="101">
        <v>922106</v>
      </c>
      <c r="B1420" s="104" t="s">
        <v>922</v>
      </c>
      <c r="C1420" s="107">
        <v>88.9</v>
      </c>
      <c r="D1420" s="107">
        <v>0</v>
      </c>
      <c r="E1420" s="109">
        <v>5.8</v>
      </c>
    </row>
    <row r="1421" spans="1:5" ht="22.5" customHeight="1">
      <c r="A1421" s="101">
        <v>922107</v>
      </c>
      <c r="B1421" s="104" t="s">
        <v>1232</v>
      </c>
      <c r="C1421" s="107">
        <v>88.9</v>
      </c>
      <c r="D1421" s="107">
        <v>0</v>
      </c>
      <c r="E1421" s="109">
        <v>15.2</v>
      </c>
    </row>
    <row r="1422" spans="1:5" ht="22.5" customHeight="1">
      <c r="A1422" s="101">
        <v>922108</v>
      </c>
      <c r="B1422" s="104" t="s">
        <v>1233</v>
      </c>
      <c r="C1422" s="107">
        <v>89.4</v>
      </c>
      <c r="D1422" s="107">
        <v>0</v>
      </c>
      <c r="E1422" s="109">
        <v>20.399999999999999</v>
      </c>
    </row>
    <row r="1423" spans="1:5" ht="22.5" customHeight="1">
      <c r="A1423" s="101">
        <v>922109</v>
      </c>
      <c r="B1423" s="104" t="s">
        <v>1234</v>
      </c>
      <c r="C1423" s="107">
        <v>89.4</v>
      </c>
      <c r="D1423" s="107">
        <v>0</v>
      </c>
      <c r="E1423" s="109">
        <v>17.399999999999999</v>
      </c>
    </row>
    <row r="1424" spans="1:5" ht="22.5" customHeight="1">
      <c r="A1424" s="101">
        <v>922201</v>
      </c>
      <c r="B1424" s="104" t="s">
        <v>310</v>
      </c>
      <c r="C1424" s="107">
        <v>86.5</v>
      </c>
      <c r="D1424" s="107">
        <v>0</v>
      </c>
      <c r="E1424" s="109">
        <v>10.199999999999999</v>
      </c>
    </row>
    <row r="1425" spans="1:5" ht="22.5" customHeight="1">
      <c r="A1425" s="101">
        <v>922202</v>
      </c>
      <c r="B1425" s="104" t="s">
        <v>1235</v>
      </c>
      <c r="C1425" s="107">
        <v>83.9</v>
      </c>
      <c r="D1425" s="107">
        <v>0</v>
      </c>
      <c r="E1425" s="109">
        <v>9.3000000000000007</v>
      </c>
    </row>
    <row r="1426" spans="1:5" ht="22.5" customHeight="1">
      <c r="A1426" s="101">
        <v>922203</v>
      </c>
      <c r="B1426" s="104" t="s">
        <v>311</v>
      </c>
      <c r="C1426" s="107">
        <v>82.3</v>
      </c>
      <c r="D1426" s="107">
        <v>0</v>
      </c>
      <c r="E1426" s="109">
        <v>11.7</v>
      </c>
    </row>
    <row r="1427" spans="1:5" ht="22.5" customHeight="1">
      <c r="A1427" s="101">
        <v>922204</v>
      </c>
      <c r="B1427" s="104" t="s">
        <v>1236</v>
      </c>
      <c r="C1427" s="107">
        <v>85.5</v>
      </c>
      <c r="D1427" s="107">
        <v>0</v>
      </c>
      <c r="E1427" s="109">
        <v>6.6</v>
      </c>
    </row>
    <row r="1428" spans="1:5" ht="22.5" customHeight="1">
      <c r="A1428" s="101">
        <v>923100</v>
      </c>
      <c r="B1428" s="104" t="s">
        <v>1204</v>
      </c>
      <c r="C1428" s="107">
        <v>86.7</v>
      </c>
      <c r="D1428" s="107">
        <v>0</v>
      </c>
      <c r="E1428" s="109">
        <v>19.399999999999999</v>
      </c>
    </row>
    <row r="1429" spans="1:5" ht="22.5" customHeight="1">
      <c r="A1429" s="101">
        <v>923101</v>
      </c>
      <c r="B1429" s="104" t="s">
        <v>1205</v>
      </c>
      <c r="C1429" s="107">
        <v>83.9</v>
      </c>
      <c r="D1429" s="107">
        <v>0</v>
      </c>
      <c r="E1429" s="109">
        <v>16.2</v>
      </c>
    </row>
    <row r="1430" spans="1:5" ht="22.5" customHeight="1">
      <c r="A1430" s="102">
        <v>923102</v>
      </c>
      <c r="B1430" s="105" t="s">
        <v>4426</v>
      </c>
      <c r="C1430" s="107">
        <v>86.7</v>
      </c>
      <c r="D1430" s="107">
        <v>0</v>
      </c>
      <c r="E1430" s="109">
        <v>19.399999999999999</v>
      </c>
    </row>
    <row r="1431" spans="1:5" ht="22.5" customHeight="1">
      <c r="A1431" s="101">
        <v>923200</v>
      </c>
      <c r="B1431" s="104" t="s">
        <v>1206</v>
      </c>
      <c r="C1431" s="107">
        <v>89.1</v>
      </c>
      <c r="D1431" s="107">
        <v>0</v>
      </c>
      <c r="E1431" s="109">
        <v>19.100000000000001</v>
      </c>
    </row>
    <row r="1432" spans="1:5" ht="22.5" customHeight="1">
      <c r="A1432" s="101">
        <v>923201</v>
      </c>
      <c r="B1432" s="104" t="s">
        <v>1207</v>
      </c>
      <c r="C1432" s="107">
        <v>87.9</v>
      </c>
      <c r="D1432" s="107">
        <v>0</v>
      </c>
      <c r="E1432" s="109">
        <v>19.100000000000001</v>
      </c>
    </row>
    <row r="1433" spans="1:5" ht="22.5" customHeight="1">
      <c r="A1433" s="101">
        <v>923300</v>
      </c>
      <c r="B1433" s="104" t="s">
        <v>1208</v>
      </c>
      <c r="C1433" s="107">
        <v>87.5</v>
      </c>
      <c r="D1433" s="107">
        <v>0</v>
      </c>
      <c r="E1433" s="109">
        <v>15.2</v>
      </c>
    </row>
    <row r="1434" spans="1:5" ht="22.5" customHeight="1">
      <c r="A1434" s="101">
        <v>923301</v>
      </c>
      <c r="B1434" s="104" t="s">
        <v>1209</v>
      </c>
      <c r="C1434" s="107">
        <v>88.3</v>
      </c>
      <c r="D1434" s="107">
        <v>0</v>
      </c>
      <c r="E1434" s="109">
        <v>13.7</v>
      </c>
    </row>
    <row r="1435" spans="1:5" ht="22.5" customHeight="1">
      <c r="A1435" s="101">
        <v>924101</v>
      </c>
      <c r="B1435" s="104" t="s">
        <v>1210</v>
      </c>
      <c r="C1435" s="107">
        <v>84.9</v>
      </c>
      <c r="D1435" s="107">
        <v>0</v>
      </c>
      <c r="E1435" s="109">
        <v>30.4</v>
      </c>
    </row>
    <row r="1436" spans="1:5" ht="22.5" customHeight="1">
      <c r="A1436" s="101">
        <v>924102</v>
      </c>
      <c r="B1436" s="104" t="s">
        <v>1210</v>
      </c>
      <c r="C1436" s="107">
        <v>85.3</v>
      </c>
      <c r="D1436" s="107">
        <v>0</v>
      </c>
      <c r="E1436" s="109">
        <v>28.8</v>
      </c>
    </row>
    <row r="1437" spans="1:5" ht="22.5" customHeight="1">
      <c r="A1437" s="101">
        <v>924103</v>
      </c>
      <c r="B1437" s="104" t="s">
        <v>1211</v>
      </c>
      <c r="C1437" s="107">
        <v>81.599999999999994</v>
      </c>
      <c r="D1437" s="107">
        <v>0</v>
      </c>
      <c r="E1437" s="109">
        <v>19.3</v>
      </c>
    </row>
    <row r="1438" spans="1:5" ht="22.5" customHeight="1">
      <c r="A1438" s="101">
        <v>924200</v>
      </c>
      <c r="B1438" s="104" t="s">
        <v>1212</v>
      </c>
      <c r="C1438" s="107">
        <v>86.2</v>
      </c>
      <c r="D1438" s="107">
        <v>0</v>
      </c>
      <c r="E1438" s="109">
        <v>21.5</v>
      </c>
    </row>
    <row r="1439" spans="1:5" ht="22.5" customHeight="1">
      <c r="A1439" s="101">
        <v>924201</v>
      </c>
      <c r="B1439" s="104" t="s">
        <v>1213</v>
      </c>
      <c r="C1439" s="107">
        <v>82.7</v>
      </c>
      <c r="D1439" s="107">
        <v>0</v>
      </c>
      <c r="E1439" s="109">
        <v>18.399999999999999</v>
      </c>
    </row>
    <row r="1440" spans="1:5" ht="22.5" customHeight="1">
      <c r="A1440" s="101">
        <v>924202</v>
      </c>
      <c r="B1440" s="104" t="s">
        <v>1214</v>
      </c>
      <c r="C1440" s="107">
        <v>82.7</v>
      </c>
      <c r="D1440" s="107">
        <v>0</v>
      </c>
      <c r="E1440" s="109">
        <v>18.399999999999999</v>
      </c>
    </row>
    <row r="1441" spans="1:5" ht="22.5" customHeight="1">
      <c r="A1441" s="101">
        <v>924302</v>
      </c>
      <c r="B1441" s="104" t="s">
        <v>1215</v>
      </c>
      <c r="C1441" s="107">
        <v>85.8</v>
      </c>
      <c r="D1441" s="107">
        <v>0</v>
      </c>
      <c r="E1441" s="109">
        <v>19.5</v>
      </c>
    </row>
    <row r="1442" spans="1:5" ht="22.5" customHeight="1">
      <c r="A1442" s="101">
        <v>924303</v>
      </c>
      <c r="B1442" s="104" t="s">
        <v>303</v>
      </c>
      <c r="C1442" s="107">
        <v>81</v>
      </c>
      <c r="D1442" s="107">
        <v>0</v>
      </c>
      <c r="E1442" s="109">
        <v>21.3</v>
      </c>
    </row>
    <row r="1443" spans="1:5" ht="22.5" customHeight="1">
      <c r="A1443" s="101">
        <v>924304</v>
      </c>
      <c r="B1443" s="104" t="s">
        <v>304</v>
      </c>
      <c r="C1443" s="107">
        <v>77.7</v>
      </c>
      <c r="D1443" s="107">
        <v>0</v>
      </c>
      <c r="E1443" s="109">
        <v>21</v>
      </c>
    </row>
    <row r="1444" spans="1:5" ht="22.5" customHeight="1">
      <c r="A1444" s="101">
        <v>924305</v>
      </c>
      <c r="B1444" s="104" t="s">
        <v>1216</v>
      </c>
      <c r="C1444" s="107">
        <v>85.5</v>
      </c>
      <c r="D1444" s="107">
        <v>0</v>
      </c>
      <c r="E1444" s="109">
        <v>20.399999999999999</v>
      </c>
    </row>
    <row r="1445" spans="1:5" ht="22.5" customHeight="1">
      <c r="A1445" s="101">
        <v>924306</v>
      </c>
      <c r="B1445" s="104" t="s">
        <v>1196</v>
      </c>
      <c r="C1445" s="107">
        <v>83.4</v>
      </c>
      <c r="D1445" s="107">
        <v>0</v>
      </c>
      <c r="E1445" s="109">
        <v>15.1</v>
      </c>
    </row>
    <row r="1446" spans="1:5" ht="22.5" customHeight="1">
      <c r="A1446" s="101">
        <v>924307</v>
      </c>
      <c r="B1446" s="104" t="s">
        <v>1217</v>
      </c>
      <c r="C1446" s="107">
        <v>81.599999999999994</v>
      </c>
      <c r="D1446" s="107">
        <v>0</v>
      </c>
      <c r="E1446" s="109">
        <v>19.399999999999999</v>
      </c>
    </row>
    <row r="1447" spans="1:5" ht="22.5" customHeight="1">
      <c r="A1447" s="101">
        <v>924308</v>
      </c>
      <c r="B1447" s="104" t="s">
        <v>1217</v>
      </c>
      <c r="C1447" s="107">
        <v>87.7</v>
      </c>
      <c r="D1447" s="107">
        <v>0</v>
      </c>
      <c r="E1447" s="109">
        <v>23.1</v>
      </c>
    </row>
    <row r="1448" spans="1:5" ht="22.5" customHeight="1">
      <c r="A1448" s="101">
        <v>924309</v>
      </c>
      <c r="B1448" s="104" t="s">
        <v>1218</v>
      </c>
      <c r="C1448" s="107">
        <v>82.3</v>
      </c>
      <c r="D1448" s="107">
        <v>0</v>
      </c>
      <c r="E1448" s="109">
        <v>17.5</v>
      </c>
    </row>
    <row r="1449" spans="1:5" ht="22.5" customHeight="1">
      <c r="A1449" s="101">
        <v>924310</v>
      </c>
      <c r="B1449" s="104" t="s">
        <v>1196</v>
      </c>
      <c r="C1449" s="107">
        <v>86.2</v>
      </c>
      <c r="D1449" s="107">
        <v>0</v>
      </c>
      <c r="E1449" s="109">
        <v>14.3</v>
      </c>
    </row>
    <row r="1450" spans="1:5" ht="22.5" customHeight="1">
      <c r="A1450" s="101">
        <v>924311</v>
      </c>
      <c r="B1450" s="104" t="s">
        <v>1219</v>
      </c>
      <c r="C1450" s="107">
        <v>83.4</v>
      </c>
      <c r="D1450" s="107">
        <v>0</v>
      </c>
      <c r="E1450" s="109">
        <v>15.6</v>
      </c>
    </row>
    <row r="1451" spans="1:5" ht="22.5" customHeight="1">
      <c r="A1451" s="101">
        <v>924312</v>
      </c>
      <c r="B1451" s="104" t="s">
        <v>1196</v>
      </c>
      <c r="C1451" s="107">
        <v>82.4</v>
      </c>
      <c r="D1451" s="107">
        <v>0</v>
      </c>
      <c r="E1451" s="109">
        <v>20</v>
      </c>
    </row>
    <row r="1452" spans="1:5" ht="22.5" customHeight="1">
      <c r="A1452" s="101">
        <v>924313</v>
      </c>
      <c r="B1452" s="104" t="s">
        <v>1220</v>
      </c>
      <c r="C1452" s="107">
        <v>82.3</v>
      </c>
      <c r="D1452" s="107">
        <v>0</v>
      </c>
      <c r="E1452" s="109">
        <v>21.3</v>
      </c>
    </row>
    <row r="1453" spans="1:5" ht="22.5" customHeight="1">
      <c r="A1453" s="101">
        <v>924314</v>
      </c>
      <c r="B1453" s="104" t="s">
        <v>1196</v>
      </c>
      <c r="C1453" s="107">
        <v>85.3</v>
      </c>
      <c r="D1453" s="107">
        <v>0</v>
      </c>
      <c r="E1453" s="109">
        <v>18.600000000000001</v>
      </c>
    </row>
    <row r="1454" spans="1:5" ht="22.5" customHeight="1">
      <c r="A1454" s="101">
        <v>924901</v>
      </c>
      <c r="B1454" s="104" t="s">
        <v>261</v>
      </c>
      <c r="C1454" s="107">
        <v>80.2</v>
      </c>
      <c r="D1454" s="107">
        <v>0</v>
      </c>
      <c r="E1454" s="109">
        <v>23.1</v>
      </c>
    </row>
    <row r="1455" spans="1:5" ht="22.5" customHeight="1">
      <c r="A1455" s="101">
        <v>924902</v>
      </c>
      <c r="B1455" s="104" t="s">
        <v>305</v>
      </c>
      <c r="C1455" s="107">
        <v>80.099999999999994</v>
      </c>
      <c r="D1455" s="107">
        <v>0</v>
      </c>
      <c r="E1455" s="109">
        <v>17.7</v>
      </c>
    </row>
    <row r="1456" spans="1:5" ht="22.5" customHeight="1">
      <c r="A1456" s="101">
        <v>924903</v>
      </c>
      <c r="B1456" s="104" t="s">
        <v>1221</v>
      </c>
      <c r="C1456" s="107">
        <v>84.6</v>
      </c>
      <c r="D1456" s="107">
        <v>0</v>
      </c>
      <c r="E1456" s="109">
        <v>14.7</v>
      </c>
    </row>
    <row r="1457" spans="1:5" ht="22.5" customHeight="1">
      <c r="A1457" s="101">
        <v>924904</v>
      </c>
      <c r="B1457" s="104" t="s">
        <v>305</v>
      </c>
      <c r="C1457" s="107">
        <v>75.099999999999994</v>
      </c>
      <c r="D1457" s="107">
        <v>0</v>
      </c>
      <c r="E1457" s="109">
        <v>14.5</v>
      </c>
    </row>
    <row r="1458" spans="1:5" ht="22.5" customHeight="1">
      <c r="A1458" s="101">
        <v>924905</v>
      </c>
      <c r="B1458" s="104" t="s">
        <v>306</v>
      </c>
      <c r="C1458" s="107">
        <v>87.4</v>
      </c>
      <c r="D1458" s="107">
        <v>0</v>
      </c>
      <c r="E1458" s="109">
        <v>14</v>
      </c>
    </row>
    <row r="1459" spans="1:5" ht="22.5" customHeight="1">
      <c r="A1459" s="101">
        <v>924906</v>
      </c>
      <c r="B1459" s="104" t="s">
        <v>1195</v>
      </c>
      <c r="C1459" s="107">
        <v>35.4</v>
      </c>
      <c r="D1459" s="107">
        <v>0</v>
      </c>
      <c r="E1459" s="109">
        <v>7.7</v>
      </c>
    </row>
    <row r="1460" spans="1:5" ht="22.5" customHeight="1">
      <c r="A1460" s="101">
        <v>924907</v>
      </c>
      <c r="B1460" s="104" t="s">
        <v>307</v>
      </c>
      <c r="C1460" s="107">
        <v>75.900000000000006</v>
      </c>
      <c r="D1460" s="107">
        <v>0</v>
      </c>
      <c r="E1460" s="109">
        <v>9.5</v>
      </c>
    </row>
    <row r="1461" spans="1:5" ht="22.5" customHeight="1">
      <c r="A1461" s="101">
        <v>924908</v>
      </c>
      <c r="B1461" s="104" t="s">
        <v>307</v>
      </c>
      <c r="C1461" s="107">
        <v>83</v>
      </c>
      <c r="D1461" s="107">
        <v>0</v>
      </c>
      <c r="E1461" s="109">
        <v>10.6</v>
      </c>
    </row>
    <row r="1462" spans="1:5" ht="22.5" customHeight="1">
      <c r="A1462" s="101">
        <v>924909</v>
      </c>
      <c r="B1462" s="104" t="s">
        <v>308</v>
      </c>
      <c r="C1462" s="107">
        <v>87.8</v>
      </c>
      <c r="D1462" s="107">
        <v>0</v>
      </c>
      <c r="E1462" s="109">
        <v>18.899999999999999</v>
      </c>
    </row>
    <row r="1463" spans="1:5" ht="22.5" customHeight="1">
      <c r="A1463" s="101">
        <v>924910</v>
      </c>
      <c r="B1463" s="104" t="s">
        <v>262</v>
      </c>
      <c r="C1463" s="107">
        <v>81.2</v>
      </c>
      <c r="D1463" s="107">
        <v>0</v>
      </c>
      <c r="E1463" s="109">
        <v>12.1</v>
      </c>
    </row>
    <row r="1464" spans="1:5" ht="22.5" customHeight="1">
      <c r="A1464" s="101">
        <v>924911</v>
      </c>
      <c r="B1464" s="104" t="s">
        <v>1222</v>
      </c>
      <c r="C1464" s="107">
        <v>88.6</v>
      </c>
      <c r="D1464" s="107">
        <v>0</v>
      </c>
      <c r="E1464" s="109">
        <v>15.8</v>
      </c>
    </row>
    <row r="1465" spans="1:5" ht="22.5" customHeight="1">
      <c r="A1465" s="101">
        <v>924912</v>
      </c>
      <c r="B1465" s="104" t="s">
        <v>307</v>
      </c>
      <c r="C1465" s="107">
        <v>77.599999999999994</v>
      </c>
      <c r="D1465" s="107">
        <v>0</v>
      </c>
      <c r="E1465" s="109">
        <v>15</v>
      </c>
    </row>
    <row r="1466" spans="1:5" ht="22.5" customHeight="1">
      <c r="A1466" s="101">
        <v>924913</v>
      </c>
      <c r="B1466" s="104" t="s">
        <v>305</v>
      </c>
      <c r="C1466" s="107">
        <v>87.2</v>
      </c>
      <c r="D1466" s="107">
        <v>0</v>
      </c>
      <c r="E1466" s="109">
        <v>13.3</v>
      </c>
    </row>
    <row r="1467" spans="1:5" ht="22.5" customHeight="1">
      <c r="A1467" s="101">
        <v>924914</v>
      </c>
      <c r="B1467" s="104" t="s">
        <v>1223</v>
      </c>
      <c r="C1467" s="107">
        <v>87.9</v>
      </c>
      <c r="D1467" s="107">
        <v>0</v>
      </c>
      <c r="E1467" s="109">
        <v>14.6</v>
      </c>
    </row>
    <row r="1468" spans="1:5" ht="22.5" customHeight="1">
      <c r="A1468" s="101">
        <v>924915</v>
      </c>
      <c r="B1468" s="104" t="s">
        <v>1224</v>
      </c>
      <c r="C1468" s="107">
        <v>87.2</v>
      </c>
      <c r="D1468" s="107">
        <v>0</v>
      </c>
      <c r="E1468" s="109">
        <v>23.6</v>
      </c>
    </row>
    <row r="1469" spans="1:5" ht="22.5" customHeight="1">
      <c r="A1469" s="101">
        <v>924916</v>
      </c>
      <c r="B1469" s="104" t="s">
        <v>1225</v>
      </c>
      <c r="C1469" s="107">
        <v>85.8</v>
      </c>
      <c r="D1469" s="107">
        <v>0</v>
      </c>
      <c r="E1469" s="109">
        <v>17.5</v>
      </c>
    </row>
    <row r="1470" spans="1:5" ht="22.5" customHeight="1">
      <c r="A1470" s="101">
        <v>924917</v>
      </c>
      <c r="B1470" s="104" t="s">
        <v>1226</v>
      </c>
      <c r="C1470" s="107">
        <v>35.4</v>
      </c>
      <c r="D1470" s="107">
        <v>0</v>
      </c>
      <c r="E1470" s="109">
        <v>13.7</v>
      </c>
    </row>
    <row r="1471" spans="1:5" ht="22.5" customHeight="1">
      <c r="A1471" s="101">
        <v>930100</v>
      </c>
      <c r="B1471" s="104" t="s">
        <v>1237</v>
      </c>
      <c r="C1471" s="107">
        <v>83.3</v>
      </c>
      <c r="D1471" s="107">
        <v>0</v>
      </c>
      <c r="E1471" s="109">
        <v>16.3</v>
      </c>
    </row>
    <row r="1472" spans="1:5" ht="22.5" customHeight="1">
      <c r="A1472" s="101">
        <v>930101</v>
      </c>
      <c r="B1472" s="104" t="s">
        <v>1238</v>
      </c>
      <c r="C1472" s="107">
        <v>85.9</v>
      </c>
      <c r="D1472" s="107">
        <v>0</v>
      </c>
      <c r="E1472" s="109">
        <v>20</v>
      </c>
    </row>
    <row r="1473" spans="1:5" ht="22.5" customHeight="1">
      <c r="A1473" s="101">
        <v>930102</v>
      </c>
      <c r="B1473" s="104" t="s">
        <v>1239</v>
      </c>
      <c r="C1473" s="107">
        <v>84.8</v>
      </c>
      <c r="D1473" s="107">
        <v>0</v>
      </c>
      <c r="E1473" s="109">
        <v>15.6</v>
      </c>
    </row>
    <row r="1474" spans="1:5" ht="22.5" customHeight="1">
      <c r="A1474" s="101">
        <v>930201</v>
      </c>
      <c r="B1474" s="104" t="s">
        <v>312</v>
      </c>
      <c r="C1474" s="107">
        <v>82.7</v>
      </c>
      <c r="D1474" s="107">
        <v>0</v>
      </c>
      <c r="E1474" s="109">
        <v>18.5</v>
      </c>
    </row>
    <row r="1475" spans="1:5" ht="22.5" customHeight="1">
      <c r="A1475" s="101">
        <v>930203</v>
      </c>
      <c r="B1475" s="104" t="s">
        <v>1240</v>
      </c>
      <c r="C1475" s="107">
        <v>82.4</v>
      </c>
      <c r="D1475" s="107">
        <v>0</v>
      </c>
      <c r="E1475" s="109">
        <v>19.3</v>
      </c>
    </row>
    <row r="1476" spans="1:5" ht="22.5" customHeight="1">
      <c r="A1476" s="101">
        <v>930205</v>
      </c>
      <c r="B1476" s="104" t="s">
        <v>1241</v>
      </c>
      <c r="C1476" s="107">
        <v>85.8</v>
      </c>
      <c r="D1476" s="107">
        <v>0</v>
      </c>
      <c r="E1476" s="109">
        <v>18.899999999999999</v>
      </c>
    </row>
    <row r="1477" spans="1:5" ht="22.5" customHeight="1">
      <c r="A1477" s="101">
        <v>930207</v>
      </c>
      <c r="B1477" s="104" t="s">
        <v>1242</v>
      </c>
      <c r="C1477" s="107">
        <v>86.9</v>
      </c>
      <c r="D1477" s="107">
        <v>0</v>
      </c>
      <c r="E1477" s="109">
        <v>19.2</v>
      </c>
    </row>
    <row r="1478" spans="1:5" ht="22.5" customHeight="1">
      <c r="A1478" s="101">
        <v>930208</v>
      </c>
      <c r="B1478" s="104" t="s">
        <v>1243</v>
      </c>
      <c r="C1478" s="107">
        <v>84.5</v>
      </c>
      <c r="D1478" s="107">
        <v>0</v>
      </c>
      <c r="E1478" s="109">
        <v>14.3</v>
      </c>
    </row>
    <row r="1479" spans="1:5" ht="22.5" customHeight="1">
      <c r="A1479" s="101">
        <v>930209</v>
      </c>
      <c r="B1479" s="104" t="s">
        <v>1244</v>
      </c>
      <c r="C1479" s="107">
        <v>85.8</v>
      </c>
      <c r="D1479" s="107">
        <v>0</v>
      </c>
      <c r="E1479" s="109">
        <v>16.899999999999999</v>
      </c>
    </row>
    <row r="1480" spans="1:5" ht="22.5" customHeight="1">
      <c r="A1480" s="101">
        <v>930301</v>
      </c>
      <c r="B1480" s="104" t="s">
        <v>313</v>
      </c>
      <c r="C1480" s="107">
        <v>75.2</v>
      </c>
      <c r="D1480" s="107">
        <v>0</v>
      </c>
      <c r="E1480" s="109">
        <v>13.8</v>
      </c>
    </row>
    <row r="1481" spans="1:5" ht="22.5" customHeight="1">
      <c r="A1481" s="101">
        <v>930302</v>
      </c>
      <c r="B1481" s="104" t="s">
        <v>1227</v>
      </c>
      <c r="C1481" s="107">
        <v>77.400000000000006</v>
      </c>
      <c r="D1481" s="107">
        <v>0</v>
      </c>
      <c r="E1481" s="109">
        <v>20.399999999999999</v>
      </c>
    </row>
    <row r="1482" spans="1:5" ht="22.5" customHeight="1">
      <c r="A1482" s="101">
        <v>930901</v>
      </c>
      <c r="B1482" s="104" t="s">
        <v>314</v>
      </c>
      <c r="C1482" s="107">
        <v>79.2</v>
      </c>
      <c r="D1482" s="107">
        <v>0</v>
      </c>
      <c r="E1482" s="109">
        <v>16.7</v>
      </c>
    </row>
    <row r="1483" spans="1:5" ht="22.5" customHeight="1">
      <c r="A1483" s="101">
        <v>930902</v>
      </c>
      <c r="B1483" s="104" t="s">
        <v>47</v>
      </c>
      <c r="C1483" s="107">
        <v>87.5</v>
      </c>
      <c r="D1483" s="107">
        <v>0</v>
      </c>
      <c r="E1483" s="109">
        <v>14.6</v>
      </c>
    </row>
    <row r="1484" spans="1:5" ht="22.5" customHeight="1">
      <c r="A1484" s="101">
        <v>930903</v>
      </c>
      <c r="B1484" s="104" t="s">
        <v>275</v>
      </c>
      <c r="C1484" s="107">
        <v>85.1</v>
      </c>
      <c r="D1484" s="107">
        <v>0</v>
      </c>
      <c r="E1484" s="109">
        <v>17.8</v>
      </c>
    </row>
    <row r="1485" spans="1:5" ht="22.5" customHeight="1">
      <c r="A1485" s="101">
        <v>930904</v>
      </c>
      <c r="B1485" s="104" t="s">
        <v>1139</v>
      </c>
      <c r="C1485" s="107">
        <v>82.5</v>
      </c>
      <c r="D1485" s="107">
        <v>0</v>
      </c>
      <c r="E1485" s="109">
        <v>21.1</v>
      </c>
    </row>
    <row r="1486" spans="1:5" ht="22.5" customHeight="1">
      <c r="A1486" s="101">
        <v>930908</v>
      </c>
      <c r="B1486" s="104" t="s">
        <v>1229</v>
      </c>
      <c r="C1486" s="107">
        <v>83.7</v>
      </c>
      <c r="D1486" s="107">
        <v>0</v>
      </c>
      <c r="E1486" s="109">
        <v>23.7</v>
      </c>
    </row>
    <row r="1487" spans="1:5" ht="22.5" customHeight="1">
      <c r="A1487" s="101">
        <v>930909</v>
      </c>
      <c r="B1487" s="104" t="s">
        <v>315</v>
      </c>
      <c r="C1487" s="107">
        <v>61.5</v>
      </c>
      <c r="D1487" s="107">
        <v>0</v>
      </c>
      <c r="E1487" s="109">
        <v>18.3</v>
      </c>
    </row>
    <row r="1488" spans="1:5" ht="22.5" customHeight="1">
      <c r="A1488" s="101">
        <v>930911</v>
      </c>
      <c r="B1488" s="104" t="s">
        <v>1229</v>
      </c>
      <c r="C1488" s="107">
        <v>88.3</v>
      </c>
      <c r="D1488" s="107">
        <v>0</v>
      </c>
      <c r="E1488" s="109">
        <v>17.399999999999999</v>
      </c>
    </row>
    <row r="1489" spans="1:5" ht="22.5" customHeight="1">
      <c r="A1489" s="101">
        <v>930912</v>
      </c>
      <c r="B1489" s="104" t="s">
        <v>1245</v>
      </c>
      <c r="C1489" s="107">
        <v>84.2</v>
      </c>
      <c r="D1489" s="107">
        <v>0</v>
      </c>
      <c r="E1489" s="109">
        <v>27.7</v>
      </c>
    </row>
    <row r="1490" spans="1:5" ht="22.5" customHeight="1">
      <c r="A1490" s="101">
        <v>930913</v>
      </c>
      <c r="B1490" s="104" t="s">
        <v>1246</v>
      </c>
      <c r="C1490" s="107">
        <v>71.3</v>
      </c>
      <c r="D1490" s="107">
        <v>0</v>
      </c>
      <c r="E1490" s="109">
        <v>15.1</v>
      </c>
    </row>
    <row r="1491" spans="1:5" ht="22.5" customHeight="1">
      <c r="A1491" s="101">
        <v>930914</v>
      </c>
      <c r="B1491" s="104" t="s">
        <v>298</v>
      </c>
      <c r="C1491" s="107">
        <v>54</v>
      </c>
      <c r="D1491" s="107">
        <v>0</v>
      </c>
      <c r="E1491" s="109">
        <v>12.4</v>
      </c>
    </row>
    <row r="1492" spans="1:5" ht="22.5" customHeight="1">
      <c r="A1492" s="101">
        <v>930915</v>
      </c>
      <c r="B1492" s="104" t="s">
        <v>294</v>
      </c>
      <c r="C1492" s="107">
        <v>85</v>
      </c>
      <c r="D1492" s="107">
        <v>0</v>
      </c>
      <c r="E1492" s="109">
        <v>21.9</v>
      </c>
    </row>
    <row r="1493" spans="1:5" ht="22.5" customHeight="1">
      <c r="A1493" s="101">
        <v>930916</v>
      </c>
      <c r="B1493" s="104" t="s">
        <v>288</v>
      </c>
      <c r="C1493" s="107">
        <v>80</v>
      </c>
      <c r="D1493" s="107">
        <v>0</v>
      </c>
      <c r="E1493" s="109">
        <v>25.4</v>
      </c>
    </row>
    <row r="1494" spans="1:5" ht="22.5" customHeight="1">
      <c r="A1494" s="101">
        <v>930917</v>
      </c>
      <c r="B1494" s="104" t="s">
        <v>1172</v>
      </c>
      <c r="C1494" s="107">
        <v>85.3</v>
      </c>
      <c r="D1494" s="107">
        <v>0</v>
      </c>
      <c r="E1494" s="109">
        <v>27.4</v>
      </c>
    </row>
    <row r="1495" spans="1:5" ht="22.5" customHeight="1">
      <c r="A1495" s="101">
        <v>930919</v>
      </c>
      <c r="B1495" s="104" t="s">
        <v>1247</v>
      </c>
      <c r="C1495" s="107">
        <v>81.7</v>
      </c>
      <c r="D1495" s="107">
        <v>0</v>
      </c>
      <c r="E1495" s="109">
        <v>17.399999999999999</v>
      </c>
    </row>
    <row r="1496" spans="1:5" ht="22.5" customHeight="1">
      <c r="A1496" s="101">
        <v>930921</v>
      </c>
      <c r="B1496" s="104" t="s">
        <v>295</v>
      </c>
      <c r="C1496" s="107">
        <v>81.900000000000006</v>
      </c>
      <c r="D1496" s="107">
        <v>0</v>
      </c>
      <c r="E1496" s="109">
        <v>20.9</v>
      </c>
    </row>
    <row r="1497" spans="1:5" ht="22.5" customHeight="1">
      <c r="A1497" s="101">
        <v>930925</v>
      </c>
      <c r="B1497" s="104" t="s">
        <v>1229</v>
      </c>
      <c r="C1497" s="107">
        <v>86.8</v>
      </c>
      <c r="D1497" s="107">
        <v>0</v>
      </c>
      <c r="E1497" s="109">
        <v>19.600000000000001</v>
      </c>
    </row>
    <row r="1498" spans="1:5" ht="22.5" customHeight="1">
      <c r="A1498" s="101">
        <v>940100</v>
      </c>
      <c r="B1498" s="104" t="s">
        <v>48</v>
      </c>
      <c r="C1498" s="107">
        <v>58.7</v>
      </c>
      <c r="D1498" s="107">
        <v>42.2</v>
      </c>
      <c r="E1498" s="109">
        <v>14</v>
      </c>
    </row>
    <row r="1499" spans="1:5" ht="22.5" customHeight="1">
      <c r="A1499" s="101">
        <v>940200</v>
      </c>
      <c r="B1499" s="104" t="s">
        <v>1248</v>
      </c>
      <c r="C1499" s="107">
        <v>69.5</v>
      </c>
      <c r="D1499" s="107">
        <v>57.300000000000004</v>
      </c>
      <c r="E1499" s="109">
        <v>16</v>
      </c>
    </row>
    <row r="1500" spans="1:5" ht="22.5" customHeight="1">
      <c r="A1500" s="101">
        <v>940301</v>
      </c>
      <c r="B1500" s="104" t="s">
        <v>49</v>
      </c>
      <c r="C1500" s="107">
        <v>49.7</v>
      </c>
      <c r="D1500" s="107">
        <v>29.6</v>
      </c>
      <c r="E1500" s="109">
        <v>11.6</v>
      </c>
    </row>
    <row r="1501" spans="1:5" ht="22.5" customHeight="1">
      <c r="A1501" s="101">
        <v>940302</v>
      </c>
      <c r="B1501" s="104" t="s">
        <v>316</v>
      </c>
      <c r="C1501" s="107">
        <v>29</v>
      </c>
      <c r="D1501" s="107">
        <v>10.4</v>
      </c>
      <c r="E1501" s="109">
        <v>10.4</v>
      </c>
    </row>
    <row r="1502" spans="1:5" ht="22.5" customHeight="1">
      <c r="A1502" s="101">
        <v>940303</v>
      </c>
      <c r="B1502" s="104" t="s">
        <v>50</v>
      </c>
      <c r="C1502" s="107">
        <v>45.9</v>
      </c>
      <c r="D1502" s="107">
        <v>24.3</v>
      </c>
      <c r="E1502" s="109">
        <v>10.199999999999999</v>
      </c>
    </row>
    <row r="1503" spans="1:5" ht="22.5" customHeight="1">
      <c r="A1503" s="101">
        <v>940304</v>
      </c>
      <c r="B1503" s="104" t="s">
        <v>51</v>
      </c>
      <c r="C1503" s="107">
        <v>22.3</v>
      </c>
      <c r="D1503" s="107">
        <v>6.9</v>
      </c>
      <c r="E1503" s="109">
        <v>6.9</v>
      </c>
    </row>
    <row r="1504" spans="1:5" ht="22.5" customHeight="1">
      <c r="A1504" s="101">
        <v>940305</v>
      </c>
      <c r="B1504" s="104" t="s">
        <v>1249</v>
      </c>
      <c r="C1504" s="107">
        <v>53.1</v>
      </c>
      <c r="D1504" s="107">
        <v>34.299999999999997</v>
      </c>
      <c r="E1504" s="109">
        <v>17.600000000000001</v>
      </c>
    </row>
    <row r="1505" spans="1:5" ht="22.5" customHeight="1">
      <c r="A1505" s="101">
        <v>940306</v>
      </c>
      <c r="B1505" s="104" t="s">
        <v>4412</v>
      </c>
      <c r="C1505" s="107">
        <v>64.099999999999994</v>
      </c>
      <c r="D1505" s="107">
        <v>49.7</v>
      </c>
      <c r="E1505" s="109">
        <v>15.1</v>
      </c>
    </row>
    <row r="1506" spans="1:5" ht="22.5" customHeight="1">
      <c r="A1506" s="101">
        <v>940500</v>
      </c>
      <c r="B1506" s="104" t="s">
        <v>52</v>
      </c>
      <c r="C1506" s="107">
        <v>70.900000000000006</v>
      </c>
      <c r="D1506" s="107">
        <v>59.3</v>
      </c>
      <c r="E1506" s="109">
        <v>20.3</v>
      </c>
    </row>
    <row r="1507" spans="1:5" ht="22.5" customHeight="1">
      <c r="A1507" s="101">
        <v>940600</v>
      </c>
      <c r="B1507" s="104" t="s">
        <v>317</v>
      </c>
      <c r="C1507" s="107">
        <v>58.4</v>
      </c>
      <c r="D1507" s="107">
        <v>41.8</v>
      </c>
      <c r="E1507" s="109">
        <v>12</v>
      </c>
    </row>
    <row r="1508" spans="1:5" ht="22.5" customHeight="1">
      <c r="A1508" s="101">
        <v>940901</v>
      </c>
      <c r="B1508" s="104" t="s">
        <v>53</v>
      </c>
      <c r="C1508" s="107">
        <v>66</v>
      </c>
      <c r="D1508" s="107">
        <v>52.400000000000006</v>
      </c>
      <c r="E1508" s="109">
        <v>13.4</v>
      </c>
    </row>
    <row r="1509" spans="1:5" ht="22.5" customHeight="1">
      <c r="A1509" s="101">
        <v>940902</v>
      </c>
      <c r="B1509" s="104" t="s">
        <v>318</v>
      </c>
      <c r="C1509" s="107">
        <v>81.8</v>
      </c>
      <c r="D1509" s="107">
        <v>74.5</v>
      </c>
      <c r="E1509" s="109">
        <v>19.899999999999999</v>
      </c>
    </row>
    <row r="1510" spans="1:5" ht="22.5" customHeight="1">
      <c r="A1510" s="101">
        <v>940903</v>
      </c>
      <c r="B1510" s="104" t="s">
        <v>319</v>
      </c>
      <c r="C1510" s="107">
        <v>61.7</v>
      </c>
      <c r="D1510" s="107">
        <v>46.4</v>
      </c>
      <c r="E1510" s="109">
        <v>16.600000000000001</v>
      </c>
    </row>
    <row r="1511" spans="1:5" ht="22.5" customHeight="1">
      <c r="A1511" s="101">
        <v>940904</v>
      </c>
      <c r="B1511" s="104" t="s">
        <v>54</v>
      </c>
      <c r="C1511" s="107">
        <v>54.5</v>
      </c>
      <c r="D1511" s="107">
        <v>36.300000000000004</v>
      </c>
      <c r="E1511" s="109">
        <v>18.5</v>
      </c>
    </row>
    <row r="1512" spans="1:5" ht="22.5" customHeight="1">
      <c r="A1512" s="101">
        <v>940905</v>
      </c>
      <c r="B1512" s="104" t="s">
        <v>1251</v>
      </c>
      <c r="C1512" s="107">
        <v>61.7</v>
      </c>
      <c r="D1512" s="107">
        <v>46.4</v>
      </c>
      <c r="E1512" s="109">
        <v>17.3</v>
      </c>
    </row>
    <row r="1513" spans="1:5" ht="22.5" customHeight="1">
      <c r="A1513" s="101">
        <v>940906</v>
      </c>
      <c r="B1513" s="104" t="s">
        <v>1252</v>
      </c>
      <c r="C1513" s="107">
        <v>77.599999999999994</v>
      </c>
      <c r="D1513" s="107">
        <v>68.599999999999994</v>
      </c>
      <c r="E1513" s="109">
        <v>25</v>
      </c>
    </row>
    <row r="1514" spans="1:5" ht="22.5" customHeight="1">
      <c r="A1514" s="101">
        <v>940907</v>
      </c>
      <c r="B1514" s="104" t="s">
        <v>1253</v>
      </c>
      <c r="C1514" s="107">
        <v>80</v>
      </c>
      <c r="D1514" s="107">
        <v>72</v>
      </c>
      <c r="E1514" s="109">
        <v>28.7</v>
      </c>
    </row>
    <row r="1515" spans="1:5" ht="22.5" customHeight="1">
      <c r="A1515" s="101">
        <v>940908</v>
      </c>
      <c r="B1515" s="104" t="s">
        <v>4413</v>
      </c>
      <c r="C1515" s="107">
        <v>75</v>
      </c>
      <c r="D1515" s="107">
        <v>65</v>
      </c>
      <c r="E1515" s="109">
        <v>22</v>
      </c>
    </row>
    <row r="1516" spans="1:5" ht="22.5" customHeight="1">
      <c r="A1516" s="101">
        <v>940909</v>
      </c>
      <c r="B1516" s="104" t="s">
        <v>1254</v>
      </c>
      <c r="C1516" s="107">
        <v>64.099999999999994</v>
      </c>
      <c r="D1516" s="107">
        <v>49.7</v>
      </c>
      <c r="E1516" s="109">
        <v>17</v>
      </c>
    </row>
    <row r="1517" spans="1:5" ht="22.5" customHeight="1">
      <c r="A1517" s="101">
        <v>940910</v>
      </c>
      <c r="B1517" s="104" t="s">
        <v>1255</v>
      </c>
      <c r="C1517" s="107">
        <v>67.8</v>
      </c>
      <c r="D1517" s="107">
        <v>54.9</v>
      </c>
      <c r="E1517" s="109">
        <v>17</v>
      </c>
    </row>
    <row r="1518" spans="1:5" ht="22.5" customHeight="1">
      <c r="A1518" s="101">
        <v>940911</v>
      </c>
      <c r="B1518" s="104" t="s">
        <v>320</v>
      </c>
      <c r="C1518" s="107">
        <v>67.3</v>
      </c>
      <c r="D1518" s="107">
        <v>54.2</v>
      </c>
      <c r="E1518" s="109">
        <v>23.5</v>
      </c>
    </row>
    <row r="1519" spans="1:5" ht="22.5" customHeight="1">
      <c r="A1519" s="101">
        <v>940912</v>
      </c>
      <c r="B1519" s="104" t="s">
        <v>55</v>
      </c>
      <c r="C1519" s="107">
        <v>80.2</v>
      </c>
      <c r="D1519" s="107">
        <v>72.3</v>
      </c>
      <c r="E1519" s="109">
        <v>22</v>
      </c>
    </row>
    <row r="1520" spans="1:5" ht="22.5" customHeight="1">
      <c r="A1520" s="101">
        <v>940913</v>
      </c>
      <c r="B1520" s="104" t="s">
        <v>56</v>
      </c>
      <c r="C1520" s="107">
        <v>73.7</v>
      </c>
      <c r="D1520" s="107">
        <v>63.2</v>
      </c>
      <c r="E1520" s="109">
        <v>28.1</v>
      </c>
    </row>
    <row r="1521" spans="1:5" ht="22.5" customHeight="1">
      <c r="A1521" s="101">
        <v>940914</v>
      </c>
      <c r="B1521" s="104" t="s">
        <v>57</v>
      </c>
      <c r="C1521" s="107">
        <v>67.3</v>
      </c>
      <c r="D1521" s="107">
        <v>54.2</v>
      </c>
      <c r="E1521" s="109">
        <v>15.6</v>
      </c>
    </row>
    <row r="1522" spans="1:5" ht="22.5" customHeight="1">
      <c r="A1522" s="101">
        <v>940915</v>
      </c>
      <c r="B1522" s="104" t="s">
        <v>58</v>
      </c>
      <c r="C1522" s="107">
        <v>76</v>
      </c>
      <c r="D1522" s="107">
        <v>66.400000000000006</v>
      </c>
      <c r="E1522" s="109">
        <v>23.9</v>
      </c>
    </row>
    <row r="1523" spans="1:5" ht="22.5" customHeight="1">
      <c r="A1523" s="101">
        <v>940916</v>
      </c>
      <c r="B1523" s="104" t="s">
        <v>59</v>
      </c>
      <c r="C1523" s="107">
        <v>68.099999999999994</v>
      </c>
      <c r="D1523" s="107">
        <v>55.3</v>
      </c>
      <c r="E1523" s="109">
        <v>14.5</v>
      </c>
    </row>
    <row r="1524" spans="1:5" ht="22.5" customHeight="1">
      <c r="A1524" s="101">
        <v>940917</v>
      </c>
      <c r="B1524" s="104" t="s">
        <v>60</v>
      </c>
      <c r="C1524" s="107">
        <v>71.5</v>
      </c>
      <c r="D1524" s="107">
        <v>60.1</v>
      </c>
      <c r="E1524" s="109">
        <v>21.2</v>
      </c>
    </row>
    <row r="1525" spans="1:5" ht="22.5" customHeight="1">
      <c r="A1525" s="101">
        <v>940918</v>
      </c>
      <c r="B1525" s="104" t="s">
        <v>61</v>
      </c>
      <c r="C1525" s="107">
        <v>79.400000000000006</v>
      </c>
      <c r="D1525" s="107">
        <v>71.2</v>
      </c>
      <c r="E1525" s="109">
        <v>27.4</v>
      </c>
    </row>
    <row r="1526" spans="1:5" ht="22.5" customHeight="1">
      <c r="A1526" s="101">
        <v>940919</v>
      </c>
      <c r="B1526" s="104" t="s">
        <v>4414</v>
      </c>
      <c r="C1526" s="107">
        <v>68.5</v>
      </c>
      <c r="D1526" s="107">
        <v>55.900000000000006</v>
      </c>
      <c r="E1526" s="109">
        <v>15</v>
      </c>
    </row>
    <row r="1527" spans="1:5" ht="22.5" customHeight="1">
      <c r="A1527" s="101">
        <v>940920</v>
      </c>
      <c r="B1527" s="104" t="s">
        <v>4233</v>
      </c>
      <c r="C1527" s="107">
        <v>75</v>
      </c>
      <c r="D1527" s="107">
        <v>65</v>
      </c>
      <c r="E1527" s="109">
        <v>22</v>
      </c>
    </row>
    <row r="1528" spans="1:5" ht="22.5" customHeight="1">
      <c r="A1528" s="101">
        <v>940921</v>
      </c>
      <c r="B1528" s="104" t="s">
        <v>4235</v>
      </c>
      <c r="C1528" s="107">
        <v>75</v>
      </c>
      <c r="D1528" s="107">
        <v>65</v>
      </c>
      <c r="E1528" s="109">
        <v>22</v>
      </c>
    </row>
    <row r="1529" spans="1:5" ht="22.5" customHeight="1">
      <c r="A1529" s="101">
        <v>940922</v>
      </c>
      <c r="B1529" s="104" t="s">
        <v>4237</v>
      </c>
      <c r="C1529" s="107">
        <v>75</v>
      </c>
      <c r="D1529" s="107">
        <v>65</v>
      </c>
      <c r="E1529" s="109">
        <v>22</v>
      </c>
    </row>
    <row r="1530" spans="1:5" ht="22.5" customHeight="1">
      <c r="A1530" s="101">
        <v>940923</v>
      </c>
      <c r="B1530" s="104" t="s">
        <v>4239</v>
      </c>
      <c r="C1530" s="107">
        <v>67.3</v>
      </c>
      <c r="D1530" s="107">
        <v>54.2</v>
      </c>
      <c r="E1530" s="109">
        <v>27.5</v>
      </c>
    </row>
    <row r="1531" spans="1:5" ht="22.5" customHeight="1">
      <c r="A1531" s="101">
        <v>940924</v>
      </c>
      <c r="B1531" s="104" t="s">
        <v>4241</v>
      </c>
      <c r="C1531" s="107">
        <v>70</v>
      </c>
      <c r="D1531" s="107">
        <v>58</v>
      </c>
      <c r="E1531" s="109">
        <v>28.4</v>
      </c>
    </row>
    <row r="1532" spans="1:5" ht="22.5" customHeight="1">
      <c r="A1532" s="101">
        <v>940925</v>
      </c>
      <c r="B1532" s="104" t="s">
        <v>4243</v>
      </c>
      <c r="C1532" s="107">
        <v>68.900000000000006</v>
      </c>
      <c r="D1532" s="107">
        <v>56.5</v>
      </c>
      <c r="E1532" s="109">
        <v>16.5</v>
      </c>
    </row>
    <row r="1533" spans="1:5" ht="22.5" customHeight="1">
      <c r="A1533" s="102">
        <v>940926</v>
      </c>
      <c r="B1533" s="105" t="s">
        <v>6044</v>
      </c>
      <c r="C1533" s="107">
        <v>64.099999999999994</v>
      </c>
      <c r="D1533" s="107">
        <v>49.7</v>
      </c>
      <c r="E1533" s="109">
        <v>17</v>
      </c>
    </row>
    <row r="1534" spans="1:5" ht="22.5" customHeight="1">
      <c r="A1534" s="102">
        <v>940927</v>
      </c>
      <c r="B1534" s="105" t="s">
        <v>6045</v>
      </c>
      <c r="C1534" s="107">
        <v>64.099999999999994</v>
      </c>
      <c r="D1534" s="107">
        <v>49.7</v>
      </c>
      <c r="E1534" s="109">
        <v>17</v>
      </c>
    </row>
    <row r="1535" spans="1:5" ht="22.5" customHeight="1">
      <c r="A1535" s="102">
        <v>940928</v>
      </c>
      <c r="B1535" s="105" t="s">
        <v>6046</v>
      </c>
      <c r="C1535" s="107">
        <v>64.099999999999994</v>
      </c>
      <c r="D1535" s="107">
        <v>49.7</v>
      </c>
      <c r="E1535" s="109">
        <v>17</v>
      </c>
    </row>
    <row r="1536" spans="1:5" ht="22.5" customHeight="1">
      <c r="A1536" s="102">
        <v>940929</v>
      </c>
      <c r="B1536" s="105" t="s">
        <v>6047</v>
      </c>
      <c r="C1536" s="107">
        <v>75</v>
      </c>
      <c r="D1536" s="107">
        <v>65</v>
      </c>
      <c r="E1536" s="109">
        <v>22</v>
      </c>
    </row>
    <row r="1537" spans="1:5" ht="22.5" customHeight="1">
      <c r="A1537" s="101">
        <v>950000</v>
      </c>
      <c r="B1537" s="104" t="s">
        <v>1229</v>
      </c>
      <c r="C1537" s="107">
        <v>84.3</v>
      </c>
      <c r="D1537" s="107">
        <v>0</v>
      </c>
      <c r="E1537" s="109">
        <v>17</v>
      </c>
    </row>
    <row r="1538" spans="1:5" ht="22.5" customHeight="1">
      <c r="A1538" s="101">
        <v>950001</v>
      </c>
      <c r="B1538" s="104" t="s">
        <v>1257</v>
      </c>
      <c r="C1538" s="107">
        <v>79.7</v>
      </c>
      <c r="D1538" s="107">
        <v>0</v>
      </c>
      <c r="E1538" s="109">
        <v>18.2</v>
      </c>
    </row>
    <row r="1539" spans="1:5" ht="22.5" customHeight="1">
      <c r="A1539" s="103">
        <v>950002</v>
      </c>
      <c r="B1539" s="106" t="s">
        <v>299</v>
      </c>
      <c r="C1539" s="108">
        <v>86.6</v>
      </c>
      <c r="D1539" s="108">
        <v>0</v>
      </c>
      <c r="E1539" s="110">
        <v>13</v>
      </c>
    </row>
  </sheetData>
  <sheetProtection algorithmName="SHA-512" hashValue="r09NIzlPoSXG/SEePUIoKXWTFZSWtd71bWpAcLppiFtisDSLrwSwMROHTYutALQKeSvhR1X2B+PdniIrhcRoKQ==" saltValue="ycibwSGZsF+om7HE2el3KQ==" spinCount="100000" sheet="1" objects="1" scenarios="1" selectLockedCells="1"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B1:E9"/>
  <sheetViews>
    <sheetView workbookViewId="0">
      <selection activeCell="B7" sqref="B7"/>
    </sheetView>
  </sheetViews>
  <sheetFormatPr defaultRowHeight="16.5"/>
  <cols>
    <col min="1" max="1" width="13" bestFit="1" customWidth="1"/>
    <col min="2" max="2" width="15.75" customWidth="1"/>
    <col min="3" max="3" width="16.75" bestFit="1" customWidth="1"/>
    <col min="5" max="5" width="11.875" bestFit="1" customWidth="1"/>
  </cols>
  <sheetData>
    <row r="1" spans="2:5">
      <c r="B1" t="s">
        <v>322</v>
      </c>
      <c r="C1" t="s">
        <v>323</v>
      </c>
      <c r="D1" t="s">
        <v>324</v>
      </c>
      <c r="E1" t="s">
        <v>325</v>
      </c>
    </row>
    <row r="2" spans="2:5">
      <c r="B2" s="7">
        <v>0</v>
      </c>
      <c r="C2" s="7">
        <v>12000000</v>
      </c>
      <c r="D2" s="16">
        <v>0.06</v>
      </c>
      <c r="E2" s="7">
        <v>0</v>
      </c>
    </row>
    <row r="3" spans="2:5">
      <c r="B3" s="7">
        <v>14000000</v>
      </c>
      <c r="C3" s="7">
        <v>50000000</v>
      </c>
      <c r="D3" s="16">
        <v>0.15</v>
      </c>
      <c r="E3" s="7">
        <v>1260000</v>
      </c>
    </row>
    <row r="4" spans="2:5">
      <c r="B4" s="7">
        <v>50000000</v>
      </c>
      <c r="C4" s="7">
        <v>50000000</v>
      </c>
      <c r="D4" s="16">
        <v>0.24</v>
      </c>
      <c r="E4" s="7">
        <v>5760000</v>
      </c>
    </row>
    <row r="5" spans="2:5">
      <c r="B5" s="7">
        <v>88000000</v>
      </c>
      <c r="C5" s="7">
        <v>150000000</v>
      </c>
      <c r="D5" s="16">
        <v>0.35</v>
      </c>
      <c r="E5" s="7">
        <v>15440000</v>
      </c>
    </row>
    <row r="6" spans="2:5">
      <c r="B6" s="7">
        <v>150000000</v>
      </c>
      <c r="C6" s="7">
        <v>300000000</v>
      </c>
      <c r="D6" s="16">
        <v>0.38</v>
      </c>
      <c r="E6" s="7">
        <v>19940000</v>
      </c>
    </row>
    <row r="7" spans="2:5">
      <c r="B7" s="7">
        <v>300000000</v>
      </c>
      <c r="C7" s="7">
        <v>500000000</v>
      </c>
      <c r="D7" s="16">
        <v>0.4</v>
      </c>
      <c r="E7" s="7">
        <v>25940000</v>
      </c>
    </row>
    <row r="8" spans="2:5">
      <c r="B8" s="7">
        <v>500000000</v>
      </c>
      <c r="C8" s="7">
        <v>10000000000</v>
      </c>
      <c r="D8" s="16">
        <v>0.42</v>
      </c>
      <c r="E8" s="7">
        <v>35940000</v>
      </c>
    </row>
    <row r="9" spans="2:5">
      <c r="B9" s="7">
        <v>10000000000</v>
      </c>
      <c r="C9" s="7">
        <v>500000000000</v>
      </c>
      <c r="D9" s="16">
        <v>0.45</v>
      </c>
      <c r="E9" s="7">
        <v>65940000</v>
      </c>
    </row>
  </sheetData>
  <sheetProtection algorithmName="SHA-512" hashValue="CG8zKaurwtjT4XYuDm56LcsjJsY52me0iZkC8n82Az4tFEQExojKeV8c4D7lT8ZlIk4nIJp/ALJTabYxPgZ/Xw==" saltValue="7cVoRBdnrm0VPIn3QDsFog==" spinCount="100000" sheet="1" selectLockedCells="1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60C0A-B3EB-405C-B4CC-84FF0399A59C}">
  <dimension ref="A1:AA1756"/>
  <sheetViews>
    <sheetView workbookViewId="0">
      <selection activeCell="D13" sqref="D13"/>
    </sheetView>
  </sheetViews>
  <sheetFormatPr defaultRowHeight="16.5"/>
  <cols>
    <col min="1" max="1" width="8.75" style="186" customWidth="1"/>
    <col min="2" max="2" width="11.75" style="196" customWidth="1"/>
    <col min="3" max="3" width="4.375" style="196" customWidth="1"/>
    <col min="4" max="4" width="14.375" style="186" customWidth="1"/>
    <col min="5" max="5" width="6.25" style="196" customWidth="1"/>
    <col min="6" max="6" width="17.125" style="186" customWidth="1"/>
    <col min="7" max="7" width="6.125" style="196" customWidth="1"/>
    <col min="8" max="8" width="17.25" style="186" customWidth="1"/>
    <col min="9" max="9" width="8" style="196" customWidth="1"/>
    <col min="10" max="10" width="22.125" style="186" customWidth="1"/>
    <col min="11" max="11" width="30" style="186" customWidth="1"/>
    <col min="12" max="12" width="4.25" style="196" customWidth="1"/>
    <col min="13" max="13" width="11.25" style="197" customWidth="1"/>
    <col min="14" max="14" width="3.875" style="196" customWidth="1"/>
    <col min="15" max="15" width="15.25" style="186" customWidth="1"/>
    <col min="16" max="16" width="5" style="196" customWidth="1"/>
    <col min="17" max="17" width="25.375" style="186" customWidth="1"/>
    <col min="18" max="18" width="6.25" style="196" customWidth="1"/>
    <col min="19" max="19" width="17.75" style="186" customWidth="1"/>
    <col min="20" max="20" width="9.625" style="196" bestFit="1" customWidth="1"/>
    <col min="21" max="22" width="26.875" style="186" customWidth="1"/>
    <col min="23" max="23" width="6.125" style="196" customWidth="1"/>
    <col min="24" max="24" width="5.75" style="186" customWidth="1"/>
    <col min="25" max="25" width="19.875" style="198" customWidth="1"/>
    <col min="26" max="26" width="9" style="186"/>
    <col min="27" max="27" width="9" style="187"/>
    <col min="28" max="16384" width="9" style="186"/>
  </cols>
  <sheetData>
    <row r="1" spans="1:27" s="115" customFormat="1" ht="57" customHeight="1">
      <c r="A1" s="111" t="s">
        <v>1259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4"/>
      <c r="AA1"/>
    </row>
    <row r="2" spans="1:27" s="115" customFormat="1" ht="39.75" customHeight="1" thickBot="1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8"/>
      <c r="AA2"/>
    </row>
    <row r="3" spans="1:27" s="123" customFormat="1" ht="22.5" customHeight="1">
      <c r="A3" s="119" t="s">
        <v>1260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1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1"/>
      <c r="Y3" s="122" t="s">
        <v>1261</v>
      </c>
    </row>
    <row r="4" spans="1:27" s="123" customFormat="1" ht="31.5" customHeight="1" thickBot="1">
      <c r="A4" s="124"/>
      <c r="B4" s="125" t="s">
        <v>6048</v>
      </c>
      <c r="C4" s="126" t="s">
        <v>1262</v>
      </c>
      <c r="D4" s="126" t="s">
        <v>1262</v>
      </c>
      <c r="E4" s="126" t="s">
        <v>1263</v>
      </c>
      <c r="F4" s="126" t="s">
        <v>1263</v>
      </c>
      <c r="G4" s="126" t="s">
        <v>1264</v>
      </c>
      <c r="H4" s="126" t="s">
        <v>1264</v>
      </c>
      <c r="I4" s="126" t="s">
        <v>1265</v>
      </c>
      <c r="J4" s="126" t="s">
        <v>1265</v>
      </c>
      <c r="K4" s="126" t="s">
        <v>1266</v>
      </c>
      <c r="L4" s="127" t="s">
        <v>1267</v>
      </c>
      <c r="M4" s="128" t="s">
        <v>1268</v>
      </c>
      <c r="N4" s="129" t="s">
        <v>1262</v>
      </c>
      <c r="O4" s="129" t="s">
        <v>1262</v>
      </c>
      <c r="P4" s="129" t="s">
        <v>1263</v>
      </c>
      <c r="Q4" s="129" t="s">
        <v>1263</v>
      </c>
      <c r="R4" s="129" t="s">
        <v>1264</v>
      </c>
      <c r="S4" s="129" t="s">
        <v>1264</v>
      </c>
      <c r="T4" s="129" t="s">
        <v>1265</v>
      </c>
      <c r="U4" s="129" t="s">
        <v>1265</v>
      </c>
      <c r="V4" s="129" t="s">
        <v>1266</v>
      </c>
      <c r="W4" s="129" t="s">
        <v>1267</v>
      </c>
      <c r="X4" s="130" t="s">
        <v>1269</v>
      </c>
      <c r="Y4" s="131"/>
    </row>
    <row r="5" spans="1:27" s="115" customFormat="1" ht="13.5" customHeight="1">
      <c r="A5" s="132">
        <v>1</v>
      </c>
      <c r="B5" s="133" t="s">
        <v>4528</v>
      </c>
      <c r="C5" s="134" t="s">
        <v>1270</v>
      </c>
      <c r="D5" s="135" t="s">
        <v>1271</v>
      </c>
      <c r="E5" s="134" t="s">
        <v>1272</v>
      </c>
      <c r="F5" s="135" t="s">
        <v>1273</v>
      </c>
      <c r="G5" s="134" t="s">
        <v>1274</v>
      </c>
      <c r="H5" s="135" t="s">
        <v>1275</v>
      </c>
      <c r="I5" s="134" t="s">
        <v>1276</v>
      </c>
      <c r="J5" s="135" t="s">
        <v>99</v>
      </c>
      <c r="K5" s="135" t="s">
        <v>99</v>
      </c>
      <c r="L5" s="136">
        <f t="shared" ref="L5:L68" si="0">COUNTIF($B$5:$B$1752,B5)</f>
        <v>1</v>
      </c>
      <c r="M5" s="137" t="s">
        <v>1277</v>
      </c>
      <c r="N5" s="134" t="s">
        <v>1270</v>
      </c>
      <c r="O5" s="135" t="s">
        <v>1271</v>
      </c>
      <c r="P5" s="134" t="s">
        <v>1272</v>
      </c>
      <c r="Q5" s="135" t="s">
        <v>1273</v>
      </c>
      <c r="R5" s="134" t="s">
        <v>1274</v>
      </c>
      <c r="S5" s="135" t="s">
        <v>1275</v>
      </c>
      <c r="T5" s="134" t="s">
        <v>1278</v>
      </c>
      <c r="U5" s="135" t="s">
        <v>99</v>
      </c>
      <c r="V5" s="135" t="s">
        <v>99</v>
      </c>
      <c r="W5" s="134">
        <f t="shared" ref="W5:W68" si="1">COUNTIF($M$5:$M$1756,M5)</f>
        <v>1</v>
      </c>
      <c r="X5" s="136"/>
      <c r="Y5" s="138"/>
      <c r="AA5"/>
    </row>
    <row r="6" spans="1:27" s="115" customFormat="1" ht="13.5" customHeight="1">
      <c r="A6" s="139">
        <v>2</v>
      </c>
      <c r="B6" s="140" t="s">
        <v>4529</v>
      </c>
      <c r="C6" s="141" t="s">
        <v>1270</v>
      </c>
      <c r="D6" s="142" t="s">
        <v>1271</v>
      </c>
      <c r="E6" s="141" t="s">
        <v>1272</v>
      </c>
      <c r="F6" s="142" t="s">
        <v>1273</v>
      </c>
      <c r="G6" s="141" t="s">
        <v>1274</v>
      </c>
      <c r="H6" s="142" t="s">
        <v>1275</v>
      </c>
      <c r="I6" s="141" t="s">
        <v>1276</v>
      </c>
      <c r="J6" s="142" t="s">
        <v>1279</v>
      </c>
      <c r="K6" s="142" t="s">
        <v>335</v>
      </c>
      <c r="L6" s="143">
        <f t="shared" si="0"/>
        <v>1</v>
      </c>
      <c r="M6" s="144" t="s">
        <v>1280</v>
      </c>
      <c r="N6" s="141" t="s">
        <v>1270</v>
      </c>
      <c r="O6" s="142" t="s">
        <v>1271</v>
      </c>
      <c r="P6" s="141" t="s">
        <v>1272</v>
      </c>
      <c r="Q6" s="142" t="s">
        <v>1273</v>
      </c>
      <c r="R6" s="141" t="s">
        <v>1274</v>
      </c>
      <c r="S6" s="142" t="s">
        <v>1275</v>
      </c>
      <c r="T6" s="141" t="s">
        <v>1281</v>
      </c>
      <c r="U6" s="142" t="s">
        <v>1279</v>
      </c>
      <c r="V6" s="142" t="s">
        <v>335</v>
      </c>
      <c r="W6" s="141">
        <f t="shared" si="1"/>
        <v>1</v>
      </c>
      <c r="X6" s="143"/>
      <c r="Y6" s="145"/>
      <c r="AA6"/>
    </row>
    <row r="7" spans="1:27" s="115" customFormat="1" ht="13.5" customHeight="1">
      <c r="A7" s="139">
        <v>3</v>
      </c>
      <c r="B7" s="140" t="s">
        <v>4530</v>
      </c>
      <c r="C7" s="141" t="s">
        <v>1270</v>
      </c>
      <c r="D7" s="142" t="s">
        <v>1271</v>
      </c>
      <c r="E7" s="141" t="s">
        <v>1272</v>
      </c>
      <c r="F7" s="142" t="s">
        <v>1273</v>
      </c>
      <c r="G7" s="141" t="s">
        <v>1274</v>
      </c>
      <c r="H7" s="142" t="s">
        <v>1275</v>
      </c>
      <c r="I7" s="141" t="s">
        <v>1276</v>
      </c>
      <c r="J7" s="142" t="s">
        <v>1279</v>
      </c>
      <c r="K7" s="142" t="s">
        <v>336</v>
      </c>
      <c r="L7" s="143">
        <f t="shared" si="0"/>
        <v>1</v>
      </c>
      <c r="M7" s="144" t="s">
        <v>1282</v>
      </c>
      <c r="N7" s="141" t="s">
        <v>1270</v>
      </c>
      <c r="O7" s="142" t="s">
        <v>1271</v>
      </c>
      <c r="P7" s="141" t="s">
        <v>1272</v>
      </c>
      <c r="Q7" s="142" t="s">
        <v>1273</v>
      </c>
      <c r="R7" s="141" t="s">
        <v>1274</v>
      </c>
      <c r="S7" s="142" t="s">
        <v>1275</v>
      </c>
      <c r="T7" s="141" t="s">
        <v>1281</v>
      </c>
      <c r="U7" s="142" t="s">
        <v>1279</v>
      </c>
      <c r="V7" s="142" t="s">
        <v>336</v>
      </c>
      <c r="W7" s="141">
        <f t="shared" si="1"/>
        <v>1</v>
      </c>
      <c r="X7" s="143"/>
      <c r="Y7" s="145"/>
      <c r="AA7"/>
    </row>
    <row r="8" spans="1:27" s="115" customFormat="1" ht="13.5" customHeight="1">
      <c r="A8" s="139">
        <v>4</v>
      </c>
      <c r="B8" s="140" t="s">
        <v>4531</v>
      </c>
      <c r="C8" s="141" t="s">
        <v>1270</v>
      </c>
      <c r="D8" s="142" t="s">
        <v>1271</v>
      </c>
      <c r="E8" s="141" t="s">
        <v>1272</v>
      </c>
      <c r="F8" s="142" t="s">
        <v>1273</v>
      </c>
      <c r="G8" s="141" t="s">
        <v>1274</v>
      </c>
      <c r="H8" s="142" t="s">
        <v>1275</v>
      </c>
      <c r="I8" s="141" t="s">
        <v>1276</v>
      </c>
      <c r="J8" s="142" t="s">
        <v>1279</v>
      </c>
      <c r="K8" s="142" t="s">
        <v>337</v>
      </c>
      <c r="L8" s="143">
        <f t="shared" si="0"/>
        <v>1</v>
      </c>
      <c r="M8" s="144" t="s">
        <v>1283</v>
      </c>
      <c r="N8" s="141" t="s">
        <v>1270</v>
      </c>
      <c r="O8" s="142" t="s">
        <v>1271</v>
      </c>
      <c r="P8" s="141" t="s">
        <v>1272</v>
      </c>
      <c r="Q8" s="142" t="s">
        <v>1273</v>
      </c>
      <c r="R8" s="141" t="s">
        <v>1274</v>
      </c>
      <c r="S8" s="142" t="s">
        <v>1275</v>
      </c>
      <c r="T8" s="141" t="s">
        <v>1281</v>
      </c>
      <c r="U8" s="142" t="s">
        <v>1279</v>
      </c>
      <c r="V8" s="142" t="s">
        <v>337</v>
      </c>
      <c r="W8" s="141">
        <f t="shared" si="1"/>
        <v>1</v>
      </c>
      <c r="X8" s="143"/>
      <c r="Y8" s="145"/>
      <c r="AA8"/>
    </row>
    <row r="9" spans="1:27" s="115" customFormat="1" ht="13.5" customHeight="1">
      <c r="A9" s="139">
        <v>5</v>
      </c>
      <c r="B9" s="140" t="s">
        <v>4532</v>
      </c>
      <c r="C9" s="141" t="s">
        <v>1270</v>
      </c>
      <c r="D9" s="142" t="s">
        <v>1271</v>
      </c>
      <c r="E9" s="141" t="s">
        <v>1272</v>
      </c>
      <c r="F9" s="142" t="s">
        <v>1273</v>
      </c>
      <c r="G9" s="141" t="s">
        <v>1274</v>
      </c>
      <c r="H9" s="142" t="s">
        <v>1275</v>
      </c>
      <c r="I9" s="141" t="s">
        <v>1276</v>
      </c>
      <c r="J9" s="142" t="s">
        <v>1284</v>
      </c>
      <c r="K9" s="142" t="s">
        <v>338</v>
      </c>
      <c r="L9" s="143">
        <f t="shared" si="0"/>
        <v>1</v>
      </c>
      <c r="M9" s="144" t="s">
        <v>1285</v>
      </c>
      <c r="N9" s="141" t="s">
        <v>1270</v>
      </c>
      <c r="O9" s="142" t="s">
        <v>1271</v>
      </c>
      <c r="P9" s="141" t="s">
        <v>1272</v>
      </c>
      <c r="Q9" s="142" t="s">
        <v>1273</v>
      </c>
      <c r="R9" s="141" t="s">
        <v>1274</v>
      </c>
      <c r="S9" s="142" t="s">
        <v>1275</v>
      </c>
      <c r="T9" s="141" t="s">
        <v>1286</v>
      </c>
      <c r="U9" s="142" t="s">
        <v>1284</v>
      </c>
      <c r="V9" s="142" t="s">
        <v>338</v>
      </c>
      <c r="W9" s="141">
        <f t="shared" si="1"/>
        <v>1</v>
      </c>
      <c r="X9" s="143"/>
      <c r="Y9" s="145"/>
      <c r="AA9"/>
    </row>
    <row r="10" spans="1:27" s="115" customFormat="1" ht="13.5" customHeight="1">
      <c r="A10" s="139">
        <v>6</v>
      </c>
      <c r="B10" s="140" t="s">
        <v>4533</v>
      </c>
      <c r="C10" s="141" t="s">
        <v>1270</v>
      </c>
      <c r="D10" s="142" t="s">
        <v>1271</v>
      </c>
      <c r="E10" s="141" t="s">
        <v>1272</v>
      </c>
      <c r="F10" s="142" t="s">
        <v>1273</v>
      </c>
      <c r="G10" s="141" t="s">
        <v>1274</v>
      </c>
      <c r="H10" s="142" t="s">
        <v>1275</v>
      </c>
      <c r="I10" s="141" t="s">
        <v>1276</v>
      </c>
      <c r="J10" s="142" t="s">
        <v>1284</v>
      </c>
      <c r="K10" s="142" t="s">
        <v>339</v>
      </c>
      <c r="L10" s="143">
        <f t="shared" si="0"/>
        <v>1</v>
      </c>
      <c r="M10" s="144" t="s">
        <v>1287</v>
      </c>
      <c r="N10" s="141" t="s">
        <v>1270</v>
      </c>
      <c r="O10" s="142" t="s">
        <v>1271</v>
      </c>
      <c r="P10" s="141" t="s">
        <v>1272</v>
      </c>
      <c r="Q10" s="142" t="s">
        <v>1273</v>
      </c>
      <c r="R10" s="141" t="s">
        <v>1274</v>
      </c>
      <c r="S10" s="142" t="s">
        <v>1275</v>
      </c>
      <c r="T10" s="141" t="s">
        <v>1286</v>
      </c>
      <c r="U10" s="142" t="s">
        <v>1284</v>
      </c>
      <c r="V10" s="142" t="s">
        <v>339</v>
      </c>
      <c r="W10" s="141">
        <f t="shared" si="1"/>
        <v>1</v>
      </c>
      <c r="X10" s="143"/>
      <c r="Y10" s="145"/>
      <c r="AA10"/>
    </row>
    <row r="11" spans="1:27" s="115" customFormat="1" ht="13.5" customHeight="1">
      <c r="A11" s="139">
        <v>7</v>
      </c>
      <c r="B11" s="140" t="s">
        <v>4534</v>
      </c>
      <c r="C11" s="141" t="s">
        <v>1270</v>
      </c>
      <c r="D11" s="142" t="s">
        <v>1271</v>
      </c>
      <c r="E11" s="141" t="s">
        <v>1272</v>
      </c>
      <c r="F11" s="142" t="s">
        <v>1273</v>
      </c>
      <c r="G11" s="141" t="s">
        <v>1274</v>
      </c>
      <c r="H11" s="142" t="s">
        <v>1275</v>
      </c>
      <c r="I11" s="141" t="s">
        <v>1276</v>
      </c>
      <c r="J11" s="142" t="s">
        <v>340</v>
      </c>
      <c r="K11" s="142" t="s">
        <v>340</v>
      </c>
      <c r="L11" s="143">
        <f t="shared" si="0"/>
        <v>1</v>
      </c>
      <c r="M11" s="144" t="s">
        <v>1288</v>
      </c>
      <c r="N11" s="141" t="s">
        <v>1270</v>
      </c>
      <c r="O11" s="142" t="s">
        <v>1271</v>
      </c>
      <c r="P11" s="141" t="s">
        <v>1272</v>
      </c>
      <c r="Q11" s="142" t="s">
        <v>1273</v>
      </c>
      <c r="R11" s="141" t="s">
        <v>1274</v>
      </c>
      <c r="S11" s="142" t="s">
        <v>1275</v>
      </c>
      <c r="T11" s="141" t="s">
        <v>1289</v>
      </c>
      <c r="U11" s="142" t="s">
        <v>340</v>
      </c>
      <c r="V11" s="142" t="s">
        <v>340</v>
      </c>
      <c r="W11" s="141">
        <f t="shared" si="1"/>
        <v>1</v>
      </c>
      <c r="X11" s="143"/>
      <c r="Y11" s="145"/>
      <c r="AA11"/>
    </row>
    <row r="12" spans="1:27" s="115" customFormat="1" ht="13.5" customHeight="1">
      <c r="A12" s="139">
        <v>8</v>
      </c>
      <c r="B12" s="140" t="s">
        <v>4535</v>
      </c>
      <c r="C12" s="141" t="s">
        <v>1270</v>
      </c>
      <c r="D12" s="142" t="s">
        <v>1271</v>
      </c>
      <c r="E12" s="141" t="s">
        <v>1272</v>
      </c>
      <c r="F12" s="142" t="s">
        <v>1273</v>
      </c>
      <c r="G12" s="141" t="s">
        <v>1274</v>
      </c>
      <c r="H12" s="142" t="s">
        <v>1275</v>
      </c>
      <c r="I12" s="141" t="s">
        <v>1276</v>
      </c>
      <c r="J12" s="142" t="s">
        <v>1290</v>
      </c>
      <c r="K12" s="142" t="s">
        <v>341</v>
      </c>
      <c r="L12" s="143">
        <f t="shared" si="0"/>
        <v>1</v>
      </c>
      <c r="M12" s="144" t="s">
        <v>1291</v>
      </c>
      <c r="N12" s="141" t="s">
        <v>1270</v>
      </c>
      <c r="O12" s="142" t="s">
        <v>1271</v>
      </c>
      <c r="P12" s="141" t="s">
        <v>1272</v>
      </c>
      <c r="Q12" s="142" t="s">
        <v>1273</v>
      </c>
      <c r="R12" s="141" t="s">
        <v>1274</v>
      </c>
      <c r="S12" s="142" t="s">
        <v>1275</v>
      </c>
      <c r="T12" s="141" t="s">
        <v>1292</v>
      </c>
      <c r="U12" s="142" t="s">
        <v>1290</v>
      </c>
      <c r="V12" s="142" t="s">
        <v>341</v>
      </c>
      <c r="W12" s="141">
        <f t="shared" si="1"/>
        <v>1</v>
      </c>
      <c r="X12" s="143"/>
      <c r="Y12" s="145"/>
      <c r="AA12"/>
    </row>
    <row r="13" spans="1:27" s="115" customFormat="1" ht="13.5" customHeight="1">
      <c r="A13" s="139">
        <v>9</v>
      </c>
      <c r="B13" s="140" t="s">
        <v>4536</v>
      </c>
      <c r="C13" s="141" t="s">
        <v>1270</v>
      </c>
      <c r="D13" s="142" t="s">
        <v>1271</v>
      </c>
      <c r="E13" s="141" t="s">
        <v>1272</v>
      </c>
      <c r="F13" s="142" t="s">
        <v>1273</v>
      </c>
      <c r="G13" s="141" t="s">
        <v>1274</v>
      </c>
      <c r="H13" s="142" t="s">
        <v>1275</v>
      </c>
      <c r="I13" s="141" t="s">
        <v>1276</v>
      </c>
      <c r="J13" s="142" t="s">
        <v>1290</v>
      </c>
      <c r="K13" s="142" t="s">
        <v>342</v>
      </c>
      <c r="L13" s="143">
        <f t="shared" si="0"/>
        <v>1</v>
      </c>
      <c r="M13" s="144" t="s">
        <v>1293</v>
      </c>
      <c r="N13" s="141" t="s">
        <v>1270</v>
      </c>
      <c r="O13" s="142" t="s">
        <v>1271</v>
      </c>
      <c r="P13" s="141" t="s">
        <v>1272</v>
      </c>
      <c r="Q13" s="142" t="s">
        <v>1273</v>
      </c>
      <c r="R13" s="141" t="s">
        <v>1274</v>
      </c>
      <c r="S13" s="142" t="s">
        <v>1275</v>
      </c>
      <c r="T13" s="141" t="s">
        <v>1292</v>
      </c>
      <c r="U13" s="142" t="s">
        <v>1290</v>
      </c>
      <c r="V13" s="142" t="s">
        <v>342</v>
      </c>
      <c r="W13" s="141">
        <f t="shared" si="1"/>
        <v>1</v>
      </c>
      <c r="X13" s="143"/>
      <c r="Y13" s="145"/>
      <c r="AA13"/>
    </row>
    <row r="14" spans="1:27" s="115" customFormat="1" ht="13.5" customHeight="1">
      <c r="A14" s="139">
        <v>10</v>
      </c>
      <c r="B14" s="140" t="s">
        <v>4537</v>
      </c>
      <c r="C14" s="141" t="s">
        <v>1270</v>
      </c>
      <c r="D14" s="142" t="s">
        <v>1271</v>
      </c>
      <c r="E14" s="141" t="s">
        <v>1272</v>
      </c>
      <c r="F14" s="142" t="s">
        <v>1273</v>
      </c>
      <c r="G14" s="141" t="s">
        <v>1274</v>
      </c>
      <c r="H14" s="142" t="s">
        <v>1275</v>
      </c>
      <c r="I14" s="141" t="s">
        <v>1276</v>
      </c>
      <c r="J14" s="142" t="s">
        <v>1290</v>
      </c>
      <c r="K14" s="142" t="s">
        <v>343</v>
      </c>
      <c r="L14" s="143">
        <f t="shared" si="0"/>
        <v>1</v>
      </c>
      <c r="M14" s="144" t="s">
        <v>1294</v>
      </c>
      <c r="N14" s="141" t="s">
        <v>1270</v>
      </c>
      <c r="O14" s="142" t="s">
        <v>1271</v>
      </c>
      <c r="P14" s="141" t="s">
        <v>1272</v>
      </c>
      <c r="Q14" s="142" t="s">
        <v>1273</v>
      </c>
      <c r="R14" s="141" t="s">
        <v>1274</v>
      </c>
      <c r="S14" s="142" t="s">
        <v>1275</v>
      </c>
      <c r="T14" s="141" t="s">
        <v>1292</v>
      </c>
      <c r="U14" s="142" t="s">
        <v>1290</v>
      </c>
      <c r="V14" s="142" t="s">
        <v>343</v>
      </c>
      <c r="W14" s="141">
        <f t="shared" si="1"/>
        <v>1</v>
      </c>
      <c r="X14" s="143"/>
      <c r="Y14" s="145"/>
      <c r="AA14"/>
    </row>
    <row r="15" spans="1:27" s="115" customFormat="1" ht="13.5" customHeight="1">
      <c r="A15" s="139">
        <v>11</v>
      </c>
      <c r="B15" s="140" t="s">
        <v>4538</v>
      </c>
      <c r="C15" s="141" t="s">
        <v>1270</v>
      </c>
      <c r="D15" s="142" t="s">
        <v>1271</v>
      </c>
      <c r="E15" s="141" t="s">
        <v>1272</v>
      </c>
      <c r="F15" s="142" t="s">
        <v>1273</v>
      </c>
      <c r="G15" s="141" t="s">
        <v>1295</v>
      </c>
      <c r="H15" s="142" t="s">
        <v>1296</v>
      </c>
      <c r="I15" s="141" t="s">
        <v>1297</v>
      </c>
      <c r="J15" s="142" t="s">
        <v>1298</v>
      </c>
      <c r="K15" s="142" t="s">
        <v>344</v>
      </c>
      <c r="L15" s="143">
        <f t="shared" si="0"/>
        <v>1</v>
      </c>
      <c r="M15" s="144" t="s">
        <v>1299</v>
      </c>
      <c r="N15" s="141" t="s">
        <v>1270</v>
      </c>
      <c r="O15" s="142" t="s">
        <v>1271</v>
      </c>
      <c r="P15" s="141" t="s">
        <v>1272</v>
      </c>
      <c r="Q15" s="142" t="s">
        <v>1273</v>
      </c>
      <c r="R15" s="141" t="s">
        <v>1295</v>
      </c>
      <c r="S15" s="142" t="s">
        <v>1296</v>
      </c>
      <c r="T15" s="141" t="s">
        <v>1297</v>
      </c>
      <c r="U15" s="142" t="s">
        <v>1298</v>
      </c>
      <c r="V15" s="142" t="s">
        <v>344</v>
      </c>
      <c r="W15" s="141">
        <f t="shared" si="1"/>
        <v>1</v>
      </c>
      <c r="X15" s="143"/>
      <c r="Y15" s="145"/>
      <c r="AA15"/>
    </row>
    <row r="16" spans="1:27" s="115" customFormat="1" ht="13.5" customHeight="1">
      <c r="A16" s="139">
        <v>12</v>
      </c>
      <c r="B16" s="140" t="s">
        <v>4539</v>
      </c>
      <c r="C16" s="141" t="s">
        <v>1270</v>
      </c>
      <c r="D16" s="142" t="s">
        <v>1271</v>
      </c>
      <c r="E16" s="141" t="s">
        <v>1272</v>
      </c>
      <c r="F16" s="142" t="s">
        <v>1273</v>
      </c>
      <c r="G16" s="141" t="s">
        <v>1295</v>
      </c>
      <c r="H16" s="142" t="s">
        <v>1296</v>
      </c>
      <c r="I16" s="141" t="s">
        <v>1297</v>
      </c>
      <c r="J16" s="142" t="s">
        <v>1300</v>
      </c>
      <c r="K16" s="142" t="s">
        <v>345</v>
      </c>
      <c r="L16" s="143">
        <f t="shared" si="0"/>
        <v>1</v>
      </c>
      <c r="M16" s="144" t="s">
        <v>1301</v>
      </c>
      <c r="N16" s="141" t="s">
        <v>1270</v>
      </c>
      <c r="O16" s="142" t="s">
        <v>1271</v>
      </c>
      <c r="P16" s="141" t="s">
        <v>1272</v>
      </c>
      <c r="Q16" s="142" t="s">
        <v>1273</v>
      </c>
      <c r="R16" s="141" t="s">
        <v>1295</v>
      </c>
      <c r="S16" s="142" t="s">
        <v>1296</v>
      </c>
      <c r="T16" s="141" t="s">
        <v>1302</v>
      </c>
      <c r="U16" s="142" t="s">
        <v>1300</v>
      </c>
      <c r="V16" s="142" t="s">
        <v>345</v>
      </c>
      <c r="W16" s="141">
        <f t="shared" si="1"/>
        <v>1</v>
      </c>
      <c r="X16" s="143"/>
      <c r="Y16" s="145"/>
      <c r="AA16"/>
    </row>
    <row r="17" spans="1:27" s="115" customFormat="1" ht="13.5" customHeight="1">
      <c r="A17" s="139">
        <v>13</v>
      </c>
      <c r="B17" s="140" t="s">
        <v>4540</v>
      </c>
      <c r="C17" s="141" t="s">
        <v>1270</v>
      </c>
      <c r="D17" s="142" t="s">
        <v>1271</v>
      </c>
      <c r="E17" s="141" t="s">
        <v>1272</v>
      </c>
      <c r="F17" s="142" t="s">
        <v>1273</v>
      </c>
      <c r="G17" s="141" t="s">
        <v>1295</v>
      </c>
      <c r="H17" s="142" t="s">
        <v>1296</v>
      </c>
      <c r="I17" s="141" t="s">
        <v>1297</v>
      </c>
      <c r="J17" s="142" t="s">
        <v>1300</v>
      </c>
      <c r="K17" s="142" t="s">
        <v>346</v>
      </c>
      <c r="L17" s="143">
        <f t="shared" si="0"/>
        <v>1</v>
      </c>
      <c r="M17" s="144" t="s">
        <v>1303</v>
      </c>
      <c r="N17" s="141" t="s">
        <v>1270</v>
      </c>
      <c r="O17" s="142" t="s">
        <v>1271</v>
      </c>
      <c r="P17" s="141" t="s">
        <v>1272</v>
      </c>
      <c r="Q17" s="142" t="s">
        <v>1273</v>
      </c>
      <c r="R17" s="141" t="s">
        <v>1295</v>
      </c>
      <c r="S17" s="142" t="s">
        <v>1296</v>
      </c>
      <c r="T17" s="141" t="s">
        <v>1302</v>
      </c>
      <c r="U17" s="142" t="s">
        <v>1300</v>
      </c>
      <c r="V17" s="142" t="s">
        <v>348</v>
      </c>
      <c r="W17" s="141">
        <f t="shared" si="1"/>
        <v>2</v>
      </c>
      <c r="X17" s="143"/>
      <c r="Y17" s="145" t="s">
        <v>1304</v>
      </c>
      <c r="AA17"/>
    </row>
    <row r="18" spans="1:27" s="115" customFormat="1" ht="13.5" customHeight="1">
      <c r="A18" s="139">
        <v>14</v>
      </c>
      <c r="B18" s="140" t="s">
        <v>4541</v>
      </c>
      <c r="C18" s="141" t="s">
        <v>1270</v>
      </c>
      <c r="D18" s="142" t="s">
        <v>1271</v>
      </c>
      <c r="E18" s="141" t="s">
        <v>1272</v>
      </c>
      <c r="F18" s="142" t="s">
        <v>1273</v>
      </c>
      <c r="G18" s="141" t="s">
        <v>1295</v>
      </c>
      <c r="H18" s="142" t="s">
        <v>1296</v>
      </c>
      <c r="I18" s="141" t="s">
        <v>1297</v>
      </c>
      <c r="J18" s="142" t="s">
        <v>1298</v>
      </c>
      <c r="K18" s="142" t="s">
        <v>347</v>
      </c>
      <c r="L18" s="143">
        <f t="shared" si="0"/>
        <v>1</v>
      </c>
      <c r="M18" s="144" t="s">
        <v>1305</v>
      </c>
      <c r="N18" s="141" t="s">
        <v>1270</v>
      </c>
      <c r="O18" s="142" t="s">
        <v>1271</v>
      </c>
      <c r="P18" s="141" t="s">
        <v>1272</v>
      </c>
      <c r="Q18" s="142" t="s">
        <v>1273</v>
      </c>
      <c r="R18" s="141" t="s">
        <v>1295</v>
      </c>
      <c r="S18" s="142" t="s">
        <v>1296</v>
      </c>
      <c r="T18" s="141" t="s">
        <v>1297</v>
      </c>
      <c r="U18" s="142" t="s">
        <v>1298</v>
      </c>
      <c r="V18" s="142" t="s">
        <v>347</v>
      </c>
      <c r="W18" s="141">
        <f t="shared" si="1"/>
        <v>1</v>
      </c>
      <c r="X18" s="143"/>
      <c r="Y18" s="145"/>
      <c r="AA18"/>
    </row>
    <row r="19" spans="1:27" s="115" customFormat="1" ht="13.5" customHeight="1">
      <c r="A19" s="139">
        <v>15</v>
      </c>
      <c r="B19" s="140" t="s">
        <v>4542</v>
      </c>
      <c r="C19" s="141" t="s">
        <v>1270</v>
      </c>
      <c r="D19" s="142" t="s">
        <v>1271</v>
      </c>
      <c r="E19" s="141" t="s">
        <v>1272</v>
      </c>
      <c r="F19" s="142" t="s">
        <v>1273</v>
      </c>
      <c r="G19" s="141" t="s">
        <v>1295</v>
      </c>
      <c r="H19" s="142" t="s">
        <v>1296</v>
      </c>
      <c r="I19" s="141" t="s">
        <v>1306</v>
      </c>
      <c r="J19" s="142" t="s">
        <v>100</v>
      </c>
      <c r="K19" s="142" t="s">
        <v>100</v>
      </c>
      <c r="L19" s="143">
        <f t="shared" si="0"/>
        <v>1</v>
      </c>
      <c r="M19" s="144" t="s">
        <v>1307</v>
      </c>
      <c r="N19" s="141" t="s">
        <v>1270</v>
      </c>
      <c r="O19" s="142" t="s">
        <v>1271</v>
      </c>
      <c r="P19" s="141" t="s">
        <v>1272</v>
      </c>
      <c r="Q19" s="142" t="s">
        <v>1273</v>
      </c>
      <c r="R19" s="141" t="s">
        <v>1295</v>
      </c>
      <c r="S19" s="142" t="s">
        <v>1296</v>
      </c>
      <c r="T19" s="141" t="s">
        <v>1306</v>
      </c>
      <c r="U19" s="142" t="s">
        <v>100</v>
      </c>
      <c r="V19" s="142" t="s">
        <v>100</v>
      </c>
      <c r="W19" s="141">
        <f t="shared" si="1"/>
        <v>1</v>
      </c>
      <c r="X19" s="143"/>
      <c r="Y19" s="145"/>
      <c r="AA19"/>
    </row>
    <row r="20" spans="1:27" s="115" customFormat="1" ht="13.5" customHeight="1">
      <c r="A20" s="139">
        <v>16</v>
      </c>
      <c r="B20" s="140" t="s">
        <v>4543</v>
      </c>
      <c r="C20" s="141" t="s">
        <v>1270</v>
      </c>
      <c r="D20" s="142" t="s">
        <v>1271</v>
      </c>
      <c r="E20" s="141" t="s">
        <v>1272</v>
      </c>
      <c r="F20" s="142" t="s">
        <v>1273</v>
      </c>
      <c r="G20" s="141" t="s">
        <v>1295</v>
      </c>
      <c r="H20" s="142" t="s">
        <v>1296</v>
      </c>
      <c r="I20" s="141" t="s">
        <v>1306</v>
      </c>
      <c r="J20" s="142" t="s">
        <v>1308</v>
      </c>
      <c r="K20" s="142" t="s">
        <v>101</v>
      </c>
      <c r="L20" s="143">
        <f t="shared" si="0"/>
        <v>1</v>
      </c>
      <c r="M20" s="144" t="s">
        <v>1309</v>
      </c>
      <c r="N20" s="141" t="s">
        <v>1270</v>
      </c>
      <c r="O20" s="142" t="s">
        <v>1271</v>
      </c>
      <c r="P20" s="141" t="s">
        <v>1272</v>
      </c>
      <c r="Q20" s="142" t="s">
        <v>1273</v>
      </c>
      <c r="R20" s="141" t="s">
        <v>1295</v>
      </c>
      <c r="S20" s="142" t="s">
        <v>1296</v>
      </c>
      <c r="T20" s="141" t="s">
        <v>1310</v>
      </c>
      <c r="U20" s="142" t="s">
        <v>1308</v>
      </c>
      <c r="V20" s="142" t="s">
        <v>101</v>
      </c>
      <c r="W20" s="141">
        <f t="shared" si="1"/>
        <v>1</v>
      </c>
      <c r="X20" s="143"/>
      <c r="Y20" s="145"/>
      <c r="AA20"/>
    </row>
    <row r="21" spans="1:27" s="115" customFormat="1" ht="13.5" customHeight="1">
      <c r="A21" s="139">
        <v>17</v>
      </c>
      <c r="B21" s="140" t="s">
        <v>4544</v>
      </c>
      <c r="C21" s="141" t="s">
        <v>1270</v>
      </c>
      <c r="D21" s="142" t="s">
        <v>1271</v>
      </c>
      <c r="E21" s="141" t="s">
        <v>1272</v>
      </c>
      <c r="F21" s="142" t="s">
        <v>1273</v>
      </c>
      <c r="G21" s="141" t="s">
        <v>1295</v>
      </c>
      <c r="H21" s="142" t="s">
        <v>1296</v>
      </c>
      <c r="I21" s="141" t="s">
        <v>1306</v>
      </c>
      <c r="J21" s="142" t="s">
        <v>1308</v>
      </c>
      <c r="K21" s="142" t="s">
        <v>102</v>
      </c>
      <c r="L21" s="143">
        <f t="shared" si="0"/>
        <v>1</v>
      </c>
      <c r="M21" s="144" t="s">
        <v>1311</v>
      </c>
      <c r="N21" s="141" t="s">
        <v>1270</v>
      </c>
      <c r="O21" s="142" t="s">
        <v>1271</v>
      </c>
      <c r="P21" s="141" t="s">
        <v>1272</v>
      </c>
      <c r="Q21" s="142" t="s">
        <v>1273</v>
      </c>
      <c r="R21" s="141" t="s">
        <v>1295</v>
      </c>
      <c r="S21" s="142" t="s">
        <v>1296</v>
      </c>
      <c r="T21" s="141" t="s">
        <v>1310</v>
      </c>
      <c r="U21" s="142" t="s">
        <v>1308</v>
      </c>
      <c r="V21" s="142" t="s">
        <v>102</v>
      </c>
      <c r="W21" s="141">
        <f t="shared" si="1"/>
        <v>1</v>
      </c>
      <c r="X21" s="143"/>
      <c r="Y21" s="145"/>
      <c r="AA21"/>
    </row>
    <row r="22" spans="1:27" s="115" customFormat="1" ht="13.5" customHeight="1">
      <c r="A22" s="139">
        <v>18</v>
      </c>
      <c r="B22" s="140" t="s">
        <v>4545</v>
      </c>
      <c r="C22" s="141" t="s">
        <v>1270</v>
      </c>
      <c r="D22" s="142" t="s">
        <v>1271</v>
      </c>
      <c r="E22" s="141" t="s">
        <v>1272</v>
      </c>
      <c r="F22" s="142" t="s">
        <v>1273</v>
      </c>
      <c r="G22" s="141" t="s">
        <v>1295</v>
      </c>
      <c r="H22" s="142" t="s">
        <v>1296</v>
      </c>
      <c r="I22" s="141" t="s">
        <v>1306</v>
      </c>
      <c r="J22" s="142" t="s">
        <v>1300</v>
      </c>
      <c r="K22" s="142" t="s">
        <v>348</v>
      </c>
      <c r="L22" s="143">
        <f t="shared" si="0"/>
        <v>1</v>
      </c>
      <c r="M22" s="144" t="s">
        <v>1303</v>
      </c>
      <c r="N22" s="141" t="s">
        <v>1270</v>
      </c>
      <c r="O22" s="142" t="s">
        <v>1271</v>
      </c>
      <c r="P22" s="141" t="s">
        <v>1272</v>
      </c>
      <c r="Q22" s="142" t="s">
        <v>1273</v>
      </c>
      <c r="R22" s="141" t="s">
        <v>1295</v>
      </c>
      <c r="S22" s="142" t="s">
        <v>1296</v>
      </c>
      <c r="T22" s="141" t="s">
        <v>1302</v>
      </c>
      <c r="U22" s="142" t="s">
        <v>1300</v>
      </c>
      <c r="V22" s="142" t="s">
        <v>348</v>
      </c>
      <c r="W22" s="141">
        <f t="shared" si="1"/>
        <v>2</v>
      </c>
      <c r="X22" s="143">
        <v>1</v>
      </c>
      <c r="Y22" s="145"/>
      <c r="AA22"/>
    </row>
    <row r="23" spans="1:27" s="115" customFormat="1" ht="27" customHeight="1">
      <c r="A23" s="139">
        <v>19</v>
      </c>
      <c r="B23" s="140" t="s">
        <v>4546</v>
      </c>
      <c r="C23" s="141" t="s">
        <v>1270</v>
      </c>
      <c r="D23" s="142" t="s">
        <v>1271</v>
      </c>
      <c r="E23" s="141" t="s">
        <v>1272</v>
      </c>
      <c r="F23" s="142" t="s">
        <v>1273</v>
      </c>
      <c r="G23" s="141" t="s">
        <v>1312</v>
      </c>
      <c r="H23" s="142" t="s">
        <v>1313</v>
      </c>
      <c r="I23" s="141" t="s">
        <v>1314</v>
      </c>
      <c r="J23" s="142" t="s">
        <v>349</v>
      </c>
      <c r="K23" s="142" t="s">
        <v>349</v>
      </c>
      <c r="L23" s="143">
        <f t="shared" si="0"/>
        <v>1</v>
      </c>
      <c r="M23" s="144" t="s">
        <v>1315</v>
      </c>
      <c r="N23" s="141" t="s">
        <v>1270</v>
      </c>
      <c r="O23" s="142" t="s">
        <v>1271</v>
      </c>
      <c r="P23" s="141" t="s">
        <v>1272</v>
      </c>
      <c r="Q23" s="142" t="s">
        <v>1273</v>
      </c>
      <c r="R23" s="141" t="s">
        <v>1312</v>
      </c>
      <c r="S23" s="142" t="s">
        <v>1313</v>
      </c>
      <c r="T23" s="141" t="s">
        <v>1316</v>
      </c>
      <c r="U23" s="142" t="s">
        <v>349</v>
      </c>
      <c r="V23" s="142" t="s">
        <v>349</v>
      </c>
      <c r="W23" s="141">
        <f t="shared" si="1"/>
        <v>1</v>
      </c>
      <c r="X23" s="143"/>
      <c r="Y23" s="145"/>
      <c r="AA23"/>
    </row>
    <row r="24" spans="1:27" s="115" customFormat="1" ht="27" customHeight="1">
      <c r="A24" s="139">
        <v>20</v>
      </c>
      <c r="B24" s="140" t="s">
        <v>4547</v>
      </c>
      <c r="C24" s="141" t="s">
        <v>1270</v>
      </c>
      <c r="D24" s="142" t="s">
        <v>1271</v>
      </c>
      <c r="E24" s="141" t="s">
        <v>1272</v>
      </c>
      <c r="F24" s="142" t="s">
        <v>1273</v>
      </c>
      <c r="G24" s="141" t="s">
        <v>1312</v>
      </c>
      <c r="H24" s="142" t="s">
        <v>350</v>
      </c>
      <c r="I24" s="141" t="s">
        <v>1314</v>
      </c>
      <c r="J24" s="142" t="s">
        <v>350</v>
      </c>
      <c r="K24" s="142" t="s">
        <v>350</v>
      </c>
      <c r="L24" s="143">
        <f t="shared" si="0"/>
        <v>1</v>
      </c>
      <c r="M24" s="144" t="s">
        <v>1317</v>
      </c>
      <c r="N24" s="141" t="s">
        <v>1270</v>
      </c>
      <c r="O24" s="142" t="s">
        <v>1271</v>
      </c>
      <c r="P24" s="141" t="s">
        <v>1272</v>
      </c>
      <c r="Q24" s="142" t="s">
        <v>1273</v>
      </c>
      <c r="R24" s="141" t="s">
        <v>1318</v>
      </c>
      <c r="S24" s="142" t="s">
        <v>350</v>
      </c>
      <c r="T24" s="141" t="s">
        <v>1319</v>
      </c>
      <c r="U24" s="142" t="s">
        <v>350</v>
      </c>
      <c r="V24" s="142" t="s">
        <v>350</v>
      </c>
      <c r="W24" s="141">
        <f t="shared" si="1"/>
        <v>1</v>
      </c>
      <c r="X24" s="143"/>
      <c r="Y24" s="145"/>
      <c r="AA24"/>
    </row>
    <row r="25" spans="1:27" s="115" customFormat="1" ht="27" customHeight="1">
      <c r="A25" s="139">
        <v>21</v>
      </c>
      <c r="B25" s="140" t="s">
        <v>4548</v>
      </c>
      <c r="C25" s="141" t="s">
        <v>1270</v>
      </c>
      <c r="D25" s="142" t="s">
        <v>1271</v>
      </c>
      <c r="E25" s="141" t="s">
        <v>1272</v>
      </c>
      <c r="F25" s="142" t="s">
        <v>1273</v>
      </c>
      <c r="G25" s="141" t="s">
        <v>1312</v>
      </c>
      <c r="H25" s="142" t="s">
        <v>1313</v>
      </c>
      <c r="I25" s="141" t="s">
        <v>1314</v>
      </c>
      <c r="J25" s="142" t="s">
        <v>1320</v>
      </c>
      <c r="K25" s="142" t="s">
        <v>351</v>
      </c>
      <c r="L25" s="143">
        <f t="shared" si="0"/>
        <v>1</v>
      </c>
      <c r="M25" s="144" t="s">
        <v>1321</v>
      </c>
      <c r="N25" s="141" t="s">
        <v>1270</v>
      </c>
      <c r="O25" s="142" t="s">
        <v>1271</v>
      </c>
      <c r="P25" s="141" t="s">
        <v>1272</v>
      </c>
      <c r="Q25" s="142" t="s">
        <v>1273</v>
      </c>
      <c r="R25" s="141" t="s">
        <v>1312</v>
      </c>
      <c r="S25" s="142" t="s">
        <v>1313</v>
      </c>
      <c r="T25" s="141" t="s">
        <v>1322</v>
      </c>
      <c r="U25" s="142" t="s">
        <v>1320</v>
      </c>
      <c r="V25" s="142" t="s">
        <v>351</v>
      </c>
      <c r="W25" s="141">
        <f t="shared" si="1"/>
        <v>1</v>
      </c>
      <c r="X25" s="143"/>
      <c r="Y25" s="145"/>
      <c r="AA25"/>
    </row>
    <row r="26" spans="1:27" s="115" customFormat="1" ht="27" customHeight="1">
      <c r="A26" s="139">
        <v>22</v>
      </c>
      <c r="B26" s="140" t="s">
        <v>4549</v>
      </c>
      <c r="C26" s="141" t="s">
        <v>1270</v>
      </c>
      <c r="D26" s="142" t="s">
        <v>1271</v>
      </c>
      <c r="E26" s="141" t="s">
        <v>1272</v>
      </c>
      <c r="F26" s="142" t="s">
        <v>1273</v>
      </c>
      <c r="G26" s="141" t="s">
        <v>1312</v>
      </c>
      <c r="H26" s="142" t="s">
        <v>1313</v>
      </c>
      <c r="I26" s="141" t="s">
        <v>1314</v>
      </c>
      <c r="J26" s="142" t="s">
        <v>1320</v>
      </c>
      <c r="K26" s="142" t="s">
        <v>352</v>
      </c>
      <c r="L26" s="143">
        <f t="shared" si="0"/>
        <v>1</v>
      </c>
      <c r="M26" s="144" t="s">
        <v>1323</v>
      </c>
      <c r="N26" s="141" t="s">
        <v>1270</v>
      </c>
      <c r="O26" s="142" t="s">
        <v>1271</v>
      </c>
      <c r="P26" s="141" t="s">
        <v>1272</v>
      </c>
      <c r="Q26" s="142" t="s">
        <v>1273</v>
      </c>
      <c r="R26" s="141" t="s">
        <v>1312</v>
      </c>
      <c r="S26" s="142" t="s">
        <v>1313</v>
      </c>
      <c r="T26" s="141" t="s">
        <v>1322</v>
      </c>
      <c r="U26" s="142" t="s">
        <v>1320</v>
      </c>
      <c r="V26" s="142" t="s">
        <v>352</v>
      </c>
      <c r="W26" s="141">
        <f t="shared" si="1"/>
        <v>1</v>
      </c>
      <c r="X26" s="143"/>
      <c r="Y26" s="145"/>
      <c r="AA26"/>
    </row>
    <row r="27" spans="1:27" s="115" customFormat="1" ht="13.5" customHeight="1">
      <c r="A27" s="139">
        <v>23</v>
      </c>
      <c r="B27" s="140" t="s">
        <v>4550</v>
      </c>
      <c r="C27" s="141" t="s">
        <v>1270</v>
      </c>
      <c r="D27" s="142" t="s">
        <v>1271</v>
      </c>
      <c r="E27" s="141" t="s">
        <v>1272</v>
      </c>
      <c r="F27" s="142" t="s">
        <v>1273</v>
      </c>
      <c r="G27" s="141" t="s">
        <v>1324</v>
      </c>
      <c r="H27" s="142" t="s">
        <v>103</v>
      </c>
      <c r="I27" s="141" t="s">
        <v>1325</v>
      </c>
      <c r="J27" s="142" t="s">
        <v>103</v>
      </c>
      <c r="K27" s="142" t="s">
        <v>103</v>
      </c>
      <c r="L27" s="143">
        <f t="shared" si="0"/>
        <v>1</v>
      </c>
      <c r="M27" s="144" t="s">
        <v>1326</v>
      </c>
      <c r="N27" s="141" t="s">
        <v>1270</v>
      </c>
      <c r="O27" s="142" t="s">
        <v>1271</v>
      </c>
      <c r="P27" s="141" t="s">
        <v>1272</v>
      </c>
      <c r="Q27" s="142" t="s">
        <v>1273</v>
      </c>
      <c r="R27" s="141" t="s">
        <v>1324</v>
      </c>
      <c r="S27" s="142" t="s">
        <v>103</v>
      </c>
      <c r="T27" s="141" t="s">
        <v>1325</v>
      </c>
      <c r="U27" s="142" t="s">
        <v>103</v>
      </c>
      <c r="V27" s="142" t="s">
        <v>103</v>
      </c>
      <c r="W27" s="141">
        <f t="shared" si="1"/>
        <v>1</v>
      </c>
      <c r="X27" s="143"/>
      <c r="Y27" s="145"/>
      <c r="AA27"/>
    </row>
    <row r="28" spans="1:27" s="115" customFormat="1" ht="13.5" customHeight="1">
      <c r="A28" s="139">
        <v>24</v>
      </c>
      <c r="B28" s="140" t="s">
        <v>4551</v>
      </c>
      <c r="C28" s="141" t="s">
        <v>1270</v>
      </c>
      <c r="D28" s="142" t="s">
        <v>1271</v>
      </c>
      <c r="E28" s="141" t="s">
        <v>1327</v>
      </c>
      <c r="F28" s="142" t="s">
        <v>1328</v>
      </c>
      <c r="G28" s="141" t="s">
        <v>1329</v>
      </c>
      <c r="H28" s="142" t="s">
        <v>1328</v>
      </c>
      <c r="I28" s="141" t="s">
        <v>1330</v>
      </c>
      <c r="J28" s="142" t="s">
        <v>1331</v>
      </c>
      <c r="K28" s="142" t="s">
        <v>353</v>
      </c>
      <c r="L28" s="143">
        <f t="shared" si="0"/>
        <v>1</v>
      </c>
      <c r="M28" s="144" t="s">
        <v>1332</v>
      </c>
      <c r="N28" s="141" t="s">
        <v>1270</v>
      </c>
      <c r="O28" s="142" t="s">
        <v>1271</v>
      </c>
      <c r="P28" s="141" t="s">
        <v>1327</v>
      </c>
      <c r="Q28" s="142" t="s">
        <v>1328</v>
      </c>
      <c r="R28" s="141" t="s">
        <v>1329</v>
      </c>
      <c r="S28" s="142" t="s">
        <v>1328</v>
      </c>
      <c r="T28" s="141" t="s">
        <v>1330</v>
      </c>
      <c r="U28" s="142" t="s">
        <v>1331</v>
      </c>
      <c r="V28" s="142" t="s">
        <v>353</v>
      </c>
      <c r="W28" s="141">
        <f t="shared" si="1"/>
        <v>1</v>
      </c>
      <c r="X28" s="143"/>
      <c r="Y28" s="145"/>
      <c r="AA28"/>
    </row>
    <row r="29" spans="1:27" s="115" customFormat="1" ht="13.5" customHeight="1">
      <c r="A29" s="139">
        <v>25</v>
      </c>
      <c r="B29" s="140" t="s">
        <v>4552</v>
      </c>
      <c r="C29" s="141" t="s">
        <v>1270</v>
      </c>
      <c r="D29" s="142" t="s">
        <v>1271</v>
      </c>
      <c r="E29" s="141" t="s">
        <v>1327</v>
      </c>
      <c r="F29" s="142" t="s">
        <v>1328</v>
      </c>
      <c r="G29" s="141" t="s">
        <v>1329</v>
      </c>
      <c r="H29" s="142" t="s">
        <v>1328</v>
      </c>
      <c r="I29" s="141" t="s">
        <v>1330</v>
      </c>
      <c r="J29" s="142" t="s">
        <v>1331</v>
      </c>
      <c r="K29" s="142" t="s">
        <v>354</v>
      </c>
      <c r="L29" s="143">
        <f t="shared" si="0"/>
        <v>1</v>
      </c>
      <c r="M29" s="144" t="s">
        <v>1333</v>
      </c>
      <c r="N29" s="141" t="s">
        <v>1270</v>
      </c>
      <c r="O29" s="142" t="s">
        <v>1271</v>
      </c>
      <c r="P29" s="141" t="s">
        <v>1327</v>
      </c>
      <c r="Q29" s="142" t="s">
        <v>1328</v>
      </c>
      <c r="R29" s="141" t="s">
        <v>1329</v>
      </c>
      <c r="S29" s="142" t="s">
        <v>1328</v>
      </c>
      <c r="T29" s="141" t="s">
        <v>1330</v>
      </c>
      <c r="U29" s="142" t="s">
        <v>1331</v>
      </c>
      <c r="V29" s="142" t="s">
        <v>354</v>
      </c>
      <c r="W29" s="141">
        <f t="shared" si="1"/>
        <v>1</v>
      </c>
      <c r="X29" s="143"/>
      <c r="Y29" s="145"/>
      <c r="AA29"/>
    </row>
    <row r="30" spans="1:27" s="115" customFormat="1" ht="13.5" customHeight="1">
      <c r="A30" s="139">
        <v>26</v>
      </c>
      <c r="B30" s="140" t="s">
        <v>4553</v>
      </c>
      <c r="C30" s="141" t="s">
        <v>1270</v>
      </c>
      <c r="D30" s="142" t="s">
        <v>1271</v>
      </c>
      <c r="E30" s="141" t="s">
        <v>1327</v>
      </c>
      <c r="F30" s="142" t="s">
        <v>1328</v>
      </c>
      <c r="G30" s="141" t="s">
        <v>1329</v>
      </c>
      <c r="H30" s="142" t="s">
        <v>1328</v>
      </c>
      <c r="I30" s="141" t="s">
        <v>1330</v>
      </c>
      <c r="J30" s="142" t="s">
        <v>355</v>
      </c>
      <c r="K30" s="142" t="s">
        <v>355</v>
      </c>
      <c r="L30" s="143">
        <f t="shared" si="0"/>
        <v>1</v>
      </c>
      <c r="M30" s="144" t="s">
        <v>1334</v>
      </c>
      <c r="N30" s="141" t="s">
        <v>1270</v>
      </c>
      <c r="O30" s="142" t="s">
        <v>1271</v>
      </c>
      <c r="P30" s="141" t="s">
        <v>1327</v>
      </c>
      <c r="Q30" s="142" t="s">
        <v>1328</v>
      </c>
      <c r="R30" s="141" t="s">
        <v>1329</v>
      </c>
      <c r="S30" s="142" t="s">
        <v>1328</v>
      </c>
      <c r="T30" s="141" t="s">
        <v>1335</v>
      </c>
      <c r="U30" s="142" t="s">
        <v>355</v>
      </c>
      <c r="V30" s="142" t="s">
        <v>355</v>
      </c>
      <c r="W30" s="141">
        <f t="shared" si="1"/>
        <v>1</v>
      </c>
      <c r="X30" s="143"/>
      <c r="Y30" s="145"/>
      <c r="AA30"/>
    </row>
    <row r="31" spans="1:27" s="115" customFormat="1" ht="13.5" customHeight="1">
      <c r="A31" s="139">
        <v>27</v>
      </c>
      <c r="B31" s="140" t="s">
        <v>4554</v>
      </c>
      <c r="C31" s="141" t="s">
        <v>1270</v>
      </c>
      <c r="D31" s="142" t="s">
        <v>1271</v>
      </c>
      <c r="E31" s="141" t="s">
        <v>1327</v>
      </c>
      <c r="F31" s="142" t="s">
        <v>1328</v>
      </c>
      <c r="G31" s="141" t="s">
        <v>1329</v>
      </c>
      <c r="H31" s="142" t="s">
        <v>1328</v>
      </c>
      <c r="I31" s="141" t="s">
        <v>1336</v>
      </c>
      <c r="J31" s="142" t="s">
        <v>104</v>
      </c>
      <c r="K31" s="142" t="s">
        <v>104</v>
      </c>
      <c r="L31" s="143">
        <f t="shared" si="0"/>
        <v>1</v>
      </c>
      <c r="M31" s="144" t="s">
        <v>1337</v>
      </c>
      <c r="N31" s="141" t="s">
        <v>1270</v>
      </c>
      <c r="O31" s="142" t="s">
        <v>1271</v>
      </c>
      <c r="P31" s="141" t="s">
        <v>1327</v>
      </c>
      <c r="Q31" s="142" t="s">
        <v>1328</v>
      </c>
      <c r="R31" s="141" t="s">
        <v>1329</v>
      </c>
      <c r="S31" s="142" t="s">
        <v>1328</v>
      </c>
      <c r="T31" s="141" t="s">
        <v>1336</v>
      </c>
      <c r="U31" s="142" t="s">
        <v>104</v>
      </c>
      <c r="V31" s="142" t="s">
        <v>104</v>
      </c>
      <c r="W31" s="141">
        <f t="shared" si="1"/>
        <v>1</v>
      </c>
      <c r="X31" s="143"/>
      <c r="Y31" s="145"/>
      <c r="AA31"/>
    </row>
    <row r="32" spans="1:27" s="115" customFormat="1" ht="13.5" customHeight="1">
      <c r="A32" s="139">
        <v>28</v>
      </c>
      <c r="B32" s="140" t="s">
        <v>4555</v>
      </c>
      <c r="C32" s="141" t="s">
        <v>1270</v>
      </c>
      <c r="D32" s="142" t="s">
        <v>1271</v>
      </c>
      <c r="E32" s="141" t="s">
        <v>1327</v>
      </c>
      <c r="F32" s="142" t="s">
        <v>1328</v>
      </c>
      <c r="G32" s="141" t="s">
        <v>1329</v>
      </c>
      <c r="H32" s="142" t="s">
        <v>1328</v>
      </c>
      <c r="I32" s="141" t="s">
        <v>1335</v>
      </c>
      <c r="J32" s="142" t="s">
        <v>105</v>
      </c>
      <c r="K32" s="142" t="s">
        <v>105</v>
      </c>
      <c r="L32" s="143">
        <f t="shared" si="0"/>
        <v>1</v>
      </c>
      <c r="M32" s="144" t="s">
        <v>1338</v>
      </c>
      <c r="N32" s="141" t="s">
        <v>1270</v>
      </c>
      <c r="O32" s="142" t="s">
        <v>1271</v>
      </c>
      <c r="P32" s="141" t="s">
        <v>1327</v>
      </c>
      <c r="Q32" s="142" t="s">
        <v>1328</v>
      </c>
      <c r="R32" s="141" t="s">
        <v>1329</v>
      </c>
      <c r="S32" s="142" t="s">
        <v>1328</v>
      </c>
      <c r="T32" s="141" t="s">
        <v>1339</v>
      </c>
      <c r="U32" s="142" t="s">
        <v>105</v>
      </c>
      <c r="V32" s="142" t="s">
        <v>105</v>
      </c>
      <c r="W32" s="141">
        <f t="shared" si="1"/>
        <v>1</v>
      </c>
      <c r="X32" s="143"/>
      <c r="Y32" s="145"/>
      <c r="AA32"/>
    </row>
    <row r="33" spans="1:27" s="115" customFormat="1" ht="13.5" customHeight="1">
      <c r="A33" s="139">
        <v>29</v>
      </c>
      <c r="B33" s="140" t="s">
        <v>4556</v>
      </c>
      <c r="C33" s="141" t="s">
        <v>1270</v>
      </c>
      <c r="D33" s="142" t="s">
        <v>1271</v>
      </c>
      <c r="E33" s="141" t="s">
        <v>1340</v>
      </c>
      <c r="F33" s="142" t="s">
        <v>1341</v>
      </c>
      <c r="G33" s="141" t="s">
        <v>1342</v>
      </c>
      <c r="H33" s="142" t="s">
        <v>1343</v>
      </c>
      <c r="I33" s="141" t="s">
        <v>1344</v>
      </c>
      <c r="J33" s="142" t="s">
        <v>1345</v>
      </c>
      <c r="K33" s="142" t="s">
        <v>356</v>
      </c>
      <c r="L33" s="143">
        <f t="shared" si="0"/>
        <v>1</v>
      </c>
      <c r="M33" s="144" t="s">
        <v>1346</v>
      </c>
      <c r="N33" s="141" t="s">
        <v>1270</v>
      </c>
      <c r="O33" s="142" t="s">
        <v>1271</v>
      </c>
      <c r="P33" s="141" t="s">
        <v>1347</v>
      </c>
      <c r="Q33" s="142" t="s">
        <v>1341</v>
      </c>
      <c r="R33" s="141" t="s">
        <v>1348</v>
      </c>
      <c r="S33" s="142" t="s">
        <v>1343</v>
      </c>
      <c r="T33" s="141" t="s">
        <v>1349</v>
      </c>
      <c r="U33" s="142" t="s">
        <v>1345</v>
      </c>
      <c r="V33" s="142" t="s">
        <v>356</v>
      </c>
      <c r="W33" s="141">
        <f t="shared" si="1"/>
        <v>1</v>
      </c>
      <c r="X33" s="143"/>
      <c r="Y33" s="145"/>
      <c r="AA33"/>
    </row>
    <row r="34" spans="1:27" s="115" customFormat="1" ht="13.5" customHeight="1">
      <c r="A34" s="139">
        <v>30</v>
      </c>
      <c r="B34" s="140" t="s">
        <v>4557</v>
      </c>
      <c r="C34" s="141" t="s">
        <v>1270</v>
      </c>
      <c r="D34" s="142" t="s">
        <v>1271</v>
      </c>
      <c r="E34" s="141" t="s">
        <v>1340</v>
      </c>
      <c r="F34" s="142" t="s">
        <v>1341</v>
      </c>
      <c r="G34" s="141" t="s">
        <v>1342</v>
      </c>
      <c r="H34" s="142" t="s">
        <v>1343</v>
      </c>
      <c r="I34" s="141" t="s">
        <v>1344</v>
      </c>
      <c r="J34" s="142" t="s">
        <v>1345</v>
      </c>
      <c r="K34" s="142" t="s">
        <v>357</v>
      </c>
      <c r="L34" s="143">
        <f t="shared" si="0"/>
        <v>1</v>
      </c>
      <c r="M34" s="144" t="s">
        <v>1350</v>
      </c>
      <c r="N34" s="141" t="s">
        <v>1270</v>
      </c>
      <c r="O34" s="142" t="s">
        <v>1271</v>
      </c>
      <c r="P34" s="141" t="s">
        <v>1347</v>
      </c>
      <c r="Q34" s="142" t="s">
        <v>1341</v>
      </c>
      <c r="R34" s="141" t="s">
        <v>1348</v>
      </c>
      <c r="S34" s="142" t="s">
        <v>1343</v>
      </c>
      <c r="T34" s="141" t="s">
        <v>1349</v>
      </c>
      <c r="U34" s="142" t="s">
        <v>1345</v>
      </c>
      <c r="V34" s="142" t="s">
        <v>357</v>
      </c>
      <c r="W34" s="141">
        <f t="shared" si="1"/>
        <v>1</v>
      </c>
      <c r="X34" s="143"/>
      <c r="Y34" s="145"/>
      <c r="AA34"/>
    </row>
    <row r="35" spans="1:27" s="115" customFormat="1" ht="13.5" customHeight="1">
      <c r="A35" s="139">
        <v>31</v>
      </c>
      <c r="B35" s="140" t="s">
        <v>4558</v>
      </c>
      <c r="C35" s="141" t="s">
        <v>1270</v>
      </c>
      <c r="D35" s="142" t="s">
        <v>1271</v>
      </c>
      <c r="E35" s="141" t="s">
        <v>1340</v>
      </c>
      <c r="F35" s="142" t="s">
        <v>1341</v>
      </c>
      <c r="G35" s="141" t="s">
        <v>1342</v>
      </c>
      <c r="H35" s="142" t="s">
        <v>1343</v>
      </c>
      <c r="I35" s="141" t="s">
        <v>1351</v>
      </c>
      <c r="J35" s="142" t="s">
        <v>358</v>
      </c>
      <c r="K35" s="142" t="s">
        <v>358</v>
      </c>
      <c r="L35" s="143">
        <f t="shared" si="0"/>
        <v>1</v>
      </c>
      <c r="M35" s="144" t="s">
        <v>1352</v>
      </c>
      <c r="N35" s="141" t="s">
        <v>1270</v>
      </c>
      <c r="O35" s="142" t="s">
        <v>1271</v>
      </c>
      <c r="P35" s="141" t="s">
        <v>1347</v>
      </c>
      <c r="Q35" s="142" t="s">
        <v>1341</v>
      </c>
      <c r="R35" s="141" t="s">
        <v>1348</v>
      </c>
      <c r="S35" s="142" t="s">
        <v>1343</v>
      </c>
      <c r="T35" s="141" t="s">
        <v>1353</v>
      </c>
      <c r="U35" s="142" t="s">
        <v>358</v>
      </c>
      <c r="V35" s="142" t="s">
        <v>358</v>
      </c>
      <c r="W35" s="141">
        <f t="shared" si="1"/>
        <v>1</v>
      </c>
      <c r="X35" s="143"/>
      <c r="Y35" s="145"/>
      <c r="AA35"/>
    </row>
    <row r="36" spans="1:27" s="115" customFormat="1" ht="27" customHeight="1">
      <c r="A36" s="139">
        <v>32</v>
      </c>
      <c r="B36" s="140" t="s">
        <v>4559</v>
      </c>
      <c r="C36" s="141" t="s">
        <v>1270</v>
      </c>
      <c r="D36" s="142" t="s">
        <v>1271</v>
      </c>
      <c r="E36" s="141" t="s">
        <v>1340</v>
      </c>
      <c r="F36" s="142" t="s">
        <v>1341</v>
      </c>
      <c r="G36" s="141" t="s">
        <v>1354</v>
      </c>
      <c r="H36" s="142" t="s">
        <v>1355</v>
      </c>
      <c r="I36" s="141" t="s">
        <v>1356</v>
      </c>
      <c r="J36" s="142" t="s">
        <v>1357</v>
      </c>
      <c r="K36" s="142" t="s">
        <v>359</v>
      </c>
      <c r="L36" s="143">
        <f t="shared" si="0"/>
        <v>1</v>
      </c>
      <c r="M36" s="144" t="s">
        <v>1358</v>
      </c>
      <c r="N36" s="141" t="s">
        <v>1270</v>
      </c>
      <c r="O36" s="142" t="s">
        <v>1271</v>
      </c>
      <c r="P36" s="141" t="s">
        <v>1347</v>
      </c>
      <c r="Q36" s="142" t="s">
        <v>1341</v>
      </c>
      <c r="R36" s="141" t="s">
        <v>1359</v>
      </c>
      <c r="S36" s="142" t="s">
        <v>1355</v>
      </c>
      <c r="T36" s="141" t="s">
        <v>1360</v>
      </c>
      <c r="U36" s="142" t="s">
        <v>1357</v>
      </c>
      <c r="V36" s="142" t="s">
        <v>359</v>
      </c>
      <c r="W36" s="141">
        <f t="shared" si="1"/>
        <v>1</v>
      </c>
      <c r="X36" s="143"/>
      <c r="Y36" s="145"/>
      <c r="AA36"/>
    </row>
    <row r="37" spans="1:27" s="115" customFormat="1" ht="27" customHeight="1">
      <c r="A37" s="139">
        <v>33</v>
      </c>
      <c r="B37" s="140" t="s">
        <v>4560</v>
      </c>
      <c r="C37" s="141" t="s">
        <v>1270</v>
      </c>
      <c r="D37" s="142" t="s">
        <v>1271</v>
      </c>
      <c r="E37" s="141" t="s">
        <v>1340</v>
      </c>
      <c r="F37" s="142" t="s">
        <v>1341</v>
      </c>
      <c r="G37" s="141" t="s">
        <v>1354</v>
      </c>
      <c r="H37" s="142" t="s">
        <v>1355</v>
      </c>
      <c r="I37" s="141" t="s">
        <v>1356</v>
      </c>
      <c r="J37" s="142" t="s">
        <v>1357</v>
      </c>
      <c r="K37" s="142" t="s">
        <v>360</v>
      </c>
      <c r="L37" s="143">
        <f t="shared" si="0"/>
        <v>1</v>
      </c>
      <c r="M37" s="144" t="s">
        <v>1361</v>
      </c>
      <c r="N37" s="141" t="s">
        <v>1270</v>
      </c>
      <c r="O37" s="142" t="s">
        <v>1271</v>
      </c>
      <c r="P37" s="141" t="s">
        <v>1347</v>
      </c>
      <c r="Q37" s="142" t="s">
        <v>1341</v>
      </c>
      <c r="R37" s="141" t="s">
        <v>1359</v>
      </c>
      <c r="S37" s="142" t="s">
        <v>1355</v>
      </c>
      <c r="T37" s="141" t="s">
        <v>1360</v>
      </c>
      <c r="U37" s="142" t="s">
        <v>1357</v>
      </c>
      <c r="V37" s="142" t="s">
        <v>360</v>
      </c>
      <c r="W37" s="141">
        <f t="shared" si="1"/>
        <v>1</v>
      </c>
      <c r="X37" s="143"/>
      <c r="Y37" s="145"/>
      <c r="AA37"/>
    </row>
    <row r="38" spans="1:27" s="115" customFormat="1" ht="27" customHeight="1">
      <c r="A38" s="139">
        <v>34</v>
      </c>
      <c r="B38" s="140" t="s">
        <v>4561</v>
      </c>
      <c r="C38" s="141" t="s">
        <v>1270</v>
      </c>
      <c r="D38" s="142" t="s">
        <v>1271</v>
      </c>
      <c r="E38" s="141" t="s">
        <v>1340</v>
      </c>
      <c r="F38" s="142" t="s">
        <v>1341</v>
      </c>
      <c r="G38" s="141" t="s">
        <v>1354</v>
      </c>
      <c r="H38" s="142" t="s">
        <v>1355</v>
      </c>
      <c r="I38" s="141" t="s">
        <v>1356</v>
      </c>
      <c r="J38" s="142" t="s">
        <v>1357</v>
      </c>
      <c r="K38" s="142" t="s">
        <v>361</v>
      </c>
      <c r="L38" s="143">
        <f t="shared" si="0"/>
        <v>1</v>
      </c>
      <c r="M38" s="144" t="s">
        <v>1362</v>
      </c>
      <c r="N38" s="141" t="s">
        <v>1270</v>
      </c>
      <c r="O38" s="142" t="s">
        <v>1271</v>
      </c>
      <c r="P38" s="141" t="s">
        <v>1347</v>
      </c>
      <c r="Q38" s="142" t="s">
        <v>1341</v>
      </c>
      <c r="R38" s="141" t="s">
        <v>1359</v>
      </c>
      <c r="S38" s="142" t="s">
        <v>1355</v>
      </c>
      <c r="T38" s="141" t="s">
        <v>1360</v>
      </c>
      <c r="U38" s="142" t="s">
        <v>1357</v>
      </c>
      <c r="V38" s="142" t="s">
        <v>361</v>
      </c>
      <c r="W38" s="141">
        <f t="shared" si="1"/>
        <v>1</v>
      </c>
      <c r="X38" s="143"/>
      <c r="Y38" s="145"/>
      <c r="AA38"/>
    </row>
    <row r="39" spans="1:27" s="115" customFormat="1" ht="27" customHeight="1">
      <c r="A39" s="139">
        <v>35</v>
      </c>
      <c r="B39" s="140" t="s">
        <v>4562</v>
      </c>
      <c r="C39" s="141" t="s">
        <v>1270</v>
      </c>
      <c r="D39" s="142" t="s">
        <v>1271</v>
      </c>
      <c r="E39" s="141" t="s">
        <v>1340</v>
      </c>
      <c r="F39" s="142" t="s">
        <v>1341</v>
      </c>
      <c r="G39" s="141" t="s">
        <v>1354</v>
      </c>
      <c r="H39" s="142" t="s">
        <v>1355</v>
      </c>
      <c r="I39" s="141" t="s">
        <v>1363</v>
      </c>
      <c r="J39" s="142" t="s">
        <v>362</v>
      </c>
      <c r="K39" s="142" t="s">
        <v>362</v>
      </c>
      <c r="L39" s="143">
        <f t="shared" si="0"/>
        <v>1</v>
      </c>
      <c r="M39" s="144" t="s">
        <v>1364</v>
      </c>
      <c r="N39" s="141" t="s">
        <v>1270</v>
      </c>
      <c r="O39" s="142" t="s">
        <v>1271</v>
      </c>
      <c r="P39" s="141" t="s">
        <v>1347</v>
      </c>
      <c r="Q39" s="142" t="s">
        <v>1341</v>
      </c>
      <c r="R39" s="141" t="s">
        <v>1359</v>
      </c>
      <c r="S39" s="142" t="s">
        <v>1355</v>
      </c>
      <c r="T39" s="141" t="s">
        <v>1365</v>
      </c>
      <c r="U39" s="142" t="s">
        <v>362</v>
      </c>
      <c r="V39" s="142" t="s">
        <v>362</v>
      </c>
      <c r="W39" s="141">
        <f t="shared" si="1"/>
        <v>1</v>
      </c>
      <c r="X39" s="143"/>
      <c r="Y39" s="145"/>
      <c r="AA39"/>
    </row>
    <row r="40" spans="1:27" s="115" customFormat="1" ht="27" customHeight="1">
      <c r="A40" s="139">
        <v>36</v>
      </c>
      <c r="B40" s="140" t="s">
        <v>4563</v>
      </c>
      <c r="C40" s="141" t="s">
        <v>1366</v>
      </c>
      <c r="D40" s="142" t="s">
        <v>1367</v>
      </c>
      <c r="E40" s="141" t="s">
        <v>1368</v>
      </c>
      <c r="F40" s="142" t="s">
        <v>1369</v>
      </c>
      <c r="G40" s="141" t="s">
        <v>333</v>
      </c>
      <c r="H40" s="142" t="s">
        <v>363</v>
      </c>
      <c r="I40" s="141" t="s">
        <v>1370</v>
      </c>
      <c r="J40" s="142" t="s">
        <v>363</v>
      </c>
      <c r="K40" s="142" t="s">
        <v>363</v>
      </c>
      <c r="L40" s="143">
        <f t="shared" si="0"/>
        <v>1</v>
      </c>
      <c r="M40" s="144" t="s">
        <v>1371</v>
      </c>
      <c r="N40" s="141" t="s">
        <v>1366</v>
      </c>
      <c r="O40" s="142" t="s">
        <v>1367</v>
      </c>
      <c r="P40" s="141" t="s">
        <v>1340</v>
      </c>
      <c r="Q40" s="142" t="s">
        <v>1369</v>
      </c>
      <c r="R40" s="141" t="s">
        <v>1342</v>
      </c>
      <c r="S40" s="142" t="s">
        <v>363</v>
      </c>
      <c r="T40" s="141" t="s">
        <v>1372</v>
      </c>
      <c r="U40" s="142" t="s">
        <v>363</v>
      </c>
      <c r="V40" s="142" t="s">
        <v>363</v>
      </c>
      <c r="W40" s="141">
        <f t="shared" si="1"/>
        <v>2</v>
      </c>
      <c r="X40" s="143">
        <v>1</v>
      </c>
      <c r="Y40" s="145"/>
      <c r="AA40"/>
    </row>
    <row r="41" spans="1:27" s="115" customFormat="1" ht="27" customHeight="1">
      <c r="A41" s="139">
        <v>37</v>
      </c>
      <c r="B41" s="140" t="s">
        <v>4564</v>
      </c>
      <c r="C41" s="141" t="s">
        <v>1366</v>
      </c>
      <c r="D41" s="142" t="s">
        <v>1367</v>
      </c>
      <c r="E41" s="141" t="s">
        <v>1368</v>
      </c>
      <c r="F41" s="142" t="s">
        <v>1373</v>
      </c>
      <c r="G41" s="141" t="s">
        <v>333</v>
      </c>
      <c r="H41" s="142" t="s">
        <v>1374</v>
      </c>
      <c r="I41" s="141" t="s">
        <v>1370</v>
      </c>
      <c r="J41" s="142" t="s">
        <v>364</v>
      </c>
      <c r="K41" s="142" t="s">
        <v>364</v>
      </c>
      <c r="L41" s="143">
        <f t="shared" si="0"/>
        <v>1</v>
      </c>
      <c r="M41" s="144" t="s">
        <v>1375</v>
      </c>
      <c r="N41" s="141" t="s">
        <v>1366</v>
      </c>
      <c r="O41" s="142" t="s">
        <v>1367</v>
      </c>
      <c r="P41" s="141" t="s">
        <v>1376</v>
      </c>
      <c r="Q41" s="142" t="s">
        <v>1373</v>
      </c>
      <c r="R41" s="141" t="s">
        <v>1377</v>
      </c>
      <c r="S41" s="142" t="s">
        <v>1374</v>
      </c>
      <c r="T41" s="141" t="s">
        <v>1378</v>
      </c>
      <c r="U41" s="142" t="s">
        <v>364</v>
      </c>
      <c r="V41" s="142" t="s">
        <v>364</v>
      </c>
      <c r="W41" s="141">
        <f t="shared" si="1"/>
        <v>4</v>
      </c>
      <c r="X41" s="143"/>
      <c r="Y41" s="145" t="s">
        <v>1379</v>
      </c>
      <c r="AA41"/>
    </row>
    <row r="42" spans="1:27" s="115" customFormat="1" ht="13.5" customHeight="1">
      <c r="A42" s="139">
        <v>38</v>
      </c>
      <c r="B42" s="140" t="s">
        <v>4565</v>
      </c>
      <c r="C42" s="141" t="s">
        <v>1366</v>
      </c>
      <c r="D42" s="142" t="s">
        <v>1367</v>
      </c>
      <c r="E42" s="141" t="s">
        <v>1380</v>
      </c>
      <c r="F42" s="142" t="s">
        <v>1381</v>
      </c>
      <c r="G42" s="141" t="s">
        <v>1382</v>
      </c>
      <c r="H42" s="142" t="s">
        <v>365</v>
      </c>
      <c r="I42" s="141" t="s">
        <v>1383</v>
      </c>
      <c r="J42" s="142" t="s">
        <v>365</v>
      </c>
      <c r="K42" s="142" t="s">
        <v>365</v>
      </c>
      <c r="L42" s="143">
        <f t="shared" si="0"/>
        <v>1</v>
      </c>
      <c r="M42" s="144" t="s">
        <v>1384</v>
      </c>
      <c r="N42" s="141" t="s">
        <v>1366</v>
      </c>
      <c r="O42" s="142" t="s">
        <v>1367</v>
      </c>
      <c r="P42" s="141" t="s">
        <v>1385</v>
      </c>
      <c r="Q42" s="142" t="s">
        <v>1381</v>
      </c>
      <c r="R42" s="141" t="s">
        <v>1386</v>
      </c>
      <c r="S42" s="142" t="s">
        <v>365</v>
      </c>
      <c r="T42" s="141" t="s">
        <v>1387</v>
      </c>
      <c r="U42" s="142" t="s">
        <v>365</v>
      </c>
      <c r="V42" s="142" t="s">
        <v>365</v>
      </c>
      <c r="W42" s="141">
        <f t="shared" si="1"/>
        <v>2</v>
      </c>
      <c r="X42" s="143">
        <v>1</v>
      </c>
      <c r="Y42" s="145"/>
      <c r="AA42"/>
    </row>
    <row r="43" spans="1:27" s="115" customFormat="1" ht="13.5" customHeight="1">
      <c r="A43" s="139">
        <v>39</v>
      </c>
      <c r="B43" s="140" t="s">
        <v>4566</v>
      </c>
      <c r="C43" s="141" t="s">
        <v>1366</v>
      </c>
      <c r="D43" s="142" t="s">
        <v>1367</v>
      </c>
      <c r="E43" s="141" t="s">
        <v>1380</v>
      </c>
      <c r="F43" s="142" t="s">
        <v>1381</v>
      </c>
      <c r="G43" s="141" t="s">
        <v>1382</v>
      </c>
      <c r="H43" s="142" t="s">
        <v>366</v>
      </c>
      <c r="I43" s="141" t="s">
        <v>1383</v>
      </c>
      <c r="J43" s="142" t="s">
        <v>366</v>
      </c>
      <c r="K43" s="142" t="s">
        <v>366</v>
      </c>
      <c r="L43" s="143">
        <f t="shared" si="0"/>
        <v>1</v>
      </c>
      <c r="M43" s="144" t="s">
        <v>1388</v>
      </c>
      <c r="N43" s="141" t="s">
        <v>1366</v>
      </c>
      <c r="O43" s="142" t="s">
        <v>1367</v>
      </c>
      <c r="P43" s="141" t="s">
        <v>1385</v>
      </c>
      <c r="Q43" s="142" t="s">
        <v>1381</v>
      </c>
      <c r="R43" s="141" t="s">
        <v>1389</v>
      </c>
      <c r="S43" s="142" t="s">
        <v>366</v>
      </c>
      <c r="T43" s="141" t="s">
        <v>1390</v>
      </c>
      <c r="U43" s="142" t="s">
        <v>366</v>
      </c>
      <c r="V43" s="142" t="s">
        <v>366</v>
      </c>
      <c r="W43" s="141">
        <f t="shared" si="1"/>
        <v>4</v>
      </c>
      <c r="X43" s="143"/>
      <c r="Y43" s="145" t="s">
        <v>1391</v>
      </c>
      <c r="AA43"/>
    </row>
    <row r="44" spans="1:27" s="115" customFormat="1" ht="13.5" customHeight="1">
      <c r="A44" s="139">
        <v>40</v>
      </c>
      <c r="B44" s="140" t="s">
        <v>4567</v>
      </c>
      <c r="C44" s="141" t="s">
        <v>1366</v>
      </c>
      <c r="D44" s="142" t="s">
        <v>1367</v>
      </c>
      <c r="E44" s="141" t="s">
        <v>1380</v>
      </c>
      <c r="F44" s="142" t="s">
        <v>1381</v>
      </c>
      <c r="G44" s="141" t="s">
        <v>1392</v>
      </c>
      <c r="H44" s="142" t="s">
        <v>366</v>
      </c>
      <c r="I44" s="141" t="s">
        <v>1393</v>
      </c>
      <c r="J44" s="142" t="s">
        <v>366</v>
      </c>
      <c r="K44" s="142" t="s">
        <v>366</v>
      </c>
      <c r="L44" s="143">
        <f t="shared" si="0"/>
        <v>1</v>
      </c>
      <c r="M44" s="144" t="s">
        <v>1388</v>
      </c>
      <c r="N44" s="141" t="s">
        <v>1366</v>
      </c>
      <c r="O44" s="142" t="s">
        <v>1367</v>
      </c>
      <c r="P44" s="141" t="s">
        <v>1385</v>
      </c>
      <c r="Q44" s="142" t="s">
        <v>1381</v>
      </c>
      <c r="R44" s="141" t="s">
        <v>1389</v>
      </c>
      <c r="S44" s="142" t="s">
        <v>366</v>
      </c>
      <c r="T44" s="141" t="s">
        <v>1390</v>
      </c>
      <c r="U44" s="142" t="s">
        <v>366</v>
      </c>
      <c r="V44" s="142" t="s">
        <v>366</v>
      </c>
      <c r="W44" s="141">
        <f t="shared" si="1"/>
        <v>4</v>
      </c>
      <c r="X44" s="143"/>
      <c r="Y44" s="145" t="s">
        <v>1394</v>
      </c>
      <c r="AA44"/>
    </row>
    <row r="45" spans="1:27" s="115" customFormat="1" ht="13.5" customHeight="1">
      <c r="A45" s="139">
        <v>41</v>
      </c>
      <c r="B45" s="140" t="s">
        <v>4568</v>
      </c>
      <c r="C45" s="141" t="s">
        <v>1366</v>
      </c>
      <c r="D45" s="142" t="s">
        <v>1367</v>
      </c>
      <c r="E45" s="141" t="s">
        <v>1380</v>
      </c>
      <c r="F45" s="142" t="s">
        <v>1381</v>
      </c>
      <c r="G45" s="141" t="s">
        <v>1392</v>
      </c>
      <c r="H45" s="142" t="s">
        <v>366</v>
      </c>
      <c r="I45" s="141" t="s">
        <v>1393</v>
      </c>
      <c r="J45" s="142" t="s">
        <v>366</v>
      </c>
      <c r="K45" s="142" t="s">
        <v>366</v>
      </c>
      <c r="L45" s="143">
        <f t="shared" si="0"/>
        <v>1</v>
      </c>
      <c r="M45" s="144" t="s">
        <v>1388</v>
      </c>
      <c r="N45" s="141" t="s">
        <v>1366</v>
      </c>
      <c r="O45" s="142" t="s">
        <v>1367</v>
      </c>
      <c r="P45" s="141" t="s">
        <v>1385</v>
      </c>
      <c r="Q45" s="142" t="s">
        <v>1381</v>
      </c>
      <c r="R45" s="141" t="s">
        <v>1389</v>
      </c>
      <c r="S45" s="142" t="s">
        <v>366</v>
      </c>
      <c r="T45" s="141" t="s">
        <v>1390</v>
      </c>
      <c r="U45" s="142" t="s">
        <v>366</v>
      </c>
      <c r="V45" s="142" t="s">
        <v>366</v>
      </c>
      <c r="W45" s="141">
        <f t="shared" si="1"/>
        <v>4</v>
      </c>
      <c r="X45" s="143">
        <v>1</v>
      </c>
      <c r="Y45" s="145" t="s">
        <v>1395</v>
      </c>
      <c r="AA45"/>
    </row>
    <row r="46" spans="1:27" s="115" customFormat="1" ht="27" customHeight="1">
      <c r="A46" s="139">
        <v>42</v>
      </c>
      <c r="B46" s="140" t="s">
        <v>4569</v>
      </c>
      <c r="C46" s="141" t="s">
        <v>1366</v>
      </c>
      <c r="D46" s="142" t="s">
        <v>1367</v>
      </c>
      <c r="E46" s="141" t="s">
        <v>1396</v>
      </c>
      <c r="F46" s="142" t="s">
        <v>1373</v>
      </c>
      <c r="G46" s="141" t="s">
        <v>1397</v>
      </c>
      <c r="H46" s="142" t="s">
        <v>1398</v>
      </c>
      <c r="I46" s="141" t="s">
        <v>1399</v>
      </c>
      <c r="J46" s="142" t="s">
        <v>1400</v>
      </c>
      <c r="K46" s="142" t="s">
        <v>367</v>
      </c>
      <c r="L46" s="143">
        <f t="shared" si="0"/>
        <v>1</v>
      </c>
      <c r="M46" s="144" t="s">
        <v>1401</v>
      </c>
      <c r="N46" s="141" t="s">
        <v>1366</v>
      </c>
      <c r="O46" s="142" t="s">
        <v>1367</v>
      </c>
      <c r="P46" s="141" t="s">
        <v>1376</v>
      </c>
      <c r="Q46" s="142" t="s">
        <v>1373</v>
      </c>
      <c r="R46" s="141" t="s">
        <v>1402</v>
      </c>
      <c r="S46" s="142" t="s">
        <v>1398</v>
      </c>
      <c r="T46" s="141" t="s">
        <v>1403</v>
      </c>
      <c r="U46" s="142" t="s">
        <v>1400</v>
      </c>
      <c r="V46" s="142" t="s">
        <v>367</v>
      </c>
      <c r="W46" s="141">
        <f t="shared" si="1"/>
        <v>3</v>
      </c>
      <c r="X46" s="143">
        <v>2</v>
      </c>
      <c r="Y46" s="145" t="s">
        <v>1404</v>
      </c>
      <c r="AA46"/>
    </row>
    <row r="47" spans="1:27" s="115" customFormat="1" ht="27" customHeight="1">
      <c r="A47" s="139">
        <v>43</v>
      </c>
      <c r="B47" s="140" t="s">
        <v>4570</v>
      </c>
      <c r="C47" s="141" t="s">
        <v>1366</v>
      </c>
      <c r="D47" s="142" t="s">
        <v>1367</v>
      </c>
      <c r="E47" s="141" t="s">
        <v>1396</v>
      </c>
      <c r="F47" s="142" t="s">
        <v>1373</v>
      </c>
      <c r="G47" s="141" t="s">
        <v>1397</v>
      </c>
      <c r="H47" s="142" t="s">
        <v>1398</v>
      </c>
      <c r="I47" s="141" t="s">
        <v>1399</v>
      </c>
      <c r="J47" s="142" t="s">
        <v>368</v>
      </c>
      <c r="K47" s="142" t="s">
        <v>368</v>
      </c>
      <c r="L47" s="143">
        <f t="shared" si="0"/>
        <v>1</v>
      </c>
      <c r="M47" s="144" t="s">
        <v>1405</v>
      </c>
      <c r="N47" s="141" t="s">
        <v>1366</v>
      </c>
      <c r="O47" s="142" t="s">
        <v>1367</v>
      </c>
      <c r="P47" s="141" t="s">
        <v>1376</v>
      </c>
      <c r="Q47" s="142" t="s">
        <v>1373</v>
      </c>
      <c r="R47" s="141" t="s">
        <v>1402</v>
      </c>
      <c r="S47" s="142" t="s">
        <v>1398</v>
      </c>
      <c r="T47" s="141" t="s">
        <v>1406</v>
      </c>
      <c r="U47" s="142" t="s">
        <v>368</v>
      </c>
      <c r="V47" s="142" t="s">
        <v>368</v>
      </c>
      <c r="W47" s="141">
        <f t="shared" si="1"/>
        <v>2</v>
      </c>
      <c r="X47" s="143">
        <v>1</v>
      </c>
      <c r="Y47" s="145"/>
      <c r="AA47"/>
    </row>
    <row r="48" spans="1:27" s="115" customFormat="1" ht="27" customHeight="1">
      <c r="A48" s="139">
        <v>44</v>
      </c>
      <c r="B48" s="140" t="s">
        <v>4571</v>
      </c>
      <c r="C48" s="141" t="s">
        <v>1366</v>
      </c>
      <c r="D48" s="142" t="s">
        <v>1367</v>
      </c>
      <c r="E48" s="141" t="s">
        <v>1396</v>
      </c>
      <c r="F48" s="142" t="s">
        <v>1373</v>
      </c>
      <c r="G48" s="141" t="s">
        <v>1397</v>
      </c>
      <c r="H48" s="142" t="s">
        <v>1398</v>
      </c>
      <c r="I48" s="141" t="s">
        <v>1399</v>
      </c>
      <c r="J48" s="142" t="s">
        <v>1400</v>
      </c>
      <c r="K48" s="142" t="s">
        <v>367</v>
      </c>
      <c r="L48" s="143">
        <f t="shared" si="0"/>
        <v>1</v>
      </c>
      <c r="M48" s="144" t="s">
        <v>1401</v>
      </c>
      <c r="N48" s="141" t="s">
        <v>1366</v>
      </c>
      <c r="O48" s="142" t="s">
        <v>1367</v>
      </c>
      <c r="P48" s="141" t="s">
        <v>1376</v>
      </c>
      <c r="Q48" s="142" t="s">
        <v>1373</v>
      </c>
      <c r="R48" s="141" t="s">
        <v>1402</v>
      </c>
      <c r="S48" s="142" t="s">
        <v>1398</v>
      </c>
      <c r="T48" s="141" t="s">
        <v>1403</v>
      </c>
      <c r="U48" s="142" t="s">
        <v>1400</v>
      </c>
      <c r="V48" s="142" t="s">
        <v>367</v>
      </c>
      <c r="W48" s="141">
        <f t="shared" si="1"/>
        <v>3</v>
      </c>
      <c r="X48" s="143">
        <v>2</v>
      </c>
      <c r="Y48" s="145" t="s">
        <v>1407</v>
      </c>
      <c r="AA48"/>
    </row>
    <row r="49" spans="1:27" s="115" customFormat="1" ht="27" customHeight="1">
      <c r="A49" s="139">
        <v>45</v>
      </c>
      <c r="B49" s="140" t="s">
        <v>6049</v>
      </c>
      <c r="C49" s="141" t="s">
        <v>1366</v>
      </c>
      <c r="D49" s="142" t="s">
        <v>1367</v>
      </c>
      <c r="E49" s="141" t="s">
        <v>1396</v>
      </c>
      <c r="F49" s="142" t="s">
        <v>1373</v>
      </c>
      <c r="G49" s="141" t="s">
        <v>1397</v>
      </c>
      <c r="H49" s="142" t="s">
        <v>1398</v>
      </c>
      <c r="I49" s="141" t="s">
        <v>1399</v>
      </c>
      <c r="J49" s="142" t="s">
        <v>1400</v>
      </c>
      <c r="K49" s="142" t="s">
        <v>106</v>
      </c>
      <c r="L49" s="143">
        <f t="shared" si="0"/>
        <v>1</v>
      </c>
      <c r="M49" s="144" t="s">
        <v>1408</v>
      </c>
      <c r="N49" s="141" t="s">
        <v>1366</v>
      </c>
      <c r="O49" s="142" t="s">
        <v>1367</v>
      </c>
      <c r="P49" s="141" t="s">
        <v>1376</v>
      </c>
      <c r="Q49" s="142" t="s">
        <v>1373</v>
      </c>
      <c r="R49" s="141" t="s">
        <v>1402</v>
      </c>
      <c r="S49" s="142" t="s">
        <v>1398</v>
      </c>
      <c r="T49" s="141" t="s">
        <v>1403</v>
      </c>
      <c r="U49" s="142" t="s">
        <v>1400</v>
      </c>
      <c r="V49" s="142" t="s">
        <v>106</v>
      </c>
      <c r="W49" s="141">
        <f t="shared" si="1"/>
        <v>3</v>
      </c>
      <c r="X49" s="143">
        <v>1</v>
      </c>
      <c r="Y49" s="145"/>
      <c r="AA49"/>
    </row>
    <row r="50" spans="1:27" s="115" customFormat="1" ht="27" customHeight="1">
      <c r="A50" s="139">
        <v>46</v>
      </c>
      <c r="B50" s="140" t="s">
        <v>4572</v>
      </c>
      <c r="C50" s="141" t="s">
        <v>1366</v>
      </c>
      <c r="D50" s="142" t="s">
        <v>1367</v>
      </c>
      <c r="E50" s="141" t="s">
        <v>1396</v>
      </c>
      <c r="F50" s="142" t="s">
        <v>1373</v>
      </c>
      <c r="G50" s="141" t="s">
        <v>1397</v>
      </c>
      <c r="H50" s="142" t="s">
        <v>1398</v>
      </c>
      <c r="I50" s="141" t="s">
        <v>1399</v>
      </c>
      <c r="J50" s="142" t="s">
        <v>1400</v>
      </c>
      <c r="K50" s="142" t="s">
        <v>106</v>
      </c>
      <c r="L50" s="143">
        <f t="shared" si="0"/>
        <v>1</v>
      </c>
      <c r="M50" s="144" t="s">
        <v>1408</v>
      </c>
      <c r="N50" s="141" t="s">
        <v>1366</v>
      </c>
      <c r="O50" s="142" t="s">
        <v>1367</v>
      </c>
      <c r="P50" s="141" t="s">
        <v>1376</v>
      </c>
      <c r="Q50" s="142" t="s">
        <v>1373</v>
      </c>
      <c r="R50" s="141" t="s">
        <v>1402</v>
      </c>
      <c r="S50" s="142" t="s">
        <v>1398</v>
      </c>
      <c r="T50" s="141" t="s">
        <v>1403</v>
      </c>
      <c r="U50" s="142" t="s">
        <v>1400</v>
      </c>
      <c r="V50" s="142" t="s">
        <v>106</v>
      </c>
      <c r="W50" s="141">
        <f t="shared" si="1"/>
        <v>3</v>
      </c>
      <c r="X50" s="143"/>
      <c r="Y50" s="145" t="s">
        <v>1409</v>
      </c>
      <c r="AA50"/>
    </row>
    <row r="51" spans="1:27" s="115" customFormat="1" ht="27" customHeight="1">
      <c r="A51" s="139">
        <v>47</v>
      </c>
      <c r="B51" s="140" t="s">
        <v>4573</v>
      </c>
      <c r="C51" s="141" t="s">
        <v>1366</v>
      </c>
      <c r="D51" s="142" t="s">
        <v>1367</v>
      </c>
      <c r="E51" s="141" t="s">
        <v>1396</v>
      </c>
      <c r="F51" s="142" t="s">
        <v>1373</v>
      </c>
      <c r="G51" s="141" t="s">
        <v>1410</v>
      </c>
      <c r="H51" s="142" t="s">
        <v>1374</v>
      </c>
      <c r="I51" s="141" t="s">
        <v>1411</v>
      </c>
      <c r="J51" s="142" t="s">
        <v>364</v>
      </c>
      <c r="K51" s="142" t="s">
        <v>364</v>
      </c>
      <c r="L51" s="143">
        <f t="shared" si="0"/>
        <v>1</v>
      </c>
      <c r="M51" s="144" t="s">
        <v>1375</v>
      </c>
      <c r="N51" s="141" t="s">
        <v>1366</v>
      </c>
      <c r="O51" s="142" t="s">
        <v>1367</v>
      </c>
      <c r="P51" s="141" t="s">
        <v>1376</v>
      </c>
      <c r="Q51" s="142" t="s">
        <v>1373</v>
      </c>
      <c r="R51" s="141" t="s">
        <v>1377</v>
      </c>
      <c r="S51" s="142" t="s">
        <v>1374</v>
      </c>
      <c r="T51" s="141" t="s">
        <v>1378</v>
      </c>
      <c r="U51" s="142" t="s">
        <v>364</v>
      </c>
      <c r="V51" s="142" t="s">
        <v>364</v>
      </c>
      <c r="W51" s="141">
        <f t="shared" si="1"/>
        <v>4</v>
      </c>
      <c r="X51" s="143"/>
      <c r="Y51" s="145" t="s">
        <v>1412</v>
      </c>
      <c r="AA51"/>
    </row>
    <row r="52" spans="1:27" s="115" customFormat="1" ht="27" customHeight="1">
      <c r="A52" s="139">
        <v>48</v>
      </c>
      <c r="B52" s="140" t="s">
        <v>4574</v>
      </c>
      <c r="C52" s="141" t="s">
        <v>1366</v>
      </c>
      <c r="D52" s="142" t="s">
        <v>1367</v>
      </c>
      <c r="E52" s="141" t="s">
        <v>1396</v>
      </c>
      <c r="F52" s="142" t="s">
        <v>1373</v>
      </c>
      <c r="G52" s="141" t="s">
        <v>1410</v>
      </c>
      <c r="H52" s="142" t="s">
        <v>1374</v>
      </c>
      <c r="I52" s="141" t="s">
        <v>1411</v>
      </c>
      <c r="J52" s="142" t="s">
        <v>369</v>
      </c>
      <c r="K52" s="142" t="s">
        <v>369</v>
      </c>
      <c r="L52" s="143">
        <f t="shared" si="0"/>
        <v>1</v>
      </c>
      <c r="M52" s="144" t="s">
        <v>1413</v>
      </c>
      <c r="N52" s="141" t="s">
        <v>1366</v>
      </c>
      <c r="O52" s="142" t="s">
        <v>1367</v>
      </c>
      <c r="P52" s="141" t="s">
        <v>1376</v>
      </c>
      <c r="Q52" s="142" t="s">
        <v>1373</v>
      </c>
      <c r="R52" s="141" t="s">
        <v>1377</v>
      </c>
      <c r="S52" s="142" t="s">
        <v>1374</v>
      </c>
      <c r="T52" s="141" t="s">
        <v>1414</v>
      </c>
      <c r="U52" s="142" t="s">
        <v>369</v>
      </c>
      <c r="V52" s="142" t="s">
        <v>369</v>
      </c>
      <c r="W52" s="141">
        <f t="shared" si="1"/>
        <v>3</v>
      </c>
      <c r="X52" s="143"/>
      <c r="Y52" s="145" t="s">
        <v>1415</v>
      </c>
      <c r="AA52"/>
    </row>
    <row r="53" spans="1:27" s="115" customFormat="1" ht="27" customHeight="1">
      <c r="A53" s="139">
        <v>49</v>
      </c>
      <c r="B53" s="140" t="s">
        <v>4575</v>
      </c>
      <c r="C53" s="141" t="s">
        <v>1366</v>
      </c>
      <c r="D53" s="142" t="s">
        <v>1367</v>
      </c>
      <c r="E53" s="141" t="s">
        <v>1396</v>
      </c>
      <c r="F53" s="142" t="s">
        <v>1373</v>
      </c>
      <c r="G53" s="141" t="s">
        <v>1410</v>
      </c>
      <c r="H53" s="142" t="s">
        <v>1374</v>
      </c>
      <c r="I53" s="141" t="s">
        <v>1411</v>
      </c>
      <c r="J53" s="142" t="s">
        <v>369</v>
      </c>
      <c r="K53" s="142" t="s">
        <v>369</v>
      </c>
      <c r="L53" s="143">
        <f t="shared" si="0"/>
        <v>1</v>
      </c>
      <c r="M53" s="144" t="s">
        <v>1413</v>
      </c>
      <c r="N53" s="141" t="s">
        <v>1366</v>
      </c>
      <c r="O53" s="142" t="s">
        <v>1367</v>
      </c>
      <c r="P53" s="141" t="s">
        <v>1376</v>
      </c>
      <c r="Q53" s="142" t="s">
        <v>1373</v>
      </c>
      <c r="R53" s="141" t="s">
        <v>1377</v>
      </c>
      <c r="S53" s="142" t="s">
        <v>1374</v>
      </c>
      <c r="T53" s="141" t="s">
        <v>1414</v>
      </c>
      <c r="U53" s="142" t="s">
        <v>369</v>
      </c>
      <c r="V53" s="142" t="s">
        <v>369</v>
      </c>
      <c r="W53" s="141">
        <f t="shared" si="1"/>
        <v>3</v>
      </c>
      <c r="X53" s="143">
        <v>1</v>
      </c>
      <c r="Y53" s="145"/>
      <c r="AA53"/>
    </row>
    <row r="54" spans="1:27" s="115" customFormat="1" ht="27" customHeight="1">
      <c r="A54" s="139">
        <v>50</v>
      </c>
      <c r="B54" s="140" t="s">
        <v>4576</v>
      </c>
      <c r="C54" s="141" t="s">
        <v>1366</v>
      </c>
      <c r="D54" s="142" t="s">
        <v>1367</v>
      </c>
      <c r="E54" s="141" t="s">
        <v>1396</v>
      </c>
      <c r="F54" s="142" t="s">
        <v>1373</v>
      </c>
      <c r="G54" s="141" t="s">
        <v>1410</v>
      </c>
      <c r="H54" s="142" t="s">
        <v>1374</v>
      </c>
      <c r="I54" s="141" t="s">
        <v>1416</v>
      </c>
      <c r="J54" s="142" t="s">
        <v>370</v>
      </c>
      <c r="K54" s="142" t="s">
        <v>370</v>
      </c>
      <c r="L54" s="143">
        <f t="shared" si="0"/>
        <v>1</v>
      </c>
      <c r="M54" s="144" t="s">
        <v>1417</v>
      </c>
      <c r="N54" s="141" t="s">
        <v>1366</v>
      </c>
      <c r="O54" s="142" t="s">
        <v>1367</v>
      </c>
      <c r="P54" s="141" t="s">
        <v>1376</v>
      </c>
      <c r="Q54" s="142" t="s">
        <v>1373</v>
      </c>
      <c r="R54" s="141" t="s">
        <v>1377</v>
      </c>
      <c r="S54" s="142" t="s">
        <v>1374</v>
      </c>
      <c r="T54" s="141" t="s">
        <v>1418</v>
      </c>
      <c r="U54" s="142" t="s">
        <v>370</v>
      </c>
      <c r="V54" s="142" t="s">
        <v>370</v>
      </c>
      <c r="W54" s="141">
        <f t="shared" si="1"/>
        <v>1</v>
      </c>
      <c r="X54" s="143"/>
      <c r="Y54" s="145"/>
      <c r="AA54"/>
    </row>
    <row r="55" spans="1:27" s="115" customFormat="1" ht="27" customHeight="1">
      <c r="A55" s="139">
        <v>51</v>
      </c>
      <c r="B55" s="140" t="s">
        <v>4577</v>
      </c>
      <c r="C55" s="141" t="s">
        <v>1366</v>
      </c>
      <c r="D55" s="142" t="s">
        <v>1367</v>
      </c>
      <c r="E55" s="141" t="s">
        <v>1396</v>
      </c>
      <c r="F55" s="142" t="s">
        <v>1373</v>
      </c>
      <c r="G55" s="141" t="s">
        <v>1410</v>
      </c>
      <c r="H55" s="142" t="s">
        <v>1374</v>
      </c>
      <c r="I55" s="141" t="s">
        <v>1419</v>
      </c>
      <c r="J55" s="142" t="s">
        <v>364</v>
      </c>
      <c r="K55" s="142" t="s">
        <v>364</v>
      </c>
      <c r="L55" s="143">
        <f t="shared" si="0"/>
        <v>1</v>
      </c>
      <c r="M55" s="144" t="s">
        <v>1375</v>
      </c>
      <c r="N55" s="141" t="s">
        <v>1366</v>
      </c>
      <c r="O55" s="142" t="s">
        <v>1367</v>
      </c>
      <c r="P55" s="141" t="s">
        <v>1376</v>
      </c>
      <c r="Q55" s="142" t="s">
        <v>1373</v>
      </c>
      <c r="R55" s="141" t="s">
        <v>1377</v>
      </c>
      <c r="S55" s="142" t="s">
        <v>1374</v>
      </c>
      <c r="T55" s="141" t="s">
        <v>1378</v>
      </c>
      <c r="U55" s="142" t="s">
        <v>364</v>
      </c>
      <c r="V55" s="142" t="s">
        <v>364</v>
      </c>
      <c r="W55" s="141">
        <f t="shared" si="1"/>
        <v>4</v>
      </c>
      <c r="X55" s="143">
        <v>1</v>
      </c>
      <c r="Y55" s="145"/>
      <c r="AA55"/>
    </row>
    <row r="56" spans="1:27" s="115" customFormat="1" ht="27" customHeight="1">
      <c r="A56" s="139">
        <v>52</v>
      </c>
      <c r="B56" s="140" t="s">
        <v>4578</v>
      </c>
      <c r="C56" s="141" t="s">
        <v>1366</v>
      </c>
      <c r="D56" s="142" t="s">
        <v>1367</v>
      </c>
      <c r="E56" s="141" t="s">
        <v>1396</v>
      </c>
      <c r="F56" s="142" t="s">
        <v>1369</v>
      </c>
      <c r="G56" s="141" t="s">
        <v>1410</v>
      </c>
      <c r="H56" s="142" t="s">
        <v>371</v>
      </c>
      <c r="I56" s="141" t="s">
        <v>1419</v>
      </c>
      <c r="J56" s="142" t="s">
        <v>371</v>
      </c>
      <c r="K56" s="142" t="s">
        <v>371</v>
      </c>
      <c r="L56" s="143">
        <f t="shared" si="0"/>
        <v>1</v>
      </c>
      <c r="M56" s="144" t="s">
        <v>1420</v>
      </c>
      <c r="N56" s="141" t="s">
        <v>1366</v>
      </c>
      <c r="O56" s="142" t="s">
        <v>1367</v>
      </c>
      <c r="P56" s="141" t="s">
        <v>1340</v>
      </c>
      <c r="Q56" s="142" t="s">
        <v>1369</v>
      </c>
      <c r="R56" s="141" t="s">
        <v>1354</v>
      </c>
      <c r="S56" s="142" t="s">
        <v>371</v>
      </c>
      <c r="T56" s="141" t="s">
        <v>1421</v>
      </c>
      <c r="U56" s="142" t="s">
        <v>371</v>
      </c>
      <c r="V56" s="142" t="s">
        <v>371</v>
      </c>
      <c r="W56" s="141">
        <f t="shared" si="1"/>
        <v>1</v>
      </c>
      <c r="X56" s="143"/>
      <c r="Y56" s="145"/>
      <c r="AA56"/>
    </row>
    <row r="57" spans="1:27" s="115" customFormat="1" ht="13.5" customHeight="1">
      <c r="A57" s="139">
        <v>53</v>
      </c>
      <c r="B57" s="140" t="s">
        <v>4579</v>
      </c>
      <c r="C57" s="141" t="s">
        <v>1366</v>
      </c>
      <c r="D57" s="142" t="s">
        <v>1367</v>
      </c>
      <c r="E57" s="141" t="s">
        <v>1396</v>
      </c>
      <c r="F57" s="142" t="s">
        <v>372</v>
      </c>
      <c r="G57" s="141" t="s">
        <v>1410</v>
      </c>
      <c r="H57" s="142" t="s">
        <v>372</v>
      </c>
      <c r="I57" s="141" t="s">
        <v>1419</v>
      </c>
      <c r="J57" s="142" t="s">
        <v>372</v>
      </c>
      <c r="K57" s="142" t="s">
        <v>372</v>
      </c>
      <c r="L57" s="143">
        <f t="shared" si="0"/>
        <v>1</v>
      </c>
      <c r="M57" s="144" t="s">
        <v>1422</v>
      </c>
      <c r="N57" s="141" t="s">
        <v>1366</v>
      </c>
      <c r="O57" s="142" t="s">
        <v>1367</v>
      </c>
      <c r="P57" s="141" t="s">
        <v>1423</v>
      </c>
      <c r="Q57" s="142" t="s">
        <v>372</v>
      </c>
      <c r="R57" s="141" t="s">
        <v>1424</v>
      </c>
      <c r="S57" s="142" t="s">
        <v>372</v>
      </c>
      <c r="T57" s="141" t="s">
        <v>1425</v>
      </c>
      <c r="U57" s="142" t="s">
        <v>372</v>
      </c>
      <c r="V57" s="142" t="s">
        <v>372</v>
      </c>
      <c r="W57" s="141">
        <f t="shared" si="1"/>
        <v>1</v>
      </c>
      <c r="X57" s="143"/>
      <c r="Y57" s="145"/>
      <c r="AA57"/>
    </row>
    <row r="58" spans="1:27" s="115" customFormat="1" ht="27" customHeight="1">
      <c r="A58" s="139">
        <v>54</v>
      </c>
      <c r="B58" s="140" t="s">
        <v>4580</v>
      </c>
      <c r="C58" s="141" t="s">
        <v>1366</v>
      </c>
      <c r="D58" s="142" t="s">
        <v>1367</v>
      </c>
      <c r="E58" s="141" t="s">
        <v>1396</v>
      </c>
      <c r="F58" s="142" t="s">
        <v>1381</v>
      </c>
      <c r="G58" s="141" t="s">
        <v>1426</v>
      </c>
      <c r="H58" s="142" t="s">
        <v>366</v>
      </c>
      <c r="I58" s="141" t="s">
        <v>1427</v>
      </c>
      <c r="J58" s="142" t="s">
        <v>366</v>
      </c>
      <c r="K58" s="142" t="s">
        <v>373</v>
      </c>
      <c r="L58" s="143">
        <f t="shared" si="0"/>
        <v>1</v>
      </c>
      <c r="M58" s="144" t="s">
        <v>1388</v>
      </c>
      <c r="N58" s="141" t="s">
        <v>1366</v>
      </c>
      <c r="O58" s="142" t="s">
        <v>1367</v>
      </c>
      <c r="P58" s="141" t="s">
        <v>1385</v>
      </c>
      <c r="Q58" s="142" t="s">
        <v>1381</v>
      </c>
      <c r="R58" s="141" t="s">
        <v>1389</v>
      </c>
      <c r="S58" s="142" t="s">
        <v>366</v>
      </c>
      <c r="T58" s="141" t="s">
        <v>1390</v>
      </c>
      <c r="U58" s="142" t="s">
        <v>366</v>
      </c>
      <c r="V58" s="142" t="s">
        <v>366</v>
      </c>
      <c r="W58" s="141">
        <f t="shared" si="1"/>
        <v>4</v>
      </c>
      <c r="X58" s="143"/>
      <c r="Y58" s="145" t="s">
        <v>1428</v>
      </c>
      <c r="AA58"/>
    </row>
    <row r="59" spans="1:27" s="115" customFormat="1" ht="13.5" customHeight="1">
      <c r="A59" s="139">
        <v>55</v>
      </c>
      <c r="B59" s="140" t="s">
        <v>4581</v>
      </c>
      <c r="C59" s="141" t="s">
        <v>1366</v>
      </c>
      <c r="D59" s="142" t="s">
        <v>1367</v>
      </c>
      <c r="E59" s="141" t="s">
        <v>1396</v>
      </c>
      <c r="F59" s="142" t="s">
        <v>1381</v>
      </c>
      <c r="G59" s="141" t="s">
        <v>1426</v>
      </c>
      <c r="H59" s="142" t="s">
        <v>365</v>
      </c>
      <c r="I59" s="141" t="s">
        <v>1427</v>
      </c>
      <c r="J59" s="142" t="s">
        <v>365</v>
      </c>
      <c r="K59" s="142" t="s">
        <v>374</v>
      </c>
      <c r="L59" s="143">
        <f t="shared" si="0"/>
        <v>1</v>
      </c>
      <c r="M59" s="144" t="s">
        <v>1384</v>
      </c>
      <c r="N59" s="141" t="s">
        <v>1366</v>
      </c>
      <c r="O59" s="142" t="s">
        <v>1367</v>
      </c>
      <c r="P59" s="141" t="s">
        <v>1385</v>
      </c>
      <c r="Q59" s="142" t="s">
        <v>1381</v>
      </c>
      <c r="R59" s="141" t="s">
        <v>1386</v>
      </c>
      <c r="S59" s="142" t="s">
        <v>365</v>
      </c>
      <c r="T59" s="141" t="s">
        <v>1387</v>
      </c>
      <c r="U59" s="142" t="s">
        <v>365</v>
      </c>
      <c r="V59" s="142" t="s">
        <v>365</v>
      </c>
      <c r="W59" s="141">
        <f t="shared" si="1"/>
        <v>2</v>
      </c>
      <c r="X59" s="143"/>
      <c r="Y59" s="145" t="s">
        <v>1428</v>
      </c>
      <c r="AA59"/>
    </row>
    <row r="60" spans="1:27" s="115" customFormat="1" ht="13.5" customHeight="1">
      <c r="A60" s="139">
        <v>56</v>
      </c>
      <c r="B60" s="140" t="s">
        <v>4582</v>
      </c>
      <c r="C60" s="141" t="s">
        <v>1366</v>
      </c>
      <c r="D60" s="142" t="s">
        <v>1367</v>
      </c>
      <c r="E60" s="141" t="s">
        <v>1396</v>
      </c>
      <c r="F60" s="142" t="s">
        <v>1369</v>
      </c>
      <c r="G60" s="141" t="s">
        <v>1426</v>
      </c>
      <c r="H60" s="142" t="s">
        <v>363</v>
      </c>
      <c r="I60" s="141" t="s">
        <v>1427</v>
      </c>
      <c r="J60" s="142" t="s">
        <v>363</v>
      </c>
      <c r="K60" s="142" t="s">
        <v>375</v>
      </c>
      <c r="L60" s="143">
        <f t="shared" si="0"/>
        <v>1</v>
      </c>
      <c r="M60" s="144" t="s">
        <v>1371</v>
      </c>
      <c r="N60" s="141" t="s">
        <v>1366</v>
      </c>
      <c r="O60" s="142" t="s">
        <v>1367</v>
      </c>
      <c r="P60" s="141" t="s">
        <v>1340</v>
      </c>
      <c r="Q60" s="142" t="s">
        <v>1369</v>
      </c>
      <c r="R60" s="141" t="s">
        <v>1342</v>
      </c>
      <c r="S60" s="142" t="s">
        <v>363</v>
      </c>
      <c r="T60" s="141" t="s">
        <v>1372</v>
      </c>
      <c r="U60" s="142" t="s">
        <v>363</v>
      </c>
      <c r="V60" s="142" t="s">
        <v>363</v>
      </c>
      <c r="W60" s="141">
        <f t="shared" si="1"/>
        <v>2</v>
      </c>
      <c r="X60" s="143"/>
      <c r="Y60" s="145" t="s">
        <v>1428</v>
      </c>
      <c r="AA60"/>
    </row>
    <row r="61" spans="1:27" s="115" customFormat="1" ht="27" customHeight="1">
      <c r="A61" s="139">
        <v>57</v>
      </c>
      <c r="B61" s="140" t="s">
        <v>4583</v>
      </c>
      <c r="C61" s="141" t="s">
        <v>1366</v>
      </c>
      <c r="D61" s="142" t="s">
        <v>1367</v>
      </c>
      <c r="E61" s="141" t="s">
        <v>1396</v>
      </c>
      <c r="F61" s="142" t="s">
        <v>1373</v>
      </c>
      <c r="G61" s="141" t="s">
        <v>1426</v>
      </c>
      <c r="H61" s="142" t="s">
        <v>1398</v>
      </c>
      <c r="I61" s="141" t="s">
        <v>1427</v>
      </c>
      <c r="J61" s="142" t="s">
        <v>368</v>
      </c>
      <c r="K61" s="142" t="s">
        <v>368</v>
      </c>
      <c r="L61" s="143">
        <f t="shared" si="0"/>
        <v>5</v>
      </c>
      <c r="M61" s="144" t="s">
        <v>1405</v>
      </c>
      <c r="N61" s="141" t="s">
        <v>1366</v>
      </c>
      <c r="O61" s="142" t="s">
        <v>1367</v>
      </c>
      <c r="P61" s="141" t="s">
        <v>1376</v>
      </c>
      <c r="Q61" s="142" t="s">
        <v>1373</v>
      </c>
      <c r="R61" s="141" t="s">
        <v>1402</v>
      </c>
      <c r="S61" s="142" t="s">
        <v>1398</v>
      </c>
      <c r="T61" s="141" t="s">
        <v>1406</v>
      </c>
      <c r="U61" s="142" t="s">
        <v>368</v>
      </c>
      <c r="V61" s="142" t="s">
        <v>368</v>
      </c>
      <c r="W61" s="141">
        <f t="shared" si="1"/>
        <v>2</v>
      </c>
      <c r="X61" s="143"/>
      <c r="Y61" s="145" t="s">
        <v>1428</v>
      </c>
      <c r="AA61"/>
    </row>
    <row r="62" spans="1:27" s="115" customFormat="1" ht="27" customHeight="1">
      <c r="A62" s="139">
        <v>57</v>
      </c>
      <c r="B62" s="140" t="s">
        <v>4583</v>
      </c>
      <c r="C62" s="141" t="s">
        <v>1366</v>
      </c>
      <c r="D62" s="142" t="s">
        <v>1367</v>
      </c>
      <c r="E62" s="141" t="s">
        <v>1396</v>
      </c>
      <c r="F62" s="142" t="s">
        <v>1373</v>
      </c>
      <c r="G62" s="141" t="s">
        <v>1426</v>
      </c>
      <c r="H62" s="142" t="s">
        <v>1398</v>
      </c>
      <c r="I62" s="141" t="s">
        <v>1427</v>
      </c>
      <c r="J62" s="142" t="s">
        <v>1400</v>
      </c>
      <c r="K62" s="142" t="s">
        <v>367</v>
      </c>
      <c r="L62" s="143">
        <f t="shared" si="0"/>
        <v>5</v>
      </c>
      <c r="M62" s="144" t="s">
        <v>1401</v>
      </c>
      <c r="N62" s="141" t="s">
        <v>1366</v>
      </c>
      <c r="O62" s="142" t="s">
        <v>1367</v>
      </c>
      <c r="P62" s="141" t="s">
        <v>1376</v>
      </c>
      <c r="Q62" s="142" t="s">
        <v>1373</v>
      </c>
      <c r="R62" s="141" t="s">
        <v>1402</v>
      </c>
      <c r="S62" s="142" t="s">
        <v>1398</v>
      </c>
      <c r="T62" s="141" t="s">
        <v>1403</v>
      </c>
      <c r="U62" s="142" t="s">
        <v>1400</v>
      </c>
      <c r="V62" s="142" t="s">
        <v>367</v>
      </c>
      <c r="W62" s="141">
        <f t="shared" si="1"/>
        <v>3</v>
      </c>
      <c r="X62" s="143"/>
      <c r="Y62" s="145" t="s">
        <v>1428</v>
      </c>
      <c r="AA62"/>
    </row>
    <row r="63" spans="1:27" s="115" customFormat="1" ht="27" customHeight="1">
      <c r="A63" s="139">
        <v>57</v>
      </c>
      <c r="B63" s="140" t="s">
        <v>4583</v>
      </c>
      <c r="C63" s="141" t="s">
        <v>1366</v>
      </c>
      <c r="D63" s="142" t="s">
        <v>1367</v>
      </c>
      <c r="E63" s="141" t="s">
        <v>1396</v>
      </c>
      <c r="F63" s="142" t="s">
        <v>1373</v>
      </c>
      <c r="G63" s="141" t="s">
        <v>1426</v>
      </c>
      <c r="H63" s="142" t="s">
        <v>1398</v>
      </c>
      <c r="I63" s="141" t="s">
        <v>1427</v>
      </c>
      <c r="J63" s="142" t="s">
        <v>1400</v>
      </c>
      <c r="K63" s="142" t="s">
        <v>106</v>
      </c>
      <c r="L63" s="143">
        <f t="shared" si="0"/>
        <v>5</v>
      </c>
      <c r="M63" s="144" t="s">
        <v>1408</v>
      </c>
      <c r="N63" s="141" t="s">
        <v>1366</v>
      </c>
      <c r="O63" s="142" t="s">
        <v>1367</v>
      </c>
      <c r="P63" s="141" t="s">
        <v>1376</v>
      </c>
      <c r="Q63" s="142" t="s">
        <v>1373</v>
      </c>
      <c r="R63" s="141" t="s">
        <v>1402</v>
      </c>
      <c r="S63" s="142" t="s">
        <v>1398</v>
      </c>
      <c r="T63" s="141" t="s">
        <v>1403</v>
      </c>
      <c r="U63" s="142" t="s">
        <v>1400</v>
      </c>
      <c r="V63" s="142" t="s">
        <v>106</v>
      </c>
      <c r="W63" s="141">
        <f t="shared" si="1"/>
        <v>3</v>
      </c>
      <c r="X63" s="143"/>
      <c r="Y63" s="145" t="s">
        <v>1428</v>
      </c>
      <c r="AA63"/>
    </row>
    <row r="64" spans="1:27" s="115" customFormat="1" ht="27" customHeight="1">
      <c r="A64" s="139">
        <v>57</v>
      </c>
      <c r="B64" s="140" t="s">
        <v>4583</v>
      </c>
      <c r="C64" s="141" t="s">
        <v>1366</v>
      </c>
      <c r="D64" s="142" t="s">
        <v>1367</v>
      </c>
      <c r="E64" s="141" t="s">
        <v>1396</v>
      </c>
      <c r="F64" s="142" t="s">
        <v>1373</v>
      </c>
      <c r="G64" s="141" t="s">
        <v>1426</v>
      </c>
      <c r="H64" s="142" t="s">
        <v>1374</v>
      </c>
      <c r="I64" s="141" t="s">
        <v>1427</v>
      </c>
      <c r="J64" s="142" t="s">
        <v>369</v>
      </c>
      <c r="K64" s="142" t="s">
        <v>369</v>
      </c>
      <c r="L64" s="143">
        <f t="shared" si="0"/>
        <v>5</v>
      </c>
      <c r="M64" s="144" t="s">
        <v>1413</v>
      </c>
      <c r="N64" s="141" t="s">
        <v>1366</v>
      </c>
      <c r="O64" s="142" t="s">
        <v>1367</v>
      </c>
      <c r="P64" s="141" t="s">
        <v>1376</v>
      </c>
      <c r="Q64" s="142" t="s">
        <v>1373</v>
      </c>
      <c r="R64" s="141" t="s">
        <v>1377</v>
      </c>
      <c r="S64" s="142" t="s">
        <v>1374</v>
      </c>
      <c r="T64" s="141" t="s">
        <v>1414</v>
      </c>
      <c r="U64" s="142" t="s">
        <v>369</v>
      </c>
      <c r="V64" s="142" t="s">
        <v>369</v>
      </c>
      <c r="W64" s="141">
        <f t="shared" si="1"/>
        <v>3</v>
      </c>
      <c r="X64" s="143"/>
      <c r="Y64" s="145" t="s">
        <v>1428</v>
      </c>
      <c r="AA64"/>
    </row>
    <row r="65" spans="1:27" s="115" customFormat="1" ht="27" customHeight="1">
      <c r="A65" s="139">
        <v>57</v>
      </c>
      <c r="B65" s="140" t="s">
        <v>4583</v>
      </c>
      <c r="C65" s="141" t="s">
        <v>1366</v>
      </c>
      <c r="D65" s="142" t="s">
        <v>1367</v>
      </c>
      <c r="E65" s="141" t="s">
        <v>1396</v>
      </c>
      <c r="F65" s="142" t="s">
        <v>1373</v>
      </c>
      <c r="G65" s="141" t="s">
        <v>1426</v>
      </c>
      <c r="H65" s="142" t="s">
        <v>1374</v>
      </c>
      <c r="I65" s="141" t="s">
        <v>1427</v>
      </c>
      <c r="J65" s="142" t="s">
        <v>364</v>
      </c>
      <c r="K65" s="142" t="s">
        <v>364</v>
      </c>
      <c r="L65" s="143">
        <f t="shared" si="0"/>
        <v>5</v>
      </c>
      <c r="M65" s="144" t="s">
        <v>1375</v>
      </c>
      <c r="N65" s="141" t="s">
        <v>1366</v>
      </c>
      <c r="O65" s="142" t="s">
        <v>1367</v>
      </c>
      <c r="P65" s="141" t="s">
        <v>1376</v>
      </c>
      <c r="Q65" s="142" t="s">
        <v>1373</v>
      </c>
      <c r="R65" s="141" t="s">
        <v>1377</v>
      </c>
      <c r="S65" s="142" t="s">
        <v>1374</v>
      </c>
      <c r="T65" s="141" t="s">
        <v>1378</v>
      </c>
      <c r="U65" s="142" t="s">
        <v>364</v>
      </c>
      <c r="V65" s="142" t="s">
        <v>364</v>
      </c>
      <c r="W65" s="141">
        <f t="shared" si="1"/>
        <v>4</v>
      </c>
      <c r="X65" s="143"/>
      <c r="Y65" s="145" t="s">
        <v>1428</v>
      </c>
      <c r="AA65"/>
    </row>
    <row r="66" spans="1:27" s="115" customFormat="1" ht="27" customHeight="1">
      <c r="A66" s="139">
        <v>58</v>
      </c>
      <c r="B66" s="140" t="s">
        <v>4585</v>
      </c>
      <c r="C66" s="141" t="s">
        <v>1429</v>
      </c>
      <c r="D66" s="142" t="s">
        <v>1430</v>
      </c>
      <c r="E66" s="141" t="s">
        <v>1431</v>
      </c>
      <c r="F66" s="142" t="s">
        <v>1432</v>
      </c>
      <c r="G66" s="141" t="s">
        <v>1433</v>
      </c>
      <c r="H66" s="142" t="s">
        <v>1434</v>
      </c>
      <c r="I66" s="141" t="s">
        <v>1435</v>
      </c>
      <c r="J66" s="142" t="s">
        <v>107</v>
      </c>
      <c r="K66" s="142" t="s">
        <v>376</v>
      </c>
      <c r="L66" s="143">
        <f t="shared" si="0"/>
        <v>1</v>
      </c>
      <c r="M66" s="144">
        <v>10111</v>
      </c>
      <c r="N66" s="141" t="s">
        <v>1429</v>
      </c>
      <c r="O66" s="142" t="s">
        <v>1430</v>
      </c>
      <c r="P66" s="141" t="s">
        <v>1368</v>
      </c>
      <c r="Q66" s="142" t="s">
        <v>1432</v>
      </c>
      <c r="R66" s="141" t="s">
        <v>333</v>
      </c>
      <c r="S66" s="142" t="s">
        <v>1434</v>
      </c>
      <c r="T66" s="141" t="s">
        <v>1436</v>
      </c>
      <c r="U66" s="142" t="s">
        <v>107</v>
      </c>
      <c r="V66" s="142" t="s">
        <v>376</v>
      </c>
      <c r="W66" s="141">
        <f t="shared" si="1"/>
        <v>2</v>
      </c>
      <c r="X66" s="143">
        <v>1</v>
      </c>
      <c r="Y66" s="145"/>
      <c r="AA66"/>
    </row>
    <row r="67" spans="1:27" s="115" customFormat="1" ht="27" customHeight="1">
      <c r="A67" s="139">
        <v>59</v>
      </c>
      <c r="B67" s="140" t="s">
        <v>4586</v>
      </c>
      <c r="C67" s="141" t="s">
        <v>1429</v>
      </c>
      <c r="D67" s="142" t="s">
        <v>1430</v>
      </c>
      <c r="E67" s="141" t="s">
        <v>1431</v>
      </c>
      <c r="F67" s="142" t="s">
        <v>1432</v>
      </c>
      <c r="G67" s="141" t="s">
        <v>1433</v>
      </c>
      <c r="H67" s="142" t="s">
        <v>1434</v>
      </c>
      <c r="I67" s="141" t="s">
        <v>1435</v>
      </c>
      <c r="J67" s="142" t="s">
        <v>1437</v>
      </c>
      <c r="K67" s="142" t="s">
        <v>377</v>
      </c>
      <c r="L67" s="143">
        <f t="shared" si="0"/>
        <v>1</v>
      </c>
      <c r="M67" s="144">
        <v>10121</v>
      </c>
      <c r="N67" s="141" t="s">
        <v>1429</v>
      </c>
      <c r="O67" s="142" t="s">
        <v>1430</v>
      </c>
      <c r="P67" s="141" t="s">
        <v>1368</v>
      </c>
      <c r="Q67" s="142" t="s">
        <v>1432</v>
      </c>
      <c r="R67" s="141" t="s">
        <v>333</v>
      </c>
      <c r="S67" s="142" t="s">
        <v>1434</v>
      </c>
      <c r="T67" s="141" t="s">
        <v>1438</v>
      </c>
      <c r="U67" s="142" t="s">
        <v>1437</v>
      </c>
      <c r="V67" s="142" t="s">
        <v>377</v>
      </c>
      <c r="W67" s="141">
        <f t="shared" si="1"/>
        <v>2</v>
      </c>
      <c r="X67" s="143">
        <v>1</v>
      </c>
      <c r="Y67" s="145"/>
      <c r="AA67"/>
    </row>
    <row r="68" spans="1:27" s="115" customFormat="1" ht="27" customHeight="1">
      <c r="A68" s="139">
        <v>60</v>
      </c>
      <c r="B68" s="140" t="s">
        <v>4587</v>
      </c>
      <c r="C68" s="141" t="s">
        <v>1429</v>
      </c>
      <c r="D68" s="142" t="s">
        <v>1430</v>
      </c>
      <c r="E68" s="141" t="s">
        <v>1431</v>
      </c>
      <c r="F68" s="142" t="s">
        <v>1432</v>
      </c>
      <c r="G68" s="141" t="s">
        <v>1433</v>
      </c>
      <c r="H68" s="142" t="s">
        <v>1434</v>
      </c>
      <c r="I68" s="141" t="s">
        <v>1435</v>
      </c>
      <c r="J68" s="142" t="s">
        <v>107</v>
      </c>
      <c r="K68" s="142" t="s">
        <v>378</v>
      </c>
      <c r="L68" s="143">
        <f t="shared" si="0"/>
        <v>1</v>
      </c>
      <c r="M68" s="144">
        <v>10112</v>
      </c>
      <c r="N68" s="141" t="s">
        <v>1429</v>
      </c>
      <c r="O68" s="142" t="s">
        <v>1430</v>
      </c>
      <c r="P68" s="141" t="s">
        <v>1368</v>
      </c>
      <c r="Q68" s="142" t="s">
        <v>1432</v>
      </c>
      <c r="R68" s="141" t="s">
        <v>333</v>
      </c>
      <c r="S68" s="142" t="s">
        <v>1434</v>
      </c>
      <c r="T68" s="141" t="s">
        <v>1436</v>
      </c>
      <c r="U68" s="142" t="s">
        <v>107</v>
      </c>
      <c r="V68" s="142" t="s">
        <v>378</v>
      </c>
      <c r="W68" s="141">
        <f t="shared" si="1"/>
        <v>2</v>
      </c>
      <c r="X68" s="143">
        <v>1</v>
      </c>
      <c r="Y68" s="145"/>
      <c r="AA68"/>
    </row>
    <row r="69" spans="1:27" s="115" customFormat="1" ht="27" customHeight="1">
      <c r="A69" s="139">
        <v>61</v>
      </c>
      <c r="B69" s="140" t="s">
        <v>4588</v>
      </c>
      <c r="C69" s="141" t="s">
        <v>1429</v>
      </c>
      <c r="D69" s="142" t="s">
        <v>1430</v>
      </c>
      <c r="E69" s="141" t="s">
        <v>1431</v>
      </c>
      <c r="F69" s="142" t="s">
        <v>1432</v>
      </c>
      <c r="G69" s="141" t="s">
        <v>1433</v>
      </c>
      <c r="H69" s="142" t="s">
        <v>1434</v>
      </c>
      <c r="I69" s="141" t="s">
        <v>1435</v>
      </c>
      <c r="J69" s="142" t="s">
        <v>1437</v>
      </c>
      <c r="K69" s="142" t="s">
        <v>379</v>
      </c>
      <c r="L69" s="143">
        <f t="shared" ref="L69:L132" si="2">COUNTIF($B$5:$B$1752,B69)</f>
        <v>1</v>
      </c>
      <c r="M69" s="144">
        <v>10122</v>
      </c>
      <c r="N69" s="146" t="s">
        <v>1429</v>
      </c>
      <c r="O69" s="147" t="s">
        <v>1430</v>
      </c>
      <c r="P69" s="146" t="s">
        <v>1368</v>
      </c>
      <c r="Q69" s="147" t="s">
        <v>1432</v>
      </c>
      <c r="R69" s="146" t="s">
        <v>333</v>
      </c>
      <c r="S69" s="147" t="s">
        <v>1434</v>
      </c>
      <c r="T69" s="146" t="s">
        <v>1438</v>
      </c>
      <c r="U69" s="147" t="s">
        <v>1437</v>
      </c>
      <c r="V69" s="147" t="s">
        <v>379</v>
      </c>
      <c r="W69" s="141">
        <f t="shared" ref="W69:W132" si="3">COUNTIF($M$5:$M$1756,M69)</f>
        <v>2</v>
      </c>
      <c r="X69" s="143">
        <v>1</v>
      </c>
      <c r="Y69" s="145"/>
      <c r="AA69"/>
    </row>
    <row r="70" spans="1:27" s="115" customFormat="1" ht="27" customHeight="1">
      <c r="A70" s="139">
        <v>62</v>
      </c>
      <c r="B70" s="140" t="s">
        <v>4589</v>
      </c>
      <c r="C70" s="141" t="s">
        <v>1429</v>
      </c>
      <c r="D70" s="142" t="s">
        <v>1430</v>
      </c>
      <c r="E70" s="141" t="s">
        <v>1431</v>
      </c>
      <c r="F70" s="142" t="s">
        <v>1432</v>
      </c>
      <c r="G70" s="141" t="s">
        <v>1433</v>
      </c>
      <c r="H70" s="142" t="s">
        <v>1434</v>
      </c>
      <c r="I70" s="141" t="s">
        <v>1435</v>
      </c>
      <c r="J70" s="142" t="s">
        <v>1437</v>
      </c>
      <c r="K70" s="142" t="s">
        <v>380</v>
      </c>
      <c r="L70" s="143">
        <f t="shared" si="2"/>
        <v>1</v>
      </c>
      <c r="M70" s="144">
        <v>10129</v>
      </c>
      <c r="N70" s="141" t="s">
        <v>1429</v>
      </c>
      <c r="O70" s="142" t="s">
        <v>1430</v>
      </c>
      <c r="P70" s="141" t="s">
        <v>1368</v>
      </c>
      <c r="Q70" s="142" t="s">
        <v>1432</v>
      </c>
      <c r="R70" s="141" t="s">
        <v>333</v>
      </c>
      <c r="S70" s="142" t="s">
        <v>1434</v>
      </c>
      <c r="T70" s="141" t="s">
        <v>1438</v>
      </c>
      <c r="U70" s="142" t="s">
        <v>1437</v>
      </c>
      <c r="V70" s="142" t="s">
        <v>380</v>
      </c>
      <c r="W70" s="141">
        <f t="shared" si="3"/>
        <v>1</v>
      </c>
      <c r="X70" s="143"/>
      <c r="Y70" s="145"/>
      <c r="AA70"/>
    </row>
    <row r="71" spans="1:27" s="115" customFormat="1" ht="27" customHeight="1">
      <c r="A71" s="139">
        <v>63</v>
      </c>
      <c r="B71" s="140" t="s">
        <v>4590</v>
      </c>
      <c r="C71" s="141" t="s">
        <v>1429</v>
      </c>
      <c r="D71" s="142" t="s">
        <v>1430</v>
      </c>
      <c r="E71" s="141" t="s">
        <v>1431</v>
      </c>
      <c r="F71" s="142" t="s">
        <v>1432</v>
      </c>
      <c r="G71" s="141" t="s">
        <v>1433</v>
      </c>
      <c r="H71" s="142" t="s">
        <v>1439</v>
      </c>
      <c r="I71" s="141" t="s">
        <v>1440</v>
      </c>
      <c r="J71" s="142" t="s">
        <v>1441</v>
      </c>
      <c r="K71" s="142" t="s">
        <v>381</v>
      </c>
      <c r="L71" s="143">
        <f t="shared" si="2"/>
        <v>1</v>
      </c>
      <c r="M71" s="144">
        <v>10212</v>
      </c>
      <c r="N71" s="141" t="s">
        <v>1429</v>
      </c>
      <c r="O71" s="142" t="s">
        <v>1430</v>
      </c>
      <c r="P71" s="141" t="s">
        <v>1368</v>
      </c>
      <c r="Q71" s="142" t="s">
        <v>1432</v>
      </c>
      <c r="R71" s="141" t="s">
        <v>1442</v>
      </c>
      <c r="S71" s="142" t="s">
        <v>1439</v>
      </c>
      <c r="T71" s="141" t="s">
        <v>1443</v>
      </c>
      <c r="U71" s="142" t="s">
        <v>1441</v>
      </c>
      <c r="V71" s="142" t="s">
        <v>381</v>
      </c>
      <c r="W71" s="141">
        <f t="shared" si="3"/>
        <v>2</v>
      </c>
      <c r="X71" s="143">
        <v>1</v>
      </c>
      <c r="Y71" s="145"/>
      <c r="AA71"/>
    </row>
    <row r="72" spans="1:27" s="115" customFormat="1" ht="27" customHeight="1">
      <c r="A72" s="139">
        <v>64</v>
      </c>
      <c r="B72" s="140" t="s">
        <v>4591</v>
      </c>
      <c r="C72" s="141" t="s">
        <v>1429</v>
      </c>
      <c r="D72" s="142" t="s">
        <v>1430</v>
      </c>
      <c r="E72" s="141" t="s">
        <v>1431</v>
      </c>
      <c r="F72" s="142" t="s">
        <v>1432</v>
      </c>
      <c r="G72" s="141" t="s">
        <v>1433</v>
      </c>
      <c r="H72" s="142" t="s">
        <v>1439</v>
      </c>
      <c r="I72" s="141" t="s">
        <v>1440</v>
      </c>
      <c r="J72" s="142" t="s">
        <v>1441</v>
      </c>
      <c r="K72" s="142" t="s">
        <v>382</v>
      </c>
      <c r="L72" s="143">
        <f t="shared" si="2"/>
        <v>1</v>
      </c>
      <c r="M72" s="144">
        <v>10211</v>
      </c>
      <c r="N72" s="141" t="s">
        <v>1429</v>
      </c>
      <c r="O72" s="142" t="s">
        <v>1430</v>
      </c>
      <c r="P72" s="141" t="s">
        <v>1368</v>
      </c>
      <c r="Q72" s="142" t="s">
        <v>1432</v>
      </c>
      <c r="R72" s="141" t="s">
        <v>1442</v>
      </c>
      <c r="S72" s="142" t="s">
        <v>1439</v>
      </c>
      <c r="T72" s="141" t="s">
        <v>1443</v>
      </c>
      <c r="U72" s="142" t="s">
        <v>1441</v>
      </c>
      <c r="V72" s="142" t="s">
        <v>382</v>
      </c>
      <c r="W72" s="141">
        <f t="shared" si="3"/>
        <v>1</v>
      </c>
      <c r="X72" s="143"/>
      <c r="Y72" s="145"/>
      <c r="AA72"/>
    </row>
    <row r="73" spans="1:27" s="115" customFormat="1" ht="27" customHeight="1">
      <c r="A73" s="139">
        <v>65</v>
      </c>
      <c r="B73" s="140" t="s">
        <v>4592</v>
      </c>
      <c r="C73" s="141" t="s">
        <v>1429</v>
      </c>
      <c r="D73" s="142" t="s">
        <v>1430</v>
      </c>
      <c r="E73" s="141" t="s">
        <v>1431</v>
      </c>
      <c r="F73" s="142" t="s">
        <v>1432</v>
      </c>
      <c r="G73" s="141" t="s">
        <v>1433</v>
      </c>
      <c r="H73" s="142" t="s">
        <v>1439</v>
      </c>
      <c r="I73" s="141" t="s">
        <v>1440</v>
      </c>
      <c r="J73" s="142" t="s">
        <v>1441</v>
      </c>
      <c r="K73" s="142" t="s">
        <v>383</v>
      </c>
      <c r="L73" s="143">
        <f t="shared" si="2"/>
        <v>1</v>
      </c>
      <c r="M73" s="144">
        <v>10213</v>
      </c>
      <c r="N73" s="141" t="s">
        <v>1429</v>
      </c>
      <c r="O73" s="142" t="s">
        <v>1430</v>
      </c>
      <c r="P73" s="141" t="s">
        <v>1368</v>
      </c>
      <c r="Q73" s="142" t="s">
        <v>1432</v>
      </c>
      <c r="R73" s="141" t="s">
        <v>1442</v>
      </c>
      <c r="S73" s="142" t="s">
        <v>1439</v>
      </c>
      <c r="T73" s="141" t="s">
        <v>1443</v>
      </c>
      <c r="U73" s="142" t="s">
        <v>1441</v>
      </c>
      <c r="V73" s="142" t="s">
        <v>383</v>
      </c>
      <c r="W73" s="141">
        <f t="shared" si="3"/>
        <v>2</v>
      </c>
      <c r="X73" s="143">
        <v>1</v>
      </c>
      <c r="Y73" s="145"/>
      <c r="AA73"/>
    </row>
    <row r="74" spans="1:27" s="115" customFormat="1" ht="27" customHeight="1">
      <c r="A74" s="139">
        <v>66</v>
      </c>
      <c r="B74" s="140" t="s">
        <v>4593</v>
      </c>
      <c r="C74" s="141" t="s">
        <v>1429</v>
      </c>
      <c r="D74" s="142" t="s">
        <v>1430</v>
      </c>
      <c r="E74" s="141" t="s">
        <v>1431</v>
      </c>
      <c r="F74" s="142" t="s">
        <v>1432</v>
      </c>
      <c r="G74" s="141" t="s">
        <v>1433</v>
      </c>
      <c r="H74" s="142" t="s">
        <v>1439</v>
      </c>
      <c r="I74" s="141" t="s">
        <v>1440</v>
      </c>
      <c r="J74" s="142" t="s">
        <v>1441</v>
      </c>
      <c r="K74" s="142" t="s">
        <v>384</v>
      </c>
      <c r="L74" s="143">
        <f t="shared" si="2"/>
        <v>1</v>
      </c>
      <c r="M74" s="144">
        <v>10219</v>
      </c>
      <c r="N74" s="141" t="s">
        <v>1429</v>
      </c>
      <c r="O74" s="142" t="s">
        <v>1430</v>
      </c>
      <c r="P74" s="141" t="s">
        <v>1368</v>
      </c>
      <c r="Q74" s="142" t="s">
        <v>1432</v>
      </c>
      <c r="R74" s="141" t="s">
        <v>1442</v>
      </c>
      <c r="S74" s="142" t="s">
        <v>1439</v>
      </c>
      <c r="T74" s="141" t="s">
        <v>1443</v>
      </c>
      <c r="U74" s="142" t="s">
        <v>1441</v>
      </c>
      <c r="V74" s="142" t="s">
        <v>384</v>
      </c>
      <c r="W74" s="141">
        <f t="shared" si="3"/>
        <v>1</v>
      </c>
      <c r="X74" s="143"/>
      <c r="Y74" s="145"/>
      <c r="AA74"/>
    </row>
    <row r="75" spans="1:27" s="115" customFormat="1" ht="27" customHeight="1">
      <c r="A75" s="139">
        <v>67</v>
      </c>
      <c r="B75" s="140" t="s">
        <v>4594</v>
      </c>
      <c r="C75" s="141" t="s">
        <v>1429</v>
      </c>
      <c r="D75" s="142" t="s">
        <v>1430</v>
      </c>
      <c r="E75" s="141" t="s">
        <v>1431</v>
      </c>
      <c r="F75" s="142" t="s">
        <v>1432</v>
      </c>
      <c r="G75" s="141" t="s">
        <v>1433</v>
      </c>
      <c r="H75" s="142" t="s">
        <v>1444</v>
      </c>
      <c r="I75" s="141" t="s">
        <v>1445</v>
      </c>
      <c r="J75" s="142" t="s">
        <v>1444</v>
      </c>
      <c r="K75" s="142" t="s">
        <v>385</v>
      </c>
      <c r="L75" s="143">
        <f t="shared" si="2"/>
        <v>1</v>
      </c>
      <c r="M75" s="144">
        <v>10301</v>
      </c>
      <c r="N75" s="141" t="s">
        <v>1429</v>
      </c>
      <c r="O75" s="142" t="s">
        <v>1430</v>
      </c>
      <c r="P75" s="141" t="s">
        <v>1368</v>
      </c>
      <c r="Q75" s="142" t="s">
        <v>1432</v>
      </c>
      <c r="R75" s="141" t="s">
        <v>1446</v>
      </c>
      <c r="S75" s="142" t="s">
        <v>1444</v>
      </c>
      <c r="T75" s="141" t="s">
        <v>1447</v>
      </c>
      <c r="U75" s="142" t="s">
        <v>1444</v>
      </c>
      <c r="V75" s="142" t="s">
        <v>385</v>
      </c>
      <c r="W75" s="141">
        <f t="shared" si="3"/>
        <v>1</v>
      </c>
      <c r="X75" s="143"/>
      <c r="Y75" s="145"/>
      <c r="AA75"/>
    </row>
    <row r="76" spans="1:27" s="115" customFormat="1" ht="27" customHeight="1">
      <c r="A76" s="139">
        <v>68</v>
      </c>
      <c r="B76" s="140" t="s">
        <v>4595</v>
      </c>
      <c r="C76" s="141" t="s">
        <v>1429</v>
      </c>
      <c r="D76" s="142" t="s">
        <v>1430</v>
      </c>
      <c r="E76" s="141" t="s">
        <v>1431</v>
      </c>
      <c r="F76" s="142" t="s">
        <v>1432</v>
      </c>
      <c r="G76" s="141" t="s">
        <v>1433</v>
      </c>
      <c r="H76" s="142" t="s">
        <v>1444</v>
      </c>
      <c r="I76" s="141" t="s">
        <v>1445</v>
      </c>
      <c r="J76" s="142" t="s">
        <v>1444</v>
      </c>
      <c r="K76" s="142" t="s">
        <v>386</v>
      </c>
      <c r="L76" s="143">
        <f t="shared" si="2"/>
        <v>1</v>
      </c>
      <c r="M76" s="144">
        <v>10309</v>
      </c>
      <c r="N76" s="141" t="s">
        <v>1429</v>
      </c>
      <c r="O76" s="142" t="s">
        <v>1430</v>
      </c>
      <c r="P76" s="141" t="s">
        <v>1368</v>
      </c>
      <c r="Q76" s="142" t="s">
        <v>1432</v>
      </c>
      <c r="R76" s="141" t="s">
        <v>1446</v>
      </c>
      <c r="S76" s="142" t="s">
        <v>1444</v>
      </c>
      <c r="T76" s="141" t="s">
        <v>1447</v>
      </c>
      <c r="U76" s="142" t="s">
        <v>1444</v>
      </c>
      <c r="V76" s="142" t="s">
        <v>386</v>
      </c>
      <c r="W76" s="141">
        <f t="shared" si="3"/>
        <v>3</v>
      </c>
      <c r="X76" s="143">
        <v>1</v>
      </c>
      <c r="Y76" s="145"/>
      <c r="AA76"/>
    </row>
    <row r="77" spans="1:27" s="115" customFormat="1" ht="27" customHeight="1">
      <c r="A77" s="139">
        <v>69</v>
      </c>
      <c r="B77" s="140" t="s">
        <v>4596</v>
      </c>
      <c r="C77" s="141" t="s">
        <v>1429</v>
      </c>
      <c r="D77" s="142" t="s">
        <v>1430</v>
      </c>
      <c r="E77" s="141" t="s">
        <v>1431</v>
      </c>
      <c r="F77" s="142" t="s">
        <v>1432</v>
      </c>
      <c r="G77" s="141" t="s">
        <v>1433</v>
      </c>
      <c r="H77" s="142" t="s">
        <v>1444</v>
      </c>
      <c r="I77" s="141" t="s">
        <v>1445</v>
      </c>
      <c r="J77" s="142" t="s">
        <v>1444</v>
      </c>
      <c r="K77" s="142" t="s">
        <v>387</v>
      </c>
      <c r="L77" s="143">
        <f t="shared" si="2"/>
        <v>1</v>
      </c>
      <c r="M77" s="144">
        <v>10302</v>
      </c>
      <c r="N77" s="141" t="s">
        <v>1429</v>
      </c>
      <c r="O77" s="142" t="s">
        <v>1430</v>
      </c>
      <c r="P77" s="141" t="s">
        <v>1368</v>
      </c>
      <c r="Q77" s="142" t="s">
        <v>1432</v>
      </c>
      <c r="R77" s="141" t="s">
        <v>1446</v>
      </c>
      <c r="S77" s="142" t="s">
        <v>1444</v>
      </c>
      <c r="T77" s="141" t="s">
        <v>1447</v>
      </c>
      <c r="U77" s="142" t="s">
        <v>1444</v>
      </c>
      <c r="V77" s="142" t="s">
        <v>387</v>
      </c>
      <c r="W77" s="141">
        <f t="shared" si="3"/>
        <v>1</v>
      </c>
      <c r="X77" s="143"/>
      <c r="Y77" s="145"/>
      <c r="AA77"/>
    </row>
    <row r="78" spans="1:27" s="115" customFormat="1" ht="27" customHeight="1">
      <c r="A78" s="139">
        <v>70</v>
      </c>
      <c r="B78" s="140" t="s">
        <v>4597</v>
      </c>
      <c r="C78" s="141" t="s">
        <v>1429</v>
      </c>
      <c r="D78" s="142" t="s">
        <v>1430</v>
      </c>
      <c r="E78" s="141" t="s">
        <v>1431</v>
      </c>
      <c r="F78" s="142" t="s">
        <v>1432</v>
      </c>
      <c r="G78" s="141" t="s">
        <v>1433</v>
      </c>
      <c r="H78" s="142" t="s">
        <v>1448</v>
      </c>
      <c r="I78" s="141" t="s">
        <v>1449</v>
      </c>
      <c r="J78" s="142" t="s">
        <v>1448</v>
      </c>
      <c r="K78" s="142" t="s">
        <v>388</v>
      </c>
      <c r="L78" s="143">
        <f t="shared" si="2"/>
        <v>1</v>
      </c>
      <c r="M78" s="144">
        <v>10402</v>
      </c>
      <c r="N78" s="141" t="s">
        <v>1429</v>
      </c>
      <c r="O78" s="142" t="s">
        <v>1430</v>
      </c>
      <c r="P78" s="141" t="s">
        <v>1368</v>
      </c>
      <c r="Q78" s="142" t="s">
        <v>1432</v>
      </c>
      <c r="R78" s="141" t="s">
        <v>1450</v>
      </c>
      <c r="S78" s="142" t="s">
        <v>1448</v>
      </c>
      <c r="T78" s="141" t="s">
        <v>1451</v>
      </c>
      <c r="U78" s="142" t="s">
        <v>1448</v>
      </c>
      <c r="V78" s="142" t="s">
        <v>388</v>
      </c>
      <c r="W78" s="141">
        <f t="shared" si="3"/>
        <v>2</v>
      </c>
      <c r="X78" s="143">
        <v>1</v>
      </c>
      <c r="Y78" s="145"/>
      <c r="AA78"/>
    </row>
    <row r="79" spans="1:27" s="115" customFormat="1" ht="27" customHeight="1">
      <c r="A79" s="139">
        <v>71</v>
      </c>
      <c r="B79" s="140" t="s">
        <v>4598</v>
      </c>
      <c r="C79" s="141" t="s">
        <v>1429</v>
      </c>
      <c r="D79" s="142" t="s">
        <v>1430</v>
      </c>
      <c r="E79" s="141" t="s">
        <v>1431</v>
      </c>
      <c r="F79" s="142" t="s">
        <v>1432</v>
      </c>
      <c r="G79" s="141" t="s">
        <v>1433</v>
      </c>
      <c r="H79" s="142" t="s">
        <v>1448</v>
      </c>
      <c r="I79" s="141" t="s">
        <v>1449</v>
      </c>
      <c r="J79" s="142" t="s">
        <v>1448</v>
      </c>
      <c r="K79" s="142" t="s">
        <v>389</v>
      </c>
      <c r="L79" s="143">
        <f t="shared" si="2"/>
        <v>1</v>
      </c>
      <c r="M79" s="144">
        <v>10401</v>
      </c>
      <c r="N79" s="141" t="s">
        <v>1429</v>
      </c>
      <c r="O79" s="142" t="s">
        <v>1430</v>
      </c>
      <c r="P79" s="141" t="s">
        <v>1368</v>
      </c>
      <c r="Q79" s="142" t="s">
        <v>1432</v>
      </c>
      <c r="R79" s="141" t="s">
        <v>1450</v>
      </c>
      <c r="S79" s="142" t="s">
        <v>1448</v>
      </c>
      <c r="T79" s="141" t="s">
        <v>1451</v>
      </c>
      <c r="U79" s="142" t="s">
        <v>1448</v>
      </c>
      <c r="V79" s="142" t="s">
        <v>389</v>
      </c>
      <c r="W79" s="141">
        <f t="shared" si="3"/>
        <v>2</v>
      </c>
      <c r="X79" s="143">
        <v>1</v>
      </c>
      <c r="Y79" s="145"/>
      <c r="AA79"/>
    </row>
    <row r="80" spans="1:27" s="115" customFormat="1" ht="27" customHeight="1">
      <c r="A80" s="139">
        <v>72</v>
      </c>
      <c r="B80" s="140" t="s">
        <v>4599</v>
      </c>
      <c r="C80" s="141" t="s">
        <v>1429</v>
      </c>
      <c r="D80" s="142" t="s">
        <v>1430</v>
      </c>
      <c r="E80" s="141" t="s">
        <v>1431</v>
      </c>
      <c r="F80" s="142" t="s">
        <v>1432</v>
      </c>
      <c r="G80" s="141" t="s">
        <v>1433</v>
      </c>
      <c r="H80" s="142" t="s">
        <v>1448</v>
      </c>
      <c r="I80" s="141" t="s">
        <v>1449</v>
      </c>
      <c r="J80" s="142" t="s">
        <v>1448</v>
      </c>
      <c r="K80" s="142" t="s">
        <v>390</v>
      </c>
      <c r="L80" s="143">
        <f t="shared" si="2"/>
        <v>1</v>
      </c>
      <c r="M80" s="144">
        <v>10403</v>
      </c>
      <c r="N80" s="141" t="s">
        <v>1429</v>
      </c>
      <c r="O80" s="142" t="s">
        <v>1430</v>
      </c>
      <c r="P80" s="141" t="s">
        <v>1368</v>
      </c>
      <c r="Q80" s="142" t="s">
        <v>1432</v>
      </c>
      <c r="R80" s="141" t="s">
        <v>1450</v>
      </c>
      <c r="S80" s="142" t="s">
        <v>1448</v>
      </c>
      <c r="T80" s="141" t="s">
        <v>1451</v>
      </c>
      <c r="U80" s="142" t="s">
        <v>1448</v>
      </c>
      <c r="V80" s="142" t="s">
        <v>390</v>
      </c>
      <c r="W80" s="141">
        <f t="shared" si="3"/>
        <v>1</v>
      </c>
      <c r="X80" s="143"/>
      <c r="Y80" s="145"/>
      <c r="AA80"/>
    </row>
    <row r="81" spans="1:27" s="115" customFormat="1" ht="27" customHeight="1">
      <c r="A81" s="139">
        <v>73</v>
      </c>
      <c r="B81" s="140" t="s">
        <v>4600</v>
      </c>
      <c r="C81" s="141" t="s">
        <v>1429</v>
      </c>
      <c r="D81" s="142" t="s">
        <v>1430</v>
      </c>
      <c r="E81" s="141" t="s">
        <v>1431</v>
      </c>
      <c r="F81" s="142" t="s">
        <v>1432</v>
      </c>
      <c r="G81" s="141" t="s">
        <v>1452</v>
      </c>
      <c r="H81" s="142" t="s">
        <v>1453</v>
      </c>
      <c r="I81" s="141" t="s">
        <v>1454</v>
      </c>
      <c r="J81" s="142" t="s">
        <v>1453</v>
      </c>
      <c r="K81" s="142" t="s">
        <v>391</v>
      </c>
      <c r="L81" s="143">
        <f t="shared" si="2"/>
        <v>1</v>
      </c>
      <c r="M81" s="144">
        <v>10501</v>
      </c>
      <c r="N81" s="141" t="s">
        <v>1429</v>
      </c>
      <c r="O81" s="142" t="s">
        <v>1430</v>
      </c>
      <c r="P81" s="141" t="s">
        <v>1368</v>
      </c>
      <c r="Q81" s="142" t="s">
        <v>1432</v>
      </c>
      <c r="R81" s="141" t="s">
        <v>1455</v>
      </c>
      <c r="S81" s="142" t="s">
        <v>1453</v>
      </c>
      <c r="T81" s="141" t="s">
        <v>1456</v>
      </c>
      <c r="U81" s="142" t="s">
        <v>1453</v>
      </c>
      <c r="V81" s="142" t="s">
        <v>392</v>
      </c>
      <c r="W81" s="141">
        <f t="shared" si="3"/>
        <v>2</v>
      </c>
      <c r="X81" s="143"/>
      <c r="Y81" s="145" t="s">
        <v>1457</v>
      </c>
      <c r="AA81"/>
    </row>
    <row r="82" spans="1:27" s="115" customFormat="1" ht="27" customHeight="1">
      <c r="A82" s="139">
        <v>74</v>
      </c>
      <c r="B82" s="140" t="s">
        <v>4601</v>
      </c>
      <c r="C82" s="141" t="s">
        <v>1429</v>
      </c>
      <c r="D82" s="142" t="s">
        <v>1430</v>
      </c>
      <c r="E82" s="141" t="s">
        <v>1431</v>
      </c>
      <c r="F82" s="142" t="s">
        <v>1432</v>
      </c>
      <c r="G82" s="141" t="s">
        <v>1452</v>
      </c>
      <c r="H82" s="142" t="s">
        <v>1453</v>
      </c>
      <c r="I82" s="141" t="s">
        <v>1454</v>
      </c>
      <c r="J82" s="142" t="s">
        <v>1453</v>
      </c>
      <c r="K82" s="142" t="s">
        <v>392</v>
      </c>
      <c r="L82" s="143">
        <f t="shared" si="2"/>
        <v>1</v>
      </c>
      <c r="M82" s="144">
        <v>10501</v>
      </c>
      <c r="N82" s="141" t="s">
        <v>1429</v>
      </c>
      <c r="O82" s="142" t="s">
        <v>1430</v>
      </c>
      <c r="P82" s="141" t="s">
        <v>1368</v>
      </c>
      <c r="Q82" s="142" t="s">
        <v>1432</v>
      </c>
      <c r="R82" s="141" t="s">
        <v>1455</v>
      </c>
      <c r="S82" s="142" t="s">
        <v>1453</v>
      </c>
      <c r="T82" s="141" t="s">
        <v>1456</v>
      </c>
      <c r="U82" s="142" t="s">
        <v>1453</v>
      </c>
      <c r="V82" s="142" t="s">
        <v>392</v>
      </c>
      <c r="W82" s="141">
        <f t="shared" si="3"/>
        <v>2</v>
      </c>
      <c r="X82" s="143">
        <v>1</v>
      </c>
      <c r="Y82" s="145"/>
      <c r="AA82"/>
    </row>
    <row r="83" spans="1:27" s="115" customFormat="1" ht="27" customHeight="1">
      <c r="A83" s="139">
        <v>75</v>
      </c>
      <c r="B83" s="140" t="s">
        <v>4602</v>
      </c>
      <c r="C83" s="141" t="s">
        <v>1429</v>
      </c>
      <c r="D83" s="142" t="s">
        <v>1430</v>
      </c>
      <c r="E83" s="141" t="s">
        <v>1431</v>
      </c>
      <c r="F83" s="142" t="s">
        <v>1432</v>
      </c>
      <c r="G83" s="141" t="s">
        <v>1452</v>
      </c>
      <c r="H83" s="142" t="s">
        <v>1453</v>
      </c>
      <c r="I83" s="141" t="s">
        <v>1454</v>
      </c>
      <c r="J83" s="142" t="s">
        <v>1453</v>
      </c>
      <c r="K83" s="142" t="s">
        <v>393</v>
      </c>
      <c r="L83" s="143">
        <f t="shared" si="2"/>
        <v>1</v>
      </c>
      <c r="M83" s="144">
        <v>10502</v>
      </c>
      <c r="N83" s="141" t="s">
        <v>1429</v>
      </c>
      <c r="O83" s="142" t="s">
        <v>1430</v>
      </c>
      <c r="P83" s="141" t="s">
        <v>1368</v>
      </c>
      <c r="Q83" s="142" t="s">
        <v>1432</v>
      </c>
      <c r="R83" s="141" t="s">
        <v>1455</v>
      </c>
      <c r="S83" s="142" t="s">
        <v>1453</v>
      </c>
      <c r="T83" s="141" t="s">
        <v>1456</v>
      </c>
      <c r="U83" s="142" t="s">
        <v>1453</v>
      </c>
      <c r="V83" s="142" t="s">
        <v>393</v>
      </c>
      <c r="W83" s="141">
        <f t="shared" si="3"/>
        <v>1</v>
      </c>
      <c r="X83" s="143"/>
      <c r="Y83" s="145"/>
      <c r="AA83"/>
    </row>
    <row r="84" spans="1:27" s="115" customFormat="1" ht="27" customHeight="1">
      <c r="A84" s="139">
        <v>76</v>
      </c>
      <c r="B84" s="140" t="s">
        <v>4603</v>
      </c>
      <c r="C84" s="141" t="s">
        <v>1429</v>
      </c>
      <c r="D84" s="142" t="s">
        <v>1430</v>
      </c>
      <c r="E84" s="141" t="s">
        <v>1431</v>
      </c>
      <c r="F84" s="142" t="s">
        <v>1432</v>
      </c>
      <c r="G84" s="141" t="s">
        <v>1458</v>
      </c>
      <c r="H84" s="142" t="s">
        <v>1459</v>
      </c>
      <c r="I84" s="141" t="s">
        <v>1460</v>
      </c>
      <c r="J84" s="142" t="s">
        <v>1461</v>
      </c>
      <c r="K84" s="142" t="s">
        <v>394</v>
      </c>
      <c r="L84" s="143">
        <f t="shared" si="2"/>
        <v>1</v>
      </c>
      <c r="M84" s="144">
        <v>10619</v>
      </c>
      <c r="N84" s="141" t="s">
        <v>1429</v>
      </c>
      <c r="O84" s="142" t="s">
        <v>1430</v>
      </c>
      <c r="P84" s="141" t="s">
        <v>1368</v>
      </c>
      <c r="Q84" s="142" t="s">
        <v>1432</v>
      </c>
      <c r="R84" s="141" t="s">
        <v>1462</v>
      </c>
      <c r="S84" s="142" t="s">
        <v>1459</v>
      </c>
      <c r="T84" s="141" t="s">
        <v>1463</v>
      </c>
      <c r="U84" s="142" t="s">
        <v>1461</v>
      </c>
      <c r="V84" s="142" t="s">
        <v>394</v>
      </c>
      <c r="W84" s="141">
        <f t="shared" si="3"/>
        <v>2</v>
      </c>
      <c r="X84" s="143">
        <v>1</v>
      </c>
      <c r="Y84" s="145"/>
      <c r="AA84"/>
    </row>
    <row r="85" spans="1:27" s="115" customFormat="1" ht="27" customHeight="1">
      <c r="A85" s="139">
        <v>77</v>
      </c>
      <c r="B85" s="140" t="s">
        <v>4604</v>
      </c>
      <c r="C85" s="141" t="s">
        <v>1429</v>
      </c>
      <c r="D85" s="142" t="s">
        <v>1430</v>
      </c>
      <c r="E85" s="141" t="s">
        <v>1431</v>
      </c>
      <c r="F85" s="142" t="s">
        <v>1432</v>
      </c>
      <c r="G85" s="141" t="s">
        <v>1458</v>
      </c>
      <c r="H85" s="142" t="s">
        <v>1459</v>
      </c>
      <c r="I85" s="141" t="s">
        <v>1460</v>
      </c>
      <c r="J85" s="142" t="s">
        <v>1461</v>
      </c>
      <c r="K85" s="142" t="s">
        <v>395</v>
      </c>
      <c r="L85" s="143">
        <f t="shared" si="2"/>
        <v>1</v>
      </c>
      <c r="M85" s="144">
        <v>10611</v>
      </c>
      <c r="N85" s="141" t="s">
        <v>1429</v>
      </c>
      <c r="O85" s="142" t="s">
        <v>1430</v>
      </c>
      <c r="P85" s="141" t="s">
        <v>1368</v>
      </c>
      <c r="Q85" s="142" t="s">
        <v>1432</v>
      </c>
      <c r="R85" s="141" t="s">
        <v>1462</v>
      </c>
      <c r="S85" s="142" t="s">
        <v>1459</v>
      </c>
      <c r="T85" s="141" t="s">
        <v>1463</v>
      </c>
      <c r="U85" s="142" t="s">
        <v>1461</v>
      </c>
      <c r="V85" s="142" t="s">
        <v>395</v>
      </c>
      <c r="W85" s="141">
        <f t="shared" si="3"/>
        <v>2</v>
      </c>
      <c r="X85" s="143">
        <v>1</v>
      </c>
      <c r="Y85" s="145"/>
      <c r="AA85"/>
    </row>
    <row r="86" spans="1:27" s="115" customFormat="1" ht="27" customHeight="1">
      <c r="A86" s="139">
        <v>78</v>
      </c>
      <c r="B86" s="140" t="s">
        <v>4605</v>
      </c>
      <c r="C86" s="141" t="s">
        <v>1429</v>
      </c>
      <c r="D86" s="142" t="s">
        <v>1430</v>
      </c>
      <c r="E86" s="141" t="s">
        <v>1431</v>
      </c>
      <c r="F86" s="142" t="s">
        <v>1432</v>
      </c>
      <c r="G86" s="141" t="s">
        <v>1458</v>
      </c>
      <c r="H86" s="142" t="s">
        <v>1459</v>
      </c>
      <c r="I86" s="141" t="s">
        <v>1460</v>
      </c>
      <c r="J86" s="142" t="s">
        <v>1461</v>
      </c>
      <c r="K86" s="142" t="s">
        <v>396</v>
      </c>
      <c r="L86" s="143">
        <f t="shared" si="2"/>
        <v>1</v>
      </c>
      <c r="M86" s="144">
        <v>10612</v>
      </c>
      <c r="N86" s="141" t="s">
        <v>1429</v>
      </c>
      <c r="O86" s="142" t="s">
        <v>1430</v>
      </c>
      <c r="P86" s="141" t="s">
        <v>1368</v>
      </c>
      <c r="Q86" s="142" t="s">
        <v>1432</v>
      </c>
      <c r="R86" s="141" t="s">
        <v>1462</v>
      </c>
      <c r="S86" s="142" t="s">
        <v>1459</v>
      </c>
      <c r="T86" s="141" t="s">
        <v>1463</v>
      </c>
      <c r="U86" s="142" t="s">
        <v>1461</v>
      </c>
      <c r="V86" s="142" t="s">
        <v>396</v>
      </c>
      <c r="W86" s="141">
        <f t="shared" si="3"/>
        <v>3</v>
      </c>
      <c r="X86" s="143">
        <v>1</v>
      </c>
      <c r="Y86" s="145"/>
      <c r="AA86"/>
    </row>
    <row r="87" spans="1:27" s="115" customFormat="1" ht="27" customHeight="1">
      <c r="A87" s="139">
        <v>79</v>
      </c>
      <c r="B87" s="140" t="s">
        <v>4606</v>
      </c>
      <c r="C87" s="141" t="s">
        <v>1429</v>
      </c>
      <c r="D87" s="142" t="s">
        <v>1430</v>
      </c>
      <c r="E87" s="141" t="s">
        <v>1431</v>
      </c>
      <c r="F87" s="142" t="s">
        <v>1432</v>
      </c>
      <c r="G87" s="141" t="s">
        <v>1458</v>
      </c>
      <c r="H87" s="142" t="s">
        <v>108</v>
      </c>
      <c r="I87" s="141" t="s">
        <v>1460</v>
      </c>
      <c r="J87" s="142" t="s">
        <v>108</v>
      </c>
      <c r="K87" s="142" t="s">
        <v>397</v>
      </c>
      <c r="L87" s="143">
        <f t="shared" si="2"/>
        <v>1</v>
      </c>
      <c r="M87" s="144">
        <v>10802</v>
      </c>
      <c r="N87" s="141" t="s">
        <v>1429</v>
      </c>
      <c r="O87" s="142" t="s">
        <v>1430</v>
      </c>
      <c r="P87" s="141" t="s">
        <v>1368</v>
      </c>
      <c r="Q87" s="142" t="s">
        <v>1432</v>
      </c>
      <c r="R87" s="141" t="s">
        <v>1464</v>
      </c>
      <c r="S87" s="142" t="s">
        <v>108</v>
      </c>
      <c r="T87" s="141" t="s">
        <v>1465</v>
      </c>
      <c r="U87" s="142" t="s">
        <v>108</v>
      </c>
      <c r="V87" s="142" t="s">
        <v>397</v>
      </c>
      <c r="W87" s="141">
        <f t="shared" si="3"/>
        <v>2</v>
      </c>
      <c r="X87" s="143"/>
      <c r="Y87" s="145" t="s">
        <v>1466</v>
      </c>
      <c r="AA87"/>
    </row>
    <row r="88" spans="1:27" s="115" customFormat="1" ht="27" customHeight="1">
      <c r="A88" s="139">
        <v>80</v>
      </c>
      <c r="B88" s="140" t="s">
        <v>4607</v>
      </c>
      <c r="C88" s="141" t="s">
        <v>1429</v>
      </c>
      <c r="D88" s="142" t="s">
        <v>1430</v>
      </c>
      <c r="E88" s="141" t="s">
        <v>1431</v>
      </c>
      <c r="F88" s="142" t="s">
        <v>1432</v>
      </c>
      <c r="G88" s="141" t="s">
        <v>1458</v>
      </c>
      <c r="H88" s="142" t="s">
        <v>1459</v>
      </c>
      <c r="I88" s="141" t="s">
        <v>1460</v>
      </c>
      <c r="J88" s="142" t="s">
        <v>109</v>
      </c>
      <c r="K88" s="142" t="s">
        <v>109</v>
      </c>
      <c r="L88" s="143">
        <f t="shared" si="2"/>
        <v>1</v>
      </c>
      <c r="M88" s="144">
        <v>10620</v>
      </c>
      <c r="N88" s="141" t="s">
        <v>1429</v>
      </c>
      <c r="O88" s="142" t="s">
        <v>1430</v>
      </c>
      <c r="P88" s="141" t="s">
        <v>1368</v>
      </c>
      <c r="Q88" s="142" t="s">
        <v>1432</v>
      </c>
      <c r="R88" s="141" t="s">
        <v>1462</v>
      </c>
      <c r="S88" s="142" t="s">
        <v>1459</v>
      </c>
      <c r="T88" s="141" t="s">
        <v>1467</v>
      </c>
      <c r="U88" s="142" t="s">
        <v>109</v>
      </c>
      <c r="V88" s="142" t="s">
        <v>109</v>
      </c>
      <c r="W88" s="141">
        <f t="shared" si="3"/>
        <v>2</v>
      </c>
      <c r="X88" s="143">
        <v>2</v>
      </c>
      <c r="Y88" s="145" t="s">
        <v>1468</v>
      </c>
      <c r="AA88"/>
    </row>
    <row r="89" spans="1:27" s="115" customFormat="1" ht="27" customHeight="1">
      <c r="A89" s="139">
        <v>81</v>
      </c>
      <c r="B89" s="140" t="s">
        <v>4608</v>
      </c>
      <c r="C89" s="141" t="s">
        <v>1429</v>
      </c>
      <c r="D89" s="142" t="s">
        <v>1430</v>
      </c>
      <c r="E89" s="141" t="s">
        <v>1431</v>
      </c>
      <c r="F89" s="142" t="s">
        <v>1432</v>
      </c>
      <c r="G89" s="141" t="s">
        <v>1458</v>
      </c>
      <c r="H89" s="142" t="s">
        <v>1459</v>
      </c>
      <c r="I89" s="141" t="s">
        <v>1460</v>
      </c>
      <c r="J89" s="142" t="s">
        <v>1461</v>
      </c>
      <c r="K89" s="142" t="s">
        <v>398</v>
      </c>
      <c r="L89" s="143">
        <f t="shared" si="2"/>
        <v>1</v>
      </c>
      <c r="M89" s="144">
        <v>10613</v>
      </c>
      <c r="N89" s="141" t="s">
        <v>1429</v>
      </c>
      <c r="O89" s="142" t="s">
        <v>1430</v>
      </c>
      <c r="P89" s="141" t="s">
        <v>1368</v>
      </c>
      <c r="Q89" s="142" t="s">
        <v>1432</v>
      </c>
      <c r="R89" s="141" t="s">
        <v>1462</v>
      </c>
      <c r="S89" s="142" t="s">
        <v>1459</v>
      </c>
      <c r="T89" s="141" t="s">
        <v>1463</v>
      </c>
      <c r="U89" s="142" t="s">
        <v>1461</v>
      </c>
      <c r="V89" s="142" t="s">
        <v>398</v>
      </c>
      <c r="W89" s="141">
        <f t="shared" si="3"/>
        <v>1</v>
      </c>
      <c r="X89" s="143"/>
      <c r="Y89" s="145"/>
      <c r="AA89"/>
    </row>
    <row r="90" spans="1:27" s="115" customFormat="1" ht="27" customHeight="1">
      <c r="A90" s="139">
        <v>82</v>
      </c>
      <c r="B90" s="140" t="s">
        <v>4609</v>
      </c>
      <c r="C90" s="141" t="s">
        <v>1429</v>
      </c>
      <c r="D90" s="142" t="s">
        <v>1430</v>
      </c>
      <c r="E90" s="141" t="s">
        <v>1431</v>
      </c>
      <c r="F90" s="142" t="s">
        <v>1432</v>
      </c>
      <c r="G90" s="141" t="s">
        <v>1458</v>
      </c>
      <c r="H90" s="142" t="s">
        <v>1469</v>
      </c>
      <c r="I90" s="141" t="s">
        <v>1460</v>
      </c>
      <c r="J90" s="142" t="s">
        <v>1470</v>
      </c>
      <c r="K90" s="142" t="s">
        <v>399</v>
      </c>
      <c r="L90" s="143">
        <f t="shared" si="2"/>
        <v>1</v>
      </c>
      <c r="M90" s="144">
        <v>10751</v>
      </c>
      <c r="N90" s="141" t="s">
        <v>1429</v>
      </c>
      <c r="O90" s="142" t="s">
        <v>1430</v>
      </c>
      <c r="P90" s="141" t="s">
        <v>1368</v>
      </c>
      <c r="Q90" s="142" t="s">
        <v>1432</v>
      </c>
      <c r="R90" s="141" t="s">
        <v>1471</v>
      </c>
      <c r="S90" s="142" t="s">
        <v>1469</v>
      </c>
      <c r="T90" s="141" t="s">
        <v>1472</v>
      </c>
      <c r="U90" s="142" t="s">
        <v>1470</v>
      </c>
      <c r="V90" s="142" t="s">
        <v>399</v>
      </c>
      <c r="W90" s="141">
        <f t="shared" si="3"/>
        <v>1</v>
      </c>
      <c r="X90" s="143"/>
      <c r="Y90" s="145"/>
      <c r="AA90"/>
    </row>
    <row r="91" spans="1:27" s="115" customFormat="1" ht="27" customHeight="1">
      <c r="A91" s="139">
        <v>83</v>
      </c>
      <c r="B91" s="140" t="s">
        <v>4610</v>
      </c>
      <c r="C91" s="141" t="s">
        <v>1429</v>
      </c>
      <c r="D91" s="142" t="s">
        <v>1430</v>
      </c>
      <c r="E91" s="141" t="s">
        <v>1431</v>
      </c>
      <c r="F91" s="142" t="s">
        <v>1432</v>
      </c>
      <c r="G91" s="141" t="s">
        <v>1458</v>
      </c>
      <c r="H91" s="142" t="s">
        <v>1459</v>
      </c>
      <c r="I91" s="141" t="s">
        <v>1473</v>
      </c>
      <c r="J91" s="142" t="s">
        <v>109</v>
      </c>
      <c r="K91" s="142" t="s">
        <v>109</v>
      </c>
      <c r="L91" s="143">
        <f t="shared" si="2"/>
        <v>1</v>
      </c>
      <c r="M91" s="144">
        <v>10620</v>
      </c>
      <c r="N91" s="141" t="s">
        <v>1429</v>
      </c>
      <c r="O91" s="142" t="s">
        <v>1430</v>
      </c>
      <c r="P91" s="141" t="s">
        <v>1368</v>
      </c>
      <c r="Q91" s="142" t="s">
        <v>1432</v>
      </c>
      <c r="R91" s="141" t="s">
        <v>1462</v>
      </c>
      <c r="S91" s="142" t="s">
        <v>1459</v>
      </c>
      <c r="T91" s="141" t="s">
        <v>1467</v>
      </c>
      <c r="U91" s="142" t="s">
        <v>109</v>
      </c>
      <c r="V91" s="142" t="s">
        <v>109</v>
      </c>
      <c r="W91" s="141">
        <f t="shared" si="3"/>
        <v>2</v>
      </c>
      <c r="X91" s="143">
        <v>2</v>
      </c>
      <c r="Y91" s="145" t="s">
        <v>1474</v>
      </c>
      <c r="AA91"/>
    </row>
    <row r="92" spans="1:27" s="115" customFormat="1" ht="27" customHeight="1">
      <c r="A92" s="139">
        <v>84</v>
      </c>
      <c r="B92" s="140" t="s">
        <v>4611</v>
      </c>
      <c r="C92" s="141" t="s">
        <v>1429</v>
      </c>
      <c r="D92" s="142" t="s">
        <v>1430</v>
      </c>
      <c r="E92" s="141" t="s">
        <v>1431</v>
      </c>
      <c r="F92" s="142" t="s">
        <v>1432</v>
      </c>
      <c r="G92" s="141" t="s">
        <v>1458</v>
      </c>
      <c r="H92" s="142" t="s">
        <v>108</v>
      </c>
      <c r="I92" s="141" t="s">
        <v>1475</v>
      </c>
      <c r="J92" s="142" t="s">
        <v>108</v>
      </c>
      <c r="K92" s="142" t="s">
        <v>400</v>
      </c>
      <c r="L92" s="143">
        <f t="shared" si="2"/>
        <v>1</v>
      </c>
      <c r="M92" s="144">
        <v>10801</v>
      </c>
      <c r="N92" s="141" t="s">
        <v>1429</v>
      </c>
      <c r="O92" s="142" t="s">
        <v>1430</v>
      </c>
      <c r="P92" s="141" t="s">
        <v>1368</v>
      </c>
      <c r="Q92" s="142" t="s">
        <v>1432</v>
      </c>
      <c r="R92" s="141" t="s">
        <v>1464</v>
      </c>
      <c r="S92" s="142" t="s">
        <v>108</v>
      </c>
      <c r="T92" s="141" t="s">
        <v>1465</v>
      </c>
      <c r="U92" s="142" t="s">
        <v>108</v>
      </c>
      <c r="V92" s="142" t="s">
        <v>400</v>
      </c>
      <c r="W92" s="141">
        <f t="shared" si="3"/>
        <v>1</v>
      </c>
      <c r="X92" s="143"/>
      <c r="Y92" s="145"/>
      <c r="AA92"/>
    </row>
    <row r="93" spans="1:27" s="115" customFormat="1" ht="27" customHeight="1">
      <c r="A93" s="139">
        <v>85</v>
      </c>
      <c r="B93" s="140" t="s">
        <v>4612</v>
      </c>
      <c r="C93" s="141" t="s">
        <v>1429</v>
      </c>
      <c r="D93" s="142" t="s">
        <v>1430</v>
      </c>
      <c r="E93" s="141" t="s">
        <v>1431</v>
      </c>
      <c r="F93" s="142" t="s">
        <v>1432</v>
      </c>
      <c r="G93" s="141" t="s">
        <v>1458</v>
      </c>
      <c r="H93" s="142" t="s">
        <v>108</v>
      </c>
      <c r="I93" s="141" t="s">
        <v>1475</v>
      </c>
      <c r="J93" s="142" t="s">
        <v>108</v>
      </c>
      <c r="K93" s="142" t="s">
        <v>397</v>
      </c>
      <c r="L93" s="143">
        <f t="shared" si="2"/>
        <v>1</v>
      </c>
      <c r="M93" s="144">
        <v>10802</v>
      </c>
      <c r="N93" s="141" t="s">
        <v>1429</v>
      </c>
      <c r="O93" s="142" t="s">
        <v>1430</v>
      </c>
      <c r="P93" s="141" t="s">
        <v>1368</v>
      </c>
      <c r="Q93" s="142" t="s">
        <v>1432</v>
      </c>
      <c r="R93" s="141" t="s">
        <v>1464</v>
      </c>
      <c r="S93" s="142" t="s">
        <v>108</v>
      </c>
      <c r="T93" s="141" t="s">
        <v>1465</v>
      </c>
      <c r="U93" s="142" t="s">
        <v>108</v>
      </c>
      <c r="V93" s="142" t="s">
        <v>397</v>
      </c>
      <c r="W93" s="141">
        <f t="shared" si="3"/>
        <v>2</v>
      </c>
      <c r="X93" s="143">
        <v>1</v>
      </c>
      <c r="Y93" s="145"/>
      <c r="AA93"/>
    </row>
    <row r="94" spans="1:27" s="115" customFormat="1" ht="27" customHeight="1">
      <c r="A94" s="139">
        <v>86</v>
      </c>
      <c r="B94" s="140" t="s">
        <v>4613</v>
      </c>
      <c r="C94" s="141" t="s">
        <v>1429</v>
      </c>
      <c r="D94" s="142" t="s">
        <v>1430</v>
      </c>
      <c r="E94" s="141" t="s">
        <v>1431</v>
      </c>
      <c r="F94" s="142" t="s">
        <v>1432</v>
      </c>
      <c r="G94" s="141" t="s">
        <v>1476</v>
      </c>
      <c r="H94" s="142" t="s">
        <v>1469</v>
      </c>
      <c r="I94" s="141" t="s">
        <v>1477</v>
      </c>
      <c r="J94" s="142" t="s">
        <v>1478</v>
      </c>
      <c r="K94" s="142" t="s">
        <v>401</v>
      </c>
      <c r="L94" s="143">
        <f t="shared" si="2"/>
        <v>1</v>
      </c>
      <c r="M94" s="144">
        <v>10711</v>
      </c>
      <c r="N94" s="141" t="s">
        <v>1429</v>
      </c>
      <c r="O94" s="142" t="s">
        <v>1430</v>
      </c>
      <c r="P94" s="141" t="s">
        <v>1368</v>
      </c>
      <c r="Q94" s="142" t="s">
        <v>1432</v>
      </c>
      <c r="R94" s="141" t="s">
        <v>1471</v>
      </c>
      <c r="S94" s="142" t="s">
        <v>1469</v>
      </c>
      <c r="T94" s="141" t="s">
        <v>1479</v>
      </c>
      <c r="U94" s="142" t="s">
        <v>1478</v>
      </c>
      <c r="V94" s="142" t="s">
        <v>401</v>
      </c>
      <c r="W94" s="141">
        <f t="shared" si="3"/>
        <v>1</v>
      </c>
      <c r="X94" s="143"/>
      <c r="Y94" s="145"/>
      <c r="AA94"/>
    </row>
    <row r="95" spans="1:27" s="115" customFormat="1" ht="27" customHeight="1">
      <c r="A95" s="139">
        <v>87</v>
      </c>
      <c r="B95" s="140" t="s">
        <v>4614</v>
      </c>
      <c r="C95" s="141" t="s">
        <v>1429</v>
      </c>
      <c r="D95" s="142" t="s">
        <v>1430</v>
      </c>
      <c r="E95" s="141" t="s">
        <v>1431</v>
      </c>
      <c r="F95" s="142" t="s">
        <v>1432</v>
      </c>
      <c r="G95" s="141" t="s">
        <v>1476</v>
      </c>
      <c r="H95" s="142" t="s">
        <v>1469</v>
      </c>
      <c r="I95" s="141" t="s">
        <v>1477</v>
      </c>
      <c r="J95" s="142" t="s">
        <v>1478</v>
      </c>
      <c r="K95" s="142" t="s">
        <v>402</v>
      </c>
      <c r="L95" s="143">
        <f t="shared" si="2"/>
        <v>1</v>
      </c>
      <c r="M95" s="144">
        <v>10713</v>
      </c>
      <c r="N95" s="141" t="s">
        <v>1429</v>
      </c>
      <c r="O95" s="142" t="s">
        <v>1430</v>
      </c>
      <c r="P95" s="141" t="s">
        <v>1368</v>
      </c>
      <c r="Q95" s="142" t="s">
        <v>1432</v>
      </c>
      <c r="R95" s="141" t="s">
        <v>1471</v>
      </c>
      <c r="S95" s="142" t="s">
        <v>1469</v>
      </c>
      <c r="T95" s="141" t="s">
        <v>1479</v>
      </c>
      <c r="U95" s="142" t="s">
        <v>1478</v>
      </c>
      <c r="V95" s="142" t="s">
        <v>402</v>
      </c>
      <c r="W95" s="141">
        <f t="shared" si="3"/>
        <v>1</v>
      </c>
      <c r="X95" s="143"/>
      <c r="Y95" s="145"/>
      <c r="AA95"/>
    </row>
    <row r="96" spans="1:27" s="115" customFormat="1" ht="27" customHeight="1">
      <c r="A96" s="139">
        <v>88</v>
      </c>
      <c r="B96" s="140" t="s">
        <v>4615</v>
      </c>
      <c r="C96" s="141" t="s">
        <v>1429</v>
      </c>
      <c r="D96" s="142" t="s">
        <v>1430</v>
      </c>
      <c r="E96" s="141" t="s">
        <v>1431</v>
      </c>
      <c r="F96" s="142" t="s">
        <v>1432</v>
      </c>
      <c r="G96" s="141" t="s">
        <v>1476</v>
      </c>
      <c r="H96" s="142" t="s">
        <v>1469</v>
      </c>
      <c r="I96" s="141" t="s">
        <v>1477</v>
      </c>
      <c r="J96" s="142" t="s">
        <v>1470</v>
      </c>
      <c r="K96" s="142" t="s">
        <v>403</v>
      </c>
      <c r="L96" s="143">
        <f t="shared" si="2"/>
        <v>1</v>
      </c>
      <c r="M96" s="144">
        <v>10759</v>
      </c>
      <c r="N96" s="141" t="s">
        <v>1429</v>
      </c>
      <c r="O96" s="142" t="s">
        <v>1430</v>
      </c>
      <c r="P96" s="141" t="s">
        <v>1368</v>
      </c>
      <c r="Q96" s="142" t="s">
        <v>1432</v>
      </c>
      <c r="R96" s="141" t="s">
        <v>1471</v>
      </c>
      <c r="S96" s="142" t="s">
        <v>1469</v>
      </c>
      <c r="T96" s="141" t="s">
        <v>1472</v>
      </c>
      <c r="U96" s="142" t="s">
        <v>1470</v>
      </c>
      <c r="V96" s="142" t="s">
        <v>403</v>
      </c>
      <c r="W96" s="141">
        <f t="shared" si="3"/>
        <v>1</v>
      </c>
      <c r="X96" s="143"/>
      <c r="Y96" s="145"/>
      <c r="AA96"/>
    </row>
    <row r="97" spans="1:27" s="115" customFormat="1" ht="27" customHeight="1">
      <c r="A97" s="139">
        <v>89</v>
      </c>
      <c r="B97" s="140" t="s">
        <v>4616</v>
      </c>
      <c r="C97" s="141" t="s">
        <v>1429</v>
      </c>
      <c r="D97" s="142" t="s">
        <v>1430</v>
      </c>
      <c r="E97" s="141" t="s">
        <v>1431</v>
      </c>
      <c r="F97" s="142" t="s">
        <v>1432</v>
      </c>
      <c r="G97" s="141" t="s">
        <v>1476</v>
      </c>
      <c r="H97" s="142" t="s">
        <v>1469</v>
      </c>
      <c r="I97" s="141" t="s">
        <v>1477</v>
      </c>
      <c r="J97" s="142" t="s">
        <v>1478</v>
      </c>
      <c r="K97" s="142" t="s">
        <v>404</v>
      </c>
      <c r="L97" s="143">
        <f t="shared" si="2"/>
        <v>1</v>
      </c>
      <c r="M97" s="144">
        <v>10712</v>
      </c>
      <c r="N97" s="141" t="s">
        <v>1429</v>
      </c>
      <c r="O97" s="142" t="s">
        <v>1430</v>
      </c>
      <c r="P97" s="141" t="s">
        <v>1368</v>
      </c>
      <c r="Q97" s="142" t="s">
        <v>1432</v>
      </c>
      <c r="R97" s="141" t="s">
        <v>1471</v>
      </c>
      <c r="S97" s="142" t="s">
        <v>1469</v>
      </c>
      <c r="T97" s="141" t="s">
        <v>1479</v>
      </c>
      <c r="U97" s="142" t="s">
        <v>1478</v>
      </c>
      <c r="V97" s="142" t="s">
        <v>404</v>
      </c>
      <c r="W97" s="141">
        <f t="shared" si="3"/>
        <v>1</v>
      </c>
      <c r="X97" s="143"/>
      <c r="Y97" s="145"/>
      <c r="AA97"/>
    </row>
    <row r="98" spans="1:27" s="115" customFormat="1" ht="27" customHeight="1">
      <c r="A98" s="139">
        <v>90</v>
      </c>
      <c r="B98" s="140" t="s">
        <v>4617</v>
      </c>
      <c r="C98" s="141" t="s">
        <v>1429</v>
      </c>
      <c r="D98" s="142" t="s">
        <v>1430</v>
      </c>
      <c r="E98" s="141" t="s">
        <v>1431</v>
      </c>
      <c r="F98" s="142" t="s">
        <v>1432</v>
      </c>
      <c r="G98" s="141" t="s">
        <v>1476</v>
      </c>
      <c r="H98" s="142" t="s">
        <v>1469</v>
      </c>
      <c r="I98" s="141" t="s">
        <v>1480</v>
      </c>
      <c r="J98" s="142" t="s">
        <v>405</v>
      </c>
      <c r="K98" s="142" t="s">
        <v>405</v>
      </c>
      <c r="L98" s="143">
        <f t="shared" si="2"/>
        <v>1</v>
      </c>
      <c r="M98" s="144">
        <v>10720</v>
      </c>
      <c r="N98" s="141" t="s">
        <v>1429</v>
      </c>
      <c r="O98" s="142" t="s">
        <v>1430</v>
      </c>
      <c r="P98" s="141" t="s">
        <v>1368</v>
      </c>
      <c r="Q98" s="142" t="s">
        <v>1432</v>
      </c>
      <c r="R98" s="141" t="s">
        <v>1471</v>
      </c>
      <c r="S98" s="142" t="s">
        <v>1469</v>
      </c>
      <c r="T98" s="141" t="s">
        <v>1481</v>
      </c>
      <c r="U98" s="142" t="s">
        <v>405</v>
      </c>
      <c r="V98" s="142" t="s">
        <v>405</v>
      </c>
      <c r="W98" s="141">
        <f t="shared" si="3"/>
        <v>1</v>
      </c>
      <c r="X98" s="143"/>
      <c r="Y98" s="145"/>
      <c r="AA98"/>
    </row>
    <row r="99" spans="1:27" s="115" customFormat="1" ht="27" customHeight="1">
      <c r="A99" s="139">
        <v>91</v>
      </c>
      <c r="B99" s="140" t="s">
        <v>4618</v>
      </c>
      <c r="C99" s="141" t="s">
        <v>1429</v>
      </c>
      <c r="D99" s="142" t="s">
        <v>1430</v>
      </c>
      <c r="E99" s="141" t="s">
        <v>1431</v>
      </c>
      <c r="F99" s="142" t="s">
        <v>1432</v>
      </c>
      <c r="G99" s="141" t="s">
        <v>1476</v>
      </c>
      <c r="H99" s="142" t="s">
        <v>1469</v>
      </c>
      <c r="I99" s="141" t="s">
        <v>1482</v>
      </c>
      <c r="J99" s="142" t="s">
        <v>406</v>
      </c>
      <c r="K99" s="142" t="s">
        <v>406</v>
      </c>
      <c r="L99" s="143">
        <f t="shared" si="2"/>
        <v>1</v>
      </c>
      <c r="M99" s="144">
        <v>10730</v>
      </c>
      <c r="N99" s="141" t="s">
        <v>1429</v>
      </c>
      <c r="O99" s="142" t="s">
        <v>1430</v>
      </c>
      <c r="P99" s="141" t="s">
        <v>1368</v>
      </c>
      <c r="Q99" s="142" t="s">
        <v>1432</v>
      </c>
      <c r="R99" s="141" t="s">
        <v>1471</v>
      </c>
      <c r="S99" s="142" t="s">
        <v>1469</v>
      </c>
      <c r="T99" s="141" t="s">
        <v>1483</v>
      </c>
      <c r="U99" s="142" t="s">
        <v>406</v>
      </c>
      <c r="V99" s="142" t="s">
        <v>406</v>
      </c>
      <c r="W99" s="141">
        <f t="shared" si="3"/>
        <v>1</v>
      </c>
      <c r="X99" s="143"/>
      <c r="Y99" s="145"/>
      <c r="AA99"/>
    </row>
    <row r="100" spans="1:27" s="115" customFormat="1" ht="27" customHeight="1">
      <c r="A100" s="139">
        <v>92</v>
      </c>
      <c r="B100" s="140" t="s">
        <v>4619</v>
      </c>
      <c r="C100" s="141" t="s">
        <v>1429</v>
      </c>
      <c r="D100" s="142" t="s">
        <v>1430</v>
      </c>
      <c r="E100" s="141" t="s">
        <v>1431</v>
      </c>
      <c r="F100" s="142" t="s">
        <v>1432</v>
      </c>
      <c r="G100" s="141" t="s">
        <v>1476</v>
      </c>
      <c r="H100" s="142" t="s">
        <v>1469</v>
      </c>
      <c r="I100" s="141" t="s">
        <v>1484</v>
      </c>
      <c r="J100" s="142" t="s">
        <v>1485</v>
      </c>
      <c r="K100" s="142" t="s">
        <v>407</v>
      </c>
      <c r="L100" s="143">
        <f t="shared" si="2"/>
        <v>1</v>
      </c>
      <c r="M100" s="144">
        <v>10742</v>
      </c>
      <c r="N100" s="141" t="s">
        <v>1429</v>
      </c>
      <c r="O100" s="142" t="s">
        <v>1430</v>
      </c>
      <c r="P100" s="141" t="s">
        <v>1368</v>
      </c>
      <c r="Q100" s="142" t="s">
        <v>1432</v>
      </c>
      <c r="R100" s="141" t="s">
        <v>1471</v>
      </c>
      <c r="S100" s="142" t="s">
        <v>1469</v>
      </c>
      <c r="T100" s="141" t="s">
        <v>1486</v>
      </c>
      <c r="U100" s="142" t="s">
        <v>1485</v>
      </c>
      <c r="V100" s="142" t="s">
        <v>407</v>
      </c>
      <c r="W100" s="141">
        <f t="shared" si="3"/>
        <v>1</v>
      </c>
      <c r="X100" s="143"/>
      <c r="Y100" s="145"/>
      <c r="AA100"/>
    </row>
    <row r="101" spans="1:27" s="115" customFormat="1" ht="13.5" customHeight="1">
      <c r="A101" s="139">
        <v>93</v>
      </c>
      <c r="B101" s="140" t="s">
        <v>4620</v>
      </c>
      <c r="C101" s="141" t="s">
        <v>1429</v>
      </c>
      <c r="D101" s="142" t="s">
        <v>1430</v>
      </c>
      <c r="E101" s="141" t="s">
        <v>1431</v>
      </c>
      <c r="F101" s="142" t="s">
        <v>1432</v>
      </c>
      <c r="G101" s="141" t="s">
        <v>1476</v>
      </c>
      <c r="H101" s="142" t="s">
        <v>1469</v>
      </c>
      <c r="I101" s="141" t="s">
        <v>1484</v>
      </c>
      <c r="J101" s="142" t="s">
        <v>1485</v>
      </c>
      <c r="K101" s="142" t="s">
        <v>408</v>
      </c>
      <c r="L101" s="143">
        <f t="shared" si="2"/>
        <v>1</v>
      </c>
      <c r="M101" s="144">
        <v>10743</v>
      </c>
      <c r="N101" s="141" t="s">
        <v>1429</v>
      </c>
      <c r="O101" s="142" t="s">
        <v>1430</v>
      </c>
      <c r="P101" s="141" t="s">
        <v>1368</v>
      </c>
      <c r="Q101" s="142" t="s">
        <v>1432</v>
      </c>
      <c r="R101" s="141" t="s">
        <v>1471</v>
      </c>
      <c r="S101" s="142" t="s">
        <v>1469</v>
      </c>
      <c r="T101" s="141" t="s">
        <v>1486</v>
      </c>
      <c r="U101" s="142" t="s">
        <v>1485</v>
      </c>
      <c r="V101" s="142" t="s">
        <v>408</v>
      </c>
      <c r="W101" s="141">
        <f t="shared" si="3"/>
        <v>1</v>
      </c>
      <c r="X101" s="143"/>
      <c r="Y101" s="145"/>
      <c r="AA101"/>
    </row>
    <row r="102" spans="1:27" s="115" customFormat="1" ht="13.5" customHeight="1">
      <c r="A102" s="139">
        <v>94</v>
      </c>
      <c r="B102" s="140" t="s">
        <v>4621</v>
      </c>
      <c r="C102" s="141" t="s">
        <v>1429</v>
      </c>
      <c r="D102" s="142" t="s">
        <v>1430</v>
      </c>
      <c r="E102" s="141" t="s">
        <v>1431</v>
      </c>
      <c r="F102" s="142" t="s">
        <v>1432</v>
      </c>
      <c r="G102" s="141" t="s">
        <v>1476</v>
      </c>
      <c r="H102" s="142" t="s">
        <v>1469</v>
      </c>
      <c r="I102" s="141" t="s">
        <v>1484</v>
      </c>
      <c r="J102" s="142" t="s">
        <v>1485</v>
      </c>
      <c r="K102" s="142" t="s">
        <v>409</v>
      </c>
      <c r="L102" s="143">
        <f t="shared" si="2"/>
        <v>1</v>
      </c>
      <c r="M102" s="144">
        <v>10741</v>
      </c>
      <c r="N102" s="141" t="s">
        <v>1429</v>
      </c>
      <c r="O102" s="142" t="s">
        <v>1430</v>
      </c>
      <c r="P102" s="141" t="s">
        <v>1368</v>
      </c>
      <c r="Q102" s="142" t="s">
        <v>1432</v>
      </c>
      <c r="R102" s="141" t="s">
        <v>1471</v>
      </c>
      <c r="S102" s="142" t="s">
        <v>1469</v>
      </c>
      <c r="T102" s="141" t="s">
        <v>1486</v>
      </c>
      <c r="U102" s="142" t="s">
        <v>1485</v>
      </c>
      <c r="V102" s="142" t="s">
        <v>409</v>
      </c>
      <c r="W102" s="141">
        <f t="shared" si="3"/>
        <v>1</v>
      </c>
      <c r="X102" s="143"/>
      <c r="Y102" s="145"/>
      <c r="AA102"/>
    </row>
    <row r="103" spans="1:27" s="115" customFormat="1" ht="13.5" customHeight="1">
      <c r="A103" s="139">
        <v>95</v>
      </c>
      <c r="B103" s="140" t="s">
        <v>4622</v>
      </c>
      <c r="C103" s="141" t="s">
        <v>1429</v>
      </c>
      <c r="D103" s="142" t="s">
        <v>1430</v>
      </c>
      <c r="E103" s="141" t="s">
        <v>1431</v>
      </c>
      <c r="F103" s="142" t="s">
        <v>1432</v>
      </c>
      <c r="G103" s="141" t="s">
        <v>1476</v>
      </c>
      <c r="H103" s="142" t="s">
        <v>1469</v>
      </c>
      <c r="I103" s="141" t="s">
        <v>1484</v>
      </c>
      <c r="J103" s="142" t="s">
        <v>1485</v>
      </c>
      <c r="K103" s="142" t="s">
        <v>110</v>
      </c>
      <c r="L103" s="143">
        <f t="shared" si="2"/>
        <v>1</v>
      </c>
      <c r="M103" s="144">
        <v>10749</v>
      </c>
      <c r="N103" s="141" t="s">
        <v>1429</v>
      </c>
      <c r="O103" s="142" t="s">
        <v>1430</v>
      </c>
      <c r="P103" s="141" t="s">
        <v>1368</v>
      </c>
      <c r="Q103" s="142" t="s">
        <v>1432</v>
      </c>
      <c r="R103" s="141" t="s">
        <v>1471</v>
      </c>
      <c r="S103" s="142" t="s">
        <v>1469</v>
      </c>
      <c r="T103" s="141" t="s">
        <v>1486</v>
      </c>
      <c r="U103" s="142" t="s">
        <v>1485</v>
      </c>
      <c r="V103" s="142" t="s">
        <v>110</v>
      </c>
      <c r="W103" s="141">
        <f t="shared" si="3"/>
        <v>1</v>
      </c>
      <c r="X103" s="143"/>
      <c r="Y103" s="145"/>
      <c r="AA103"/>
    </row>
    <row r="104" spans="1:27" s="115" customFormat="1" ht="13.5" customHeight="1">
      <c r="A104" s="139">
        <v>96</v>
      </c>
      <c r="B104" s="140" t="s">
        <v>4623</v>
      </c>
      <c r="C104" s="141" t="s">
        <v>1429</v>
      </c>
      <c r="D104" s="142" t="s">
        <v>1430</v>
      </c>
      <c r="E104" s="141" t="s">
        <v>1431</v>
      </c>
      <c r="F104" s="142" t="s">
        <v>1432</v>
      </c>
      <c r="G104" s="141" t="s">
        <v>1476</v>
      </c>
      <c r="H104" s="142" t="s">
        <v>1459</v>
      </c>
      <c r="I104" s="141" t="s">
        <v>1487</v>
      </c>
      <c r="J104" s="142" t="s">
        <v>1461</v>
      </c>
      <c r="K104" s="142" t="s">
        <v>395</v>
      </c>
      <c r="L104" s="143">
        <f t="shared" si="2"/>
        <v>1</v>
      </c>
      <c r="M104" s="144">
        <v>10611</v>
      </c>
      <c r="N104" s="141" t="s">
        <v>1429</v>
      </c>
      <c r="O104" s="142" t="s">
        <v>1430</v>
      </c>
      <c r="P104" s="141" t="s">
        <v>1368</v>
      </c>
      <c r="Q104" s="142" t="s">
        <v>1432</v>
      </c>
      <c r="R104" s="141" t="s">
        <v>1462</v>
      </c>
      <c r="S104" s="142" t="s">
        <v>1459</v>
      </c>
      <c r="T104" s="141" t="s">
        <v>1463</v>
      </c>
      <c r="U104" s="142" t="s">
        <v>1461</v>
      </c>
      <c r="V104" s="142" t="s">
        <v>395</v>
      </c>
      <c r="W104" s="141">
        <f t="shared" si="3"/>
        <v>2</v>
      </c>
      <c r="X104" s="143"/>
      <c r="Y104" s="145" t="s">
        <v>1488</v>
      </c>
      <c r="AA104"/>
    </row>
    <row r="105" spans="1:27" s="115" customFormat="1" ht="13.5" customHeight="1">
      <c r="A105" s="139">
        <v>97</v>
      </c>
      <c r="B105" s="140" t="s">
        <v>4624</v>
      </c>
      <c r="C105" s="141" t="s">
        <v>1429</v>
      </c>
      <c r="D105" s="142" t="s">
        <v>1430</v>
      </c>
      <c r="E105" s="141" t="s">
        <v>1431</v>
      </c>
      <c r="F105" s="142" t="s">
        <v>1432</v>
      </c>
      <c r="G105" s="141" t="s">
        <v>1476</v>
      </c>
      <c r="H105" s="142" t="s">
        <v>1459</v>
      </c>
      <c r="I105" s="141" t="s">
        <v>1487</v>
      </c>
      <c r="J105" s="142" t="s">
        <v>1461</v>
      </c>
      <c r="K105" s="142" t="s">
        <v>396</v>
      </c>
      <c r="L105" s="143">
        <f t="shared" si="2"/>
        <v>1</v>
      </c>
      <c r="M105" s="144">
        <v>10612</v>
      </c>
      <c r="N105" s="141" t="s">
        <v>1429</v>
      </c>
      <c r="O105" s="142" t="s">
        <v>1430</v>
      </c>
      <c r="P105" s="141" t="s">
        <v>1368</v>
      </c>
      <c r="Q105" s="142" t="s">
        <v>1432</v>
      </c>
      <c r="R105" s="141" t="s">
        <v>1462</v>
      </c>
      <c r="S105" s="142" t="s">
        <v>1459</v>
      </c>
      <c r="T105" s="141" t="s">
        <v>1463</v>
      </c>
      <c r="U105" s="142" t="s">
        <v>1461</v>
      </c>
      <c r="V105" s="142" t="s">
        <v>396</v>
      </c>
      <c r="W105" s="141">
        <f t="shared" si="3"/>
        <v>3</v>
      </c>
      <c r="X105" s="143"/>
      <c r="Y105" s="145" t="s">
        <v>1489</v>
      </c>
      <c r="AA105"/>
    </row>
    <row r="106" spans="1:27" s="115" customFormat="1" ht="13.5" customHeight="1">
      <c r="A106" s="139">
        <v>98</v>
      </c>
      <c r="B106" s="140" t="s">
        <v>4625</v>
      </c>
      <c r="C106" s="141" t="s">
        <v>1429</v>
      </c>
      <c r="D106" s="142" t="s">
        <v>1430</v>
      </c>
      <c r="E106" s="141" t="s">
        <v>1431</v>
      </c>
      <c r="F106" s="142" t="s">
        <v>1432</v>
      </c>
      <c r="G106" s="141" t="s">
        <v>1476</v>
      </c>
      <c r="H106" s="142" t="s">
        <v>1434</v>
      </c>
      <c r="I106" s="141" t="s">
        <v>1487</v>
      </c>
      <c r="J106" s="142" t="s">
        <v>107</v>
      </c>
      <c r="K106" s="142" t="s">
        <v>376</v>
      </c>
      <c r="L106" s="143">
        <f t="shared" si="2"/>
        <v>2</v>
      </c>
      <c r="M106" s="144">
        <v>10111</v>
      </c>
      <c r="N106" s="141" t="s">
        <v>1429</v>
      </c>
      <c r="O106" s="142" t="s">
        <v>1430</v>
      </c>
      <c r="P106" s="141" t="s">
        <v>1368</v>
      </c>
      <c r="Q106" s="142" t="s">
        <v>1432</v>
      </c>
      <c r="R106" s="141" t="s">
        <v>333</v>
      </c>
      <c r="S106" s="142" t="s">
        <v>1434</v>
      </c>
      <c r="T106" s="141" t="s">
        <v>1436</v>
      </c>
      <c r="U106" s="142" t="s">
        <v>107</v>
      </c>
      <c r="V106" s="142" t="s">
        <v>376</v>
      </c>
      <c r="W106" s="141">
        <f t="shared" si="3"/>
        <v>2</v>
      </c>
      <c r="X106" s="143"/>
      <c r="Y106" s="145" t="s">
        <v>1488</v>
      </c>
      <c r="AA106"/>
    </row>
    <row r="107" spans="1:27" s="115" customFormat="1" ht="13.5" customHeight="1">
      <c r="A107" s="139">
        <v>98</v>
      </c>
      <c r="B107" s="140" t="s">
        <v>4625</v>
      </c>
      <c r="C107" s="141" t="s">
        <v>1429</v>
      </c>
      <c r="D107" s="142" t="s">
        <v>1430</v>
      </c>
      <c r="E107" s="141" t="s">
        <v>1431</v>
      </c>
      <c r="F107" s="142" t="s">
        <v>1432</v>
      </c>
      <c r="G107" s="141" t="s">
        <v>1476</v>
      </c>
      <c r="H107" s="142" t="s">
        <v>1434</v>
      </c>
      <c r="I107" s="141" t="s">
        <v>1487</v>
      </c>
      <c r="J107" s="142" t="s">
        <v>107</v>
      </c>
      <c r="K107" s="142" t="s">
        <v>378</v>
      </c>
      <c r="L107" s="143">
        <f t="shared" si="2"/>
        <v>2</v>
      </c>
      <c r="M107" s="144">
        <v>10112</v>
      </c>
      <c r="N107" s="141" t="s">
        <v>1429</v>
      </c>
      <c r="O107" s="142" t="s">
        <v>1430</v>
      </c>
      <c r="P107" s="141" t="s">
        <v>1368</v>
      </c>
      <c r="Q107" s="142" t="s">
        <v>1432</v>
      </c>
      <c r="R107" s="141" t="s">
        <v>333</v>
      </c>
      <c r="S107" s="142" t="s">
        <v>1434</v>
      </c>
      <c r="T107" s="141" t="s">
        <v>1436</v>
      </c>
      <c r="U107" s="142" t="s">
        <v>107</v>
      </c>
      <c r="V107" s="142" t="s">
        <v>378</v>
      </c>
      <c r="W107" s="141">
        <f t="shared" si="3"/>
        <v>2</v>
      </c>
      <c r="X107" s="143"/>
      <c r="Y107" s="145" t="s">
        <v>1488</v>
      </c>
      <c r="AA107"/>
    </row>
    <row r="108" spans="1:27" s="115" customFormat="1" ht="13.5" customHeight="1">
      <c r="A108" s="139">
        <v>99</v>
      </c>
      <c r="B108" s="140" t="s">
        <v>4626</v>
      </c>
      <c r="C108" s="141" t="s">
        <v>1429</v>
      </c>
      <c r="D108" s="142" t="s">
        <v>1430</v>
      </c>
      <c r="E108" s="141" t="s">
        <v>1431</v>
      </c>
      <c r="F108" s="142" t="s">
        <v>1432</v>
      </c>
      <c r="G108" s="141" t="s">
        <v>1476</v>
      </c>
      <c r="H108" s="142" t="s">
        <v>1434</v>
      </c>
      <c r="I108" s="141" t="s">
        <v>1487</v>
      </c>
      <c r="J108" s="142" t="s">
        <v>1437</v>
      </c>
      <c r="K108" s="142" t="s">
        <v>377</v>
      </c>
      <c r="L108" s="143">
        <f t="shared" si="2"/>
        <v>4</v>
      </c>
      <c r="M108" s="144">
        <v>10121</v>
      </c>
      <c r="N108" s="141" t="s">
        <v>1429</v>
      </c>
      <c r="O108" s="142" t="s">
        <v>1430</v>
      </c>
      <c r="P108" s="141" t="s">
        <v>1368</v>
      </c>
      <c r="Q108" s="142" t="s">
        <v>1432</v>
      </c>
      <c r="R108" s="141" t="s">
        <v>333</v>
      </c>
      <c r="S108" s="142" t="s">
        <v>1434</v>
      </c>
      <c r="T108" s="141" t="s">
        <v>1438</v>
      </c>
      <c r="U108" s="142" t="s">
        <v>1437</v>
      </c>
      <c r="V108" s="142" t="s">
        <v>377</v>
      </c>
      <c r="W108" s="141">
        <f t="shared" si="3"/>
        <v>2</v>
      </c>
      <c r="X108" s="143"/>
      <c r="Y108" s="145" t="s">
        <v>1490</v>
      </c>
      <c r="AA108"/>
    </row>
    <row r="109" spans="1:27" s="115" customFormat="1" ht="13.5" customHeight="1">
      <c r="A109" s="139">
        <v>99</v>
      </c>
      <c r="B109" s="140" t="s">
        <v>6050</v>
      </c>
      <c r="C109" s="141" t="s">
        <v>1429</v>
      </c>
      <c r="D109" s="142" t="s">
        <v>1430</v>
      </c>
      <c r="E109" s="141" t="s">
        <v>1431</v>
      </c>
      <c r="F109" s="142" t="s">
        <v>1432</v>
      </c>
      <c r="G109" s="141" t="s">
        <v>1476</v>
      </c>
      <c r="H109" s="147" t="s">
        <v>1434</v>
      </c>
      <c r="I109" s="141" t="s">
        <v>1487</v>
      </c>
      <c r="J109" s="147" t="s">
        <v>1437</v>
      </c>
      <c r="K109" s="147" t="s">
        <v>379</v>
      </c>
      <c r="L109" s="143">
        <f t="shared" si="2"/>
        <v>4</v>
      </c>
      <c r="M109" s="144">
        <v>10122</v>
      </c>
      <c r="N109" s="146" t="s">
        <v>1429</v>
      </c>
      <c r="O109" s="147" t="s">
        <v>1430</v>
      </c>
      <c r="P109" s="146" t="s">
        <v>1368</v>
      </c>
      <c r="Q109" s="147" t="s">
        <v>1432</v>
      </c>
      <c r="R109" s="146" t="s">
        <v>333</v>
      </c>
      <c r="S109" s="147" t="s">
        <v>1434</v>
      </c>
      <c r="T109" s="146" t="s">
        <v>1438</v>
      </c>
      <c r="U109" s="147" t="s">
        <v>1437</v>
      </c>
      <c r="V109" s="147" t="s">
        <v>379</v>
      </c>
      <c r="W109" s="141">
        <f t="shared" si="3"/>
        <v>2</v>
      </c>
      <c r="X109" s="143"/>
      <c r="Y109" s="145" t="s">
        <v>1491</v>
      </c>
      <c r="AA109"/>
    </row>
    <row r="110" spans="1:27" s="115" customFormat="1" ht="13.5" customHeight="1">
      <c r="A110" s="139">
        <v>99</v>
      </c>
      <c r="B110" s="140" t="s">
        <v>4626</v>
      </c>
      <c r="C110" s="141" t="s">
        <v>1429</v>
      </c>
      <c r="D110" s="142" t="s">
        <v>1430</v>
      </c>
      <c r="E110" s="141" t="s">
        <v>1431</v>
      </c>
      <c r="F110" s="142" t="s">
        <v>1432</v>
      </c>
      <c r="G110" s="141" t="s">
        <v>1476</v>
      </c>
      <c r="H110" s="142" t="s">
        <v>1439</v>
      </c>
      <c r="I110" s="141" t="s">
        <v>1487</v>
      </c>
      <c r="J110" s="142" t="s">
        <v>1441</v>
      </c>
      <c r="K110" s="142" t="s">
        <v>383</v>
      </c>
      <c r="L110" s="143">
        <f t="shared" si="2"/>
        <v>4</v>
      </c>
      <c r="M110" s="144">
        <v>10213</v>
      </c>
      <c r="N110" s="141" t="s">
        <v>1429</v>
      </c>
      <c r="O110" s="142" t="s">
        <v>1430</v>
      </c>
      <c r="P110" s="141" t="s">
        <v>1368</v>
      </c>
      <c r="Q110" s="142" t="s">
        <v>1432</v>
      </c>
      <c r="R110" s="141" t="s">
        <v>1442</v>
      </c>
      <c r="S110" s="142" t="s">
        <v>1439</v>
      </c>
      <c r="T110" s="141" t="s">
        <v>1443</v>
      </c>
      <c r="U110" s="142" t="s">
        <v>1441</v>
      </c>
      <c r="V110" s="142" t="s">
        <v>383</v>
      </c>
      <c r="W110" s="141">
        <f t="shared" si="3"/>
        <v>2</v>
      </c>
      <c r="X110" s="143"/>
      <c r="Y110" s="145" t="s">
        <v>1492</v>
      </c>
      <c r="AA110"/>
    </row>
    <row r="111" spans="1:27" s="115" customFormat="1" ht="27" customHeight="1">
      <c r="A111" s="139">
        <v>99</v>
      </c>
      <c r="B111" s="140" t="s">
        <v>4626</v>
      </c>
      <c r="C111" s="141" t="s">
        <v>1429</v>
      </c>
      <c r="D111" s="142" t="s">
        <v>1430</v>
      </c>
      <c r="E111" s="141" t="s">
        <v>1431</v>
      </c>
      <c r="F111" s="142" t="s">
        <v>1432</v>
      </c>
      <c r="G111" s="141" t="s">
        <v>1476</v>
      </c>
      <c r="H111" s="142" t="s">
        <v>1444</v>
      </c>
      <c r="I111" s="141" t="s">
        <v>1487</v>
      </c>
      <c r="J111" s="142" t="s">
        <v>1444</v>
      </c>
      <c r="K111" s="142" t="s">
        <v>386</v>
      </c>
      <c r="L111" s="143">
        <f t="shared" si="2"/>
        <v>4</v>
      </c>
      <c r="M111" s="144">
        <v>10309</v>
      </c>
      <c r="N111" s="141" t="s">
        <v>1429</v>
      </c>
      <c r="O111" s="142" t="s">
        <v>1430</v>
      </c>
      <c r="P111" s="141" t="s">
        <v>1368</v>
      </c>
      <c r="Q111" s="142" t="s">
        <v>1432</v>
      </c>
      <c r="R111" s="141">
        <v>103</v>
      </c>
      <c r="S111" s="142" t="s">
        <v>1444</v>
      </c>
      <c r="T111" s="141">
        <v>1030</v>
      </c>
      <c r="U111" s="142" t="s">
        <v>1444</v>
      </c>
      <c r="V111" s="142" t="s">
        <v>386</v>
      </c>
      <c r="W111" s="141">
        <f t="shared" si="3"/>
        <v>3</v>
      </c>
      <c r="X111" s="143"/>
      <c r="Y111" s="145" t="s">
        <v>1493</v>
      </c>
      <c r="AA111"/>
    </row>
    <row r="112" spans="1:27" s="115" customFormat="1" ht="27" customHeight="1">
      <c r="A112" s="139">
        <v>100</v>
      </c>
      <c r="B112" s="140" t="s">
        <v>4627</v>
      </c>
      <c r="C112" s="141" t="s">
        <v>1429</v>
      </c>
      <c r="D112" s="142" t="s">
        <v>1430</v>
      </c>
      <c r="E112" s="141" t="s">
        <v>1431</v>
      </c>
      <c r="F112" s="142" t="s">
        <v>1432</v>
      </c>
      <c r="G112" s="141" t="s">
        <v>1476</v>
      </c>
      <c r="H112" s="142" t="s">
        <v>1439</v>
      </c>
      <c r="I112" s="141" t="s">
        <v>1487</v>
      </c>
      <c r="J112" s="142" t="s">
        <v>1441</v>
      </c>
      <c r="K112" s="142" t="s">
        <v>381</v>
      </c>
      <c r="L112" s="143">
        <f t="shared" si="2"/>
        <v>7</v>
      </c>
      <c r="M112" s="144">
        <v>10212</v>
      </c>
      <c r="N112" s="141" t="s">
        <v>1429</v>
      </c>
      <c r="O112" s="142" t="s">
        <v>1430</v>
      </c>
      <c r="P112" s="141" t="s">
        <v>1368</v>
      </c>
      <c r="Q112" s="142" t="s">
        <v>1432</v>
      </c>
      <c r="R112" s="141" t="s">
        <v>1442</v>
      </c>
      <c r="S112" s="142" t="s">
        <v>1439</v>
      </c>
      <c r="T112" s="141" t="s">
        <v>1443</v>
      </c>
      <c r="U112" s="142" t="s">
        <v>1441</v>
      </c>
      <c r="V112" s="142" t="s">
        <v>381</v>
      </c>
      <c r="W112" s="141">
        <f t="shared" si="3"/>
        <v>2</v>
      </c>
      <c r="X112" s="143"/>
      <c r="Y112" s="145" t="s">
        <v>1494</v>
      </c>
      <c r="AA112"/>
    </row>
    <row r="113" spans="1:27" s="115" customFormat="1" ht="27" customHeight="1">
      <c r="A113" s="139">
        <v>100</v>
      </c>
      <c r="B113" s="140" t="s">
        <v>4627</v>
      </c>
      <c r="C113" s="141" t="s">
        <v>1429</v>
      </c>
      <c r="D113" s="142" t="s">
        <v>1430</v>
      </c>
      <c r="E113" s="141" t="s">
        <v>1431</v>
      </c>
      <c r="F113" s="142" t="s">
        <v>1432</v>
      </c>
      <c r="G113" s="141" t="s">
        <v>1476</v>
      </c>
      <c r="H113" s="142" t="s">
        <v>1439</v>
      </c>
      <c r="I113" s="141" t="s">
        <v>1487</v>
      </c>
      <c r="J113" s="142" t="s">
        <v>1495</v>
      </c>
      <c r="K113" s="142" t="s">
        <v>111</v>
      </c>
      <c r="L113" s="143">
        <f t="shared" si="2"/>
        <v>7</v>
      </c>
      <c r="M113" s="144">
        <v>10220</v>
      </c>
      <c r="N113" s="141" t="s">
        <v>1429</v>
      </c>
      <c r="O113" s="142" t="s">
        <v>1430</v>
      </c>
      <c r="P113" s="141" t="s">
        <v>1368</v>
      </c>
      <c r="Q113" s="142" t="s">
        <v>1432</v>
      </c>
      <c r="R113" s="141" t="s">
        <v>1442</v>
      </c>
      <c r="S113" s="142" t="s">
        <v>1439</v>
      </c>
      <c r="T113" s="141" t="s">
        <v>1496</v>
      </c>
      <c r="U113" s="142" t="s">
        <v>111</v>
      </c>
      <c r="V113" s="142" t="s">
        <v>111</v>
      </c>
      <c r="W113" s="141">
        <f t="shared" si="3"/>
        <v>2</v>
      </c>
      <c r="X113" s="143"/>
      <c r="Y113" s="145" t="s">
        <v>1497</v>
      </c>
      <c r="AA113"/>
    </row>
    <row r="114" spans="1:27" s="115" customFormat="1" ht="27" customHeight="1">
      <c r="A114" s="139">
        <v>100</v>
      </c>
      <c r="B114" s="140" t="s">
        <v>4627</v>
      </c>
      <c r="C114" s="141" t="s">
        <v>1429</v>
      </c>
      <c r="D114" s="142" t="s">
        <v>1430</v>
      </c>
      <c r="E114" s="141" t="s">
        <v>1431</v>
      </c>
      <c r="F114" s="142" t="s">
        <v>1432</v>
      </c>
      <c r="G114" s="141" t="s">
        <v>1476</v>
      </c>
      <c r="H114" s="142" t="s">
        <v>1444</v>
      </c>
      <c r="I114" s="141" t="s">
        <v>1487</v>
      </c>
      <c r="J114" s="142" t="s">
        <v>1444</v>
      </c>
      <c r="K114" s="142" t="s">
        <v>386</v>
      </c>
      <c r="L114" s="143">
        <f t="shared" si="2"/>
        <v>7</v>
      </c>
      <c r="M114" s="144">
        <v>10309</v>
      </c>
      <c r="N114" s="141" t="s">
        <v>1429</v>
      </c>
      <c r="O114" s="142" t="s">
        <v>1430</v>
      </c>
      <c r="P114" s="141" t="s">
        <v>1368</v>
      </c>
      <c r="Q114" s="142" t="s">
        <v>1432</v>
      </c>
      <c r="R114" s="141" t="s">
        <v>1446</v>
      </c>
      <c r="S114" s="142" t="s">
        <v>1444</v>
      </c>
      <c r="T114" s="141" t="s">
        <v>1447</v>
      </c>
      <c r="U114" s="142" t="s">
        <v>1444</v>
      </c>
      <c r="V114" s="142" t="s">
        <v>386</v>
      </c>
      <c r="W114" s="141">
        <f t="shared" si="3"/>
        <v>3</v>
      </c>
      <c r="X114" s="143"/>
      <c r="Y114" s="145" t="s">
        <v>1498</v>
      </c>
      <c r="AA114"/>
    </row>
    <row r="115" spans="1:27" s="115" customFormat="1" ht="27" customHeight="1">
      <c r="A115" s="139">
        <v>100</v>
      </c>
      <c r="B115" s="140" t="s">
        <v>4627</v>
      </c>
      <c r="C115" s="141" t="s">
        <v>1429</v>
      </c>
      <c r="D115" s="142" t="s">
        <v>1430</v>
      </c>
      <c r="E115" s="141" t="s">
        <v>1431</v>
      </c>
      <c r="F115" s="142" t="s">
        <v>1432</v>
      </c>
      <c r="G115" s="141" t="s">
        <v>1476</v>
      </c>
      <c r="H115" s="142" t="s">
        <v>1448</v>
      </c>
      <c r="I115" s="141" t="s">
        <v>1487</v>
      </c>
      <c r="J115" s="142" t="s">
        <v>1448</v>
      </c>
      <c r="K115" s="142" t="s">
        <v>389</v>
      </c>
      <c r="L115" s="143">
        <f t="shared" si="2"/>
        <v>7</v>
      </c>
      <c r="M115" s="144">
        <v>10401</v>
      </c>
      <c r="N115" s="141" t="s">
        <v>1429</v>
      </c>
      <c r="O115" s="142" t="s">
        <v>1430</v>
      </c>
      <c r="P115" s="141" t="s">
        <v>1368</v>
      </c>
      <c r="Q115" s="142" t="s">
        <v>1432</v>
      </c>
      <c r="R115" s="141" t="s">
        <v>1450</v>
      </c>
      <c r="S115" s="142" t="s">
        <v>1448</v>
      </c>
      <c r="T115" s="141" t="s">
        <v>1451</v>
      </c>
      <c r="U115" s="142" t="s">
        <v>1448</v>
      </c>
      <c r="V115" s="142" t="s">
        <v>389</v>
      </c>
      <c r="W115" s="141">
        <f t="shared" si="3"/>
        <v>2</v>
      </c>
      <c r="X115" s="143"/>
      <c r="Y115" s="145" t="s">
        <v>1499</v>
      </c>
      <c r="AA115"/>
    </row>
    <row r="116" spans="1:27" s="115" customFormat="1" ht="27" customHeight="1">
      <c r="A116" s="139">
        <v>100</v>
      </c>
      <c r="B116" s="140" t="s">
        <v>4627</v>
      </c>
      <c r="C116" s="141" t="s">
        <v>1429</v>
      </c>
      <c r="D116" s="142" t="s">
        <v>1430</v>
      </c>
      <c r="E116" s="141" t="s">
        <v>1431</v>
      </c>
      <c r="F116" s="142" t="s">
        <v>1432</v>
      </c>
      <c r="G116" s="141" t="s">
        <v>1476</v>
      </c>
      <c r="H116" s="142" t="s">
        <v>1448</v>
      </c>
      <c r="I116" s="141" t="s">
        <v>1487</v>
      </c>
      <c r="J116" s="142" t="s">
        <v>1448</v>
      </c>
      <c r="K116" s="142" t="s">
        <v>388</v>
      </c>
      <c r="L116" s="143">
        <f t="shared" si="2"/>
        <v>7</v>
      </c>
      <c r="M116" s="144">
        <v>10402</v>
      </c>
      <c r="N116" s="141" t="s">
        <v>1429</v>
      </c>
      <c r="O116" s="142" t="s">
        <v>1430</v>
      </c>
      <c r="P116" s="141" t="s">
        <v>1368</v>
      </c>
      <c r="Q116" s="142" t="s">
        <v>1432</v>
      </c>
      <c r="R116" s="141" t="s">
        <v>1450</v>
      </c>
      <c r="S116" s="142" t="s">
        <v>1448</v>
      </c>
      <c r="T116" s="141" t="s">
        <v>1451</v>
      </c>
      <c r="U116" s="142" t="s">
        <v>1448</v>
      </c>
      <c r="V116" s="142" t="s">
        <v>388</v>
      </c>
      <c r="W116" s="141">
        <f t="shared" si="3"/>
        <v>2</v>
      </c>
      <c r="X116" s="143"/>
      <c r="Y116" s="145" t="s">
        <v>1500</v>
      </c>
      <c r="AA116"/>
    </row>
    <row r="117" spans="1:27" s="115" customFormat="1" ht="27" customHeight="1">
      <c r="A117" s="139">
        <v>100</v>
      </c>
      <c r="B117" s="140" t="s">
        <v>4627</v>
      </c>
      <c r="C117" s="141" t="s">
        <v>1429</v>
      </c>
      <c r="D117" s="142" t="s">
        <v>1430</v>
      </c>
      <c r="E117" s="141" t="s">
        <v>1431</v>
      </c>
      <c r="F117" s="142" t="s">
        <v>1432</v>
      </c>
      <c r="G117" s="141" t="s">
        <v>1476</v>
      </c>
      <c r="H117" s="142" t="s">
        <v>1459</v>
      </c>
      <c r="I117" s="141" t="s">
        <v>1487</v>
      </c>
      <c r="J117" s="142" t="s">
        <v>1461</v>
      </c>
      <c r="K117" s="142" t="s">
        <v>394</v>
      </c>
      <c r="L117" s="143">
        <f t="shared" si="2"/>
        <v>7</v>
      </c>
      <c r="M117" s="144">
        <v>10619</v>
      </c>
      <c r="N117" s="141" t="s">
        <v>1429</v>
      </c>
      <c r="O117" s="142" t="s">
        <v>1430</v>
      </c>
      <c r="P117" s="141" t="s">
        <v>1368</v>
      </c>
      <c r="Q117" s="142" t="s">
        <v>1432</v>
      </c>
      <c r="R117" s="141" t="s">
        <v>1462</v>
      </c>
      <c r="S117" s="142" t="s">
        <v>1459</v>
      </c>
      <c r="T117" s="141" t="s">
        <v>1463</v>
      </c>
      <c r="U117" s="142" t="s">
        <v>1461</v>
      </c>
      <c r="V117" s="142" t="s">
        <v>394</v>
      </c>
      <c r="W117" s="141">
        <f t="shared" si="3"/>
        <v>2</v>
      </c>
      <c r="X117" s="143"/>
      <c r="Y117" s="145" t="s">
        <v>1501</v>
      </c>
      <c r="AA117"/>
    </row>
    <row r="118" spans="1:27" s="115" customFormat="1" ht="13.5" customHeight="1">
      <c r="A118" s="139">
        <v>100</v>
      </c>
      <c r="B118" s="140" t="s">
        <v>4627</v>
      </c>
      <c r="C118" s="141" t="s">
        <v>1429</v>
      </c>
      <c r="D118" s="142" t="s">
        <v>1430</v>
      </c>
      <c r="E118" s="141" t="s">
        <v>1431</v>
      </c>
      <c r="F118" s="142" t="s">
        <v>1432</v>
      </c>
      <c r="G118" s="141" t="s">
        <v>1476</v>
      </c>
      <c r="H118" s="142" t="s">
        <v>1469</v>
      </c>
      <c r="I118" s="141" t="s">
        <v>1487</v>
      </c>
      <c r="J118" s="142" t="s">
        <v>1502</v>
      </c>
      <c r="K118" s="142" t="s">
        <v>412</v>
      </c>
      <c r="L118" s="143">
        <f t="shared" si="2"/>
        <v>7</v>
      </c>
      <c r="M118" s="144">
        <v>10796</v>
      </c>
      <c r="N118" s="141" t="s">
        <v>1429</v>
      </c>
      <c r="O118" s="142" t="s">
        <v>1430</v>
      </c>
      <c r="P118" s="141" t="s">
        <v>1368</v>
      </c>
      <c r="Q118" s="142" t="s">
        <v>1432</v>
      </c>
      <c r="R118" s="141" t="s">
        <v>1471</v>
      </c>
      <c r="S118" s="142" t="s">
        <v>1469</v>
      </c>
      <c r="T118" s="141" t="s">
        <v>1503</v>
      </c>
      <c r="U118" s="142" t="s">
        <v>1502</v>
      </c>
      <c r="V118" s="142" t="s">
        <v>412</v>
      </c>
      <c r="W118" s="141">
        <f t="shared" si="3"/>
        <v>2</v>
      </c>
      <c r="X118" s="143"/>
      <c r="Y118" s="145" t="s">
        <v>1504</v>
      </c>
      <c r="AA118"/>
    </row>
    <row r="119" spans="1:27" s="115" customFormat="1" ht="13.5" customHeight="1">
      <c r="A119" s="139">
        <v>101</v>
      </c>
      <c r="B119" s="140" t="s">
        <v>4628</v>
      </c>
      <c r="C119" s="141" t="s">
        <v>1429</v>
      </c>
      <c r="D119" s="142" t="s">
        <v>1430</v>
      </c>
      <c r="E119" s="141" t="s">
        <v>1431</v>
      </c>
      <c r="F119" s="142" t="s">
        <v>1432</v>
      </c>
      <c r="G119" s="141" t="s">
        <v>1476</v>
      </c>
      <c r="H119" s="142" t="s">
        <v>1459</v>
      </c>
      <c r="I119" s="141" t="s">
        <v>1487</v>
      </c>
      <c r="J119" s="142" t="s">
        <v>1461</v>
      </c>
      <c r="K119" s="142" t="s">
        <v>396</v>
      </c>
      <c r="L119" s="143">
        <f t="shared" si="2"/>
        <v>1</v>
      </c>
      <c r="M119" s="144">
        <v>10612</v>
      </c>
      <c r="N119" s="141" t="s">
        <v>1429</v>
      </c>
      <c r="O119" s="142" t="s">
        <v>1430</v>
      </c>
      <c r="P119" s="141" t="s">
        <v>1368</v>
      </c>
      <c r="Q119" s="142" t="s">
        <v>1432</v>
      </c>
      <c r="R119" s="141" t="s">
        <v>1462</v>
      </c>
      <c r="S119" s="142" t="s">
        <v>1459</v>
      </c>
      <c r="T119" s="141" t="s">
        <v>1463</v>
      </c>
      <c r="U119" s="142" t="s">
        <v>1461</v>
      </c>
      <c r="V119" s="142" t="s">
        <v>396</v>
      </c>
      <c r="W119" s="141">
        <f t="shared" si="3"/>
        <v>3</v>
      </c>
      <c r="X119" s="143"/>
      <c r="Y119" s="145" t="s">
        <v>1488</v>
      </c>
      <c r="AA119"/>
    </row>
    <row r="120" spans="1:27" s="115" customFormat="1" ht="13.5" customHeight="1">
      <c r="A120" s="139">
        <v>102</v>
      </c>
      <c r="B120" s="140" t="s">
        <v>4629</v>
      </c>
      <c r="C120" s="141" t="s">
        <v>1429</v>
      </c>
      <c r="D120" s="142" t="s">
        <v>1430</v>
      </c>
      <c r="E120" s="141" t="s">
        <v>1431</v>
      </c>
      <c r="F120" s="142" t="s">
        <v>1432</v>
      </c>
      <c r="G120" s="141" t="s">
        <v>1476</v>
      </c>
      <c r="H120" s="142" t="s">
        <v>1469</v>
      </c>
      <c r="I120" s="141" t="s">
        <v>1505</v>
      </c>
      <c r="J120" s="142" t="s">
        <v>1502</v>
      </c>
      <c r="K120" s="142" t="s">
        <v>410</v>
      </c>
      <c r="L120" s="143">
        <f t="shared" si="2"/>
        <v>1</v>
      </c>
      <c r="M120" s="144">
        <v>10791</v>
      </c>
      <c r="N120" s="141" t="s">
        <v>1429</v>
      </c>
      <c r="O120" s="142" t="s">
        <v>1430</v>
      </c>
      <c r="P120" s="141" t="s">
        <v>1368</v>
      </c>
      <c r="Q120" s="142" t="s">
        <v>1432</v>
      </c>
      <c r="R120" s="141" t="s">
        <v>1471</v>
      </c>
      <c r="S120" s="142" t="s">
        <v>1469</v>
      </c>
      <c r="T120" s="141" t="s">
        <v>1503</v>
      </c>
      <c r="U120" s="142" t="s">
        <v>1502</v>
      </c>
      <c r="V120" s="142" t="s">
        <v>410</v>
      </c>
      <c r="W120" s="141">
        <f t="shared" si="3"/>
        <v>1</v>
      </c>
      <c r="X120" s="143"/>
      <c r="Y120" s="145"/>
      <c r="AA120"/>
    </row>
    <row r="121" spans="1:27" s="115" customFormat="1" ht="13.5" customHeight="1">
      <c r="A121" s="139">
        <v>103</v>
      </c>
      <c r="B121" s="140" t="s">
        <v>4630</v>
      </c>
      <c r="C121" s="141" t="s">
        <v>1429</v>
      </c>
      <c r="D121" s="142" t="s">
        <v>1430</v>
      </c>
      <c r="E121" s="141" t="s">
        <v>1431</v>
      </c>
      <c r="F121" s="142" t="s">
        <v>1432</v>
      </c>
      <c r="G121" s="141" t="s">
        <v>1476</v>
      </c>
      <c r="H121" s="142" t="s">
        <v>1469</v>
      </c>
      <c r="I121" s="141" t="s">
        <v>1505</v>
      </c>
      <c r="J121" s="142" t="s">
        <v>1502</v>
      </c>
      <c r="K121" s="142" t="s">
        <v>411</v>
      </c>
      <c r="L121" s="143">
        <f t="shared" si="2"/>
        <v>1</v>
      </c>
      <c r="M121" s="144">
        <v>10794</v>
      </c>
      <c r="N121" s="141" t="s">
        <v>1429</v>
      </c>
      <c r="O121" s="142" t="s">
        <v>1430</v>
      </c>
      <c r="P121" s="141" t="s">
        <v>1368</v>
      </c>
      <c r="Q121" s="142" t="s">
        <v>1432</v>
      </c>
      <c r="R121" s="141" t="s">
        <v>1471</v>
      </c>
      <c r="S121" s="142" t="s">
        <v>1469</v>
      </c>
      <c r="T121" s="141" t="s">
        <v>1503</v>
      </c>
      <c r="U121" s="142" t="s">
        <v>1502</v>
      </c>
      <c r="V121" s="142" t="s">
        <v>411</v>
      </c>
      <c r="W121" s="141">
        <f t="shared" si="3"/>
        <v>1</v>
      </c>
      <c r="X121" s="143"/>
      <c r="Y121" s="145"/>
      <c r="AA121"/>
    </row>
    <row r="122" spans="1:27" s="115" customFormat="1" ht="13.5" customHeight="1">
      <c r="A122" s="139">
        <v>104</v>
      </c>
      <c r="B122" s="140" t="s">
        <v>4631</v>
      </c>
      <c r="C122" s="141" t="s">
        <v>1429</v>
      </c>
      <c r="D122" s="142" t="s">
        <v>1430</v>
      </c>
      <c r="E122" s="141" t="s">
        <v>1431</v>
      </c>
      <c r="F122" s="142" t="s">
        <v>1432</v>
      </c>
      <c r="G122" s="141" t="s">
        <v>1476</v>
      </c>
      <c r="H122" s="142" t="s">
        <v>1469</v>
      </c>
      <c r="I122" s="141" t="s">
        <v>1505</v>
      </c>
      <c r="J122" s="142" t="s">
        <v>1502</v>
      </c>
      <c r="K122" s="142" t="s">
        <v>412</v>
      </c>
      <c r="L122" s="143">
        <f t="shared" si="2"/>
        <v>1</v>
      </c>
      <c r="M122" s="144">
        <v>10796</v>
      </c>
      <c r="N122" s="141" t="s">
        <v>1429</v>
      </c>
      <c r="O122" s="142" t="s">
        <v>1430</v>
      </c>
      <c r="P122" s="141" t="s">
        <v>1368</v>
      </c>
      <c r="Q122" s="142" t="s">
        <v>1432</v>
      </c>
      <c r="R122" s="141" t="s">
        <v>1471</v>
      </c>
      <c r="S122" s="142" t="s">
        <v>1469</v>
      </c>
      <c r="T122" s="141" t="s">
        <v>1503</v>
      </c>
      <c r="U122" s="142" t="s">
        <v>1502</v>
      </c>
      <c r="V122" s="142" t="s">
        <v>412</v>
      </c>
      <c r="W122" s="141">
        <f t="shared" si="3"/>
        <v>2</v>
      </c>
      <c r="X122" s="143">
        <v>1</v>
      </c>
      <c r="Y122" s="145"/>
      <c r="AA122"/>
    </row>
    <row r="123" spans="1:27" s="115" customFormat="1" ht="13.5" customHeight="1">
      <c r="A123" s="139">
        <v>105</v>
      </c>
      <c r="B123" s="140" t="s">
        <v>4632</v>
      </c>
      <c r="C123" s="141" t="s">
        <v>1429</v>
      </c>
      <c r="D123" s="142" t="s">
        <v>1430</v>
      </c>
      <c r="E123" s="141" t="s">
        <v>1431</v>
      </c>
      <c r="F123" s="142" t="s">
        <v>1432</v>
      </c>
      <c r="G123" s="141" t="s">
        <v>1476</v>
      </c>
      <c r="H123" s="142" t="s">
        <v>1439</v>
      </c>
      <c r="I123" s="141" t="s">
        <v>1505</v>
      </c>
      <c r="J123" s="142" t="s">
        <v>111</v>
      </c>
      <c r="K123" s="142" t="s">
        <v>111</v>
      </c>
      <c r="L123" s="143">
        <f t="shared" si="2"/>
        <v>1</v>
      </c>
      <c r="M123" s="144">
        <v>10220</v>
      </c>
      <c r="N123" s="141" t="s">
        <v>1429</v>
      </c>
      <c r="O123" s="142" t="s">
        <v>1430</v>
      </c>
      <c r="P123" s="141" t="s">
        <v>1368</v>
      </c>
      <c r="Q123" s="142" t="s">
        <v>1432</v>
      </c>
      <c r="R123" s="141" t="s">
        <v>1442</v>
      </c>
      <c r="S123" s="142" t="s">
        <v>1439</v>
      </c>
      <c r="T123" s="141" t="s">
        <v>1496</v>
      </c>
      <c r="U123" s="142" t="s">
        <v>111</v>
      </c>
      <c r="V123" s="142" t="s">
        <v>111</v>
      </c>
      <c r="W123" s="141">
        <f t="shared" si="3"/>
        <v>2</v>
      </c>
      <c r="X123" s="143">
        <v>1</v>
      </c>
      <c r="Y123" s="145"/>
      <c r="AA123"/>
    </row>
    <row r="124" spans="1:27" s="115" customFormat="1" ht="13.5" customHeight="1">
      <c r="A124" s="139">
        <v>106</v>
      </c>
      <c r="B124" s="140" t="s">
        <v>4633</v>
      </c>
      <c r="C124" s="141" t="s">
        <v>1429</v>
      </c>
      <c r="D124" s="142" t="s">
        <v>1430</v>
      </c>
      <c r="E124" s="141" t="s">
        <v>1431</v>
      </c>
      <c r="F124" s="142" t="s">
        <v>1432</v>
      </c>
      <c r="G124" s="141" t="s">
        <v>1476</v>
      </c>
      <c r="H124" s="142" t="s">
        <v>1469</v>
      </c>
      <c r="I124" s="141" t="s">
        <v>1505</v>
      </c>
      <c r="J124" s="142" t="s">
        <v>1502</v>
      </c>
      <c r="K124" s="142" t="s">
        <v>413</v>
      </c>
      <c r="L124" s="143">
        <f t="shared" si="2"/>
        <v>1</v>
      </c>
      <c r="M124" s="144">
        <v>10792</v>
      </c>
      <c r="N124" s="141" t="s">
        <v>1429</v>
      </c>
      <c r="O124" s="142" t="s">
        <v>1430</v>
      </c>
      <c r="P124" s="141" t="s">
        <v>1368</v>
      </c>
      <c r="Q124" s="142" t="s">
        <v>1432</v>
      </c>
      <c r="R124" s="141" t="s">
        <v>1471</v>
      </c>
      <c r="S124" s="142" t="s">
        <v>1469</v>
      </c>
      <c r="T124" s="141" t="s">
        <v>1503</v>
      </c>
      <c r="U124" s="142" t="s">
        <v>1502</v>
      </c>
      <c r="V124" s="142" t="s">
        <v>413</v>
      </c>
      <c r="W124" s="141">
        <f t="shared" si="3"/>
        <v>1</v>
      </c>
      <c r="X124" s="143"/>
      <c r="Y124" s="145"/>
      <c r="AA124"/>
    </row>
    <row r="125" spans="1:27" s="115" customFormat="1" ht="13.5" customHeight="1">
      <c r="A125" s="139">
        <v>107</v>
      </c>
      <c r="B125" s="140" t="s">
        <v>4634</v>
      </c>
      <c r="C125" s="141" t="s">
        <v>1429</v>
      </c>
      <c r="D125" s="142" t="s">
        <v>1430</v>
      </c>
      <c r="E125" s="141" t="s">
        <v>1431</v>
      </c>
      <c r="F125" s="142" t="s">
        <v>1432</v>
      </c>
      <c r="G125" s="141" t="s">
        <v>1476</v>
      </c>
      <c r="H125" s="142" t="s">
        <v>1469</v>
      </c>
      <c r="I125" s="141" t="s">
        <v>1505</v>
      </c>
      <c r="J125" s="142" t="s">
        <v>1502</v>
      </c>
      <c r="K125" s="142" t="s">
        <v>414</v>
      </c>
      <c r="L125" s="143">
        <f t="shared" si="2"/>
        <v>1</v>
      </c>
      <c r="M125" s="144">
        <v>10795</v>
      </c>
      <c r="N125" s="141" t="s">
        <v>1429</v>
      </c>
      <c r="O125" s="142" t="s">
        <v>1430</v>
      </c>
      <c r="P125" s="141" t="s">
        <v>1368</v>
      </c>
      <c r="Q125" s="142" t="s">
        <v>1432</v>
      </c>
      <c r="R125" s="141" t="s">
        <v>1471</v>
      </c>
      <c r="S125" s="142" t="s">
        <v>1469</v>
      </c>
      <c r="T125" s="141" t="s">
        <v>1503</v>
      </c>
      <c r="U125" s="142" t="s">
        <v>1502</v>
      </c>
      <c r="V125" s="142" t="s">
        <v>414</v>
      </c>
      <c r="W125" s="141">
        <f t="shared" si="3"/>
        <v>1</v>
      </c>
      <c r="X125" s="143"/>
      <c r="Y125" s="145"/>
      <c r="AA125"/>
    </row>
    <row r="126" spans="1:27" s="115" customFormat="1" ht="27" customHeight="1">
      <c r="A126" s="139">
        <v>108</v>
      </c>
      <c r="B126" s="140" t="s">
        <v>4635</v>
      </c>
      <c r="C126" s="141" t="s">
        <v>1429</v>
      </c>
      <c r="D126" s="142" t="s">
        <v>1430</v>
      </c>
      <c r="E126" s="141" t="s">
        <v>1431</v>
      </c>
      <c r="F126" s="142" t="s">
        <v>1432</v>
      </c>
      <c r="G126" s="141" t="s">
        <v>1476</v>
      </c>
      <c r="H126" s="142" t="s">
        <v>1469</v>
      </c>
      <c r="I126" s="141" t="s">
        <v>1505</v>
      </c>
      <c r="J126" s="142" t="s">
        <v>1502</v>
      </c>
      <c r="K126" s="142" t="s">
        <v>415</v>
      </c>
      <c r="L126" s="143">
        <f t="shared" si="2"/>
        <v>1</v>
      </c>
      <c r="M126" s="144">
        <v>10793</v>
      </c>
      <c r="N126" s="141" t="s">
        <v>1429</v>
      </c>
      <c r="O126" s="142" t="s">
        <v>1430</v>
      </c>
      <c r="P126" s="141" t="s">
        <v>1368</v>
      </c>
      <c r="Q126" s="142" t="s">
        <v>1432</v>
      </c>
      <c r="R126" s="141" t="s">
        <v>1471</v>
      </c>
      <c r="S126" s="142" t="s">
        <v>1469</v>
      </c>
      <c r="T126" s="141" t="s">
        <v>1503</v>
      </c>
      <c r="U126" s="142" t="s">
        <v>1502</v>
      </c>
      <c r="V126" s="142" t="s">
        <v>415</v>
      </c>
      <c r="W126" s="141">
        <f t="shared" si="3"/>
        <v>1</v>
      </c>
      <c r="X126" s="143"/>
      <c r="Y126" s="145"/>
      <c r="AA126"/>
    </row>
    <row r="127" spans="1:27" s="115" customFormat="1" ht="27" customHeight="1">
      <c r="A127" s="139">
        <v>109</v>
      </c>
      <c r="B127" s="140" t="s">
        <v>4636</v>
      </c>
      <c r="C127" s="141" t="s">
        <v>1429</v>
      </c>
      <c r="D127" s="142" t="s">
        <v>1430</v>
      </c>
      <c r="E127" s="141" t="s">
        <v>1431</v>
      </c>
      <c r="F127" s="142" t="s">
        <v>1432</v>
      </c>
      <c r="G127" s="141" t="s">
        <v>1476</v>
      </c>
      <c r="H127" s="142" t="s">
        <v>1469</v>
      </c>
      <c r="I127" s="141" t="s">
        <v>1505</v>
      </c>
      <c r="J127" s="142" t="s">
        <v>1502</v>
      </c>
      <c r="K127" s="142" t="s">
        <v>416</v>
      </c>
      <c r="L127" s="143">
        <f t="shared" si="2"/>
        <v>1</v>
      </c>
      <c r="M127" s="144">
        <v>10797</v>
      </c>
      <c r="N127" s="141" t="s">
        <v>1429</v>
      </c>
      <c r="O127" s="142" t="s">
        <v>1430</v>
      </c>
      <c r="P127" s="141" t="s">
        <v>1368</v>
      </c>
      <c r="Q127" s="142" t="s">
        <v>1432</v>
      </c>
      <c r="R127" s="141" t="s">
        <v>1471</v>
      </c>
      <c r="S127" s="142" t="s">
        <v>1469</v>
      </c>
      <c r="T127" s="141" t="s">
        <v>1503</v>
      </c>
      <c r="U127" s="142" t="s">
        <v>1502</v>
      </c>
      <c r="V127" s="142" t="s">
        <v>416</v>
      </c>
      <c r="W127" s="141">
        <f t="shared" si="3"/>
        <v>1</v>
      </c>
      <c r="X127" s="143"/>
      <c r="Y127" s="145"/>
      <c r="AA127"/>
    </row>
    <row r="128" spans="1:27" s="115" customFormat="1" ht="27" customHeight="1">
      <c r="A128" s="139">
        <v>110</v>
      </c>
      <c r="B128" s="140" t="s">
        <v>4637</v>
      </c>
      <c r="C128" s="141" t="s">
        <v>1429</v>
      </c>
      <c r="D128" s="142" t="s">
        <v>1430</v>
      </c>
      <c r="E128" s="141" t="s">
        <v>1431</v>
      </c>
      <c r="F128" s="142" t="s">
        <v>1432</v>
      </c>
      <c r="G128" s="141" t="s">
        <v>1476</v>
      </c>
      <c r="H128" s="142" t="s">
        <v>1469</v>
      </c>
      <c r="I128" s="141" t="s">
        <v>1505</v>
      </c>
      <c r="J128" s="142" t="s">
        <v>1502</v>
      </c>
      <c r="K128" s="142" t="s">
        <v>417</v>
      </c>
      <c r="L128" s="143">
        <f t="shared" si="2"/>
        <v>1</v>
      </c>
      <c r="M128" s="144">
        <v>10799</v>
      </c>
      <c r="N128" s="141" t="s">
        <v>1429</v>
      </c>
      <c r="O128" s="142" t="s">
        <v>1430</v>
      </c>
      <c r="P128" s="141" t="s">
        <v>1368</v>
      </c>
      <c r="Q128" s="142" t="s">
        <v>1432</v>
      </c>
      <c r="R128" s="141" t="s">
        <v>1471</v>
      </c>
      <c r="S128" s="142" t="s">
        <v>1469</v>
      </c>
      <c r="T128" s="141" t="s">
        <v>1503</v>
      </c>
      <c r="U128" s="142" t="s">
        <v>1502</v>
      </c>
      <c r="V128" s="142" t="s">
        <v>417</v>
      </c>
      <c r="W128" s="141">
        <f t="shared" si="3"/>
        <v>1</v>
      </c>
      <c r="X128" s="143"/>
      <c r="Y128" s="145"/>
      <c r="AA128"/>
    </row>
    <row r="129" spans="1:27" s="115" customFormat="1" ht="13.5" customHeight="1">
      <c r="A129" s="139">
        <v>111</v>
      </c>
      <c r="B129" s="140" t="s">
        <v>4638</v>
      </c>
      <c r="C129" s="141" t="s">
        <v>1429</v>
      </c>
      <c r="D129" s="142" t="s">
        <v>1430</v>
      </c>
      <c r="E129" s="141" t="s">
        <v>1431</v>
      </c>
      <c r="F129" s="142" t="s">
        <v>1506</v>
      </c>
      <c r="G129" s="141" t="s">
        <v>1507</v>
      </c>
      <c r="H129" s="142" t="s">
        <v>1508</v>
      </c>
      <c r="I129" s="141" t="s">
        <v>1509</v>
      </c>
      <c r="J129" s="142" t="s">
        <v>1510</v>
      </c>
      <c r="K129" s="142" t="s">
        <v>418</v>
      </c>
      <c r="L129" s="143">
        <f t="shared" si="2"/>
        <v>1</v>
      </c>
      <c r="M129" s="144">
        <v>11121</v>
      </c>
      <c r="N129" s="141" t="s">
        <v>1429</v>
      </c>
      <c r="O129" s="142" t="s">
        <v>1430</v>
      </c>
      <c r="P129" s="141" t="s">
        <v>1511</v>
      </c>
      <c r="Q129" s="142" t="s">
        <v>1506</v>
      </c>
      <c r="R129" s="141" t="s">
        <v>1512</v>
      </c>
      <c r="S129" s="142" t="s">
        <v>1508</v>
      </c>
      <c r="T129" s="141" t="s">
        <v>1513</v>
      </c>
      <c r="U129" s="142" t="s">
        <v>1510</v>
      </c>
      <c r="V129" s="142" t="s">
        <v>418</v>
      </c>
      <c r="W129" s="141">
        <f t="shared" si="3"/>
        <v>1</v>
      </c>
      <c r="X129" s="143"/>
      <c r="Y129" s="145"/>
      <c r="AA129"/>
    </row>
    <row r="130" spans="1:27" s="115" customFormat="1" ht="13.5" customHeight="1">
      <c r="A130" s="139">
        <v>112</v>
      </c>
      <c r="B130" s="140" t="s">
        <v>4639</v>
      </c>
      <c r="C130" s="141" t="s">
        <v>1429</v>
      </c>
      <c r="D130" s="142" t="s">
        <v>1430</v>
      </c>
      <c r="E130" s="141" t="s">
        <v>1431</v>
      </c>
      <c r="F130" s="142" t="s">
        <v>1506</v>
      </c>
      <c r="G130" s="141" t="s">
        <v>1507</v>
      </c>
      <c r="H130" s="142" t="s">
        <v>1508</v>
      </c>
      <c r="I130" s="141" t="s">
        <v>1509</v>
      </c>
      <c r="J130" s="142" t="s">
        <v>1510</v>
      </c>
      <c r="K130" s="142" t="s">
        <v>419</v>
      </c>
      <c r="L130" s="143">
        <f t="shared" si="2"/>
        <v>1</v>
      </c>
      <c r="M130" s="144">
        <v>11122</v>
      </c>
      <c r="N130" s="141" t="s">
        <v>1429</v>
      </c>
      <c r="O130" s="142" t="s">
        <v>1430</v>
      </c>
      <c r="P130" s="141" t="s">
        <v>1511</v>
      </c>
      <c r="Q130" s="142" t="s">
        <v>1506</v>
      </c>
      <c r="R130" s="141" t="s">
        <v>1512</v>
      </c>
      <c r="S130" s="142" t="s">
        <v>1508</v>
      </c>
      <c r="T130" s="141" t="s">
        <v>1513</v>
      </c>
      <c r="U130" s="142" t="s">
        <v>1510</v>
      </c>
      <c r="V130" s="142" t="s">
        <v>419</v>
      </c>
      <c r="W130" s="141">
        <f t="shared" si="3"/>
        <v>1</v>
      </c>
      <c r="X130" s="143"/>
      <c r="Y130" s="145"/>
      <c r="AA130"/>
    </row>
    <row r="131" spans="1:27" s="115" customFormat="1" ht="13.5" customHeight="1">
      <c r="A131" s="139">
        <v>113</v>
      </c>
      <c r="B131" s="140" t="s">
        <v>4640</v>
      </c>
      <c r="C131" s="141" t="s">
        <v>1429</v>
      </c>
      <c r="D131" s="142" t="s">
        <v>1430</v>
      </c>
      <c r="E131" s="141" t="s">
        <v>1431</v>
      </c>
      <c r="F131" s="142" t="s">
        <v>1506</v>
      </c>
      <c r="G131" s="141" t="s">
        <v>1507</v>
      </c>
      <c r="H131" s="142" t="s">
        <v>1508</v>
      </c>
      <c r="I131" s="141" t="s">
        <v>1509</v>
      </c>
      <c r="J131" s="142" t="s">
        <v>1510</v>
      </c>
      <c r="K131" s="142" t="s">
        <v>112</v>
      </c>
      <c r="L131" s="143">
        <f t="shared" si="2"/>
        <v>1</v>
      </c>
      <c r="M131" s="144">
        <v>11129</v>
      </c>
      <c r="N131" s="141" t="s">
        <v>1429</v>
      </c>
      <c r="O131" s="142" t="s">
        <v>1430</v>
      </c>
      <c r="P131" s="141" t="s">
        <v>1511</v>
      </c>
      <c r="Q131" s="142" t="s">
        <v>1506</v>
      </c>
      <c r="R131" s="141" t="s">
        <v>1512</v>
      </c>
      <c r="S131" s="142" t="s">
        <v>1508</v>
      </c>
      <c r="T131" s="141" t="s">
        <v>1513</v>
      </c>
      <c r="U131" s="142" t="s">
        <v>1510</v>
      </c>
      <c r="V131" s="142" t="s">
        <v>112</v>
      </c>
      <c r="W131" s="141">
        <f t="shared" si="3"/>
        <v>1</v>
      </c>
      <c r="X131" s="143"/>
      <c r="Y131" s="145"/>
      <c r="AA131"/>
    </row>
    <row r="132" spans="1:27" s="115" customFormat="1" ht="13.5" customHeight="1">
      <c r="A132" s="139">
        <v>114</v>
      </c>
      <c r="B132" s="140" t="s">
        <v>4641</v>
      </c>
      <c r="C132" s="141" t="s">
        <v>1429</v>
      </c>
      <c r="D132" s="142" t="s">
        <v>1430</v>
      </c>
      <c r="E132" s="141" t="s">
        <v>1431</v>
      </c>
      <c r="F132" s="142" t="s">
        <v>1506</v>
      </c>
      <c r="G132" s="141" t="s">
        <v>1507</v>
      </c>
      <c r="H132" s="142" t="s">
        <v>1508</v>
      </c>
      <c r="I132" s="141" t="s">
        <v>1514</v>
      </c>
      <c r="J132" s="142" t="s">
        <v>1515</v>
      </c>
      <c r="K132" s="142" t="s">
        <v>113</v>
      </c>
      <c r="L132" s="143">
        <f t="shared" si="2"/>
        <v>1</v>
      </c>
      <c r="M132" s="144">
        <v>11111</v>
      </c>
      <c r="N132" s="141" t="s">
        <v>1429</v>
      </c>
      <c r="O132" s="142" t="s">
        <v>1430</v>
      </c>
      <c r="P132" s="141" t="s">
        <v>1511</v>
      </c>
      <c r="Q132" s="142" t="s">
        <v>1506</v>
      </c>
      <c r="R132" s="141" t="s">
        <v>1512</v>
      </c>
      <c r="S132" s="142" t="s">
        <v>1508</v>
      </c>
      <c r="T132" s="141" t="s">
        <v>1516</v>
      </c>
      <c r="U132" s="142" t="s">
        <v>1515</v>
      </c>
      <c r="V132" s="142" t="s">
        <v>113</v>
      </c>
      <c r="W132" s="141">
        <f t="shared" si="3"/>
        <v>2</v>
      </c>
      <c r="X132" s="143">
        <v>2</v>
      </c>
      <c r="Y132" s="145" t="s">
        <v>1517</v>
      </c>
      <c r="AA132"/>
    </row>
    <row r="133" spans="1:27" s="115" customFormat="1" ht="13.5" customHeight="1">
      <c r="A133" s="139">
        <v>115</v>
      </c>
      <c r="B133" s="140" t="s">
        <v>4642</v>
      </c>
      <c r="C133" s="141" t="s">
        <v>1429</v>
      </c>
      <c r="D133" s="142" t="s">
        <v>1430</v>
      </c>
      <c r="E133" s="141" t="s">
        <v>1431</v>
      </c>
      <c r="F133" s="142" t="s">
        <v>1506</v>
      </c>
      <c r="G133" s="141" t="s">
        <v>1507</v>
      </c>
      <c r="H133" s="142" t="s">
        <v>1508</v>
      </c>
      <c r="I133" s="141" t="s">
        <v>1514</v>
      </c>
      <c r="J133" s="142" t="s">
        <v>1515</v>
      </c>
      <c r="K133" s="142" t="s">
        <v>113</v>
      </c>
      <c r="L133" s="143">
        <f t="shared" ref="L133:L196" si="4">COUNTIF($B$5:$B$1752,B133)</f>
        <v>1</v>
      </c>
      <c r="M133" s="144">
        <v>11111</v>
      </c>
      <c r="N133" s="141" t="s">
        <v>1429</v>
      </c>
      <c r="O133" s="142" t="s">
        <v>1430</v>
      </c>
      <c r="P133" s="141" t="s">
        <v>1511</v>
      </c>
      <c r="Q133" s="142" t="s">
        <v>1506</v>
      </c>
      <c r="R133" s="141" t="s">
        <v>1512</v>
      </c>
      <c r="S133" s="142" t="s">
        <v>1508</v>
      </c>
      <c r="T133" s="141" t="s">
        <v>1516</v>
      </c>
      <c r="U133" s="142" t="s">
        <v>1515</v>
      </c>
      <c r="V133" s="142" t="s">
        <v>113</v>
      </c>
      <c r="W133" s="141">
        <f t="shared" ref="W133:W196" si="5">COUNTIF($M$5:$M$1756,M133)</f>
        <v>2</v>
      </c>
      <c r="X133" s="143">
        <v>2</v>
      </c>
      <c r="Y133" s="145" t="s">
        <v>1518</v>
      </c>
      <c r="AA133"/>
    </row>
    <row r="134" spans="1:27" s="115" customFormat="1" ht="13.5" customHeight="1">
      <c r="A134" s="139">
        <v>116</v>
      </c>
      <c r="B134" s="140" t="s">
        <v>4643</v>
      </c>
      <c r="C134" s="141" t="s">
        <v>1429</v>
      </c>
      <c r="D134" s="142" t="s">
        <v>1430</v>
      </c>
      <c r="E134" s="141" t="s">
        <v>1431</v>
      </c>
      <c r="F134" s="142" t="s">
        <v>1506</v>
      </c>
      <c r="G134" s="141" t="s">
        <v>1507</v>
      </c>
      <c r="H134" s="142" t="s">
        <v>1508</v>
      </c>
      <c r="I134" s="141" t="s">
        <v>1514</v>
      </c>
      <c r="J134" s="142" t="s">
        <v>1515</v>
      </c>
      <c r="K134" s="142" t="s">
        <v>420</v>
      </c>
      <c r="L134" s="143">
        <f t="shared" si="4"/>
        <v>1</v>
      </c>
      <c r="M134" s="144">
        <v>11119</v>
      </c>
      <c r="N134" s="141" t="s">
        <v>1429</v>
      </c>
      <c r="O134" s="142" t="s">
        <v>1430</v>
      </c>
      <c r="P134" s="141" t="s">
        <v>1511</v>
      </c>
      <c r="Q134" s="142" t="s">
        <v>1506</v>
      </c>
      <c r="R134" s="141" t="s">
        <v>1512</v>
      </c>
      <c r="S134" s="142" t="s">
        <v>1508</v>
      </c>
      <c r="T134" s="141" t="s">
        <v>1516</v>
      </c>
      <c r="U134" s="142" t="s">
        <v>1515</v>
      </c>
      <c r="V134" s="142" t="s">
        <v>420</v>
      </c>
      <c r="W134" s="141">
        <f t="shared" si="5"/>
        <v>1</v>
      </c>
      <c r="X134" s="143"/>
      <c r="Y134" s="145"/>
      <c r="AA134"/>
    </row>
    <row r="135" spans="1:27" s="115" customFormat="1" ht="13.5" customHeight="1">
      <c r="A135" s="139">
        <v>117</v>
      </c>
      <c r="B135" s="140" t="s">
        <v>4644</v>
      </c>
      <c r="C135" s="141" t="s">
        <v>1429</v>
      </c>
      <c r="D135" s="142" t="s">
        <v>1430</v>
      </c>
      <c r="E135" s="141" t="s">
        <v>1431</v>
      </c>
      <c r="F135" s="142" t="s">
        <v>1506</v>
      </c>
      <c r="G135" s="141" t="s">
        <v>1507</v>
      </c>
      <c r="H135" s="142" t="s">
        <v>1508</v>
      </c>
      <c r="I135" s="141" t="s">
        <v>1519</v>
      </c>
      <c r="J135" s="142" t="s">
        <v>1515</v>
      </c>
      <c r="K135" s="142" t="s">
        <v>421</v>
      </c>
      <c r="L135" s="143">
        <f t="shared" si="4"/>
        <v>1</v>
      </c>
      <c r="M135" s="144">
        <v>11112</v>
      </c>
      <c r="N135" s="141" t="s">
        <v>1429</v>
      </c>
      <c r="O135" s="142" t="s">
        <v>1430</v>
      </c>
      <c r="P135" s="141" t="s">
        <v>1511</v>
      </c>
      <c r="Q135" s="142" t="s">
        <v>1506</v>
      </c>
      <c r="R135" s="141" t="s">
        <v>1512</v>
      </c>
      <c r="S135" s="142" t="s">
        <v>1508</v>
      </c>
      <c r="T135" s="141" t="s">
        <v>1516</v>
      </c>
      <c r="U135" s="142" t="s">
        <v>1515</v>
      </c>
      <c r="V135" s="142" t="s">
        <v>421</v>
      </c>
      <c r="W135" s="141">
        <f t="shared" si="5"/>
        <v>1</v>
      </c>
      <c r="X135" s="143"/>
      <c r="Y135" s="145"/>
      <c r="AA135"/>
    </row>
    <row r="136" spans="1:27" s="115" customFormat="1" ht="27" customHeight="1">
      <c r="A136" s="139">
        <v>118</v>
      </c>
      <c r="B136" s="140" t="s">
        <v>4645</v>
      </c>
      <c r="C136" s="141" t="s">
        <v>1429</v>
      </c>
      <c r="D136" s="142" t="s">
        <v>1430</v>
      </c>
      <c r="E136" s="141" t="s">
        <v>1431</v>
      </c>
      <c r="F136" s="142" t="s">
        <v>1506</v>
      </c>
      <c r="G136" s="141" t="s">
        <v>1507</v>
      </c>
      <c r="H136" s="142" t="s">
        <v>1520</v>
      </c>
      <c r="I136" s="141" t="s">
        <v>1521</v>
      </c>
      <c r="J136" s="142" t="s">
        <v>1520</v>
      </c>
      <c r="K136" s="142" t="s">
        <v>422</v>
      </c>
      <c r="L136" s="143">
        <f t="shared" si="4"/>
        <v>1</v>
      </c>
      <c r="M136" s="144">
        <v>11209</v>
      </c>
      <c r="N136" s="141" t="s">
        <v>1429</v>
      </c>
      <c r="O136" s="142" t="s">
        <v>1430</v>
      </c>
      <c r="P136" s="141" t="s">
        <v>1511</v>
      </c>
      <c r="Q136" s="142" t="s">
        <v>1506</v>
      </c>
      <c r="R136" s="141" t="s">
        <v>1522</v>
      </c>
      <c r="S136" s="142" t="s">
        <v>1520</v>
      </c>
      <c r="T136" s="141" t="s">
        <v>1523</v>
      </c>
      <c r="U136" s="142" t="s">
        <v>1520</v>
      </c>
      <c r="V136" s="142" t="s">
        <v>422</v>
      </c>
      <c r="W136" s="141">
        <f t="shared" si="5"/>
        <v>2</v>
      </c>
      <c r="X136" s="143"/>
      <c r="Y136" s="145" t="s">
        <v>1524</v>
      </c>
      <c r="AA136"/>
    </row>
    <row r="137" spans="1:27" s="115" customFormat="1" ht="27" customHeight="1">
      <c r="A137" s="139">
        <v>119</v>
      </c>
      <c r="B137" s="140" t="s">
        <v>4646</v>
      </c>
      <c r="C137" s="141" t="s">
        <v>1429</v>
      </c>
      <c r="D137" s="142" t="s">
        <v>1430</v>
      </c>
      <c r="E137" s="141" t="s">
        <v>1431</v>
      </c>
      <c r="F137" s="142" t="s">
        <v>1506</v>
      </c>
      <c r="G137" s="141" t="s">
        <v>1507</v>
      </c>
      <c r="H137" s="142" t="s">
        <v>1520</v>
      </c>
      <c r="I137" s="141" t="s">
        <v>1521</v>
      </c>
      <c r="J137" s="142" t="s">
        <v>1520</v>
      </c>
      <c r="K137" s="142" t="s">
        <v>422</v>
      </c>
      <c r="L137" s="143">
        <f t="shared" si="4"/>
        <v>1</v>
      </c>
      <c r="M137" s="144">
        <v>11209</v>
      </c>
      <c r="N137" s="141" t="s">
        <v>1429</v>
      </c>
      <c r="O137" s="142" t="s">
        <v>1430</v>
      </c>
      <c r="P137" s="141" t="s">
        <v>1511</v>
      </c>
      <c r="Q137" s="142" t="s">
        <v>1506</v>
      </c>
      <c r="R137" s="141" t="s">
        <v>1522</v>
      </c>
      <c r="S137" s="142" t="s">
        <v>1520</v>
      </c>
      <c r="T137" s="141" t="s">
        <v>1523</v>
      </c>
      <c r="U137" s="142" t="s">
        <v>1520</v>
      </c>
      <c r="V137" s="142" t="s">
        <v>422</v>
      </c>
      <c r="W137" s="141">
        <f t="shared" si="5"/>
        <v>2</v>
      </c>
      <c r="X137" s="143">
        <v>1</v>
      </c>
      <c r="Y137" s="145"/>
      <c r="AA137"/>
    </row>
    <row r="138" spans="1:27" s="115" customFormat="1" ht="27" customHeight="1">
      <c r="A138" s="139">
        <v>120</v>
      </c>
      <c r="B138" s="140" t="s">
        <v>4647</v>
      </c>
      <c r="C138" s="141" t="s">
        <v>1429</v>
      </c>
      <c r="D138" s="142" t="s">
        <v>1430</v>
      </c>
      <c r="E138" s="141" t="s">
        <v>1431</v>
      </c>
      <c r="F138" s="142" t="s">
        <v>1506</v>
      </c>
      <c r="G138" s="141" t="s">
        <v>1507</v>
      </c>
      <c r="H138" s="142" t="s">
        <v>1520</v>
      </c>
      <c r="I138" s="141" t="s">
        <v>1521</v>
      </c>
      <c r="J138" s="142" t="s">
        <v>1520</v>
      </c>
      <c r="K138" s="142" t="s">
        <v>423</v>
      </c>
      <c r="L138" s="143">
        <f t="shared" si="4"/>
        <v>1</v>
      </c>
      <c r="M138" s="144">
        <v>11202</v>
      </c>
      <c r="N138" s="141" t="s">
        <v>1429</v>
      </c>
      <c r="O138" s="142" t="s">
        <v>1430</v>
      </c>
      <c r="P138" s="141" t="s">
        <v>1511</v>
      </c>
      <c r="Q138" s="142" t="s">
        <v>1506</v>
      </c>
      <c r="R138" s="141" t="s">
        <v>1522</v>
      </c>
      <c r="S138" s="142" t="s">
        <v>1520</v>
      </c>
      <c r="T138" s="141" t="s">
        <v>1523</v>
      </c>
      <c r="U138" s="142" t="s">
        <v>1520</v>
      </c>
      <c r="V138" s="142" t="s">
        <v>423</v>
      </c>
      <c r="W138" s="141">
        <f t="shared" si="5"/>
        <v>1</v>
      </c>
      <c r="X138" s="143"/>
      <c r="Y138" s="145"/>
      <c r="AA138"/>
    </row>
    <row r="139" spans="1:27" s="115" customFormat="1" ht="27" customHeight="1">
      <c r="A139" s="139">
        <v>121</v>
      </c>
      <c r="B139" s="140" t="s">
        <v>4648</v>
      </c>
      <c r="C139" s="141" t="s">
        <v>1429</v>
      </c>
      <c r="D139" s="142" t="s">
        <v>1430</v>
      </c>
      <c r="E139" s="141" t="s">
        <v>1431</v>
      </c>
      <c r="F139" s="142" t="s">
        <v>1506</v>
      </c>
      <c r="G139" s="141" t="s">
        <v>1507</v>
      </c>
      <c r="H139" s="142" t="s">
        <v>1520</v>
      </c>
      <c r="I139" s="141" t="s">
        <v>1521</v>
      </c>
      <c r="J139" s="142" t="s">
        <v>1520</v>
      </c>
      <c r="K139" s="142" t="s">
        <v>424</v>
      </c>
      <c r="L139" s="143">
        <f t="shared" si="4"/>
        <v>1</v>
      </c>
      <c r="M139" s="144">
        <v>11201</v>
      </c>
      <c r="N139" s="141" t="s">
        <v>1429</v>
      </c>
      <c r="O139" s="142" t="s">
        <v>1430</v>
      </c>
      <c r="P139" s="141" t="s">
        <v>1511</v>
      </c>
      <c r="Q139" s="142" t="s">
        <v>1506</v>
      </c>
      <c r="R139" s="141" t="s">
        <v>1522</v>
      </c>
      <c r="S139" s="142" t="s">
        <v>1520</v>
      </c>
      <c r="T139" s="141" t="s">
        <v>1523</v>
      </c>
      <c r="U139" s="142" t="s">
        <v>1520</v>
      </c>
      <c r="V139" s="142" t="s">
        <v>424</v>
      </c>
      <c r="W139" s="141">
        <f t="shared" si="5"/>
        <v>1</v>
      </c>
      <c r="X139" s="143"/>
      <c r="Y139" s="145"/>
      <c r="AA139"/>
    </row>
    <row r="140" spans="1:27" s="115" customFormat="1" ht="13.5" customHeight="1">
      <c r="A140" s="139">
        <v>122</v>
      </c>
      <c r="B140" s="140" t="s">
        <v>4649</v>
      </c>
      <c r="C140" s="141" t="s">
        <v>1429</v>
      </c>
      <c r="D140" s="142" t="s">
        <v>1430</v>
      </c>
      <c r="E140" s="141" t="s">
        <v>1525</v>
      </c>
      <c r="F140" s="142" t="s">
        <v>1526</v>
      </c>
      <c r="G140" s="141" t="s">
        <v>1527</v>
      </c>
      <c r="H140" s="142" t="s">
        <v>1526</v>
      </c>
      <c r="I140" s="141" t="s">
        <v>1528</v>
      </c>
      <c r="J140" s="142" t="s">
        <v>1526</v>
      </c>
      <c r="K140" s="142" t="s">
        <v>425</v>
      </c>
      <c r="L140" s="143">
        <f t="shared" si="4"/>
        <v>1</v>
      </c>
      <c r="M140" s="144">
        <v>12000</v>
      </c>
      <c r="N140" s="141" t="s">
        <v>1429</v>
      </c>
      <c r="O140" s="142" t="s">
        <v>1430</v>
      </c>
      <c r="P140" s="141" t="s">
        <v>1529</v>
      </c>
      <c r="Q140" s="142" t="s">
        <v>1526</v>
      </c>
      <c r="R140" s="141" t="s">
        <v>1530</v>
      </c>
      <c r="S140" s="142" t="s">
        <v>1526</v>
      </c>
      <c r="T140" s="141" t="s">
        <v>1531</v>
      </c>
      <c r="U140" s="142" t="s">
        <v>1526</v>
      </c>
      <c r="V140" s="142" t="s">
        <v>425</v>
      </c>
      <c r="W140" s="141">
        <f t="shared" si="5"/>
        <v>1</v>
      </c>
      <c r="X140" s="143"/>
      <c r="Y140" s="145"/>
      <c r="AA140"/>
    </row>
    <row r="141" spans="1:27" s="115" customFormat="1" ht="27" customHeight="1">
      <c r="A141" s="139">
        <v>123</v>
      </c>
      <c r="B141" s="140" t="s">
        <v>6051</v>
      </c>
      <c r="C141" s="141" t="s">
        <v>1429</v>
      </c>
      <c r="D141" s="142" t="s">
        <v>1430</v>
      </c>
      <c r="E141" s="141" t="s">
        <v>1532</v>
      </c>
      <c r="F141" s="142" t="s">
        <v>1533</v>
      </c>
      <c r="G141" s="141" t="s">
        <v>1534</v>
      </c>
      <c r="H141" s="142" t="s">
        <v>1535</v>
      </c>
      <c r="I141" s="141" t="s">
        <v>1536</v>
      </c>
      <c r="J141" s="142" t="s">
        <v>1535</v>
      </c>
      <c r="K141" s="142" t="s">
        <v>115</v>
      </c>
      <c r="L141" s="143">
        <f t="shared" si="4"/>
        <v>1</v>
      </c>
      <c r="M141" s="144">
        <v>13103</v>
      </c>
      <c r="N141" s="141" t="s">
        <v>1429</v>
      </c>
      <c r="O141" s="142" t="s">
        <v>1430</v>
      </c>
      <c r="P141" s="141" t="s">
        <v>1380</v>
      </c>
      <c r="Q141" s="142" t="s">
        <v>1533</v>
      </c>
      <c r="R141" s="141" t="s">
        <v>1382</v>
      </c>
      <c r="S141" s="142" t="s">
        <v>1535</v>
      </c>
      <c r="T141" s="141" t="s">
        <v>1383</v>
      </c>
      <c r="U141" s="142" t="s">
        <v>1535</v>
      </c>
      <c r="V141" s="142" t="s">
        <v>115</v>
      </c>
      <c r="W141" s="141">
        <f t="shared" si="5"/>
        <v>4</v>
      </c>
      <c r="X141" s="143"/>
      <c r="Y141" s="145" t="s">
        <v>1537</v>
      </c>
      <c r="AA141"/>
    </row>
    <row r="142" spans="1:27" s="115" customFormat="1" ht="27" customHeight="1">
      <c r="A142" s="139">
        <v>124</v>
      </c>
      <c r="B142" s="140" t="s">
        <v>4650</v>
      </c>
      <c r="C142" s="141" t="s">
        <v>1429</v>
      </c>
      <c r="D142" s="142" t="s">
        <v>1430</v>
      </c>
      <c r="E142" s="141" t="s">
        <v>1532</v>
      </c>
      <c r="F142" s="142" t="s">
        <v>1533</v>
      </c>
      <c r="G142" s="141" t="s">
        <v>1534</v>
      </c>
      <c r="H142" s="142" t="s">
        <v>1535</v>
      </c>
      <c r="I142" s="141" t="s">
        <v>1536</v>
      </c>
      <c r="J142" s="142" t="s">
        <v>1535</v>
      </c>
      <c r="K142" s="142" t="s">
        <v>426</v>
      </c>
      <c r="L142" s="143">
        <f t="shared" si="4"/>
        <v>1</v>
      </c>
      <c r="M142" s="144">
        <v>13101</v>
      </c>
      <c r="N142" s="141" t="s">
        <v>1429</v>
      </c>
      <c r="O142" s="142" t="s">
        <v>1430</v>
      </c>
      <c r="P142" s="141" t="s">
        <v>1380</v>
      </c>
      <c r="Q142" s="142" t="s">
        <v>1533</v>
      </c>
      <c r="R142" s="141" t="s">
        <v>1382</v>
      </c>
      <c r="S142" s="142" t="s">
        <v>1535</v>
      </c>
      <c r="T142" s="141" t="s">
        <v>1383</v>
      </c>
      <c r="U142" s="142" t="s">
        <v>1535</v>
      </c>
      <c r="V142" s="142" t="s">
        <v>426</v>
      </c>
      <c r="W142" s="141">
        <f t="shared" si="5"/>
        <v>1</v>
      </c>
      <c r="X142" s="143"/>
      <c r="Y142" s="145"/>
      <c r="AA142"/>
    </row>
    <row r="143" spans="1:27" s="115" customFormat="1" ht="27" customHeight="1">
      <c r="A143" s="139">
        <v>125</v>
      </c>
      <c r="B143" s="140" t="s">
        <v>4651</v>
      </c>
      <c r="C143" s="141" t="s">
        <v>1429</v>
      </c>
      <c r="D143" s="142" t="s">
        <v>1430</v>
      </c>
      <c r="E143" s="141" t="s">
        <v>1532</v>
      </c>
      <c r="F143" s="142" t="s">
        <v>1533</v>
      </c>
      <c r="G143" s="141" t="s">
        <v>1534</v>
      </c>
      <c r="H143" s="142" t="s">
        <v>1535</v>
      </c>
      <c r="I143" s="141" t="s">
        <v>1536</v>
      </c>
      <c r="J143" s="142" t="s">
        <v>1535</v>
      </c>
      <c r="K143" s="142" t="s">
        <v>427</v>
      </c>
      <c r="L143" s="143">
        <f t="shared" si="4"/>
        <v>1</v>
      </c>
      <c r="M143" s="144">
        <v>13102</v>
      </c>
      <c r="N143" s="141" t="s">
        <v>1429</v>
      </c>
      <c r="O143" s="142" t="s">
        <v>1430</v>
      </c>
      <c r="P143" s="141" t="s">
        <v>1380</v>
      </c>
      <c r="Q143" s="142" t="s">
        <v>1533</v>
      </c>
      <c r="R143" s="141" t="s">
        <v>1382</v>
      </c>
      <c r="S143" s="142" t="s">
        <v>1535</v>
      </c>
      <c r="T143" s="141" t="s">
        <v>1383</v>
      </c>
      <c r="U143" s="142" t="s">
        <v>1535</v>
      </c>
      <c r="V143" s="142" t="s">
        <v>427</v>
      </c>
      <c r="W143" s="141">
        <f t="shared" si="5"/>
        <v>1</v>
      </c>
      <c r="X143" s="143"/>
      <c r="Y143" s="145"/>
      <c r="AA143"/>
    </row>
    <row r="144" spans="1:27" s="115" customFormat="1" ht="27" customHeight="1">
      <c r="A144" s="139">
        <v>126</v>
      </c>
      <c r="B144" s="140" t="s">
        <v>4652</v>
      </c>
      <c r="C144" s="141" t="s">
        <v>1429</v>
      </c>
      <c r="D144" s="142" t="s">
        <v>1430</v>
      </c>
      <c r="E144" s="141" t="s">
        <v>1532</v>
      </c>
      <c r="F144" s="142" t="s">
        <v>1533</v>
      </c>
      <c r="G144" s="141" t="s">
        <v>1534</v>
      </c>
      <c r="H144" s="142" t="s">
        <v>1535</v>
      </c>
      <c r="I144" s="141" t="s">
        <v>1536</v>
      </c>
      <c r="J144" s="142" t="s">
        <v>1535</v>
      </c>
      <c r="K144" s="142" t="s">
        <v>114</v>
      </c>
      <c r="L144" s="143">
        <f t="shared" si="4"/>
        <v>1</v>
      </c>
      <c r="M144" s="144">
        <v>13104</v>
      </c>
      <c r="N144" s="141" t="s">
        <v>1429</v>
      </c>
      <c r="O144" s="142" t="s">
        <v>1430</v>
      </c>
      <c r="P144" s="141" t="s">
        <v>1380</v>
      </c>
      <c r="Q144" s="142" t="s">
        <v>1533</v>
      </c>
      <c r="R144" s="141" t="s">
        <v>1382</v>
      </c>
      <c r="S144" s="142" t="s">
        <v>1535</v>
      </c>
      <c r="T144" s="141" t="s">
        <v>1383</v>
      </c>
      <c r="U144" s="142" t="s">
        <v>1535</v>
      </c>
      <c r="V144" s="142" t="s">
        <v>114</v>
      </c>
      <c r="W144" s="141">
        <f t="shared" si="5"/>
        <v>2</v>
      </c>
      <c r="X144" s="143">
        <v>1</v>
      </c>
      <c r="Y144" s="145"/>
      <c r="AA144"/>
    </row>
    <row r="145" spans="1:27" s="115" customFormat="1" ht="27" customHeight="1">
      <c r="A145" s="139">
        <v>127</v>
      </c>
      <c r="B145" s="140" t="s">
        <v>4653</v>
      </c>
      <c r="C145" s="141" t="s">
        <v>1429</v>
      </c>
      <c r="D145" s="142" t="s">
        <v>1430</v>
      </c>
      <c r="E145" s="141" t="s">
        <v>1532</v>
      </c>
      <c r="F145" s="142" t="s">
        <v>1533</v>
      </c>
      <c r="G145" s="141" t="s">
        <v>1534</v>
      </c>
      <c r="H145" s="142" t="s">
        <v>1535</v>
      </c>
      <c r="I145" s="141" t="s">
        <v>1536</v>
      </c>
      <c r="J145" s="142" t="s">
        <v>1535</v>
      </c>
      <c r="K145" s="142" t="s">
        <v>115</v>
      </c>
      <c r="L145" s="143">
        <f t="shared" si="4"/>
        <v>1</v>
      </c>
      <c r="M145" s="144">
        <v>13103</v>
      </c>
      <c r="N145" s="141" t="s">
        <v>1429</v>
      </c>
      <c r="O145" s="142" t="s">
        <v>1430</v>
      </c>
      <c r="P145" s="141" t="s">
        <v>1380</v>
      </c>
      <c r="Q145" s="142" t="s">
        <v>1533</v>
      </c>
      <c r="R145" s="141" t="s">
        <v>1382</v>
      </c>
      <c r="S145" s="142" t="s">
        <v>1535</v>
      </c>
      <c r="T145" s="141" t="s">
        <v>1383</v>
      </c>
      <c r="U145" s="142" t="s">
        <v>1535</v>
      </c>
      <c r="V145" s="142" t="s">
        <v>115</v>
      </c>
      <c r="W145" s="141">
        <f t="shared" si="5"/>
        <v>4</v>
      </c>
      <c r="X145" s="143"/>
      <c r="Y145" s="145" t="s">
        <v>1538</v>
      </c>
      <c r="AA145"/>
    </row>
    <row r="146" spans="1:27" s="115" customFormat="1" ht="27" customHeight="1">
      <c r="A146" s="139">
        <v>128</v>
      </c>
      <c r="B146" s="140" t="s">
        <v>4654</v>
      </c>
      <c r="C146" s="141" t="s">
        <v>1429</v>
      </c>
      <c r="D146" s="142" t="s">
        <v>1430</v>
      </c>
      <c r="E146" s="141" t="s">
        <v>1532</v>
      </c>
      <c r="F146" s="142" t="s">
        <v>1533</v>
      </c>
      <c r="G146" s="141" t="s">
        <v>1534</v>
      </c>
      <c r="H146" s="142" t="s">
        <v>1535</v>
      </c>
      <c r="I146" s="141" t="s">
        <v>1536</v>
      </c>
      <c r="J146" s="142" t="s">
        <v>1535</v>
      </c>
      <c r="K146" s="142" t="s">
        <v>115</v>
      </c>
      <c r="L146" s="143">
        <f t="shared" si="4"/>
        <v>1</v>
      </c>
      <c r="M146" s="144">
        <v>13103</v>
      </c>
      <c r="N146" s="141" t="s">
        <v>1429</v>
      </c>
      <c r="O146" s="142" t="s">
        <v>1430</v>
      </c>
      <c r="P146" s="141" t="s">
        <v>1380</v>
      </c>
      <c r="Q146" s="142" t="s">
        <v>1533</v>
      </c>
      <c r="R146" s="141" t="s">
        <v>1382</v>
      </c>
      <c r="S146" s="142" t="s">
        <v>1535</v>
      </c>
      <c r="T146" s="141" t="s">
        <v>1383</v>
      </c>
      <c r="U146" s="142" t="s">
        <v>1535</v>
      </c>
      <c r="V146" s="142" t="s">
        <v>115</v>
      </c>
      <c r="W146" s="141">
        <f t="shared" si="5"/>
        <v>4</v>
      </c>
      <c r="X146" s="143"/>
      <c r="Y146" s="145" t="s">
        <v>1539</v>
      </c>
      <c r="AA146"/>
    </row>
    <row r="147" spans="1:27" s="115" customFormat="1" ht="27" customHeight="1">
      <c r="A147" s="139">
        <v>129</v>
      </c>
      <c r="B147" s="140" t="s">
        <v>4655</v>
      </c>
      <c r="C147" s="141" t="s">
        <v>1429</v>
      </c>
      <c r="D147" s="142" t="s">
        <v>1430</v>
      </c>
      <c r="E147" s="141" t="s">
        <v>1532</v>
      </c>
      <c r="F147" s="142" t="s">
        <v>1533</v>
      </c>
      <c r="G147" s="141" t="s">
        <v>1534</v>
      </c>
      <c r="H147" s="142" t="s">
        <v>1535</v>
      </c>
      <c r="I147" s="141" t="s">
        <v>1536</v>
      </c>
      <c r="J147" s="142" t="s">
        <v>1535</v>
      </c>
      <c r="K147" s="142" t="s">
        <v>115</v>
      </c>
      <c r="L147" s="143">
        <f t="shared" si="4"/>
        <v>1</v>
      </c>
      <c r="M147" s="144">
        <v>13103</v>
      </c>
      <c r="N147" s="141" t="s">
        <v>1429</v>
      </c>
      <c r="O147" s="142" t="s">
        <v>1430</v>
      </c>
      <c r="P147" s="141" t="s">
        <v>1380</v>
      </c>
      <c r="Q147" s="142" t="s">
        <v>1533</v>
      </c>
      <c r="R147" s="141" t="s">
        <v>1382</v>
      </c>
      <c r="S147" s="142" t="s">
        <v>1535</v>
      </c>
      <c r="T147" s="141" t="s">
        <v>1383</v>
      </c>
      <c r="U147" s="142" t="s">
        <v>1535</v>
      </c>
      <c r="V147" s="142" t="s">
        <v>115</v>
      </c>
      <c r="W147" s="141">
        <f t="shared" si="5"/>
        <v>4</v>
      </c>
      <c r="X147" s="143">
        <v>1</v>
      </c>
      <c r="Y147" s="145"/>
      <c r="AA147"/>
    </row>
    <row r="148" spans="1:27" s="115" customFormat="1" ht="27" customHeight="1">
      <c r="A148" s="139">
        <v>130</v>
      </c>
      <c r="B148" s="140" t="s">
        <v>4656</v>
      </c>
      <c r="C148" s="141" t="s">
        <v>1429</v>
      </c>
      <c r="D148" s="142" t="s">
        <v>1430</v>
      </c>
      <c r="E148" s="141" t="s">
        <v>1532</v>
      </c>
      <c r="F148" s="142" t="s">
        <v>1533</v>
      </c>
      <c r="G148" s="141" t="s">
        <v>1534</v>
      </c>
      <c r="H148" s="142" t="s">
        <v>1540</v>
      </c>
      <c r="I148" s="141" t="s">
        <v>1536</v>
      </c>
      <c r="J148" s="142" t="s">
        <v>1541</v>
      </c>
      <c r="K148" s="142" t="s">
        <v>428</v>
      </c>
      <c r="L148" s="143">
        <f t="shared" si="4"/>
        <v>1</v>
      </c>
      <c r="M148" s="144">
        <v>13213</v>
      </c>
      <c r="N148" s="141" t="s">
        <v>1429</v>
      </c>
      <c r="O148" s="142" t="s">
        <v>1430</v>
      </c>
      <c r="P148" s="141" t="s">
        <v>1380</v>
      </c>
      <c r="Q148" s="142" t="s">
        <v>1533</v>
      </c>
      <c r="R148" s="141" t="s">
        <v>1392</v>
      </c>
      <c r="S148" s="142" t="s">
        <v>1540</v>
      </c>
      <c r="T148" s="141" t="s">
        <v>1542</v>
      </c>
      <c r="U148" s="142" t="s">
        <v>1541</v>
      </c>
      <c r="V148" s="142" t="s">
        <v>428</v>
      </c>
      <c r="W148" s="141">
        <f t="shared" si="5"/>
        <v>1</v>
      </c>
      <c r="X148" s="143"/>
      <c r="Y148" s="145"/>
      <c r="AA148"/>
    </row>
    <row r="149" spans="1:27" s="115" customFormat="1" ht="27" customHeight="1">
      <c r="A149" s="139">
        <v>131</v>
      </c>
      <c r="B149" s="140" t="s">
        <v>4657</v>
      </c>
      <c r="C149" s="141" t="s">
        <v>1429</v>
      </c>
      <c r="D149" s="142" t="s">
        <v>1430</v>
      </c>
      <c r="E149" s="141" t="s">
        <v>1532</v>
      </c>
      <c r="F149" s="142" t="s">
        <v>1533</v>
      </c>
      <c r="G149" s="141" t="s">
        <v>1534</v>
      </c>
      <c r="H149" s="142" t="s">
        <v>1535</v>
      </c>
      <c r="I149" s="141" t="s">
        <v>1536</v>
      </c>
      <c r="J149" s="142" t="s">
        <v>1535</v>
      </c>
      <c r="K149" s="142" t="s">
        <v>429</v>
      </c>
      <c r="L149" s="143">
        <f t="shared" si="4"/>
        <v>1</v>
      </c>
      <c r="M149" s="144">
        <v>13109</v>
      </c>
      <c r="N149" s="141" t="s">
        <v>1429</v>
      </c>
      <c r="O149" s="142" t="s">
        <v>1430</v>
      </c>
      <c r="P149" s="141" t="s">
        <v>1380</v>
      </c>
      <c r="Q149" s="142" t="s">
        <v>1533</v>
      </c>
      <c r="R149" s="141" t="s">
        <v>1382</v>
      </c>
      <c r="S149" s="142" t="s">
        <v>1535</v>
      </c>
      <c r="T149" s="141" t="s">
        <v>1383</v>
      </c>
      <c r="U149" s="142" t="s">
        <v>1535</v>
      </c>
      <c r="V149" s="142" t="s">
        <v>429</v>
      </c>
      <c r="W149" s="141">
        <f t="shared" si="5"/>
        <v>2</v>
      </c>
      <c r="X149" s="143"/>
      <c r="Y149" s="145" t="s">
        <v>1543</v>
      </c>
      <c r="AA149"/>
    </row>
    <row r="150" spans="1:27" s="115" customFormat="1" ht="27" customHeight="1">
      <c r="A150" s="139">
        <v>132</v>
      </c>
      <c r="B150" s="140" t="s">
        <v>4658</v>
      </c>
      <c r="C150" s="141" t="s">
        <v>1429</v>
      </c>
      <c r="D150" s="142" t="s">
        <v>1430</v>
      </c>
      <c r="E150" s="141" t="s">
        <v>1532</v>
      </c>
      <c r="F150" s="142" t="s">
        <v>1533</v>
      </c>
      <c r="G150" s="141" t="s">
        <v>1534</v>
      </c>
      <c r="H150" s="142" t="s">
        <v>1540</v>
      </c>
      <c r="I150" s="141" t="s">
        <v>1536</v>
      </c>
      <c r="J150" s="142" t="s">
        <v>1541</v>
      </c>
      <c r="K150" s="142" t="s">
        <v>430</v>
      </c>
      <c r="L150" s="143">
        <f t="shared" si="4"/>
        <v>1</v>
      </c>
      <c r="M150" s="144">
        <v>13212</v>
      </c>
      <c r="N150" s="141" t="s">
        <v>1429</v>
      </c>
      <c r="O150" s="142" t="s">
        <v>1430</v>
      </c>
      <c r="P150" s="141" t="s">
        <v>1380</v>
      </c>
      <c r="Q150" s="142" t="s">
        <v>1533</v>
      </c>
      <c r="R150" s="141" t="s">
        <v>1392</v>
      </c>
      <c r="S150" s="142" t="s">
        <v>1540</v>
      </c>
      <c r="T150" s="141" t="s">
        <v>1542</v>
      </c>
      <c r="U150" s="142" t="s">
        <v>1541</v>
      </c>
      <c r="V150" s="142" t="s">
        <v>430</v>
      </c>
      <c r="W150" s="141">
        <f t="shared" si="5"/>
        <v>1</v>
      </c>
      <c r="X150" s="143"/>
      <c r="Y150" s="145"/>
      <c r="AA150"/>
    </row>
    <row r="151" spans="1:27" s="115" customFormat="1" ht="27" customHeight="1">
      <c r="A151" s="139">
        <v>133</v>
      </c>
      <c r="B151" s="140" t="s">
        <v>4659</v>
      </c>
      <c r="C151" s="141" t="s">
        <v>1429</v>
      </c>
      <c r="D151" s="142" t="s">
        <v>1430</v>
      </c>
      <c r="E151" s="141" t="s">
        <v>1532</v>
      </c>
      <c r="F151" s="142" t="s">
        <v>1533</v>
      </c>
      <c r="G151" s="141" t="s">
        <v>1534</v>
      </c>
      <c r="H151" s="142" t="s">
        <v>1535</v>
      </c>
      <c r="I151" s="141" t="s">
        <v>1536</v>
      </c>
      <c r="J151" s="142" t="s">
        <v>1535</v>
      </c>
      <c r="K151" s="142" t="s">
        <v>429</v>
      </c>
      <c r="L151" s="143">
        <f t="shared" si="4"/>
        <v>1</v>
      </c>
      <c r="M151" s="144">
        <v>13109</v>
      </c>
      <c r="N151" s="141" t="s">
        <v>1429</v>
      </c>
      <c r="O151" s="142" t="s">
        <v>1430</v>
      </c>
      <c r="P151" s="141" t="s">
        <v>1380</v>
      </c>
      <c r="Q151" s="142" t="s">
        <v>1533</v>
      </c>
      <c r="R151" s="141" t="s">
        <v>1382</v>
      </c>
      <c r="S151" s="142" t="s">
        <v>1535</v>
      </c>
      <c r="T151" s="141" t="s">
        <v>1383</v>
      </c>
      <c r="U151" s="142" t="s">
        <v>1535</v>
      </c>
      <c r="V151" s="142" t="s">
        <v>429</v>
      </c>
      <c r="W151" s="141">
        <f t="shared" si="5"/>
        <v>2</v>
      </c>
      <c r="X151" s="143">
        <v>1</v>
      </c>
      <c r="Y151" s="145"/>
      <c r="AA151"/>
    </row>
    <row r="152" spans="1:27" s="115" customFormat="1" ht="27" customHeight="1">
      <c r="A152" s="139">
        <v>134</v>
      </c>
      <c r="B152" s="140" t="s">
        <v>4660</v>
      </c>
      <c r="C152" s="141" t="s">
        <v>1429</v>
      </c>
      <c r="D152" s="142" t="s">
        <v>1430</v>
      </c>
      <c r="E152" s="141" t="s">
        <v>1532</v>
      </c>
      <c r="F152" s="142" t="s">
        <v>1533</v>
      </c>
      <c r="G152" s="141" t="s">
        <v>1534</v>
      </c>
      <c r="H152" s="142" t="s">
        <v>1540</v>
      </c>
      <c r="I152" s="141" t="s">
        <v>1536</v>
      </c>
      <c r="J152" s="142" t="s">
        <v>1541</v>
      </c>
      <c r="K152" s="142" t="s">
        <v>431</v>
      </c>
      <c r="L152" s="143">
        <f t="shared" si="4"/>
        <v>1</v>
      </c>
      <c r="M152" s="144">
        <v>13211</v>
      </c>
      <c r="N152" s="141" t="s">
        <v>1429</v>
      </c>
      <c r="O152" s="142" t="s">
        <v>1430</v>
      </c>
      <c r="P152" s="141" t="s">
        <v>1380</v>
      </c>
      <c r="Q152" s="142" t="s">
        <v>1533</v>
      </c>
      <c r="R152" s="141" t="s">
        <v>1392</v>
      </c>
      <c r="S152" s="142" t="s">
        <v>1540</v>
      </c>
      <c r="T152" s="141" t="s">
        <v>1542</v>
      </c>
      <c r="U152" s="142" t="s">
        <v>1541</v>
      </c>
      <c r="V152" s="142" t="s">
        <v>431</v>
      </c>
      <c r="W152" s="141">
        <f t="shared" si="5"/>
        <v>1</v>
      </c>
      <c r="X152" s="143"/>
      <c r="Y152" s="145"/>
      <c r="AA152"/>
    </row>
    <row r="153" spans="1:27" s="115" customFormat="1" ht="27" customHeight="1">
      <c r="A153" s="139">
        <v>135</v>
      </c>
      <c r="B153" s="140" t="s">
        <v>4661</v>
      </c>
      <c r="C153" s="141" t="s">
        <v>1429</v>
      </c>
      <c r="D153" s="142" t="s">
        <v>1430</v>
      </c>
      <c r="E153" s="141" t="s">
        <v>1532</v>
      </c>
      <c r="F153" s="142" t="s">
        <v>1533</v>
      </c>
      <c r="G153" s="141" t="s">
        <v>1534</v>
      </c>
      <c r="H153" s="142" t="s">
        <v>1540</v>
      </c>
      <c r="I153" s="141" t="s">
        <v>1536</v>
      </c>
      <c r="J153" s="142" t="s">
        <v>1541</v>
      </c>
      <c r="K153" s="142" t="s">
        <v>432</v>
      </c>
      <c r="L153" s="143">
        <f t="shared" si="4"/>
        <v>1</v>
      </c>
      <c r="M153" s="144">
        <v>13219</v>
      </c>
      <c r="N153" s="141" t="s">
        <v>1429</v>
      </c>
      <c r="O153" s="142" t="s">
        <v>1430</v>
      </c>
      <c r="P153" s="141" t="s">
        <v>1380</v>
      </c>
      <c r="Q153" s="142" t="s">
        <v>1533</v>
      </c>
      <c r="R153" s="141" t="s">
        <v>1392</v>
      </c>
      <c r="S153" s="142" t="s">
        <v>1540</v>
      </c>
      <c r="T153" s="141" t="s">
        <v>1542</v>
      </c>
      <c r="U153" s="142" t="s">
        <v>1541</v>
      </c>
      <c r="V153" s="142" t="s">
        <v>432</v>
      </c>
      <c r="W153" s="141">
        <f t="shared" si="5"/>
        <v>2</v>
      </c>
      <c r="X153" s="143">
        <v>1</v>
      </c>
      <c r="Y153" s="145"/>
      <c r="AA153"/>
    </row>
    <row r="154" spans="1:27" s="115" customFormat="1" ht="27" customHeight="1">
      <c r="A154" s="139">
        <v>136</v>
      </c>
      <c r="B154" s="140" t="s">
        <v>4662</v>
      </c>
      <c r="C154" s="141" t="s">
        <v>1429</v>
      </c>
      <c r="D154" s="142" t="s">
        <v>1430</v>
      </c>
      <c r="E154" s="141" t="s">
        <v>1532</v>
      </c>
      <c r="F154" s="142" t="s">
        <v>1533</v>
      </c>
      <c r="G154" s="141" t="s">
        <v>1534</v>
      </c>
      <c r="H154" s="142" t="s">
        <v>1544</v>
      </c>
      <c r="I154" s="141" t="s">
        <v>1545</v>
      </c>
      <c r="J154" s="142" t="s">
        <v>1544</v>
      </c>
      <c r="K154" s="142" t="s">
        <v>433</v>
      </c>
      <c r="L154" s="143">
        <f t="shared" si="4"/>
        <v>1</v>
      </c>
      <c r="M154" s="144">
        <v>13402</v>
      </c>
      <c r="N154" s="141" t="s">
        <v>1429</v>
      </c>
      <c r="O154" s="142" t="s">
        <v>1430</v>
      </c>
      <c r="P154" s="141" t="s">
        <v>1380</v>
      </c>
      <c r="Q154" s="142" t="s">
        <v>1533</v>
      </c>
      <c r="R154" s="141" t="s">
        <v>1546</v>
      </c>
      <c r="S154" s="142" t="s">
        <v>1544</v>
      </c>
      <c r="T154" s="141" t="s">
        <v>1547</v>
      </c>
      <c r="U154" s="142" t="s">
        <v>1544</v>
      </c>
      <c r="V154" s="142" t="s">
        <v>433</v>
      </c>
      <c r="W154" s="141">
        <f t="shared" si="5"/>
        <v>2</v>
      </c>
      <c r="X154" s="143">
        <v>1</v>
      </c>
      <c r="Y154" s="145"/>
      <c r="AA154"/>
    </row>
    <row r="155" spans="1:27" s="115" customFormat="1" ht="27" customHeight="1">
      <c r="A155" s="139">
        <v>137</v>
      </c>
      <c r="B155" s="140" t="s">
        <v>4663</v>
      </c>
      <c r="C155" s="141" t="s">
        <v>1429</v>
      </c>
      <c r="D155" s="142" t="s">
        <v>1430</v>
      </c>
      <c r="E155" s="141" t="s">
        <v>1532</v>
      </c>
      <c r="F155" s="142" t="s">
        <v>1533</v>
      </c>
      <c r="G155" s="141" t="s">
        <v>1534</v>
      </c>
      <c r="H155" s="142" t="s">
        <v>1544</v>
      </c>
      <c r="I155" s="141" t="s">
        <v>1545</v>
      </c>
      <c r="J155" s="142" t="s">
        <v>1544</v>
      </c>
      <c r="K155" s="142" t="s">
        <v>434</v>
      </c>
      <c r="L155" s="143">
        <f t="shared" si="4"/>
        <v>1</v>
      </c>
      <c r="M155" s="144">
        <v>13401</v>
      </c>
      <c r="N155" s="141" t="s">
        <v>1429</v>
      </c>
      <c r="O155" s="142" t="s">
        <v>1430</v>
      </c>
      <c r="P155" s="141" t="s">
        <v>1380</v>
      </c>
      <c r="Q155" s="142" t="s">
        <v>1533</v>
      </c>
      <c r="R155" s="141" t="s">
        <v>1546</v>
      </c>
      <c r="S155" s="142" t="s">
        <v>1544</v>
      </c>
      <c r="T155" s="141" t="s">
        <v>1547</v>
      </c>
      <c r="U155" s="142" t="s">
        <v>1544</v>
      </c>
      <c r="V155" s="142" t="s">
        <v>434</v>
      </c>
      <c r="W155" s="141">
        <f t="shared" si="5"/>
        <v>2</v>
      </c>
      <c r="X155" s="143">
        <v>1</v>
      </c>
      <c r="Y155" s="145"/>
      <c r="AA155"/>
    </row>
    <row r="156" spans="1:27" s="115" customFormat="1" ht="27" customHeight="1">
      <c r="A156" s="139">
        <v>138</v>
      </c>
      <c r="B156" s="140" t="s">
        <v>4664</v>
      </c>
      <c r="C156" s="141" t="s">
        <v>1429</v>
      </c>
      <c r="D156" s="142" t="s">
        <v>1430</v>
      </c>
      <c r="E156" s="141" t="s">
        <v>1532</v>
      </c>
      <c r="F156" s="142" t="s">
        <v>1533</v>
      </c>
      <c r="G156" s="141" t="s">
        <v>1534</v>
      </c>
      <c r="H156" s="142" t="s">
        <v>1544</v>
      </c>
      <c r="I156" s="141" t="s">
        <v>1545</v>
      </c>
      <c r="J156" s="142" t="s">
        <v>1544</v>
      </c>
      <c r="K156" s="142" t="s">
        <v>435</v>
      </c>
      <c r="L156" s="143">
        <f t="shared" si="4"/>
        <v>1</v>
      </c>
      <c r="M156" s="144">
        <v>13403</v>
      </c>
      <c r="N156" s="141" t="s">
        <v>1429</v>
      </c>
      <c r="O156" s="142" t="s">
        <v>1430</v>
      </c>
      <c r="P156" s="141" t="s">
        <v>1380</v>
      </c>
      <c r="Q156" s="142" t="s">
        <v>1533</v>
      </c>
      <c r="R156" s="141" t="s">
        <v>1546</v>
      </c>
      <c r="S156" s="142" t="s">
        <v>1544</v>
      </c>
      <c r="T156" s="141" t="s">
        <v>1547</v>
      </c>
      <c r="U156" s="142" t="s">
        <v>1544</v>
      </c>
      <c r="V156" s="142" t="s">
        <v>435</v>
      </c>
      <c r="W156" s="141">
        <f t="shared" si="5"/>
        <v>2</v>
      </c>
      <c r="X156" s="143">
        <v>1</v>
      </c>
      <c r="Y156" s="145"/>
      <c r="AA156"/>
    </row>
    <row r="157" spans="1:27" s="115" customFormat="1" ht="27" customHeight="1">
      <c r="A157" s="139">
        <v>139</v>
      </c>
      <c r="B157" s="140" t="s">
        <v>4665</v>
      </c>
      <c r="C157" s="141" t="s">
        <v>1429</v>
      </c>
      <c r="D157" s="142" t="s">
        <v>1430</v>
      </c>
      <c r="E157" s="141" t="s">
        <v>1532</v>
      </c>
      <c r="F157" s="142" t="s">
        <v>1533</v>
      </c>
      <c r="G157" s="141" t="s">
        <v>1534</v>
      </c>
      <c r="H157" s="142" t="s">
        <v>1544</v>
      </c>
      <c r="I157" s="141" t="s">
        <v>1545</v>
      </c>
      <c r="J157" s="142" t="s">
        <v>1544</v>
      </c>
      <c r="K157" s="142" t="s">
        <v>436</v>
      </c>
      <c r="L157" s="143">
        <f t="shared" si="4"/>
        <v>1</v>
      </c>
      <c r="M157" s="144">
        <v>13409</v>
      </c>
      <c r="N157" s="141" t="s">
        <v>1429</v>
      </c>
      <c r="O157" s="142" t="s">
        <v>1430</v>
      </c>
      <c r="P157" s="141" t="s">
        <v>1380</v>
      </c>
      <c r="Q157" s="142" t="s">
        <v>1533</v>
      </c>
      <c r="R157" s="141" t="s">
        <v>1546</v>
      </c>
      <c r="S157" s="142" t="s">
        <v>1544</v>
      </c>
      <c r="T157" s="141" t="s">
        <v>1547</v>
      </c>
      <c r="U157" s="142" t="s">
        <v>1544</v>
      </c>
      <c r="V157" s="142" t="s">
        <v>436</v>
      </c>
      <c r="W157" s="141">
        <f t="shared" si="5"/>
        <v>2</v>
      </c>
      <c r="X157" s="143">
        <v>1</v>
      </c>
      <c r="Y157" s="145"/>
      <c r="AA157"/>
    </row>
    <row r="158" spans="1:27" s="115" customFormat="1" ht="27" customHeight="1">
      <c r="A158" s="139">
        <v>140</v>
      </c>
      <c r="B158" s="140" t="s">
        <v>4666</v>
      </c>
      <c r="C158" s="141" t="s">
        <v>1429</v>
      </c>
      <c r="D158" s="142" t="s">
        <v>1430</v>
      </c>
      <c r="E158" s="141" t="s">
        <v>1532</v>
      </c>
      <c r="F158" s="142" t="s">
        <v>1533</v>
      </c>
      <c r="G158" s="141" t="s">
        <v>1548</v>
      </c>
      <c r="H158" s="142" t="s">
        <v>1540</v>
      </c>
      <c r="I158" s="141" t="s">
        <v>1549</v>
      </c>
      <c r="J158" s="142" t="s">
        <v>1550</v>
      </c>
      <c r="K158" s="142" t="s">
        <v>116</v>
      </c>
      <c r="L158" s="143">
        <f t="shared" si="4"/>
        <v>1</v>
      </c>
      <c r="M158" s="144">
        <v>13221</v>
      </c>
      <c r="N158" s="141" t="s">
        <v>1429</v>
      </c>
      <c r="O158" s="142" t="s">
        <v>1430</v>
      </c>
      <c r="P158" s="141" t="s">
        <v>1380</v>
      </c>
      <c r="Q158" s="142" t="s">
        <v>1533</v>
      </c>
      <c r="R158" s="141" t="s">
        <v>1392</v>
      </c>
      <c r="S158" s="142" t="s">
        <v>1540</v>
      </c>
      <c r="T158" s="141" t="s">
        <v>1551</v>
      </c>
      <c r="U158" s="142" t="s">
        <v>1550</v>
      </c>
      <c r="V158" s="142" t="s">
        <v>116</v>
      </c>
      <c r="W158" s="141">
        <f t="shared" si="5"/>
        <v>1</v>
      </c>
      <c r="X158" s="143"/>
      <c r="Y158" s="145"/>
      <c r="AA158"/>
    </row>
    <row r="159" spans="1:27" s="115" customFormat="1" ht="27" customHeight="1">
      <c r="A159" s="139">
        <v>141</v>
      </c>
      <c r="B159" s="140" t="s">
        <v>4667</v>
      </c>
      <c r="C159" s="141" t="s">
        <v>1429</v>
      </c>
      <c r="D159" s="142" t="s">
        <v>1430</v>
      </c>
      <c r="E159" s="141" t="s">
        <v>1532</v>
      </c>
      <c r="F159" s="142" t="s">
        <v>1533</v>
      </c>
      <c r="G159" s="141" t="s">
        <v>1548</v>
      </c>
      <c r="H159" s="142" t="s">
        <v>1540</v>
      </c>
      <c r="I159" s="141" t="s">
        <v>1549</v>
      </c>
      <c r="J159" s="142" t="s">
        <v>1550</v>
      </c>
      <c r="K159" s="142" t="s">
        <v>437</v>
      </c>
      <c r="L159" s="143">
        <f t="shared" si="4"/>
        <v>1</v>
      </c>
      <c r="M159" s="144">
        <v>13222</v>
      </c>
      <c r="N159" s="141" t="s">
        <v>1429</v>
      </c>
      <c r="O159" s="142" t="s">
        <v>1430</v>
      </c>
      <c r="P159" s="141" t="s">
        <v>1380</v>
      </c>
      <c r="Q159" s="142" t="s">
        <v>1533</v>
      </c>
      <c r="R159" s="141" t="s">
        <v>1392</v>
      </c>
      <c r="S159" s="142" t="s">
        <v>1540</v>
      </c>
      <c r="T159" s="141" t="s">
        <v>1551</v>
      </c>
      <c r="U159" s="142" t="s">
        <v>1550</v>
      </c>
      <c r="V159" s="142" t="s">
        <v>437</v>
      </c>
      <c r="W159" s="141">
        <f t="shared" si="5"/>
        <v>2</v>
      </c>
      <c r="X159" s="143">
        <v>1</v>
      </c>
      <c r="Y159" s="145"/>
      <c r="AA159"/>
    </row>
    <row r="160" spans="1:27" s="115" customFormat="1" ht="27" customHeight="1">
      <c r="A160" s="139">
        <v>142</v>
      </c>
      <c r="B160" s="140" t="s">
        <v>4668</v>
      </c>
      <c r="C160" s="141" t="s">
        <v>1429</v>
      </c>
      <c r="D160" s="142" t="s">
        <v>1430</v>
      </c>
      <c r="E160" s="141" t="s">
        <v>1532</v>
      </c>
      <c r="F160" s="142" t="s">
        <v>1533</v>
      </c>
      <c r="G160" s="141" t="s">
        <v>1548</v>
      </c>
      <c r="H160" s="142" t="s">
        <v>1540</v>
      </c>
      <c r="I160" s="141" t="s">
        <v>1549</v>
      </c>
      <c r="J160" s="142" t="s">
        <v>1550</v>
      </c>
      <c r="K160" s="142" t="s">
        <v>438</v>
      </c>
      <c r="L160" s="143">
        <f t="shared" si="4"/>
        <v>1</v>
      </c>
      <c r="M160" s="144">
        <v>13224</v>
      </c>
      <c r="N160" s="141" t="s">
        <v>1429</v>
      </c>
      <c r="O160" s="142" t="s">
        <v>1430</v>
      </c>
      <c r="P160" s="141" t="s">
        <v>1380</v>
      </c>
      <c r="Q160" s="142" t="s">
        <v>1533</v>
      </c>
      <c r="R160" s="141" t="s">
        <v>1392</v>
      </c>
      <c r="S160" s="142" t="s">
        <v>1540</v>
      </c>
      <c r="T160" s="141" t="s">
        <v>1551</v>
      </c>
      <c r="U160" s="142" t="s">
        <v>1550</v>
      </c>
      <c r="V160" s="142" t="s">
        <v>438</v>
      </c>
      <c r="W160" s="141">
        <f t="shared" si="5"/>
        <v>1</v>
      </c>
      <c r="X160" s="143"/>
      <c r="Y160" s="145"/>
      <c r="AA160"/>
    </row>
    <row r="161" spans="1:27" s="115" customFormat="1" ht="27" customHeight="1">
      <c r="A161" s="139">
        <v>143</v>
      </c>
      <c r="B161" s="140" t="s">
        <v>4669</v>
      </c>
      <c r="C161" s="141" t="s">
        <v>1429</v>
      </c>
      <c r="D161" s="142" t="s">
        <v>1430</v>
      </c>
      <c r="E161" s="141" t="s">
        <v>1532</v>
      </c>
      <c r="F161" s="142" t="s">
        <v>1533</v>
      </c>
      <c r="G161" s="141" t="s">
        <v>1548</v>
      </c>
      <c r="H161" s="142" t="s">
        <v>1540</v>
      </c>
      <c r="I161" s="141" t="s">
        <v>1549</v>
      </c>
      <c r="J161" s="142" t="s">
        <v>1550</v>
      </c>
      <c r="K161" s="142" t="s">
        <v>439</v>
      </c>
      <c r="L161" s="143">
        <f t="shared" si="4"/>
        <v>1</v>
      </c>
      <c r="M161" s="144">
        <v>13223</v>
      </c>
      <c r="N161" s="141" t="s">
        <v>1429</v>
      </c>
      <c r="O161" s="142" t="s">
        <v>1430</v>
      </c>
      <c r="P161" s="141" t="s">
        <v>1380</v>
      </c>
      <c r="Q161" s="142" t="s">
        <v>1533</v>
      </c>
      <c r="R161" s="141" t="s">
        <v>1392</v>
      </c>
      <c r="S161" s="142" t="s">
        <v>1540</v>
      </c>
      <c r="T161" s="141" t="s">
        <v>1551</v>
      </c>
      <c r="U161" s="142" t="s">
        <v>1550</v>
      </c>
      <c r="V161" s="142" t="s">
        <v>439</v>
      </c>
      <c r="W161" s="141">
        <f t="shared" si="5"/>
        <v>1</v>
      </c>
      <c r="X161" s="143"/>
      <c r="Y161" s="145"/>
      <c r="AA161"/>
    </row>
    <row r="162" spans="1:27" s="115" customFormat="1" ht="27" customHeight="1">
      <c r="A162" s="139">
        <v>144</v>
      </c>
      <c r="B162" s="140" t="s">
        <v>4670</v>
      </c>
      <c r="C162" s="141" t="s">
        <v>1429</v>
      </c>
      <c r="D162" s="142" t="s">
        <v>1430</v>
      </c>
      <c r="E162" s="141" t="s">
        <v>1532</v>
      </c>
      <c r="F162" s="142" t="s">
        <v>1533</v>
      </c>
      <c r="G162" s="141" t="s">
        <v>1548</v>
      </c>
      <c r="H162" s="142" t="s">
        <v>1540</v>
      </c>
      <c r="I162" s="141" t="s">
        <v>1549</v>
      </c>
      <c r="J162" s="142" t="s">
        <v>1550</v>
      </c>
      <c r="K162" s="142" t="s">
        <v>440</v>
      </c>
      <c r="L162" s="143">
        <f t="shared" si="4"/>
        <v>1</v>
      </c>
      <c r="M162" s="144">
        <v>13225</v>
      </c>
      <c r="N162" s="141" t="s">
        <v>1429</v>
      </c>
      <c r="O162" s="142" t="s">
        <v>1430</v>
      </c>
      <c r="P162" s="141" t="s">
        <v>1380</v>
      </c>
      <c r="Q162" s="142" t="s">
        <v>1533</v>
      </c>
      <c r="R162" s="141" t="s">
        <v>1392</v>
      </c>
      <c r="S162" s="142" t="s">
        <v>1540</v>
      </c>
      <c r="T162" s="141" t="s">
        <v>1551</v>
      </c>
      <c r="U162" s="142" t="s">
        <v>1550</v>
      </c>
      <c r="V162" s="142" t="s">
        <v>440</v>
      </c>
      <c r="W162" s="141">
        <f t="shared" si="5"/>
        <v>1</v>
      </c>
      <c r="X162" s="143"/>
      <c r="Y162" s="145"/>
      <c r="AA162"/>
    </row>
    <row r="163" spans="1:27" s="115" customFormat="1" ht="27" customHeight="1">
      <c r="A163" s="139">
        <v>145</v>
      </c>
      <c r="B163" s="140" t="s">
        <v>4671</v>
      </c>
      <c r="C163" s="141" t="s">
        <v>1429</v>
      </c>
      <c r="D163" s="142" t="s">
        <v>1430</v>
      </c>
      <c r="E163" s="141" t="s">
        <v>1532</v>
      </c>
      <c r="F163" s="142" t="s">
        <v>1552</v>
      </c>
      <c r="G163" s="141" t="s">
        <v>1548</v>
      </c>
      <c r="H163" s="142" t="s">
        <v>1553</v>
      </c>
      <c r="I163" s="141" t="s">
        <v>1549</v>
      </c>
      <c r="J163" s="142" t="s">
        <v>1554</v>
      </c>
      <c r="K163" s="142" t="s">
        <v>441</v>
      </c>
      <c r="L163" s="143">
        <f t="shared" si="4"/>
        <v>1</v>
      </c>
      <c r="M163" s="144">
        <v>30393</v>
      </c>
      <c r="N163" s="141" t="s">
        <v>1429</v>
      </c>
      <c r="O163" s="142" t="s">
        <v>1430</v>
      </c>
      <c r="P163" s="141" t="s">
        <v>1555</v>
      </c>
      <c r="Q163" s="142" t="s">
        <v>1552</v>
      </c>
      <c r="R163" s="141" t="s">
        <v>1556</v>
      </c>
      <c r="S163" s="142" t="s">
        <v>1553</v>
      </c>
      <c r="T163" s="141" t="s">
        <v>1557</v>
      </c>
      <c r="U163" s="142" t="s">
        <v>1554</v>
      </c>
      <c r="V163" s="142" t="s">
        <v>441</v>
      </c>
      <c r="W163" s="141">
        <f t="shared" si="5"/>
        <v>1</v>
      </c>
      <c r="X163" s="143"/>
      <c r="Y163" s="145"/>
      <c r="AA163"/>
    </row>
    <row r="164" spans="1:27" s="115" customFormat="1" ht="27" customHeight="1">
      <c r="A164" s="139">
        <v>146</v>
      </c>
      <c r="B164" s="140" t="s">
        <v>4672</v>
      </c>
      <c r="C164" s="141" t="s">
        <v>1429</v>
      </c>
      <c r="D164" s="142" t="s">
        <v>1430</v>
      </c>
      <c r="E164" s="141" t="s">
        <v>1532</v>
      </c>
      <c r="F164" s="142" t="s">
        <v>1533</v>
      </c>
      <c r="G164" s="141" t="s">
        <v>1548</v>
      </c>
      <c r="H164" s="142" t="s">
        <v>1540</v>
      </c>
      <c r="I164" s="141" t="s">
        <v>1549</v>
      </c>
      <c r="J164" s="142" t="s">
        <v>1550</v>
      </c>
      <c r="K164" s="142" t="s">
        <v>117</v>
      </c>
      <c r="L164" s="143">
        <f t="shared" si="4"/>
        <v>1</v>
      </c>
      <c r="M164" s="144">
        <v>13229</v>
      </c>
      <c r="N164" s="141" t="s">
        <v>1429</v>
      </c>
      <c r="O164" s="142" t="s">
        <v>1430</v>
      </c>
      <c r="P164" s="141" t="s">
        <v>1380</v>
      </c>
      <c r="Q164" s="142" t="s">
        <v>1533</v>
      </c>
      <c r="R164" s="141" t="s">
        <v>1392</v>
      </c>
      <c r="S164" s="142" t="s">
        <v>1540</v>
      </c>
      <c r="T164" s="141" t="s">
        <v>1551</v>
      </c>
      <c r="U164" s="142" t="s">
        <v>1550</v>
      </c>
      <c r="V164" s="142" t="s">
        <v>117</v>
      </c>
      <c r="W164" s="141">
        <f t="shared" si="5"/>
        <v>2</v>
      </c>
      <c r="X164" s="143">
        <v>1</v>
      </c>
      <c r="Y164" s="145"/>
      <c r="AA164"/>
    </row>
    <row r="165" spans="1:27" s="115" customFormat="1" ht="27" customHeight="1">
      <c r="A165" s="139">
        <v>147</v>
      </c>
      <c r="B165" s="140" t="s">
        <v>4673</v>
      </c>
      <c r="C165" s="141" t="s">
        <v>1429</v>
      </c>
      <c r="D165" s="142" t="s">
        <v>1430</v>
      </c>
      <c r="E165" s="141" t="s">
        <v>1532</v>
      </c>
      <c r="F165" s="142" t="s">
        <v>1533</v>
      </c>
      <c r="G165" s="141" t="s">
        <v>1548</v>
      </c>
      <c r="H165" s="142" t="s">
        <v>1540</v>
      </c>
      <c r="I165" s="141" t="s">
        <v>1549</v>
      </c>
      <c r="J165" s="142" t="s">
        <v>1550</v>
      </c>
      <c r="K165" s="142" t="s">
        <v>117</v>
      </c>
      <c r="L165" s="143">
        <f t="shared" si="4"/>
        <v>1</v>
      </c>
      <c r="M165" s="144">
        <v>13229</v>
      </c>
      <c r="N165" s="141" t="s">
        <v>1429</v>
      </c>
      <c r="O165" s="142" t="s">
        <v>1430</v>
      </c>
      <c r="P165" s="141" t="s">
        <v>1380</v>
      </c>
      <c r="Q165" s="142" t="s">
        <v>1533</v>
      </c>
      <c r="R165" s="141" t="s">
        <v>1392</v>
      </c>
      <c r="S165" s="142" t="s">
        <v>1540</v>
      </c>
      <c r="T165" s="141" t="s">
        <v>1551</v>
      </c>
      <c r="U165" s="142" t="s">
        <v>1550</v>
      </c>
      <c r="V165" s="142" t="s">
        <v>117</v>
      </c>
      <c r="W165" s="141">
        <f t="shared" si="5"/>
        <v>2</v>
      </c>
      <c r="X165" s="143"/>
      <c r="Y165" s="145" t="s">
        <v>1558</v>
      </c>
      <c r="AA165"/>
    </row>
    <row r="166" spans="1:27" s="115" customFormat="1" ht="27" customHeight="1">
      <c r="A166" s="139">
        <v>148</v>
      </c>
      <c r="B166" s="140" t="s">
        <v>4674</v>
      </c>
      <c r="C166" s="141" t="s">
        <v>1429</v>
      </c>
      <c r="D166" s="142" t="s">
        <v>1430</v>
      </c>
      <c r="E166" s="141" t="s">
        <v>1532</v>
      </c>
      <c r="F166" s="142" t="s">
        <v>1533</v>
      </c>
      <c r="G166" s="141" t="s">
        <v>1548</v>
      </c>
      <c r="H166" s="142" t="s">
        <v>1559</v>
      </c>
      <c r="I166" s="141" t="s">
        <v>1560</v>
      </c>
      <c r="J166" s="142" t="s">
        <v>442</v>
      </c>
      <c r="K166" s="142" t="s">
        <v>442</v>
      </c>
      <c r="L166" s="143">
        <f t="shared" si="4"/>
        <v>1</v>
      </c>
      <c r="M166" s="144">
        <v>13910</v>
      </c>
      <c r="N166" s="141" t="s">
        <v>1429</v>
      </c>
      <c r="O166" s="142" t="s">
        <v>1430</v>
      </c>
      <c r="P166" s="141" t="s">
        <v>1380</v>
      </c>
      <c r="Q166" s="142" t="s">
        <v>1533</v>
      </c>
      <c r="R166" s="141" t="s">
        <v>1561</v>
      </c>
      <c r="S166" s="142" t="s">
        <v>1559</v>
      </c>
      <c r="T166" s="141" t="s">
        <v>1562</v>
      </c>
      <c r="U166" s="142" t="s">
        <v>442</v>
      </c>
      <c r="V166" s="142" t="s">
        <v>442</v>
      </c>
      <c r="W166" s="141">
        <f t="shared" si="5"/>
        <v>1</v>
      </c>
      <c r="X166" s="143"/>
      <c r="Y166" s="145"/>
      <c r="AA166"/>
    </row>
    <row r="167" spans="1:27" s="115" customFormat="1" ht="27" customHeight="1">
      <c r="A167" s="139">
        <v>149</v>
      </c>
      <c r="B167" s="140" t="s">
        <v>4675</v>
      </c>
      <c r="C167" s="141" t="s">
        <v>1429</v>
      </c>
      <c r="D167" s="142" t="s">
        <v>1430</v>
      </c>
      <c r="E167" s="141" t="s">
        <v>1532</v>
      </c>
      <c r="F167" s="142" t="s">
        <v>1533</v>
      </c>
      <c r="G167" s="141" t="s">
        <v>1548</v>
      </c>
      <c r="H167" s="142" t="s">
        <v>1559</v>
      </c>
      <c r="I167" s="141" t="s">
        <v>1563</v>
      </c>
      <c r="J167" s="142" t="s">
        <v>1564</v>
      </c>
      <c r="K167" s="142" t="s">
        <v>443</v>
      </c>
      <c r="L167" s="143">
        <f t="shared" si="4"/>
        <v>1</v>
      </c>
      <c r="M167" s="144">
        <v>13922</v>
      </c>
      <c r="N167" s="141" t="s">
        <v>1429</v>
      </c>
      <c r="O167" s="142" t="s">
        <v>1430</v>
      </c>
      <c r="P167" s="141" t="s">
        <v>1380</v>
      </c>
      <c r="Q167" s="142" t="s">
        <v>1533</v>
      </c>
      <c r="R167" s="141" t="s">
        <v>1561</v>
      </c>
      <c r="S167" s="142" t="s">
        <v>1559</v>
      </c>
      <c r="T167" s="141" t="s">
        <v>1565</v>
      </c>
      <c r="U167" s="142" t="s">
        <v>1564</v>
      </c>
      <c r="V167" s="142" t="s">
        <v>443</v>
      </c>
      <c r="W167" s="141">
        <f t="shared" si="5"/>
        <v>1</v>
      </c>
      <c r="X167" s="143"/>
      <c r="Y167" s="145"/>
      <c r="AA167"/>
    </row>
    <row r="168" spans="1:27" s="115" customFormat="1" ht="27" customHeight="1">
      <c r="A168" s="139">
        <v>150</v>
      </c>
      <c r="B168" s="140" t="s">
        <v>4676</v>
      </c>
      <c r="C168" s="141" t="s">
        <v>1429</v>
      </c>
      <c r="D168" s="142" t="s">
        <v>1430</v>
      </c>
      <c r="E168" s="141" t="s">
        <v>1532</v>
      </c>
      <c r="F168" s="142" t="s">
        <v>1533</v>
      </c>
      <c r="G168" s="141" t="s">
        <v>1548</v>
      </c>
      <c r="H168" s="142" t="s">
        <v>1559</v>
      </c>
      <c r="I168" s="141" t="s">
        <v>1563</v>
      </c>
      <c r="J168" s="142" t="s">
        <v>1564</v>
      </c>
      <c r="K168" s="142" t="s">
        <v>444</v>
      </c>
      <c r="L168" s="143">
        <f t="shared" si="4"/>
        <v>1</v>
      </c>
      <c r="M168" s="144">
        <v>13921</v>
      </c>
      <c r="N168" s="141" t="s">
        <v>1429</v>
      </c>
      <c r="O168" s="142" t="s">
        <v>1430</v>
      </c>
      <c r="P168" s="141" t="s">
        <v>1380</v>
      </c>
      <c r="Q168" s="142" t="s">
        <v>1533</v>
      </c>
      <c r="R168" s="141" t="s">
        <v>1561</v>
      </c>
      <c r="S168" s="142" t="s">
        <v>1559</v>
      </c>
      <c r="T168" s="141" t="s">
        <v>1565</v>
      </c>
      <c r="U168" s="142" t="s">
        <v>1564</v>
      </c>
      <c r="V168" s="142" t="s">
        <v>444</v>
      </c>
      <c r="W168" s="141">
        <f t="shared" si="5"/>
        <v>1</v>
      </c>
      <c r="X168" s="143"/>
      <c r="Y168" s="145"/>
      <c r="AA168"/>
    </row>
    <row r="169" spans="1:27" s="115" customFormat="1" ht="27" customHeight="1">
      <c r="A169" s="139">
        <v>151</v>
      </c>
      <c r="B169" s="140" t="s">
        <v>4677</v>
      </c>
      <c r="C169" s="141" t="s">
        <v>1429</v>
      </c>
      <c r="D169" s="142" t="s">
        <v>1430</v>
      </c>
      <c r="E169" s="141" t="s">
        <v>1532</v>
      </c>
      <c r="F169" s="142" t="s">
        <v>1533</v>
      </c>
      <c r="G169" s="141" t="s">
        <v>1548</v>
      </c>
      <c r="H169" s="142" t="s">
        <v>1559</v>
      </c>
      <c r="I169" s="141" t="s">
        <v>1566</v>
      </c>
      <c r="J169" s="142" t="s">
        <v>1567</v>
      </c>
      <c r="K169" s="142" t="s">
        <v>445</v>
      </c>
      <c r="L169" s="143">
        <f t="shared" si="4"/>
        <v>1</v>
      </c>
      <c r="M169" s="144">
        <v>13991</v>
      </c>
      <c r="N169" s="141" t="s">
        <v>1429</v>
      </c>
      <c r="O169" s="142" t="s">
        <v>1430</v>
      </c>
      <c r="P169" s="141" t="s">
        <v>1380</v>
      </c>
      <c r="Q169" s="142" t="s">
        <v>1533</v>
      </c>
      <c r="R169" s="141" t="s">
        <v>1561</v>
      </c>
      <c r="S169" s="142" t="s">
        <v>1559</v>
      </c>
      <c r="T169" s="141" t="s">
        <v>1568</v>
      </c>
      <c r="U169" s="142" t="s">
        <v>1567</v>
      </c>
      <c r="V169" s="142" t="s">
        <v>445</v>
      </c>
      <c r="W169" s="141">
        <f t="shared" si="5"/>
        <v>1</v>
      </c>
      <c r="X169" s="143"/>
      <c r="Y169" s="145"/>
      <c r="AA169"/>
    </row>
    <row r="170" spans="1:27" s="115" customFormat="1" ht="27" customHeight="1">
      <c r="A170" s="139">
        <v>152</v>
      </c>
      <c r="B170" s="140" t="s">
        <v>4678</v>
      </c>
      <c r="C170" s="141" t="s">
        <v>1429</v>
      </c>
      <c r="D170" s="142" t="s">
        <v>1430</v>
      </c>
      <c r="E170" s="141" t="s">
        <v>1532</v>
      </c>
      <c r="F170" s="142" t="s">
        <v>1533</v>
      </c>
      <c r="G170" s="141" t="s">
        <v>1548</v>
      </c>
      <c r="H170" s="142" t="s">
        <v>1559</v>
      </c>
      <c r="I170" s="141" t="s">
        <v>1566</v>
      </c>
      <c r="J170" s="142" t="s">
        <v>1567</v>
      </c>
      <c r="K170" s="142" t="s">
        <v>446</v>
      </c>
      <c r="L170" s="143">
        <f t="shared" si="4"/>
        <v>1</v>
      </c>
      <c r="M170" s="144">
        <v>13999</v>
      </c>
      <c r="N170" s="141" t="s">
        <v>1429</v>
      </c>
      <c r="O170" s="142" t="s">
        <v>1430</v>
      </c>
      <c r="P170" s="141" t="s">
        <v>1380</v>
      </c>
      <c r="Q170" s="142" t="s">
        <v>1533</v>
      </c>
      <c r="R170" s="141" t="s">
        <v>1561</v>
      </c>
      <c r="S170" s="142" t="s">
        <v>1559</v>
      </c>
      <c r="T170" s="141" t="s">
        <v>1568</v>
      </c>
      <c r="U170" s="142" t="s">
        <v>1567</v>
      </c>
      <c r="V170" s="142" t="s">
        <v>446</v>
      </c>
      <c r="W170" s="141">
        <f t="shared" si="5"/>
        <v>2</v>
      </c>
      <c r="X170" s="143">
        <v>1</v>
      </c>
      <c r="Y170" s="145"/>
      <c r="AA170"/>
    </row>
    <row r="171" spans="1:27" s="115" customFormat="1" ht="27" customHeight="1">
      <c r="A171" s="139">
        <v>153</v>
      </c>
      <c r="B171" s="140" t="s">
        <v>4679</v>
      </c>
      <c r="C171" s="141" t="s">
        <v>1429</v>
      </c>
      <c r="D171" s="142" t="s">
        <v>1430</v>
      </c>
      <c r="E171" s="141" t="s">
        <v>1532</v>
      </c>
      <c r="F171" s="142" t="s">
        <v>1533</v>
      </c>
      <c r="G171" s="141" t="s">
        <v>1548</v>
      </c>
      <c r="H171" s="142" t="s">
        <v>1559</v>
      </c>
      <c r="I171" s="141" t="s">
        <v>1566</v>
      </c>
      <c r="J171" s="142" t="s">
        <v>1567</v>
      </c>
      <c r="K171" s="142" t="s">
        <v>118</v>
      </c>
      <c r="L171" s="143">
        <f t="shared" si="4"/>
        <v>1</v>
      </c>
      <c r="M171" s="144">
        <v>13992</v>
      </c>
      <c r="N171" s="141" t="s">
        <v>1429</v>
      </c>
      <c r="O171" s="142" t="s">
        <v>1430</v>
      </c>
      <c r="P171" s="141" t="s">
        <v>1380</v>
      </c>
      <c r="Q171" s="142" t="s">
        <v>1533</v>
      </c>
      <c r="R171" s="141" t="s">
        <v>1561</v>
      </c>
      <c r="S171" s="142" t="s">
        <v>1559</v>
      </c>
      <c r="T171" s="141" t="s">
        <v>1568</v>
      </c>
      <c r="U171" s="142" t="s">
        <v>1567</v>
      </c>
      <c r="V171" s="142" t="s">
        <v>118</v>
      </c>
      <c r="W171" s="141">
        <f t="shared" si="5"/>
        <v>1</v>
      </c>
      <c r="X171" s="143"/>
      <c r="Y171" s="145"/>
      <c r="AA171"/>
    </row>
    <row r="172" spans="1:27" s="115" customFormat="1" ht="27" customHeight="1">
      <c r="A172" s="139">
        <v>154</v>
      </c>
      <c r="B172" s="140" t="s">
        <v>4680</v>
      </c>
      <c r="C172" s="141" t="s">
        <v>1429</v>
      </c>
      <c r="D172" s="142" t="s">
        <v>1430</v>
      </c>
      <c r="E172" s="141" t="s">
        <v>1532</v>
      </c>
      <c r="F172" s="142" t="s">
        <v>1533</v>
      </c>
      <c r="G172" s="141" t="s">
        <v>1548</v>
      </c>
      <c r="H172" s="142" t="s">
        <v>1559</v>
      </c>
      <c r="I172" s="141" t="s">
        <v>1566</v>
      </c>
      <c r="J172" s="142" t="s">
        <v>1567</v>
      </c>
      <c r="K172" s="142" t="s">
        <v>447</v>
      </c>
      <c r="L172" s="143">
        <f t="shared" si="4"/>
        <v>1</v>
      </c>
      <c r="M172" s="144">
        <v>13993</v>
      </c>
      <c r="N172" s="141" t="s">
        <v>1429</v>
      </c>
      <c r="O172" s="142" t="s">
        <v>1430</v>
      </c>
      <c r="P172" s="141" t="s">
        <v>1380</v>
      </c>
      <c r="Q172" s="142" t="s">
        <v>1533</v>
      </c>
      <c r="R172" s="141" t="s">
        <v>1561</v>
      </c>
      <c r="S172" s="142" t="s">
        <v>1559</v>
      </c>
      <c r="T172" s="141" t="s">
        <v>1568</v>
      </c>
      <c r="U172" s="142" t="s">
        <v>1567</v>
      </c>
      <c r="V172" s="142" t="s">
        <v>447</v>
      </c>
      <c r="W172" s="141">
        <f t="shared" si="5"/>
        <v>1</v>
      </c>
      <c r="X172" s="143"/>
      <c r="Y172" s="145"/>
      <c r="AA172"/>
    </row>
    <row r="173" spans="1:27" s="115" customFormat="1" ht="27" customHeight="1">
      <c r="A173" s="139">
        <v>155</v>
      </c>
      <c r="B173" s="140" t="s">
        <v>4681</v>
      </c>
      <c r="C173" s="141" t="s">
        <v>1429</v>
      </c>
      <c r="D173" s="142" t="s">
        <v>1430</v>
      </c>
      <c r="E173" s="141" t="s">
        <v>1532</v>
      </c>
      <c r="F173" s="142" t="s">
        <v>1533</v>
      </c>
      <c r="G173" s="141" t="s">
        <v>1548</v>
      </c>
      <c r="H173" s="142" t="s">
        <v>1559</v>
      </c>
      <c r="I173" s="141" t="s">
        <v>1566</v>
      </c>
      <c r="J173" s="142" t="s">
        <v>1567</v>
      </c>
      <c r="K173" s="142" t="s">
        <v>448</v>
      </c>
      <c r="L173" s="143">
        <f t="shared" si="4"/>
        <v>1</v>
      </c>
      <c r="M173" s="144">
        <v>13994</v>
      </c>
      <c r="N173" s="141" t="s">
        <v>1429</v>
      </c>
      <c r="O173" s="142" t="s">
        <v>1430</v>
      </c>
      <c r="P173" s="141" t="s">
        <v>1380</v>
      </c>
      <c r="Q173" s="142" t="s">
        <v>1533</v>
      </c>
      <c r="R173" s="141" t="s">
        <v>1561</v>
      </c>
      <c r="S173" s="142" t="s">
        <v>1559</v>
      </c>
      <c r="T173" s="141" t="s">
        <v>1568</v>
      </c>
      <c r="U173" s="142" t="s">
        <v>1567</v>
      </c>
      <c r="V173" s="142" t="s">
        <v>448</v>
      </c>
      <c r="W173" s="141">
        <f t="shared" si="5"/>
        <v>1</v>
      </c>
      <c r="X173" s="143"/>
      <c r="Y173" s="145"/>
      <c r="AA173"/>
    </row>
    <row r="174" spans="1:27" s="115" customFormat="1" ht="27" customHeight="1">
      <c r="A174" s="139">
        <v>156</v>
      </c>
      <c r="B174" s="140" t="s">
        <v>4682</v>
      </c>
      <c r="C174" s="141" t="s">
        <v>1429</v>
      </c>
      <c r="D174" s="142" t="s">
        <v>1430</v>
      </c>
      <c r="E174" s="141" t="s">
        <v>1532</v>
      </c>
      <c r="F174" s="142" t="s">
        <v>1569</v>
      </c>
      <c r="G174" s="141" t="s">
        <v>1570</v>
      </c>
      <c r="H174" s="142" t="s">
        <v>119</v>
      </c>
      <c r="I174" s="141" t="s">
        <v>1571</v>
      </c>
      <c r="J174" s="142" t="s">
        <v>119</v>
      </c>
      <c r="K174" s="142" t="s">
        <v>119</v>
      </c>
      <c r="L174" s="143">
        <f t="shared" si="4"/>
        <v>1</v>
      </c>
      <c r="M174" s="144">
        <v>14300</v>
      </c>
      <c r="N174" s="141" t="s">
        <v>1429</v>
      </c>
      <c r="O174" s="142" t="s">
        <v>1430</v>
      </c>
      <c r="P174" s="141" t="s">
        <v>1396</v>
      </c>
      <c r="Q174" s="142" t="s">
        <v>1569</v>
      </c>
      <c r="R174" s="141" t="s">
        <v>1426</v>
      </c>
      <c r="S174" s="142" t="s">
        <v>119</v>
      </c>
      <c r="T174" s="141" t="s">
        <v>1572</v>
      </c>
      <c r="U174" s="142" t="s">
        <v>119</v>
      </c>
      <c r="V174" s="142" t="s">
        <v>119</v>
      </c>
      <c r="W174" s="141">
        <f t="shared" si="5"/>
        <v>1</v>
      </c>
      <c r="X174" s="143"/>
      <c r="Y174" s="145"/>
      <c r="AA174"/>
    </row>
    <row r="175" spans="1:27" s="115" customFormat="1" ht="27" customHeight="1">
      <c r="A175" s="139">
        <v>157</v>
      </c>
      <c r="B175" s="140" t="s">
        <v>4683</v>
      </c>
      <c r="C175" s="141" t="s">
        <v>1429</v>
      </c>
      <c r="D175" s="142" t="s">
        <v>1430</v>
      </c>
      <c r="E175" s="141" t="s">
        <v>1532</v>
      </c>
      <c r="F175" s="142" t="s">
        <v>1533</v>
      </c>
      <c r="G175" s="141" t="s">
        <v>1570</v>
      </c>
      <c r="H175" s="142" t="s">
        <v>449</v>
      </c>
      <c r="I175" s="141" t="s">
        <v>1571</v>
      </c>
      <c r="J175" s="142" t="s">
        <v>449</v>
      </c>
      <c r="K175" s="142" t="s">
        <v>449</v>
      </c>
      <c r="L175" s="143">
        <f t="shared" si="4"/>
        <v>1</v>
      </c>
      <c r="M175" s="144">
        <v>13300</v>
      </c>
      <c r="N175" s="141" t="s">
        <v>1429</v>
      </c>
      <c r="O175" s="142" t="s">
        <v>1430</v>
      </c>
      <c r="P175" s="141" t="s">
        <v>1380</v>
      </c>
      <c r="Q175" s="142" t="s">
        <v>1533</v>
      </c>
      <c r="R175" s="141" t="s">
        <v>1573</v>
      </c>
      <c r="S175" s="142" t="s">
        <v>449</v>
      </c>
      <c r="T175" s="141" t="s">
        <v>1574</v>
      </c>
      <c r="U175" s="142" t="s">
        <v>449</v>
      </c>
      <c r="V175" s="142" t="s">
        <v>449</v>
      </c>
      <c r="W175" s="141">
        <f t="shared" si="5"/>
        <v>2</v>
      </c>
      <c r="X175" s="143">
        <v>1</v>
      </c>
      <c r="Y175" s="145"/>
      <c r="AA175"/>
    </row>
    <row r="176" spans="1:27" s="115" customFormat="1" ht="27" customHeight="1">
      <c r="A176" s="139">
        <v>158</v>
      </c>
      <c r="B176" s="140" t="s">
        <v>4684</v>
      </c>
      <c r="C176" s="141" t="s">
        <v>1429</v>
      </c>
      <c r="D176" s="142" t="s">
        <v>1430</v>
      </c>
      <c r="E176" s="141" t="s">
        <v>1532</v>
      </c>
      <c r="F176" s="142" t="s">
        <v>1569</v>
      </c>
      <c r="G176" s="141" t="s">
        <v>1570</v>
      </c>
      <c r="H176" s="142" t="s">
        <v>1575</v>
      </c>
      <c r="I176" s="141" t="s">
        <v>1571</v>
      </c>
      <c r="J176" s="142" t="s">
        <v>1576</v>
      </c>
      <c r="K176" s="142" t="s">
        <v>120</v>
      </c>
      <c r="L176" s="143">
        <f t="shared" si="4"/>
        <v>1</v>
      </c>
      <c r="M176" s="144">
        <v>14411</v>
      </c>
      <c r="N176" s="141" t="s">
        <v>1429</v>
      </c>
      <c r="O176" s="142" t="s">
        <v>1430</v>
      </c>
      <c r="P176" s="141" t="s">
        <v>1396</v>
      </c>
      <c r="Q176" s="142" t="s">
        <v>1569</v>
      </c>
      <c r="R176" s="141" t="s">
        <v>1577</v>
      </c>
      <c r="S176" s="142" t="s">
        <v>1575</v>
      </c>
      <c r="T176" s="141" t="s">
        <v>1578</v>
      </c>
      <c r="U176" s="142" t="s">
        <v>1576</v>
      </c>
      <c r="V176" s="142" t="s">
        <v>120</v>
      </c>
      <c r="W176" s="141">
        <f t="shared" si="5"/>
        <v>1</v>
      </c>
      <c r="X176" s="143"/>
      <c r="Y176" s="145"/>
      <c r="AA176"/>
    </row>
    <row r="177" spans="1:27" s="115" customFormat="1" ht="27" customHeight="1">
      <c r="A177" s="139">
        <v>159</v>
      </c>
      <c r="B177" s="140" t="s">
        <v>4685</v>
      </c>
      <c r="C177" s="141" t="s">
        <v>1429</v>
      </c>
      <c r="D177" s="142" t="s">
        <v>1430</v>
      </c>
      <c r="E177" s="141" t="s">
        <v>1532</v>
      </c>
      <c r="F177" s="142" t="s">
        <v>1569</v>
      </c>
      <c r="G177" s="141" t="s">
        <v>1570</v>
      </c>
      <c r="H177" s="142" t="s">
        <v>1575</v>
      </c>
      <c r="I177" s="141" t="s">
        <v>1571</v>
      </c>
      <c r="J177" s="142" t="s">
        <v>1576</v>
      </c>
      <c r="K177" s="142" t="s">
        <v>450</v>
      </c>
      <c r="L177" s="143">
        <f t="shared" si="4"/>
        <v>1</v>
      </c>
      <c r="M177" s="144">
        <v>14419</v>
      </c>
      <c r="N177" s="141" t="s">
        <v>1429</v>
      </c>
      <c r="O177" s="142" t="s">
        <v>1430</v>
      </c>
      <c r="P177" s="141" t="s">
        <v>1396</v>
      </c>
      <c r="Q177" s="142" t="s">
        <v>1569</v>
      </c>
      <c r="R177" s="141" t="s">
        <v>1577</v>
      </c>
      <c r="S177" s="142" t="s">
        <v>1575</v>
      </c>
      <c r="T177" s="141" t="s">
        <v>1578</v>
      </c>
      <c r="U177" s="142" t="s">
        <v>1576</v>
      </c>
      <c r="V177" s="142" t="s">
        <v>450</v>
      </c>
      <c r="W177" s="141">
        <f t="shared" si="5"/>
        <v>2</v>
      </c>
      <c r="X177" s="143"/>
      <c r="Y177" s="145" t="s">
        <v>1579</v>
      </c>
      <c r="AA177"/>
    </row>
    <row r="178" spans="1:27" s="115" customFormat="1" ht="27" customHeight="1">
      <c r="A178" s="139">
        <v>160</v>
      </c>
      <c r="B178" s="140" t="s">
        <v>4686</v>
      </c>
      <c r="C178" s="141" t="s">
        <v>1429</v>
      </c>
      <c r="D178" s="142" t="s">
        <v>1430</v>
      </c>
      <c r="E178" s="141" t="s">
        <v>1532</v>
      </c>
      <c r="F178" s="142" t="s">
        <v>1569</v>
      </c>
      <c r="G178" s="141" t="s">
        <v>1570</v>
      </c>
      <c r="H178" s="142" t="s">
        <v>1575</v>
      </c>
      <c r="I178" s="141" t="s">
        <v>1571</v>
      </c>
      <c r="J178" s="142" t="s">
        <v>1576</v>
      </c>
      <c r="K178" s="142" t="s">
        <v>450</v>
      </c>
      <c r="L178" s="143">
        <f t="shared" si="4"/>
        <v>1</v>
      </c>
      <c r="M178" s="144">
        <v>14419</v>
      </c>
      <c r="N178" s="141" t="s">
        <v>1429</v>
      </c>
      <c r="O178" s="142" t="s">
        <v>1430</v>
      </c>
      <c r="P178" s="141" t="s">
        <v>1396</v>
      </c>
      <c r="Q178" s="142" t="s">
        <v>1569</v>
      </c>
      <c r="R178" s="141" t="s">
        <v>1577</v>
      </c>
      <c r="S178" s="142" t="s">
        <v>1575</v>
      </c>
      <c r="T178" s="141" t="s">
        <v>1578</v>
      </c>
      <c r="U178" s="142" t="s">
        <v>1576</v>
      </c>
      <c r="V178" s="142" t="s">
        <v>450</v>
      </c>
      <c r="W178" s="141">
        <f t="shared" si="5"/>
        <v>2</v>
      </c>
      <c r="X178" s="143">
        <v>1</v>
      </c>
      <c r="Y178" s="145"/>
      <c r="AA178"/>
    </row>
    <row r="179" spans="1:27" s="115" customFormat="1" ht="27" customHeight="1">
      <c r="A179" s="139">
        <v>161</v>
      </c>
      <c r="B179" s="140" t="s">
        <v>4687</v>
      </c>
      <c r="C179" s="141" t="s">
        <v>1429</v>
      </c>
      <c r="D179" s="142" t="s">
        <v>1430</v>
      </c>
      <c r="E179" s="141" t="s">
        <v>1580</v>
      </c>
      <c r="F179" s="142" t="s">
        <v>1569</v>
      </c>
      <c r="G179" s="141" t="s">
        <v>1581</v>
      </c>
      <c r="H179" s="142" t="s">
        <v>1582</v>
      </c>
      <c r="I179" s="141" t="s">
        <v>1583</v>
      </c>
      <c r="J179" s="142" t="s">
        <v>1584</v>
      </c>
      <c r="K179" s="142" t="s">
        <v>451</v>
      </c>
      <c r="L179" s="143">
        <f t="shared" si="4"/>
        <v>1</v>
      </c>
      <c r="M179" s="144">
        <v>14111</v>
      </c>
      <c r="N179" s="141" t="s">
        <v>1429</v>
      </c>
      <c r="O179" s="142" t="s">
        <v>1430</v>
      </c>
      <c r="P179" s="141" t="s">
        <v>1396</v>
      </c>
      <c r="Q179" s="142" t="s">
        <v>1569</v>
      </c>
      <c r="R179" s="141" t="s">
        <v>1397</v>
      </c>
      <c r="S179" s="142" t="s">
        <v>1582</v>
      </c>
      <c r="T179" s="141" t="s">
        <v>1585</v>
      </c>
      <c r="U179" s="142" t="s">
        <v>1584</v>
      </c>
      <c r="V179" s="142" t="s">
        <v>451</v>
      </c>
      <c r="W179" s="141">
        <f t="shared" si="5"/>
        <v>2</v>
      </c>
      <c r="X179" s="143">
        <v>2</v>
      </c>
      <c r="Y179" s="145" t="s">
        <v>1586</v>
      </c>
      <c r="AA179"/>
    </row>
    <row r="180" spans="1:27" s="115" customFormat="1" ht="27" customHeight="1">
      <c r="A180" s="139">
        <v>162</v>
      </c>
      <c r="B180" s="140" t="s">
        <v>4688</v>
      </c>
      <c r="C180" s="141" t="s">
        <v>1429</v>
      </c>
      <c r="D180" s="142" t="s">
        <v>1430</v>
      </c>
      <c r="E180" s="141" t="s">
        <v>1580</v>
      </c>
      <c r="F180" s="142" t="s">
        <v>1569</v>
      </c>
      <c r="G180" s="141" t="s">
        <v>1581</v>
      </c>
      <c r="H180" s="142" t="s">
        <v>1582</v>
      </c>
      <c r="I180" s="141" t="s">
        <v>1583</v>
      </c>
      <c r="J180" s="142" t="s">
        <v>452</v>
      </c>
      <c r="K180" s="142" t="s">
        <v>452</v>
      </c>
      <c r="L180" s="143">
        <f t="shared" si="4"/>
        <v>1</v>
      </c>
      <c r="M180" s="144">
        <v>14130</v>
      </c>
      <c r="N180" s="141" t="s">
        <v>1429</v>
      </c>
      <c r="O180" s="142" t="s">
        <v>1430</v>
      </c>
      <c r="P180" s="141" t="s">
        <v>1396</v>
      </c>
      <c r="Q180" s="142" t="s">
        <v>1569</v>
      </c>
      <c r="R180" s="141" t="s">
        <v>1397</v>
      </c>
      <c r="S180" s="142" t="s">
        <v>1582</v>
      </c>
      <c r="T180" s="141" t="s">
        <v>1587</v>
      </c>
      <c r="U180" s="142" t="s">
        <v>452</v>
      </c>
      <c r="V180" s="142" t="s">
        <v>452</v>
      </c>
      <c r="W180" s="141">
        <f t="shared" si="5"/>
        <v>2</v>
      </c>
      <c r="X180" s="143">
        <v>2</v>
      </c>
      <c r="Y180" s="145" t="s">
        <v>1588</v>
      </c>
      <c r="AA180"/>
    </row>
    <row r="181" spans="1:27" s="115" customFormat="1" ht="27" customHeight="1">
      <c r="A181" s="139">
        <v>163</v>
      </c>
      <c r="B181" s="140" t="s">
        <v>4689</v>
      </c>
      <c r="C181" s="141" t="s">
        <v>1429</v>
      </c>
      <c r="D181" s="142" t="s">
        <v>1430</v>
      </c>
      <c r="E181" s="141" t="s">
        <v>1580</v>
      </c>
      <c r="F181" s="142" t="s">
        <v>1569</v>
      </c>
      <c r="G181" s="141" t="s">
        <v>1581</v>
      </c>
      <c r="H181" s="142" t="s">
        <v>1582</v>
      </c>
      <c r="I181" s="141" t="s">
        <v>1583</v>
      </c>
      <c r="J181" s="142" t="s">
        <v>1584</v>
      </c>
      <c r="K181" s="142" t="s">
        <v>453</v>
      </c>
      <c r="L181" s="143">
        <f t="shared" si="4"/>
        <v>1</v>
      </c>
      <c r="M181" s="144">
        <v>14112</v>
      </c>
      <c r="N181" s="141" t="s">
        <v>1429</v>
      </c>
      <c r="O181" s="142" t="s">
        <v>1430</v>
      </c>
      <c r="P181" s="141" t="s">
        <v>1396</v>
      </c>
      <c r="Q181" s="142" t="s">
        <v>1569</v>
      </c>
      <c r="R181" s="141" t="s">
        <v>1397</v>
      </c>
      <c r="S181" s="142" t="s">
        <v>1582</v>
      </c>
      <c r="T181" s="141" t="s">
        <v>1585</v>
      </c>
      <c r="U181" s="142" t="s">
        <v>1584</v>
      </c>
      <c r="V181" s="142" t="s">
        <v>453</v>
      </c>
      <c r="W181" s="141">
        <f t="shared" si="5"/>
        <v>2</v>
      </c>
      <c r="X181" s="143">
        <v>2</v>
      </c>
      <c r="Y181" s="145" t="s">
        <v>1589</v>
      </c>
      <c r="AA181"/>
    </row>
    <row r="182" spans="1:27" s="115" customFormat="1" ht="27" customHeight="1">
      <c r="A182" s="139">
        <v>164</v>
      </c>
      <c r="B182" s="140" t="s">
        <v>4690</v>
      </c>
      <c r="C182" s="141" t="s">
        <v>1429</v>
      </c>
      <c r="D182" s="142" t="s">
        <v>1430</v>
      </c>
      <c r="E182" s="141" t="s">
        <v>1580</v>
      </c>
      <c r="F182" s="142" t="s">
        <v>1569</v>
      </c>
      <c r="G182" s="141" t="s">
        <v>1581</v>
      </c>
      <c r="H182" s="142" t="s">
        <v>1582</v>
      </c>
      <c r="I182" s="141" t="s">
        <v>1583</v>
      </c>
      <c r="J182" s="142" t="s">
        <v>1590</v>
      </c>
      <c r="K182" s="142" t="s">
        <v>454</v>
      </c>
      <c r="L182" s="143">
        <f t="shared" si="4"/>
        <v>1</v>
      </c>
      <c r="M182" s="144">
        <v>14191</v>
      </c>
      <c r="N182" s="141" t="s">
        <v>1429</v>
      </c>
      <c r="O182" s="142" t="s">
        <v>1430</v>
      </c>
      <c r="P182" s="141" t="s">
        <v>1396</v>
      </c>
      <c r="Q182" s="142" t="s">
        <v>1569</v>
      </c>
      <c r="R182" s="141" t="s">
        <v>1397</v>
      </c>
      <c r="S182" s="142" t="s">
        <v>1582</v>
      </c>
      <c r="T182" s="141" t="s">
        <v>1591</v>
      </c>
      <c r="U182" s="142" t="s">
        <v>1590</v>
      </c>
      <c r="V182" s="142" t="s">
        <v>454</v>
      </c>
      <c r="W182" s="141">
        <f t="shared" si="5"/>
        <v>1</v>
      </c>
      <c r="X182" s="143"/>
      <c r="Y182" s="145"/>
      <c r="AA182"/>
    </row>
    <row r="183" spans="1:27" s="115" customFormat="1" ht="27" customHeight="1">
      <c r="A183" s="139">
        <v>165</v>
      </c>
      <c r="B183" s="140" t="s">
        <v>4691</v>
      </c>
      <c r="C183" s="141" t="s">
        <v>1429</v>
      </c>
      <c r="D183" s="142" t="s">
        <v>1430</v>
      </c>
      <c r="E183" s="141" t="s">
        <v>1580</v>
      </c>
      <c r="F183" s="142" t="s">
        <v>1569</v>
      </c>
      <c r="G183" s="141" t="s">
        <v>1581</v>
      </c>
      <c r="H183" s="142" t="s">
        <v>1582</v>
      </c>
      <c r="I183" s="141" t="s">
        <v>1583</v>
      </c>
      <c r="J183" s="142" t="s">
        <v>1590</v>
      </c>
      <c r="K183" s="142" t="s">
        <v>455</v>
      </c>
      <c r="L183" s="143">
        <f t="shared" si="4"/>
        <v>1</v>
      </c>
      <c r="M183" s="144">
        <v>14192</v>
      </c>
      <c r="N183" s="141" t="s">
        <v>1429</v>
      </c>
      <c r="O183" s="142" t="s">
        <v>1430</v>
      </c>
      <c r="P183" s="141" t="s">
        <v>1396</v>
      </c>
      <c r="Q183" s="142" t="s">
        <v>1569</v>
      </c>
      <c r="R183" s="141" t="s">
        <v>1397</v>
      </c>
      <c r="S183" s="142" t="s">
        <v>1582</v>
      </c>
      <c r="T183" s="141" t="s">
        <v>1591</v>
      </c>
      <c r="U183" s="142" t="s">
        <v>1590</v>
      </c>
      <c r="V183" s="142" t="s">
        <v>455</v>
      </c>
      <c r="W183" s="141">
        <f t="shared" si="5"/>
        <v>2</v>
      </c>
      <c r="X183" s="143"/>
      <c r="Y183" s="145" t="s">
        <v>1592</v>
      </c>
      <c r="AA183"/>
    </row>
    <row r="184" spans="1:27" s="115" customFormat="1" ht="27" customHeight="1">
      <c r="A184" s="139">
        <v>166</v>
      </c>
      <c r="B184" s="140" t="s">
        <v>4692</v>
      </c>
      <c r="C184" s="141" t="s">
        <v>1429</v>
      </c>
      <c r="D184" s="142" t="s">
        <v>1430</v>
      </c>
      <c r="E184" s="141" t="s">
        <v>1580</v>
      </c>
      <c r="F184" s="142" t="s">
        <v>1569</v>
      </c>
      <c r="G184" s="141" t="s">
        <v>1581</v>
      </c>
      <c r="H184" s="142" t="s">
        <v>1582</v>
      </c>
      <c r="I184" s="141" t="s">
        <v>1593</v>
      </c>
      <c r="J184" s="142" t="s">
        <v>1590</v>
      </c>
      <c r="K184" s="142" t="s">
        <v>456</v>
      </c>
      <c r="L184" s="143">
        <f t="shared" si="4"/>
        <v>1</v>
      </c>
      <c r="M184" s="144">
        <v>14193</v>
      </c>
      <c r="N184" s="141" t="s">
        <v>1429</v>
      </c>
      <c r="O184" s="142" t="s">
        <v>1430</v>
      </c>
      <c r="P184" s="141" t="s">
        <v>1396</v>
      </c>
      <c r="Q184" s="142" t="s">
        <v>1569</v>
      </c>
      <c r="R184" s="141" t="s">
        <v>1397</v>
      </c>
      <c r="S184" s="142" t="s">
        <v>1582</v>
      </c>
      <c r="T184" s="141" t="s">
        <v>1591</v>
      </c>
      <c r="U184" s="142" t="s">
        <v>1590</v>
      </c>
      <c r="V184" s="142" t="s">
        <v>456</v>
      </c>
      <c r="W184" s="141">
        <f t="shared" si="5"/>
        <v>1</v>
      </c>
      <c r="X184" s="143"/>
      <c r="Y184" s="145"/>
      <c r="AA184"/>
    </row>
    <row r="185" spans="1:27" s="115" customFormat="1" ht="27" customHeight="1">
      <c r="A185" s="139">
        <v>167</v>
      </c>
      <c r="B185" s="140" t="s">
        <v>4693</v>
      </c>
      <c r="C185" s="141" t="s">
        <v>1429</v>
      </c>
      <c r="D185" s="142" t="s">
        <v>1430</v>
      </c>
      <c r="E185" s="141" t="s">
        <v>1580</v>
      </c>
      <c r="F185" s="142" t="s">
        <v>1569</v>
      </c>
      <c r="G185" s="141" t="s">
        <v>1581</v>
      </c>
      <c r="H185" s="142" t="s">
        <v>1575</v>
      </c>
      <c r="I185" s="141" t="s">
        <v>1593</v>
      </c>
      <c r="J185" s="142" t="s">
        <v>1594</v>
      </c>
      <c r="K185" s="142" t="s">
        <v>457</v>
      </c>
      <c r="L185" s="143">
        <f t="shared" si="4"/>
        <v>1</v>
      </c>
      <c r="M185" s="144">
        <v>14491</v>
      </c>
      <c r="N185" s="141" t="s">
        <v>1429</v>
      </c>
      <c r="O185" s="142" t="s">
        <v>1430</v>
      </c>
      <c r="P185" s="141" t="s">
        <v>1396</v>
      </c>
      <c r="Q185" s="142" t="s">
        <v>1569</v>
      </c>
      <c r="R185" s="141" t="s">
        <v>1577</v>
      </c>
      <c r="S185" s="142" t="s">
        <v>1575</v>
      </c>
      <c r="T185" s="141" t="s">
        <v>1595</v>
      </c>
      <c r="U185" s="142" t="s">
        <v>1594</v>
      </c>
      <c r="V185" s="142" t="s">
        <v>457</v>
      </c>
      <c r="W185" s="141">
        <f t="shared" si="5"/>
        <v>1</v>
      </c>
      <c r="X185" s="143"/>
      <c r="Y185" s="145"/>
      <c r="AA185"/>
    </row>
    <row r="186" spans="1:27" s="115" customFormat="1" ht="27" customHeight="1">
      <c r="A186" s="139">
        <v>168</v>
      </c>
      <c r="B186" s="140" t="s">
        <v>4694</v>
      </c>
      <c r="C186" s="141" t="s">
        <v>1429</v>
      </c>
      <c r="D186" s="142" t="s">
        <v>1430</v>
      </c>
      <c r="E186" s="141" t="s">
        <v>1580</v>
      </c>
      <c r="F186" s="142" t="s">
        <v>1569</v>
      </c>
      <c r="G186" s="141" t="s">
        <v>1581</v>
      </c>
      <c r="H186" s="142" t="s">
        <v>1582</v>
      </c>
      <c r="I186" s="141" t="s">
        <v>1593</v>
      </c>
      <c r="J186" s="142" t="s">
        <v>458</v>
      </c>
      <c r="K186" s="142" t="s">
        <v>458</v>
      </c>
      <c r="L186" s="143">
        <f t="shared" si="4"/>
        <v>1</v>
      </c>
      <c r="M186" s="144">
        <v>14120</v>
      </c>
      <c r="N186" s="141" t="s">
        <v>1429</v>
      </c>
      <c r="O186" s="142" t="s">
        <v>1430</v>
      </c>
      <c r="P186" s="141" t="s">
        <v>1396</v>
      </c>
      <c r="Q186" s="142" t="s">
        <v>1569</v>
      </c>
      <c r="R186" s="141" t="s">
        <v>1397</v>
      </c>
      <c r="S186" s="142" t="s">
        <v>1582</v>
      </c>
      <c r="T186" s="141" t="s">
        <v>1596</v>
      </c>
      <c r="U186" s="142" t="s">
        <v>458</v>
      </c>
      <c r="V186" s="142" t="s">
        <v>458</v>
      </c>
      <c r="W186" s="141">
        <f t="shared" si="5"/>
        <v>1</v>
      </c>
      <c r="X186" s="143"/>
      <c r="Y186" s="145"/>
      <c r="AA186"/>
    </row>
    <row r="187" spans="1:27" s="115" customFormat="1" ht="27" customHeight="1">
      <c r="A187" s="139">
        <v>169</v>
      </c>
      <c r="B187" s="140" t="s">
        <v>4695</v>
      </c>
      <c r="C187" s="141" t="s">
        <v>1429</v>
      </c>
      <c r="D187" s="142" t="s">
        <v>1430</v>
      </c>
      <c r="E187" s="141" t="s">
        <v>1580</v>
      </c>
      <c r="F187" s="142" t="s">
        <v>1569</v>
      </c>
      <c r="G187" s="141" t="s">
        <v>1581</v>
      </c>
      <c r="H187" s="142" t="s">
        <v>1575</v>
      </c>
      <c r="I187" s="141" t="s">
        <v>1593</v>
      </c>
      <c r="J187" s="142" t="s">
        <v>1594</v>
      </c>
      <c r="K187" s="142" t="s">
        <v>459</v>
      </c>
      <c r="L187" s="143">
        <f t="shared" si="4"/>
        <v>1</v>
      </c>
      <c r="M187" s="144">
        <v>14499</v>
      </c>
      <c r="N187" s="141" t="s">
        <v>1429</v>
      </c>
      <c r="O187" s="142" t="s">
        <v>1430</v>
      </c>
      <c r="P187" s="141" t="s">
        <v>1396</v>
      </c>
      <c r="Q187" s="142" t="s">
        <v>1569</v>
      </c>
      <c r="R187" s="141" t="s">
        <v>1577</v>
      </c>
      <c r="S187" s="142" t="s">
        <v>1575</v>
      </c>
      <c r="T187" s="141" t="s">
        <v>1595</v>
      </c>
      <c r="U187" s="142" t="s">
        <v>1594</v>
      </c>
      <c r="V187" s="142" t="s">
        <v>459</v>
      </c>
      <c r="W187" s="141">
        <f t="shared" si="5"/>
        <v>1</v>
      </c>
      <c r="X187" s="143"/>
      <c r="Y187" s="145"/>
      <c r="AA187"/>
    </row>
    <row r="188" spans="1:27" s="115" customFormat="1" ht="27" customHeight="1">
      <c r="A188" s="139">
        <v>170</v>
      </c>
      <c r="B188" s="140" t="s">
        <v>4696</v>
      </c>
      <c r="C188" s="141" t="s">
        <v>1429</v>
      </c>
      <c r="D188" s="142" t="s">
        <v>1430</v>
      </c>
      <c r="E188" s="141" t="s">
        <v>1580</v>
      </c>
      <c r="F188" s="142" t="s">
        <v>1569</v>
      </c>
      <c r="G188" s="141" t="s">
        <v>1581</v>
      </c>
      <c r="H188" s="142" t="s">
        <v>1582</v>
      </c>
      <c r="I188" s="141" t="s">
        <v>1593</v>
      </c>
      <c r="J188" s="142" t="s">
        <v>1584</v>
      </c>
      <c r="K188" s="142" t="s">
        <v>451</v>
      </c>
      <c r="L188" s="143">
        <f t="shared" si="4"/>
        <v>1</v>
      </c>
      <c r="M188" s="144">
        <v>14111</v>
      </c>
      <c r="N188" s="141" t="s">
        <v>1429</v>
      </c>
      <c r="O188" s="142" t="s">
        <v>1430</v>
      </c>
      <c r="P188" s="141" t="s">
        <v>1396</v>
      </c>
      <c r="Q188" s="142" t="s">
        <v>1569</v>
      </c>
      <c r="R188" s="141" t="s">
        <v>1397</v>
      </c>
      <c r="S188" s="142" t="s">
        <v>1582</v>
      </c>
      <c r="T188" s="141" t="s">
        <v>1585</v>
      </c>
      <c r="U188" s="142" t="s">
        <v>1584</v>
      </c>
      <c r="V188" s="142" t="s">
        <v>451</v>
      </c>
      <c r="W188" s="141">
        <f t="shared" si="5"/>
        <v>2</v>
      </c>
      <c r="X188" s="143">
        <v>2</v>
      </c>
      <c r="Y188" s="145" t="s">
        <v>1597</v>
      </c>
      <c r="AA188"/>
    </row>
    <row r="189" spans="1:27" s="115" customFormat="1" ht="27" customHeight="1">
      <c r="A189" s="139">
        <v>171</v>
      </c>
      <c r="B189" s="140" t="s">
        <v>4697</v>
      </c>
      <c r="C189" s="141" t="s">
        <v>1429</v>
      </c>
      <c r="D189" s="142" t="s">
        <v>1430</v>
      </c>
      <c r="E189" s="141" t="s">
        <v>1580</v>
      </c>
      <c r="F189" s="142" t="s">
        <v>1569</v>
      </c>
      <c r="G189" s="141" t="s">
        <v>1581</v>
      </c>
      <c r="H189" s="142" t="s">
        <v>1582</v>
      </c>
      <c r="I189" s="141" t="s">
        <v>1593</v>
      </c>
      <c r="J189" s="142" t="s">
        <v>1584</v>
      </c>
      <c r="K189" s="142" t="s">
        <v>453</v>
      </c>
      <c r="L189" s="143">
        <f t="shared" si="4"/>
        <v>1</v>
      </c>
      <c r="M189" s="144">
        <v>14112</v>
      </c>
      <c r="N189" s="141" t="s">
        <v>1429</v>
      </c>
      <c r="O189" s="142" t="s">
        <v>1430</v>
      </c>
      <c r="P189" s="141" t="s">
        <v>1396</v>
      </c>
      <c r="Q189" s="142" t="s">
        <v>1569</v>
      </c>
      <c r="R189" s="141" t="s">
        <v>1397</v>
      </c>
      <c r="S189" s="142" t="s">
        <v>1582</v>
      </c>
      <c r="T189" s="141" t="s">
        <v>1585</v>
      </c>
      <c r="U189" s="142" t="s">
        <v>1584</v>
      </c>
      <c r="V189" s="142" t="s">
        <v>453</v>
      </c>
      <c r="W189" s="141">
        <f t="shared" si="5"/>
        <v>2</v>
      </c>
      <c r="X189" s="143">
        <v>2</v>
      </c>
      <c r="Y189" s="145" t="s">
        <v>1598</v>
      </c>
      <c r="AA189"/>
    </row>
    <row r="190" spans="1:27" s="115" customFormat="1" ht="27" customHeight="1">
      <c r="A190" s="139">
        <v>172</v>
      </c>
      <c r="B190" s="140" t="s">
        <v>4698</v>
      </c>
      <c r="C190" s="141" t="s">
        <v>1429</v>
      </c>
      <c r="D190" s="142" t="s">
        <v>1430</v>
      </c>
      <c r="E190" s="141" t="s">
        <v>1580</v>
      </c>
      <c r="F190" s="142" t="s">
        <v>1569</v>
      </c>
      <c r="G190" s="141" t="s">
        <v>1581</v>
      </c>
      <c r="H190" s="142" t="s">
        <v>1582</v>
      </c>
      <c r="I190" s="141" t="s">
        <v>1593</v>
      </c>
      <c r="J190" s="142" t="s">
        <v>1590</v>
      </c>
      <c r="K190" s="142" t="s">
        <v>455</v>
      </c>
      <c r="L190" s="143">
        <f t="shared" si="4"/>
        <v>1</v>
      </c>
      <c r="M190" s="144">
        <v>14192</v>
      </c>
      <c r="N190" s="141" t="s">
        <v>1429</v>
      </c>
      <c r="O190" s="142" t="s">
        <v>1430</v>
      </c>
      <c r="P190" s="141" t="s">
        <v>1396</v>
      </c>
      <c r="Q190" s="142" t="s">
        <v>1569</v>
      </c>
      <c r="R190" s="141" t="s">
        <v>1397</v>
      </c>
      <c r="S190" s="142" t="s">
        <v>1582</v>
      </c>
      <c r="T190" s="141" t="s">
        <v>1591</v>
      </c>
      <c r="U190" s="142" t="s">
        <v>1590</v>
      </c>
      <c r="V190" s="142" t="s">
        <v>455</v>
      </c>
      <c r="W190" s="141">
        <f t="shared" si="5"/>
        <v>2</v>
      </c>
      <c r="X190" s="143">
        <v>1</v>
      </c>
      <c r="Y190" s="145"/>
      <c r="AA190"/>
    </row>
    <row r="191" spans="1:27" s="115" customFormat="1" ht="27" customHeight="1">
      <c r="A191" s="139">
        <v>173</v>
      </c>
      <c r="B191" s="140" t="s">
        <v>4699</v>
      </c>
      <c r="C191" s="141" t="s">
        <v>1429</v>
      </c>
      <c r="D191" s="142" t="s">
        <v>1430</v>
      </c>
      <c r="E191" s="141" t="s">
        <v>1580</v>
      </c>
      <c r="F191" s="142" t="s">
        <v>1569</v>
      </c>
      <c r="G191" s="141" t="s">
        <v>1581</v>
      </c>
      <c r="H191" s="142" t="s">
        <v>1582</v>
      </c>
      <c r="I191" s="141" t="s">
        <v>1593</v>
      </c>
      <c r="J191" s="142" t="s">
        <v>1590</v>
      </c>
      <c r="K191" s="142" t="s">
        <v>460</v>
      </c>
      <c r="L191" s="143">
        <f t="shared" si="4"/>
        <v>1</v>
      </c>
      <c r="M191" s="144">
        <v>14194</v>
      </c>
      <c r="N191" s="141" t="s">
        <v>1429</v>
      </c>
      <c r="O191" s="142" t="s">
        <v>1430</v>
      </c>
      <c r="P191" s="141" t="s">
        <v>1396</v>
      </c>
      <c r="Q191" s="142" t="s">
        <v>1569</v>
      </c>
      <c r="R191" s="141" t="s">
        <v>1397</v>
      </c>
      <c r="S191" s="142" t="s">
        <v>1582</v>
      </c>
      <c r="T191" s="141" t="s">
        <v>1591</v>
      </c>
      <c r="U191" s="142" t="s">
        <v>1590</v>
      </c>
      <c r="V191" s="142" t="s">
        <v>460</v>
      </c>
      <c r="W191" s="141">
        <f t="shared" si="5"/>
        <v>1</v>
      </c>
      <c r="X191" s="143"/>
      <c r="Y191" s="145"/>
      <c r="AA191"/>
    </row>
    <row r="192" spans="1:27" s="115" customFormat="1" ht="27" customHeight="1">
      <c r="A192" s="139">
        <v>174</v>
      </c>
      <c r="B192" s="140" t="s">
        <v>4700</v>
      </c>
      <c r="C192" s="141" t="s">
        <v>1429</v>
      </c>
      <c r="D192" s="142" t="s">
        <v>1430</v>
      </c>
      <c r="E192" s="141" t="s">
        <v>1580</v>
      </c>
      <c r="F192" s="142" t="s">
        <v>1569</v>
      </c>
      <c r="G192" s="141" t="s">
        <v>1581</v>
      </c>
      <c r="H192" s="142" t="s">
        <v>1582</v>
      </c>
      <c r="I192" s="141" t="s">
        <v>1593</v>
      </c>
      <c r="J192" s="142" t="s">
        <v>452</v>
      </c>
      <c r="K192" s="142" t="s">
        <v>452</v>
      </c>
      <c r="L192" s="143">
        <f t="shared" si="4"/>
        <v>1</v>
      </c>
      <c r="M192" s="144">
        <v>14130</v>
      </c>
      <c r="N192" s="141" t="s">
        <v>1429</v>
      </c>
      <c r="O192" s="142" t="s">
        <v>1430</v>
      </c>
      <c r="P192" s="141" t="s">
        <v>1396</v>
      </c>
      <c r="Q192" s="142" t="s">
        <v>1569</v>
      </c>
      <c r="R192" s="141" t="s">
        <v>1397</v>
      </c>
      <c r="S192" s="142" t="s">
        <v>1582</v>
      </c>
      <c r="T192" s="141" t="s">
        <v>1587</v>
      </c>
      <c r="U192" s="142" t="s">
        <v>452</v>
      </c>
      <c r="V192" s="142" t="s">
        <v>452</v>
      </c>
      <c r="W192" s="141">
        <f t="shared" si="5"/>
        <v>2</v>
      </c>
      <c r="X192" s="143">
        <v>2</v>
      </c>
      <c r="Y192" s="145" t="s">
        <v>1599</v>
      </c>
      <c r="AA192"/>
    </row>
    <row r="193" spans="1:27" s="115" customFormat="1" ht="27" customHeight="1">
      <c r="A193" s="139">
        <v>175</v>
      </c>
      <c r="B193" s="140" t="s">
        <v>4701</v>
      </c>
      <c r="C193" s="141" t="s">
        <v>1429</v>
      </c>
      <c r="D193" s="142" t="s">
        <v>1430</v>
      </c>
      <c r="E193" s="141" t="s">
        <v>1580</v>
      </c>
      <c r="F193" s="142" t="s">
        <v>1569</v>
      </c>
      <c r="G193" s="141" t="s">
        <v>1581</v>
      </c>
      <c r="H193" s="142" t="s">
        <v>1582</v>
      </c>
      <c r="I193" s="141" t="s">
        <v>1593</v>
      </c>
      <c r="J193" s="142" t="s">
        <v>1590</v>
      </c>
      <c r="K193" s="142" t="s">
        <v>461</v>
      </c>
      <c r="L193" s="143">
        <f t="shared" si="4"/>
        <v>1</v>
      </c>
      <c r="M193" s="144">
        <v>14199</v>
      </c>
      <c r="N193" s="141" t="s">
        <v>1429</v>
      </c>
      <c r="O193" s="142" t="s">
        <v>1430</v>
      </c>
      <c r="P193" s="141" t="s">
        <v>1396</v>
      </c>
      <c r="Q193" s="142" t="s">
        <v>1569</v>
      </c>
      <c r="R193" s="141" t="s">
        <v>1397</v>
      </c>
      <c r="S193" s="142" t="s">
        <v>1582</v>
      </c>
      <c r="T193" s="141" t="s">
        <v>1591</v>
      </c>
      <c r="U193" s="142" t="s">
        <v>1590</v>
      </c>
      <c r="V193" s="142" t="s">
        <v>461</v>
      </c>
      <c r="W193" s="141">
        <f t="shared" si="5"/>
        <v>1</v>
      </c>
      <c r="X193" s="143"/>
      <c r="Y193" s="145"/>
      <c r="AA193"/>
    </row>
    <row r="194" spans="1:27" s="115" customFormat="1" ht="27" customHeight="1">
      <c r="A194" s="139">
        <v>176</v>
      </c>
      <c r="B194" s="140" t="s">
        <v>4702</v>
      </c>
      <c r="C194" s="141" t="s">
        <v>1429</v>
      </c>
      <c r="D194" s="142" t="s">
        <v>1430</v>
      </c>
      <c r="E194" s="141" t="s">
        <v>1580</v>
      </c>
      <c r="F194" s="142" t="s">
        <v>1569</v>
      </c>
      <c r="G194" s="141" t="s">
        <v>1600</v>
      </c>
      <c r="H194" s="142" t="s">
        <v>462</v>
      </c>
      <c r="I194" s="141" t="s">
        <v>1601</v>
      </c>
      <c r="J194" s="142" t="s">
        <v>462</v>
      </c>
      <c r="K194" s="142" t="s">
        <v>462</v>
      </c>
      <c r="L194" s="143">
        <f t="shared" si="4"/>
        <v>1</v>
      </c>
      <c r="M194" s="144">
        <v>14200</v>
      </c>
      <c r="N194" s="141" t="s">
        <v>1429</v>
      </c>
      <c r="O194" s="142" t="s">
        <v>1430</v>
      </c>
      <c r="P194" s="141" t="s">
        <v>1396</v>
      </c>
      <c r="Q194" s="142" t="s">
        <v>1569</v>
      </c>
      <c r="R194" s="141" t="s">
        <v>1410</v>
      </c>
      <c r="S194" s="142" t="s">
        <v>462</v>
      </c>
      <c r="T194" s="141" t="s">
        <v>1602</v>
      </c>
      <c r="U194" s="142" t="s">
        <v>462</v>
      </c>
      <c r="V194" s="142" t="s">
        <v>462</v>
      </c>
      <c r="W194" s="141">
        <f t="shared" si="5"/>
        <v>1</v>
      </c>
      <c r="X194" s="143"/>
      <c r="Y194" s="145"/>
      <c r="AA194"/>
    </row>
    <row r="195" spans="1:27" s="115" customFormat="1" ht="27" customHeight="1">
      <c r="A195" s="139">
        <v>177</v>
      </c>
      <c r="B195" s="140" t="s">
        <v>4703</v>
      </c>
      <c r="C195" s="141" t="s">
        <v>1429</v>
      </c>
      <c r="D195" s="142" t="s">
        <v>1430</v>
      </c>
      <c r="E195" s="141" t="s">
        <v>1603</v>
      </c>
      <c r="F195" s="142" t="s">
        <v>1604</v>
      </c>
      <c r="G195" s="141" t="s">
        <v>1605</v>
      </c>
      <c r="H195" s="142" t="s">
        <v>1606</v>
      </c>
      <c r="I195" s="141" t="s">
        <v>1607</v>
      </c>
      <c r="J195" s="142" t="s">
        <v>463</v>
      </c>
      <c r="K195" s="142" t="s">
        <v>463</v>
      </c>
      <c r="L195" s="143">
        <f t="shared" si="4"/>
        <v>1</v>
      </c>
      <c r="M195" s="144">
        <v>15110</v>
      </c>
      <c r="N195" s="141" t="s">
        <v>1429</v>
      </c>
      <c r="O195" s="142" t="s">
        <v>1430</v>
      </c>
      <c r="P195" s="141" t="s">
        <v>1431</v>
      </c>
      <c r="Q195" s="142" t="s">
        <v>1604</v>
      </c>
      <c r="R195" s="141" t="s">
        <v>1433</v>
      </c>
      <c r="S195" s="142" t="s">
        <v>1606</v>
      </c>
      <c r="T195" s="141" t="s">
        <v>1435</v>
      </c>
      <c r="U195" s="142" t="s">
        <v>463</v>
      </c>
      <c r="V195" s="142" t="s">
        <v>463</v>
      </c>
      <c r="W195" s="141">
        <f t="shared" si="5"/>
        <v>1</v>
      </c>
      <c r="X195" s="143"/>
      <c r="Y195" s="145"/>
      <c r="AA195"/>
    </row>
    <row r="196" spans="1:27" s="115" customFormat="1" ht="27" customHeight="1">
      <c r="A196" s="139">
        <v>178</v>
      </c>
      <c r="B196" s="140" t="s">
        <v>4704</v>
      </c>
      <c r="C196" s="141" t="s">
        <v>1429</v>
      </c>
      <c r="D196" s="142" t="s">
        <v>1430</v>
      </c>
      <c r="E196" s="141" t="s">
        <v>1603</v>
      </c>
      <c r="F196" s="142" t="s">
        <v>1604</v>
      </c>
      <c r="G196" s="141" t="s">
        <v>1605</v>
      </c>
      <c r="H196" s="142" t="s">
        <v>1606</v>
      </c>
      <c r="I196" s="141" t="s">
        <v>1608</v>
      </c>
      <c r="J196" s="142" t="s">
        <v>1609</v>
      </c>
      <c r="K196" s="142" t="s">
        <v>464</v>
      </c>
      <c r="L196" s="143">
        <f t="shared" si="4"/>
        <v>1</v>
      </c>
      <c r="M196" s="144">
        <v>15129</v>
      </c>
      <c r="N196" s="141" t="s">
        <v>1429</v>
      </c>
      <c r="O196" s="142" t="s">
        <v>1430</v>
      </c>
      <c r="P196" s="141" t="s">
        <v>1431</v>
      </c>
      <c r="Q196" s="142" t="s">
        <v>1604</v>
      </c>
      <c r="R196" s="141" t="s">
        <v>1433</v>
      </c>
      <c r="S196" s="142" t="s">
        <v>1606</v>
      </c>
      <c r="T196" s="141" t="s">
        <v>1440</v>
      </c>
      <c r="U196" s="142" t="s">
        <v>1609</v>
      </c>
      <c r="V196" s="142" t="s">
        <v>464</v>
      </c>
      <c r="W196" s="141">
        <f t="shared" si="5"/>
        <v>1</v>
      </c>
      <c r="X196" s="143"/>
      <c r="Y196" s="145"/>
      <c r="AA196"/>
    </row>
    <row r="197" spans="1:27" s="115" customFormat="1" ht="27" customHeight="1">
      <c r="A197" s="139">
        <v>179</v>
      </c>
      <c r="B197" s="140" t="s">
        <v>4705</v>
      </c>
      <c r="C197" s="141" t="s">
        <v>1429</v>
      </c>
      <c r="D197" s="142" t="s">
        <v>1430</v>
      </c>
      <c r="E197" s="141" t="s">
        <v>1603</v>
      </c>
      <c r="F197" s="142" t="s">
        <v>1604</v>
      </c>
      <c r="G197" s="141" t="s">
        <v>1605</v>
      </c>
      <c r="H197" s="142" t="s">
        <v>1606</v>
      </c>
      <c r="I197" s="141" t="s">
        <v>1608</v>
      </c>
      <c r="J197" s="142" t="s">
        <v>121</v>
      </c>
      <c r="K197" s="142" t="s">
        <v>121</v>
      </c>
      <c r="L197" s="143">
        <f t="shared" ref="L197:L260" si="6">COUNTIF($B$5:$B$1752,B197)</f>
        <v>1</v>
      </c>
      <c r="M197" s="144">
        <v>15190</v>
      </c>
      <c r="N197" s="141" t="s">
        <v>1429</v>
      </c>
      <c r="O197" s="142" t="s">
        <v>1430</v>
      </c>
      <c r="P197" s="141" t="s">
        <v>1431</v>
      </c>
      <c r="Q197" s="142" t="s">
        <v>1604</v>
      </c>
      <c r="R197" s="141" t="s">
        <v>1433</v>
      </c>
      <c r="S197" s="142" t="s">
        <v>1606</v>
      </c>
      <c r="T197" s="141" t="s">
        <v>1610</v>
      </c>
      <c r="U197" s="142" t="s">
        <v>121</v>
      </c>
      <c r="V197" s="142" t="s">
        <v>121</v>
      </c>
      <c r="W197" s="141">
        <f t="shared" ref="W197:W260" si="7">COUNTIF($M$5:$M$1756,M197)</f>
        <v>1</v>
      </c>
      <c r="X197" s="143"/>
      <c r="Y197" s="145"/>
      <c r="AA197"/>
    </row>
    <row r="198" spans="1:27" s="115" customFormat="1" ht="27" customHeight="1">
      <c r="A198" s="139">
        <v>180</v>
      </c>
      <c r="B198" s="140" t="s">
        <v>4706</v>
      </c>
      <c r="C198" s="141" t="s">
        <v>1429</v>
      </c>
      <c r="D198" s="142" t="s">
        <v>1430</v>
      </c>
      <c r="E198" s="141" t="s">
        <v>1603</v>
      </c>
      <c r="F198" s="142" t="s">
        <v>1604</v>
      </c>
      <c r="G198" s="141" t="s">
        <v>1605</v>
      </c>
      <c r="H198" s="142" t="s">
        <v>1606</v>
      </c>
      <c r="I198" s="141" t="s">
        <v>1608</v>
      </c>
      <c r="J198" s="142" t="s">
        <v>1609</v>
      </c>
      <c r="K198" s="142" t="s">
        <v>465</v>
      </c>
      <c r="L198" s="143">
        <f t="shared" si="6"/>
        <v>1</v>
      </c>
      <c r="M198" s="144">
        <v>15121</v>
      </c>
      <c r="N198" s="141" t="s">
        <v>1429</v>
      </c>
      <c r="O198" s="142" t="s">
        <v>1430</v>
      </c>
      <c r="P198" s="141" t="s">
        <v>1431</v>
      </c>
      <c r="Q198" s="142" t="s">
        <v>1604</v>
      </c>
      <c r="R198" s="141" t="s">
        <v>1433</v>
      </c>
      <c r="S198" s="142" t="s">
        <v>1606</v>
      </c>
      <c r="T198" s="141" t="s">
        <v>1440</v>
      </c>
      <c r="U198" s="142" t="s">
        <v>1609</v>
      </c>
      <c r="V198" s="142" t="s">
        <v>465</v>
      </c>
      <c r="W198" s="141">
        <f t="shared" si="7"/>
        <v>1</v>
      </c>
      <c r="X198" s="143"/>
      <c r="Y198" s="145"/>
      <c r="AA198"/>
    </row>
    <row r="199" spans="1:27" s="115" customFormat="1" ht="27" customHeight="1">
      <c r="A199" s="139">
        <v>181</v>
      </c>
      <c r="B199" s="140" t="s">
        <v>4707</v>
      </c>
      <c r="C199" s="141" t="s">
        <v>1429</v>
      </c>
      <c r="D199" s="142" t="s">
        <v>1430</v>
      </c>
      <c r="E199" s="141" t="s">
        <v>1603</v>
      </c>
      <c r="F199" s="142" t="s">
        <v>1604</v>
      </c>
      <c r="G199" s="141" t="s">
        <v>1611</v>
      </c>
      <c r="H199" s="142" t="s">
        <v>1612</v>
      </c>
      <c r="I199" s="141" t="s">
        <v>1613</v>
      </c>
      <c r="J199" s="142" t="s">
        <v>1614</v>
      </c>
      <c r="K199" s="142" t="s">
        <v>466</v>
      </c>
      <c r="L199" s="143">
        <f t="shared" si="6"/>
        <v>1</v>
      </c>
      <c r="M199" s="144">
        <v>15211</v>
      </c>
      <c r="N199" s="141" t="s">
        <v>1429</v>
      </c>
      <c r="O199" s="142" t="s">
        <v>1430</v>
      </c>
      <c r="P199" s="141" t="s">
        <v>1431</v>
      </c>
      <c r="Q199" s="142" t="s">
        <v>1604</v>
      </c>
      <c r="R199" s="141" t="s">
        <v>1452</v>
      </c>
      <c r="S199" s="142" t="s">
        <v>1612</v>
      </c>
      <c r="T199" s="141" t="s">
        <v>1615</v>
      </c>
      <c r="U199" s="142" t="s">
        <v>1614</v>
      </c>
      <c r="V199" s="142" t="s">
        <v>466</v>
      </c>
      <c r="W199" s="141">
        <f t="shared" si="7"/>
        <v>1</v>
      </c>
      <c r="X199" s="143"/>
      <c r="Y199" s="145"/>
      <c r="AA199"/>
    </row>
    <row r="200" spans="1:27" s="115" customFormat="1" ht="27" customHeight="1">
      <c r="A200" s="139">
        <v>182</v>
      </c>
      <c r="B200" s="140" t="s">
        <v>4708</v>
      </c>
      <c r="C200" s="141" t="s">
        <v>1429</v>
      </c>
      <c r="D200" s="142" t="s">
        <v>1430</v>
      </c>
      <c r="E200" s="141" t="s">
        <v>1603</v>
      </c>
      <c r="F200" s="142" t="s">
        <v>1604</v>
      </c>
      <c r="G200" s="141" t="s">
        <v>1611</v>
      </c>
      <c r="H200" s="142" t="s">
        <v>1612</v>
      </c>
      <c r="I200" s="141" t="s">
        <v>1613</v>
      </c>
      <c r="J200" s="142" t="s">
        <v>1614</v>
      </c>
      <c r="K200" s="142" t="s">
        <v>467</v>
      </c>
      <c r="L200" s="143">
        <f t="shared" si="6"/>
        <v>1</v>
      </c>
      <c r="M200" s="144">
        <v>15219</v>
      </c>
      <c r="N200" s="141" t="s">
        <v>1429</v>
      </c>
      <c r="O200" s="142" t="s">
        <v>1430</v>
      </c>
      <c r="P200" s="141" t="s">
        <v>1431</v>
      </c>
      <c r="Q200" s="142" t="s">
        <v>1604</v>
      </c>
      <c r="R200" s="141" t="s">
        <v>1452</v>
      </c>
      <c r="S200" s="142" t="s">
        <v>1612</v>
      </c>
      <c r="T200" s="141" t="s">
        <v>1615</v>
      </c>
      <c r="U200" s="142" t="s">
        <v>1614</v>
      </c>
      <c r="V200" s="142" t="s">
        <v>467</v>
      </c>
      <c r="W200" s="141">
        <f t="shared" si="7"/>
        <v>1</v>
      </c>
      <c r="X200" s="143"/>
      <c r="Y200" s="145"/>
      <c r="AA200"/>
    </row>
    <row r="201" spans="1:27" s="115" customFormat="1" ht="27" customHeight="1">
      <c r="A201" s="139">
        <v>183</v>
      </c>
      <c r="B201" s="140" t="s">
        <v>4709</v>
      </c>
      <c r="C201" s="141" t="s">
        <v>1429</v>
      </c>
      <c r="D201" s="142" t="s">
        <v>1430</v>
      </c>
      <c r="E201" s="141" t="s">
        <v>1603</v>
      </c>
      <c r="F201" s="142" t="s">
        <v>1604</v>
      </c>
      <c r="G201" s="141" t="s">
        <v>1611</v>
      </c>
      <c r="H201" s="142" t="s">
        <v>1612</v>
      </c>
      <c r="I201" s="141" t="s">
        <v>1613</v>
      </c>
      <c r="J201" s="142" t="s">
        <v>468</v>
      </c>
      <c r="K201" s="142" t="s">
        <v>468</v>
      </c>
      <c r="L201" s="143">
        <f t="shared" si="6"/>
        <v>1</v>
      </c>
      <c r="M201" s="144">
        <v>15220</v>
      </c>
      <c r="N201" s="141" t="s">
        <v>1429</v>
      </c>
      <c r="O201" s="142" t="s">
        <v>1430</v>
      </c>
      <c r="P201" s="141" t="s">
        <v>1431</v>
      </c>
      <c r="Q201" s="142" t="s">
        <v>1604</v>
      </c>
      <c r="R201" s="141" t="s">
        <v>1452</v>
      </c>
      <c r="S201" s="142" t="s">
        <v>1612</v>
      </c>
      <c r="T201" s="141" t="s">
        <v>1616</v>
      </c>
      <c r="U201" s="142" t="s">
        <v>468</v>
      </c>
      <c r="V201" s="142" t="s">
        <v>468</v>
      </c>
      <c r="W201" s="141">
        <f t="shared" si="7"/>
        <v>1</v>
      </c>
      <c r="X201" s="143"/>
      <c r="Y201" s="145"/>
      <c r="AA201"/>
    </row>
    <row r="202" spans="1:27" s="115" customFormat="1" ht="27" customHeight="1">
      <c r="A202" s="139">
        <v>184</v>
      </c>
      <c r="B202" s="140" t="s">
        <v>4710</v>
      </c>
      <c r="C202" s="141" t="s">
        <v>1429</v>
      </c>
      <c r="D202" s="142" t="s">
        <v>1430</v>
      </c>
      <c r="E202" s="141" t="s">
        <v>1603</v>
      </c>
      <c r="F202" s="142" t="s">
        <v>1533</v>
      </c>
      <c r="G202" s="141" t="s">
        <v>1617</v>
      </c>
      <c r="H202" s="142" t="s">
        <v>1535</v>
      </c>
      <c r="I202" s="141" t="s">
        <v>1618</v>
      </c>
      <c r="J202" s="142" t="s">
        <v>1535</v>
      </c>
      <c r="K202" s="142" t="s">
        <v>114</v>
      </c>
      <c r="L202" s="143">
        <f t="shared" si="6"/>
        <v>6</v>
      </c>
      <c r="M202" s="144">
        <v>13104</v>
      </c>
      <c r="N202" s="141" t="s">
        <v>1429</v>
      </c>
      <c r="O202" s="142" t="s">
        <v>1430</v>
      </c>
      <c r="P202" s="141" t="s">
        <v>1380</v>
      </c>
      <c r="Q202" s="142" t="s">
        <v>1533</v>
      </c>
      <c r="R202" s="141" t="s">
        <v>1382</v>
      </c>
      <c r="S202" s="142" t="s">
        <v>1535</v>
      </c>
      <c r="T202" s="141" t="s">
        <v>1383</v>
      </c>
      <c r="U202" s="142" t="s">
        <v>1535</v>
      </c>
      <c r="V202" s="142" t="s">
        <v>114</v>
      </c>
      <c r="W202" s="141">
        <f t="shared" si="7"/>
        <v>2</v>
      </c>
      <c r="X202" s="143"/>
      <c r="Y202" s="145" t="s">
        <v>1619</v>
      </c>
      <c r="AA202"/>
    </row>
    <row r="203" spans="1:27" s="115" customFormat="1" ht="27" customHeight="1">
      <c r="A203" s="139">
        <v>184</v>
      </c>
      <c r="B203" s="140" t="s">
        <v>4710</v>
      </c>
      <c r="C203" s="141" t="s">
        <v>1429</v>
      </c>
      <c r="D203" s="142" t="s">
        <v>1430</v>
      </c>
      <c r="E203" s="141" t="s">
        <v>1603</v>
      </c>
      <c r="F203" s="142" t="s">
        <v>1533</v>
      </c>
      <c r="G203" s="141" t="s">
        <v>1617</v>
      </c>
      <c r="H203" s="142" t="s">
        <v>1540</v>
      </c>
      <c r="I203" s="141" t="s">
        <v>1618</v>
      </c>
      <c r="J203" s="142" t="s">
        <v>1541</v>
      </c>
      <c r="K203" s="142" t="s">
        <v>432</v>
      </c>
      <c r="L203" s="143">
        <f t="shared" si="6"/>
        <v>6</v>
      </c>
      <c r="M203" s="144">
        <v>13219</v>
      </c>
      <c r="N203" s="141" t="s">
        <v>1429</v>
      </c>
      <c r="O203" s="142" t="s">
        <v>1430</v>
      </c>
      <c r="P203" s="141" t="s">
        <v>1380</v>
      </c>
      <c r="Q203" s="142" t="s">
        <v>1533</v>
      </c>
      <c r="R203" s="141" t="s">
        <v>1392</v>
      </c>
      <c r="S203" s="142" t="s">
        <v>1540</v>
      </c>
      <c r="T203" s="141" t="s">
        <v>1542</v>
      </c>
      <c r="U203" s="142" t="s">
        <v>1541</v>
      </c>
      <c r="V203" s="142" t="s">
        <v>432</v>
      </c>
      <c r="W203" s="141">
        <f t="shared" si="7"/>
        <v>2</v>
      </c>
      <c r="X203" s="143"/>
      <c r="Y203" s="145" t="s">
        <v>1620</v>
      </c>
      <c r="AA203"/>
    </row>
    <row r="204" spans="1:27" s="115" customFormat="1" ht="27" customHeight="1">
      <c r="A204" s="139">
        <v>184</v>
      </c>
      <c r="B204" s="140" t="s">
        <v>4710</v>
      </c>
      <c r="C204" s="141" t="s">
        <v>1429</v>
      </c>
      <c r="D204" s="142" t="s">
        <v>1430</v>
      </c>
      <c r="E204" s="141" t="s">
        <v>1603</v>
      </c>
      <c r="F204" s="142" t="s">
        <v>1533</v>
      </c>
      <c r="G204" s="141" t="s">
        <v>1617</v>
      </c>
      <c r="H204" s="142" t="s">
        <v>1540</v>
      </c>
      <c r="I204" s="141" t="s">
        <v>1618</v>
      </c>
      <c r="J204" s="142" t="s">
        <v>1550</v>
      </c>
      <c r="K204" s="142" t="s">
        <v>437</v>
      </c>
      <c r="L204" s="143">
        <f t="shared" si="6"/>
        <v>6</v>
      </c>
      <c r="M204" s="144">
        <v>13222</v>
      </c>
      <c r="N204" s="141" t="s">
        <v>1429</v>
      </c>
      <c r="O204" s="142" t="s">
        <v>1430</v>
      </c>
      <c r="P204" s="141" t="s">
        <v>1380</v>
      </c>
      <c r="Q204" s="142" t="s">
        <v>1533</v>
      </c>
      <c r="R204" s="141" t="s">
        <v>1392</v>
      </c>
      <c r="S204" s="142" t="s">
        <v>1540</v>
      </c>
      <c r="T204" s="141" t="s">
        <v>1551</v>
      </c>
      <c r="U204" s="142" t="s">
        <v>1550</v>
      </c>
      <c r="V204" s="142" t="s">
        <v>437</v>
      </c>
      <c r="W204" s="141">
        <f t="shared" si="7"/>
        <v>2</v>
      </c>
      <c r="X204" s="143"/>
      <c r="Y204" s="145" t="s">
        <v>1621</v>
      </c>
      <c r="AA204"/>
    </row>
    <row r="205" spans="1:27" s="115" customFormat="1" ht="27" customHeight="1">
      <c r="A205" s="139">
        <v>184</v>
      </c>
      <c r="B205" s="140" t="s">
        <v>4710</v>
      </c>
      <c r="C205" s="141" t="s">
        <v>1429</v>
      </c>
      <c r="D205" s="142" t="s">
        <v>1430</v>
      </c>
      <c r="E205" s="141" t="s">
        <v>1603</v>
      </c>
      <c r="F205" s="142" t="s">
        <v>1533</v>
      </c>
      <c r="G205" s="141" t="s">
        <v>1617</v>
      </c>
      <c r="H205" s="142" t="s">
        <v>449</v>
      </c>
      <c r="I205" s="141" t="s">
        <v>1618</v>
      </c>
      <c r="J205" s="142" t="s">
        <v>449</v>
      </c>
      <c r="K205" s="142" t="s">
        <v>449</v>
      </c>
      <c r="L205" s="143">
        <f t="shared" si="6"/>
        <v>6</v>
      </c>
      <c r="M205" s="144">
        <v>13300</v>
      </c>
      <c r="N205" s="141" t="s">
        <v>1429</v>
      </c>
      <c r="O205" s="142" t="s">
        <v>1430</v>
      </c>
      <c r="P205" s="141" t="s">
        <v>1380</v>
      </c>
      <c r="Q205" s="142" t="s">
        <v>1533</v>
      </c>
      <c r="R205" s="141" t="s">
        <v>1573</v>
      </c>
      <c r="S205" s="142" t="s">
        <v>449</v>
      </c>
      <c r="T205" s="141" t="s">
        <v>1574</v>
      </c>
      <c r="U205" s="142" t="s">
        <v>449</v>
      </c>
      <c r="V205" s="142" t="s">
        <v>449</v>
      </c>
      <c r="W205" s="141">
        <f t="shared" si="7"/>
        <v>2</v>
      </c>
      <c r="X205" s="143"/>
      <c r="Y205" s="145" t="s">
        <v>1622</v>
      </c>
      <c r="AA205"/>
    </row>
    <row r="206" spans="1:27" s="115" customFormat="1" ht="27" customHeight="1">
      <c r="A206" s="139">
        <v>184</v>
      </c>
      <c r="B206" s="140" t="s">
        <v>4710</v>
      </c>
      <c r="C206" s="141" t="s">
        <v>1429</v>
      </c>
      <c r="D206" s="142" t="s">
        <v>1430</v>
      </c>
      <c r="E206" s="141" t="s">
        <v>1603</v>
      </c>
      <c r="F206" s="142" t="s">
        <v>1533</v>
      </c>
      <c r="G206" s="141" t="s">
        <v>1617</v>
      </c>
      <c r="H206" s="142" t="s">
        <v>1544</v>
      </c>
      <c r="I206" s="141" t="s">
        <v>1618</v>
      </c>
      <c r="J206" s="142" t="s">
        <v>1544</v>
      </c>
      <c r="K206" s="142" t="s">
        <v>436</v>
      </c>
      <c r="L206" s="143">
        <f t="shared" si="6"/>
        <v>6</v>
      </c>
      <c r="M206" s="144">
        <v>13409</v>
      </c>
      <c r="N206" s="141" t="s">
        <v>1429</v>
      </c>
      <c r="O206" s="142" t="s">
        <v>1430</v>
      </c>
      <c r="P206" s="141" t="s">
        <v>1380</v>
      </c>
      <c r="Q206" s="142" t="s">
        <v>1533</v>
      </c>
      <c r="R206" s="141" t="s">
        <v>1546</v>
      </c>
      <c r="S206" s="142" t="s">
        <v>1544</v>
      </c>
      <c r="T206" s="141" t="s">
        <v>1547</v>
      </c>
      <c r="U206" s="142" t="s">
        <v>1544</v>
      </c>
      <c r="V206" s="142" t="s">
        <v>436</v>
      </c>
      <c r="W206" s="141">
        <f t="shared" si="7"/>
        <v>2</v>
      </c>
      <c r="X206" s="143"/>
      <c r="Y206" s="145" t="s">
        <v>1623</v>
      </c>
      <c r="AA206"/>
    </row>
    <row r="207" spans="1:27" s="115" customFormat="1" ht="27" customHeight="1">
      <c r="A207" s="139">
        <v>184</v>
      </c>
      <c r="B207" s="140" t="s">
        <v>4710</v>
      </c>
      <c r="C207" s="141" t="s">
        <v>1429</v>
      </c>
      <c r="D207" s="142" t="s">
        <v>1430</v>
      </c>
      <c r="E207" s="141" t="s">
        <v>1603</v>
      </c>
      <c r="F207" s="142" t="s">
        <v>1533</v>
      </c>
      <c r="G207" s="141" t="s">
        <v>1617</v>
      </c>
      <c r="H207" s="142" t="s">
        <v>1559</v>
      </c>
      <c r="I207" s="141" t="s">
        <v>1618</v>
      </c>
      <c r="J207" s="142" t="s">
        <v>1567</v>
      </c>
      <c r="K207" s="142" t="s">
        <v>446</v>
      </c>
      <c r="L207" s="143">
        <f t="shared" si="6"/>
        <v>6</v>
      </c>
      <c r="M207" s="144">
        <v>13999</v>
      </c>
      <c r="N207" s="141" t="s">
        <v>1429</v>
      </c>
      <c r="O207" s="142" t="s">
        <v>1430</v>
      </c>
      <c r="P207" s="141" t="s">
        <v>1380</v>
      </c>
      <c r="Q207" s="142" t="s">
        <v>1533</v>
      </c>
      <c r="R207" s="141" t="s">
        <v>1561</v>
      </c>
      <c r="S207" s="142" t="s">
        <v>1559</v>
      </c>
      <c r="T207" s="141" t="s">
        <v>1568</v>
      </c>
      <c r="U207" s="142" t="s">
        <v>1567</v>
      </c>
      <c r="V207" s="142" t="s">
        <v>446</v>
      </c>
      <c r="W207" s="141">
        <f t="shared" si="7"/>
        <v>2</v>
      </c>
      <c r="X207" s="143"/>
      <c r="Y207" s="145" t="s">
        <v>1624</v>
      </c>
      <c r="AA207"/>
    </row>
    <row r="208" spans="1:27" s="115" customFormat="1" ht="27" customHeight="1">
      <c r="A208" s="139">
        <v>185</v>
      </c>
      <c r="B208" s="140" t="s">
        <v>4711</v>
      </c>
      <c r="C208" s="141" t="s">
        <v>1429</v>
      </c>
      <c r="D208" s="142" t="s">
        <v>1430</v>
      </c>
      <c r="E208" s="141" t="s">
        <v>1603</v>
      </c>
      <c r="F208" s="142" t="s">
        <v>1533</v>
      </c>
      <c r="G208" s="141" t="s">
        <v>1617</v>
      </c>
      <c r="H208" s="142" t="s">
        <v>1544</v>
      </c>
      <c r="I208" s="141" t="s">
        <v>1618</v>
      </c>
      <c r="J208" s="142" t="s">
        <v>1544</v>
      </c>
      <c r="K208" s="142" t="s">
        <v>434</v>
      </c>
      <c r="L208" s="143">
        <f t="shared" si="6"/>
        <v>3</v>
      </c>
      <c r="M208" s="144">
        <v>13401</v>
      </c>
      <c r="N208" s="141" t="s">
        <v>1429</v>
      </c>
      <c r="O208" s="142" t="s">
        <v>1430</v>
      </c>
      <c r="P208" s="141" t="s">
        <v>1380</v>
      </c>
      <c r="Q208" s="142" t="s">
        <v>1533</v>
      </c>
      <c r="R208" s="141" t="s">
        <v>1546</v>
      </c>
      <c r="S208" s="142" t="s">
        <v>1544</v>
      </c>
      <c r="T208" s="141" t="s">
        <v>1547</v>
      </c>
      <c r="U208" s="142" t="s">
        <v>1544</v>
      </c>
      <c r="V208" s="142" t="s">
        <v>434</v>
      </c>
      <c r="W208" s="141">
        <f t="shared" si="7"/>
        <v>2</v>
      </c>
      <c r="X208" s="143"/>
      <c r="Y208" s="145" t="s">
        <v>1625</v>
      </c>
      <c r="AA208"/>
    </row>
    <row r="209" spans="1:27" s="115" customFormat="1" ht="27" customHeight="1">
      <c r="A209" s="139">
        <v>185</v>
      </c>
      <c r="B209" s="140" t="s">
        <v>4711</v>
      </c>
      <c r="C209" s="141" t="s">
        <v>1429</v>
      </c>
      <c r="D209" s="142" t="s">
        <v>1430</v>
      </c>
      <c r="E209" s="141" t="s">
        <v>1603</v>
      </c>
      <c r="F209" s="142" t="s">
        <v>1533</v>
      </c>
      <c r="G209" s="141" t="s">
        <v>1617</v>
      </c>
      <c r="H209" s="142" t="s">
        <v>1544</v>
      </c>
      <c r="I209" s="141" t="s">
        <v>1618</v>
      </c>
      <c r="J209" s="142" t="s">
        <v>1544</v>
      </c>
      <c r="K209" s="142" t="s">
        <v>433</v>
      </c>
      <c r="L209" s="143">
        <f t="shared" si="6"/>
        <v>3</v>
      </c>
      <c r="M209" s="144">
        <v>13402</v>
      </c>
      <c r="N209" s="141" t="s">
        <v>1429</v>
      </c>
      <c r="O209" s="142" t="s">
        <v>1430</v>
      </c>
      <c r="P209" s="141" t="s">
        <v>1380</v>
      </c>
      <c r="Q209" s="142" t="s">
        <v>1533</v>
      </c>
      <c r="R209" s="141" t="s">
        <v>1546</v>
      </c>
      <c r="S209" s="142" t="s">
        <v>1544</v>
      </c>
      <c r="T209" s="141" t="s">
        <v>1547</v>
      </c>
      <c r="U209" s="142" t="s">
        <v>1544</v>
      </c>
      <c r="V209" s="142" t="s">
        <v>433</v>
      </c>
      <c r="W209" s="141">
        <f t="shared" si="7"/>
        <v>2</v>
      </c>
      <c r="X209" s="143"/>
      <c r="Y209" s="145" t="s">
        <v>1626</v>
      </c>
      <c r="AA209"/>
    </row>
    <row r="210" spans="1:27" s="115" customFormat="1" ht="27" customHeight="1">
      <c r="A210" s="139">
        <v>185</v>
      </c>
      <c r="B210" s="140" t="s">
        <v>4711</v>
      </c>
      <c r="C210" s="141" t="s">
        <v>1429</v>
      </c>
      <c r="D210" s="142" t="s">
        <v>1430</v>
      </c>
      <c r="E210" s="141" t="s">
        <v>1603</v>
      </c>
      <c r="F210" s="142" t="s">
        <v>1533</v>
      </c>
      <c r="G210" s="141" t="s">
        <v>1617</v>
      </c>
      <c r="H210" s="142" t="s">
        <v>1544</v>
      </c>
      <c r="I210" s="141" t="s">
        <v>1618</v>
      </c>
      <c r="J210" s="142" t="s">
        <v>1544</v>
      </c>
      <c r="K210" s="142" t="s">
        <v>435</v>
      </c>
      <c r="L210" s="143">
        <f t="shared" si="6"/>
        <v>3</v>
      </c>
      <c r="M210" s="144">
        <v>13403</v>
      </c>
      <c r="N210" s="141" t="s">
        <v>1429</v>
      </c>
      <c r="O210" s="142" t="s">
        <v>1430</v>
      </c>
      <c r="P210" s="141" t="s">
        <v>1380</v>
      </c>
      <c r="Q210" s="142" t="s">
        <v>1533</v>
      </c>
      <c r="R210" s="141" t="s">
        <v>1546</v>
      </c>
      <c r="S210" s="142" t="s">
        <v>1544</v>
      </c>
      <c r="T210" s="141" t="s">
        <v>1547</v>
      </c>
      <c r="U210" s="142" t="s">
        <v>1544</v>
      </c>
      <c r="V210" s="142" t="s">
        <v>435</v>
      </c>
      <c r="W210" s="141">
        <f t="shared" si="7"/>
        <v>2</v>
      </c>
      <c r="X210" s="143"/>
      <c r="Y210" s="145" t="s">
        <v>1627</v>
      </c>
      <c r="AA210"/>
    </row>
    <row r="211" spans="1:27" s="115" customFormat="1" ht="27" customHeight="1">
      <c r="A211" s="139">
        <v>186</v>
      </c>
      <c r="B211" s="140" t="s">
        <v>4712</v>
      </c>
      <c r="C211" s="141" t="s">
        <v>1429</v>
      </c>
      <c r="D211" s="142" t="s">
        <v>1430</v>
      </c>
      <c r="E211" s="141" t="s">
        <v>1628</v>
      </c>
      <c r="F211" s="142" t="s">
        <v>1629</v>
      </c>
      <c r="G211" s="141" t="s">
        <v>1630</v>
      </c>
      <c r="H211" s="142" t="s">
        <v>1631</v>
      </c>
      <c r="I211" s="141" t="s">
        <v>1632</v>
      </c>
      <c r="J211" s="142" t="s">
        <v>1631</v>
      </c>
      <c r="K211" s="142" t="s">
        <v>469</v>
      </c>
      <c r="L211" s="143">
        <f t="shared" si="6"/>
        <v>1</v>
      </c>
      <c r="M211" s="144">
        <v>16101</v>
      </c>
      <c r="N211" s="141" t="s">
        <v>1429</v>
      </c>
      <c r="O211" s="142" t="s">
        <v>1430</v>
      </c>
      <c r="P211" s="141" t="s">
        <v>1525</v>
      </c>
      <c r="Q211" s="142" t="s">
        <v>1629</v>
      </c>
      <c r="R211" s="141" t="s">
        <v>1633</v>
      </c>
      <c r="S211" s="142" t="s">
        <v>1631</v>
      </c>
      <c r="T211" s="141" t="s">
        <v>1634</v>
      </c>
      <c r="U211" s="142" t="s">
        <v>1631</v>
      </c>
      <c r="V211" s="142" t="s">
        <v>469</v>
      </c>
      <c r="W211" s="141">
        <f t="shared" si="7"/>
        <v>1</v>
      </c>
      <c r="X211" s="143"/>
      <c r="Y211" s="145"/>
      <c r="AA211"/>
    </row>
    <row r="212" spans="1:27" s="115" customFormat="1" ht="27" customHeight="1">
      <c r="A212" s="139">
        <v>187</v>
      </c>
      <c r="B212" s="140" t="s">
        <v>4713</v>
      </c>
      <c r="C212" s="141" t="s">
        <v>1429</v>
      </c>
      <c r="D212" s="142" t="s">
        <v>1430</v>
      </c>
      <c r="E212" s="141" t="s">
        <v>1628</v>
      </c>
      <c r="F212" s="142" t="s">
        <v>1629</v>
      </c>
      <c r="G212" s="141" t="s">
        <v>1630</v>
      </c>
      <c r="H212" s="142" t="s">
        <v>1631</v>
      </c>
      <c r="I212" s="141" t="s">
        <v>1632</v>
      </c>
      <c r="J212" s="142" t="s">
        <v>1631</v>
      </c>
      <c r="K212" s="142" t="s">
        <v>470</v>
      </c>
      <c r="L212" s="143">
        <f t="shared" si="6"/>
        <v>1</v>
      </c>
      <c r="M212" s="144">
        <v>16103</v>
      </c>
      <c r="N212" s="141" t="s">
        <v>1429</v>
      </c>
      <c r="O212" s="142" t="s">
        <v>1430</v>
      </c>
      <c r="P212" s="141" t="s">
        <v>1525</v>
      </c>
      <c r="Q212" s="142" t="s">
        <v>1629</v>
      </c>
      <c r="R212" s="141" t="s">
        <v>1633</v>
      </c>
      <c r="S212" s="142" t="s">
        <v>1631</v>
      </c>
      <c r="T212" s="141" t="s">
        <v>1634</v>
      </c>
      <c r="U212" s="142" t="s">
        <v>1631</v>
      </c>
      <c r="V212" s="142" t="s">
        <v>470</v>
      </c>
      <c r="W212" s="141">
        <f t="shared" si="7"/>
        <v>1</v>
      </c>
      <c r="X212" s="143"/>
      <c r="Y212" s="145"/>
      <c r="AA212"/>
    </row>
    <row r="213" spans="1:27" s="115" customFormat="1" ht="27" customHeight="1">
      <c r="A213" s="139">
        <v>188</v>
      </c>
      <c r="B213" s="140" t="s">
        <v>4714</v>
      </c>
      <c r="C213" s="141" t="s">
        <v>1429</v>
      </c>
      <c r="D213" s="142" t="s">
        <v>1430</v>
      </c>
      <c r="E213" s="141" t="s">
        <v>1628</v>
      </c>
      <c r="F213" s="142" t="s">
        <v>1629</v>
      </c>
      <c r="G213" s="141" t="s">
        <v>1630</v>
      </c>
      <c r="H213" s="142" t="s">
        <v>1631</v>
      </c>
      <c r="I213" s="141" t="s">
        <v>1632</v>
      </c>
      <c r="J213" s="142" t="s">
        <v>1631</v>
      </c>
      <c r="K213" s="142" t="s">
        <v>471</v>
      </c>
      <c r="L213" s="143">
        <f t="shared" si="6"/>
        <v>1</v>
      </c>
      <c r="M213" s="144">
        <v>16102</v>
      </c>
      <c r="N213" s="141" t="s">
        <v>1429</v>
      </c>
      <c r="O213" s="142" t="s">
        <v>1430</v>
      </c>
      <c r="P213" s="141" t="s">
        <v>1525</v>
      </c>
      <c r="Q213" s="142" t="s">
        <v>1629</v>
      </c>
      <c r="R213" s="141" t="s">
        <v>1633</v>
      </c>
      <c r="S213" s="142" t="s">
        <v>1631</v>
      </c>
      <c r="T213" s="141" t="s">
        <v>1634</v>
      </c>
      <c r="U213" s="142" t="s">
        <v>1631</v>
      </c>
      <c r="V213" s="142" t="s">
        <v>471</v>
      </c>
      <c r="W213" s="141">
        <f t="shared" si="7"/>
        <v>1</v>
      </c>
      <c r="X213" s="143"/>
      <c r="Y213" s="145"/>
      <c r="AA213"/>
    </row>
    <row r="214" spans="1:27" s="115" customFormat="1" ht="27" customHeight="1">
      <c r="A214" s="139">
        <v>189</v>
      </c>
      <c r="B214" s="140" t="s">
        <v>4715</v>
      </c>
      <c r="C214" s="141" t="s">
        <v>1429</v>
      </c>
      <c r="D214" s="142" t="s">
        <v>1430</v>
      </c>
      <c r="E214" s="141" t="s">
        <v>1628</v>
      </c>
      <c r="F214" s="142" t="s">
        <v>1629</v>
      </c>
      <c r="G214" s="141" t="s">
        <v>1635</v>
      </c>
      <c r="H214" s="142" t="s">
        <v>1636</v>
      </c>
      <c r="I214" s="141" t="s">
        <v>1637</v>
      </c>
      <c r="J214" s="142" t="s">
        <v>1638</v>
      </c>
      <c r="K214" s="142" t="s">
        <v>472</v>
      </c>
      <c r="L214" s="143">
        <f t="shared" si="6"/>
        <v>1</v>
      </c>
      <c r="M214" s="144">
        <v>16212</v>
      </c>
      <c r="N214" s="141" t="s">
        <v>1429</v>
      </c>
      <c r="O214" s="142" t="s">
        <v>1430</v>
      </c>
      <c r="P214" s="141" t="s">
        <v>1525</v>
      </c>
      <c r="Q214" s="142" t="s">
        <v>1629</v>
      </c>
      <c r="R214" s="141" t="s">
        <v>1639</v>
      </c>
      <c r="S214" s="142" t="s">
        <v>1636</v>
      </c>
      <c r="T214" s="141" t="s">
        <v>1640</v>
      </c>
      <c r="U214" s="142" t="s">
        <v>1638</v>
      </c>
      <c r="V214" s="142" t="s">
        <v>472</v>
      </c>
      <c r="W214" s="141">
        <f t="shared" si="7"/>
        <v>1</v>
      </c>
      <c r="X214" s="143"/>
      <c r="Y214" s="145"/>
      <c r="AA214"/>
    </row>
    <row r="215" spans="1:27" s="115" customFormat="1" ht="27" customHeight="1">
      <c r="A215" s="139">
        <v>190</v>
      </c>
      <c r="B215" s="140" t="s">
        <v>4716</v>
      </c>
      <c r="C215" s="141" t="s">
        <v>1429</v>
      </c>
      <c r="D215" s="142" t="s">
        <v>1430</v>
      </c>
      <c r="E215" s="141" t="s">
        <v>1628</v>
      </c>
      <c r="F215" s="142" t="s">
        <v>1629</v>
      </c>
      <c r="G215" s="141" t="s">
        <v>1635</v>
      </c>
      <c r="H215" s="142" t="s">
        <v>1636</v>
      </c>
      <c r="I215" s="141" t="s">
        <v>1637</v>
      </c>
      <c r="J215" s="142" t="s">
        <v>1638</v>
      </c>
      <c r="K215" s="142" t="s">
        <v>473</v>
      </c>
      <c r="L215" s="143">
        <f t="shared" si="6"/>
        <v>1</v>
      </c>
      <c r="M215" s="144">
        <v>16211</v>
      </c>
      <c r="N215" s="141" t="s">
        <v>1429</v>
      </c>
      <c r="O215" s="142" t="s">
        <v>1430</v>
      </c>
      <c r="P215" s="141" t="s">
        <v>1525</v>
      </c>
      <c r="Q215" s="142" t="s">
        <v>1629</v>
      </c>
      <c r="R215" s="141" t="s">
        <v>1639</v>
      </c>
      <c r="S215" s="142" t="s">
        <v>1636</v>
      </c>
      <c r="T215" s="141" t="s">
        <v>1640</v>
      </c>
      <c r="U215" s="142" t="s">
        <v>1638</v>
      </c>
      <c r="V215" s="142" t="s">
        <v>473</v>
      </c>
      <c r="W215" s="141">
        <f t="shared" si="7"/>
        <v>1</v>
      </c>
      <c r="X215" s="143"/>
      <c r="Y215" s="145"/>
      <c r="AA215"/>
    </row>
    <row r="216" spans="1:27" s="115" customFormat="1" ht="27" customHeight="1">
      <c r="A216" s="139">
        <v>191</v>
      </c>
      <c r="B216" s="140" t="s">
        <v>4717</v>
      </c>
      <c r="C216" s="141" t="s">
        <v>1429</v>
      </c>
      <c r="D216" s="142" t="s">
        <v>1430</v>
      </c>
      <c r="E216" s="141" t="s">
        <v>1628</v>
      </c>
      <c r="F216" s="142" t="s">
        <v>1629</v>
      </c>
      <c r="G216" s="141" t="s">
        <v>1635</v>
      </c>
      <c r="H216" s="142" t="s">
        <v>1636</v>
      </c>
      <c r="I216" s="141" t="s">
        <v>1641</v>
      </c>
      <c r="J216" s="142" t="s">
        <v>1642</v>
      </c>
      <c r="K216" s="142" t="s">
        <v>474</v>
      </c>
      <c r="L216" s="143">
        <f t="shared" si="6"/>
        <v>1</v>
      </c>
      <c r="M216" s="144">
        <v>16229</v>
      </c>
      <c r="N216" s="141" t="s">
        <v>1429</v>
      </c>
      <c r="O216" s="142" t="s">
        <v>1430</v>
      </c>
      <c r="P216" s="141" t="s">
        <v>1525</v>
      </c>
      <c r="Q216" s="142" t="s">
        <v>1629</v>
      </c>
      <c r="R216" s="141" t="s">
        <v>1639</v>
      </c>
      <c r="S216" s="142" t="s">
        <v>1636</v>
      </c>
      <c r="T216" s="141" t="s">
        <v>1643</v>
      </c>
      <c r="U216" s="142" t="s">
        <v>1642</v>
      </c>
      <c r="V216" s="142" t="s">
        <v>474</v>
      </c>
      <c r="W216" s="141">
        <f t="shared" si="7"/>
        <v>1</v>
      </c>
      <c r="X216" s="143"/>
      <c r="Y216" s="145"/>
      <c r="AA216"/>
    </row>
    <row r="217" spans="1:27" s="115" customFormat="1" ht="27" customHeight="1">
      <c r="A217" s="139">
        <v>192</v>
      </c>
      <c r="B217" s="140" t="s">
        <v>4718</v>
      </c>
      <c r="C217" s="141" t="s">
        <v>1429</v>
      </c>
      <c r="D217" s="142" t="s">
        <v>1430</v>
      </c>
      <c r="E217" s="141" t="s">
        <v>1628</v>
      </c>
      <c r="F217" s="142" t="s">
        <v>1629</v>
      </c>
      <c r="G217" s="141" t="s">
        <v>1635</v>
      </c>
      <c r="H217" s="142" t="s">
        <v>1636</v>
      </c>
      <c r="I217" s="141" t="s">
        <v>1641</v>
      </c>
      <c r="J217" s="142" t="s">
        <v>1644</v>
      </c>
      <c r="K217" s="142" t="s">
        <v>475</v>
      </c>
      <c r="L217" s="143">
        <f t="shared" si="6"/>
        <v>1</v>
      </c>
      <c r="M217" s="144">
        <v>16232</v>
      </c>
      <c r="N217" s="141" t="s">
        <v>1429</v>
      </c>
      <c r="O217" s="142" t="s">
        <v>1430</v>
      </c>
      <c r="P217" s="141" t="s">
        <v>1525</v>
      </c>
      <c r="Q217" s="142" t="s">
        <v>1629</v>
      </c>
      <c r="R217" s="141" t="s">
        <v>1639</v>
      </c>
      <c r="S217" s="142" t="s">
        <v>1636</v>
      </c>
      <c r="T217" s="141" t="s">
        <v>1645</v>
      </c>
      <c r="U217" s="142" t="s">
        <v>1644</v>
      </c>
      <c r="V217" s="142" t="s">
        <v>475</v>
      </c>
      <c r="W217" s="141">
        <f t="shared" si="7"/>
        <v>1</v>
      </c>
      <c r="X217" s="143"/>
      <c r="Y217" s="145"/>
      <c r="AA217"/>
    </row>
    <row r="218" spans="1:27" s="115" customFormat="1" ht="27" customHeight="1">
      <c r="A218" s="139">
        <v>193</v>
      </c>
      <c r="B218" s="140" t="s">
        <v>4719</v>
      </c>
      <c r="C218" s="141" t="s">
        <v>1429</v>
      </c>
      <c r="D218" s="142" t="s">
        <v>1430</v>
      </c>
      <c r="E218" s="141" t="s">
        <v>1628</v>
      </c>
      <c r="F218" s="142" t="s">
        <v>1629</v>
      </c>
      <c r="G218" s="141" t="s">
        <v>1635</v>
      </c>
      <c r="H218" s="142" t="s">
        <v>1636</v>
      </c>
      <c r="I218" s="141" t="s">
        <v>1641</v>
      </c>
      <c r="J218" s="142" t="s">
        <v>1642</v>
      </c>
      <c r="K218" s="142" t="s">
        <v>476</v>
      </c>
      <c r="L218" s="143">
        <f t="shared" si="6"/>
        <v>1</v>
      </c>
      <c r="M218" s="144">
        <v>16221</v>
      </c>
      <c r="N218" s="141" t="s">
        <v>1429</v>
      </c>
      <c r="O218" s="142" t="s">
        <v>1430</v>
      </c>
      <c r="P218" s="141" t="s">
        <v>1525</v>
      </c>
      <c r="Q218" s="142" t="s">
        <v>1629</v>
      </c>
      <c r="R218" s="141" t="s">
        <v>1639</v>
      </c>
      <c r="S218" s="142" t="s">
        <v>1636</v>
      </c>
      <c r="T218" s="141" t="s">
        <v>1643</v>
      </c>
      <c r="U218" s="142" t="s">
        <v>1642</v>
      </c>
      <c r="V218" s="142" t="s">
        <v>476</v>
      </c>
      <c r="W218" s="141">
        <f t="shared" si="7"/>
        <v>1</v>
      </c>
      <c r="X218" s="143"/>
      <c r="Y218" s="145"/>
      <c r="AA218"/>
    </row>
    <row r="219" spans="1:27" s="115" customFormat="1" ht="27" customHeight="1">
      <c r="A219" s="139">
        <v>194</v>
      </c>
      <c r="B219" s="140" t="s">
        <v>4720</v>
      </c>
      <c r="C219" s="141" t="s">
        <v>1429</v>
      </c>
      <c r="D219" s="142" t="s">
        <v>1430</v>
      </c>
      <c r="E219" s="141" t="s">
        <v>1628</v>
      </c>
      <c r="F219" s="142" t="s">
        <v>1629</v>
      </c>
      <c r="G219" s="141" t="s">
        <v>1635</v>
      </c>
      <c r="H219" s="142" t="s">
        <v>1636</v>
      </c>
      <c r="I219" s="141" t="s">
        <v>1641</v>
      </c>
      <c r="J219" s="142" t="s">
        <v>1644</v>
      </c>
      <c r="K219" s="142" t="s">
        <v>477</v>
      </c>
      <c r="L219" s="143">
        <f t="shared" si="6"/>
        <v>1</v>
      </c>
      <c r="M219" s="144">
        <v>16231</v>
      </c>
      <c r="N219" s="141" t="s">
        <v>1429</v>
      </c>
      <c r="O219" s="142" t="s">
        <v>1430</v>
      </c>
      <c r="P219" s="141" t="s">
        <v>1525</v>
      </c>
      <c r="Q219" s="142" t="s">
        <v>1629</v>
      </c>
      <c r="R219" s="141" t="s">
        <v>1639</v>
      </c>
      <c r="S219" s="142" t="s">
        <v>1636</v>
      </c>
      <c r="T219" s="141" t="s">
        <v>1645</v>
      </c>
      <c r="U219" s="142" t="s">
        <v>1644</v>
      </c>
      <c r="V219" s="142" t="s">
        <v>477</v>
      </c>
      <c r="W219" s="141">
        <f t="shared" si="7"/>
        <v>1</v>
      </c>
      <c r="X219" s="143"/>
      <c r="Y219" s="145"/>
      <c r="AA219"/>
    </row>
    <row r="220" spans="1:27" s="115" customFormat="1" ht="27" customHeight="1">
      <c r="A220" s="139">
        <v>195</v>
      </c>
      <c r="B220" s="140" t="s">
        <v>4721</v>
      </c>
      <c r="C220" s="141" t="s">
        <v>1429</v>
      </c>
      <c r="D220" s="142" t="s">
        <v>1430</v>
      </c>
      <c r="E220" s="141" t="s">
        <v>1628</v>
      </c>
      <c r="F220" s="142" t="s">
        <v>1629</v>
      </c>
      <c r="G220" s="141" t="s">
        <v>1635</v>
      </c>
      <c r="H220" s="142" t="s">
        <v>1636</v>
      </c>
      <c r="I220" s="141" t="s">
        <v>1646</v>
      </c>
      <c r="J220" s="142" t="s">
        <v>1647</v>
      </c>
      <c r="K220" s="142" t="s">
        <v>478</v>
      </c>
      <c r="L220" s="143">
        <f t="shared" si="6"/>
        <v>1</v>
      </c>
      <c r="M220" s="144">
        <v>16291</v>
      </c>
      <c r="N220" s="141" t="s">
        <v>1429</v>
      </c>
      <c r="O220" s="142" t="s">
        <v>1430</v>
      </c>
      <c r="P220" s="141" t="s">
        <v>1525</v>
      </c>
      <c r="Q220" s="142" t="s">
        <v>1629</v>
      </c>
      <c r="R220" s="141" t="s">
        <v>1639</v>
      </c>
      <c r="S220" s="142" t="s">
        <v>1636</v>
      </c>
      <c r="T220" s="141" t="s">
        <v>1648</v>
      </c>
      <c r="U220" s="142" t="s">
        <v>1647</v>
      </c>
      <c r="V220" s="142" t="s">
        <v>478</v>
      </c>
      <c r="W220" s="141">
        <f t="shared" si="7"/>
        <v>1</v>
      </c>
      <c r="X220" s="143"/>
      <c r="Y220" s="145"/>
      <c r="AA220"/>
    </row>
    <row r="221" spans="1:27" s="115" customFormat="1" ht="27" customHeight="1">
      <c r="A221" s="139">
        <v>196</v>
      </c>
      <c r="B221" s="140" t="s">
        <v>4722</v>
      </c>
      <c r="C221" s="141" t="s">
        <v>1429</v>
      </c>
      <c r="D221" s="142" t="s">
        <v>1430</v>
      </c>
      <c r="E221" s="141" t="s">
        <v>1628</v>
      </c>
      <c r="F221" s="142" t="s">
        <v>1629</v>
      </c>
      <c r="G221" s="141" t="s">
        <v>1635</v>
      </c>
      <c r="H221" s="142" t="s">
        <v>1636</v>
      </c>
      <c r="I221" s="141" t="s">
        <v>1646</v>
      </c>
      <c r="J221" s="142" t="s">
        <v>1647</v>
      </c>
      <c r="K221" s="142" t="s">
        <v>479</v>
      </c>
      <c r="L221" s="143">
        <f t="shared" si="6"/>
        <v>1</v>
      </c>
      <c r="M221" s="144">
        <v>16292</v>
      </c>
      <c r="N221" s="141" t="s">
        <v>1429</v>
      </c>
      <c r="O221" s="142" t="s">
        <v>1430</v>
      </c>
      <c r="P221" s="141" t="s">
        <v>1525</v>
      </c>
      <c r="Q221" s="142" t="s">
        <v>1629</v>
      </c>
      <c r="R221" s="141" t="s">
        <v>1639</v>
      </c>
      <c r="S221" s="142" t="s">
        <v>1636</v>
      </c>
      <c r="T221" s="141" t="s">
        <v>1648</v>
      </c>
      <c r="U221" s="142" t="s">
        <v>1647</v>
      </c>
      <c r="V221" s="142" t="s">
        <v>479</v>
      </c>
      <c r="W221" s="141">
        <f t="shared" si="7"/>
        <v>2</v>
      </c>
      <c r="X221" s="143"/>
      <c r="Y221" s="145" t="s">
        <v>1649</v>
      </c>
      <c r="AA221"/>
    </row>
    <row r="222" spans="1:27" s="115" customFormat="1" ht="27" customHeight="1">
      <c r="A222" s="139">
        <v>197</v>
      </c>
      <c r="B222" s="140" t="s">
        <v>4723</v>
      </c>
      <c r="C222" s="141" t="s">
        <v>1429</v>
      </c>
      <c r="D222" s="142" t="s">
        <v>1430</v>
      </c>
      <c r="E222" s="141" t="s">
        <v>1628</v>
      </c>
      <c r="F222" s="142" t="s">
        <v>1629</v>
      </c>
      <c r="G222" s="141" t="s">
        <v>1635</v>
      </c>
      <c r="H222" s="142" t="s">
        <v>480</v>
      </c>
      <c r="I222" s="141" t="s">
        <v>1646</v>
      </c>
      <c r="J222" s="142" t="s">
        <v>480</v>
      </c>
      <c r="K222" s="142" t="s">
        <v>480</v>
      </c>
      <c r="L222" s="143">
        <f t="shared" si="6"/>
        <v>1</v>
      </c>
      <c r="M222" s="144">
        <v>16300</v>
      </c>
      <c r="N222" s="141" t="s">
        <v>1429</v>
      </c>
      <c r="O222" s="142" t="s">
        <v>1430</v>
      </c>
      <c r="P222" s="141" t="s">
        <v>1525</v>
      </c>
      <c r="Q222" s="142" t="s">
        <v>1629</v>
      </c>
      <c r="R222" s="141" t="s">
        <v>1650</v>
      </c>
      <c r="S222" s="142" t="s">
        <v>480</v>
      </c>
      <c r="T222" s="141" t="s">
        <v>1651</v>
      </c>
      <c r="U222" s="142" t="s">
        <v>480</v>
      </c>
      <c r="V222" s="142" t="s">
        <v>480</v>
      </c>
      <c r="W222" s="141">
        <f t="shared" si="7"/>
        <v>3</v>
      </c>
      <c r="X222" s="143"/>
      <c r="Y222" s="145" t="s">
        <v>1652</v>
      </c>
      <c r="AA222"/>
    </row>
    <row r="223" spans="1:27" s="115" customFormat="1" ht="27" customHeight="1">
      <c r="A223" s="139">
        <v>198</v>
      </c>
      <c r="B223" s="140" t="s">
        <v>4724</v>
      </c>
      <c r="C223" s="141" t="s">
        <v>1429</v>
      </c>
      <c r="D223" s="142" t="s">
        <v>1430</v>
      </c>
      <c r="E223" s="141" t="s">
        <v>1628</v>
      </c>
      <c r="F223" s="142" t="s">
        <v>1629</v>
      </c>
      <c r="G223" s="141" t="s">
        <v>1635</v>
      </c>
      <c r="H223" s="142" t="s">
        <v>1636</v>
      </c>
      <c r="I223" s="141" t="s">
        <v>1646</v>
      </c>
      <c r="J223" s="142" t="s">
        <v>1647</v>
      </c>
      <c r="K223" s="142" t="s">
        <v>479</v>
      </c>
      <c r="L223" s="143">
        <f t="shared" si="6"/>
        <v>1</v>
      </c>
      <c r="M223" s="144">
        <v>16292</v>
      </c>
      <c r="N223" s="141" t="s">
        <v>1429</v>
      </c>
      <c r="O223" s="142" t="s">
        <v>1430</v>
      </c>
      <c r="P223" s="141" t="s">
        <v>1525</v>
      </c>
      <c r="Q223" s="142" t="s">
        <v>1629</v>
      </c>
      <c r="R223" s="141" t="s">
        <v>1639</v>
      </c>
      <c r="S223" s="142" t="s">
        <v>1636</v>
      </c>
      <c r="T223" s="141" t="s">
        <v>1648</v>
      </c>
      <c r="U223" s="142" t="s">
        <v>1647</v>
      </c>
      <c r="V223" s="142" t="s">
        <v>479</v>
      </c>
      <c r="W223" s="141">
        <f t="shared" si="7"/>
        <v>2</v>
      </c>
      <c r="X223" s="143">
        <v>1</v>
      </c>
      <c r="Y223" s="145"/>
      <c r="AA223"/>
    </row>
    <row r="224" spans="1:27" s="115" customFormat="1" ht="27" customHeight="1">
      <c r="A224" s="139">
        <v>199</v>
      </c>
      <c r="B224" s="140" t="s">
        <v>4725</v>
      </c>
      <c r="C224" s="141" t="s">
        <v>1429</v>
      </c>
      <c r="D224" s="142" t="s">
        <v>1430</v>
      </c>
      <c r="E224" s="141" t="s">
        <v>1628</v>
      </c>
      <c r="F224" s="142" t="s">
        <v>1629</v>
      </c>
      <c r="G224" s="141" t="s">
        <v>1635</v>
      </c>
      <c r="H224" s="142" t="s">
        <v>1636</v>
      </c>
      <c r="I224" s="141" t="s">
        <v>1646</v>
      </c>
      <c r="J224" s="142" t="s">
        <v>1647</v>
      </c>
      <c r="K224" s="142" t="s">
        <v>481</v>
      </c>
      <c r="L224" s="143">
        <f t="shared" si="6"/>
        <v>1</v>
      </c>
      <c r="M224" s="144">
        <v>16299</v>
      </c>
      <c r="N224" s="141" t="s">
        <v>1429</v>
      </c>
      <c r="O224" s="142" t="s">
        <v>1430</v>
      </c>
      <c r="P224" s="141" t="s">
        <v>1525</v>
      </c>
      <c r="Q224" s="142" t="s">
        <v>1629</v>
      </c>
      <c r="R224" s="141" t="s">
        <v>1639</v>
      </c>
      <c r="S224" s="142" t="s">
        <v>1636</v>
      </c>
      <c r="T224" s="141" t="s">
        <v>1648</v>
      </c>
      <c r="U224" s="142" t="s">
        <v>1647</v>
      </c>
      <c r="V224" s="142" t="s">
        <v>481</v>
      </c>
      <c r="W224" s="141">
        <f t="shared" si="7"/>
        <v>1</v>
      </c>
      <c r="X224" s="143"/>
      <c r="Y224" s="145"/>
      <c r="AA224"/>
    </row>
    <row r="225" spans="1:27" s="115" customFormat="1" ht="27" customHeight="1">
      <c r="A225" s="139">
        <v>200</v>
      </c>
      <c r="B225" s="140" t="s">
        <v>4726</v>
      </c>
      <c r="C225" s="141" t="s">
        <v>1429</v>
      </c>
      <c r="D225" s="142" t="s">
        <v>1430</v>
      </c>
      <c r="E225" s="141" t="s">
        <v>1628</v>
      </c>
      <c r="F225" s="142" t="s">
        <v>1629</v>
      </c>
      <c r="G225" s="141" t="s">
        <v>1635</v>
      </c>
      <c r="H225" s="142" t="s">
        <v>480</v>
      </c>
      <c r="I225" s="141" t="s">
        <v>1646</v>
      </c>
      <c r="J225" s="142" t="s">
        <v>480</v>
      </c>
      <c r="K225" s="142" t="s">
        <v>480</v>
      </c>
      <c r="L225" s="143">
        <f t="shared" si="6"/>
        <v>1</v>
      </c>
      <c r="M225" s="144">
        <v>16300</v>
      </c>
      <c r="N225" s="141" t="s">
        <v>1429</v>
      </c>
      <c r="O225" s="142" t="s">
        <v>1430</v>
      </c>
      <c r="P225" s="141" t="s">
        <v>1525</v>
      </c>
      <c r="Q225" s="142" t="s">
        <v>1629</v>
      </c>
      <c r="R225" s="141" t="s">
        <v>1650</v>
      </c>
      <c r="S225" s="142" t="s">
        <v>480</v>
      </c>
      <c r="T225" s="141" t="s">
        <v>1651</v>
      </c>
      <c r="U225" s="142" t="s">
        <v>480</v>
      </c>
      <c r="V225" s="142" t="s">
        <v>480</v>
      </c>
      <c r="W225" s="141">
        <f t="shared" si="7"/>
        <v>3</v>
      </c>
      <c r="X225" s="143">
        <v>1</v>
      </c>
      <c r="Y225" s="145"/>
      <c r="AA225"/>
    </row>
    <row r="226" spans="1:27" s="115" customFormat="1" ht="27" customHeight="1">
      <c r="A226" s="139">
        <v>201</v>
      </c>
      <c r="B226" s="140" t="s">
        <v>4727</v>
      </c>
      <c r="C226" s="141" t="s">
        <v>1429</v>
      </c>
      <c r="D226" s="142" t="s">
        <v>1430</v>
      </c>
      <c r="E226" s="141" t="s">
        <v>1628</v>
      </c>
      <c r="F226" s="142" t="s">
        <v>1629</v>
      </c>
      <c r="G226" s="141" t="s">
        <v>1635</v>
      </c>
      <c r="H226" s="142" t="s">
        <v>480</v>
      </c>
      <c r="I226" s="141" t="s">
        <v>1646</v>
      </c>
      <c r="J226" s="142" t="s">
        <v>480</v>
      </c>
      <c r="K226" s="142" t="s">
        <v>480</v>
      </c>
      <c r="L226" s="143">
        <f t="shared" si="6"/>
        <v>1</v>
      </c>
      <c r="M226" s="144">
        <v>16300</v>
      </c>
      <c r="N226" s="141" t="s">
        <v>1429</v>
      </c>
      <c r="O226" s="142" t="s">
        <v>1430</v>
      </c>
      <c r="P226" s="141" t="s">
        <v>1525</v>
      </c>
      <c r="Q226" s="142" t="s">
        <v>1629</v>
      </c>
      <c r="R226" s="141" t="s">
        <v>1650</v>
      </c>
      <c r="S226" s="142" t="s">
        <v>480</v>
      </c>
      <c r="T226" s="141" t="s">
        <v>1651</v>
      </c>
      <c r="U226" s="142" t="s">
        <v>480</v>
      </c>
      <c r="V226" s="142" t="s">
        <v>480</v>
      </c>
      <c r="W226" s="141">
        <f t="shared" si="7"/>
        <v>3</v>
      </c>
      <c r="X226" s="143"/>
      <c r="Y226" s="145" t="s">
        <v>1653</v>
      </c>
      <c r="AA226"/>
    </row>
    <row r="227" spans="1:27" s="115" customFormat="1" ht="27" customHeight="1">
      <c r="A227" s="139">
        <v>202</v>
      </c>
      <c r="B227" s="140" t="s">
        <v>4728</v>
      </c>
      <c r="C227" s="141" t="s">
        <v>1429</v>
      </c>
      <c r="D227" s="142" t="s">
        <v>1430</v>
      </c>
      <c r="E227" s="141" t="s">
        <v>1654</v>
      </c>
      <c r="F227" s="142" t="s">
        <v>1655</v>
      </c>
      <c r="G227" s="141" t="s">
        <v>1656</v>
      </c>
      <c r="H227" s="142" t="s">
        <v>1657</v>
      </c>
      <c r="I227" s="141" t="s">
        <v>1658</v>
      </c>
      <c r="J227" s="142" t="s">
        <v>1659</v>
      </c>
      <c r="K227" s="142" t="s">
        <v>482</v>
      </c>
      <c r="L227" s="143">
        <f t="shared" si="6"/>
        <v>1</v>
      </c>
      <c r="M227" s="144">
        <v>17121</v>
      </c>
      <c r="N227" s="141" t="s">
        <v>1429</v>
      </c>
      <c r="O227" s="142" t="s">
        <v>1430</v>
      </c>
      <c r="P227" s="141" t="s">
        <v>1532</v>
      </c>
      <c r="Q227" s="142" t="s">
        <v>1655</v>
      </c>
      <c r="R227" s="141" t="s">
        <v>1534</v>
      </c>
      <c r="S227" s="142" t="s">
        <v>1657</v>
      </c>
      <c r="T227" s="141" t="s">
        <v>1545</v>
      </c>
      <c r="U227" s="142" t="s">
        <v>1659</v>
      </c>
      <c r="V227" s="142" t="s">
        <v>482</v>
      </c>
      <c r="W227" s="141">
        <f t="shared" si="7"/>
        <v>1</v>
      </c>
      <c r="X227" s="143"/>
      <c r="Y227" s="145"/>
      <c r="AA227"/>
    </row>
    <row r="228" spans="1:27" s="115" customFormat="1" ht="27" customHeight="1">
      <c r="A228" s="139">
        <v>203</v>
      </c>
      <c r="B228" s="140" t="s">
        <v>4729</v>
      </c>
      <c r="C228" s="141" t="s">
        <v>1429</v>
      </c>
      <c r="D228" s="142" t="s">
        <v>1430</v>
      </c>
      <c r="E228" s="141" t="s">
        <v>1654</v>
      </c>
      <c r="F228" s="142" t="s">
        <v>1655</v>
      </c>
      <c r="G228" s="141" t="s">
        <v>1656</v>
      </c>
      <c r="H228" s="142" t="s">
        <v>1657</v>
      </c>
      <c r="I228" s="141" t="s">
        <v>1658</v>
      </c>
      <c r="J228" s="142" t="s">
        <v>1659</v>
      </c>
      <c r="K228" s="142" t="s">
        <v>483</v>
      </c>
      <c r="L228" s="143">
        <f t="shared" si="6"/>
        <v>1</v>
      </c>
      <c r="M228" s="144">
        <v>17124</v>
      </c>
      <c r="N228" s="141" t="s">
        <v>1429</v>
      </c>
      <c r="O228" s="142" t="s">
        <v>1430</v>
      </c>
      <c r="P228" s="141" t="s">
        <v>1532</v>
      </c>
      <c r="Q228" s="142" t="s">
        <v>1655</v>
      </c>
      <c r="R228" s="141" t="s">
        <v>1534</v>
      </c>
      <c r="S228" s="142" t="s">
        <v>1657</v>
      </c>
      <c r="T228" s="141" t="s">
        <v>1545</v>
      </c>
      <c r="U228" s="142" t="s">
        <v>1659</v>
      </c>
      <c r="V228" s="142" t="s">
        <v>483</v>
      </c>
      <c r="W228" s="141">
        <f t="shared" si="7"/>
        <v>1</v>
      </c>
      <c r="X228" s="143"/>
      <c r="Y228" s="145"/>
      <c r="AA228"/>
    </row>
    <row r="229" spans="1:27" s="115" customFormat="1" ht="27" customHeight="1">
      <c r="A229" s="139">
        <v>204</v>
      </c>
      <c r="B229" s="140" t="s">
        <v>4730</v>
      </c>
      <c r="C229" s="141" t="s">
        <v>1429</v>
      </c>
      <c r="D229" s="142" t="s">
        <v>1430</v>
      </c>
      <c r="E229" s="141" t="s">
        <v>1654</v>
      </c>
      <c r="F229" s="142" t="s">
        <v>1655</v>
      </c>
      <c r="G229" s="141" t="s">
        <v>1656</v>
      </c>
      <c r="H229" s="142" t="s">
        <v>1657</v>
      </c>
      <c r="I229" s="141" t="s">
        <v>1658</v>
      </c>
      <c r="J229" s="142" t="s">
        <v>1659</v>
      </c>
      <c r="K229" s="142" t="s">
        <v>122</v>
      </c>
      <c r="L229" s="143">
        <f t="shared" si="6"/>
        <v>1</v>
      </c>
      <c r="M229" s="144">
        <v>17129</v>
      </c>
      <c r="N229" s="141" t="s">
        <v>1429</v>
      </c>
      <c r="O229" s="142" t="s">
        <v>1430</v>
      </c>
      <c r="P229" s="141" t="s">
        <v>1532</v>
      </c>
      <c r="Q229" s="142" t="s">
        <v>1655</v>
      </c>
      <c r="R229" s="141" t="s">
        <v>1534</v>
      </c>
      <c r="S229" s="142" t="s">
        <v>1657</v>
      </c>
      <c r="T229" s="141" t="s">
        <v>1545</v>
      </c>
      <c r="U229" s="142" t="s">
        <v>1659</v>
      </c>
      <c r="V229" s="142" t="s">
        <v>122</v>
      </c>
      <c r="W229" s="141">
        <f t="shared" si="7"/>
        <v>2</v>
      </c>
      <c r="X229" s="143">
        <v>1</v>
      </c>
      <c r="Y229" s="145"/>
      <c r="AA229"/>
    </row>
    <row r="230" spans="1:27" s="115" customFormat="1" ht="27" customHeight="1">
      <c r="A230" s="139">
        <v>205</v>
      </c>
      <c r="B230" s="140" t="s">
        <v>4731</v>
      </c>
      <c r="C230" s="141" t="s">
        <v>1429</v>
      </c>
      <c r="D230" s="142" t="s">
        <v>1430</v>
      </c>
      <c r="E230" s="141" t="s">
        <v>1654</v>
      </c>
      <c r="F230" s="142" t="s">
        <v>1655</v>
      </c>
      <c r="G230" s="141" t="s">
        <v>1656</v>
      </c>
      <c r="H230" s="142" t="s">
        <v>1657</v>
      </c>
      <c r="I230" s="141" t="s">
        <v>1658</v>
      </c>
      <c r="J230" s="142" t="s">
        <v>484</v>
      </c>
      <c r="K230" s="142" t="s">
        <v>484</v>
      </c>
      <c r="L230" s="143">
        <f t="shared" si="6"/>
        <v>1</v>
      </c>
      <c r="M230" s="144">
        <v>17110</v>
      </c>
      <c r="N230" s="141" t="s">
        <v>1429</v>
      </c>
      <c r="O230" s="142" t="s">
        <v>1430</v>
      </c>
      <c r="P230" s="141" t="s">
        <v>1532</v>
      </c>
      <c r="Q230" s="142" t="s">
        <v>1655</v>
      </c>
      <c r="R230" s="141" t="s">
        <v>1534</v>
      </c>
      <c r="S230" s="142" t="s">
        <v>1657</v>
      </c>
      <c r="T230" s="141" t="s">
        <v>1536</v>
      </c>
      <c r="U230" s="142" t="s">
        <v>484</v>
      </c>
      <c r="V230" s="142" t="s">
        <v>484</v>
      </c>
      <c r="W230" s="141">
        <f t="shared" si="7"/>
        <v>1</v>
      </c>
      <c r="X230" s="143"/>
      <c r="Y230" s="145"/>
      <c r="AA230"/>
    </row>
    <row r="231" spans="1:27" s="115" customFormat="1" ht="27" customHeight="1">
      <c r="A231" s="139">
        <v>206</v>
      </c>
      <c r="B231" s="140" t="s">
        <v>4732</v>
      </c>
      <c r="C231" s="141" t="s">
        <v>1429</v>
      </c>
      <c r="D231" s="142" t="s">
        <v>1430</v>
      </c>
      <c r="E231" s="141" t="s">
        <v>1654</v>
      </c>
      <c r="F231" s="142" t="s">
        <v>1655</v>
      </c>
      <c r="G231" s="141" t="s">
        <v>1656</v>
      </c>
      <c r="H231" s="142" t="s">
        <v>1657</v>
      </c>
      <c r="I231" s="141" t="s">
        <v>1658</v>
      </c>
      <c r="J231" s="142" t="s">
        <v>1659</v>
      </c>
      <c r="K231" s="142" t="s">
        <v>485</v>
      </c>
      <c r="L231" s="143">
        <f t="shared" si="6"/>
        <v>1</v>
      </c>
      <c r="M231" s="144">
        <v>17122</v>
      </c>
      <c r="N231" s="141" t="s">
        <v>1429</v>
      </c>
      <c r="O231" s="142" t="s">
        <v>1430</v>
      </c>
      <c r="P231" s="141" t="s">
        <v>1532</v>
      </c>
      <c r="Q231" s="142" t="s">
        <v>1655</v>
      </c>
      <c r="R231" s="141" t="s">
        <v>1534</v>
      </c>
      <c r="S231" s="142" t="s">
        <v>1657</v>
      </c>
      <c r="T231" s="141" t="s">
        <v>1545</v>
      </c>
      <c r="U231" s="142" t="s">
        <v>1659</v>
      </c>
      <c r="V231" s="142" t="s">
        <v>485</v>
      </c>
      <c r="W231" s="141">
        <f t="shared" si="7"/>
        <v>1</v>
      </c>
      <c r="X231" s="143"/>
      <c r="Y231" s="145"/>
      <c r="AA231"/>
    </row>
    <row r="232" spans="1:27" s="115" customFormat="1" ht="27" customHeight="1">
      <c r="A232" s="139">
        <v>207</v>
      </c>
      <c r="B232" s="140" t="s">
        <v>4733</v>
      </c>
      <c r="C232" s="141" t="s">
        <v>1429</v>
      </c>
      <c r="D232" s="142" t="s">
        <v>1430</v>
      </c>
      <c r="E232" s="141" t="s">
        <v>1654</v>
      </c>
      <c r="F232" s="142" t="s">
        <v>1655</v>
      </c>
      <c r="G232" s="141" t="s">
        <v>1656</v>
      </c>
      <c r="H232" s="142" t="s">
        <v>1657</v>
      </c>
      <c r="I232" s="141" t="s">
        <v>1658</v>
      </c>
      <c r="J232" s="142" t="s">
        <v>1659</v>
      </c>
      <c r="K232" s="142" t="s">
        <v>486</v>
      </c>
      <c r="L232" s="143">
        <f t="shared" si="6"/>
        <v>1</v>
      </c>
      <c r="M232" s="144">
        <v>17125</v>
      </c>
      <c r="N232" s="141" t="s">
        <v>1429</v>
      </c>
      <c r="O232" s="142" t="s">
        <v>1430</v>
      </c>
      <c r="P232" s="141" t="s">
        <v>1532</v>
      </c>
      <c r="Q232" s="142" t="s">
        <v>1655</v>
      </c>
      <c r="R232" s="141" t="s">
        <v>1534</v>
      </c>
      <c r="S232" s="142" t="s">
        <v>1657</v>
      </c>
      <c r="T232" s="141" t="s">
        <v>1545</v>
      </c>
      <c r="U232" s="142" t="s">
        <v>1659</v>
      </c>
      <c r="V232" s="142" t="s">
        <v>486</v>
      </c>
      <c r="W232" s="141">
        <f t="shared" si="7"/>
        <v>1</v>
      </c>
      <c r="X232" s="143"/>
      <c r="Y232" s="145"/>
      <c r="AA232"/>
    </row>
    <row r="233" spans="1:27" s="115" customFormat="1" ht="27" customHeight="1">
      <c r="A233" s="139">
        <v>208</v>
      </c>
      <c r="B233" s="140" t="s">
        <v>4734</v>
      </c>
      <c r="C233" s="141" t="s">
        <v>1429</v>
      </c>
      <c r="D233" s="142" t="s">
        <v>1430</v>
      </c>
      <c r="E233" s="141" t="s">
        <v>1654</v>
      </c>
      <c r="F233" s="142" t="s">
        <v>1655</v>
      </c>
      <c r="G233" s="141" t="s">
        <v>1656</v>
      </c>
      <c r="H233" s="142" t="s">
        <v>1657</v>
      </c>
      <c r="I233" s="141" t="s">
        <v>1658</v>
      </c>
      <c r="J233" s="142" t="s">
        <v>1659</v>
      </c>
      <c r="K233" s="142" t="s">
        <v>487</v>
      </c>
      <c r="L233" s="143">
        <f t="shared" si="6"/>
        <v>1</v>
      </c>
      <c r="M233" s="144">
        <v>17123</v>
      </c>
      <c r="N233" s="141" t="s">
        <v>1429</v>
      </c>
      <c r="O233" s="142" t="s">
        <v>1430</v>
      </c>
      <c r="P233" s="141" t="s">
        <v>1532</v>
      </c>
      <c r="Q233" s="142" t="s">
        <v>1655</v>
      </c>
      <c r="R233" s="141" t="s">
        <v>1534</v>
      </c>
      <c r="S233" s="142" t="s">
        <v>1657</v>
      </c>
      <c r="T233" s="141" t="s">
        <v>1545</v>
      </c>
      <c r="U233" s="142" t="s">
        <v>1659</v>
      </c>
      <c r="V233" s="142" t="s">
        <v>487</v>
      </c>
      <c r="W233" s="141">
        <f t="shared" si="7"/>
        <v>1</v>
      </c>
      <c r="X233" s="143"/>
      <c r="Y233" s="145"/>
      <c r="AA233"/>
    </row>
    <row r="234" spans="1:27" s="115" customFormat="1" ht="27" customHeight="1">
      <c r="A234" s="139">
        <v>209</v>
      </c>
      <c r="B234" s="140" t="s">
        <v>4735</v>
      </c>
      <c r="C234" s="141" t="s">
        <v>1429</v>
      </c>
      <c r="D234" s="142" t="s">
        <v>1430</v>
      </c>
      <c r="E234" s="141" t="s">
        <v>1654</v>
      </c>
      <c r="F234" s="142" t="s">
        <v>1655</v>
      </c>
      <c r="G234" s="141" t="s">
        <v>1656</v>
      </c>
      <c r="H234" s="142" t="s">
        <v>1657</v>
      </c>
      <c r="I234" s="141" t="s">
        <v>1658</v>
      </c>
      <c r="J234" s="142" t="s">
        <v>1659</v>
      </c>
      <c r="K234" s="142" t="s">
        <v>122</v>
      </c>
      <c r="L234" s="143">
        <f t="shared" si="6"/>
        <v>1</v>
      </c>
      <c r="M234" s="144">
        <v>17129</v>
      </c>
      <c r="N234" s="141" t="s">
        <v>1429</v>
      </c>
      <c r="O234" s="142" t="s">
        <v>1430</v>
      </c>
      <c r="P234" s="141" t="s">
        <v>1532</v>
      </c>
      <c r="Q234" s="142" t="s">
        <v>1655</v>
      </c>
      <c r="R234" s="141" t="s">
        <v>1534</v>
      </c>
      <c r="S234" s="142" t="s">
        <v>1657</v>
      </c>
      <c r="T234" s="141" t="s">
        <v>1545</v>
      </c>
      <c r="U234" s="142" t="s">
        <v>1659</v>
      </c>
      <c r="V234" s="142" t="s">
        <v>122</v>
      </c>
      <c r="W234" s="141">
        <f t="shared" si="7"/>
        <v>2</v>
      </c>
      <c r="X234" s="143"/>
      <c r="Y234" s="145" t="s">
        <v>1660</v>
      </c>
      <c r="AA234"/>
    </row>
    <row r="235" spans="1:27" s="115" customFormat="1" ht="27" customHeight="1">
      <c r="A235" s="139">
        <v>210</v>
      </c>
      <c r="B235" s="140" t="s">
        <v>4736</v>
      </c>
      <c r="C235" s="141" t="s">
        <v>1429</v>
      </c>
      <c r="D235" s="142" t="s">
        <v>1430</v>
      </c>
      <c r="E235" s="141" t="s">
        <v>1654</v>
      </c>
      <c r="F235" s="142" t="s">
        <v>1655</v>
      </c>
      <c r="G235" s="141" t="s">
        <v>1656</v>
      </c>
      <c r="H235" s="142" t="s">
        <v>1661</v>
      </c>
      <c r="I235" s="141" t="s">
        <v>1662</v>
      </c>
      <c r="J235" s="142" t="s">
        <v>1663</v>
      </c>
      <c r="K235" s="142" t="s">
        <v>488</v>
      </c>
      <c r="L235" s="143">
        <f t="shared" si="6"/>
        <v>1</v>
      </c>
      <c r="M235" s="144">
        <v>17211</v>
      </c>
      <c r="N235" s="141" t="s">
        <v>1429</v>
      </c>
      <c r="O235" s="142" t="s">
        <v>1430</v>
      </c>
      <c r="P235" s="141" t="s">
        <v>1532</v>
      </c>
      <c r="Q235" s="142" t="s">
        <v>1655</v>
      </c>
      <c r="R235" s="141" t="s">
        <v>1548</v>
      </c>
      <c r="S235" s="142" t="s">
        <v>1661</v>
      </c>
      <c r="T235" s="141" t="s">
        <v>1549</v>
      </c>
      <c r="U235" s="142" t="s">
        <v>1663</v>
      </c>
      <c r="V235" s="142" t="s">
        <v>488</v>
      </c>
      <c r="W235" s="141">
        <f t="shared" si="7"/>
        <v>1</v>
      </c>
      <c r="X235" s="143"/>
      <c r="Y235" s="145"/>
      <c r="AA235"/>
    </row>
    <row r="236" spans="1:27" s="115" customFormat="1" ht="27" customHeight="1">
      <c r="A236" s="139">
        <v>211</v>
      </c>
      <c r="B236" s="140" t="s">
        <v>4737</v>
      </c>
      <c r="C236" s="141" t="s">
        <v>1429</v>
      </c>
      <c r="D236" s="142" t="s">
        <v>1430</v>
      </c>
      <c r="E236" s="141" t="s">
        <v>1654</v>
      </c>
      <c r="F236" s="142" t="s">
        <v>1655</v>
      </c>
      <c r="G236" s="141" t="s">
        <v>1656</v>
      </c>
      <c r="H236" s="142" t="s">
        <v>1661</v>
      </c>
      <c r="I236" s="141" t="s">
        <v>1662</v>
      </c>
      <c r="J236" s="142" t="s">
        <v>1664</v>
      </c>
      <c r="K236" s="142" t="s">
        <v>489</v>
      </c>
      <c r="L236" s="143">
        <f t="shared" si="6"/>
        <v>1</v>
      </c>
      <c r="M236" s="144">
        <v>17222</v>
      </c>
      <c r="N236" s="141" t="s">
        <v>1429</v>
      </c>
      <c r="O236" s="142" t="s">
        <v>1430</v>
      </c>
      <c r="P236" s="141" t="s">
        <v>1532</v>
      </c>
      <c r="Q236" s="142" t="s">
        <v>1655</v>
      </c>
      <c r="R236" s="141" t="s">
        <v>1548</v>
      </c>
      <c r="S236" s="142" t="s">
        <v>1661</v>
      </c>
      <c r="T236" s="141" t="s">
        <v>1560</v>
      </c>
      <c r="U236" s="142" t="s">
        <v>1664</v>
      </c>
      <c r="V236" s="142" t="s">
        <v>489</v>
      </c>
      <c r="W236" s="141">
        <f t="shared" si="7"/>
        <v>1</v>
      </c>
      <c r="X236" s="143"/>
      <c r="Y236" s="145"/>
      <c r="AA236"/>
    </row>
    <row r="237" spans="1:27" s="115" customFormat="1" ht="27" customHeight="1">
      <c r="A237" s="139">
        <v>212</v>
      </c>
      <c r="B237" s="140" t="s">
        <v>4738</v>
      </c>
      <c r="C237" s="141" t="s">
        <v>1429</v>
      </c>
      <c r="D237" s="142" t="s">
        <v>1430</v>
      </c>
      <c r="E237" s="141" t="s">
        <v>1654</v>
      </c>
      <c r="F237" s="142" t="s">
        <v>1655</v>
      </c>
      <c r="G237" s="141" t="s">
        <v>1656</v>
      </c>
      <c r="H237" s="142" t="s">
        <v>1661</v>
      </c>
      <c r="I237" s="141" t="s">
        <v>1662</v>
      </c>
      <c r="J237" s="142" t="s">
        <v>1663</v>
      </c>
      <c r="K237" s="142" t="s">
        <v>490</v>
      </c>
      <c r="L237" s="143">
        <f t="shared" si="6"/>
        <v>1</v>
      </c>
      <c r="M237" s="144">
        <v>17212</v>
      </c>
      <c r="N237" s="141" t="s">
        <v>1429</v>
      </c>
      <c r="O237" s="142" t="s">
        <v>1430</v>
      </c>
      <c r="P237" s="141" t="s">
        <v>1532</v>
      </c>
      <c r="Q237" s="142" t="s">
        <v>1655</v>
      </c>
      <c r="R237" s="141" t="s">
        <v>1548</v>
      </c>
      <c r="S237" s="142" t="s">
        <v>1661</v>
      </c>
      <c r="T237" s="141" t="s">
        <v>1549</v>
      </c>
      <c r="U237" s="142" t="s">
        <v>1663</v>
      </c>
      <c r="V237" s="142" t="s">
        <v>490</v>
      </c>
      <c r="W237" s="141">
        <f t="shared" si="7"/>
        <v>1</v>
      </c>
      <c r="X237" s="143"/>
      <c r="Y237" s="145"/>
      <c r="AA237"/>
    </row>
    <row r="238" spans="1:27" s="115" customFormat="1" ht="27" customHeight="1">
      <c r="A238" s="139">
        <v>213</v>
      </c>
      <c r="B238" s="140" t="s">
        <v>4739</v>
      </c>
      <c r="C238" s="141" t="s">
        <v>1429</v>
      </c>
      <c r="D238" s="142" t="s">
        <v>1430</v>
      </c>
      <c r="E238" s="141" t="s">
        <v>1654</v>
      </c>
      <c r="F238" s="142" t="s">
        <v>1655</v>
      </c>
      <c r="G238" s="141" t="s">
        <v>1656</v>
      </c>
      <c r="H238" s="142" t="s">
        <v>1661</v>
      </c>
      <c r="I238" s="141" t="s">
        <v>1662</v>
      </c>
      <c r="J238" s="142" t="s">
        <v>1664</v>
      </c>
      <c r="K238" s="142" t="s">
        <v>491</v>
      </c>
      <c r="L238" s="143">
        <f t="shared" si="6"/>
        <v>1</v>
      </c>
      <c r="M238" s="144">
        <v>17221</v>
      </c>
      <c r="N238" s="141" t="s">
        <v>1429</v>
      </c>
      <c r="O238" s="142" t="s">
        <v>1430</v>
      </c>
      <c r="P238" s="141" t="s">
        <v>1532</v>
      </c>
      <c r="Q238" s="142" t="s">
        <v>1655</v>
      </c>
      <c r="R238" s="141" t="s">
        <v>1548</v>
      </c>
      <c r="S238" s="142" t="s">
        <v>1661</v>
      </c>
      <c r="T238" s="141" t="s">
        <v>1560</v>
      </c>
      <c r="U238" s="142" t="s">
        <v>1664</v>
      </c>
      <c r="V238" s="142" t="s">
        <v>491</v>
      </c>
      <c r="W238" s="141">
        <f t="shared" si="7"/>
        <v>1</v>
      </c>
      <c r="X238" s="143"/>
      <c r="Y238" s="145"/>
      <c r="AA238"/>
    </row>
    <row r="239" spans="1:27" s="115" customFormat="1" ht="27" customHeight="1">
      <c r="A239" s="139">
        <v>214</v>
      </c>
      <c r="B239" s="140" t="s">
        <v>4740</v>
      </c>
      <c r="C239" s="141" t="s">
        <v>1429</v>
      </c>
      <c r="D239" s="142" t="s">
        <v>1430</v>
      </c>
      <c r="E239" s="141" t="s">
        <v>1654</v>
      </c>
      <c r="F239" s="142" t="s">
        <v>1655</v>
      </c>
      <c r="G239" s="141" t="s">
        <v>1656</v>
      </c>
      <c r="H239" s="142" t="s">
        <v>1661</v>
      </c>
      <c r="I239" s="141" t="s">
        <v>1662</v>
      </c>
      <c r="J239" s="142" t="s">
        <v>1664</v>
      </c>
      <c r="K239" s="142" t="s">
        <v>492</v>
      </c>
      <c r="L239" s="143">
        <f t="shared" si="6"/>
        <v>1</v>
      </c>
      <c r="M239" s="144">
        <v>17223</v>
      </c>
      <c r="N239" s="141" t="s">
        <v>1429</v>
      </c>
      <c r="O239" s="142" t="s">
        <v>1430</v>
      </c>
      <c r="P239" s="141" t="s">
        <v>1532</v>
      </c>
      <c r="Q239" s="142" t="s">
        <v>1655</v>
      </c>
      <c r="R239" s="141" t="s">
        <v>1548</v>
      </c>
      <c r="S239" s="142" t="s">
        <v>1661</v>
      </c>
      <c r="T239" s="141" t="s">
        <v>1560</v>
      </c>
      <c r="U239" s="142" t="s">
        <v>1664</v>
      </c>
      <c r="V239" s="142" t="s">
        <v>492</v>
      </c>
      <c r="W239" s="141">
        <f t="shared" si="7"/>
        <v>1</v>
      </c>
      <c r="X239" s="143"/>
      <c r="Y239" s="145"/>
      <c r="AA239"/>
    </row>
    <row r="240" spans="1:27" s="115" customFormat="1" ht="27" customHeight="1">
      <c r="A240" s="139">
        <v>215</v>
      </c>
      <c r="B240" s="140" t="s">
        <v>4741</v>
      </c>
      <c r="C240" s="141" t="s">
        <v>1429</v>
      </c>
      <c r="D240" s="142" t="s">
        <v>1430</v>
      </c>
      <c r="E240" s="141" t="s">
        <v>1654</v>
      </c>
      <c r="F240" s="142" t="s">
        <v>1655</v>
      </c>
      <c r="G240" s="141" t="s">
        <v>1656</v>
      </c>
      <c r="H240" s="142" t="s">
        <v>1661</v>
      </c>
      <c r="I240" s="141" t="s">
        <v>1662</v>
      </c>
      <c r="J240" s="142" t="s">
        <v>1664</v>
      </c>
      <c r="K240" s="142" t="s">
        <v>493</v>
      </c>
      <c r="L240" s="143">
        <f t="shared" si="6"/>
        <v>1</v>
      </c>
      <c r="M240" s="144">
        <v>17229</v>
      </c>
      <c r="N240" s="141" t="s">
        <v>1429</v>
      </c>
      <c r="O240" s="142" t="s">
        <v>1430</v>
      </c>
      <c r="P240" s="141" t="s">
        <v>1532</v>
      </c>
      <c r="Q240" s="142" t="s">
        <v>1655</v>
      </c>
      <c r="R240" s="141" t="s">
        <v>1548</v>
      </c>
      <c r="S240" s="142" t="s">
        <v>1661</v>
      </c>
      <c r="T240" s="141" t="s">
        <v>1560</v>
      </c>
      <c r="U240" s="142" t="s">
        <v>1664</v>
      </c>
      <c r="V240" s="142" t="s">
        <v>493</v>
      </c>
      <c r="W240" s="141">
        <f t="shared" si="7"/>
        <v>1</v>
      </c>
      <c r="X240" s="143"/>
      <c r="Y240" s="145"/>
      <c r="AA240"/>
    </row>
    <row r="241" spans="1:27" s="115" customFormat="1" ht="27" customHeight="1">
      <c r="A241" s="139">
        <v>216</v>
      </c>
      <c r="B241" s="140" t="s">
        <v>4742</v>
      </c>
      <c r="C241" s="141" t="s">
        <v>1429</v>
      </c>
      <c r="D241" s="142" t="s">
        <v>1430</v>
      </c>
      <c r="E241" s="141" t="s">
        <v>1654</v>
      </c>
      <c r="F241" s="142" t="s">
        <v>1655</v>
      </c>
      <c r="G241" s="141" t="s">
        <v>1656</v>
      </c>
      <c r="H241" s="142" t="s">
        <v>1665</v>
      </c>
      <c r="I241" s="141" t="s">
        <v>1662</v>
      </c>
      <c r="J241" s="142" t="s">
        <v>1665</v>
      </c>
      <c r="K241" s="142" t="s">
        <v>494</v>
      </c>
      <c r="L241" s="143">
        <f t="shared" si="6"/>
        <v>1</v>
      </c>
      <c r="M241" s="144">
        <v>17909</v>
      </c>
      <c r="N241" s="141" t="s">
        <v>1429</v>
      </c>
      <c r="O241" s="142" t="s">
        <v>1430</v>
      </c>
      <c r="P241" s="141" t="s">
        <v>1532</v>
      </c>
      <c r="Q241" s="142" t="s">
        <v>1655</v>
      </c>
      <c r="R241" s="141" t="s">
        <v>1666</v>
      </c>
      <c r="S241" s="142" t="s">
        <v>1665</v>
      </c>
      <c r="T241" s="141" t="s">
        <v>1667</v>
      </c>
      <c r="U241" s="142" t="s">
        <v>1665</v>
      </c>
      <c r="V241" s="142" t="s">
        <v>494</v>
      </c>
      <c r="W241" s="141">
        <f t="shared" si="7"/>
        <v>2</v>
      </c>
      <c r="X241" s="143"/>
      <c r="Y241" s="145" t="s">
        <v>1668</v>
      </c>
      <c r="AA241"/>
    </row>
    <row r="242" spans="1:27" s="115" customFormat="1" ht="27" customHeight="1">
      <c r="A242" s="139">
        <v>217</v>
      </c>
      <c r="B242" s="140" t="s">
        <v>4743</v>
      </c>
      <c r="C242" s="141" t="s">
        <v>1429</v>
      </c>
      <c r="D242" s="142" t="s">
        <v>1430</v>
      </c>
      <c r="E242" s="141" t="s">
        <v>1654</v>
      </c>
      <c r="F242" s="142" t="s">
        <v>1655</v>
      </c>
      <c r="G242" s="141" t="s">
        <v>1656</v>
      </c>
      <c r="H242" s="142" t="s">
        <v>1665</v>
      </c>
      <c r="I242" s="141" t="s">
        <v>1669</v>
      </c>
      <c r="J242" s="142" t="s">
        <v>1665</v>
      </c>
      <c r="K242" s="142" t="s">
        <v>123</v>
      </c>
      <c r="L242" s="143">
        <f t="shared" si="6"/>
        <v>1</v>
      </c>
      <c r="M242" s="144">
        <v>17901</v>
      </c>
      <c r="N242" s="141" t="s">
        <v>1429</v>
      </c>
      <c r="O242" s="142" t="s">
        <v>1430</v>
      </c>
      <c r="P242" s="141" t="s">
        <v>1532</v>
      </c>
      <c r="Q242" s="142" t="s">
        <v>1655</v>
      </c>
      <c r="R242" s="141" t="s">
        <v>1666</v>
      </c>
      <c r="S242" s="142" t="s">
        <v>1665</v>
      </c>
      <c r="T242" s="141" t="s">
        <v>1667</v>
      </c>
      <c r="U242" s="142" t="s">
        <v>1665</v>
      </c>
      <c r="V242" s="142" t="s">
        <v>123</v>
      </c>
      <c r="W242" s="141">
        <f t="shared" si="7"/>
        <v>1</v>
      </c>
      <c r="X242" s="143"/>
      <c r="Y242" s="145"/>
      <c r="AA242"/>
    </row>
    <row r="243" spans="1:27" s="115" customFormat="1" ht="27" customHeight="1">
      <c r="A243" s="139">
        <v>218</v>
      </c>
      <c r="B243" s="140" t="s">
        <v>4744</v>
      </c>
      <c r="C243" s="141" t="s">
        <v>1429</v>
      </c>
      <c r="D243" s="142" t="s">
        <v>1430</v>
      </c>
      <c r="E243" s="141" t="s">
        <v>1654</v>
      </c>
      <c r="F243" s="142" t="s">
        <v>1655</v>
      </c>
      <c r="G243" s="141" t="s">
        <v>1656</v>
      </c>
      <c r="H243" s="142" t="s">
        <v>1665</v>
      </c>
      <c r="I243" s="141" t="s">
        <v>1669</v>
      </c>
      <c r="J243" s="142" t="s">
        <v>1665</v>
      </c>
      <c r="K243" s="142" t="s">
        <v>495</v>
      </c>
      <c r="L243" s="143">
        <f t="shared" si="6"/>
        <v>1</v>
      </c>
      <c r="M243" s="144">
        <v>17903</v>
      </c>
      <c r="N243" s="141" t="s">
        <v>1429</v>
      </c>
      <c r="O243" s="142" t="s">
        <v>1430</v>
      </c>
      <c r="P243" s="141" t="s">
        <v>1532</v>
      </c>
      <c r="Q243" s="142" t="s">
        <v>1655</v>
      </c>
      <c r="R243" s="141" t="s">
        <v>1666</v>
      </c>
      <c r="S243" s="142" t="s">
        <v>1665</v>
      </c>
      <c r="T243" s="141" t="s">
        <v>1667</v>
      </c>
      <c r="U243" s="142" t="s">
        <v>1665</v>
      </c>
      <c r="V243" s="142" t="s">
        <v>495</v>
      </c>
      <c r="W243" s="141">
        <f t="shared" si="7"/>
        <v>1</v>
      </c>
      <c r="X243" s="143"/>
      <c r="Y243" s="145"/>
      <c r="AA243"/>
    </row>
    <row r="244" spans="1:27" s="115" customFormat="1" ht="27" customHeight="1">
      <c r="A244" s="139">
        <v>219</v>
      </c>
      <c r="B244" s="140" t="s">
        <v>4745</v>
      </c>
      <c r="C244" s="141" t="s">
        <v>1429</v>
      </c>
      <c r="D244" s="142" t="s">
        <v>1430</v>
      </c>
      <c r="E244" s="141" t="s">
        <v>1654</v>
      </c>
      <c r="F244" s="142" t="s">
        <v>1655</v>
      </c>
      <c r="G244" s="141" t="s">
        <v>1656</v>
      </c>
      <c r="H244" s="142" t="s">
        <v>1665</v>
      </c>
      <c r="I244" s="141" t="s">
        <v>1669</v>
      </c>
      <c r="J244" s="142" t="s">
        <v>1665</v>
      </c>
      <c r="K244" s="142" t="s">
        <v>496</v>
      </c>
      <c r="L244" s="143">
        <f t="shared" si="6"/>
        <v>1</v>
      </c>
      <c r="M244" s="144">
        <v>17902</v>
      </c>
      <c r="N244" s="141" t="s">
        <v>1429</v>
      </c>
      <c r="O244" s="142" t="s">
        <v>1430</v>
      </c>
      <c r="P244" s="141" t="s">
        <v>1532</v>
      </c>
      <c r="Q244" s="142" t="s">
        <v>1655</v>
      </c>
      <c r="R244" s="141" t="s">
        <v>1666</v>
      </c>
      <c r="S244" s="142" t="s">
        <v>1665</v>
      </c>
      <c r="T244" s="141" t="s">
        <v>1667</v>
      </c>
      <c r="U244" s="142" t="s">
        <v>1665</v>
      </c>
      <c r="V244" s="142" t="s">
        <v>496</v>
      </c>
      <c r="W244" s="141">
        <f t="shared" si="7"/>
        <v>1</v>
      </c>
      <c r="X244" s="143"/>
      <c r="Y244" s="145"/>
      <c r="AA244"/>
    </row>
    <row r="245" spans="1:27" s="115" customFormat="1" ht="27" customHeight="1">
      <c r="A245" s="139">
        <v>220</v>
      </c>
      <c r="B245" s="140" t="s">
        <v>4746</v>
      </c>
      <c r="C245" s="141" t="s">
        <v>1429</v>
      </c>
      <c r="D245" s="142" t="s">
        <v>1430</v>
      </c>
      <c r="E245" s="141" t="s">
        <v>1654</v>
      </c>
      <c r="F245" s="142" t="s">
        <v>1655</v>
      </c>
      <c r="G245" s="141" t="s">
        <v>1656</v>
      </c>
      <c r="H245" s="142" t="s">
        <v>1665</v>
      </c>
      <c r="I245" s="141" t="s">
        <v>1669</v>
      </c>
      <c r="J245" s="142" t="s">
        <v>1665</v>
      </c>
      <c r="K245" s="142" t="s">
        <v>494</v>
      </c>
      <c r="L245" s="143">
        <f t="shared" si="6"/>
        <v>1</v>
      </c>
      <c r="M245" s="144">
        <v>17909</v>
      </c>
      <c r="N245" s="141" t="s">
        <v>1429</v>
      </c>
      <c r="O245" s="142" t="s">
        <v>1430</v>
      </c>
      <c r="P245" s="141" t="s">
        <v>1532</v>
      </c>
      <c r="Q245" s="142" t="s">
        <v>1655</v>
      </c>
      <c r="R245" s="141" t="s">
        <v>1666</v>
      </c>
      <c r="S245" s="142" t="s">
        <v>1665</v>
      </c>
      <c r="T245" s="141" t="s">
        <v>1667</v>
      </c>
      <c r="U245" s="142" t="s">
        <v>1665</v>
      </c>
      <c r="V245" s="142" t="s">
        <v>494</v>
      </c>
      <c r="W245" s="141">
        <f t="shared" si="7"/>
        <v>2</v>
      </c>
      <c r="X245" s="143">
        <v>1</v>
      </c>
      <c r="Y245" s="145"/>
      <c r="AA245"/>
    </row>
    <row r="246" spans="1:27" s="115" customFormat="1" ht="27" customHeight="1">
      <c r="A246" s="139">
        <v>221</v>
      </c>
      <c r="B246" s="140" t="s">
        <v>4755</v>
      </c>
      <c r="C246" s="141" t="s">
        <v>1429</v>
      </c>
      <c r="D246" s="142" t="s">
        <v>1430</v>
      </c>
      <c r="E246" s="141" t="s">
        <v>1670</v>
      </c>
      <c r="F246" s="142" t="s">
        <v>1671</v>
      </c>
      <c r="G246" s="141" t="s">
        <v>1672</v>
      </c>
      <c r="H246" s="142" t="s">
        <v>1673</v>
      </c>
      <c r="I246" s="141" t="s">
        <v>1674</v>
      </c>
      <c r="J246" s="142" t="s">
        <v>1675</v>
      </c>
      <c r="K246" s="142" t="s">
        <v>497</v>
      </c>
      <c r="L246" s="143">
        <f t="shared" si="6"/>
        <v>1</v>
      </c>
      <c r="M246" s="144">
        <v>18111</v>
      </c>
      <c r="N246" s="141" t="s">
        <v>1429</v>
      </c>
      <c r="O246" s="142" t="s">
        <v>1430</v>
      </c>
      <c r="P246" s="141" t="s">
        <v>1580</v>
      </c>
      <c r="Q246" s="142" t="s">
        <v>1671</v>
      </c>
      <c r="R246" s="141" t="s">
        <v>1581</v>
      </c>
      <c r="S246" s="142" t="s">
        <v>1673</v>
      </c>
      <c r="T246" s="141" t="s">
        <v>1583</v>
      </c>
      <c r="U246" s="142" t="s">
        <v>1675</v>
      </c>
      <c r="V246" s="142" t="s">
        <v>497</v>
      </c>
      <c r="W246" s="141">
        <f t="shared" si="7"/>
        <v>2</v>
      </c>
      <c r="X246" s="143"/>
      <c r="Y246" s="145" t="s">
        <v>1676</v>
      </c>
      <c r="AA246"/>
    </row>
    <row r="247" spans="1:27" s="115" customFormat="1" ht="27" customHeight="1">
      <c r="A247" s="139">
        <v>222</v>
      </c>
      <c r="B247" s="140" t="s">
        <v>4756</v>
      </c>
      <c r="C247" s="141" t="s">
        <v>1429</v>
      </c>
      <c r="D247" s="142" t="s">
        <v>1430</v>
      </c>
      <c r="E247" s="141" t="s">
        <v>1670</v>
      </c>
      <c r="F247" s="142" t="s">
        <v>1671</v>
      </c>
      <c r="G247" s="141" t="s">
        <v>1672</v>
      </c>
      <c r="H247" s="142" t="s">
        <v>1673</v>
      </c>
      <c r="I247" s="141" t="s">
        <v>1674</v>
      </c>
      <c r="J247" s="142" t="s">
        <v>1675</v>
      </c>
      <c r="K247" s="142" t="s">
        <v>498</v>
      </c>
      <c r="L247" s="143">
        <f t="shared" si="6"/>
        <v>1</v>
      </c>
      <c r="M247" s="144">
        <v>18112</v>
      </c>
      <c r="N247" s="141" t="s">
        <v>1429</v>
      </c>
      <c r="O247" s="142" t="s">
        <v>1430</v>
      </c>
      <c r="P247" s="141" t="s">
        <v>1580</v>
      </c>
      <c r="Q247" s="142" t="s">
        <v>1671</v>
      </c>
      <c r="R247" s="141" t="s">
        <v>1581</v>
      </c>
      <c r="S247" s="142" t="s">
        <v>1673</v>
      </c>
      <c r="T247" s="141" t="s">
        <v>1583</v>
      </c>
      <c r="U247" s="142" t="s">
        <v>1675</v>
      </c>
      <c r="V247" s="142" t="s">
        <v>498</v>
      </c>
      <c r="W247" s="141">
        <f t="shared" si="7"/>
        <v>1</v>
      </c>
      <c r="X247" s="143"/>
      <c r="Y247" s="145"/>
      <c r="AA247"/>
    </row>
    <row r="248" spans="1:27" s="115" customFormat="1" ht="27" customHeight="1">
      <c r="A248" s="139">
        <v>223</v>
      </c>
      <c r="B248" s="140" t="s">
        <v>4757</v>
      </c>
      <c r="C248" s="141" t="s">
        <v>1429</v>
      </c>
      <c r="D248" s="142" t="s">
        <v>1430</v>
      </c>
      <c r="E248" s="141" t="s">
        <v>1670</v>
      </c>
      <c r="F248" s="142" t="s">
        <v>1671</v>
      </c>
      <c r="G248" s="141" t="s">
        <v>1672</v>
      </c>
      <c r="H248" s="142" t="s">
        <v>1673</v>
      </c>
      <c r="I248" s="141" t="s">
        <v>1674</v>
      </c>
      <c r="J248" s="142" t="s">
        <v>1675</v>
      </c>
      <c r="K248" s="142" t="s">
        <v>497</v>
      </c>
      <c r="L248" s="143">
        <f t="shared" si="6"/>
        <v>1</v>
      </c>
      <c r="M248" s="144">
        <v>18111</v>
      </c>
      <c r="N248" s="141" t="s">
        <v>1429</v>
      </c>
      <c r="O248" s="142" t="s">
        <v>1430</v>
      </c>
      <c r="P248" s="141" t="s">
        <v>1580</v>
      </c>
      <c r="Q248" s="142" t="s">
        <v>1671</v>
      </c>
      <c r="R248" s="141" t="s">
        <v>1581</v>
      </c>
      <c r="S248" s="142" t="s">
        <v>1673</v>
      </c>
      <c r="T248" s="141" t="s">
        <v>1583</v>
      </c>
      <c r="U248" s="142" t="s">
        <v>1675</v>
      </c>
      <c r="V248" s="142" t="s">
        <v>497</v>
      </c>
      <c r="W248" s="141">
        <f t="shared" si="7"/>
        <v>2</v>
      </c>
      <c r="X248" s="143">
        <v>1</v>
      </c>
      <c r="Y248" s="145"/>
      <c r="AA248"/>
    </row>
    <row r="249" spans="1:27" s="115" customFormat="1" ht="27" customHeight="1">
      <c r="A249" s="139">
        <v>224</v>
      </c>
      <c r="B249" s="140" t="s">
        <v>4758</v>
      </c>
      <c r="C249" s="141" t="s">
        <v>1429</v>
      </c>
      <c r="D249" s="142" t="s">
        <v>1430</v>
      </c>
      <c r="E249" s="141" t="s">
        <v>1670</v>
      </c>
      <c r="F249" s="142" t="s">
        <v>1671</v>
      </c>
      <c r="G249" s="141" t="s">
        <v>1672</v>
      </c>
      <c r="H249" s="142" t="s">
        <v>1673</v>
      </c>
      <c r="I249" s="141" t="s">
        <v>1674</v>
      </c>
      <c r="J249" s="142" t="s">
        <v>1675</v>
      </c>
      <c r="K249" s="142" t="s">
        <v>499</v>
      </c>
      <c r="L249" s="143">
        <f t="shared" si="6"/>
        <v>1</v>
      </c>
      <c r="M249" s="144">
        <v>18113</v>
      </c>
      <c r="N249" s="141" t="s">
        <v>1429</v>
      </c>
      <c r="O249" s="142" t="s">
        <v>1430</v>
      </c>
      <c r="P249" s="141" t="s">
        <v>1580</v>
      </c>
      <c r="Q249" s="142" t="s">
        <v>1671</v>
      </c>
      <c r="R249" s="141" t="s">
        <v>1581</v>
      </c>
      <c r="S249" s="142" t="s">
        <v>1673</v>
      </c>
      <c r="T249" s="141" t="s">
        <v>1583</v>
      </c>
      <c r="U249" s="142" t="s">
        <v>1675</v>
      </c>
      <c r="V249" s="142" t="s">
        <v>499</v>
      </c>
      <c r="W249" s="141">
        <f t="shared" si="7"/>
        <v>1</v>
      </c>
      <c r="X249" s="143"/>
      <c r="Y249" s="145"/>
      <c r="AA249"/>
    </row>
    <row r="250" spans="1:27" s="115" customFormat="1" ht="27" customHeight="1">
      <c r="A250" s="139">
        <v>225</v>
      </c>
      <c r="B250" s="140" t="s">
        <v>4759</v>
      </c>
      <c r="C250" s="141" t="s">
        <v>1429</v>
      </c>
      <c r="D250" s="142" t="s">
        <v>1430</v>
      </c>
      <c r="E250" s="141" t="s">
        <v>1670</v>
      </c>
      <c r="F250" s="142" t="s">
        <v>1671</v>
      </c>
      <c r="G250" s="141" t="s">
        <v>1672</v>
      </c>
      <c r="H250" s="142" t="s">
        <v>1673</v>
      </c>
      <c r="I250" s="141" t="s">
        <v>1674</v>
      </c>
      <c r="J250" s="142" t="s">
        <v>1675</v>
      </c>
      <c r="K250" s="142" t="s">
        <v>500</v>
      </c>
      <c r="L250" s="143">
        <f t="shared" si="6"/>
        <v>1</v>
      </c>
      <c r="M250" s="144">
        <v>18119</v>
      </c>
      <c r="N250" s="141" t="s">
        <v>1429</v>
      </c>
      <c r="O250" s="142" t="s">
        <v>1430</v>
      </c>
      <c r="P250" s="141" t="s">
        <v>1580</v>
      </c>
      <c r="Q250" s="142" t="s">
        <v>1671</v>
      </c>
      <c r="R250" s="141" t="s">
        <v>1581</v>
      </c>
      <c r="S250" s="142" t="s">
        <v>1673</v>
      </c>
      <c r="T250" s="141" t="s">
        <v>1583</v>
      </c>
      <c r="U250" s="142" t="s">
        <v>1675</v>
      </c>
      <c r="V250" s="142" t="s">
        <v>500</v>
      </c>
      <c r="W250" s="141">
        <f t="shared" si="7"/>
        <v>1</v>
      </c>
      <c r="X250" s="143"/>
      <c r="Y250" s="145"/>
      <c r="AA250"/>
    </row>
    <row r="251" spans="1:27" s="115" customFormat="1" ht="27" customHeight="1">
      <c r="A251" s="139">
        <v>226</v>
      </c>
      <c r="B251" s="140" t="s">
        <v>4760</v>
      </c>
      <c r="C251" s="141" t="s">
        <v>1429</v>
      </c>
      <c r="D251" s="142" t="s">
        <v>1430</v>
      </c>
      <c r="E251" s="141" t="s">
        <v>1670</v>
      </c>
      <c r="F251" s="142" t="s">
        <v>1671</v>
      </c>
      <c r="G251" s="141" t="s">
        <v>1672</v>
      </c>
      <c r="H251" s="142" t="s">
        <v>1673</v>
      </c>
      <c r="I251" s="141" t="s">
        <v>1677</v>
      </c>
      <c r="J251" s="142" t="s">
        <v>1678</v>
      </c>
      <c r="K251" s="142" t="s">
        <v>124</v>
      </c>
      <c r="L251" s="143">
        <f t="shared" si="6"/>
        <v>1</v>
      </c>
      <c r="M251" s="144">
        <v>18122</v>
      </c>
      <c r="N251" s="141" t="s">
        <v>1429</v>
      </c>
      <c r="O251" s="142" t="s">
        <v>1430</v>
      </c>
      <c r="P251" s="141" t="s">
        <v>1580</v>
      </c>
      <c r="Q251" s="142" t="s">
        <v>1671</v>
      </c>
      <c r="R251" s="141" t="s">
        <v>1581</v>
      </c>
      <c r="S251" s="142" t="s">
        <v>1673</v>
      </c>
      <c r="T251" s="141" t="s">
        <v>1593</v>
      </c>
      <c r="U251" s="142" t="s">
        <v>1678</v>
      </c>
      <c r="V251" s="142" t="s">
        <v>124</v>
      </c>
      <c r="W251" s="141">
        <f t="shared" si="7"/>
        <v>1</v>
      </c>
      <c r="X251" s="143"/>
      <c r="Y251" s="145"/>
      <c r="AA251"/>
    </row>
    <row r="252" spans="1:27" s="115" customFormat="1" ht="27" customHeight="1">
      <c r="A252" s="139">
        <v>227</v>
      </c>
      <c r="B252" s="140" t="s">
        <v>4761</v>
      </c>
      <c r="C252" s="141" t="s">
        <v>1429</v>
      </c>
      <c r="D252" s="142" t="s">
        <v>1430</v>
      </c>
      <c r="E252" s="141" t="s">
        <v>1670</v>
      </c>
      <c r="F252" s="142" t="s">
        <v>1671</v>
      </c>
      <c r="G252" s="141" t="s">
        <v>1672</v>
      </c>
      <c r="H252" s="142" t="s">
        <v>1673</v>
      </c>
      <c r="I252" s="141" t="s">
        <v>1677</v>
      </c>
      <c r="J252" s="142" t="s">
        <v>1678</v>
      </c>
      <c r="K252" s="142" t="s">
        <v>501</v>
      </c>
      <c r="L252" s="143">
        <f t="shared" si="6"/>
        <v>1</v>
      </c>
      <c r="M252" s="144">
        <v>18129</v>
      </c>
      <c r="N252" s="141" t="s">
        <v>1429</v>
      </c>
      <c r="O252" s="142" t="s">
        <v>1430</v>
      </c>
      <c r="P252" s="141" t="s">
        <v>1580</v>
      </c>
      <c r="Q252" s="142" t="s">
        <v>1671</v>
      </c>
      <c r="R252" s="141" t="s">
        <v>1581</v>
      </c>
      <c r="S252" s="142" t="s">
        <v>1673</v>
      </c>
      <c r="T252" s="141" t="s">
        <v>1593</v>
      </c>
      <c r="U252" s="142" t="s">
        <v>1678</v>
      </c>
      <c r="V252" s="142" t="s">
        <v>501</v>
      </c>
      <c r="W252" s="141">
        <f t="shared" si="7"/>
        <v>1</v>
      </c>
      <c r="X252" s="143"/>
      <c r="Y252" s="145"/>
      <c r="AA252"/>
    </row>
    <row r="253" spans="1:27" s="115" customFormat="1" ht="27" customHeight="1">
      <c r="A253" s="139">
        <v>228</v>
      </c>
      <c r="B253" s="140" t="s">
        <v>4762</v>
      </c>
      <c r="C253" s="141" t="s">
        <v>1429</v>
      </c>
      <c r="D253" s="142" t="s">
        <v>1430</v>
      </c>
      <c r="E253" s="141" t="s">
        <v>1670</v>
      </c>
      <c r="F253" s="142" t="s">
        <v>1671</v>
      </c>
      <c r="G253" s="141" t="s">
        <v>1672</v>
      </c>
      <c r="H253" s="142" t="s">
        <v>1673</v>
      </c>
      <c r="I253" s="141" t="s">
        <v>1677</v>
      </c>
      <c r="J253" s="142" t="s">
        <v>1678</v>
      </c>
      <c r="K253" s="142" t="s">
        <v>125</v>
      </c>
      <c r="L253" s="143">
        <f t="shared" si="6"/>
        <v>1</v>
      </c>
      <c r="M253" s="144">
        <v>18121</v>
      </c>
      <c r="N253" s="141" t="s">
        <v>1429</v>
      </c>
      <c r="O253" s="142" t="s">
        <v>1430</v>
      </c>
      <c r="P253" s="141" t="s">
        <v>1580</v>
      </c>
      <c r="Q253" s="142" t="s">
        <v>1671</v>
      </c>
      <c r="R253" s="141" t="s">
        <v>1581</v>
      </c>
      <c r="S253" s="142" t="s">
        <v>1673</v>
      </c>
      <c r="T253" s="141" t="s">
        <v>1593</v>
      </c>
      <c r="U253" s="142" t="s">
        <v>1678</v>
      </c>
      <c r="V253" s="142" t="s">
        <v>125</v>
      </c>
      <c r="W253" s="141">
        <f t="shared" si="7"/>
        <v>1</v>
      </c>
      <c r="X253" s="143"/>
      <c r="Y253" s="145"/>
      <c r="AA253"/>
    </row>
    <row r="254" spans="1:27" s="115" customFormat="1" ht="27" customHeight="1">
      <c r="A254" s="139">
        <v>229</v>
      </c>
      <c r="B254" s="140" t="s">
        <v>4763</v>
      </c>
      <c r="C254" s="141" t="s">
        <v>1429</v>
      </c>
      <c r="D254" s="142" t="s">
        <v>1430</v>
      </c>
      <c r="E254" s="141" t="s">
        <v>1670</v>
      </c>
      <c r="F254" s="142" t="s">
        <v>1671</v>
      </c>
      <c r="G254" s="141" t="s">
        <v>1679</v>
      </c>
      <c r="H254" s="142" t="s">
        <v>126</v>
      </c>
      <c r="I254" s="141" t="s">
        <v>1680</v>
      </c>
      <c r="J254" s="142" t="s">
        <v>126</v>
      </c>
      <c r="K254" s="142" t="s">
        <v>126</v>
      </c>
      <c r="L254" s="143">
        <f t="shared" si="6"/>
        <v>1</v>
      </c>
      <c r="M254" s="144">
        <v>18200</v>
      </c>
      <c r="N254" s="141" t="s">
        <v>1429</v>
      </c>
      <c r="O254" s="142" t="s">
        <v>1430</v>
      </c>
      <c r="P254" s="141" t="s">
        <v>1580</v>
      </c>
      <c r="Q254" s="142" t="s">
        <v>1671</v>
      </c>
      <c r="R254" s="141" t="s">
        <v>1600</v>
      </c>
      <c r="S254" s="142" t="s">
        <v>126</v>
      </c>
      <c r="T254" s="141" t="s">
        <v>1601</v>
      </c>
      <c r="U254" s="142" t="s">
        <v>126</v>
      </c>
      <c r="V254" s="142" t="s">
        <v>126</v>
      </c>
      <c r="W254" s="141">
        <f t="shared" si="7"/>
        <v>1</v>
      </c>
      <c r="X254" s="143"/>
      <c r="Y254" s="145"/>
      <c r="AA254"/>
    </row>
    <row r="255" spans="1:27" s="115" customFormat="1" ht="27" customHeight="1">
      <c r="A255" s="139">
        <v>230</v>
      </c>
      <c r="B255" s="140" t="s">
        <v>4764</v>
      </c>
      <c r="C255" s="141" t="s">
        <v>1429</v>
      </c>
      <c r="D255" s="142" t="s">
        <v>1430</v>
      </c>
      <c r="E255" s="141" t="s">
        <v>1681</v>
      </c>
      <c r="F255" s="142" t="s">
        <v>1682</v>
      </c>
      <c r="G255" s="141" t="s">
        <v>1683</v>
      </c>
      <c r="H255" s="142" t="s">
        <v>1684</v>
      </c>
      <c r="I255" s="141" t="s">
        <v>1685</v>
      </c>
      <c r="J255" s="142" t="s">
        <v>1684</v>
      </c>
      <c r="K255" s="142" t="s">
        <v>127</v>
      </c>
      <c r="L255" s="143">
        <f t="shared" si="6"/>
        <v>1</v>
      </c>
      <c r="M255" s="144">
        <v>19101</v>
      </c>
      <c r="N255" s="141" t="s">
        <v>1429</v>
      </c>
      <c r="O255" s="142" t="s">
        <v>1430</v>
      </c>
      <c r="P255" s="141" t="s">
        <v>1603</v>
      </c>
      <c r="Q255" s="142" t="s">
        <v>1682</v>
      </c>
      <c r="R255" s="141" t="s">
        <v>1605</v>
      </c>
      <c r="S255" s="142" t="s">
        <v>1684</v>
      </c>
      <c r="T255" s="141" t="s">
        <v>1686</v>
      </c>
      <c r="U255" s="142" t="s">
        <v>1684</v>
      </c>
      <c r="V255" s="142" t="s">
        <v>127</v>
      </c>
      <c r="W255" s="141">
        <f t="shared" si="7"/>
        <v>1</v>
      </c>
      <c r="X255" s="143"/>
      <c r="Y255" s="145"/>
      <c r="AA255"/>
    </row>
    <row r="256" spans="1:27" s="115" customFormat="1" ht="27" customHeight="1">
      <c r="A256" s="139">
        <v>231</v>
      </c>
      <c r="B256" s="140" t="s">
        <v>4765</v>
      </c>
      <c r="C256" s="141" t="s">
        <v>1429</v>
      </c>
      <c r="D256" s="142" t="s">
        <v>1430</v>
      </c>
      <c r="E256" s="141" t="s">
        <v>1681</v>
      </c>
      <c r="F256" s="142" t="s">
        <v>1682</v>
      </c>
      <c r="G256" s="141" t="s">
        <v>1683</v>
      </c>
      <c r="H256" s="142" t="s">
        <v>1684</v>
      </c>
      <c r="I256" s="141" t="s">
        <v>1685</v>
      </c>
      <c r="J256" s="142" t="s">
        <v>1684</v>
      </c>
      <c r="K256" s="142" t="s">
        <v>128</v>
      </c>
      <c r="L256" s="143">
        <f t="shared" si="6"/>
        <v>1</v>
      </c>
      <c r="M256" s="144">
        <v>19102</v>
      </c>
      <c r="N256" s="141" t="s">
        <v>1429</v>
      </c>
      <c r="O256" s="142" t="s">
        <v>1430</v>
      </c>
      <c r="P256" s="141" t="s">
        <v>1603</v>
      </c>
      <c r="Q256" s="142" t="s">
        <v>1682</v>
      </c>
      <c r="R256" s="141" t="s">
        <v>1605</v>
      </c>
      <c r="S256" s="142" t="s">
        <v>1684</v>
      </c>
      <c r="T256" s="141" t="s">
        <v>1686</v>
      </c>
      <c r="U256" s="142" t="s">
        <v>1684</v>
      </c>
      <c r="V256" s="142" t="s">
        <v>128</v>
      </c>
      <c r="W256" s="141">
        <f t="shared" si="7"/>
        <v>1</v>
      </c>
      <c r="X256" s="143"/>
      <c r="Y256" s="145"/>
      <c r="AA256"/>
    </row>
    <row r="257" spans="1:27" s="115" customFormat="1" ht="27" customHeight="1">
      <c r="A257" s="139">
        <v>232</v>
      </c>
      <c r="B257" s="140" t="s">
        <v>4766</v>
      </c>
      <c r="C257" s="141" t="s">
        <v>1429</v>
      </c>
      <c r="D257" s="142" t="s">
        <v>1430</v>
      </c>
      <c r="E257" s="141" t="s">
        <v>1681</v>
      </c>
      <c r="F257" s="142" t="s">
        <v>1682</v>
      </c>
      <c r="G257" s="141" t="s">
        <v>1687</v>
      </c>
      <c r="H257" s="142" t="s">
        <v>1688</v>
      </c>
      <c r="I257" s="141" t="s">
        <v>1689</v>
      </c>
      <c r="J257" s="142" t="s">
        <v>129</v>
      </c>
      <c r="K257" s="142" t="s">
        <v>129</v>
      </c>
      <c r="L257" s="143">
        <f t="shared" si="6"/>
        <v>1</v>
      </c>
      <c r="M257" s="144">
        <v>19210</v>
      </c>
      <c r="N257" s="141" t="s">
        <v>1429</v>
      </c>
      <c r="O257" s="142" t="s">
        <v>1430</v>
      </c>
      <c r="P257" s="141" t="s">
        <v>1603</v>
      </c>
      <c r="Q257" s="142" t="s">
        <v>1682</v>
      </c>
      <c r="R257" s="141" t="s">
        <v>1611</v>
      </c>
      <c r="S257" s="142" t="s">
        <v>1688</v>
      </c>
      <c r="T257" s="141" t="s">
        <v>1690</v>
      </c>
      <c r="U257" s="142" t="s">
        <v>129</v>
      </c>
      <c r="V257" s="142" t="s">
        <v>129</v>
      </c>
      <c r="W257" s="141">
        <f t="shared" si="7"/>
        <v>1</v>
      </c>
      <c r="X257" s="143"/>
      <c r="Y257" s="145"/>
      <c r="AA257"/>
    </row>
    <row r="258" spans="1:27" s="115" customFormat="1" ht="27" customHeight="1">
      <c r="A258" s="139">
        <v>233</v>
      </c>
      <c r="B258" s="140" t="s">
        <v>4767</v>
      </c>
      <c r="C258" s="141" t="s">
        <v>1429</v>
      </c>
      <c r="D258" s="142" t="s">
        <v>1430</v>
      </c>
      <c r="E258" s="141" t="s">
        <v>1681</v>
      </c>
      <c r="F258" s="142" t="s">
        <v>1691</v>
      </c>
      <c r="G258" s="141" t="s">
        <v>1687</v>
      </c>
      <c r="H258" s="142" t="s">
        <v>1692</v>
      </c>
      <c r="I258" s="141" t="s">
        <v>1689</v>
      </c>
      <c r="J258" s="142" t="s">
        <v>1693</v>
      </c>
      <c r="K258" s="142" t="s">
        <v>502</v>
      </c>
      <c r="L258" s="143">
        <f t="shared" si="6"/>
        <v>1</v>
      </c>
      <c r="M258" s="144">
        <v>20129</v>
      </c>
      <c r="N258" s="141" t="s">
        <v>1429</v>
      </c>
      <c r="O258" s="142" t="s">
        <v>1430</v>
      </c>
      <c r="P258" s="141" t="s">
        <v>1628</v>
      </c>
      <c r="Q258" s="142" t="s">
        <v>1694</v>
      </c>
      <c r="R258" s="141" t="s">
        <v>1630</v>
      </c>
      <c r="S258" s="142" t="s">
        <v>1692</v>
      </c>
      <c r="T258" s="141" t="s">
        <v>1695</v>
      </c>
      <c r="U258" s="142" t="s">
        <v>1693</v>
      </c>
      <c r="V258" s="142" t="s">
        <v>502</v>
      </c>
      <c r="W258" s="141">
        <f t="shared" si="7"/>
        <v>3</v>
      </c>
      <c r="X258" s="143"/>
      <c r="Y258" s="145" t="s">
        <v>1696</v>
      </c>
      <c r="AA258"/>
    </row>
    <row r="259" spans="1:27" s="115" customFormat="1" ht="27" customHeight="1">
      <c r="A259" s="139">
        <v>234</v>
      </c>
      <c r="B259" s="140" t="s">
        <v>4768</v>
      </c>
      <c r="C259" s="141" t="s">
        <v>1429</v>
      </c>
      <c r="D259" s="142" t="s">
        <v>1430</v>
      </c>
      <c r="E259" s="141" t="s">
        <v>1681</v>
      </c>
      <c r="F259" s="142" t="s">
        <v>1682</v>
      </c>
      <c r="G259" s="141" t="s">
        <v>1687</v>
      </c>
      <c r="H259" s="142" t="s">
        <v>1688</v>
      </c>
      <c r="I259" s="141" t="s">
        <v>1697</v>
      </c>
      <c r="J259" s="142" t="s">
        <v>1698</v>
      </c>
      <c r="K259" s="142" t="s">
        <v>503</v>
      </c>
      <c r="L259" s="143">
        <f t="shared" si="6"/>
        <v>1</v>
      </c>
      <c r="M259" s="144">
        <v>19221</v>
      </c>
      <c r="N259" s="141" t="s">
        <v>1429</v>
      </c>
      <c r="O259" s="142" t="s">
        <v>1430</v>
      </c>
      <c r="P259" s="141" t="s">
        <v>1603</v>
      </c>
      <c r="Q259" s="142" t="s">
        <v>1682</v>
      </c>
      <c r="R259" s="141" t="s">
        <v>1611</v>
      </c>
      <c r="S259" s="142" t="s">
        <v>1688</v>
      </c>
      <c r="T259" s="141" t="s">
        <v>1699</v>
      </c>
      <c r="U259" s="142" t="s">
        <v>1698</v>
      </c>
      <c r="V259" s="142" t="s">
        <v>503</v>
      </c>
      <c r="W259" s="141">
        <f t="shared" si="7"/>
        <v>1</v>
      </c>
      <c r="X259" s="143"/>
      <c r="Y259" s="145"/>
      <c r="AA259"/>
    </row>
    <row r="260" spans="1:27" s="115" customFormat="1" ht="27" customHeight="1">
      <c r="A260" s="139">
        <v>235</v>
      </c>
      <c r="B260" s="140" t="s">
        <v>4769</v>
      </c>
      <c r="C260" s="141" t="s">
        <v>1429</v>
      </c>
      <c r="D260" s="142" t="s">
        <v>1430</v>
      </c>
      <c r="E260" s="141" t="s">
        <v>1681</v>
      </c>
      <c r="F260" s="142" t="s">
        <v>1682</v>
      </c>
      <c r="G260" s="141" t="s">
        <v>1687</v>
      </c>
      <c r="H260" s="142" t="s">
        <v>1688</v>
      </c>
      <c r="I260" s="141" t="s">
        <v>1697</v>
      </c>
      <c r="J260" s="142" t="s">
        <v>1698</v>
      </c>
      <c r="K260" s="142" t="s">
        <v>504</v>
      </c>
      <c r="L260" s="143">
        <f t="shared" si="6"/>
        <v>1</v>
      </c>
      <c r="M260" s="144">
        <v>19229</v>
      </c>
      <c r="N260" s="141" t="s">
        <v>1429</v>
      </c>
      <c r="O260" s="142" t="s">
        <v>1430</v>
      </c>
      <c r="P260" s="141" t="s">
        <v>1603</v>
      </c>
      <c r="Q260" s="142" t="s">
        <v>1682</v>
      </c>
      <c r="R260" s="141" t="s">
        <v>1611</v>
      </c>
      <c r="S260" s="142" t="s">
        <v>1688</v>
      </c>
      <c r="T260" s="141" t="s">
        <v>1699</v>
      </c>
      <c r="U260" s="142" t="s">
        <v>1698</v>
      </c>
      <c r="V260" s="142" t="s">
        <v>504</v>
      </c>
      <c r="W260" s="141">
        <f t="shared" si="7"/>
        <v>1</v>
      </c>
      <c r="X260" s="143"/>
      <c r="Y260" s="145"/>
      <c r="AA260"/>
    </row>
    <row r="261" spans="1:27" s="115" customFormat="1" ht="27" customHeight="1">
      <c r="A261" s="139">
        <v>236</v>
      </c>
      <c r="B261" s="140" t="s">
        <v>4770</v>
      </c>
      <c r="C261" s="141" t="s">
        <v>1429</v>
      </c>
      <c r="D261" s="142" t="s">
        <v>1430</v>
      </c>
      <c r="E261" s="141" t="s">
        <v>1700</v>
      </c>
      <c r="F261" s="142" t="s">
        <v>1691</v>
      </c>
      <c r="G261" s="141" t="s">
        <v>1701</v>
      </c>
      <c r="H261" s="142" t="s">
        <v>1692</v>
      </c>
      <c r="I261" s="141" t="s">
        <v>1702</v>
      </c>
      <c r="J261" s="142" t="s">
        <v>1693</v>
      </c>
      <c r="K261" s="142" t="s">
        <v>130</v>
      </c>
      <c r="L261" s="143">
        <f t="shared" ref="L261:L324" si="8">COUNTIF($B$5:$B$1752,B261)</f>
        <v>1</v>
      </c>
      <c r="M261" s="144">
        <v>20121</v>
      </c>
      <c r="N261" s="141" t="s">
        <v>1429</v>
      </c>
      <c r="O261" s="142" t="s">
        <v>1430</v>
      </c>
      <c r="P261" s="141" t="s">
        <v>1628</v>
      </c>
      <c r="Q261" s="142" t="s">
        <v>1694</v>
      </c>
      <c r="R261" s="141" t="s">
        <v>1630</v>
      </c>
      <c r="S261" s="142" t="s">
        <v>1692</v>
      </c>
      <c r="T261" s="141" t="s">
        <v>1695</v>
      </c>
      <c r="U261" s="142" t="s">
        <v>1693</v>
      </c>
      <c r="V261" s="142" t="s">
        <v>130</v>
      </c>
      <c r="W261" s="141">
        <f t="shared" ref="W261:W324" si="9">COUNTIF($M$5:$M$1756,M261)</f>
        <v>1</v>
      </c>
      <c r="X261" s="143"/>
      <c r="Y261" s="145"/>
      <c r="AA261"/>
    </row>
    <row r="262" spans="1:27" s="115" customFormat="1" ht="27" customHeight="1">
      <c r="A262" s="139">
        <v>237</v>
      </c>
      <c r="B262" s="140" t="s">
        <v>4771</v>
      </c>
      <c r="C262" s="141" t="s">
        <v>1429</v>
      </c>
      <c r="D262" s="142" t="s">
        <v>1430</v>
      </c>
      <c r="E262" s="141" t="s">
        <v>1700</v>
      </c>
      <c r="F262" s="142" t="s">
        <v>1691</v>
      </c>
      <c r="G262" s="141" t="s">
        <v>1701</v>
      </c>
      <c r="H262" s="142" t="s">
        <v>1692</v>
      </c>
      <c r="I262" s="141" t="s">
        <v>1702</v>
      </c>
      <c r="J262" s="142" t="s">
        <v>1693</v>
      </c>
      <c r="K262" s="142" t="s">
        <v>502</v>
      </c>
      <c r="L262" s="143">
        <f t="shared" si="8"/>
        <v>1</v>
      </c>
      <c r="M262" s="144">
        <v>20129</v>
      </c>
      <c r="N262" s="141" t="s">
        <v>1429</v>
      </c>
      <c r="O262" s="142" t="s">
        <v>1430</v>
      </c>
      <c r="P262" s="141" t="s">
        <v>1628</v>
      </c>
      <c r="Q262" s="142" t="s">
        <v>1694</v>
      </c>
      <c r="R262" s="141" t="s">
        <v>1630</v>
      </c>
      <c r="S262" s="142" t="s">
        <v>1692</v>
      </c>
      <c r="T262" s="141" t="s">
        <v>1695</v>
      </c>
      <c r="U262" s="142" t="s">
        <v>1693</v>
      </c>
      <c r="V262" s="142" t="s">
        <v>502</v>
      </c>
      <c r="W262" s="141">
        <f t="shared" si="9"/>
        <v>3</v>
      </c>
      <c r="X262" s="143">
        <v>1</v>
      </c>
      <c r="Y262" s="145"/>
      <c r="AA262"/>
    </row>
    <row r="263" spans="1:27" s="115" customFormat="1" ht="27" customHeight="1">
      <c r="A263" s="139">
        <v>238</v>
      </c>
      <c r="B263" s="140" t="s">
        <v>6052</v>
      </c>
      <c r="C263" s="141" t="s">
        <v>1429</v>
      </c>
      <c r="D263" s="142" t="s">
        <v>1430</v>
      </c>
      <c r="E263" s="141" t="s">
        <v>1700</v>
      </c>
      <c r="F263" s="142" t="s">
        <v>1691</v>
      </c>
      <c r="G263" s="141" t="s">
        <v>1701</v>
      </c>
      <c r="H263" s="142" t="s">
        <v>1692</v>
      </c>
      <c r="I263" s="141" t="s">
        <v>1702</v>
      </c>
      <c r="J263" s="142" t="s">
        <v>1693</v>
      </c>
      <c r="K263" s="142" t="s">
        <v>502</v>
      </c>
      <c r="L263" s="143">
        <f t="shared" si="8"/>
        <v>1</v>
      </c>
      <c r="M263" s="144">
        <v>20129</v>
      </c>
      <c r="N263" s="141" t="s">
        <v>1429</v>
      </c>
      <c r="O263" s="142" t="s">
        <v>1430</v>
      </c>
      <c r="P263" s="141" t="s">
        <v>1628</v>
      </c>
      <c r="Q263" s="142" t="s">
        <v>1694</v>
      </c>
      <c r="R263" s="141" t="s">
        <v>1630</v>
      </c>
      <c r="S263" s="142" t="s">
        <v>1692</v>
      </c>
      <c r="T263" s="141" t="s">
        <v>1695</v>
      </c>
      <c r="U263" s="142" t="s">
        <v>1693</v>
      </c>
      <c r="V263" s="142" t="s">
        <v>502</v>
      </c>
      <c r="W263" s="141">
        <f t="shared" si="9"/>
        <v>3</v>
      </c>
      <c r="X263" s="143"/>
      <c r="Y263" s="145" t="s">
        <v>1703</v>
      </c>
      <c r="AA263"/>
    </row>
    <row r="264" spans="1:27" s="115" customFormat="1" ht="27" customHeight="1">
      <c r="A264" s="139">
        <v>239</v>
      </c>
      <c r="B264" s="140" t="s">
        <v>4772</v>
      </c>
      <c r="C264" s="141" t="s">
        <v>1429</v>
      </c>
      <c r="D264" s="142" t="s">
        <v>1430</v>
      </c>
      <c r="E264" s="141" t="s">
        <v>1700</v>
      </c>
      <c r="F264" s="142" t="s">
        <v>1691</v>
      </c>
      <c r="G264" s="141" t="s">
        <v>1701</v>
      </c>
      <c r="H264" s="142" t="s">
        <v>1692</v>
      </c>
      <c r="I264" s="141" t="s">
        <v>1702</v>
      </c>
      <c r="J264" s="142" t="s">
        <v>1704</v>
      </c>
      <c r="K264" s="142" t="s">
        <v>505</v>
      </c>
      <c r="L264" s="143">
        <f t="shared" si="8"/>
        <v>1</v>
      </c>
      <c r="M264" s="144">
        <v>20119</v>
      </c>
      <c r="N264" s="141" t="s">
        <v>1429</v>
      </c>
      <c r="O264" s="142" t="s">
        <v>1430</v>
      </c>
      <c r="P264" s="141" t="s">
        <v>1628</v>
      </c>
      <c r="Q264" s="142" t="s">
        <v>1694</v>
      </c>
      <c r="R264" s="141" t="s">
        <v>1630</v>
      </c>
      <c r="S264" s="142" t="s">
        <v>1692</v>
      </c>
      <c r="T264" s="141" t="s">
        <v>1705</v>
      </c>
      <c r="U264" s="142" t="s">
        <v>1704</v>
      </c>
      <c r="V264" s="142" t="s">
        <v>505</v>
      </c>
      <c r="W264" s="141">
        <f t="shared" si="9"/>
        <v>1</v>
      </c>
      <c r="X264" s="143"/>
      <c r="Y264" s="145"/>
      <c r="AA264"/>
    </row>
    <row r="265" spans="1:27" s="115" customFormat="1" ht="27" customHeight="1">
      <c r="A265" s="139">
        <v>240</v>
      </c>
      <c r="B265" s="140" t="s">
        <v>4773</v>
      </c>
      <c r="C265" s="141" t="s">
        <v>1429</v>
      </c>
      <c r="D265" s="142" t="s">
        <v>1430</v>
      </c>
      <c r="E265" s="141" t="s">
        <v>1700</v>
      </c>
      <c r="F265" s="142" t="s">
        <v>1691</v>
      </c>
      <c r="G265" s="141" t="s">
        <v>1701</v>
      </c>
      <c r="H265" s="142" t="s">
        <v>1692</v>
      </c>
      <c r="I265" s="141" t="s">
        <v>1702</v>
      </c>
      <c r="J265" s="142" t="s">
        <v>1706</v>
      </c>
      <c r="K265" s="142" t="s">
        <v>506</v>
      </c>
      <c r="L265" s="143">
        <f t="shared" si="8"/>
        <v>1</v>
      </c>
      <c r="M265" s="144">
        <v>20131</v>
      </c>
      <c r="N265" s="141" t="s">
        <v>1429</v>
      </c>
      <c r="O265" s="142" t="s">
        <v>1430</v>
      </c>
      <c r="P265" s="141" t="s">
        <v>1628</v>
      </c>
      <c r="Q265" s="142" t="s">
        <v>1694</v>
      </c>
      <c r="R265" s="141" t="s">
        <v>1630</v>
      </c>
      <c r="S265" s="142" t="s">
        <v>1692</v>
      </c>
      <c r="T265" s="141" t="s">
        <v>1707</v>
      </c>
      <c r="U265" s="142" t="s">
        <v>1706</v>
      </c>
      <c r="V265" s="142" t="s">
        <v>506</v>
      </c>
      <c r="W265" s="141">
        <f t="shared" si="9"/>
        <v>1</v>
      </c>
      <c r="X265" s="143"/>
      <c r="Y265" s="145"/>
      <c r="AA265"/>
    </row>
    <row r="266" spans="1:27" s="115" customFormat="1" ht="27" customHeight="1">
      <c r="A266" s="139">
        <v>241</v>
      </c>
      <c r="B266" s="140" t="s">
        <v>4774</v>
      </c>
      <c r="C266" s="141" t="s">
        <v>1429</v>
      </c>
      <c r="D266" s="142" t="s">
        <v>1430</v>
      </c>
      <c r="E266" s="141" t="s">
        <v>1700</v>
      </c>
      <c r="F266" s="142" t="s">
        <v>1691</v>
      </c>
      <c r="G266" s="141" t="s">
        <v>1701</v>
      </c>
      <c r="H266" s="142" t="s">
        <v>1692</v>
      </c>
      <c r="I266" s="141" t="s">
        <v>1702</v>
      </c>
      <c r="J266" s="142" t="s">
        <v>1704</v>
      </c>
      <c r="K266" s="142" t="s">
        <v>507</v>
      </c>
      <c r="L266" s="143">
        <f t="shared" si="8"/>
        <v>1</v>
      </c>
      <c r="M266" s="144">
        <v>20111</v>
      </c>
      <c r="N266" s="141" t="s">
        <v>1429</v>
      </c>
      <c r="O266" s="142" t="s">
        <v>1430</v>
      </c>
      <c r="P266" s="141" t="s">
        <v>1628</v>
      </c>
      <c r="Q266" s="142" t="s">
        <v>1694</v>
      </c>
      <c r="R266" s="141" t="s">
        <v>1630</v>
      </c>
      <c r="S266" s="142" t="s">
        <v>1692</v>
      </c>
      <c r="T266" s="141" t="s">
        <v>1705</v>
      </c>
      <c r="U266" s="142" t="s">
        <v>1704</v>
      </c>
      <c r="V266" s="142" t="s">
        <v>507</v>
      </c>
      <c r="W266" s="141">
        <f t="shared" si="9"/>
        <v>1</v>
      </c>
      <c r="X266" s="143"/>
      <c r="Y266" s="145"/>
      <c r="AA266"/>
    </row>
    <row r="267" spans="1:27" s="115" customFormat="1" ht="27" customHeight="1">
      <c r="A267" s="139">
        <v>242</v>
      </c>
      <c r="B267" s="140" t="s">
        <v>4775</v>
      </c>
      <c r="C267" s="141" t="s">
        <v>1429</v>
      </c>
      <c r="D267" s="142" t="s">
        <v>1430</v>
      </c>
      <c r="E267" s="141" t="s">
        <v>1700</v>
      </c>
      <c r="F267" s="142" t="s">
        <v>1691</v>
      </c>
      <c r="G267" s="141" t="s">
        <v>1701</v>
      </c>
      <c r="H267" s="142" t="s">
        <v>1692</v>
      </c>
      <c r="I267" s="141" t="s">
        <v>1702</v>
      </c>
      <c r="J267" s="142" t="s">
        <v>1704</v>
      </c>
      <c r="K267" s="142" t="s">
        <v>508</v>
      </c>
      <c r="L267" s="143">
        <f t="shared" si="8"/>
        <v>1</v>
      </c>
      <c r="M267" s="144">
        <v>20112</v>
      </c>
      <c r="N267" s="141" t="s">
        <v>1429</v>
      </c>
      <c r="O267" s="142" t="s">
        <v>1430</v>
      </c>
      <c r="P267" s="141" t="s">
        <v>1628</v>
      </c>
      <c r="Q267" s="142" t="s">
        <v>1694</v>
      </c>
      <c r="R267" s="141" t="s">
        <v>1630</v>
      </c>
      <c r="S267" s="142" t="s">
        <v>1692</v>
      </c>
      <c r="T267" s="141" t="s">
        <v>1705</v>
      </c>
      <c r="U267" s="142" t="s">
        <v>1704</v>
      </c>
      <c r="V267" s="142" t="s">
        <v>508</v>
      </c>
      <c r="W267" s="141">
        <f t="shared" si="9"/>
        <v>1</v>
      </c>
      <c r="X267" s="143"/>
      <c r="Y267" s="145"/>
      <c r="AA267"/>
    </row>
    <row r="268" spans="1:27" s="115" customFormat="1" ht="27" customHeight="1">
      <c r="A268" s="139">
        <v>243</v>
      </c>
      <c r="B268" s="140" t="s">
        <v>4776</v>
      </c>
      <c r="C268" s="141" t="s">
        <v>1429</v>
      </c>
      <c r="D268" s="142" t="s">
        <v>1430</v>
      </c>
      <c r="E268" s="141" t="s">
        <v>1700</v>
      </c>
      <c r="F268" s="142" t="s">
        <v>1691</v>
      </c>
      <c r="G268" s="141" t="s">
        <v>1701</v>
      </c>
      <c r="H268" s="142" t="s">
        <v>1692</v>
      </c>
      <c r="I268" s="141" t="s">
        <v>1702</v>
      </c>
      <c r="J268" s="142" t="s">
        <v>1706</v>
      </c>
      <c r="K268" s="142" t="s">
        <v>509</v>
      </c>
      <c r="L268" s="143">
        <f t="shared" si="8"/>
        <v>1</v>
      </c>
      <c r="M268" s="144">
        <v>20132</v>
      </c>
      <c r="N268" s="141" t="s">
        <v>1429</v>
      </c>
      <c r="O268" s="142" t="s">
        <v>1430</v>
      </c>
      <c r="P268" s="141" t="s">
        <v>1628</v>
      </c>
      <c r="Q268" s="142" t="s">
        <v>1694</v>
      </c>
      <c r="R268" s="141" t="s">
        <v>1630</v>
      </c>
      <c r="S268" s="142" t="s">
        <v>1692</v>
      </c>
      <c r="T268" s="141" t="s">
        <v>1707</v>
      </c>
      <c r="U268" s="142" t="s">
        <v>1706</v>
      </c>
      <c r="V268" s="142" t="s">
        <v>509</v>
      </c>
      <c r="W268" s="141">
        <f t="shared" si="9"/>
        <v>1</v>
      </c>
      <c r="X268" s="143"/>
      <c r="Y268" s="145"/>
      <c r="AA268"/>
    </row>
    <row r="269" spans="1:27" s="115" customFormat="1" ht="27" customHeight="1">
      <c r="A269" s="139">
        <v>244</v>
      </c>
      <c r="B269" s="140" t="s">
        <v>4777</v>
      </c>
      <c r="C269" s="141" t="s">
        <v>1429</v>
      </c>
      <c r="D269" s="142" t="s">
        <v>1430</v>
      </c>
      <c r="E269" s="141" t="s">
        <v>1700</v>
      </c>
      <c r="F269" s="142" t="s">
        <v>1691</v>
      </c>
      <c r="G269" s="141" t="s">
        <v>1701</v>
      </c>
      <c r="H269" s="142" t="s">
        <v>1708</v>
      </c>
      <c r="I269" s="141" t="s">
        <v>1709</v>
      </c>
      <c r="J269" s="142" t="s">
        <v>1710</v>
      </c>
      <c r="K269" s="142" t="s">
        <v>510</v>
      </c>
      <c r="L269" s="143">
        <f t="shared" si="8"/>
        <v>1</v>
      </c>
      <c r="M269" s="144">
        <v>20312</v>
      </c>
      <c r="N269" s="141" t="s">
        <v>1429</v>
      </c>
      <c r="O269" s="142" t="s">
        <v>1430</v>
      </c>
      <c r="P269" s="141" t="s">
        <v>1628</v>
      </c>
      <c r="Q269" s="142" t="s">
        <v>1694</v>
      </c>
      <c r="R269" s="141" t="s">
        <v>1711</v>
      </c>
      <c r="S269" s="142" t="s">
        <v>1708</v>
      </c>
      <c r="T269" s="141" t="s">
        <v>1712</v>
      </c>
      <c r="U269" s="142" t="s">
        <v>1710</v>
      </c>
      <c r="V269" s="142" t="s">
        <v>510</v>
      </c>
      <c r="W269" s="141">
        <f t="shared" si="9"/>
        <v>1</v>
      </c>
      <c r="X269" s="143"/>
      <c r="Y269" s="145"/>
      <c r="AA269"/>
    </row>
    <row r="270" spans="1:27" s="115" customFormat="1" ht="27" customHeight="1">
      <c r="A270" s="139">
        <v>245</v>
      </c>
      <c r="B270" s="140" t="s">
        <v>4778</v>
      </c>
      <c r="C270" s="141" t="s">
        <v>1429</v>
      </c>
      <c r="D270" s="142" t="s">
        <v>1430</v>
      </c>
      <c r="E270" s="141" t="s">
        <v>1700</v>
      </c>
      <c r="F270" s="142" t="s">
        <v>1691</v>
      </c>
      <c r="G270" s="141" t="s">
        <v>1701</v>
      </c>
      <c r="H270" s="142" t="s">
        <v>1708</v>
      </c>
      <c r="I270" s="141" t="s">
        <v>1709</v>
      </c>
      <c r="J270" s="142" t="s">
        <v>1710</v>
      </c>
      <c r="K270" s="142" t="s">
        <v>1713</v>
      </c>
      <c r="L270" s="143">
        <f t="shared" si="8"/>
        <v>1</v>
      </c>
      <c r="M270" s="144">
        <v>20311</v>
      </c>
      <c r="N270" s="141" t="s">
        <v>1429</v>
      </c>
      <c r="O270" s="142" t="s">
        <v>1430</v>
      </c>
      <c r="P270" s="141" t="s">
        <v>1628</v>
      </c>
      <c r="Q270" s="142" t="s">
        <v>1694</v>
      </c>
      <c r="R270" s="141" t="s">
        <v>1711</v>
      </c>
      <c r="S270" s="142" t="s">
        <v>1708</v>
      </c>
      <c r="T270" s="141" t="s">
        <v>1712</v>
      </c>
      <c r="U270" s="142" t="s">
        <v>1710</v>
      </c>
      <c r="V270" s="142" t="s">
        <v>1713</v>
      </c>
      <c r="W270" s="141">
        <f t="shared" si="9"/>
        <v>1</v>
      </c>
      <c r="X270" s="143"/>
      <c r="Y270" s="145"/>
      <c r="AA270"/>
    </row>
    <row r="271" spans="1:27" s="115" customFormat="1" ht="27" customHeight="1">
      <c r="A271" s="139">
        <v>246</v>
      </c>
      <c r="B271" s="140" t="s">
        <v>4779</v>
      </c>
      <c r="C271" s="141" t="s">
        <v>1429</v>
      </c>
      <c r="D271" s="142" t="s">
        <v>1430</v>
      </c>
      <c r="E271" s="141" t="s">
        <v>1700</v>
      </c>
      <c r="F271" s="142" t="s">
        <v>1691</v>
      </c>
      <c r="G271" s="141" t="s">
        <v>1701</v>
      </c>
      <c r="H271" s="142" t="s">
        <v>1708</v>
      </c>
      <c r="I271" s="141" t="s">
        <v>1709</v>
      </c>
      <c r="J271" s="142" t="s">
        <v>1710</v>
      </c>
      <c r="K271" s="142" t="s">
        <v>511</v>
      </c>
      <c r="L271" s="143">
        <f t="shared" si="8"/>
        <v>1</v>
      </c>
      <c r="M271" s="144">
        <v>20313</v>
      </c>
      <c r="N271" s="141" t="s">
        <v>1429</v>
      </c>
      <c r="O271" s="142" t="s">
        <v>1430</v>
      </c>
      <c r="P271" s="141" t="s">
        <v>1628</v>
      </c>
      <c r="Q271" s="142" t="s">
        <v>1694</v>
      </c>
      <c r="R271" s="141" t="s">
        <v>1711</v>
      </c>
      <c r="S271" s="142" t="s">
        <v>1708</v>
      </c>
      <c r="T271" s="141" t="s">
        <v>1712</v>
      </c>
      <c r="U271" s="142" t="s">
        <v>1710</v>
      </c>
      <c r="V271" s="142" t="s">
        <v>511</v>
      </c>
      <c r="W271" s="141">
        <f t="shared" si="9"/>
        <v>1</v>
      </c>
      <c r="X271" s="143"/>
      <c r="Y271" s="145"/>
      <c r="AA271"/>
    </row>
    <row r="272" spans="1:27" s="115" customFormat="1" ht="27" customHeight="1">
      <c r="A272" s="139">
        <v>247</v>
      </c>
      <c r="B272" s="140" t="s">
        <v>4780</v>
      </c>
      <c r="C272" s="141" t="s">
        <v>1429</v>
      </c>
      <c r="D272" s="142" t="s">
        <v>1430</v>
      </c>
      <c r="E272" s="141" t="s">
        <v>1700</v>
      </c>
      <c r="F272" s="142" t="s">
        <v>1691</v>
      </c>
      <c r="G272" s="141" t="s">
        <v>1701</v>
      </c>
      <c r="H272" s="142" t="s">
        <v>1714</v>
      </c>
      <c r="I272" s="141" t="s">
        <v>1715</v>
      </c>
      <c r="J272" s="142" t="s">
        <v>1714</v>
      </c>
      <c r="K272" s="142" t="s">
        <v>131</v>
      </c>
      <c r="L272" s="143">
        <f t="shared" si="8"/>
        <v>1</v>
      </c>
      <c r="M272" s="144">
        <v>20201</v>
      </c>
      <c r="N272" s="141" t="s">
        <v>1429</v>
      </c>
      <c r="O272" s="142" t="s">
        <v>1430</v>
      </c>
      <c r="P272" s="141" t="s">
        <v>1628</v>
      </c>
      <c r="Q272" s="142" t="s">
        <v>1694</v>
      </c>
      <c r="R272" s="141" t="s">
        <v>1635</v>
      </c>
      <c r="S272" s="142" t="s">
        <v>1714</v>
      </c>
      <c r="T272" s="141" t="s">
        <v>1716</v>
      </c>
      <c r="U272" s="142" t="s">
        <v>1714</v>
      </c>
      <c r="V272" s="142" t="s">
        <v>131</v>
      </c>
      <c r="W272" s="141">
        <f t="shared" si="9"/>
        <v>1</v>
      </c>
      <c r="X272" s="143"/>
      <c r="Y272" s="145"/>
      <c r="AA272"/>
    </row>
    <row r="273" spans="1:27" s="115" customFormat="1" ht="27" customHeight="1">
      <c r="A273" s="139">
        <v>248</v>
      </c>
      <c r="B273" s="140" t="s">
        <v>4781</v>
      </c>
      <c r="C273" s="141" t="s">
        <v>1429</v>
      </c>
      <c r="D273" s="142" t="s">
        <v>1430</v>
      </c>
      <c r="E273" s="141" t="s">
        <v>1700</v>
      </c>
      <c r="F273" s="142" t="s">
        <v>1691</v>
      </c>
      <c r="G273" s="141" t="s">
        <v>1701</v>
      </c>
      <c r="H273" s="142" t="s">
        <v>1714</v>
      </c>
      <c r="I273" s="141" t="s">
        <v>1715</v>
      </c>
      <c r="J273" s="142" t="s">
        <v>1714</v>
      </c>
      <c r="K273" s="142" t="s">
        <v>512</v>
      </c>
      <c r="L273" s="143">
        <f t="shared" si="8"/>
        <v>1</v>
      </c>
      <c r="M273" s="144">
        <v>20202</v>
      </c>
      <c r="N273" s="141" t="s">
        <v>1429</v>
      </c>
      <c r="O273" s="142" t="s">
        <v>1430</v>
      </c>
      <c r="P273" s="141" t="s">
        <v>1628</v>
      </c>
      <c r="Q273" s="142" t="s">
        <v>1694</v>
      </c>
      <c r="R273" s="141" t="s">
        <v>1635</v>
      </c>
      <c r="S273" s="142" t="s">
        <v>1714</v>
      </c>
      <c r="T273" s="141" t="s">
        <v>1716</v>
      </c>
      <c r="U273" s="142" t="s">
        <v>1714</v>
      </c>
      <c r="V273" s="142" t="s">
        <v>512</v>
      </c>
      <c r="W273" s="141">
        <f t="shared" si="9"/>
        <v>1</v>
      </c>
      <c r="X273" s="143"/>
      <c r="Y273" s="145"/>
      <c r="AA273"/>
    </row>
    <row r="274" spans="1:27" s="115" customFormat="1" ht="27" customHeight="1">
      <c r="A274" s="139">
        <v>249</v>
      </c>
      <c r="B274" s="140" t="s">
        <v>4782</v>
      </c>
      <c r="C274" s="141" t="s">
        <v>1429</v>
      </c>
      <c r="D274" s="142" t="s">
        <v>1430</v>
      </c>
      <c r="E274" s="141" t="s">
        <v>1700</v>
      </c>
      <c r="F274" s="142" t="s">
        <v>1691</v>
      </c>
      <c r="G274" s="141" t="s">
        <v>1701</v>
      </c>
      <c r="H274" s="142" t="s">
        <v>1714</v>
      </c>
      <c r="I274" s="141" t="s">
        <v>1715</v>
      </c>
      <c r="J274" s="142" t="s">
        <v>1714</v>
      </c>
      <c r="K274" s="142" t="s">
        <v>513</v>
      </c>
      <c r="L274" s="143">
        <f t="shared" si="8"/>
        <v>1</v>
      </c>
      <c r="M274" s="144">
        <v>20203</v>
      </c>
      <c r="N274" s="141" t="s">
        <v>1429</v>
      </c>
      <c r="O274" s="142" t="s">
        <v>1430</v>
      </c>
      <c r="P274" s="141" t="s">
        <v>1628</v>
      </c>
      <c r="Q274" s="142" t="s">
        <v>1694</v>
      </c>
      <c r="R274" s="141" t="s">
        <v>1635</v>
      </c>
      <c r="S274" s="142" t="s">
        <v>1714</v>
      </c>
      <c r="T274" s="141" t="s">
        <v>1716</v>
      </c>
      <c r="U274" s="142" t="s">
        <v>1714</v>
      </c>
      <c r="V274" s="142" t="s">
        <v>513</v>
      </c>
      <c r="W274" s="141">
        <f t="shared" si="9"/>
        <v>1</v>
      </c>
      <c r="X274" s="143"/>
      <c r="Y274" s="145"/>
      <c r="AA274"/>
    </row>
    <row r="275" spans="1:27" s="115" customFormat="1" ht="27" customHeight="1">
      <c r="A275" s="139">
        <v>250</v>
      </c>
      <c r="B275" s="140" t="s">
        <v>4783</v>
      </c>
      <c r="C275" s="141" t="s">
        <v>1429</v>
      </c>
      <c r="D275" s="142" t="s">
        <v>1430</v>
      </c>
      <c r="E275" s="141" t="s">
        <v>1700</v>
      </c>
      <c r="F275" s="142" t="s">
        <v>1691</v>
      </c>
      <c r="G275" s="141" t="s">
        <v>1717</v>
      </c>
      <c r="H275" s="142" t="s">
        <v>1708</v>
      </c>
      <c r="I275" s="141" t="s">
        <v>1718</v>
      </c>
      <c r="J275" s="142" t="s">
        <v>1719</v>
      </c>
      <c r="K275" s="142" t="s">
        <v>514</v>
      </c>
      <c r="L275" s="143">
        <f t="shared" si="8"/>
        <v>1</v>
      </c>
      <c r="M275" s="144">
        <v>20321</v>
      </c>
      <c r="N275" s="141" t="s">
        <v>1429</v>
      </c>
      <c r="O275" s="142" t="s">
        <v>1430</v>
      </c>
      <c r="P275" s="141" t="s">
        <v>1628</v>
      </c>
      <c r="Q275" s="142" t="s">
        <v>1694</v>
      </c>
      <c r="R275" s="141" t="s">
        <v>1711</v>
      </c>
      <c r="S275" s="142" t="s">
        <v>1708</v>
      </c>
      <c r="T275" s="141" t="s">
        <v>1720</v>
      </c>
      <c r="U275" s="142" t="s">
        <v>1719</v>
      </c>
      <c r="V275" s="142" t="s">
        <v>514</v>
      </c>
      <c r="W275" s="141">
        <f t="shared" si="9"/>
        <v>2</v>
      </c>
      <c r="X275" s="143"/>
      <c r="Y275" s="145" t="s">
        <v>1721</v>
      </c>
      <c r="AA275"/>
    </row>
    <row r="276" spans="1:27" s="115" customFormat="1" ht="27" customHeight="1">
      <c r="A276" s="139">
        <v>251</v>
      </c>
      <c r="B276" s="140" t="s">
        <v>4784</v>
      </c>
      <c r="C276" s="141" t="s">
        <v>1429</v>
      </c>
      <c r="D276" s="142" t="s">
        <v>1430</v>
      </c>
      <c r="E276" s="141" t="s">
        <v>1700</v>
      </c>
      <c r="F276" s="142" t="s">
        <v>1691</v>
      </c>
      <c r="G276" s="141" t="s">
        <v>1717</v>
      </c>
      <c r="H276" s="142" t="s">
        <v>1708</v>
      </c>
      <c r="I276" s="141" t="s">
        <v>1718</v>
      </c>
      <c r="J276" s="142" t="s">
        <v>1719</v>
      </c>
      <c r="K276" s="142" t="s">
        <v>514</v>
      </c>
      <c r="L276" s="143">
        <f t="shared" si="8"/>
        <v>1</v>
      </c>
      <c r="M276" s="144">
        <v>20321</v>
      </c>
      <c r="N276" s="141" t="s">
        <v>1429</v>
      </c>
      <c r="O276" s="142" t="s">
        <v>1430</v>
      </c>
      <c r="P276" s="141" t="s">
        <v>1628</v>
      </c>
      <c r="Q276" s="142" t="s">
        <v>1694</v>
      </c>
      <c r="R276" s="141" t="s">
        <v>1711</v>
      </c>
      <c r="S276" s="142" t="s">
        <v>1708</v>
      </c>
      <c r="T276" s="141" t="s">
        <v>1720</v>
      </c>
      <c r="U276" s="142" t="s">
        <v>1719</v>
      </c>
      <c r="V276" s="142" t="s">
        <v>514</v>
      </c>
      <c r="W276" s="141">
        <f t="shared" si="9"/>
        <v>2</v>
      </c>
      <c r="X276" s="143">
        <v>1</v>
      </c>
      <c r="Y276" s="145"/>
      <c r="AA276"/>
    </row>
    <row r="277" spans="1:27" s="115" customFormat="1" ht="27" customHeight="1">
      <c r="A277" s="139">
        <v>252</v>
      </c>
      <c r="B277" s="140" t="s">
        <v>4785</v>
      </c>
      <c r="C277" s="141" t="s">
        <v>1429</v>
      </c>
      <c r="D277" s="142" t="s">
        <v>1430</v>
      </c>
      <c r="E277" s="141" t="s">
        <v>1700</v>
      </c>
      <c r="F277" s="142" t="s">
        <v>1691</v>
      </c>
      <c r="G277" s="141" t="s">
        <v>1717</v>
      </c>
      <c r="H277" s="142" t="s">
        <v>1708</v>
      </c>
      <c r="I277" s="141" t="s">
        <v>1718</v>
      </c>
      <c r="J277" s="142" t="s">
        <v>1719</v>
      </c>
      <c r="K277" s="142" t="s">
        <v>515</v>
      </c>
      <c r="L277" s="143">
        <f t="shared" si="8"/>
        <v>1</v>
      </c>
      <c r="M277" s="144">
        <v>20322</v>
      </c>
      <c r="N277" s="141" t="s">
        <v>1429</v>
      </c>
      <c r="O277" s="142" t="s">
        <v>1430</v>
      </c>
      <c r="P277" s="141" t="s">
        <v>1628</v>
      </c>
      <c r="Q277" s="142" t="s">
        <v>1694</v>
      </c>
      <c r="R277" s="141" t="s">
        <v>1711</v>
      </c>
      <c r="S277" s="142" t="s">
        <v>1708</v>
      </c>
      <c r="T277" s="141" t="s">
        <v>1720</v>
      </c>
      <c r="U277" s="142" t="s">
        <v>1719</v>
      </c>
      <c r="V277" s="142" t="s">
        <v>515</v>
      </c>
      <c r="W277" s="141">
        <f t="shared" si="9"/>
        <v>2</v>
      </c>
      <c r="X277" s="143"/>
      <c r="Y277" s="145" t="s">
        <v>1721</v>
      </c>
      <c r="AA277"/>
    </row>
    <row r="278" spans="1:27" s="115" customFormat="1" ht="27" customHeight="1">
      <c r="A278" s="139">
        <v>253</v>
      </c>
      <c r="B278" s="140" t="s">
        <v>4786</v>
      </c>
      <c r="C278" s="141" t="s">
        <v>1429</v>
      </c>
      <c r="D278" s="142" t="s">
        <v>1430</v>
      </c>
      <c r="E278" s="141" t="s">
        <v>1700</v>
      </c>
      <c r="F278" s="142" t="s">
        <v>1691</v>
      </c>
      <c r="G278" s="141" t="s">
        <v>1717</v>
      </c>
      <c r="H278" s="142" t="s">
        <v>1708</v>
      </c>
      <c r="I278" s="141" t="s">
        <v>1718</v>
      </c>
      <c r="J278" s="142" t="s">
        <v>1719</v>
      </c>
      <c r="K278" s="142" t="s">
        <v>515</v>
      </c>
      <c r="L278" s="143">
        <f t="shared" si="8"/>
        <v>1</v>
      </c>
      <c r="M278" s="144">
        <v>20322</v>
      </c>
      <c r="N278" s="141" t="s">
        <v>1429</v>
      </c>
      <c r="O278" s="142" t="s">
        <v>1430</v>
      </c>
      <c r="P278" s="141" t="s">
        <v>1628</v>
      </c>
      <c r="Q278" s="142" t="s">
        <v>1694</v>
      </c>
      <c r="R278" s="141" t="s">
        <v>1711</v>
      </c>
      <c r="S278" s="142" t="s">
        <v>1708</v>
      </c>
      <c r="T278" s="141" t="s">
        <v>1720</v>
      </c>
      <c r="U278" s="142" t="s">
        <v>1719</v>
      </c>
      <c r="V278" s="142" t="s">
        <v>515</v>
      </c>
      <c r="W278" s="141">
        <f t="shared" si="9"/>
        <v>2</v>
      </c>
      <c r="X278" s="143">
        <v>1</v>
      </c>
      <c r="Y278" s="145"/>
      <c r="AA278"/>
    </row>
    <row r="279" spans="1:27" s="115" customFormat="1" ht="27" customHeight="1">
      <c r="A279" s="139">
        <v>254</v>
      </c>
      <c r="B279" s="140" t="s">
        <v>4787</v>
      </c>
      <c r="C279" s="141" t="s">
        <v>1429</v>
      </c>
      <c r="D279" s="142" t="s">
        <v>1430</v>
      </c>
      <c r="E279" s="141" t="s">
        <v>1700</v>
      </c>
      <c r="F279" s="142" t="s">
        <v>1691</v>
      </c>
      <c r="G279" s="141" t="s">
        <v>1717</v>
      </c>
      <c r="H279" s="142" t="s">
        <v>1722</v>
      </c>
      <c r="I279" s="141" t="s">
        <v>1723</v>
      </c>
      <c r="J279" s="142" t="s">
        <v>1724</v>
      </c>
      <c r="K279" s="142" t="s">
        <v>516</v>
      </c>
      <c r="L279" s="143">
        <f t="shared" si="8"/>
        <v>1</v>
      </c>
      <c r="M279" s="144">
        <v>20413</v>
      </c>
      <c r="N279" s="141" t="s">
        <v>1429</v>
      </c>
      <c r="O279" s="142" t="s">
        <v>1430</v>
      </c>
      <c r="P279" s="141" t="s">
        <v>1628</v>
      </c>
      <c r="Q279" s="142" t="s">
        <v>1694</v>
      </c>
      <c r="R279" s="141" t="s">
        <v>1725</v>
      </c>
      <c r="S279" s="142" t="s">
        <v>1722</v>
      </c>
      <c r="T279" s="141" t="s">
        <v>1726</v>
      </c>
      <c r="U279" s="142" t="s">
        <v>1724</v>
      </c>
      <c r="V279" s="142" t="s">
        <v>516</v>
      </c>
      <c r="W279" s="141">
        <f t="shared" si="9"/>
        <v>2</v>
      </c>
      <c r="X279" s="143">
        <v>2</v>
      </c>
      <c r="Y279" s="145" t="s">
        <v>1727</v>
      </c>
      <c r="AA279"/>
    </row>
    <row r="280" spans="1:27" s="115" customFormat="1" ht="27" customHeight="1">
      <c r="A280" s="139">
        <v>255</v>
      </c>
      <c r="B280" s="140" t="s">
        <v>4788</v>
      </c>
      <c r="C280" s="141" t="s">
        <v>1429</v>
      </c>
      <c r="D280" s="142" t="s">
        <v>1430</v>
      </c>
      <c r="E280" s="141" t="s">
        <v>1700</v>
      </c>
      <c r="F280" s="142" t="s">
        <v>1691</v>
      </c>
      <c r="G280" s="141" t="s">
        <v>1717</v>
      </c>
      <c r="H280" s="142" t="s">
        <v>1722</v>
      </c>
      <c r="I280" s="141" t="s">
        <v>1723</v>
      </c>
      <c r="J280" s="142" t="s">
        <v>1724</v>
      </c>
      <c r="K280" s="142" t="s">
        <v>516</v>
      </c>
      <c r="L280" s="143">
        <f t="shared" si="8"/>
        <v>1</v>
      </c>
      <c r="M280" s="144">
        <v>20413</v>
      </c>
      <c r="N280" s="141" t="s">
        <v>1429</v>
      </c>
      <c r="O280" s="142" t="s">
        <v>1430</v>
      </c>
      <c r="P280" s="141" t="s">
        <v>1628</v>
      </c>
      <c r="Q280" s="142" t="s">
        <v>1694</v>
      </c>
      <c r="R280" s="141" t="s">
        <v>1725</v>
      </c>
      <c r="S280" s="142" t="s">
        <v>1722</v>
      </c>
      <c r="T280" s="141" t="s">
        <v>1726</v>
      </c>
      <c r="U280" s="142" t="s">
        <v>1724</v>
      </c>
      <c r="V280" s="142" t="s">
        <v>516</v>
      </c>
      <c r="W280" s="141">
        <f t="shared" si="9"/>
        <v>2</v>
      </c>
      <c r="X280" s="143">
        <v>2</v>
      </c>
      <c r="Y280" s="145" t="s">
        <v>1728</v>
      </c>
      <c r="AA280"/>
    </row>
    <row r="281" spans="1:27" s="115" customFormat="1" ht="27" customHeight="1">
      <c r="A281" s="139">
        <v>256</v>
      </c>
      <c r="B281" s="140" t="s">
        <v>4789</v>
      </c>
      <c r="C281" s="141" t="s">
        <v>1429</v>
      </c>
      <c r="D281" s="142" t="s">
        <v>1430</v>
      </c>
      <c r="E281" s="141" t="s">
        <v>1700</v>
      </c>
      <c r="F281" s="142" t="s">
        <v>1691</v>
      </c>
      <c r="G281" s="141" t="s">
        <v>1717</v>
      </c>
      <c r="H281" s="142" t="s">
        <v>1722</v>
      </c>
      <c r="I281" s="141" t="s">
        <v>1723</v>
      </c>
      <c r="J281" s="142" t="s">
        <v>1724</v>
      </c>
      <c r="K281" s="142" t="s">
        <v>132</v>
      </c>
      <c r="L281" s="143">
        <f t="shared" si="8"/>
        <v>1</v>
      </c>
      <c r="M281" s="144">
        <v>20411</v>
      </c>
      <c r="N281" s="141" t="s">
        <v>1429</v>
      </c>
      <c r="O281" s="142" t="s">
        <v>1430</v>
      </c>
      <c r="P281" s="141" t="s">
        <v>1628</v>
      </c>
      <c r="Q281" s="142" t="s">
        <v>1694</v>
      </c>
      <c r="R281" s="141" t="s">
        <v>1725</v>
      </c>
      <c r="S281" s="142" t="s">
        <v>1722</v>
      </c>
      <c r="T281" s="141" t="s">
        <v>1726</v>
      </c>
      <c r="U281" s="142" t="s">
        <v>1724</v>
      </c>
      <c r="V281" s="142" t="s">
        <v>132</v>
      </c>
      <c r="W281" s="141">
        <f t="shared" si="9"/>
        <v>2</v>
      </c>
      <c r="X281" s="143"/>
      <c r="Y281" s="145" t="s">
        <v>1729</v>
      </c>
      <c r="AA281"/>
    </row>
    <row r="282" spans="1:27" s="115" customFormat="1" ht="27" customHeight="1">
      <c r="A282" s="139">
        <v>257</v>
      </c>
      <c r="B282" s="140" t="s">
        <v>4790</v>
      </c>
      <c r="C282" s="141" t="s">
        <v>1429</v>
      </c>
      <c r="D282" s="142" t="s">
        <v>1430</v>
      </c>
      <c r="E282" s="141" t="s">
        <v>1700</v>
      </c>
      <c r="F282" s="142" t="s">
        <v>1691</v>
      </c>
      <c r="G282" s="141" t="s">
        <v>1717</v>
      </c>
      <c r="H282" s="142" t="s">
        <v>1722</v>
      </c>
      <c r="I282" s="141" t="s">
        <v>1723</v>
      </c>
      <c r="J282" s="142" t="s">
        <v>1724</v>
      </c>
      <c r="K282" s="142" t="s">
        <v>132</v>
      </c>
      <c r="L282" s="143">
        <f t="shared" si="8"/>
        <v>1</v>
      </c>
      <c r="M282" s="144">
        <v>20411</v>
      </c>
      <c r="N282" s="141" t="s">
        <v>1429</v>
      </c>
      <c r="O282" s="142" t="s">
        <v>1430</v>
      </c>
      <c r="P282" s="141" t="s">
        <v>1628</v>
      </c>
      <c r="Q282" s="142" t="s">
        <v>1694</v>
      </c>
      <c r="R282" s="141" t="s">
        <v>1725</v>
      </c>
      <c r="S282" s="142" t="s">
        <v>1722</v>
      </c>
      <c r="T282" s="141" t="s">
        <v>1726</v>
      </c>
      <c r="U282" s="142" t="s">
        <v>1724</v>
      </c>
      <c r="V282" s="142" t="s">
        <v>132</v>
      </c>
      <c r="W282" s="141">
        <f t="shared" si="9"/>
        <v>2</v>
      </c>
      <c r="X282" s="143">
        <v>1</v>
      </c>
      <c r="Y282" s="145"/>
      <c r="AA282"/>
    </row>
    <row r="283" spans="1:27" s="115" customFormat="1" ht="27" customHeight="1">
      <c r="A283" s="139">
        <v>258</v>
      </c>
      <c r="B283" s="140" t="s">
        <v>4791</v>
      </c>
      <c r="C283" s="141" t="s">
        <v>1429</v>
      </c>
      <c r="D283" s="142" t="s">
        <v>1430</v>
      </c>
      <c r="E283" s="141" t="s">
        <v>1700</v>
      </c>
      <c r="F283" s="142" t="s">
        <v>1691</v>
      </c>
      <c r="G283" s="141" t="s">
        <v>1717</v>
      </c>
      <c r="H283" s="142" t="s">
        <v>1722</v>
      </c>
      <c r="I283" s="141" t="s">
        <v>1723</v>
      </c>
      <c r="J283" s="142" t="s">
        <v>1724</v>
      </c>
      <c r="K283" s="142" t="s">
        <v>517</v>
      </c>
      <c r="L283" s="143">
        <f t="shared" si="8"/>
        <v>1</v>
      </c>
      <c r="M283" s="144">
        <v>20412</v>
      </c>
      <c r="N283" s="141" t="s">
        <v>1429</v>
      </c>
      <c r="O283" s="142" t="s">
        <v>1430</v>
      </c>
      <c r="P283" s="141" t="s">
        <v>1628</v>
      </c>
      <c r="Q283" s="142" t="s">
        <v>1694</v>
      </c>
      <c r="R283" s="141" t="s">
        <v>1725</v>
      </c>
      <c r="S283" s="142" t="s">
        <v>1722</v>
      </c>
      <c r="T283" s="141" t="s">
        <v>1726</v>
      </c>
      <c r="U283" s="142" t="s">
        <v>1724</v>
      </c>
      <c r="V283" s="142" t="s">
        <v>517</v>
      </c>
      <c r="W283" s="141">
        <f t="shared" si="9"/>
        <v>1</v>
      </c>
      <c r="X283" s="143"/>
      <c r="Y283" s="145"/>
      <c r="AA283"/>
    </row>
    <row r="284" spans="1:27" s="115" customFormat="1" ht="27" customHeight="1">
      <c r="A284" s="139">
        <v>259</v>
      </c>
      <c r="B284" s="140" t="s">
        <v>4792</v>
      </c>
      <c r="C284" s="141" t="s">
        <v>1429</v>
      </c>
      <c r="D284" s="142" t="s">
        <v>1430</v>
      </c>
      <c r="E284" s="141" t="s">
        <v>1700</v>
      </c>
      <c r="F284" s="142" t="s">
        <v>1730</v>
      </c>
      <c r="G284" s="141" t="s">
        <v>1717</v>
      </c>
      <c r="H284" s="142" t="s">
        <v>1731</v>
      </c>
      <c r="I284" s="141" t="s">
        <v>1732</v>
      </c>
      <c r="J284" s="142" t="s">
        <v>518</v>
      </c>
      <c r="K284" s="142" t="s">
        <v>518</v>
      </c>
      <c r="L284" s="143">
        <f t="shared" si="8"/>
        <v>1</v>
      </c>
      <c r="M284" s="144">
        <v>21210</v>
      </c>
      <c r="N284" s="141" t="s">
        <v>1429</v>
      </c>
      <c r="O284" s="142" t="s">
        <v>1430</v>
      </c>
      <c r="P284" s="141" t="s">
        <v>1654</v>
      </c>
      <c r="Q284" s="142" t="s">
        <v>1730</v>
      </c>
      <c r="R284" s="141" t="s">
        <v>1733</v>
      </c>
      <c r="S284" s="142" t="s">
        <v>1731</v>
      </c>
      <c r="T284" s="141" t="s">
        <v>1734</v>
      </c>
      <c r="U284" s="142" t="s">
        <v>518</v>
      </c>
      <c r="V284" s="142" t="s">
        <v>518</v>
      </c>
      <c r="W284" s="141">
        <f t="shared" si="9"/>
        <v>1</v>
      </c>
      <c r="X284" s="143"/>
      <c r="Y284" s="145"/>
      <c r="AA284"/>
    </row>
    <row r="285" spans="1:27" s="115" customFormat="1" ht="27" customHeight="1">
      <c r="A285" s="139">
        <v>260</v>
      </c>
      <c r="B285" s="140" t="s">
        <v>4793</v>
      </c>
      <c r="C285" s="141" t="s">
        <v>1429</v>
      </c>
      <c r="D285" s="142" t="s">
        <v>1430</v>
      </c>
      <c r="E285" s="141" t="s">
        <v>1700</v>
      </c>
      <c r="F285" s="142" t="s">
        <v>1730</v>
      </c>
      <c r="G285" s="141" t="s">
        <v>1717</v>
      </c>
      <c r="H285" s="142" t="s">
        <v>1731</v>
      </c>
      <c r="I285" s="141" t="s">
        <v>1732</v>
      </c>
      <c r="J285" s="142" t="s">
        <v>133</v>
      </c>
      <c r="K285" s="142" t="s">
        <v>133</v>
      </c>
      <c r="L285" s="143">
        <f t="shared" si="8"/>
        <v>1</v>
      </c>
      <c r="M285" s="144">
        <v>21220</v>
      </c>
      <c r="N285" s="141" t="s">
        <v>1429</v>
      </c>
      <c r="O285" s="142" t="s">
        <v>1430</v>
      </c>
      <c r="P285" s="141" t="s">
        <v>1654</v>
      </c>
      <c r="Q285" s="142" t="s">
        <v>1730</v>
      </c>
      <c r="R285" s="141" t="s">
        <v>1733</v>
      </c>
      <c r="S285" s="142" t="s">
        <v>1731</v>
      </c>
      <c r="T285" s="141" t="s">
        <v>1735</v>
      </c>
      <c r="U285" s="142" t="s">
        <v>133</v>
      </c>
      <c r="V285" s="142" t="s">
        <v>133</v>
      </c>
      <c r="W285" s="141">
        <f t="shared" si="9"/>
        <v>1</v>
      </c>
      <c r="X285" s="143"/>
      <c r="Y285" s="145"/>
      <c r="AA285"/>
    </row>
    <row r="286" spans="1:27" s="115" customFormat="1" ht="27" customHeight="1">
      <c r="A286" s="139">
        <v>261</v>
      </c>
      <c r="B286" s="140" t="s">
        <v>4794</v>
      </c>
      <c r="C286" s="141" t="s">
        <v>1429</v>
      </c>
      <c r="D286" s="142" t="s">
        <v>1430</v>
      </c>
      <c r="E286" s="141" t="s">
        <v>1700</v>
      </c>
      <c r="F286" s="142" t="s">
        <v>1730</v>
      </c>
      <c r="G286" s="141" t="s">
        <v>1717</v>
      </c>
      <c r="H286" s="142" t="s">
        <v>1736</v>
      </c>
      <c r="I286" s="141" t="s">
        <v>1732</v>
      </c>
      <c r="J286" s="142" t="s">
        <v>1736</v>
      </c>
      <c r="K286" s="142" t="s">
        <v>519</v>
      </c>
      <c r="L286" s="143">
        <f t="shared" si="8"/>
        <v>1</v>
      </c>
      <c r="M286" s="144">
        <v>21101</v>
      </c>
      <c r="N286" s="141" t="s">
        <v>1429</v>
      </c>
      <c r="O286" s="142" t="s">
        <v>1430</v>
      </c>
      <c r="P286" s="141" t="s">
        <v>1654</v>
      </c>
      <c r="Q286" s="142" t="s">
        <v>1730</v>
      </c>
      <c r="R286" s="141" t="s">
        <v>1737</v>
      </c>
      <c r="S286" s="142" t="s">
        <v>1736</v>
      </c>
      <c r="T286" s="141" t="s">
        <v>1738</v>
      </c>
      <c r="U286" s="142" t="s">
        <v>1736</v>
      </c>
      <c r="V286" s="142" t="s">
        <v>519</v>
      </c>
      <c r="W286" s="141">
        <f t="shared" si="9"/>
        <v>1</v>
      </c>
      <c r="X286" s="143"/>
      <c r="Y286" s="145"/>
      <c r="AA286"/>
    </row>
    <row r="287" spans="1:27" s="115" customFormat="1" ht="27" customHeight="1">
      <c r="A287" s="139">
        <v>262</v>
      </c>
      <c r="B287" s="140" t="s">
        <v>4795</v>
      </c>
      <c r="C287" s="141" t="s">
        <v>1429</v>
      </c>
      <c r="D287" s="142" t="s">
        <v>1430</v>
      </c>
      <c r="E287" s="141" t="s">
        <v>1700</v>
      </c>
      <c r="F287" s="142" t="s">
        <v>1730</v>
      </c>
      <c r="G287" s="141" t="s">
        <v>1717</v>
      </c>
      <c r="H287" s="142" t="s">
        <v>1731</v>
      </c>
      <c r="I287" s="141" t="s">
        <v>1732</v>
      </c>
      <c r="J287" s="142" t="s">
        <v>520</v>
      </c>
      <c r="K287" s="142" t="s">
        <v>520</v>
      </c>
      <c r="L287" s="143">
        <f t="shared" si="8"/>
        <v>1</v>
      </c>
      <c r="M287" s="144">
        <v>21230</v>
      </c>
      <c r="N287" s="141" t="s">
        <v>1429</v>
      </c>
      <c r="O287" s="142" t="s">
        <v>1430</v>
      </c>
      <c r="P287" s="141" t="s">
        <v>1654</v>
      </c>
      <c r="Q287" s="142" t="s">
        <v>1730</v>
      </c>
      <c r="R287" s="141" t="s">
        <v>1733</v>
      </c>
      <c r="S287" s="142" t="s">
        <v>1731</v>
      </c>
      <c r="T287" s="141" t="s">
        <v>1739</v>
      </c>
      <c r="U287" s="142" t="s">
        <v>520</v>
      </c>
      <c r="V287" s="142" t="s">
        <v>520</v>
      </c>
      <c r="W287" s="141">
        <f t="shared" si="9"/>
        <v>1</v>
      </c>
      <c r="X287" s="143"/>
      <c r="Y287" s="145"/>
      <c r="AA287"/>
    </row>
    <row r="288" spans="1:27" s="115" customFormat="1" ht="27" customHeight="1">
      <c r="A288" s="139">
        <v>263</v>
      </c>
      <c r="B288" s="140" t="s">
        <v>4796</v>
      </c>
      <c r="C288" s="141" t="s">
        <v>1429</v>
      </c>
      <c r="D288" s="142" t="s">
        <v>1430</v>
      </c>
      <c r="E288" s="141" t="s">
        <v>1700</v>
      </c>
      <c r="F288" s="142" t="s">
        <v>1730</v>
      </c>
      <c r="G288" s="141" t="s">
        <v>1717</v>
      </c>
      <c r="H288" s="142" t="s">
        <v>1736</v>
      </c>
      <c r="I288" s="141" t="s">
        <v>1732</v>
      </c>
      <c r="J288" s="142" t="s">
        <v>1736</v>
      </c>
      <c r="K288" s="142" t="s">
        <v>521</v>
      </c>
      <c r="L288" s="143">
        <f t="shared" si="8"/>
        <v>1</v>
      </c>
      <c r="M288" s="144">
        <v>21102</v>
      </c>
      <c r="N288" s="141" t="s">
        <v>1429</v>
      </c>
      <c r="O288" s="142" t="s">
        <v>1430</v>
      </c>
      <c r="P288" s="141" t="s">
        <v>1654</v>
      </c>
      <c r="Q288" s="142" t="s">
        <v>1730</v>
      </c>
      <c r="R288" s="141" t="s">
        <v>1737</v>
      </c>
      <c r="S288" s="142" t="s">
        <v>1736</v>
      </c>
      <c r="T288" s="141" t="s">
        <v>1738</v>
      </c>
      <c r="U288" s="142" t="s">
        <v>1736</v>
      </c>
      <c r="V288" s="142" t="s">
        <v>521</v>
      </c>
      <c r="W288" s="141">
        <f t="shared" si="9"/>
        <v>1</v>
      </c>
      <c r="X288" s="143"/>
      <c r="Y288" s="145"/>
      <c r="AA288"/>
    </row>
    <row r="289" spans="1:27" s="115" customFormat="1" ht="27" customHeight="1">
      <c r="A289" s="139">
        <v>264</v>
      </c>
      <c r="B289" s="140" t="s">
        <v>4797</v>
      </c>
      <c r="C289" s="141" t="s">
        <v>1429</v>
      </c>
      <c r="D289" s="142" t="s">
        <v>1430</v>
      </c>
      <c r="E289" s="141" t="s">
        <v>1700</v>
      </c>
      <c r="F289" s="142" t="s">
        <v>1730</v>
      </c>
      <c r="G289" s="141" t="s">
        <v>1717</v>
      </c>
      <c r="H289" s="142" t="s">
        <v>522</v>
      </c>
      <c r="I289" s="141" t="s">
        <v>1732</v>
      </c>
      <c r="J289" s="142" t="s">
        <v>522</v>
      </c>
      <c r="K289" s="142" t="s">
        <v>522</v>
      </c>
      <c r="L289" s="143">
        <f t="shared" si="8"/>
        <v>1</v>
      </c>
      <c r="M289" s="144">
        <v>21300</v>
      </c>
      <c r="N289" s="141" t="s">
        <v>1429</v>
      </c>
      <c r="O289" s="142" t="s">
        <v>1430</v>
      </c>
      <c r="P289" s="141" t="s">
        <v>1654</v>
      </c>
      <c r="Q289" s="142" t="s">
        <v>1730</v>
      </c>
      <c r="R289" s="141" t="s">
        <v>1740</v>
      </c>
      <c r="S289" s="142" t="s">
        <v>522</v>
      </c>
      <c r="T289" s="141" t="s">
        <v>1741</v>
      </c>
      <c r="U289" s="142" t="s">
        <v>522</v>
      </c>
      <c r="V289" s="142" t="s">
        <v>522</v>
      </c>
      <c r="W289" s="141">
        <f t="shared" si="9"/>
        <v>1</v>
      </c>
      <c r="X289" s="143"/>
      <c r="Y289" s="145"/>
      <c r="AA289"/>
    </row>
    <row r="290" spans="1:27" s="115" customFormat="1" ht="27" customHeight="1">
      <c r="A290" s="139">
        <v>265</v>
      </c>
      <c r="B290" s="140" t="s">
        <v>4798</v>
      </c>
      <c r="C290" s="141" t="s">
        <v>1429</v>
      </c>
      <c r="D290" s="142" t="s">
        <v>1430</v>
      </c>
      <c r="E290" s="141" t="s">
        <v>1700</v>
      </c>
      <c r="F290" s="142" t="s">
        <v>1691</v>
      </c>
      <c r="G290" s="141" t="s">
        <v>1717</v>
      </c>
      <c r="H290" s="142" t="s">
        <v>1722</v>
      </c>
      <c r="I290" s="141" t="s">
        <v>1742</v>
      </c>
      <c r="J290" s="142" t="s">
        <v>1743</v>
      </c>
      <c r="K290" s="142" t="s">
        <v>134</v>
      </c>
      <c r="L290" s="143">
        <f t="shared" si="8"/>
        <v>1</v>
      </c>
      <c r="M290" s="144">
        <v>20422</v>
      </c>
      <c r="N290" s="141" t="s">
        <v>1429</v>
      </c>
      <c r="O290" s="142" t="s">
        <v>1430</v>
      </c>
      <c r="P290" s="141" t="s">
        <v>1628</v>
      </c>
      <c r="Q290" s="142" t="s">
        <v>1694</v>
      </c>
      <c r="R290" s="141" t="s">
        <v>1725</v>
      </c>
      <c r="S290" s="142" t="s">
        <v>1722</v>
      </c>
      <c r="T290" s="141" t="s">
        <v>1744</v>
      </c>
      <c r="U290" s="142" t="s">
        <v>1743</v>
      </c>
      <c r="V290" s="142" t="s">
        <v>134</v>
      </c>
      <c r="W290" s="141">
        <f t="shared" si="9"/>
        <v>2</v>
      </c>
      <c r="X290" s="143"/>
      <c r="Y290" s="145" t="s">
        <v>1745</v>
      </c>
      <c r="AA290"/>
    </row>
    <row r="291" spans="1:27" s="115" customFormat="1" ht="27" customHeight="1">
      <c r="A291" s="139">
        <v>266</v>
      </c>
      <c r="B291" s="140" t="s">
        <v>4799</v>
      </c>
      <c r="C291" s="141" t="s">
        <v>1429</v>
      </c>
      <c r="D291" s="142" t="s">
        <v>1430</v>
      </c>
      <c r="E291" s="141" t="s">
        <v>1700</v>
      </c>
      <c r="F291" s="142" t="s">
        <v>1691</v>
      </c>
      <c r="G291" s="141" t="s">
        <v>1717</v>
      </c>
      <c r="H291" s="142" t="s">
        <v>1722</v>
      </c>
      <c r="I291" s="141" t="s">
        <v>1742</v>
      </c>
      <c r="J291" s="142" t="s">
        <v>1743</v>
      </c>
      <c r="K291" s="142" t="s">
        <v>134</v>
      </c>
      <c r="L291" s="143">
        <f t="shared" si="8"/>
        <v>1</v>
      </c>
      <c r="M291" s="144">
        <v>20422</v>
      </c>
      <c r="N291" s="141" t="s">
        <v>1429</v>
      </c>
      <c r="O291" s="142" t="s">
        <v>1430</v>
      </c>
      <c r="P291" s="141" t="s">
        <v>1628</v>
      </c>
      <c r="Q291" s="142" t="s">
        <v>1694</v>
      </c>
      <c r="R291" s="141" t="s">
        <v>1725</v>
      </c>
      <c r="S291" s="142" t="s">
        <v>1722</v>
      </c>
      <c r="T291" s="141" t="s">
        <v>1744</v>
      </c>
      <c r="U291" s="142" t="s">
        <v>1743</v>
      </c>
      <c r="V291" s="142" t="s">
        <v>134</v>
      </c>
      <c r="W291" s="141">
        <f t="shared" si="9"/>
        <v>2</v>
      </c>
      <c r="X291" s="143">
        <v>1</v>
      </c>
      <c r="Y291" s="145"/>
      <c r="AA291"/>
    </row>
    <row r="292" spans="1:27" s="115" customFormat="1" ht="27" customHeight="1">
      <c r="A292" s="139">
        <v>267</v>
      </c>
      <c r="B292" s="140" t="s">
        <v>4800</v>
      </c>
      <c r="C292" s="141" t="s">
        <v>1429</v>
      </c>
      <c r="D292" s="142" t="s">
        <v>1430</v>
      </c>
      <c r="E292" s="141" t="s">
        <v>1700</v>
      </c>
      <c r="F292" s="142" t="s">
        <v>1691</v>
      </c>
      <c r="G292" s="141" t="s">
        <v>1717</v>
      </c>
      <c r="H292" s="142" t="s">
        <v>1722</v>
      </c>
      <c r="I292" s="141" t="s">
        <v>1742</v>
      </c>
      <c r="J292" s="142" t="s">
        <v>1743</v>
      </c>
      <c r="K292" s="142" t="s">
        <v>523</v>
      </c>
      <c r="L292" s="143">
        <f t="shared" si="8"/>
        <v>1</v>
      </c>
      <c r="M292" s="144">
        <v>20423</v>
      </c>
      <c r="N292" s="141" t="s">
        <v>1429</v>
      </c>
      <c r="O292" s="142" t="s">
        <v>1430</v>
      </c>
      <c r="P292" s="141" t="s">
        <v>1628</v>
      </c>
      <c r="Q292" s="142" t="s">
        <v>1694</v>
      </c>
      <c r="R292" s="141" t="s">
        <v>1725</v>
      </c>
      <c r="S292" s="142" t="s">
        <v>1722</v>
      </c>
      <c r="T292" s="141" t="s">
        <v>1744</v>
      </c>
      <c r="U292" s="142" t="s">
        <v>1743</v>
      </c>
      <c r="V292" s="142" t="s">
        <v>523</v>
      </c>
      <c r="W292" s="141">
        <f t="shared" si="9"/>
        <v>1</v>
      </c>
      <c r="X292" s="143"/>
      <c r="Y292" s="145"/>
      <c r="AA292"/>
    </row>
    <row r="293" spans="1:27" s="115" customFormat="1" ht="27" customHeight="1">
      <c r="A293" s="139">
        <v>268</v>
      </c>
      <c r="B293" s="140" t="s">
        <v>4801</v>
      </c>
      <c r="C293" s="141" t="s">
        <v>1429</v>
      </c>
      <c r="D293" s="142" t="s">
        <v>1430</v>
      </c>
      <c r="E293" s="141" t="s">
        <v>1700</v>
      </c>
      <c r="F293" s="142" t="s">
        <v>1691</v>
      </c>
      <c r="G293" s="141" t="s">
        <v>1717</v>
      </c>
      <c r="H293" s="142" t="s">
        <v>1722</v>
      </c>
      <c r="I293" s="141" t="s">
        <v>1742</v>
      </c>
      <c r="J293" s="142" t="s">
        <v>1743</v>
      </c>
      <c r="K293" s="142" t="s">
        <v>524</v>
      </c>
      <c r="L293" s="143">
        <f t="shared" si="8"/>
        <v>1</v>
      </c>
      <c r="M293" s="144">
        <v>20421</v>
      </c>
      <c r="N293" s="141" t="s">
        <v>1429</v>
      </c>
      <c r="O293" s="142" t="s">
        <v>1430</v>
      </c>
      <c r="P293" s="141" t="s">
        <v>1628</v>
      </c>
      <c r="Q293" s="142" t="s">
        <v>1694</v>
      </c>
      <c r="R293" s="141" t="s">
        <v>1725</v>
      </c>
      <c r="S293" s="142" t="s">
        <v>1722</v>
      </c>
      <c r="T293" s="141" t="s">
        <v>1744</v>
      </c>
      <c r="U293" s="142" t="s">
        <v>1743</v>
      </c>
      <c r="V293" s="142" t="s">
        <v>524</v>
      </c>
      <c r="W293" s="141">
        <f t="shared" si="9"/>
        <v>1</v>
      </c>
      <c r="X293" s="143"/>
      <c r="Y293" s="145"/>
      <c r="AA293"/>
    </row>
    <row r="294" spans="1:27" s="115" customFormat="1" ht="27" customHeight="1">
      <c r="A294" s="139">
        <v>269</v>
      </c>
      <c r="B294" s="140" t="s">
        <v>4802</v>
      </c>
      <c r="C294" s="141" t="s">
        <v>1429</v>
      </c>
      <c r="D294" s="142" t="s">
        <v>1430</v>
      </c>
      <c r="E294" s="141" t="s">
        <v>1700</v>
      </c>
      <c r="F294" s="142" t="s">
        <v>1691</v>
      </c>
      <c r="G294" s="141" t="s">
        <v>1717</v>
      </c>
      <c r="H294" s="142" t="s">
        <v>1722</v>
      </c>
      <c r="I294" s="141" t="s">
        <v>1742</v>
      </c>
      <c r="J294" s="142" t="s">
        <v>1743</v>
      </c>
      <c r="K294" s="142" t="s">
        <v>525</v>
      </c>
      <c r="L294" s="143">
        <f t="shared" si="8"/>
        <v>1</v>
      </c>
      <c r="M294" s="144">
        <v>20424</v>
      </c>
      <c r="N294" s="141" t="s">
        <v>1429</v>
      </c>
      <c r="O294" s="142" t="s">
        <v>1430</v>
      </c>
      <c r="P294" s="141" t="s">
        <v>1628</v>
      </c>
      <c r="Q294" s="142" t="s">
        <v>1694</v>
      </c>
      <c r="R294" s="141" t="s">
        <v>1725</v>
      </c>
      <c r="S294" s="142" t="s">
        <v>1722</v>
      </c>
      <c r="T294" s="141" t="s">
        <v>1744</v>
      </c>
      <c r="U294" s="142" t="s">
        <v>1743</v>
      </c>
      <c r="V294" s="142" t="s">
        <v>525</v>
      </c>
      <c r="W294" s="141">
        <f t="shared" si="9"/>
        <v>2</v>
      </c>
      <c r="X294" s="143">
        <v>2</v>
      </c>
      <c r="Y294" s="145" t="s">
        <v>1746</v>
      </c>
      <c r="AA294"/>
    </row>
    <row r="295" spans="1:27" s="115" customFormat="1" ht="27" customHeight="1">
      <c r="A295" s="139">
        <v>270</v>
      </c>
      <c r="B295" s="140" t="s">
        <v>4803</v>
      </c>
      <c r="C295" s="141" t="s">
        <v>1429</v>
      </c>
      <c r="D295" s="142" t="s">
        <v>1430</v>
      </c>
      <c r="E295" s="141" t="s">
        <v>1700</v>
      </c>
      <c r="F295" s="142" t="s">
        <v>1691</v>
      </c>
      <c r="G295" s="141" t="s">
        <v>1717</v>
      </c>
      <c r="H295" s="142" t="s">
        <v>1722</v>
      </c>
      <c r="I295" s="141" t="s">
        <v>1742</v>
      </c>
      <c r="J295" s="142" t="s">
        <v>1743</v>
      </c>
      <c r="K295" s="142" t="s">
        <v>525</v>
      </c>
      <c r="L295" s="143">
        <f t="shared" si="8"/>
        <v>1</v>
      </c>
      <c r="M295" s="144">
        <v>20424</v>
      </c>
      <c r="N295" s="141" t="s">
        <v>1429</v>
      </c>
      <c r="O295" s="142" t="s">
        <v>1430</v>
      </c>
      <c r="P295" s="141" t="s">
        <v>1628</v>
      </c>
      <c r="Q295" s="142" t="s">
        <v>1694</v>
      </c>
      <c r="R295" s="141" t="s">
        <v>1725</v>
      </c>
      <c r="S295" s="142" t="s">
        <v>1722</v>
      </c>
      <c r="T295" s="141" t="s">
        <v>1744</v>
      </c>
      <c r="U295" s="142" t="s">
        <v>1743</v>
      </c>
      <c r="V295" s="142" t="s">
        <v>525</v>
      </c>
      <c r="W295" s="141">
        <f t="shared" si="9"/>
        <v>2</v>
      </c>
      <c r="X295" s="143">
        <v>2</v>
      </c>
      <c r="Y295" s="145" t="s">
        <v>1747</v>
      </c>
      <c r="AA295"/>
    </row>
    <row r="296" spans="1:27" s="115" customFormat="1" ht="27" customHeight="1">
      <c r="A296" s="139">
        <v>271</v>
      </c>
      <c r="B296" s="140" t="s">
        <v>4804</v>
      </c>
      <c r="C296" s="141" t="s">
        <v>1429</v>
      </c>
      <c r="D296" s="142" t="s">
        <v>1430</v>
      </c>
      <c r="E296" s="141" t="s">
        <v>1700</v>
      </c>
      <c r="F296" s="142" t="s">
        <v>1691</v>
      </c>
      <c r="G296" s="141" t="s">
        <v>1717</v>
      </c>
      <c r="H296" s="142" t="s">
        <v>1722</v>
      </c>
      <c r="I296" s="141" t="s">
        <v>1748</v>
      </c>
      <c r="J296" s="142" t="s">
        <v>1749</v>
      </c>
      <c r="K296" s="142" t="s">
        <v>526</v>
      </c>
      <c r="L296" s="143">
        <f t="shared" si="8"/>
        <v>1</v>
      </c>
      <c r="M296" s="144">
        <v>20493</v>
      </c>
      <c r="N296" s="141" t="s">
        <v>1429</v>
      </c>
      <c r="O296" s="142" t="s">
        <v>1430</v>
      </c>
      <c r="P296" s="141" t="s">
        <v>1628</v>
      </c>
      <c r="Q296" s="142" t="s">
        <v>1694</v>
      </c>
      <c r="R296" s="141" t="s">
        <v>1725</v>
      </c>
      <c r="S296" s="142" t="s">
        <v>1722</v>
      </c>
      <c r="T296" s="141" t="s">
        <v>1750</v>
      </c>
      <c r="U296" s="142" t="s">
        <v>1749</v>
      </c>
      <c r="V296" s="142" t="s">
        <v>526</v>
      </c>
      <c r="W296" s="141">
        <f t="shared" si="9"/>
        <v>1</v>
      </c>
      <c r="X296" s="143"/>
      <c r="Y296" s="145"/>
      <c r="AA296"/>
    </row>
    <row r="297" spans="1:27" s="115" customFormat="1" ht="27" customHeight="1">
      <c r="A297" s="139">
        <v>272</v>
      </c>
      <c r="B297" s="140" t="s">
        <v>4805</v>
      </c>
      <c r="C297" s="141" t="s">
        <v>1429</v>
      </c>
      <c r="D297" s="142" t="s">
        <v>1430</v>
      </c>
      <c r="E297" s="141" t="s">
        <v>1700</v>
      </c>
      <c r="F297" s="142" t="s">
        <v>1751</v>
      </c>
      <c r="G297" s="141" t="s">
        <v>1717</v>
      </c>
      <c r="H297" s="142" t="s">
        <v>135</v>
      </c>
      <c r="I297" s="141" t="s">
        <v>1748</v>
      </c>
      <c r="J297" s="142" t="s">
        <v>135</v>
      </c>
      <c r="K297" s="142" t="s">
        <v>135</v>
      </c>
      <c r="L297" s="143">
        <f t="shared" si="8"/>
        <v>1</v>
      </c>
      <c r="M297" s="144">
        <v>26600</v>
      </c>
      <c r="N297" s="141" t="s">
        <v>1429</v>
      </c>
      <c r="O297" s="142" t="s">
        <v>1430</v>
      </c>
      <c r="P297" s="141" t="s">
        <v>1752</v>
      </c>
      <c r="Q297" s="142" t="s">
        <v>1751</v>
      </c>
      <c r="R297" s="141" t="s">
        <v>1753</v>
      </c>
      <c r="S297" s="142" t="s">
        <v>135</v>
      </c>
      <c r="T297" s="141" t="s">
        <v>1754</v>
      </c>
      <c r="U297" s="142" t="s">
        <v>135</v>
      </c>
      <c r="V297" s="142" t="s">
        <v>135</v>
      </c>
      <c r="W297" s="141">
        <f t="shared" si="9"/>
        <v>1</v>
      </c>
      <c r="X297" s="143"/>
      <c r="Y297" s="145"/>
      <c r="AA297"/>
    </row>
    <row r="298" spans="1:27" s="115" customFormat="1" ht="27" customHeight="1">
      <c r="A298" s="139">
        <v>273</v>
      </c>
      <c r="B298" s="140" t="s">
        <v>4806</v>
      </c>
      <c r="C298" s="141" t="s">
        <v>1429</v>
      </c>
      <c r="D298" s="142" t="s">
        <v>1430</v>
      </c>
      <c r="E298" s="141" t="s">
        <v>1700</v>
      </c>
      <c r="F298" s="142" t="s">
        <v>1691</v>
      </c>
      <c r="G298" s="141" t="s">
        <v>1717</v>
      </c>
      <c r="H298" s="142" t="s">
        <v>1722</v>
      </c>
      <c r="I298" s="141" t="s">
        <v>1748</v>
      </c>
      <c r="J298" s="142" t="s">
        <v>1749</v>
      </c>
      <c r="K298" s="142" t="s">
        <v>527</v>
      </c>
      <c r="L298" s="143">
        <f t="shared" si="8"/>
        <v>1</v>
      </c>
      <c r="M298" s="144">
        <v>20499</v>
      </c>
      <c r="N298" s="141" t="s">
        <v>1429</v>
      </c>
      <c r="O298" s="142" t="s">
        <v>1430</v>
      </c>
      <c r="P298" s="141" t="s">
        <v>1628</v>
      </c>
      <c r="Q298" s="142" t="s">
        <v>1694</v>
      </c>
      <c r="R298" s="141" t="s">
        <v>1725</v>
      </c>
      <c r="S298" s="142" t="s">
        <v>1722</v>
      </c>
      <c r="T298" s="141" t="s">
        <v>1750</v>
      </c>
      <c r="U298" s="142" t="s">
        <v>1749</v>
      </c>
      <c r="V298" s="142" t="s">
        <v>527</v>
      </c>
      <c r="W298" s="141">
        <f t="shared" si="9"/>
        <v>2</v>
      </c>
      <c r="X298" s="143"/>
      <c r="Y298" s="145" t="s">
        <v>1755</v>
      </c>
      <c r="AA298"/>
    </row>
    <row r="299" spans="1:27" s="115" customFormat="1" ht="27" customHeight="1">
      <c r="A299" s="139">
        <v>274</v>
      </c>
      <c r="B299" s="140" t="s">
        <v>4807</v>
      </c>
      <c r="C299" s="141" t="s">
        <v>1429</v>
      </c>
      <c r="D299" s="142" t="s">
        <v>1430</v>
      </c>
      <c r="E299" s="141" t="s">
        <v>1700</v>
      </c>
      <c r="F299" s="142" t="s">
        <v>1691</v>
      </c>
      <c r="G299" s="141" t="s">
        <v>1717</v>
      </c>
      <c r="H299" s="142" t="s">
        <v>1722</v>
      </c>
      <c r="I299" s="141" t="s">
        <v>1748</v>
      </c>
      <c r="J299" s="142" t="s">
        <v>1749</v>
      </c>
      <c r="K299" s="142" t="s">
        <v>136</v>
      </c>
      <c r="L299" s="143">
        <f t="shared" si="8"/>
        <v>1</v>
      </c>
      <c r="M299" s="144">
        <v>20492</v>
      </c>
      <c r="N299" s="141" t="s">
        <v>1429</v>
      </c>
      <c r="O299" s="142" t="s">
        <v>1430</v>
      </c>
      <c r="P299" s="141" t="s">
        <v>1628</v>
      </c>
      <c r="Q299" s="142" t="s">
        <v>1694</v>
      </c>
      <c r="R299" s="141" t="s">
        <v>1725</v>
      </c>
      <c r="S299" s="142" t="s">
        <v>1722</v>
      </c>
      <c r="T299" s="141" t="s">
        <v>1750</v>
      </c>
      <c r="U299" s="142" t="s">
        <v>1749</v>
      </c>
      <c r="V299" s="142" t="s">
        <v>136</v>
      </c>
      <c r="W299" s="141">
        <f t="shared" si="9"/>
        <v>1</v>
      </c>
      <c r="X299" s="143"/>
      <c r="Y299" s="145"/>
      <c r="AA299"/>
    </row>
    <row r="300" spans="1:27" s="115" customFormat="1" ht="27" customHeight="1">
      <c r="A300" s="139">
        <v>275</v>
      </c>
      <c r="B300" s="140" t="s">
        <v>4808</v>
      </c>
      <c r="C300" s="141" t="s">
        <v>1429</v>
      </c>
      <c r="D300" s="142" t="s">
        <v>1430</v>
      </c>
      <c r="E300" s="141" t="s">
        <v>1700</v>
      </c>
      <c r="F300" s="142" t="s">
        <v>1691</v>
      </c>
      <c r="G300" s="141" t="s">
        <v>1717</v>
      </c>
      <c r="H300" s="142" t="s">
        <v>1722</v>
      </c>
      <c r="I300" s="141" t="s">
        <v>1748</v>
      </c>
      <c r="J300" s="142" t="s">
        <v>1749</v>
      </c>
      <c r="K300" s="142" t="s">
        <v>528</v>
      </c>
      <c r="L300" s="143">
        <f t="shared" si="8"/>
        <v>1</v>
      </c>
      <c r="M300" s="144">
        <v>20491</v>
      </c>
      <c r="N300" s="141" t="s">
        <v>1429</v>
      </c>
      <c r="O300" s="142" t="s">
        <v>1430</v>
      </c>
      <c r="P300" s="141" t="s">
        <v>1628</v>
      </c>
      <c r="Q300" s="142" t="s">
        <v>1694</v>
      </c>
      <c r="R300" s="141" t="s">
        <v>1725</v>
      </c>
      <c r="S300" s="142" t="s">
        <v>1722</v>
      </c>
      <c r="T300" s="141" t="s">
        <v>1750</v>
      </c>
      <c r="U300" s="142" t="s">
        <v>1749</v>
      </c>
      <c r="V300" s="142" t="s">
        <v>528</v>
      </c>
      <c r="W300" s="141">
        <f t="shared" si="9"/>
        <v>1</v>
      </c>
      <c r="X300" s="143"/>
      <c r="Y300" s="145"/>
      <c r="AA300"/>
    </row>
    <row r="301" spans="1:27" s="115" customFormat="1" ht="27" customHeight="1">
      <c r="A301" s="139">
        <v>276</v>
      </c>
      <c r="B301" s="140" t="s">
        <v>4809</v>
      </c>
      <c r="C301" s="141" t="s">
        <v>1429</v>
      </c>
      <c r="D301" s="142" t="s">
        <v>1430</v>
      </c>
      <c r="E301" s="141" t="s">
        <v>1700</v>
      </c>
      <c r="F301" s="142" t="s">
        <v>1691</v>
      </c>
      <c r="G301" s="141" t="s">
        <v>1717</v>
      </c>
      <c r="H301" s="142" t="s">
        <v>1722</v>
      </c>
      <c r="I301" s="141" t="s">
        <v>1748</v>
      </c>
      <c r="J301" s="142" t="s">
        <v>1749</v>
      </c>
      <c r="K301" s="142" t="s">
        <v>529</v>
      </c>
      <c r="L301" s="143">
        <f t="shared" si="8"/>
        <v>1</v>
      </c>
      <c r="M301" s="144">
        <v>20494</v>
      </c>
      <c r="N301" s="141" t="s">
        <v>1429</v>
      </c>
      <c r="O301" s="142" t="s">
        <v>1430</v>
      </c>
      <c r="P301" s="141" t="s">
        <v>1628</v>
      </c>
      <c r="Q301" s="142" t="s">
        <v>1694</v>
      </c>
      <c r="R301" s="141" t="s">
        <v>1725</v>
      </c>
      <c r="S301" s="142" t="s">
        <v>1722</v>
      </c>
      <c r="T301" s="141" t="s">
        <v>1750</v>
      </c>
      <c r="U301" s="142" t="s">
        <v>1749</v>
      </c>
      <c r="V301" s="142" t="s">
        <v>529</v>
      </c>
      <c r="W301" s="141">
        <f t="shared" si="9"/>
        <v>2</v>
      </c>
      <c r="X301" s="143">
        <v>1</v>
      </c>
      <c r="Y301" s="145"/>
      <c r="AA301"/>
    </row>
    <row r="302" spans="1:27" s="115" customFormat="1" ht="27" customHeight="1">
      <c r="A302" s="139">
        <v>277</v>
      </c>
      <c r="B302" s="140" t="s">
        <v>6053</v>
      </c>
      <c r="C302" s="141" t="s">
        <v>1429</v>
      </c>
      <c r="D302" s="142" t="s">
        <v>1430</v>
      </c>
      <c r="E302" s="141" t="s">
        <v>1700</v>
      </c>
      <c r="F302" s="142" t="s">
        <v>1691</v>
      </c>
      <c r="G302" s="141" t="s">
        <v>1717</v>
      </c>
      <c r="H302" s="142" t="s">
        <v>1722</v>
      </c>
      <c r="I302" s="141" t="s">
        <v>1748</v>
      </c>
      <c r="J302" s="142" t="s">
        <v>1749</v>
      </c>
      <c r="K302" s="142" t="s">
        <v>527</v>
      </c>
      <c r="L302" s="143">
        <f t="shared" si="8"/>
        <v>1</v>
      </c>
      <c r="M302" s="144">
        <v>20499</v>
      </c>
      <c r="N302" s="141" t="s">
        <v>1429</v>
      </c>
      <c r="O302" s="142" t="s">
        <v>1430</v>
      </c>
      <c r="P302" s="141" t="s">
        <v>1628</v>
      </c>
      <c r="Q302" s="142" t="s">
        <v>1694</v>
      </c>
      <c r="R302" s="141" t="s">
        <v>1725</v>
      </c>
      <c r="S302" s="142" t="s">
        <v>1722</v>
      </c>
      <c r="T302" s="141" t="s">
        <v>1750</v>
      </c>
      <c r="U302" s="142" t="s">
        <v>1749</v>
      </c>
      <c r="V302" s="142" t="s">
        <v>527</v>
      </c>
      <c r="W302" s="141">
        <f t="shared" si="9"/>
        <v>2</v>
      </c>
      <c r="X302" s="143">
        <v>1</v>
      </c>
      <c r="Y302" s="145"/>
      <c r="AA302"/>
    </row>
    <row r="303" spans="1:27" s="115" customFormat="1" ht="27" customHeight="1">
      <c r="A303" s="139">
        <v>278</v>
      </c>
      <c r="B303" s="140" t="s">
        <v>4810</v>
      </c>
      <c r="C303" s="141" t="s">
        <v>1429</v>
      </c>
      <c r="D303" s="142" t="s">
        <v>1430</v>
      </c>
      <c r="E303" s="141" t="s">
        <v>1700</v>
      </c>
      <c r="F303" s="142" t="s">
        <v>1691</v>
      </c>
      <c r="G303" s="141" t="s">
        <v>1717</v>
      </c>
      <c r="H303" s="142" t="s">
        <v>1722</v>
      </c>
      <c r="I303" s="141" t="s">
        <v>1748</v>
      </c>
      <c r="J303" s="142" t="s">
        <v>1749</v>
      </c>
      <c r="K303" s="142" t="s">
        <v>530</v>
      </c>
      <c r="L303" s="143">
        <f t="shared" si="8"/>
        <v>1</v>
      </c>
      <c r="M303" s="144">
        <v>20495</v>
      </c>
      <c r="N303" s="146" t="s">
        <v>1429</v>
      </c>
      <c r="O303" s="147" t="s">
        <v>1430</v>
      </c>
      <c r="P303" s="146" t="s">
        <v>1628</v>
      </c>
      <c r="Q303" s="147" t="s">
        <v>1694</v>
      </c>
      <c r="R303" s="146" t="s">
        <v>1725</v>
      </c>
      <c r="S303" s="147" t="s">
        <v>1722</v>
      </c>
      <c r="T303" s="146" t="s">
        <v>1750</v>
      </c>
      <c r="U303" s="147" t="s">
        <v>1749</v>
      </c>
      <c r="V303" s="147" t="s">
        <v>530</v>
      </c>
      <c r="W303" s="141">
        <f t="shared" si="9"/>
        <v>1</v>
      </c>
      <c r="X303" s="143"/>
      <c r="Y303" s="145"/>
      <c r="AA303"/>
    </row>
    <row r="304" spans="1:27" s="115" customFormat="1" ht="27" customHeight="1">
      <c r="A304" s="139">
        <v>279</v>
      </c>
      <c r="B304" s="140" t="s">
        <v>4811</v>
      </c>
      <c r="C304" s="141" t="s">
        <v>1429</v>
      </c>
      <c r="D304" s="142" t="s">
        <v>1430</v>
      </c>
      <c r="E304" s="141" t="s">
        <v>1700</v>
      </c>
      <c r="F304" s="142" t="s">
        <v>1691</v>
      </c>
      <c r="G304" s="141" t="s">
        <v>1756</v>
      </c>
      <c r="H304" s="142" t="s">
        <v>1757</v>
      </c>
      <c r="I304" s="141" t="s">
        <v>1758</v>
      </c>
      <c r="J304" s="142" t="s">
        <v>1757</v>
      </c>
      <c r="K304" s="142" t="s">
        <v>531</v>
      </c>
      <c r="L304" s="143">
        <f t="shared" si="8"/>
        <v>1</v>
      </c>
      <c r="M304" s="144">
        <v>20501</v>
      </c>
      <c r="N304" s="141" t="s">
        <v>1429</v>
      </c>
      <c r="O304" s="142" t="s">
        <v>1430</v>
      </c>
      <c r="P304" s="141" t="s">
        <v>1628</v>
      </c>
      <c r="Q304" s="142" t="s">
        <v>1694</v>
      </c>
      <c r="R304" s="141" t="s">
        <v>1759</v>
      </c>
      <c r="S304" s="142" t="s">
        <v>1757</v>
      </c>
      <c r="T304" s="141" t="s">
        <v>1760</v>
      </c>
      <c r="U304" s="142" t="s">
        <v>1757</v>
      </c>
      <c r="V304" s="142" t="s">
        <v>531</v>
      </c>
      <c r="W304" s="141">
        <f t="shared" si="9"/>
        <v>1</v>
      </c>
      <c r="X304" s="143"/>
      <c r="Y304" s="145"/>
      <c r="AA304"/>
    </row>
    <row r="305" spans="1:27" s="115" customFormat="1" ht="27" customHeight="1">
      <c r="A305" s="139">
        <v>280</v>
      </c>
      <c r="B305" s="140" t="s">
        <v>4812</v>
      </c>
      <c r="C305" s="141" t="s">
        <v>1429</v>
      </c>
      <c r="D305" s="142" t="s">
        <v>1430</v>
      </c>
      <c r="E305" s="141" t="s">
        <v>1700</v>
      </c>
      <c r="F305" s="142" t="s">
        <v>1691</v>
      </c>
      <c r="G305" s="141" t="s">
        <v>1756</v>
      </c>
      <c r="H305" s="142" t="s">
        <v>1757</v>
      </c>
      <c r="I305" s="141" t="s">
        <v>1758</v>
      </c>
      <c r="J305" s="142" t="s">
        <v>1757</v>
      </c>
      <c r="K305" s="142" t="s">
        <v>532</v>
      </c>
      <c r="L305" s="143">
        <f t="shared" si="8"/>
        <v>1</v>
      </c>
      <c r="M305" s="144">
        <v>20502</v>
      </c>
      <c r="N305" s="141" t="s">
        <v>1429</v>
      </c>
      <c r="O305" s="142" t="s">
        <v>1430</v>
      </c>
      <c r="P305" s="141" t="s">
        <v>1628</v>
      </c>
      <c r="Q305" s="142" t="s">
        <v>1694</v>
      </c>
      <c r="R305" s="141" t="s">
        <v>1759</v>
      </c>
      <c r="S305" s="142" t="s">
        <v>1757</v>
      </c>
      <c r="T305" s="141" t="s">
        <v>1760</v>
      </c>
      <c r="U305" s="142" t="s">
        <v>1757</v>
      </c>
      <c r="V305" s="142" t="s">
        <v>532</v>
      </c>
      <c r="W305" s="141">
        <f t="shared" si="9"/>
        <v>1</v>
      </c>
      <c r="X305" s="143"/>
      <c r="Y305" s="145"/>
      <c r="AA305"/>
    </row>
    <row r="306" spans="1:27" s="115" customFormat="1" ht="27" customHeight="1">
      <c r="A306" s="139">
        <v>281</v>
      </c>
      <c r="B306" s="140" t="s">
        <v>4813</v>
      </c>
      <c r="C306" s="141" t="s">
        <v>1429</v>
      </c>
      <c r="D306" s="142" t="s">
        <v>1430</v>
      </c>
      <c r="E306" s="141" t="s">
        <v>1761</v>
      </c>
      <c r="F306" s="142" t="s">
        <v>1762</v>
      </c>
      <c r="G306" s="141" t="s">
        <v>1763</v>
      </c>
      <c r="H306" s="142" t="s">
        <v>1764</v>
      </c>
      <c r="I306" s="141" t="s">
        <v>1765</v>
      </c>
      <c r="J306" s="142" t="s">
        <v>1766</v>
      </c>
      <c r="K306" s="142" t="s">
        <v>137</v>
      </c>
      <c r="L306" s="143">
        <f t="shared" si="8"/>
        <v>1</v>
      </c>
      <c r="M306" s="144">
        <v>22111</v>
      </c>
      <c r="N306" s="141" t="s">
        <v>1429</v>
      </c>
      <c r="O306" s="142" t="s">
        <v>1430</v>
      </c>
      <c r="P306" s="141" t="s">
        <v>1670</v>
      </c>
      <c r="Q306" s="142" t="s">
        <v>1762</v>
      </c>
      <c r="R306" s="141" t="s">
        <v>1767</v>
      </c>
      <c r="S306" s="142" t="s">
        <v>1764</v>
      </c>
      <c r="T306" s="141" t="s">
        <v>1768</v>
      </c>
      <c r="U306" s="142" t="s">
        <v>1766</v>
      </c>
      <c r="V306" s="142" t="s">
        <v>137</v>
      </c>
      <c r="W306" s="141">
        <f t="shared" si="9"/>
        <v>1</v>
      </c>
      <c r="X306" s="143"/>
      <c r="Y306" s="145"/>
      <c r="AA306"/>
    </row>
    <row r="307" spans="1:27" s="115" customFormat="1" ht="27" customHeight="1">
      <c r="A307" s="139">
        <v>282</v>
      </c>
      <c r="B307" s="140" t="s">
        <v>4814</v>
      </c>
      <c r="C307" s="141" t="s">
        <v>1429</v>
      </c>
      <c r="D307" s="142" t="s">
        <v>1430</v>
      </c>
      <c r="E307" s="141" t="s">
        <v>1761</v>
      </c>
      <c r="F307" s="142" t="s">
        <v>1762</v>
      </c>
      <c r="G307" s="141" t="s">
        <v>1763</v>
      </c>
      <c r="H307" s="142" t="s">
        <v>1764</v>
      </c>
      <c r="I307" s="141" t="s">
        <v>1765</v>
      </c>
      <c r="J307" s="142" t="s">
        <v>1766</v>
      </c>
      <c r="K307" s="142" t="s">
        <v>138</v>
      </c>
      <c r="L307" s="143">
        <f t="shared" si="8"/>
        <v>1</v>
      </c>
      <c r="M307" s="144">
        <v>22112</v>
      </c>
      <c r="N307" s="141" t="s">
        <v>1429</v>
      </c>
      <c r="O307" s="142" t="s">
        <v>1430</v>
      </c>
      <c r="P307" s="141" t="s">
        <v>1670</v>
      </c>
      <c r="Q307" s="142" t="s">
        <v>1762</v>
      </c>
      <c r="R307" s="141" t="s">
        <v>1767</v>
      </c>
      <c r="S307" s="142" t="s">
        <v>1764</v>
      </c>
      <c r="T307" s="141" t="s">
        <v>1768</v>
      </c>
      <c r="U307" s="142" t="s">
        <v>1766</v>
      </c>
      <c r="V307" s="142" t="s">
        <v>138</v>
      </c>
      <c r="W307" s="141">
        <f t="shared" si="9"/>
        <v>1</v>
      </c>
      <c r="X307" s="143"/>
      <c r="Y307" s="145"/>
      <c r="AA307"/>
    </row>
    <row r="308" spans="1:27" s="115" customFormat="1" ht="27" customHeight="1">
      <c r="A308" s="139">
        <v>283</v>
      </c>
      <c r="B308" s="140" t="s">
        <v>4815</v>
      </c>
      <c r="C308" s="141" t="s">
        <v>1429</v>
      </c>
      <c r="D308" s="142" t="s">
        <v>1430</v>
      </c>
      <c r="E308" s="141" t="s">
        <v>1761</v>
      </c>
      <c r="F308" s="142" t="s">
        <v>1762</v>
      </c>
      <c r="G308" s="141" t="s">
        <v>1763</v>
      </c>
      <c r="H308" s="142" t="s">
        <v>1764</v>
      </c>
      <c r="I308" s="141" t="s">
        <v>1769</v>
      </c>
      <c r="J308" s="142" t="s">
        <v>1770</v>
      </c>
      <c r="K308" s="142" t="s">
        <v>533</v>
      </c>
      <c r="L308" s="143">
        <f t="shared" si="8"/>
        <v>1</v>
      </c>
      <c r="M308" s="144">
        <v>22192</v>
      </c>
      <c r="N308" s="141" t="s">
        <v>1429</v>
      </c>
      <c r="O308" s="142" t="s">
        <v>1430</v>
      </c>
      <c r="P308" s="141" t="s">
        <v>1670</v>
      </c>
      <c r="Q308" s="142" t="s">
        <v>1762</v>
      </c>
      <c r="R308" s="141" t="s">
        <v>1767</v>
      </c>
      <c r="S308" s="142" t="s">
        <v>1764</v>
      </c>
      <c r="T308" s="141" t="s">
        <v>1771</v>
      </c>
      <c r="U308" s="142" t="s">
        <v>1770</v>
      </c>
      <c r="V308" s="142" t="s">
        <v>533</v>
      </c>
      <c r="W308" s="141">
        <f t="shared" si="9"/>
        <v>1</v>
      </c>
      <c r="X308" s="143"/>
      <c r="Y308" s="145"/>
      <c r="AA308"/>
    </row>
    <row r="309" spans="1:27" s="115" customFormat="1" ht="27" customHeight="1">
      <c r="A309" s="139">
        <v>284</v>
      </c>
      <c r="B309" s="140" t="s">
        <v>4816</v>
      </c>
      <c r="C309" s="141" t="s">
        <v>1429</v>
      </c>
      <c r="D309" s="142" t="s">
        <v>1430</v>
      </c>
      <c r="E309" s="141" t="s">
        <v>1761</v>
      </c>
      <c r="F309" s="142" t="s">
        <v>1762</v>
      </c>
      <c r="G309" s="141" t="s">
        <v>1763</v>
      </c>
      <c r="H309" s="142" t="s">
        <v>1764</v>
      </c>
      <c r="I309" s="141" t="s">
        <v>1769</v>
      </c>
      <c r="J309" s="142" t="s">
        <v>1770</v>
      </c>
      <c r="K309" s="142" t="s">
        <v>534</v>
      </c>
      <c r="L309" s="143">
        <f t="shared" si="8"/>
        <v>1</v>
      </c>
      <c r="M309" s="144">
        <v>22199</v>
      </c>
      <c r="N309" s="141" t="s">
        <v>1429</v>
      </c>
      <c r="O309" s="142" t="s">
        <v>1430</v>
      </c>
      <c r="P309" s="141" t="s">
        <v>1670</v>
      </c>
      <c r="Q309" s="142" t="s">
        <v>1762</v>
      </c>
      <c r="R309" s="141" t="s">
        <v>1767</v>
      </c>
      <c r="S309" s="142" t="s">
        <v>1764</v>
      </c>
      <c r="T309" s="141" t="s">
        <v>1771</v>
      </c>
      <c r="U309" s="142" t="s">
        <v>1770</v>
      </c>
      <c r="V309" s="142" t="s">
        <v>534</v>
      </c>
      <c r="W309" s="141">
        <f t="shared" si="9"/>
        <v>1</v>
      </c>
      <c r="X309" s="143"/>
      <c r="Y309" s="145"/>
      <c r="AA309"/>
    </row>
    <row r="310" spans="1:27" s="115" customFormat="1" ht="27" customHeight="1">
      <c r="A310" s="139">
        <v>285</v>
      </c>
      <c r="B310" s="140" t="s">
        <v>4817</v>
      </c>
      <c r="C310" s="141" t="s">
        <v>1429</v>
      </c>
      <c r="D310" s="142" t="s">
        <v>1430</v>
      </c>
      <c r="E310" s="141" t="s">
        <v>1761</v>
      </c>
      <c r="F310" s="142" t="s">
        <v>1762</v>
      </c>
      <c r="G310" s="141" t="s">
        <v>1763</v>
      </c>
      <c r="H310" s="142" t="s">
        <v>1764</v>
      </c>
      <c r="I310" s="141" t="s">
        <v>1769</v>
      </c>
      <c r="J310" s="142" t="s">
        <v>1770</v>
      </c>
      <c r="K310" s="142" t="s">
        <v>535</v>
      </c>
      <c r="L310" s="143">
        <f t="shared" si="8"/>
        <v>1</v>
      </c>
      <c r="M310" s="144">
        <v>22191</v>
      </c>
      <c r="N310" s="141" t="s">
        <v>1429</v>
      </c>
      <c r="O310" s="142" t="s">
        <v>1430</v>
      </c>
      <c r="P310" s="141" t="s">
        <v>1670</v>
      </c>
      <c r="Q310" s="142" t="s">
        <v>1762</v>
      </c>
      <c r="R310" s="141" t="s">
        <v>1767</v>
      </c>
      <c r="S310" s="142" t="s">
        <v>1764</v>
      </c>
      <c r="T310" s="141" t="s">
        <v>1771</v>
      </c>
      <c r="U310" s="142" t="s">
        <v>1770</v>
      </c>
      <c r="V310" s="142" t="s">
        <v>535</v>
      </c>
      <c r="W310" s="141">
        <f t="shared" si="9"/>
        <v>1</v>
      </c>
      <c r="X310" s="143"/>
      <c r="Y310" s="145"/>
      <c r="AA310"/>
    </row>
    <row r="311" spans="1:27" s="115" customFormat="1" ht="27" customHeight="1">
      <c r="A311" s="139">
        <v>286</v>
      </c>
      <c r="B311" s="140" t="s">
        <v>4818</v>
      </c>
      <c r="C311" s="141" t="s">
        <v>1429</v>
      </c>
      <c r="D311" s="142" t="s">
        <v>1430</v>
      </c>
      <c r="E311" s="141" t="s">
        <v>1761</v>
      </c>
      <c r="F311" s="142" t="s">
        <v>1762</v>
      </c>
      <c r="G311" s="141" t="s">
        <v>1763</v>
      </c>
      <c r="H311" s="142" t="s">
        <v>1764</v>
      </c>
      <c r="I311" s="141" t="s">
        <v>1769</v>
      </c>
      <c r="J311" s="142" t="s">
        <v>1770</v>
      </c>
      <c r="K311" s="142" t="s">
        <v>536</v>
      </c>
      <c r="L311" s="143">
        <f t="shared" si="8"/>
        <v>1</v>
      </c>
      <c r="M311" s="144">
        <v>22193</v>
      </c>
      <c r="N311" s="141" t="s">
        <v>1429</v>
      </c>
      <c r="O311" s="142" t="s">
        <v>1430</v>
      </c>
      <c r="P311" s="141" t="s">
        <v>1670</v>
      </c>
      <c r="Q311" s="142" t="s">
        <v>1762</v>
      </c>
      <c r="R311" s="141" t="s">
        <v>1767</v>
      </c>
      <c r="S311" s="142" t="s">
        <v>1764</v>
      </c>
      <c r="T311" s="141" t="s">
        <v>1771</v>
      </c>
      <c r="U311" s="142" t="s">
        <v>1770</v>
      </c>
      <c r="V311" s="142" t="s">
        <v>536</v>
      </c>
      <c r="W311" s="141">
        <f t="shared" si="9"/>
        <v>1</v>
      </c>
      <c r="X311" s="143"/>
      <c r="Y311" s="145"/>
      <c r="AA311"/>
    </row>
    <row r="312" spans="1:27" s="115" customFormat="1" ht="27" customHeight="1">
      <c r="A312" s="139">
        <v>287</v>
      </c>
      <c r="B312" s="140" t="s">
        <v>4819</v>
      </c>
      <c r="C312" s="141" t="s">
        <v>1429</v>
      </c>
      <c r="D312" s="142" t="s">
        <v>1430</v>
      </c>
      <c r="E312" s="141" t="s">
        <v>1761</v>
      </c>
      <c r="F312" s="142" t="s">
        <v>1762</v>
      </c>
      <c r="G312" s="141" t="s">
        <v>1772</v>
      </c>
      <c r="H312" s="142" t="s">
        <v>1773</v>
      </c>
      <c r="I312" s="141" t="s">
        <v>1774</v>
      </c>
      <c r="J312" s="142" t="s">
        <v>1775</v>
      </c>
      <c r="K312" s="142" t="s">
        <v>139</v>
      </c>
      <c r="L312" s="143">
        <f t="shared" si="8"/>
        <v>1</v>
      </c>
      <c r="M312" s="144">
        <v>22211</v>
      </c>
      <c r="N312" s="141" t="s">
        <v>1429</v>
      </c>
      <c r="O312" s="142" t="s">
        <v>1430</v>
      </c>
      <c r="P312" s="141" t="s">
        <v>1670</v>
      </c>
      <c r="Q312" s="142" t="s">
        <v>1762</v>
      </c>
      <c r="R312" s="141" t="s">
        <v>1672</v>
      </c>
      <c r="S312" s="142" t="s">
        <v>1773</v>
      </c>
      <c r="T312" s="141" t="s">
        <v>1674</v>
      </c>
      <c r="U312" s="142" t="s">
        <v>1775</v>
      </c>
      <c r="V312" s="142" t="s">
        <v>139</v>
      </c>
      <c r="W312" s="141">
        <f t="shared" si="9"/>
        <v>1</v>
      </c>
      <c r="X312" s="143"/>
      <c r="Y312" s="145"/>
      <c r="AA312"/>
    </row>
    <row r="313" spans="1:27" s="115" customFormat="1" ht="27" customHeight="1">
      <c r="A313" s="139">
        <v>288</v>
      </c>
      <c r="B313" s="140" t="s">
        <v>4820</v>
      </c>
      <c r="C313" s="141" t="s">
        <v>1429</v>
      </c>
      <c r="D313" s="142" t="s">
        <v>1430</v>
      </c>
      <c r="E313" s="141" t="s">
        <v>1761</v>
      </c>
      <c r="F313" s="142" t="s">
        <v>1762</v>
      </c>
      <c r="G313" s="141" t="s">
        <v>1772</v>
      </c>
      <c r="H313" s="142" t="s">
        <v>1773</v>
      </c>
      <c r="I313" s="141" t="s">
        <v>1774</v>
      </c>
      <c r="J313" s="142" t="s">
        <v>1775</v>
      </c>
      <c r="K313" s="142" t="s">
        <v>537</v>
      </c>
      <c r="L313" s="143">
        <f t="shared" si="8"/>
        <v>1</v>
      </c>
      <c r="M313" s="144">
        <v>22212</v>
      </c>
      <c r="N313" s="141" t="s">
        <v>1429</v>
      </c>
      <c r="O313" s="142" t="s">
        <v>1430</v>
      </c>
      <c r="P313" s="141" t="s">
        <v>1670</v>
      </c>
      <c r="Q313" s="142" t="s">
        <v>1762</v>
      </c>
      <c r="R313" s="141" t="s">
        <v>1672</v>
      </c>
      <c r="S313" s="142" t="s">
        <v>1773</v>
      </c>
      <c r="T313" s="141" t="s">
        <v>1674</v>
      </c>
      <c r="U313" s="142" t="s">
        <v>1775</v>
      </c>
      <c r="V313" s="142" t="s">
        <v>537</v>
      </c>
      <c r="W313" s="141">
        <f t="shared" si="9"/>
        <v>2</v>
      </c>
      <c r="X313" s="143"/>
      <c r="Y313" s="145" t="s">
        <v>1776</v>
      </c>
      <c r="AA313"/>
    </row>
    <row r="314" spans="1:27" s="115" customFormat="1" ht="27" customHeight="1">
      <c r="A314" s="139">
        <v>289</v>
      </c>
      <c r="B314" s="140" t="s">
        <v>4821</v>
      </c>
      <c r="C314" s="141" t="s">
        <v>1429</v>
      </c>
      <c r="D314" s="142" t="s">
        <v>1430</v>
      </c>
      <c r="E314" s="141" t="s">
        <v>1761</v>
      </c>
      <c r="F314" s="142" t="s">
        <v>1762</v>
      </c>
      <c r="G314" s="141" t="s">
        <v>1772</v>
      </c>
      <c r="H314" s="142" t="s">
        <v>1773</v>
      </c>
      <c r="I314" s="141" t="s">
        <v>1774</v>
      </c>
      <c r="J314" s="142" t="s">
        <v>1775</v>
      </c>
      <c r="K314" s="142" t="s">
        <v>538</v>
      </c>
      <c r="L314" s="143">
        <f t="shared" si="8"/>
        <v>1</v>
      </c>
      <c r="M314" s="144">
        <v>22214</v>
      </c>
      <c r="N314" s="141" t="s">
        <v>1429</v>
      </c>
      <c r="O314" s="142" t="s">
        <v>1430</v>
      </c>
      <c r="P314" s="141" t="s">
        <v>1670</v>
      </c>
      <c r="Q314" s="142" t="s">
        <v>1762</v>
      </c>
      <c r="R314" s="141" t="s">
        <v>1672</v>
      </c>
      <c r="S314" s="142" t="s">
        <v>1773</v>
      </c>
      <c r="T314" s="141" t="s">
        <v>1674</v>
      </c>
      <c r="U314" s="142" t="s">
        <v>1775</v>
      </c>
      <c r="V314" s="142" t="s">
        <v>538</v>
      </c>
      <c r="W314" s="141">
        <f t="shared" si="9"/>
        <v>1</v>
      </c>
      <c r="X314" s="143"/>
      <c r="Y314" s="145"/>
      <c r="AA314"/>
    </row>
    <row r="315" spans="1:27" s="115" customFormat="1" ht="27" customHeight="1">
      <c r="A315" s="139">
        <v>290</v>
      </c>
      <c r="B315" s="140" t="s">
        <v>4822</v>
      </c>
      <c r="C315" s="141" t="s">
        <v>1429</v>
      </c>
      <c r="D315" s="142" t="s">
        <v>1430</v>
      </c>
      <c r="E315" s="141" t="s">
        <v>1761</v>
      </c>
      <c r="F315" s="142" t="s">
        <v>1762</v>
      </c>
      <c r="G315" s="141" t="s">
        <v>1772</v>
      </c>
      <c r="H315" s="142" t="s">
        <v>1773</v>
      </c>
      <c r="I315" s="141" t="s">
        <v>1774</v>
      </c>
      <c r="J315" s="142" t="s">
        <v>1775</v>
      </c>
      <c r="K315" s="142" t="s">
        <v>537</v>
      </c>
      <c r="L315" s="143">
        <f t="shared" si="8"/>
        <v>1</v>
      </c>
      <c r="M315" s="144">
        <v>22212</v>
      </c>
      <c r="N315" s="141" t="s">
        <v>1429</v>
      </c>
      <c r="O315" s="142" t="s">
        <v>1430</v>
      </c>
      <c r="P315" s="141" t="s">
        <v>1670</v>
      </c>
      <c r="Q315" s="142" t="s">
        <v>1762</v>
      </c>
      <c r="R315" s="141" t="s">
        <v>1672</v>
      </c>
      <c r="S315" s="142" t="s">
        <v>1773</v>
      </c>
      <c r="T315" s="141" t="s">
        <v>1674</v>
      </c>
      <c r="U315" s="142" t="s">
        <v>1775</v>
      </c>
      <c r="V315" s="142" t="s">
        <v>537</v>
      </c>
      <c r="W315" s="141">
        <f t="shared" si="9"/>
        <v>2</v>
      </c>
      <c r="X315" s="143">
        <v>1</v>
      </c>
      <c r="Y315" s="145"/>
      <c r="AA315"/>
    </row>
    <row r="316" spans="1:27" s="115" customFormat="1" ht="27" customHeight="1">
      <c r="A316" s="139">
        <v>291</v>
      </c>
      <c r="B316" s="140" t="s">
        <v>4823</v>
      </c>
      <c r="C316" s="141" t="s">
        <v>1429</v>
      </c>
      <c r="D316" s="142" t="s">
        <v>1430</v>
      </c>
      <c r="E316" s="141" t="s">
        <v>1761</v>
      </c>
      <c r="F316" s="142" t="s">
        <v>1762</v>
      </c>
      <c r="G316" s="141" t="s">
        <v>1772</v>
      </c>
      <c r="H316" s="142" t="s">
        <v>1773</v>
      </c>
      <c r="I316" s="141" t="s">
        <v>1774</v>
      </c>
      <c r="J316" s="142" t="s">
        <v>1775</v>
      </c>
      <c r="K316" s="142" t="s">
        <v>539</v>
      </c>
      <c r="L316" s="143">
        <f t="shared" si="8"/>
        <v>1</v>
      </c>
      <c r="M316" s="144">
        <v>22213</v>
      </c>
      <c r="N316" s="141" t="s">
        <v>1429</v>
      </c>
      <c r="O316" s="142" t="s">
        <v>1430</v>
      </c>
      <c r="P316" s="141" t="s">
        <v>1670</v>
      </c>
      <c r="Q316" s="142" t="s">
        <v>1762</v>
      </c>
      <c r="R316" s="141" t="s">
        <v>1672</v>
      </c>
      <c r="S316" s="142" t="s">
        <v>1773</v>
      </c>
      <c r="T316" s="141" t="s">
        <v>1674</v>
      </c>
      <c r="U316" s="142" t="s">
        <v>1775</v>
      </c>
      <c r="V316" s="142" t="s">
        <v>539</v>
      </c>
      <c r="W316" s="141">
        <f t="shared" si="9"/>
        <v>1</v>
      </c>
      <c r="X316" s="143"/>
      <c r="Y316" s="145"/>
      <c r="AA316"/>
    </row>
    <row r="317" spans="1:27" s="115" customFormat="1" ht="27" customHeight="1">
      <c r="A317" s="139">
        <v>292</v>
      </c>
      <c r="B317" s="140" t="s">
        <v>4824</v>
      </c>
      <c r="C317" s="141" t="s">
        <v>1429</v>
      </c>
      <c r="D317" s="142" t="s">
        <v>1430</v>
      </c>
      <c r="E317" s="141" t="s">
        <v>1761</v>
      </c>
      <c r="F317" s="142" t="s">
        <v>1762</v>
      </c>
      <c r="G317" s="141" t="s">
        <v>1772</v>
      </c>
      <c r="H317" s="142" t="s">
        <v>1773</v>
      </c>
      <c r="I317" s="141" t="s">
        <v>1777</v>
      </c>
      <c r="J317" s="142" t="s">
        <v>140</v>
      </c>
      <c r="K317" s="142" t="s">
        <v>540</v>
      </c>
      <c r="L317" s="143">
        <f t="shared" si="8"/>
        <v>1</v>
      </c>
      <c r="M317" s="144">
        <v>22251</v>
      </c>
      <c r="N317" s="141" t="s">
        <v>1429</v>
      </c>
      <c r="O317" s="142" t="s">
        <v>1430</v>
      </c>
      <c r="P317" s="141" t="s">
        <v>1670</v>
      </c>
      <c r="Q317" s="142" t="s">
        <v>1762</v>
      </c>
      <c r="R317" s="141" t="s">
        <v>1672</v>
      </c>
      <c r="S317" s="142" t="s">
        <v>1773</v>
      </c>
      <c r="T317" s="141" t="s">
        <v>1778</v>
      </c>
      <c r="U317" s="142" t="s">
        <v>140</v>
      </c>
      <c r="V317" s="142" t="s">
        <v>540</v>
      </c>
      <c r="W317" s="141">
        <f t="shared" si="9"/>
        <v>1</v>
      </c>
      <c r="X317" s="143"/>
      <c r="Y317" s="145"/>
      <c r="AA317"/>
    </row>
    <row r="318" spans="1:27" s="115" customFormat="1" ht="27" customHeight="1">
      <c r="A318" s="139">
        <v>293</v>
      </c>
      <c r="B318" s="140" t="s">
        <v>4825</v>
      </c>
      <c r="C318" s="141" t="s">
        <v>1429</v>
      </c>
      <c r="D318" s="142" t="s">
        <v>1430</v>
      </c>
      <c r="E318" s="141" t="s">
        <v>1761</v>
      </c>
      <c r="F318" s="142" t="s">
        <v>1762</v>
      </c>
      <c r="G318" s="141" t="s">
        <v>1772</v>
      </c>
      <c r="H318" s="142" t="s">
        <v>1773</v>
      </c>
      <c r="I318" s="141" t="s">
        <v>1777</v>
      </c>
      <c r="J318" s="142" t="s">
        <v>140</v>
      </c>
      <c r="K318" s="142" t="s">
        <v>541</v>
      </c>
      <c r="L318" s="143">
        <f t="shared" si="8"/>
        <v>1</v>
      </c>
      <c r="M318" s="144">
        <v>22259</v>
      </c>
      <c r="N318" s="141" t="s">
        <v>1429</v>
      </c>
      <c r="O318" s="142" t="s">
        <v>1430</v>
      </c>
      <c r="P318" s="141" t="s">
        <v>1670</v>
      </c>
      <c r="Q318" s="142" t="s">
        <v>1762</v>
      </c>
      <c r="R318" s="141" t="s">
        <v>1672</v>
      </c>
      <c r="S318" s="142" t="s">
        <v>1773</v>
      </c>
      <c r="T318" s="141" t="s">
        <v>1778</v>
      </c>
      <c r="U318" s="142" t="s">
        <v>140</v>
      </c>
      <c r="V318" s="142" t="s">
        <v>541</v>
      </c>
      <c r="W318" s="141">
        <f t="shared" si="9"/>
        <v>1</v>
      </c>
      <c r="X318" s="143"/>
      <c r="Y318" s="145"/>
      <c r="AA318"/>
    </row>
    <row r="319" spans="1:27" s="115" customFormat="1" ht="27" customHeight="1">
      <c r="A319" s="139">
        <v>294</v>
      </c>
      <c r="B319" s="140" t="s">
        <v>4826</v>
      </c>
      <c r="C319" s="141" t="s">
        <v>1429</v>
      </c>
      <c r="D319" s="142" t="s">
        <v>1430</v>
      </c>
      <c r="E319" s="141" t="s">
        <v>1761</v>
      </c>
      <c r="F319" s="142" t="s">
        <v>1762</v>
      </c>
      <c r="G319" s="141" t="s">
        <v>1772</v>
      </c>
      <c r="H319" s="142" t="s">
        <v>1773</v>
      </c>
      <c r="I319" s="141" t="s">
        <v>1779</v>
      </c>
      <c r="J319" s="142" t="s">
        <v>1780</v>
      </c>
      <c r="K319" s="142" t="s">
        <v>542</v>
      </c>
      <c r="L319" s="143">
        <f t="shared" si="8"/>
        <v>1</v>
      </c>
      <c r="M319" s="144">
        <v>22222</v>
      </c>
      <c r="N319" s="141" t="s">
        <v>1429</v>
      </c>
      <c r="O319" s="142" t="s">
        <v>1430</v>
      </c>
      <c r="P319" s="141" t="s">
        <v>1670</v>
      </c>
      <c r="Q319" s="142" t="s">
        <v>1762</v>
      </c>
      <c r="R319" s="141" t="s">
        <v>1672</v>
      </c>
      <c r="S319" s="142" t="s">
        <v>1773</v>
      </c>
      <c r="T319" s="141" t="s">
        <v>1677</v>
      </c>
      <c r="U319" s="142" t="s">
        <v>1780</v>
      </c>
      <c r="V319" s="142" t="s">
        <v>542</v>
      </c>
      <c r="W319" s="141">
        <f t="shared" si="9"/>
        <v>1</v>
      </c>
      <c r="X319" s="143"/>
      <c r="Y319" s="145"/>
      <c r="AA319"/>
    </row>
    <row r="320" spans="1:27" s="115" customFormat="1" ht="27" customHeight="1">
      <c r="A320" s="139">
        <v>295</v>
      </c>
      <c r="B320" s="140" t="s">
        <v>4827</v>
      </c>
      <c r="C320" s="141" t="s">
        <v>1429</v>
      </c>
      <c r="D320" s="142" t="s">
        <v>1430</v>
      </c>
      <c r="E320" s="141" t="s">
        <v>1761</v>
      </c>
      <c r="F320" s="142" t="s">
        <v>1762</v>
      </c>
      <c r="G320" s="141" t="s">
        <v>1772</v>
      </c>
      <c r="H320" s="142" t="s">
        <v>1773</v>
      </c>
      <c r="I320" s="141" t="s">
        <v>1779</v>
      </c>
      <c r="J320" s="142" t="s">
        <v>1780</v>
      </c>
      <c r="K320" s="142" t="s">
        <v>543</v>
      </c>
      <c r="L320" s="143">
        <f t="shared" si="8"/>
        <v>1</v>
      </c>
      <c r="M320" s="144">
        <v>22221</v>
      </c>
      <c r="N320" s="141" t="s">
        <v>1429</v>
      </c>
      <c r="O320" s="142" t="s">
        <v>1430</v>
      </c>
      <c r="P320" s="141" t="s">
        <v>1670</v>
      </c>
      <c r="Q320" s="142" t="s">
        <v>1762</v>
      </c>
      <c r="R320" s="141" t="s">
        <v>1672</v>
      </c>
      <c r="S320" s="142" t="s">
        <v>1773</v>
      </c>
      <c r="T320" s="141" t="s">
        <v>1677</v>
      </c>
      <c r="U320" s="142" t="s">
        <v>1780</v>
      </c>
      <c r="V320" s="142" t="s">
        <v>543</v>
      </c>
      <c r="W320" s="141">
        <f t="shared" si="9"/>
        <v>1</v>
      </c>
      <c r="X320" s="143"/>
      <c r="Y320" s="145"/>
      <c r="AA320"/>
    </row>
    <row r="321" spans="1:27" s="115" customFormat="1" ht="27" customHeight="1">
      <c r="A321" s="139">
        <v>296</v>
      </c>
      <c r="B321" s="140" t="s">
        <v>4828</v>
      </c>
      <c r="C321" s="141" t="s">
        <v>1429</v>
      </c>
      <c r="D321" s="142" t="s">
        <v>1430</v>
      </c>
      <c r="E321" s="141" t="s">
        <v>1761</v>
      </c>
      <c r="F321" s="142" t="s">
        <v>1762</v>
      </c>
      <c r="G321" s="141" t="s">
        <v>1772</v>
      </c>
      <c r="H321" s="142" t="s">
        <v>1773</v>
      </c>
      <c r="I321" s="141" t="s">
        <v>1781</v>
      </c>
      <c r="J321" s="142" t="s">
        <v>1780</v>
      </c>
      <c r="K321" s="142" t="s">
        <v>544</v>
      </c>
      <c r="L321" s="143">
        <f t="shared" si="8"/>
        <v>1</v>
      </c>
      <c r="M321" s="144">
        <v>22223</v>
      </c>
      <c r="N321" s="141" t="s">
        <v>1429</v>
      </c>
      <c r="O321" s="142" t="s">
        <v>1430</v>
      </c>
      <c r="P321" s="141" t="s">
        <v>1670</v>
      </c>
      <c r="Q321" s="142" t="s">
        <v>1762</v>
      </c>
      <c r="R321" s="141" t="s">
        <v>1672</v>
      </c>
      <c r="S321" s="142" t="s">
        <v>1773</v>
      </c>
      <c r="T321" s="141" t="s">
        <v>1677</v>
      </c>
      <c r="U321" s="142" t="s">
        <v>1780</v>
      </c>
      <c r="V321" s="142" t="s">
        <v>544</v>
      </c>
      <c r="W321" s="141">
        <f t="shared" si="9"/>
        <v>1</v>
      </c>
      <c r="X321" s="143"/>
      <c r="Y321" s="145"/>
      <c r="AA321"/>
    </row>
    <row r="322" spans="1:27" s="115" customFormat="1" ht="27" customHeight="1">
      <c r="A322" s="139">
        <v>297</v>
      </c>
      <c r="B322" s="140" t="s">
        <v>4829</v>
      </c>
      <c r="C322" s="141" t="s">
        <v>1429</v>
      </c>
      <c r="D322" s="142" t="s">
        <v>1430</v>
      </c>
      <c r="E322" s="141" t="s">
        <v>1761</v>
      </c>
      <c r="F322" s="142" t="s">
        <v>1762</v>
      </c>
      <c r="G322" s="141" t="s">
        <v>1772</v>
      </c>
      <c r="H322" s="142" t="s">
        <v>1773</v>
      </c>
      <c r="I322" s="141" t="s">
        <v>1781</v>
      </c>
      <c r="J322" s="142" t="s">
        <v>1780</v>
      </c>
      <c r="K322" s="142" t="s">
        <v>545</v>
      </c>
      <c r="L322" s="143">
        <f t="shared" si="8"/>
        <v>1</v>
      </c>
      <c r="M322" s="144">
        <v>22229</v>
      </c>
      <c r="N322" s="141" t="s">
        <v>1429</v>
      </c>
      <c r="O322" s="142" t="s">
        <v>1430</v>
      </c>
      <c r="P322" s="141" t="s">
        <v>1670</v>
      </c>
      <c r="Q322" s="142" t="s">
        <v>1762</v>
      </c>
      <c r="R322" s="141" t="s">
        <v>1672</v>
      </c>
      <c r="S322" s="142" t="s">
        <v>1773</v>
      </c>
      <c r="T322" s="141" t="s">
        <v>1677</v>
      </c>
      <c r="U322" s="142" t="s">
        <v>1780</v>
      </c>
      <c r="V322" s="142" t="s">
        <v>545</v>
      </c>
      <c r="W322" s="141">
        <f t="shared" si="9"/>
        <v>1</v>
      </c>
      <c r="X322" s="143"/>
      <c r="Y322" s="145"/>
      <c r="AA322"/>
    </row>
    <row r="323" spans="1:27" s="115" customFormat="1" ht="27" customHeight="1">
      <c r="A323" s="139">
        <v>298</v>
      </c>
      <c r="B323" s="140" t="s">
        <v>4830</v>
      </c>
      <c r="C323" s="141" t="s">
        <v>1429</v>
      </c>
      <c r="D323" s="142" t="s">
        <v>1430</v>
      </c>
      <c r="E323" s="141" t="s">
        <v>1761</v>
      </c>
      <c r="F323" s="142" t="s">
        <v>1762</v>
      </c>
      <c r="G323" s="141" t="s">
        <v>1772</v>
      </c>
      <c r="H323" s="142" t="s">
        <v>1773</v>
      </c>
      <c r="I323" s="141" t="s">
        <v>1781</v>
      </c>
      <c r="J323" s="142" t="s">
        <v>1782</v>
      </c>
      <c r="K323" s="142" t="s">
        <v>546</v>
      </c>
      <c r="L323" s="143">
        <f t="shared" si="8"/>
        <v>1</v>
      </c>
      <c r="M323" s="144">
        <v>22231</v>
      </c>
      <c r="N323" s="141" t="s">
        <v>1429</v>
      </c>
      <c r="O323" s="142" t="s">
        <v>1430</v>
      </c>
      <c r="P323" s="141" t="s">
        <v>1670</v>
      </c>
      <c r="Q323" s="142" t="s">
        <v>1762</v>
      </c>
      <c r="R323" s="141" t="s">
        <v>1672</v>
      </c>
      <c r="S323" s="142" t="s">
        <v>1773</v>
      </c>
      <c r="T323" s="141" t="s">
        <v>1783</v>
      </c>
      <c r="U323" s="142" t="s">
        <v>1782</v>
      </c>
      <c r="V323" s="142" t="s">
        <v>546</v>
      </c>
      <c r="W323" s="141">
        <f t="shared" si="9"/>
        <v>1</v>
      </c>
      <c r="X323" s="143"/>
      <c r="Y323" s="145"/>
      <c r="AA323"/>
    </row>
    <row r="324" spans="1:27" s="115" customFormat="1" ht="27" customHeight="1">
      <c r="A324" s="139">
        <v>299</v>
      </c>
      <c r="B324" s="140" t="s">
        <v>4831</v>
      </c>
      <c r="C324" s="141" t="s">
        <v>1429</v>
      </c>
      <c r="D324" s="142" t="s">
        <v>1430</v>
      </c>
      <c r="E324" s="141" t="s">
        <v>1761</v>
      </c>
      <c r="F324" s="142" t="s">
        <v>1762</v>
      </c>
      <c r="G324" s="141" t="s">
        <v>1772</v>
      </c>
      <c r="H324" s="142" t="s">
        <v>1773</v>
      </c>
      <c r="I324" s="141" t="s">
        <v>1781</v>
      </c>
      <c r="J324" s="142" t="s">
        <v>1784</v>
      </c>
      <c r="K324" s="142" t="s">
        <v>547</v>
      </c>
      <c r="L324" s="143">
        <f t="shared" si="8"/>
        <v>1</v>
      </c>
      <c r="M324" s="144">
        <v>22291</v>
      </c>
      <c r="N324" s="141" t="s">
        <v>1429</v>
      </c>
      <c r="O324" s="142" t="s">
        <v>1430</v>
      </c>
      <c r="P324" s="141" t="s">
        <v>1670</v>
      </c>
      <c r="Q324" s="142" t="s">
        <v>1762</v>
      </c>
      <c r="R324" s="141" t="s">
        <v>1672</v>
      </c>
      <c r="S324" s="142" t="s">
        <v>1773</v>
      </c>
      <c r="T324" s="141" t="s">
        <v>1785</v>
      </c>
      <c r="U324" s="142" t="s">
        <v>1784</v>
      </c>
      <c r="V324" s="142" t="s">
        <v>547</v>
      </c>
      <c r="W324" s="141">
        <f t="shared" si="9"/>
        <v>1</v>
      </c>
      <c r="X324" s="143"/>
      <c r="Y324" s="145"/>
      <c r="AA324"/>
    </row>
    <row r="325" spans="1:27" s="115" customFormat="1" ht="27" customHeight="1">
      <c r="A325" s="139">
        <v>300</v>
      </c>
      <c r="B325" s="140" t="s">
        <v>4832</v>
      </c>
      <c r="C325" s="141" t="s">
        <v>1429</v>
      </c>
      <c r="D325" s="142" t="s">
        <v>1430</v>
      </c>
      <c r="E325" s="141" t="s">
        <v>1761</v>
      </c>
      <c r="F325" s="142" t="s">
        <v>1762</v>
      </c>
      <c r="G325" s="141" t="s">
        <v>1772</v>
      </c>
      <c r="H325" s="142" t="s">
        <v>1773</v>
      </c>
      <c r="I325" s="141" t="s">
        <v>1781</v>
      </c>
      <c r="J325" s="142" t="s">
        <v>1784</v>
      </c>
      <c r="K325" s="142" t="s">
        <v>548</v>
      </c>
      <c r="L325" s="143">
        <f t="shared" ref="L325:L388" si="10">COUNTIF($B$5:$B$1752,B325)</f>
        <v>1</v>
      </c>
      <c r="M325" s="144">
        <v>22292</v>
      </c>
      <c r="N325" s="141" t="s">
        <v>1429</v>
      </c>
      <c r="O325" s="142" t="s">
        <v>1430</v>
      </c>
      <c r="P325" s="141" t="s">
        <v>1670</v>
      </c>
      <c r="Q325" s="142" t="s">
        <v>1762</v>
      </c>
      <c r="R325" s="141" t="s">
        <v>1672</v>
      </c>
      <c r="S325" s="142" t="s">
        <v>1773</v>
      </c>
      <c r="T325" s="141" t="s">
        <v>1785</v>
      </c>
      <c r="U325" s="142" t="s">
        <v>1784</v>
      </c>
      <c r="V325" s="142" t="s">
        <v>548</v>
      </c>
      <c r="W325" s="141">
        <f t="shared" ref="W325:W388" si="11">COUNTIF($M$5:$M$1756,M325)</f>
        <v>1</v>
      </c>
      <c r="X325" s="143"/>
      <c r="Y325" s="145"/>
      <c r="AA325"/>
    </row>
    <row r="326" spans="1:27" s="115" customFormat="1" ht="27" customHeight="1">
      <c r="A326" s="139">
        <v>301</v>
      </c>
      <c r="B326" s="140" t="s">
        <v>4833</v>
      </c>
      <c r="C326" s="141" t="s">
        <v>1429</v>
      </c>
      <c r="D326" s="142" t="s">
        <v>1430</v>
      </c>
      <c r="E326" s="141" t="s">
        <v>1761</v>
      </c>
      <c r="F326" s="142" t="s">
        <v>1762</v>
      </c>
      <c r="G326" s="141" t="s">
        <v>1772</v>
      </c>
      <c r="H326" s="142" t="s">
        <v>1773</v>
      </c>
      <c r="I326" s="141" t="s">
        <v>1786</v>
      </c>
      <c r="J326" s="142" t="s">
        <v>1782</v>
      </c>
      <c r="K326" s="142" t="s">
        <v>549</v>
      </c>
      <c r="L326" s="143">
        <f t="shared" si="10"/>
        <v>1</v>
      </c>
      <c r="M326" s="144">
        <v>22232</v>
      </c>
      <c r="N326" s="141" t="s">
        <v>1429</v>
      </c>
      <c r="O326" s="142" t="s">
        <v>1430</v>
      </c>
      <c r="P326" s="141" t="s">
        <v>1670</v>
      </c>
      <c r="Q326" s="142" t="s">
        <v>1762</v>
      </c>
      <c r="R326" s="141" t="s">
        <v>1672</v>
      </c>
      <c r="S326" s="142" t="s">
        <v>1773</v>
      </c>
      <c r="T326" s="141" t="s">
        <v>1783</v>
      </c>
      <c r="U326" s="142" t="s">
        <v>1782</v>
      </c>
      <c r="V326" s="142" t="s">
        <v>549</v>
      </c>
      <c r="W326" s="141">
        <f t="shared" si="11"/>
        <v>1</v>
      </c>
      <c r="X326" s="143"/>
      <c r="Y326" s="145"/>
      <c r="AA326"/>
    </row>
    <row r="327" spans="1:27" s="115" customFormat="1" ht="27" customHeight="1">
      <c r="A327" s="139">
        <v>302</v>
      </c>
      <c r="B327" s="140" t="s">
        <v>4834</v>
      </c>
      <c r="C327" s="141" t="s">
        <v>1429</v>
      </c>
      <c r="D327" s="142" t="s">
        <v>1430</v>
      </c>
      <c r="E327" s="141" t="s">
        <v>1761</v>
      </c>
      <c r="F327" s="142" t="s">
        <v>1762</v>
      </c>
      <c r="G327" s="141" t="s">
        <v>1772</v>
      </c>
      <c r="H327" s="142" t="s">
        <v>1773</v>
      </c>
      <c r="I327" s="141" t="s">
        <v>1786</v>
      </c>
      <c r="J327" s="142" t="s">
        <v>1784</v>
      </c>
      <c r="K327" s="142" t="s">
        <v>550</v>
      </c>
      <c r="L327" s="143">
        <f t="shared" si="10"/>
        <v>1</v>
      </c>
      <c r="M327" s="144">
        <v>22299</v>
      </c>
      <c r="N327" s="141" t="s">
        <v>1429</v>
      </c>
      <c r="O327" s="142" t="s">
        <v>1430</v>
      </c>
      <c r="P327" s="141" t="s">
        <v>1670</v>
      </c>
      <c r="Q327" s="142" t="s">
        <v>1762</v>
      </c>
      <c r="R327" s="141" t="s">
        <v>1672</v>
      </c>
      <c r="S327" s="142" t="s">
        <v>1773</v>
      </c>
      <c r="T327" s="141" t="s">
        <v>1785</v>
      </c>
      <c r="U327" s="142" t="s">
        <v>1784</v>
      </c>
      <c r="V327" s="142" t="s">
        <v>550</v>
      </c>
      <c r="W327" s="141">
        <f t="shared" si="11"/>
        <v>2</v>
      </c>
      <c r="X327" s="143"/>
      <c r="Y327" s="145" t="s">
        <v>1787</v>
      </c>
      <c r="AA327"/>
    </row>
    <row r="328" spans="1:27" s="115" customFormat="1" ht="27" customHeight="1">
      <c r="A328" s="139">
        <v>303</v>
      </c>
      <c r="B328" s="140" t="s">
        <v>4835</v>
      </c>
      <c r="C328" s="141" t="s">
        <v>1429</v>
      </c>
      <c r="D328" s="142" t="s">
        <v>1430</v>
      </c>
      <c r="E328" s="141" t="s">
        <v>1761</v>
      </c>
      <c r="F328" s="142" t="s">
        <v>1762</v>
      </c>
      <c r="G328" s="141" t="s">
        <v>1772</v>
      </c>
      <c r="H328" s="142" t="s">
        <v>1773</v>
      </c>
      <c r="I328" s="141" t="s">
        <v>1786</v>
      </c>
      <c r="J328" s="142" t="s">
        <v>1788</v>
      </c>
      <c r="K328" s="142" t="s">
        <v>551</v>
      </c>
      <c r="L328" s="143">
        <f t="shared" si="10"/>
        <v>1</v>
      </c>
      <c r="M328" s="144">
        <v>22241</v>
      </c>
      <c r="N328" s="141" t="s">
        <v>1429</v>
      </c>
      <c r="O328" s="142" t="s">
        <v>1430</v>
      </c>
      <c r="P328" s="141" t="s">
        <v>1670</v>
      </c>
      <c r="Q328" s="142" t="s">
        <v>1762</v>
      </c>
      <c r="R328" s="141" t="s">
        <v>1672</v>
      </c>
      <c r="S328" s="142" t="s">
        <v>1773</v>
      </c>
      <c r="T328" s="141" t="s">
        <v>1789</v>
      </c>
      <c r="U328" s="142" t="s">
        <v>1788</v>
      </c>
      <c r="V328" s="142" t="s">
        <v>551</v>
      </c>
      <c r="W328" s="141">
        <f t="shared" si="11"/>
        <v>1</v>
      </c>
      <c r="X328" s="143"/>
      <c r="Y328" s="145"/>
      <c r="AA328"/>
    </row>
    <row r="329" spans="1:27" s="115" customFormat="1" ht="27" customHeight="1">
      <c r="A329" s="139">
        <v>304</v>
      </c>
      <c r="B329" s="140" t="s">
        <v>4836</v>
      </c>
      <c r="C329" s="141" t="s">
        <v>1429</v>
      </c>
      <c r="D329" s="142" t="s">
        <v>1430</v>
      </c>
      <c r="E329" s="141" t="s">
        <v>1761</v>
      </c>
      <c r="F329" s="142" t="s">
        <v>1762</v>
      </c>
      <c r="G329" s="141" t="s">
        <v>1772</v>
      </c>
      <c r="H329" s="142" t="s">
        <v>1773</v>
      </c>
      <c r="I329" s="141" t="s">
        <v>1786</v>
      </c>
      <c r="J329" s="142" t="s">
        <v>1788</v>
      </c>
      <c r="K329" s="142" t="s">
        <v>552</v>
      </c>
      <c r="L329" s="143">
        <f t="shared" si="10"/>
        <v>1</v>
      </c>
      <c r="M329" s="144">
        <v>22249</v>
      </c>
      <c r="N329" s="141" t="s">
        <v>1429</v>
      </c>
      <c r="O329" s="142" t="s">
        <v>1430</v>
      </c>
      <c r="P329" s="141" t="s">
        <v>1670</v>
      </c>
      <c r="Q329" s="142" t="s">
        <v>1762</v>
      </c>
      <c r="R329" s="141" t="s">
        <v>1672</v>
      </c>
      <c r="S329" s="142" t="s">
        <v>1773</v>
      </c>
      <c r="T329" s="141" t="s">
        <v>1789</v>
      </c>
      <c r="U329" s="142" t="s">
        <v>1788</v>
      </c>
      <c r="V329" s="142" t="s">
        <v>552</v>
      </c>
      <c r="W329" s="141">
        <f t="shared" si="11"/>
        <v>1</v>
      </c>
      <c r="X329" s="143"/>
      <c r="Y329" s="145"/>
      <c r="AA329"/>
    </row>
    <row r="330" spans="1:27" s="115" customFormat="1" ht="27" customHeight="1">
      <c r="A330" s="139">
        <v>305</v>
      </c>
      <c r="B330" s="140" t="s">
        <v>4837</v>
      </c>
      <c r="C330" s="141" t="s">
        <v>1429</v>
      </c>
      <c r="D330" s="142" t="s">
        <v>1430</v>
      </c>
      <c r="E330" s="141" t="s">
        <v>1761</v>
      </c>
      <c r="F330" s="142" t="s">
        <v>1762</v>
      </c>
      <c r="G330" s="141" t="s">
        <v>1772</v>
      </c>
      <c r="H330" s="142" t="s">
        <v>1773</v>
      </c>
      <c r="I330" s="141" t="s">
        <v>1786</v>
      </c>
      <c r="J330" s="142" t="s">
        <v>1784</v>
      </c>
      <c r="K330" s="142" t="s">
        <v>550</v>
      </c>
      <c r="L330" s="143">
        <f t="shared" si="10"/>
        <v>1</v>
      </c>
      <c r="M330" s="144">
        <v>22299</v>
      </c>
      <c r="N330" s="141" t="s">
        <v>1429</v>
      </c>
      <c r="O330" s="142" t="s">
        <v>1430</v>
      </c>
      <c r="P330" s="141" t="s">
        <v>1670</v>
      </c>
      <c r="Q330" s="142" t="s">
        <v>1762</v>
      </c>
      <c r="R330" s="141" t="s">
        <v>1672</v>
      </c>
      <c r="S330" s="142" t="s">
        <v>1773</v>
      </c>
      <c r="T330" s="141" t="s">
        <v>1785</v>
      </c>
      <c r="U330" s="142" t="s">
        <v>1784</v>
      </c>
      <c r="V330" s="142" t="s">
        <v>550</v>
      </c>
      <c r="W330" s="141">
        <f t="shared" si="11"/>
        <v>2</v>
      </c>
      <c r="X330" s="143">
        <v>1</v>
      </c>
      <c r="Y330" s="145"/>
      <c r="AA330"/>
    </row>
    <row r="331" spans="1:27" s="115" customFormat="1" ht="27" customHeight="1">
      <c r="A331" s="139">
        <v>306</v>
      </c>
      <c r="B331" s="140" t="s">
        <v>4838</v>
      </c>
      <c r="C331" s="141" t="s">
        <v>1429</v>
      </c>
      <c r="D331" s="142" t="s">
        <v>1430</v>
      </c>
      <c r="E331" s="141" t="s">
        <v>1752</v>
      </c>
      <c r="F331" s="142" t="s">
        <v>1790</v>
      </c>
      <c r="G331" s="141" t="s">
        <v>1791</v>
      </c>
      <c r="H331" s="142" t="s">
        <v>1792</v>
      </c>
      <c r="I331" s="141" t="s">
        <v>1793</v>
      </c>
      <c r="J331" s="142" t="s">
        <v>1794</v>
      </c>
      <c r="K331" s="142" t="s">
        <v>141</v>
      </c>
      <c r="L331" s="143">
        <f t="shared" si="10"/>
        <v>1</v>
      </c>
      <c r="M331" s="144">
        <v>23111</v>
      </c>
      <c r="N331" s="141" t="s">
        <v>1429</v>
      </c>
      <c r="O331" s="142" t="s">
        <v>1430</v>
      </c>
      <c r="P331" s="141" t="s">
        <v>1681</v>
      </c>
      <c r="Q331" s="142" t="s">
        <v>1790</v>
      </c>
      <c r="R331" s="141" t="s">
        <v>1683</v>
      </c>
      <c r="S331" s="142" t="s">
        <v>1792</v>
      </c>
      <c r="T331" s="141" t="s">
        <v>1795</v>
      </c>
      <c r="U331" s="142" t="s">
        <v>1794</v>
      </c>
      <c r="V331" s="142" t="s">
        <v>141</v>
      </c>
      <c r="W331" s="141">
        <f t="shared" si="11"/>
        <v>1</v>
      </c>
      <c r="X331" s="143"/>
      <c r="Y331" s="145"/>
      <c r="AA331"/>
    </row>
    <row r="332" spans="1:27" s="115" customFormat="1" ht="27" customHeight="1">
      <c r="A332" s="139">
        <v>307</v>
      </c>
      <c r="B332" s="140" t="s">
        <v>4839</v>
      </c>
      <c r="C332" s="141" t="s">
        <v>1429</v>
      </c>
      <c r="D332" s="142" t="s">
        <v>1430</v>
      </c>
      <c r="E332" s="141" t="s">
        <v>1752</v>
      </c>
      <c r="F332" s="142" t="s">
        <v>1790</v>
      </c>
      <c r="G332" s="141" t="s">
        <v>1791</v>
      </c>
      <c r="H332" s="142" t="s">
        <v>1792</v>
      </c>
      <c r="I332" s="141" t="s">
        <v>1793</v>
      </c>
      <c r="J332" s="142" t="s">
        <v>1796</v>
      </c>
      <c r="K332" s="142" t="s">
        <v>553</v>
      </c>
      <c r="L332" s="143">
        <f t="shared" si="10"/>
        <v>1</v>
      </c>
      <c r="M332" s="144">
        <v>23191</v>
      </c>
      <c r="N332" s="141" t="s">
        <v>1429</v>
      </c>
      <c r="O332" s="142" t="s">
        <v>1430</v>
      </c>
      <c r="P332" s="141" t="s">
        <v>1681</v>
      </c>
      <c r="Q332" s="142" t="s">
        <v>1790</v>
      </c>
      <c r="R332" s="141" t="s">
        <v>1683</v>
      </c>
      <c r="S332" s="142" t="s">
        <v>1792</v>
      </c>
      <c r="T332" s="141" t="s">
        <v>1797</v>
      </c>
      <c r="U332" s="142" t="s">
        <v>1796</v>
      </c>
      <c r="V332" s="142" t="s">
        <v>553</v>
      </c>
      <c r="W332" s="141">
        <f t="shared" si="11"/>
        <v>1</v>
      </c>
      <c r="X332" s="143"/>
      <c r="Y332" s="145"/>
      <c r="AA332"/>
    </row>
    <row r="333" spans="1:27" s="115" customFormat="1" ht="27" customHeight="1">
      <c r="A333" s="139">
        <v>308</v>
      </c>
      <c r="B333" s="140" t="s">
        <v>4840</v>
      </c>
      <c r="C333" s="141" t="s">
        <v>1429</v>
      </c>
      <c r="D333" s="142" t="s">
        <v>1430</v>
      </c>
      <c r="E333" s="141" t="s">
        <v>1752</v>
      </c>
      <c r="F333" s="142" t="s">
        <v>1790</v>
      </c>
      <c r="G333" s="141" t="s">
        <v>1791</v>
      </c>
      <c r="H333" s="142" t="s">
        <v>1792</v>
      </c>
      <c r="I333" s="141" t="s">
        <v>1793</v>
      </c>
      <c r="J333" s="142" t="s">
        <v>1794</v>
      </c>
      <c r="K333" s="142" t="s">
        <v>554</v>
      </c>
      <c r="L333" s="143">
        <f t="shared" si="10"/>
        <v>1</v>
      </c>
      <c r="M333" s="144">
        <v>23112</v>
      </c>
      <c r="N333" s="141" t="s">
        <v>1429</v>
      </c>
      <c r="O333" s="142" t="s">
        <v>1430</v>
      </c>
      <c r="P333" s="141" t="s">
        <v>1681</v>
      </c>
      <c r="Q333" s="142" t="s">
        <v>1790</v>
      </c>
      <c r="R333" s="141" t="s">
        <v>1683</v>
      </c>
      <c r="S333" s="142" t="s">
        <v>1792</v>
      </c>
      <c r="T333" s="141" t="s">
        <v>1795</v>
      </c>
      <c r="U333" s="142" t="s">
        <v>1794</v>
      </c>
      <c r="V333" s="142" t="s">
        <v>554</v>
      </c>
      <c r="W333" s="141">
        <f t="shared" si="11"/>
        <v>1</v>
      </c>
      <c r="X333" s="143"/>
      <c r="Y333" s="145"/>
      <c r="AA333"/>
    </row>
    <row r="334" spans="1:27" s="115" customFormat="1" ht="27" customHeight="1">
      <c r="A334" s="139">
        <v>309</v>
      </c>
      <c r="B334" s="140" t="s">
        <v>4841</v>
      </c>
      <c r="C334" s="141" t="s">
        <v>1429</v>
      </c>
      <c r="D334" s="142" t="s">
        <v>1430</v>
      </c>
      <c r="E334" s="141" t="s">
        <v>1752</v>
      </c>
      <c r="F334" s="142" t="s">
        <v>1790</v>
      </c>
      <c r="G334" s="141" t="s">
        <v>1791</v>
      </c>
      <c r="H334" s="142" t="s">
        <v>1792</v>
      </c>
      <c r="I334" s="141" t="s">
        <v>1793</v>
      </c>
      <c r="J334" s="142" t="s">
        <v>1794</v>
      </c>
      <c r="K334" s="142" t="s">
        <v>555</v>
      </c>
      <c r="L334" s="143">
        <f t="shared" si="10"/>
        <v>1</v>
      </c>
      <c r="M334" s="144">
        <v>23119</v>
      </c>
      <c r="N334" s="141" t="s">
        <v>1429</v>
      </c>
      <c r="O334" s="142" t="s">
        <v>1430</v>
      </c>
      <c r="P334" s="141" t="s">
        <v>1681</v>
      </c>
      <c r="Q334" s="142" t="s">
        <v>1790</v>
      </c>
      <c r="R334" s="141" t="s">
        <v>1683</v>
      </c>
      <c r="S334" s="142" t="s">
        <v>1792</v>
      </c>
      <c r="T334" s="141" t="s">
        <v>1795</v>
      </c>
      <c r="U334" s="142" t="s">
        <v>1794</v>
      </c>
      <c r="V334" s="142" t="s">
        <v>555</v>
      </c>
      <c r="W334" s="141">
        <f t="shared" si="11"/>
        <v>1</v>
      </c>
      <c r="X334" s="143"/>
      <c r="Y334" s="145"/>
      <c r="AA334"/>
    </row>
    <row r="335" spans="1:27" s="115" customFormat="1" ht="27" customHeight="1">
      <c r="A335" s="139">
        <v>310</v>
      </c>
      <c r="B335" s="140" t="s">
        <v>4842</v>
      </c>
      <c r="C335" s="141" t="s">
        <v>1429</v>
      </c>
      <c r="D335" s="142" t="s">
        <v>1430</v>
      </c>
      <c r="E335" s="141" t="s">
        <v>1752</v>
      </c>
      <c r="F335" s="142" t="s">
        <v>1790</v>
      </c>
      <c r="G335" s="141" t="s">
        <v>1791</v>
      </c>
      <c r="H335" s="142" t="s">
        <v>1792</v>
      </c>
      <c r="I335" s="141" t="s">
        <v>1793</v>
      </c>
      <c r="J335" s="142" t="s">
        <v>1798</v>
      </c>
      <c r="K335" s="142" t="s">
        <v>556</v>
      </c>
      <c r="L335" s="143">
        <f t="shared" si="10"/>
        <v>1</v>
      </c>
      <c r="M335" s="144">
        <v>23121</v>
      </c>
      <c r="N335" s="141" t="s">
        <v>1429</v>
      </c>
      <c r="O335" s="142" t="s">
        <v>1430</v>
      </c>
      <c r="P335" s="141" t="s">
        <v>1681</v>
      </c>
      <c r="Q335" s="142" t="s">
        <v>1790</v>
      </c>
      <c r="R335" s="141" t="s">
        <v>1683</v>
      </c>
      <c r="S335" s="142" t="s">
        <v>1792</v>
      </c>
      <c r="T335" s="141" t="s">
        <v>1799</v>
      </c>
      <c r="U335" s="142" t="s">
        <v>1798</v>
      </c>
      <c r="V335" s="142" t="s">
        <v>556</v>
      </c>
      <c r="W335" s="141">
        <f t="shared" si="11"/>
        <v>1</v>
      </c>
      <c r="X335" s="143"/>
      <c r="Y335" s="145"/>
      <c r="AA335"/>
    </row>
    <row r="336" spans="1:27" s="115" customFormat="1" ht="27" customHeight="1">
      <c r="A336" s="139">
        <v>311</v>
      </c>
      <c r="B336" s="140" t="s">
        <v>4843</v>
      </c>
      <c r="C336" s="141" t="s">
        <v>1429</v>
      </c>
      <c r="D336" s="142" t="s">
        <v>1430</v>
      </c>
      <c r="E336" s="141" t="s">
        <v>1752</v>
      </c>
      <c r="F336" s="142" t="s">
        <v>1790</v>
      </c>
      <c r="G336" s="141" t="s">
        <v>1791</v>
      </c>
      <c r="H336" s="142" t="s">
        <v>1792</v>
      </c>
      <c r="I336" s="141" t="s">
        <v>1793</v>
      </c>
      <c r="J336" s="142" t="s">
        <v>1798</v>
      </c>
      <c r="K336" s="142" t="s">
        <v>557</v>
      </c>
      <c r="L336" s="143">
        <f t="shared" si="10"/>
        <v>1</v>
      </c>
      <c r="M336" s="144">
        <v>23122</v>
      </c>
      <c r="N336" s="141" t="s">
        <v>1429</v>
      </c>
      <c r="O336" s="142" t="s">
        <v>1430</v>
      </c>
      <c r="P336" s="141" t="s">
        <v>1681</v>
      </c>
      <c r="Q336" s="142" t="s">
        <v>1790</v>
      </c>
      <c r="R336" s="141" t="s">
        <v>1683</v>
      </c>
      <c r="S336" s="142" t="s">
        <v>1792</v>
      </c>
      <c r="T336" s="141" t="s">
        <v>1799</v>
      </c>
      <c r="U336" s="142" t="s">
        <v>1798</v>
      </c>
      <c r="V336" s="142" t="s">
        <v>557</v>
      </c>
      <c r="W336" s="141">
        <f t="shared" si="11"/>
        <v>1</v>
      </c>
      <c r="X336" s="143"/>
      <c r="Y336" s="145"/>
      <c r="AA336"/>
    </row>
    <row r="337" spans="1:27" s="115" customFormat="1" ht="27" customHeight="1">
      <c r="A337" s="139">
        <v>312</v>
      </c>
      <c r="B337" s="140" t="s">
        <v>4844</v>
      </c>
      <c r="C337" s="141" t="s">
        <v>1429</v>
      </c>
      <c r="D337" s="142" t="s">
        <v>1430</v>
      </c>
      <c r="E337" s="141" t="s">
        <v>1752</v>
      </c>
      <c r="F337" s="142" t="s">
        <v>1790</v>
      </c>
      <c r="G337" s="141" t="s">
        <v>1791</v>
      </c>
      <c r="H337" s="142" t="s">
        <v>1792</v>
      </c>
      <c r="I337" s="141" t="s">
        <v>1793</v>
      </c>
      <c r="J337" s="142" t="s">
        <v>1798</v>
      </c>
      <c r="K337" s="142" t="s">
        <v>558</v>
      </c>
      <c r="L337" s="143">
        <f t="shared" si="10"/>
        <v>1</v>
      </c>
      <c r="M337" s="144">
        <v>23129</v>
      </c>
      <c r="N337" s="141" t="s">
        <v>1429</v>
      </c>
      <c r="O337" s="142" t="s">
        <v>1430</v>
      </c>
      <c r="P337" s="141" t="s">
        <v>1681</v>
      </c>
      <c r="Q337" s="142" t="s">
        <v>1790</v>
      </c>
      <c r="R337" s="141" t="s">
        <v>1683</v>
      </c>
      <c r="S337" s="142" t="s">
        <v>1792</v>
      </c>
      <c r="T337" s="141" t="s">
        <v>1799</v>
      </c>
      <c r="U337" s="142" t="s">
        <v>1798</v>
      </c>
      <c r="V337" s="142" t="s">
        <v>558</v>
      </c>
      <c r="W337" s="141">
        <f t="shared" si="11"/>
        <v>1</v>
      </c>
      <c r="X337" s="143"/>
      <c r="Y337" s="145"/>
      <c r="AA337"/>
    </row>
    <row r="338" spans="1:27" s="115" customFormat="1" ht="27" customHeight="1">
      <c r="A338" s="139">
        <v>313</v>
      </c>
      <c r="B338" s="140" t="s">
        <v>4845</v>
      </c>
      <c r="C338" s="141" t="s">
        <v>1429</v>
      </c>
      <c r="D338" s="142" t="s">
        <v>1430</v>
      </c>
      <c r="E338" s="141" t="s">
        <v>1752</v>
      </c>
      <c r="F338" s="142" t="s">
        <v>1790</v>
      </c>
      <c r="G338" s="141" t="s">
        <v>1791</v>
      </c>
      <c r="H338" s="142" t="s">
        <v>1792</v>
      </c>
      <c r="I338" s="141" t="s">
        <v>1793</v>
      </c>
      <c r="J338" s="142" t="s">
        <v>1796</v>
      </c>
      <c r="K338" s="142" t="s">
        <v>559</v>
      </c>
      <c r="L338" s="143">
        <f t="shared" si="10"/>
        <v>1</v>
      </c>
      <c r="M338" s="144">
        <v>23192</v>
      </c>
      <c r="N338" s="141" t="s">
        <v>1429</v>
      </c>
      <c r="O338" s="142" t="s">
        <v>1430</v>
      </c>
      <c r="P338" s="141" t="s">
        <v>1681</v>
      </c>
      <c r="Q338" s="142" t="s">
        <v>1790</v>
      </c>
      <c r="R338" s="141" t="s">
        <v>1683</v>
      </c>
      <c r="S338" s="142" t="s">
        <v>1792</v>
      </c>
      <c r="T338" s="141" t="s">
        <v>1797</v>
      </c>
      <c r="U338" s="142" t="s">
        <v>1796</v>
      </c>
      <c r="V338" s="142" t="s">
        <v>559</v>
      </c>
      <c r="W338" s="141">
        <f t="shared" si="11"/>
        <v>1</v>
      </c>
      <c r="X338" s="143"/>
      <c r="Y338" s="145"/>
      <c r="AA338"/>
    </row>
    <row r="339" spans="1:27" s="115" customFormat="1" ht="27" customHeight="1">
      <c r="A339" s="139">
        <v>314</v>
      </c>
      <c r="B339" s="140" t="s">
        <v>4846</v>
      </c>
      <c r="C339" s="141" t="s">
        <v>1429</v>
      </c>
      <c r="D339" s="142" t="s">
        <v>1430</v>
      </c>
      <c r="E339" s="141" t="s">
        <v>1752</v>
      </c>
      <c r="F339" s="142" t="s">
        <v>1790</v>
      </c>
      <c r="G339" s="141" t="s">
        <v>1791</v>
      </c>
      <c r="H339" s="142" t="s">
        <v>1792</v>
      </c>
      <c r="I339" s="141" t="s">
        <v>1793</v>
      </c>
      <c r="J339" s="142" t="s">
        <v>1796</v>
      </c>
      <c r="K339" s="142" t="s">
        <v>560</v>
      </c>
      <c r="L339" s="143">
        <f t="shared" si="10"/>
        <v>1</v>
      </c>
      <c r="M339" s="144">
        <v>23199</v>
      </c>
      <c r="N339" s="141" t="s">
        <v>1429</v>
      </c>
      <c r="O339" s="142" t="s">
        <v>1430</v>
      </c>
      <c r="P339" s="141" t="s">
        <v>1681</v>
      </c>
      <c r="Q339" s="142" t="s">
        <v>1790</v>
      </c>
      <c r="R339" s="141" t="s">
        <v>1683</v>
      </c>
      <c r="S339" s="142" t="s">
        <v>1792</v>
      </c>
      <c r="T339" s="141" t="s">
        <v>1797</v>
      </c>
      <c r="U339" s="142" t="s">
        <v>1796</v>
      </c>
      <c r="V339" s="142" t="s">
        <v>560</v>
      </c>
      <c r="W339" s="141">
        <f t="shared" si="11"/>
        <v>1</v>
      </c>
      <c r="X339" s="143"/>
      <c r="Y339" s="145"/>
      <c r="AA339"/>
    </row>
    <row r="340" spans="1:27" s="115" customFormat="1" ht="27" customHeight="1">
      <c r="A340" s="139">
        <v>315</v>
      </c>
      <c r="B340" s="140" t="s">
        <v>4847</v>
      </c>
      <c r="C340" s="141" t="s">
        <v>1429</v>
      </c>
      <c r="D340" s="142" t="s">
        <v>1430</v>
      </c>
      <c r="E340" s="141" t="s">
        <v>1752</v>
      </c>
      <c r="F340" s="142" t="s">
        <v>1790</v>
      </c>
      <c r="G340" s="141" t="s">
        <v>1800</v>
      </c>
      <c r="H340" s="142" t="s">
        <v>1801</v>
      </c>
      <c r="I340" s="141" t="s">
        <v>1802</v>
      </c>
      <c r="J340" s="142" t="s">
        <v>1803</v>
      </c>
      <c r="K340" s="142" t="s">
        <v>561</v>
      </c>
      <c r="L340" s="143">
        <f t="shared" si="10"/>
        <v>1</v>
      </c>
      <c r="M340" s="144">
        <v>23221</v>
      </c>
      <c r="N340" s="141" t="s">
        <v>1429</v>
      </c>
      <c r="O340" s="142" t="s">
        <v>1430</v>
      </c>
      <c r="P340" s="141" t="s">
        <v>1681</v>
      </c>
      <c r="Q340" s="142" t="s">
        <v>1790</v>
      </c>
      <c r="R340" s="141" t="s">
        <v>1687</v>
      </c>
      <c r="S340" s="142" t="s">
        <v>1801</v>
      </c>
      <c r="T340" s="141" t="s">
        <v>1697</v>
      </c>
      <c r="U340" s="142" t="s">
        <v>1803</v>
      </c>
      <c r="V340" s="142" t="s">
        <v>561</v>
      </c>
      <c r="W340" s="141">
        <f t="shared" si="11"/>
        <v>1</v>
      </c>
      <c r="X340" s="143"/>
      <c r="Y340" s="145"/>
      <c r="AA340"/>
    </row>
    <row r="341" spans="1:27" s="115" customFormat="1" ht="27" customHeight="1">
      <c r="A341" s="139">
        <v>316</v>
      </c>
      <c r="B341" s="140" t="s">
        <v>4848</v>
      </c>
      <c r="C341" s="141" t="s">
        <v>1429</v>
      </c>
      <c r="D341" s="142" t="s">
        <v>1430</v>
      </c>
      <c r="E341" s="141" t="s">
        <v>1752</v>
      </c>
      <c r="F341" s="142" t="s">
        <v>1790</v>
      </c>
      <c r="G341" s="141" t="s">
        <v>1800</v>
      </c>
      <c r="H341" s="142" t="s">
        <v>1801</v>
      </c>
      <c r="I341" s="141" t="s">
        <v>1802</v>
      </c>
      <c r="J341" s="142" t="s">
        <v>1803</v>
      </c>
      <c r="K341" s="142" t="s">
        <v>562</v>
      </c>
      <c r="L341" s="143">
        <f t="shared" si="10"/>
        <v>1</v>
      </c>
      <c r="M341" s="144">
        <v>23222</v>
      </c>
      <c r="N341" s="141" t="s">
        <v>1429</v>
      </c>
      <c r="O341" s="142" t="s">
        <v>1430</v>
      </c>
      <c r="P341" s="141" t="s">
        <v>1681</v>
      </c>
      <c r="Q341" s="142" t="s">
        <v>1790</v>
      </c>
      <c r="R341" s="141" t="s">
        <v>1687</v>
      </c>
      <c r="S341" s="142" t="s">
        <v>1801</v>
      </c>
      <c r="T341" s="141" t="s">
        <v>1697</v>
      </c>
      <c r="U341" s="142" t="s">
        <v>1803</v>
      </c>
      <c r="V341" s="142" t="s">
        <v>562</v>
      </c>
      <c r="W341" s="141">
        <f t="shared" si="11"/>
        <v>1</v>
      </c>
      <c r="X341" s="143"/>
      <c r="Y341" s="145"/>
      <c r="AA341"/>
    </row>
    <row r="342" spans="1:27" s="115" customFormat="1" ht="27" customHeight="1">
      <c r="A342" s="139">
        <v>317</v>
      </c>
      <c r="B342" s="140" t="s">
        <v>4849</v>
      </c>
      <c r="C342" s="141" t="s">
        <v>1429</v>
      </c>
      <c r="D342" s="142" t="s">
        <v>1430</v>
      </c>
      <c r="E342" s="141" t="s">
        <v>1752</v>
      </c>
      <c r="F342" s="142" t="s">
        <v>1790</v>
      </c>
      <c r="G342" s="141" t="s">
        <v>1800</v>
      </c>
      <c r="H342" s="142" t="s">
        <v>1801</v>
      </c>
      <c r="I342" s="141" t="s">
        <v>1802</v>
      </c>
      <c r="J342" s="142" t="s">
        <v>1803</v>
      </c>
      <c r="K342" s="142" t="s">
        <v>563</v>
      </c>
      <c r="L342" s="143">
        <f t="shared" si="10"/>
        <v>1</v>
      </c>
      <c r="M342" s="144">
        <v>23229</v>
      </c>
      <c r="N342" s="141" t="s">
        <v>1429</v>
      </c>
      <c r="O342" s="142" t="s">
        <v>1430</v>
      </c>
      <c r="P342" s="141" t="s">
        <v>1681</v>
      </c>
      <c r="Q342" s="142" t="s">
        <v>1790</v>
      </c>
      <c r="R342" s="141" t="s">
        <v>1687</v>
      </c>
      <c r="S342" s="142" t="s">
        <v>1801</v>
      </c>
      <c r="T342" s="141" t="s">
        <v>1697</v>
      </c>
      <c r="U342" s="142" t="s">
        <v>1803</v>
      </c>
      <c r="V342" s="142" t="s">
        <v>563</v>
      </c>
      <c r="W342" s="141">
        <f t="shared" si="11"/>
        <v>1</v>
      </c>
      <c r="X342" s="143"/>
      <c r="Y342" s="145"/>
      <c r="AA342"/>
    </row>
    <row r="343" spans="1:27" s="115" customFormat="1" ht="27" customHeight="1">
      <c r="A343" s="139">
        <v>318</v>
      </c>
      <c r="B343" s="140" t="s">
        <v>4850</v>
      </c>
      <c r="C343" s="141" t="s">
        <v>1429</v>
      </c>
      <c r="D343" s="142" t="s">
        <v>1430</v>
      </c>
      <c r="E343" s="141" t="s">
        <v>1752</v>
      </c>
      <c r="F343" s="142" t="s">
        <v>1790</v>
      </c>
      <c r="G343" s="141" t="s">
        <v>1800</v>
      </c>
      <c r="H343" s="142" t="s">
        <v>1801</v>
      </c>
      <c r="I343" s="141" t="s">
        <v>1804</v>
      </c>
      <c r="J343" s="142" t="s">
        <v>1805</v>
      </c>
      <c r="K343" s="142" t="s">
        <v>564</v>
      </c>
      <c r="L343" s="143">
        <f t="shared" si="10"/>
        <v>1</v>
      </c>
      <c r="M343" s="144">
        <v>23211</v>
      </c>
      <c r="N343" s="141" t="s">
        <v>1429</v>
      </c>
      <c r="O343" s="142" t="s">
        <v>1430</v>
      </c>
      <c r="P343" s="141" t="s">
        <v>1681</v>
      </c>
      <c r="Q343" s="142" t="s">
        <v>1790</v>
      </c>
      <c r="R343" s="141" t="s">
        <v>1687</v>
      </c>
      <c r="S343" s="142" t="s">
        <v>1801</v>
      </c>
      <c r="T343" s="141" t="s">
        <v>1689</v>
      </c>
      <c r="U343" s="142" t="s">
        <v>1805</v>
      </c>
      <c r="V343" s="142" t="s">
        <v>564</v>
      </c>
      <c r="W343" s="141">
        <f t="shared" si="11"/>
        <v>1</v>
      </c>
      <c r="X343" s="143"/>
      <c r="Y343" s="145"/>
      <c r="AA343"/>
    </row>
    <row r="344" spans="1:27" s="115" customFormat="1" ht="27" customHeight="1">
      <c r="A344" s="139">
        <v>319</v>
      </c>
      <c r="B344" s="140" t="s">
        <v>4851</v>
      </c>
      <c r="C344" s="141" t="s">
        <v>1429</v>
      </c>
      <c r="D344" s="142" t="s">
        <v>1430</v>
      </c>
      <c r="E344" s="141" t="s">
        <v>1752</v>
      </c>
      <c r="F344" s="142" t="s">
        <v>1790</v>
      </c>
      <c r="G344" s="141" t="s">
        <v>1800</v>
      </c>
      <c r="H344" s="142" t="s">
        <v>1801</v>
      </c>
      <c r="I344" s="141" t="s">
        <v>1804</v>
      </c>
      <c r="J344" s="142" t="s">
        <v>1805</v>
      </c>
      <c r="K344" s="142" t="s">
        <v>565</v>
      </c>
      <c r="L344" s="143">
        <f t="shared" si="10"/>
        <v>1</v>
      </c>
      <c r="M344" s="144">
        <v>23212</v>
      </c>
      <c r="N344" s="141" t="s">
        <v>1429</v>
      </c>
      <c r="O344" s="142" t="s">
        <v>1430</v>
      </c>
      <c r="P344" s="141" t="s">
        <v>1681</v>
      </c>
      <c r="Q344" s="142" t="s">
        <v>1790</v>
      </c>
      <c r="R344" s="141" t="s">
        <v>1687</v>
      </c>
      <c r="S344" s="142" t="s">
        <v>1801</v>
      </c>
      <c r="T344" s="141" t="s">
        <v>1689</v>
      </c>
      <c r="U344" s="142" t="s">
        <v>1805</v>
      </c>
      <c r="V344" s="142" t="s">
        <v>565</v>
      </c>
      <c r="W344" s="141">
        <f t="shared" si="11"/>
        <v>1</v>
      </c>
      <c r="X344" s="143"/>
      <c r="Y344" s="145"/>
      <c r="AA344"/>
    </row>
    <row r="345" spans="1:27" s="115" customFormat="1" ht="27" customHeight="1">
      <c r="A345" s="139">
        <v>320</v>
      </c>
      <c r="B345" s="140" t="s">
        <v>4852</v>
      </c>
      <c r="C345" s="141" t="s">
        <v>1429</v>
      </c>
      <c r="D345" s="142" t="s">
        <v>1430</v>
      </c>
      <c r="E345" s="141" t="s">
        <v>1752</v>
      </c>
      <c r="F345" s="142" t="s">
        <v>1790</v>
      </c>
      <c r="G345" s="141" t="s">
        <v>1800</v>
      </c>
      <c r="H345" s="142" t="s">
        <v>1801</v>
      </c>
      <c r="I345" s="141" t="s">
        <v>1806</v>
      </c>
      <c r="J345" s="142" t="s">
        <v>1807</v>
      </c>
      <c r="K345" s="142" t="s">
        <v>566</v>
      </c>
      <c r="L345" s="143">
        <f t="shared" si="10"/>
        <v>1</v>
      </c>
      <c r="M345" s="144">
        <v>23232</v>
      </c>
      <c r="N345" s="141" t="s">
        <v>1429</v>
      </c>
      <c r="O345" s="142" t="s">
        <v>1430</v>
      </c>
      <c r="P345" s="141" t="s">
        <v>1681</v>
      </c>
      <c r="Q345" s="142" t="s">
        <v>1790</v>
      </c>
      <c r="R345" s="141" t="s">
        <v>1687</v>
      </c>
      <c r="S345" s="142" t="s">
        <v>1801</v>
      </c>
      <c r="T345" s="141" t="s">
        <v>1808</v>
      </c>
      <c r="U345" s="142" t="s">
        <v>1807</v>
      </c>
      <c r="V345" s="142" t="s">
        <v>566</v>
      </c>
      <c r="W345" s="141">
        <f t="shared" si="11"/>
        <v>1</v>
      </c>
      <c r="X345" s="143"/>
      <c r="Y345" s="145"/>
      <c r="AA345"/>
    </row>
    <row r="346" spans="1:27" s="115" customFormat="1" ht="27" customHeight="1">
      <c r="A346" s="139">
        <v>321</v>
      </c>
      <c r="B346" s="140" t="s">
        <v>4853</v>
      </c>
      <c r="C346" s="141" t="s">
        <v>1429</v>
      </c>
      <c r="D346" s="142" t="s">
        <v>1430</v>
      </c>
      <c r="E346" s="141" t="s">
        <v>1752</v>
      </c>
      <c r="F346" s="142" t="s">
        <v>1790</v>
      </c>
      <c r="G346" s="141" t="s">
        <v>1800</v>
      </c>
      <c r="H346" s="142" t="s">
        <v>1801</v>
      </c>
      <c r="I346" s="141" t="s">
        <v>1806</v>
      </c>
      <c r="J346" s="142" t="s">
        <v>1807</v>
      </c>
      <c r="K346" s="142" t="s">
        <v>567</v>
      </c>
      <c r="L346" s="143">
        <f t="shared" si="10"/>
        <v>1</v>
      </c>
      <c r="M346" s="144">
        <v>23231</v>
      </c>
      <c r="N346" s="141" t="s">
        <v>1429</v>
      </c>
      <c r="O346" s="142" t="s">
        <v>1430</v>
      </c>
      <c r="P346" s="141" t="s">
        <v>1681</v>
      </c>
      <c r="Q346" s="142" t="s">
        <v>1790</v>
      </c>
      <c r="R346" s="141" t="s">
        <v>1687</v>
      </c>
      <c r="S346" s="142" t="s">
        <v>1801</v>
      </c>
      <c r="T346" s="141" t="s">
        <v>1808</v>
      </c>
      <c r="U346" s="142" t="s">
        <v>1807</v>
      </c>
      <c r="V346" s="142" t="s">
        <v>567</v>
      </c>
      <c r="W346" s="141">
        <f t="shared" si="11"/>
        <v>1</v>
      </c>
      <c r="X346" s="143"/>
      <c r="Y346" s="145"/>
      <c r="AA346"/>
    </row>
    <row r="347" spans="1:27" s="115" customFormat="1" ht="27" customHeight="1">
      <c r="A347" s="139">
        <v>322</v>
      </c>
      <c r="B347" s="140" t="s">
        <v>4854</v>
      </c>
      <c r="C347" s="141" t="s">
        <v>1429</v>
      </c>
      <c r="D347" s="142" t="s">
        <v>1430</v>
      </c>
      <c r="E347" s="141" t="s">
        <v>1752</v>
      </c>
      <c r="F347" s="142" t="s">
        <v>1790</v>
      </c>
      <c r="G347" s="141" t="s">
        <v>1800</v>
      </c>
      <c r="H347" s="142" t="s">
        <v>1801</v>
      </c>
      <c r="I347" s="141" t="s">
        <v>1806</v>
      </c>
      <c r="J347" s="142" t="s">
        <v>1807</v>
      </c>
      <c r="K347" s="142" t="s">
        <v>568</v>
      </c>
      <c r="L347" s="143">
        <f t="shared" si="10"/>
        <v>1</v>
      </c>
      <c r="M347" s="144">
        <v>23239</v>
      </c>
      <c r="N347" s="141" t="s">
        <v>1429</v>
      </c>
      <c r="O347" s="142" t="s">
        <v>1430</v>
      </c>
      <c r="P347" s="141" t="s">
        <v>1681</v>
      </c>
      <c r="Q347" s="142" t="s">
        <v>1790</v>
      </c>
      <c r="R347" s="141" t="s">
        <v>1687</v>
      </c>
      <c r="S347" s="142" t="s">
        <v>1801</v>
      </c>
      <c r="T347" s="141" t="s">
        <v>1808</v>
      </c>
      <c r="U347" s="142" t="s">
        <v>1807</v>
      </c>
      <c r="V347" s="142" t="s">
        <v>568</v>
      </c>
      <c r="W347" s="141">
        <f t="shared" si="11"/>
        <v>1</v>
      </c>
      <c r="X347" s="143"/>
      <c r="Y347" s="145"/>
      <c r="AA347"/>
    </row>
    <row r="348" spans="1:27" s="115" customFormat="1" ht="27" customHeight="1">
      <c r="A348" s="139">
        <v>323</v>
      </c>
      <c r="B348" s="140" t="s">
        <v>4855</v>
      </c>
      <c r="C348" s="141" t="s">
        <v>1429</v>
      </c>
      <c r="D348" s="142" t="s">
        <v>1430</v>
      </c>
      <c r="E348" s="141" t="s">
        <v>1752</v>
      </c>
      <c r="F348" s="142" t="s">
        <v>1790</v>
      </c>
      <c r="G348" s="141" t="s">
        <v>1800</v>
      </c>
      <c r="H348" s="142" t="s">
        <v>1809</v>
      </c>
      <c r="I348" s="141" t="s">
        <v>1810</v>
      </c>
      <c r="J348" s="142" t="s">
        <v>1811</v>
      </c>
      <c r="K348" s="142" t="s">
        <v>569</v>
      </c>
      <c r="L348" s="143">
        <f t="shared" si="10"/>
        <v>1</v>
      </c>
      <c r="M348" s="144">
        <v>23311</v>
      </c>
      <c r="N348" s="141" t="s">
        <v>1429</v>
      </c>
      <c r="O348" s="142" t="s">
        <v>1430</v>
      </c>
      <c r="P348" s="141" t="s">
        <v>1681</v>
      </c>
      <c r="Q348" s="142" t="s">
        <v>1790</v>
      </c>
      <c r="R348" s="141" t="s">
        <v>1812</v>
      </c>
      <c r="S348" s="142" t="s">
        <v>1809</v>
      </c>
      <c r="T348" s="141" t="s">
        <v>1813</v>
      </c>
      <c r="U348" s="142" t="s">
        <v>1811</v>
      </c>
      <c r="V348" s="142" t="s">
        <v>569</v>
      </c>
      <c r="W348" s="141">
        <f t="shared" si="11"/>
        <v>1</v>
      </c>
      <c r="X348" s="143"/>
      <c r="Y348" s="145"/>
      <c r="AA348"/>
    </row>
    <row r="349" spans="1:27" s="115" customFormat="1" ht="27" customHeight="1">
      <c r="A349" s="139">
        <v>324</v>
      </c>
      <c r="B349" s="140" t="s">
        <v>4856</v>
      </c>
      <c r="C349" s="141" t="s">
        <v>1429</v>
      </c>
      <c r="D349" s="142" t="s">
        <v>1430</v>
      </c>
      <c r="E349" s="141" t="s">
        <v>1752</v>
      </c>
      <c r="F349" s="142" t="s">
        <v>1790</v>
      </c>
      <c r="G349" s="141" t="s">
        <v>1800</v>
      </c>
      <c r="H349" s="142" t="s">
        <v>1809</v>
      </c>
      <c r="I349" s="141" t="s">
        <v>1810</v>
      </c>
      <c r="J349" s="142" t="s">
        <v>1811</v>
      </c>
      <c r="K349" s="142" t="s">
        <v>142</v>
      </c>
      <c r="L349" s="143">
        <f t="shared" si="10"/>
        <v>1</v>
      </c>
      <c r="M349" s="144">
        <v>23312</v>
      </c>
      <c r="N349" s="141" t="s">
        <v>1429</v>
      </c>
      <c r="O349" s="142" t="s">
        <v>1430</v>
      </c>
      <c r="P349" s="141" t="s">
        <v>1681</v>
      </c>
      <c r="Q349" s="142" t="s">
        <v>1790</v>
      </c>
      <c r="R349" s="141" t="s">
        <v>1812</v>
      </c>
      <c r="S349" s="142" t="s">
        <v>1809</v>
      </c>
      <c r="T349" s="141" t="s">
        <v>1813</v>
      </c>
      <c r="U349" s="142" t="s">
        <v>1811</v>
      </c>
      <c r="V349" s="142" t="s">
        <v>142</v>
      </c>
      <c r="W349" s="141">
        <f t="shared" si="11"/>
        <v>2</v>
      </c>
      <c r="X349" s="143">
        <v>2</v>
      </c>
      <c r="Y349" s="145" t="s">
        <v>1814</v>
      </c>
      <c r="AA349"/>
    </row>
    <row r="350" spans="1:27" s="115" customFormat="1" ht="27" customHeight="1">
      <c r="A350" s="139">
        <v>325</v>
      </c>
      <c r="B350" s="140" t="s">
        <v>4857</v>
      </c>
      <c r="C350" s="141" t="s">
        <v>1429</v>
      </c>
      <c r="D350" s="142" t="s">
        <v>1430</v>
      </c>
      <c r="E350" s="141" t="s">
        <v>1752</v>
      </c>
      <c r="F350" s="142" t="s">
        <v>1790</v>
      </c>
      <c r="G350" s="141" t="s">
        <v>1800</v>
      </c>
      <c r="H350" s="142" t="s">
        <v>1809</v>
      </c>
      <c r="I350" s="141" t="s">
        <v>1810</v>
      </c>
      <c r="J350" s="142" t="s">
        <v>1811</v>
      </c>
      <c r="K350" s="142" t="s">
        <v>142</v>
      </c>
      <c r="L350" s="143">
        <f t="shared" si="10"/>
        <v>1</v>
      </c>
      <c r="M350" s="144">
        <v>23312</v>
      </c>
      <c r="N350" s="141" t="s">
        <v>1429</v>
      </c>
      <c r="O350" s="142" t="s">
        <v>1430</v>
      </c>
      <c r="P350" s="141" t="s">
        <v>1681</v>
      </c>
      <c r="Q350" s="142" t="s">
        <v>1790</v>
      </c>
      <c r="R350" s="141" t="s">
        <v>1812</v>
      </c>
      <c r="S350" s="142" t="s">
        <v>1809</v>
      </c>
      <c r="T350" s="141" t="s">
        <v>1813</v>
      </c>
      <c r="U350" s="142" t="s">
        <v>1811</v>
      </c>
      <c r="V350" s="142" t="s">
        <v>142</v>
      </c>
      <c r="W350" s="141">
        <f t="shared" si="11"/>
        <v>2</v>
      </c>
      <c r="X350" s="143">
        <v>2</v>
      </c>
      <c r="Y350" s="145" t="s">
        <v>1815</v>
      </c>
      <c r="AA350"/>
    </row>
    <row r="351" spans="1:27" s="115" customFormat="1" ht="27" customHeight="1">
      <c r="A351" s="139">
        <v>326</v>
      </c>
      <c r="B351" s="140" t="s">
        <v>4858</v>
      </c>
      <c r="C351" s="141" t="s">
        <v>1429</v>
      </c>
      <c r="D351" s="142" t="s">
        <v>1430</v>
      </c>
      <c r="E351" s="141" t="s">
        <v>1752</v>
      </c>
      <c r="F351" s="142" t="s">
        <v>1790</v>
      </c>
      <c r="G351" s="141" t="s">
        <v>1800</v>
      </c>
      <c r="H351" s="142" t="s">
        <v>1809</v>
      </c>
      <c r="I351" s="141" t="s">
        <v>1816</v>
      </c>
      <c r="J351" s="142" t="s">
        <v>1817</v>
      </c>
      <c r="K351" s="142" t="s">
        <v>570</v>
      </c>
      <c r="L351" s="143">
        <f t="shared" si="10"/>
        <v>1</v>
      </c>
      <c r="M351" s="144">
        <v>23322</v>
      </c>
      <c r="N351" s="141" t="s">
        <v>1429</v>
      </c>
      <c r="O351" s="142" t="s">
        <v>1430</v>
      </c>
      <c r="P351" s="141" t="s">
        <v>1681</v>
      </c>
      <c r="Q351" s="142" t="s">
        <v>1790</v>
      </c>
      <c r="R351" s="141" t="s">
        <v>1812</v>
      </c>
      <c r="S351" s="142" t="s">
        <v>1809</v>
      </c>
      <c r="T351" s="141" t="s">
        <v>1818</v>
      </c>
      <c r="U351" s="142" t="s">
        <v>1817</v>
      </c>
      <c r="V351" s="142" t="s">
        <v>570</v>
      </c>
      <c r="W351" s="141">
        <f t="shared" si="11"/>
        <v>1</v>
      </c>
      <c r="X351" s="143"/>
      <c r="Y351" s="145"/>
      <c r="AA351"/>
    </row>
    <row r="352" spans="1:27" s="115" customFormat="1" ht="27" customHeight="1">
      <c r="A352" s="139">
        <v>327</v>
      </c>
      <c r="B352" s="140" t="s">
        <v>4859</v>
      </c>
      <c r="C352" s="141" t="s">
        <v>1429</v>
      </c>
      <c r="D352" s="142" t="s">
        <v>1430</v>
      </c>
      <c r="E352" s="141" t="s">
        <v>1752</v>
      </c>
      <c r="F352" s="142" t="s">
        <v>1790</v>
      </c>
      <c r="G352" s="141" t="s">
        <v>1800</v>
      </c>
      <c r="H352" s="142" t="s">
        <v>1809</v>
      </c>
      <c r="I352" s="141" t="s">
        <v>1816</v>
      </c>
      <c r="J352" s="142" t="s">
        <v>1817</v>
      </c>
      <c r="K352" s="142" t="s">
        <v>571</v>
      </c>
      <c r="L352" s="143">
        <f t="shared" si="10"/>
        <v>1</v>
      </c>
      <c r="M352" s="144">
        <v>23323</v>
      </c>
      <c r="N352" s="141" t="s">
        <v>1429</v>
      </c>
      <c r="O352" s="142" t="s">
        <v>1430</v>
      </c>
      <c r="P352" s="141" t="s">
        <v>1681</v>
      </c>
      <c r="Q352" s="142" t="s">
        <v>1790</v>
      </c>
      <c r="R352" s="141" t="s">
        <v>1812</v>
      </c>
      <c r="S352" s="142" t="s">
        <v>1809</v>
      </c>
      <c r="T352" s="141" t="s">
        <v>1818</v>
      </c>
      <c r="U352" s="142" t="s">
        <v>1817</v>
      </c>
      <c r="V352" s="142" t="s">
        <v>571</v>
      </c>
      <c r="W352" s="141">
        <f t="shared" si="11"/>
        <v>1</v>
      </c>
      <c r="X352" s="143"/>
      <c r="Y352" s="145"/>
      <c r="AA352"/>
    </row>
    <row r="353" spans="1:27" s="115" customFormat="1" ht="27" customHeight="1">
      <c r="A353" s="139">
        <v>328</v>
      </c>
      <c r="B353" s="140" t="s">
        <v>4860</v>
      </c>
      <c r="C353" s="141" t="s">
        <v>1429</v>
      </c>
      <c r="D353" s="142" t="s">
        <v>1430</v>
      </c>
      <c r="E353" s="141" t="s">
        <v>1752</v>
      </c>
      <c r="F353" s="142" t="s">
        <v>1790</v>
      </c>
      <c r="G353" s="141" t="s">
        <v>1800</v>
      </c>
      <c r="H353" s="142" t="s">
        <v>1809</v>
      </c>
      <c r="I353" s="141" t="s">
        <v>1816</v>
      </c>
      <c r="J353" s="142" t="s">
        <v>1817</v>
      </c>
      <c r="K353" s="142" t="s">
        <v>572</v>
      </c>
      <c r="L353" s="143">
        <f t="shared" si="10"/>
        <v>1</v>
      </c>
      <c r="M353" s="144">
        <v>23325</v>
      </c>
      <c r="N353" s="141" t="s">
        <v>1429</v>
      </c>
      <c r="O353" s="142" t="s">
        <v>1430</v>
      </c>
      <c r="P353" s="141" t="s">
        <v>1681</v>
      </c>
      <c r="Q353" s="142" t="s">
        <v>1790</v>
      </c>
      <c r="R353" s="141" t="s">
        <v>1812</v>
      </c>
      <c r="S353" s="142" t="s">
        <v>1809</v>
      </c>
      <c r="T353" s="141" t="s">
        <v>1818</v>
      </c>
      <c r="U353" s="142" t="s">
        <v>1817</v>
      </c>
      <c r="V353" s="142" t="s">
        <v>572</v>
      </c>
      <c r="W353" s="141">
        <f t="shared" si="11"/>
        <v>2</v>
      </c>
      <c r="X353" s="143"/>
      <c r="Y353" s="145" t="s">
        <v>1819</v>
      </c>
      <c r="AA353"/>
    </row>
    <row r="354" spans="1:27" s="115" customFormat="1" ht="27" customHeight="1">
      <c r="A354" s="139">
        <v>329</v>
      </c>
      <c r="B354" s="140" t="s">
        <v>4861</v>
      </c>
      <c r="C354" s="141" t="s">
        <v>1429</v>
      </c>
      <c r="D354" s="142" t="s">
        <v>1430</v>
      </c>
      <c r="E354" s="141" t="s">
        <v>1752</v>
      </c>
      <c r="F354" s="142" t="s">
        <v>1790</v>
      </c>
      <c r="G354" s="141" t="s">
        <v>1800</v>
      </c>
      <c r="H354" s="142" t="s">
        <v>1809</v>
      </c>
      <c r="I354" s="141" t="s">
        <v>1816</v>
      </c>
      <c r="J354" s="142" t="s">
        <v>1817</v>
      </c>
      <c r="K354" s="142" t="s">
        <v>573</v>
      </c>
      <c r="L354" s="143">
        <f t="shared" si="10"/>
        <v>1</v>
      </c>
      <c r="M354" s="144">
        <v>23324</v>
      </c>
      <c r="N354" s="141" t="s">
        <v>1429</v>
      </c>
      <c r="O354" s="142" t="s">
        <v>1430</v>
      </c>
      <c r="P354" s="141" t="s">
        <v>1681</v>
      </c>
      <c r="Q354" s="142" t="s">
        <v>1790</v>
      </c>
      <c r="R354" s="141" t="s">
        <v>1812</v>
      </c>
      <c r="S354" s="142" t="s">
        <v>1809</v>
      </c>
      <c r="T354" s="141" t="s">
        <v>1818</v>
      </c>
      <c r="U354" s="142" t="s">
        <v>1817</v>
      </c>
      <c r="V354" s="142" t="s">
        <v>573</v>
      </c>
      <c r="W354" s="141">
        <f t="shared" si="11"/>
        <v>2</v>
      </c>
      <c r="X354" s="143">
        <v>1</v>
      </c>
      <c r="Y354" s="145"/>
      <c r="AA354"/>
    </row>
    <row r="355" spans="1:27" s="115" customFormat="1" ht="27" customHeight="1">
      <c r="A355" s="139">
        <v>330</v>
      </c>
      <c r="B355" s="140" t="s">
        <v>4862</v>
      </c>
      <c r="C355" s="141" t="s">
        <v>1429</v>
      </c>
      <c r="D355" s="142" t="s">
        <v>1430</v>
      </c>
      <c r="E355" s="141" t="s">
        <v>1752</v>
      </c>
      <c r="F355" s="142" t="s">
        <v>1790</v>
      </c>
      <c r="G355" s="141" t="s">
        <v>1800</v>
      </c>
      <c r="H355" s="142" t="s">
        <v>1809</v>
      </c>
      <c r="I355" s="141" t="s">
        <v>1816</v>
      </c>
      <c r="J355" s="142" t="s">
        <v>1817</v>
      </c>
      <c r="K355" s="142" t="s">
        <v>574</v>
      </c>
      <c r="L355" s="143">
        <f t="shared" si="10"/>
        <v>1</v>
      </c>
      <c r="M355" s="144">
        <v>23321</v>
      </c>
      <c r="N355" s="141" t="s">
        <v>1429</v>
      </c>
      <c r="O355" s="142" t="s">
        <v>1430</v>
      </c>
      <c r="P355" s="141" t="s">
        <v>1681</v>
      </c>
      <c r="Q355" s="142" t="s">
        <v>1790</v>
      </c>
      <c r="R355" s="141" t="s">
        <v>1812</v>
      </c>
      <c r="S355" s="142" t="s">
        <v>1809</v>
      </c>
      <c r="T355" s="141" t="s">
        <v>1818</v>
      </c>
      <c r="U355" s="142" t="s">
        <v>1817</v>
      </c>
      <c r="V355" s="142" t="s">
        <v>574</v>
      </c>
      <c r="W355" s="141">
        <f t="shared" si="11"/>
        <v>1</v>
      </c>
      <c r="X355" s="143"/>
      <c r="Y355" s="145"/>
      <c r="AA355"/>
    </row>
    <row r="356" spans="1:27" s="115" customFormat="1" ht="27" customHeight="1">
      <c r="A356" s="139">
        <v>331</v>
      </c>
      <c r="B356" s="140" t="s">
        <v>4863</v>
      </c>
      <c r="C356" s="141" t="s">
        <v>1429</v>
      </c>
      <c r="D356" s="142" t="s">
        <v>1430</v>
      </c>
      <c r="E356" s="141" t="s">
        <v>1752</v>
      </c>
      <c r="F356" s="142" t="s">
        <v>1790</v>
      </c>
      <c r="G356" s="141" t="s">
        <v>1800</v>
      </c>
      <c r="H356" s="142" t="s">
        <v>1809</v>
      </c>
      <c r="I356" s="141" t="s">
        <v>1816</v>
      </c>
      <c r="J356" s="142" t="s">
        <v>1817</v>
      </c>
      <c r="K356" s="142" t="s">
        <v>575</v>
      </c>
      <c r="L356" s="143">
        <f t="shared" si="10"/>
        <v>1</v>
      </c>
      <c r="M356" s="144">
        <v>23329</v>
      </c>
      <c r="N356" s="141" t="s">
        <v>1429</v>
      </c>
      <c r="O356" s="142" t="s">
        <v>1430</v>
      </c>
      <c r="P356" s="141" t="s">
        <v>1681</v>
      </c>
      <c r="Q356" s="142" t="s">
        <v>1790</v>
      </c>
      <c r="R356" s="141" t="s">
        <v>1812</v>
      </c>
      <c r="S356" s="142" t="s">
        <v>1809</v>
      </c>
      <c r="T356" s="141" t="s">
        <v>1818</v>
      </c>
      <c r="U356" s="142" t="s">
        <v>1817</v>
      </c>
      <c r="V356" s="142" t="s">
        <v>575</v>
      </c>
      <c r="W356" s="141">
        <f t="shared" si="11"/>
        <v>2</v>
      </c>
      <c r="X356" s="143"/>
      <c r="Y356" s="145" t="s">
        <v>1820</v>
      </c>
      <c r="AA356"/>
    </row>
    <row r="357" spans="1:27" s="115" customFormat="1" ht="27" customHeight="1">
      <c r="A357" s="139">
        <v>332</v>
      </c>
      <c r="B357" s="140" t="s">
        <v>4864</v>
      </c>
      <c r="C357" s="141" t="s">
        <v>1429</v>
      </c>
      <c r="D357" s="142" t="s">
        <v>1430</v>
      </c>
      <c r="E357" s="141" t="s">
        <v>1752</v>
      </c>
      <c r="F357" s="142" t="s">
        <v>1790</v>
      </c>
      <c r="G357" s="141" t="s">
        <v>1800</v>
      </c>
      <c r="H357" s="142" t="s">
        <v>1809</v>
      </c>
      <c r="I357" s="141" t="s">
        <v>1816</v>
      </c>
      <c r="J357" s="142" t="s">
        <v>1817</v>
      </c>
      <c r="K357" s="142" t="s">
        <v>573</v>
      </c>
      <c r="L357" s="143">
        <f t="shared" si="10"/>
        <v>1</v>
      </c>
      <c r="M357" s="144">
        <v>23324</v>
      </c>
      <c r="N357" s="141" t="s">
        <v>1429</v>
      </c>
      <c r="O357" s="142" t="s">
        <v>1430</v>
      </c>
      <c r="P357" s="141" t="s">
        <v>1681</v>
      </c>
      <c r="Q357" s="142" t="s">
        <v>1790</v>
      </c>
      <c r="R357" s="141" t="s">
        <v>1812</v>
      </c>
      <c r="S357" s="142" t="s">
        <v>1809</v>
      </c>
      <c r="T357" s="141" t="s">
        <v>1818</v>
      </c>
      <c r="U357" s="142" t="s">
        <v>1817</v>
      </c>
      <c r="V357" s="142" t="s">
        <v>573</v>
      </c>
      <c r="W357" s="141">
        <f t="shared" si="11"/>
        <v>2</v>
      </c>
      <c r="X357" s="143"/>
      <c r="Y357" s="145" t="s">
        <v>1821</v>
      </c>
      <c r="AA357"/>
    </row>
    <row r="358" spans="1:27" s="115" customFormat="1" ht="27" customHeight="1">
      <c r="A358" s="139">
        <v>333</v>
      </c>
      <c r="B358" s="140" t="s">
        <v>4865</v>
      </c>
      <c r="C358" s="141" t="s">
        <v>1429</v>
      </c>
      <c r="D358" s="142" t="s">
        <v>1430</v>
      </c>
      <c r="E358" s="141" t="s">
        <v>1752</v>
      </c>
      <c r="F358" s="142" t="s">
        <v>1790</v>
      </c>
      <c r="G358" s="141" t="s">
        <v>1800</v>
      </c>
      <c r="H358" s="142" t="s">
        <v>1809</v>
      </c>
      <c r="I358" s="141" t="s">
        <v>1816</v>
      </c>
      <c r="J358" s="142" t="s">
        <v>1817</v>
      </c>
      <c r="K358" s="142" t="s">
        <v>572</v>
      </c>
      <c r="L358" s="143">
        <f t="shared" si="10"/>
        <v>1</v>
      </c>
      <c r="M358" s="144">
        <v>23325</v>
      </c>
      <c r="N358" s="141" t="s">
        <v>1429</v>
      </c>
      <c r="O358" s="142" t="s">
        <v>1430</v>
      </c>
      <c r="P358" s="141" t="s">
        <v>1681</v>
      </c>
      <c r="Q358" s="142" t="s">
        <v>1790</v>
      </c>
      <c r="R358" s="141" t="s">
        <v>1812</v>
      </c>
      <c r="S358" s="142" t="s">
        <v>1809</v>
      </c>
      <c r="T358" s="141" t="s">
        <v>1818</v>
      </c>
      <c r="U358" s="142" t="s">
        <v>1817</v>
      </c>
      <c r="V358" s="142" t="s">
        <v>572</v>
      </c>
      <c r="W358" s="141">
        <f t="shared" si="11"/>
        <v>2</v>
      </c>
      <c r="X358" s="143">
        <v>1</v>
      </c>
      <c r="Y358" s="145"/>
      <c r="AA358"/>
    </row>
    <row r="359" spans="1:27" s="115" customFormat="1" ht="27" customHeight="1">
      <c r="A359" s="139">
        <v>334</v>
      </c>
      <c r="B359" s="140" t="s">
        <v>4866</v>
      </c>
      <c r="C359" s="141" t="s">
        <v>1429</v>
      </c>
      <c r="D359" s="142" t="s">
        <v>1430</v>
      </c>
      <c r="E359" s="141" t="s">
        <v>1752</v>
      </c>
      <c r="F359" s="142" t="s">
        <v>1790</v>
      </c>
      <c r="G359" s="141" t="s">
        <v>1800</v>
      </c>
      <c r="H359" s="142" t="s">
        <v>1809</v>
      </c>
      <c r="I359" s="141" t="s">
        <v>1816</v>
      </c>
      <c r="J359" s="142" t="s">
        <v>1817</v>
      </c>
      <c r="K359" s="142" t="s">
        <v>575</v>
      </c>
      <c r="L359" s="143">
        <f t="shared" si="10"/>
        <v>1</v>
      </c>
      <c r="M359" s="144">
        <v>23329</v>
      </c>
      <c r="N359" s="141" t="s">
        <v>1429</v>
      </c>
      <c r="O359" s="142" t="s">
        <v>1430</v>
      </c>
      <c r="P359" s="141" t="s">
        <v>1681</v>
      </c>
      <c r="Q359" s="142" t="s">
        <v>1790</v>
      </c>
      <c r="R359" s="141" t="s">
        <v>1812</v>
      </c>
      <c r="S359" s="142" t="s">
        <v>1809</v>
      </c>
      <c r="T359" s="141" t="s">
        <v>1818</v>
      </c>
      <c r="U359" s="142" t="s">
        <v>1817</v>
      </c>
      <c r="V359" s="142" t="s">
        <v>575</v>
      </c>
      <c r="W359" s="141">
        <f t="shared" si="11"/>
        <v>2</v>
      </c>
      <c r="X359" s="143">
        <v>1</v>
      </c>
      <c r="Y359" s="145"/>
      <c r="AA359"/>
    </row>
    <row r="360" spans="1:27" s="115" customFormat="1" ht="27" customHeight="1">
      <c r="A360" s="139">
        <v>335</v>
      </c>
      <c r="B360" s="140" t="s">
        <v>4867</v>
      </c>
      <c r="C360" s="141" t="s">
        <v>1429</v>
      </c>
      <c r="D360" s="142" t="s">
        <v>1430</v>
      </c>
      <c r="E360" s="141" t="s">
        <v>1752</v>
      </c>
      <c r="F360" s="142" t="s">
        <v>1790</v>
      </c>
      <c r="G360" s="141" t="s">
        <v>1800</v>
      </c>
      <c r="H360" s="142" t="s">
        <v>1822</v>
      </c>
      <c r="I360" s="141" t="s">
        <v>1823</v>
      </c>
      <c r="J360" s="142" t="s">
        <v>1824</v>
      </c>
      <c r="K360" s="142" t="s">
        <v>576</v>
      </c>
      <c r="L360" s="143">
        <f t="shared" si="10"/>
        <v>1</v>
      </c>
      <c r="M360" s="144">
        <v>23911</v>
      </c>
      <c r="N360" s="141" t="s">
        <v>1429</v>
      </c>
      <c r="O360" s="142" t="s">
        <v>1430</v>
      </c>
      <c r="P360" s="141" t="s">
        <v>1681</v>
      </c>
      <c r="Q360" s="142" t="s">
        <v>1790</v>
      </c>
      <c r="R360" s="141" t="s">
        <v>1825</v>
      </c>
      <c r="S360" s="142" t="s">
        <v>1822</v>
      </c>
      <c r="T360" s="141" t="s">
        <v>1826</v>
      </c>
      <c r="U360" s="142" t="s">
        <v>1824</v>
      </c>
      <c r="V360" s="142" t="s">
        <v>576</v>
      </c>
      <c r="W360" s="141">
        <f t="shared" si="11"/>
        <v>1</v>
      </c>
      <c r="X360" s="143"/>
      <c r="Y360" s="145"/>
      <c r="AA360"/>
    </row>
    <row r="361" spans="1:27" s="115" customFormat="1" ht="27" customHeight="1">
      <c r="A361" s="139">
        <v>336</v>
      </c>
      <c r="B361" s="140" t="s">
        <v>4868</v>
      </c>
      <c r="C361" s="141" t="s">
        <v>1429</v>
      </c>
      <c r="D361" s="142" t="s">
        <v>1430</v>
      </c>
      <c r="E361" s="141" t="s">
        <v>1752</v>
      </c>
      <c r="F361" s="142" t="s">
        <v>1790</v>
      </c>
      <c r="G361" s="141" t="s">
        <v>1800</v>
      </c>
      <c r="H361" s="142" t="s">
        <v>1822</v>
      </c>
      <c r="I361" s="141" t="s">
        <v>1823</v>
      </c>
      <c r="J361" s="142" t="s">
        <v>1824</v>
      </c>
      <c r="K361" s="142" t="s">
        <v>577</v>
      </c>
      <c r="L361" s="143">
        <f t="shared" si="10"/>
        <v>1</v>
      </c>
      <c r="M361" s="144">
        <v>23919</v>
      </c>
      <c r="N361" s="141" t="s">
        <v>1429</v>
      </c>
      <c r="O361" s="142" t="s">
        <v>1430</v>
      </c>
      <c r="P361" s="141" t="s">
        <v>1681</v>
      </c>
      <c r="Q361" s="142" t="s">
        <v>1790</v>
      </c>
      <c r="R361" s="141" t="s">
        <v>1825</v>
      </c>
      <c r="S361" s="142" t="s">
        <v>1822</v>
      </c>
      <c r="T361" s="141" t="s">
        <v>1826</v>
      </c>
      <c r="U361" s="142" t="s">
        <v>1824</v>
      </c>
      <c r="V361" s="142" t="s">
        <v>577</v>
      </c>
      <c r="W361" s="141">
        <f t="shared" si="11"/>
        <v>1</v>
      </c>
      <c r="X361" s="143"/>
      <c r="Y361" s="145"/>
      <c r="AA361"/>
    </row>
    <row r="362" spans="1:27" s="115" customFormat="1" ht="27" customHeight="1">
      <c r="A362" s="139">
        <v>337</v>
      </c>
      <c r="B362" s="140" t="s">
        <v>4869</v>
      </c>
      <c r="C362" s="141" t="s">
        <v>1429</v>
      </c>
      <c r="D362" s="142" t="s">
        <v>1430</v>
      </c>
      <c r="E362" s="141" t="s">
        <v>1752</v>
      </c>
      <c r="F362" s="142" t="s">
        <v>1790</v>
      </c>
      <c r="G362" s="141" t="s">
        <v>1800</v>
      </c>
      <c r="H362" s="142" t="s">
        <v>1822</v>
      </c>
      <c r="I362" s="141" t="s">
        <v>1827</v>
      </c>
      <c r="J362" s="142" t="s">
        <v>1828</v>
      </c>
      <c r="K362" s="142" t="s">
        <v>578</v>
      </c>
      <c r="L362" s="143">
        <f t="shared" si="10"/>
        <v>1</v>
      </c>
      <c r="M362" s="144">
        <v>23994</v>
      </c>
      <c r="N362" s="141" t="s">
        <v>1429</v>
      </c>
      <c r="O362" s="142" t="s">
        <v>1430</v>
      </c>
      <c r="P362" s="141" t="s">
        <v>1681</v>
      </c>
      <c r="Q362" s="142" t="s">
        <v>1790</v>
      </c>
      <c r="R362" s="141" t="s">
        <v>1825</v>
      </c>
      <c r="S362" s="142" t="s">
        <v>1822</v>
      </c>
      <c r="T362" s="141" t="s">
        <v>1829</v>
      </c>
      <c r="U362" s="142" t="s">
        <v>1828</v>
      </c>
      <c r="V362" s="142" t="s">
        <v>578</v>
      </c>
      <c r="W362" s="141">
        <f t="shared" si="11"/>
        <v>1</v>
      </c>
      <c r="X362" s="143"/>
      <c r="Y362" s="145"/>
      <c r="AA362"/>
    </row>
    <row r="363" spans="1:27" s="115" customFormat="1" ht="27" customHeight="1">
      <c r="A363" s="139">
        <v>338</v>
      </c>
      <c r="B363" s="140" t="s">
        <v>4870</v>
      </c>
      <c r="C363" s="141" t="s">
        <v>1429</v>
      </c>
      <c r="D363" s="142" t="s">
        <v>1430</v>
      </c>
      <c r="E363" s="141" t="s">
        <v>1752</v>
      </c>
      <c r="F363" s="142" t="s">
        <v>1790</v>
      </c>
      <c r="G363" s="141" t="s">
        <v>1800</v>
      </c>
      <c r="H363" s="142" t="s">
        <v>1822</v>
      </c>
      <c r="I363" s="141" t="s">
        <v>1827</v>
      </c>
      <c r="J363" s="142" t="s">
        <v>1828</v>
      </c>
      <c r="K363" s="142" t="s">
        <v>143</v>
      </c>
      <c r="L363" s="143">
        <f t="shared" si="10"/>
        <v>1</v>
      </c>
      <c r="M363" s="144">
        <v>23992</v>
      </c>
      <c r="N363" s="141" t="s">
        <v>1429</v>
      </c>
      <c r="O363" s="142" t="s">
        <v>1430</v>
      </c>
      <c r="P363" s="141" t="s">
        <v>1681</v>
      </c>
      <c r="Q363" s="142" t="s">
        <v>1790</v>
      </c>
      <c r="R363" s="141" t="s">
        <v>1825</v>
      </c>
      <c r="S363" s="142" t="s">
        <v>1822</v>
      </c>
      <c r="T363" s="141" t="s">
        <v>1829</v>
      </c>
      <c r="U363" s="142" t="s">
        <v>1828</v>
      </c>
      <c r="V363" s="142" t="s">
        <v>143</v>
      </c>
      <c r="W363" s="141">
        <f t="shared" si="11"/>
        <v>2</v>
      </c>
      <c r="X363" s="143">
        <v>1</v>
      </c>
      <c r="Y363" s="145"/>
      <c r="AA363"/>
    </row>
    <row r="364" spans="1:27" s="115" customFormat="1" ht="27" customHeight="1">
      <c r="A364" s="139">
        <v>339</v>
      </c>
      <c r="B364" s="140" t="s">
        <v>4871</v>
      </c>
      <c r="C364" s="141" t="s">
        <v>1429</v>
      </c>
      <c r="D364" s="142" t="s">
        <v>1430</v>
      </c>
      <c r="E364" s="141" t="s">
        <v>1752</v>
      </c>
      <c r="F364" s="142" t="s">
        <v>1790</v>
      </c>
      <c r="G364" s="141" t="s">
        <v>1800</v>
      </c>
      <c r="H364" s="142" t="s">
        <v>1822</v>
      </c>
      <c r="I364" s="141" t="s">
        <v>1827</v>
      </c>
      <c r="J364" s="142" t="s">
        <v>1828</v>
      </c>
      <c r="K364" s="142" t="s">
        <v>579</v>
      </c>
      <c r="L364" s="143">
        <f t="shared" si="10"/>
        <v>1</v>
      </c>
      <c r="M364" s="144">
        <v>23991</v>
      </c>
      <c r="N364" s="141" t="s">
        <v>1429</v>
      </c>
      <c r="O364" s="142" t="s">
        <v>1430</v>
      </c>
      <c r="P364" s="141" t="s">
        <v>1681</v>
      </c>
      <c r="Q364" s="142" t="s">
        <v>1790</v>
      </c>
      <c r="R364" s="141" t="s">
        <v>1825</v>
      </c>
      <c r="S364" s="142" t="s">
        <v>1822</v>
      </c>
      <c r="T364" s="141" t="s">
        <v>1829</v>
      </c>
      <c r="U364" s="142" t="s">
        <v>1828</v>
      </c>
      <c r="V364" s="142" t="s">
        <v>579</v>
      </c>
      <c r="W364" s="141">
        <f t="shared" si="11"/>
        <v>1</v>
      </c>
      <c r="X364" s="143"/>
      <c r="Y364" s="145"/>
      <c r="AA364"/>
    </row>
    <row r="365" spans="1:27" s="115" customFormat="1" ht="27" customHeight="1">
      <c r="A365" s="139">
        <v>340</v>
      </c>
      <c r="B365" s="140" t="s">
        <v>4872</v>
      </c>
      <c r="C365" s="141" t="s">
        <v>1429</v>
      </c>
      <c r="D365" s="142" t="s">
        <v>1430</v>
      </c>
      <c r="E365" s="141" t="s">
        <v>1752</v>
      </c>
      <c r="F365" s="142" t="s">
        <v>1790</v>
      </c>
      <c r="G365" s="141" t="s">
        <v>1800</v>
      </c>
      <c r="H365" s="142" t="s">
        <v>1822</v>
      </c>
      <c r="I365" s="141" t="s">
        <v>1827</v>
      </c>
      <c r="J365" s="142" t="s">
        <v>1828</v>
      </c>
      <c r="K365" s="142" t="s">
        <v>580</v>
      </c>
      <c r="L365" s="143">
        <f t="shared" si="10"/>
        <v>1</v>
      </c>
      <c r="M365" s="144">
        <v>23993</v>
      </c>
      <c r="N365" s="141" t="s">
        <v>1429</v>
      </c>
      <c r="O365" s="142" t="s">
        <v>1430</v>
      </c>
      <c r="P365" s="141" t="s">
        <v>1681</v>
      </c>
      <c r="Q365" s="142" t="s">
        <v>1790</v>
      </c>
      <c r="R365" s="141" t="s">
        <v>1825</v>
      </c>
      <c r="S365" s="142" t="s">
        <v>1822</v>
      </c>
      <c r="T365" s="141" t="s">
        <v>1829</v>
      </c>
      <c r="U365" s="142" t="s">
        <v>1828</v>
      </c>
      <c r="V365" s="142" t="s">
        <v>580</v>
      </c>
      <c r="W365" s="141">
        <f t="shared" si="11"/>
        <v>1</v>
      </c>
      <c r="X365" s="143"/>
      <c r="Y365" s="145"/>
      <c r="AA365"/>
    </row>
    <row r="366" spans="1:27" s="115" customFormat="1" ht="27" customHeight="1">
      <c r="A366" s="139">
        <v>341</v>
      </c>
      <c r="B366" s="140" t="s">
        <v>4873</v>
      </c>
      <c r="C366" s="141" t="s">
        <v>1429</v>
      </c>
      <c r="D366" s="142" t="s">
        <v>1430</v>
      </c>
      <c r="E366" s="141" t="s">
        <v>1752</v>
      </c>
      <c r="F366" s="142" t="s">
        <v>1790</v>
      </c>
      <c r="G366" s="141" t="s">
        <v>1800</v>
      </c>
      <c r="H366" s="142" t="s">
        <v>1822</v>
      </c>
      <c r="I366" s="141" t="s">
        <v>1827</v>
      </c>
      <c r="J366" s="142" t="s">
        <v>1828</v>
      </c>
      <c r="K366" s="142" t="s">
        <v>581</v>
      </c>
      <c r="L366" s="143">
        <f t="shared" si="10"/>
        <v>1</v>
      </c>
      <c r="M366" s="144">
        <v>23995</v>
      </c>
      <c r="N366" s="141" t="s">
        <v>1429</v>
      </c>
      <c r="O366" s="142" t="s">
        <v>1430</v>
      </c>
      <c r="P366" s="141" t="s">
        <v>1681</v>
      </c>
      <c r="Q366" s="142" t="s">
        <v>1790</v>
      </c>
      <c r="R366" s="141" t="s">
        <v>1825</v>
      </c>
      <c r="S366" s="142" t="s">
        <v>1822</v>
      </c>
      <c r="T366" s="141" t="s">
        <v>1829</v>
      </c>
      <c r="U366" s="142" t="s">
        <v>1828</v>
      </c>
      <c r="V366" s="142" t="s">
        <v>581</v>
      </c>
      <c r="W366" s="141">
        <f t="shared" si="11"/>
        <v>1</v>
      </c>
      <c r="X366" s="143"/>
      <c r="Y366" s="145"/>
      <c r="AA366"/>
    </row>
    <row r="367" spans="1:27" s="115" customFormat="1" ht="27" customHeight="1">
      <c r="A367" s="139">
        <v>342</v>
      </c>
      <c r="B367" s="140" t="s">
        <v>4874</v>
      </c>
      <c r="C367" s="141" t="s">
        <v>1429</v>
      </c>
      <c r="D367" s="142" t="s">
        <v>1430</v>
      </c>
      <c r="E367" s="141" t="s">
        <v>1752</v>
      </c>
      <c r="F367" s="142" t="s">
        <v>1790</v>
      </c>
      <c r="G367" s="141" t="s">
        <v>1800</v>
      </c>
      <c r="H367" s="142" t="s">
        <v>1822</v>
      </c>
      <c r="I367" s="141" t="s">
        <v>1827</v>
      </c>
      <c r="J367" s="142" t="s">
        <v>1828</v>
      </c>
      <c r="K367" s="142" t="s">
        <v>582</v>
      </c>
      <c r="L367" s="143">
        <f t="shared" si="10"/>
        <v>1</v>
      </c>
      <c r="M367" s="144">
        <v>23999</v>
      </c>
      <c r="N367" s="141" t="s">
        <v>1429</v>
      </c>
      <c r="O367" s="142" t="s">
        <v>1430</v>
      </c>
      <c r="P367" s="141" t="s">
        <v>1681</v>
      </c>
      <c r="Q367" s="142" t="s">
        <v>1790</v>
      </c>
      <c r="R367" s="141" t="s">
        <v>1825</v>
      </c>
      <c r="S367" s="142" t="s">
        <v>1822</v>
      </c>
      <c r="T367" s="141" t="s">
        <v>1829</v>
      </c>
      <c r="U367" s="142" t="s">
        <v>1828</v>
      </c>
      <c r="V367" s="142" t="s">
        <v>582</v>
      </c>
      <c r="W367" s="141">
        <f t="shared" si="11"/>
        <v>2</v>
      </c>
      <c r="X367" s="143"/>
      <c r="Y367" s="145" t="s">
        <v>1830</v>
      </c>
      <c r="AA367"/>
    </row>
    <row r="368" spans="1:27" s="115" customFormat="1" ht="27" customHeight="1">
      <c r="A368" s="139">
        <v>343</v>
      </c>
      <c r="B368" s="140" t="s">
        <v>4875</v>
      </c>
      <c r="C368" s="141" t="s">
        <v>1429</v>
      </c>
      <c r="D368" s="142" t="s">
        <v>1430</v>
      </c>
      <c r="E368" s="141" t="s">
        <v>1752</v>
      </c>
      <c r="F368" s="142" t="s">
        <v>1790</v>
      </c>
      <c r="G368" s="141" t="s">
        <v>1800</v>
      </c>
      <c r="H368" s="142" t="s">
        <v>1822</v>
      </c>
      <c r="I368" s="141" t="s">
        <v>1827</v>
      </c>
      <c r="J368" s="142" t="s">
        <v>1828</v>
      </c>
      <c r="K368" s="142" t="s">
        <v>143</v>
      </c>
      <c r="L368" s="143">
        <f t="shared" si="10"/>
        <v>1</v>
      </c>
      <c r="M368" s="144">
        <v>23992</v>
      </c>
      <c r="N368" s="141" t="s">
        <v>1429</v>
      </c>
      <c r="O368" s="142" t="s">
        <v>1430</v>
      </c>
      <c r="P368" s="141" t="s">
        <v>1681</v>
      </c>
      <c r="Q368" s="142" t="s">
        <v>1790</v>
      </c>
      <c r="R368" s="141" t="s">
        <v>1825</v>
      </c>
      <c r="S368" s="142" t="s">
        <v>1822</v>
      </c>
      <c r="T368" s="141" t="s">
        <v>1829</v>
      </c>
      <c r="U368" s="142" t="s">
        <v>1828</v>
      </c>
      <c r="V368" s="142" t="s">
        <v>143</v>
      </c>
      <c r="W368" s="141">
        <f t="shared" si="11"/>
        <v>2</v>
      </c>
      <c r="X368" s="143"/>
      <c r="Y368" s="145" t="s">
        <v>1831</v>
      </c>
      <c r="AA368"/>
    </row>
    <row r="369" spans="1:27" s="115" customFormat="1" ht="13.5" customHeight="1">
      <c r="A369" s="139">
        <v>344</v>
      </c>
      <c r="B369" s="140" t="s">
        <v>4876</v>
      </c>
      <c r="C369" s="141" t="s">
        <v>1429</v>
      </c>
      <c r="D369" s="142" t="s">
        <v>1430</v>
      </c>
      <c r="E369" s="141" t="s">
        <v>1752</v>
      </c>
      <c r="F369" s="142" t="s">
        <v>1790</v>
      </c>
      <c r="G369" s="141" t="s">
        <v>1800</v>
      </c>
      <c r="H369" s="142" t="s">
        <v>1822</v>
      </c>
      <c r="I369" s="141" t="s">
        <v>1827</v>
      </c>
      <c r="J369" s="142" t="s">
        <v>1828</v>
      </c>
      <c r="K369" s="142" t="s">
        <v>582</v>
      </c>
      <c r="L369" s="143">
        <f t="shared" si="10"/>
        <v>1</v>
      </c>
      <c r="M369" s="144">
        <v>23999</v>
      </c>
      <c r="N369" s="141" t="s">
        <v>1429</v>
      </c>
      <c r="O369" s="142" t="s">
        <v>1430</v>
      </c>
      <c r="P369" s="141" t="s">
        <v>1681</v>
      </c>
      <c r="Q369" s="142" t="s">
        <v>1790</v>
      </c>
      <c r="R369" s="141" t="s">
        <v>1825</v>
      </c>
      <c r="S369" s="142" t="s">
        <v>1822</v>
      </c>
      <c r="T369" s="141" t="s">
        <v>1829</v>
      </c>
      <c r="U369" s="142" t="s">
        <v>1828</v>
      </c>
      <c r="V369" s="142" t="s">
        <v>582</v>
      </c>
      <c r="W369" s="141">
        <f t="shared" si="11"/>
        <v>2</v>
      </c>
      <c r="X369" s="143">
        <v>1</v>
      </c>
      <c r="Y369" s="145"/>
      <c r="AA369"/>
    </row>
    <row r="370" spans="1:27" s="115" customFormat="1" ht="13.5" customHeight="1">
      <c r="A370" s="139">
        <v>345</v>
      </c>
      <c r="B370" s="140" t="s">
        <v>4877</v>
      </c>
      <c r="C370" s="141" t="s">
        <v>1429</v>
      </c>
      <c r="D370" s="142" t="s">
        <v>1430</v>
      </c>
      <c r="E370" s="141" t="s">
        <v>1832</v>
      </c>
      <c r="F370" s="142" t="s">
        <v>1833</v>
      </c>
      <c r="G370" s="141" t="s">
        <v>1834</v>
      </c>
      <c r="H370" s="142" t="s">
        <v>1835</v>
      </c>
      <c r="I370" s="141" t="s">
        <v>1836</v>
      </c>
      <c r="J370" s="142" t="s">
        <v>1837</v>
      </c>
      <c r="K370" s="142" t="s">
        <v>144</v>
      </c>
      <c r="L370" s="143">
        <f t="shared" si="10"/>
        <v>1</v>
      </c>
      <c r="M370" s="144">
        <v>24111</v>
      </c>
      <c r="N370" s="141" t="s">
        <v>1429</v>
      </c>
      <c r="O370" s="142" t="s">
        <v>1430</v>
      </c>
      <c r="P370" s="141" t="s">
        <v>1700</v>
      </c>
      <c r="Q370" s="142" t="s">
        <v>1833</v>
      </c>
      <c r="R370" s="141" t="s">
        <v>1701</v>
      </c>
      <c r="S370" s="142" t="s">
        <v>1835</v>
      </c>
      <c r="T370" s="141" t="s">
        <v>1702</v>
      </c>
      <c r="U370" s="142" t="s">
        <v>1837</v>
      </c>
      <c r="V370" s="142" t="s">
        <v>144</v>
      </c>
      <c r="W370" s="141">
        <f t="shared" si="11"/>
        <v>1</v>
      </c>
      <c r="X370" s="143"/>
      <c r="Y370" s="145"/>
      <c r="AA370"/>
    </row>
    <row r="371" spans="1:27" s="115" customFormat="1" ht="13.5" customHeight="1">
      <c r="A371" s="139">
        <v>346</v>
      </c>
      <c r="B371" s="140" t="s">
        <v>4878</v>
      </c>
      <c r="C371" s="141" t="s">
        <v>1429</v>
      </c>
      <c r="D371" s="142" t="s">
        <v>1430</v>
      </c>
      <c r="E371" s="141" t="s">
        <v>1832</v>
      </c>
      <c r="F371" s="142" t="s">
        <v>1833</v>
      </c>
      <c r="G371" s="141" t="s">
        <v>1834</v>
      </c>
      <c r="H371" s="142" t="s">
        <v>1835</v>
      </c>
      <c r="I371" s="141" t="s">
        <v>1836</v>
      </c>
      <c r="J371" s="142" t="s">
        <v>1837</v>
      </c>
      <c r="K371" s="142" t="s">
        <v>583</v>
      </c>
      <c r="L371" s="143">
        <f t="shared" si="10"/>
        <v>1</v>
      </c>
      <c r="M371" s="144">
        <v>24112</v>
      </c>
      <c r="N371" s="141" t="s">
        <v>1429</v>
      </c>
      <c r="O371" s="142" t="s">
        <v>1430</v>
      </c>
      <c r="P371" s="141" t="s">
        <v>1700</v>
      </c>
      <c r="Q371" s="142" t="s">
        <v>1833</v>
      </c>
      <c r="R371" s="141" t="s">
        <v>1701</v>
      </c>
      <c r="S371" s="142" t="s">
        <v>1835</v>
      </c>
      <c r="T371" s="141" t="s">
        <v>1702</v>
      </c>
      <c r="U371" s="142" t="s">
        <v>1837</v>
      </c>
      <c r="V371" s="142" t="s">
        <v>583</v>
      </c>
      <c r="W371" s="141">
        <f t="shared" si="11"/>
        <v>1</v>
      </c>
      <c r="X371" s="143"/>
      <c r="Y371" s="145"/>
      <c r="AA371"/>
    </row>
    <row r="372" spans="1:27" s="115" customFormat="1" ht="13.5" customHeight="1">
      <c r="A372" s="139">
        <v>347</v>
      </c>
      <c r="B372" s="140" t="s">
        <v>4879</v>
      </c>
      <c r="C372" s="141" t="s">
        <v>1429</v>
      </c>
      <c r="D372" s="142" t="s">
        <v>1430</v>
      </c>
      <c r="E372" s="141" t="s">
        <v>1832</v>
      </c>
      <c r="F372" s="142" t="s">
        <v>1833</v>
      </c>
      <c r="G372" s="141" t="s">
        <v>1834</v>
      </c>
      <c r="H372" s="142" t="s">
        <v>1835</v>
      </c>
      <c r="I372" s="141" t="s">
        <v>1836</v>
      </c>
      <c r="J372" s="142" t="s">
        <v>1837</v>
      </c>
      <c r="K372" s="142" t="s">
        <v>584</v>
      </c>
      <c r="L372" s="143">
        <f t="shared" si="10"/>
        <v>1</v>
      </c>
      <c r="M372" s="144">
        <v>24113</v>
      </c>
      <c r="N372" s="141" t="s">
        <v>1429</v>
      </c>
      <c r="O372" s="142" t="s">
        <v>1430</v>
      </c>
      <c r="P372" s="141" t="s">
        <v>1700</v>
      </c>
      <c r="Q372" s="142" t="s">
        <v>1833</v>
      </c>
      <c r="R372" s="141" t="s">
        <v>1701</v>
      </c>
      <c r="S372" s="142" t="s">
        <v>1835</v>
      </c>
      <c r="T372" s="141" t="s">
        <v>1702</v>
      </c>
      <c r="U372" s="142" t="s">
        <v>1837</v>
      </c>
      <c r="V372" s="142" t="s">
        <v>584</v>
      </c>
      <c r="W372" s="141">
        <f t="shared" si="11"/>
        <v>1</v>
      </c>
      <c r="X372" s="143"/>
      <c r="Y372" s="145"/>
      <c r="AA372"/>
    </row>
    <row r="373" spans="1:27" s="115" customFormat="1" ht="13.5" customHeight="1">
      <c r="A373" s="139">
        <v>348</v>
      </c>
      <c r="B373" s="140" t="s">
        <v>4880</v>
      </c>
      <c r="C373" s="141" t="s">
        <v>1429</v>
      </c>
      <c r="D373" s="142" t="s">
        <v>1430</v>
      </c>
      <c r="E373" s="141" t="s">
        <v>1832</v>
      </c>
      <c r="F373" s="142" t="s">
        <v>1833</v>
      </c>
      <c r="G373" s="141" t="s">
        <v>1834</v>
      </c>
      <c r="H373" s="142" t="s">
        <v>1835</v>
      </c>
      <c r="I373" s="141" t="s">
        <v>1836</v>
      </c>
      <c r="J373" s="142" t="s">
        <v>1837</v>
      </c>
      <c r="K373" s="142" t="s">
        <v>585</v>
      </c>
      <c r="L373" s="143">
        <f t="shared" si="10"/>
        <v>1</v>
      </c>
      <c r="M373" s="144">
        <v>24119</v>
      </c>
      <c r="N373" s="141" t="s">
        <v>1429</v>
      </c>
      <c r="O373" s="142" t="s">
        <v>1430</v>
      </c>
      <c r="P373" s="141" t="s">
        <v>1700</v>
      </c>
      <c r="Q373" s="142" t="s">
        <v>1833</v>
      </c>
      <c r="R373" s="141" t="s">
        <v>1701</v>
      </c>
      <c r="S373" s="142" t="s">
        <v>1835</v>
      </c>
      <c r="T373" s="141" t="s">
        <v>1702</v>
      </c>
      <c r="U373" s="142" t="s">
        <v>1837</v>
      </c>
      <c r="V373" s="142" t="s">
        <v>585</v>
      </c>
      <c r="W373" s="141">
        <f t="shared" si="11"/>
        <v>1</v>
      </c>
      <c r="X373" s="143"/>
      <c r="Y373" s="145"/>
      <c r="AA373"/>
    </row>
    <row r="374" spans="1:27" s="115" customFormat="1" ht="13.5" customHeight="1">
      <c r="A374" s="139">
        <v>349</v>
      </c>
      <c r="B374" s="140" t="s">
        <v>4881</v>
      </c>
      <c r="C374" s="141" t="s">
        <v>1429</v>
      </c>
      <c r="D374" s="142" t="s">
        <v>1430</v>
      </c>
      <c r="E374" s="141" t="s">
        <v>1832</v>
      </c>
      <c r="F374" s="142" t="s">
        <v>1833</v>
      </c>
      <c r="G374" s="141" t="s">
        <v>1834</v>
      </c>
      <c r="H374" s="142" t="s">
        <v>1835</v>
      </c>
      <c r="I374" s="141" t="s">
        <v>1838</v>
      </c>
      <c r="J374" s="142" t="s">
        <v>1839</v>
      </c>
      <c r="K374" s="142" t="s">
        <v>586</v>
      </c>
      <c r="L374" s="143">
        <f t="shared" si="10"/>
        <v>1</v>
      </c>
      <c r="M374" s="144">
        <v>24199</v>
      </c>
      <c r="N374" s="141" t="s">
        <v>1429</v>
      </c>
      <c r="O374" s="142" t="s">
        <v>1430</v>
      </c>
      <c r="P374" s="141" t="s">
        <v>1700</v>
      </c>
      <c r="Q374" s="142" t="s">
        <v>1833</v>
      </c>
      <c r="R374" s="141" t="s">
        <v>1701</v>
      </c>
      <c r="S374" s="142" t="s">
        <v>1835</v>
      </c>
      <c r="T374" s="141" t="s">
        <v>1840</v>
      </c>
      <c r="U374" s="142" t="s">
        <v>1839</v>
      </c>
      <c r="V374" s="142" t="s">
        <v>586</v>
      </c>
      <c r="W374" s="141">
        <f t="shared" si="11"/>
        <v>2</v>
      </c>
      <c r="X374" s="143">
        <v>2</v>
      </c>
      <c r="Y374" s="145" t="s">
        <v>1841</v>
      </c>
      <c r="AA374"/>
    </row>
    <row r="375" spans="1:27" s="115" customFormat="1" ht="13.5" customHeight="1">
      <c r="A375" s="139">
        <v>350</v>
      </c>
      <c r="B375" s="140" t="s">
        <v>4882</v>
      </c>
      <c r="C375" s="141" t="s">
        <v>1429</v>
      </c>
      <c r="D375" s="142" t="s">
        <v>1430</v>
      </c>
      <c r="E375" s="141" t="s">
        <v>1832</v>
      </c>
      <c r="F375" s="142" t="s">
        <v>1833</v>
      </c>
      <c r="G375" s="141" t="s">
        <v>1834</v>
      </c>
      <c r="H375" s="142" t="s">
        <v>1835</v>
      </c>
      <c r="I375" s="141" t="s">
        <v>1838</v>
      </c>
      <c r="J375" s="142" t="s">
        <v>1842</v>
      </c>
      <c r="K375" s="142" t="s">
        <v>145</v>
      </c>
      <c r="L375" s="143">
        <f t="shared" si="10"/>
        <v>1</v>
      </c>
      <c r="M375" s="144">
        <v>24131</v>
      </c>
      <c r="N375" s="141" t="s">
        <v>1429</v>
      </c>
      <c r="O375" s="142" t="s">
        <v>1430</v>
      </c>
      <c r="P375" s="141" t="s">
        <v>1700</v>
      </c>
      <c r="Q375" s="142" t="s">
        <v>1833</v>
      </c>
      <c r="R375" s="141" t="s">
        <v>1701</v>
      </c>
      <c r="S375" s="142" t="s">
        <v>1835</v>
      </c>
      <c r="T375" s="141" t="s">
        <v>1715</v>
      </c>
      <c r="U375" s="142" t="s">
        <v>1842</v>
      </c>
      <c r="V375" s="142" t="s">
        <v>145</v>
      </c>
      <c r="W375" s="141">
        <f t="shared" si="11"/>
        <v>1</v>
      </c>
      <c r="X375" s="143"/>
      <c r="Y375" s="145"/>
      <c r="AA375"/>
    </row>
    <row r="376" spans="1:27" s="115" customFormat="1" ht="13.5" customHeight="1">
      <c r="A376" s="139">
        <v>351</v>
      </c>
      <c r="B376" s="140" t="s">
        <v>4883</v>
      </c>
      <c r="C376" s="141" t="s">
        <v>1429</v>
      </c>
      <c r="D376" s="142" t="s">
        <v>1430</v>
      </c>
      <c r="E376" s="141" t="s">
        <v>1832</v>
      </c>
      <c r="F376" s="142" t="s">
        <v>1833</v>
      </c>
      <c r="G376" s="141" t="s">
        <v>1834</v>
      </c>
      <c r="H376" s="142" t="s">
        <v>1835</v>
      </c>
      <c r="I376" s="141" t="s">
        <v>1838</v>
      </c>
      <c r="J376" s="142" t="s">
        <v>1843</v>
      </c>
      <c r="K376" s="142" t="s">
        <v>587</v>
      </c>
      <c r="L376" s="143">
        <f t="shared" si="10"/>
        <v>1</v>
      </c>
      <c r="M376" s="144">
        <v>24121</v>
      </c>
      <c r="N376" s="141" t="s">
        <v>1429</v>
      </c>
      <c r="O376" s="142" t="s">
        <v>1430</v>
      </c>
      <c r="P376" s="141" t="s">
        <v>1700</v>
      </c>
      <c r="Q376" s="142" t="s">
        <v>1833</v>
      </c>
      <c r="R376" s="141" t="s">
        <v>1701</v>
      </c>
      <c r="S376" s="142" t="s">
        <v>1835</v>
      </c>
      <c r="T376" s="141" t="s">
        <v>1709</v>
      </c>
      <c r="U376" s="142" t="s">
        <v>1843</v>
      </c>
      <c r="V376" s="142" t="s">
        <v>587</v>
      </c>
      <c r="W376" s="141">
        <f t="shared" si="11"/>
        <v>1</v>
      </c>
      <c r="X376" s="143"/>
      <c r="Y376" s="145"/>
      <c r="AA376"/>
    </row>
    <row r="377" spans="1:27" s="115" customFormat="1" ht="13.5" customHeight="1">
      <c r="A377" s="139">
        <v>352</v>
      </c>
      <c r="B377" s="140" t="s">
        <v>4884</v>
      </c>
      <c r="C377" s="141" t="s">
        <v>1429</v>
      </c>
      <c r="D377" s="142" t="s">
        <v>1430</v>
      </c>
      <c r="E377" s="141" t="s">
        <v>1832</v>
      </c>
      <c r="F377" s="142" t="s">
        <v>1833</v>
      </c>
      <c r="G377" s="141" t="s">
        <v>1834</v>
      </c>
      <c r="H377" s="142" t="s">
        <v>1835</v>
      </c>
      <c r="I377" s="141" t="s">
        <v>1838</v>
      </c>
      <c r="J377" s="142" t="s">
        <v>1843</v>
      </c>
      <c r="K377" s="142" t="s">
        <v>588</v>
      </c>
      <c r="L377" s="143">
        <f t="shared" si="10"/>
        <v>1</v>
      </c>
      <c r="M377" s="144">
        <v>24122</v>
      </c>
      <c r="N377" s="141" t="s">
        <v>1429</v>
      </c>
      <c r="O377" s="142" t="s">
        <v>1430</v>
      </c>
      <c r="P377" s="141" t="s">
        <v>1700</v>
      </c>
      <c r="Q377" s="142" t="s">
        <v>1833</v>
      </c>
      <c r="R377" s="141" t="s">
        <v>1701</v>
      </c>
      <c r="S377" s="142" t="s">
        <v>1835</v>
      </c>
      <c r="T377" s="141" t="s">
        <v>1709</v>
      </c>
      <c r="U377" s="142" t="s">
        <v>1843</v>
      </c>
      <c r="V377" s="142" t="s">
        <v>588</v>
      </c>
      <c r="W377" s="141">
        <f t="shared" si="11"/>
        <v>1</v>
      </c>
      <c r="X377" s="143"/>
      <c r="Y377" s="145"/>
      <c r="AA377"/>
    </row>
    <row r="378" spans="1:27" s="115" customFormat="1" ht="13.5" customHeight="1">
      <c r="A378" s="139">
        <v>353</v>
      </c>
      <c r="B378" s="140" t="s">
        <v>4885</v>
      </c>
      <c r="C378" s="141" t="s">
        <v>1429</v>
      </c>
      <c r="D378" s="142" t="s">
        <v>1430</v>
      </c>
      <c r="E378" s="141" t="s">
        <v>1832</v>
      </c>
      <c r="F378" s="142" t="s">
        <v>1833</v>
      </c>
      <c r="G378" s="141" t="s">
        <v>1834</v>
      </c>
      <c r="H378" s="142" t="s">
        <v>1835</v>
      </c>
      <c r="I378" s="141" t="s">
        <v>1838</v>
      </c>
      <c r="J378" s="142" t="s">
        <v>1843</v>
      </c>
      <c r="K378" s="142" t="s">
        <v>589</v>
      </c>
      <c r="L378" s="143">
        <f t="shared" si="10"/>
        <v>1</v>
      </c>
      <c r="M378" s="144">
        <v>24123</v>
      </c>
      <c r="N378" s="141" t="s">
        <v>1429</v>
      </c>
      <c r="O378" s="142" t="s">
        <v>1430</v>
      </c>
      <c r="P378" s="141" t="s">
        <v>1700</v>
      </c>
      <c r="Q378" s="142" t="s">
        <v>1833</v>
      </c>
      <c r="R378" s="141" t="s">
        <v>1701</v>
      </c>
      <c r="S378" s="142" t="s">
        <v>1835</v>
      </c>
      <c r="T378" s="141" t="s">
        <v>1709</v>
      </c>
      <c r="U378" s="142" t="s">
        <v>1843</v>
      </c>
      <c r="V378" s="142" t="s">
        <v>589</v>
      </c>
      <c r="W378" s="141">
        <f t="shared" si="11"/>
        <v>1</v>
      </c>
      <c r="X378" s="143"/>
      <c r="Y378" s="145"/>
      <c r="AA378"/>
    </row>
    <row r="379" spans="1:27" s="115" customFormat="1" ht="27" customHeight="1">
      <c r="A379" s="139">
        <v>354</v>
      </c>
      <c r="B379" s="140" t="s">
        <v>4886</v>
      </c>
      <c r="C379" s="141" t="s">
        <v>1429</v>
      </c>
      <c r="D379" s="142" t="s">
        <v>1430</v>
      </c>
      <c r="E379" s="141" t="s">
        <v>1832</v>
      </c>
      <c r="F379" s="142" t="s">
        <v>1833</v>
      </c>
      <c r="G379" s="141" t="s">
        <v>1834</v>
      </c>
      <c r="H379" s="142" t="s">
        <v>1835</v>
      </c>
      <c r="I379" s="141" t="s">
        <v>1838</v>
      </c>
      <c r="J379" s="142" t="s">
        <v>1842</v>
      </c>
      <c r="K379" s="142" t="s">
        <v>590</v>
      </c>
      <c r="L379" s="143">
        <f t="shared" si="10"/>
        <v>1</v>
      </c>
      <c r="M379" s="144">
        <v>24132</v>
      </c>
      <c r="N379" s="141" t="s">
        <v>1429</v>
      </c>
      <c r="O379" s="142" t="s">
        <v>1430</v>
      </c>
      <c r="P379" s="141" t="s">
        <v>1700</v>
      </c>
      <c r="Q379" s="142" t="s">
        <v>1833</v>
      </c>
      <c r="R379" s="141" t="s">
        <v>1701</v>
      </c>
      <c r="S379" s="142" t="s">
        <v>1835</v>
      </c>
      <c r="T379" s="141" t="s">
        <v>1715</v>
      </c>
      <c r="U379" s="142" t="s">
        <v>1842</v>
      </c>
      <c r="V379" s="142" t="s">
        <v>590</v>
      </c>
      <c r="W379" s="141">
        <f t="shared" si="11"/>
        <v>1</v>
      </c>
      <c r="X379" s="143"/>
      <c r="Y379" s="145"/>
      <c r="AA379"/>
    </row>
    <row r="380" spans="1:27" s="115" customFormat="1" ht="13.5" customHeight="1">
      <c r="A380" s="139">
        <v>355</v>
      </c>
      <c r="B380" s="140" t="s">
        <v>4887</v>
      </c>
      <c r="C380" s="141" t="s">
        <v>1429</v>
      </c>
      <c r="D380" s="142" t="s">
        <v>1430</v>
      </c>
      <c r="E380" s="141" t="s">
        <v>1832</v>
      </c>
      <c r="F380" s="142" t="s">
        <v>1833</v>
      </c>
      <c r="G380" s="141" t="s">
        <v>1834</v>
      </c>
      <c r="H380" s="142" t="s">
        <v>1835</v>
      </c>
      <c r="I380" s="141" t="s">
        <v>1838</v>
      </c>
      <c r="J380" s="142" t="s">
        <v>1842</v>
      </c>
      <c r="K380" s="142" t="s">
        <v>591</v>
      </c>
      <c r="L380" s="143">
        <f t="shared" si="10"/>
        <v>1</v>
      </c>
      <c r="M380" s="144">
        <v>24133</v>
      </c>
      <c r="N380" s="141" t="s">
        <v>1429</v>
      </c>
      <c r="O380" s="142" t="s">
        <v>1430</v>
      </c>
      <c r="P380" s="141" t="s">
        <v>1700</v>
      </c>
      <c r="Q380" s="142" t="s">
        <v>1833</v>
      </c>
      <c r="R380" s="141" t="s">
        <v>1701</v>
      </c>
      <c r="S380" s="142" t="s">
        <v>1835</v>
      </c>
      <c r="T380" s="141" t="s">
        <v>1715</v>
      </c>
      <c r="U380" s="142" t="s">
        <v>1842</v>
      </c>
      <c r="V380" s="142" t="s">
        <v>591</v>
      </c>
      <c r="W380" s="141">
        <f t="shared" si="11"/>
        <v>1</v>
      </c>
      <c r="X380" s="143"/>
      <c r="Y380" s="145"/>
      <c r="AA380"/>
    </row>
    <row r="381" spans="1:27" s="115" customFormat="1" ht="13.5" customHeight="1">
      <c r="A381" s="139">
        <v>356</v>
      </c>
      <c r="B381" s="140" t="s">
        <v>4888</v>
      </c>
      <c r="C381" s="141" t="s">
        <v>1429</v>
      </c>
      <c r="D381" s="142" t="s">
        <v>1430</v>
      </c>
      <c r="E381" s="141" t="s">
        <v>1832</v>
      </c>
      <c r="F381" s="142" t="s">
        <v>1833</v>
      </c>
      <c r="G381" s="141" t="s">
        <v>1834</v>
      </c>
      <c r="H381" s="142" t="s">
        <v>1835</v>
      </c>
      <c r="I381" s="141" t="s">
        <v>1844</v>
      </c>
      <c r="J381" s="142" t="s">
        <v>1839</v>
      </c>
      <c r="K381" s="142" t="s">
        <v>592</v>
      </c>
      <c r="L381" s="143">
        <f t="shared" si="10"/>
        <v>1</v>
      </c>
      <c r="M381" s="144">
        <v>24191</v>
      </c>
      <c r="N381" s="141" t="s">
        <v>1429</v>
      </c>
      <c r="O381" s="142" t="s">
        <v>1430</v>
      </c>
      <c r="P381" s="141" t="s">
        <v>1700</v>
      </c>
      <c r="Q381" s="142" t="s">
        <v>1833</v>
      </c>
      <c r="R381" s="141" t="s">
        <v>1701</v>
      </c>
      <c r="S381" s="142" t="s">
        <v>1835</v>
      </c>
      <c r="T381" s="141" t="s">
        <v>1840</v>
      </c>
      <c r="U381" s="142" t="s">
        <v>1839</v>
      </c>
      <c r="V381" s="142" t="s">
        <v>592</v>
      </c>
      <c r="W381" s="141">
        <f t="shared" si="11"/>
        <v>1</v>
      </c>
      <c r="X381" s="143"/>
      <c r="Y381" s="145"/>
      <c r="AA381"/>
    </row>
    <row r="382" spans="1:27" s="115" customFormat="1" ht="13.5" customHeight="1">
      <c r="A382" s="139">
        <v>357</v>
      </c>
      <c r="B382" s="140" t="s">
        <v>4889</v>
      </c>
      <c r="C382" s="141" t="s">
        <v>1429</v>
      </c>
      <c r="D382" s="142" t="s">
        <v>1430</v>
      </c>
      <c r="E382" s="141" t="s">
        <v>1832</v>
      </c>
      <c r="F382" s="142" t="s">
        <v>1833</v>
      </c>
      <c r="G382" s="141" t="s">
        <v>1834</v>
      </c>
      <c r="H382" s="142" t="s">
        <v>1835</v>
      </c>
      <c r="I382" s="141" t="s">
        <v>1844</v>
      </c>
      <c r="J382" s="142" t="s">
        <v>1839</v>
      </c>
      <c r="K382" s="142" t="s">
        <v>586</v>
      </c>
      <c r="L382" s="143">
        <f t="shared" si="10"/>
        <v>1</v>
      </c>
      <c r="M382" s="144">
        <v>24199</v>
      </c>
      <c r="N382" s="141" t="s">
        <v>1429</v>
      </c>
      <c r="O382" s="142" t="s">
        <v>1430</v>
      </c>
      <c r="P382" s="141" t="s">
        <v>1700</v>
      </c>
      <c r="Q382" s="142" t="s">
        <v>1833</v>
      </c>
      <c r="R382" s="141" t="s">
        <v>1701</v>
      </c>
      <c r="S382" s="142" t="s">
        <v>1835</v>
      </c>
      <c r="T382" s="141" t="s">
        <v>1840</v>
      </c>
      <c r="U382" s="142" t="s">
        <v>1839</v>
      </c>
      <c r="V382" s="142" t="s">
        <v>586</v>
      </c>
      <c r="W382" s="141">
        <f t="shared" si="11"/>
        <v>2</v>
      </c>
      <c r="X382" s="143">
        <v>2</v>
      </c>
      <c r="Y382" s="145" t="s">
        <v>1845</v>
      </c>
      <c r="AA382"/>
    </row>
    <row r="383" spans="1:27" s="115" customFormat="1" ht="13.5" customHeight="1">
      <c r="A383" s="139">
        <v>358</v>
      </c>
      <c r="B383" s="140" t="s">
        <v>4890</v>
      </c>
      <c r="C383" s="141" t="s">
        <v>1429</v>
      </c>
      <c r="D383" s="142" t="s">
        <v>1430</v>
      </c>
      <c r="E383" s="141" t="s">
        <v>1832</v>
      </c>
      <c r="F383" s="142" t="s">
        <v>1833</v>
      </c>
      <c r="G383" s="141" t="s">
        <v>1846</v>
      </c>
      <c r="H383" s="142" t="s">
        <v>1847</v>
      </c>
      <c r="I383" s="141" t="s">
        <v>1848</v>
      </c>
      <c r="J383" s="142" t="s">
        <v>1849</v>
      </c>
      <c r="K383" s="142" t="s">
        <v>593</v>
      </c>
      <c r="L383" s="143">
        <f t="shared" si="10"/>
        <v>1</v>
      </c>
      <c r="M383" s="144">
        <v>24219</v>
      </c>
      <c r="N383" s="141" t="s">
        <v>1429</v>
      </c>
      <c r="O383" s="142" t="s">
        <v>1430</v>
      </c>
      <c r="P383" s="141" t="s">
        <v>1700</v>
      </c>
      <c r="Q383" s="142" t="s">
        <v>1833</v>
      </c>
      <c r="R383" s="141" t="s">
        <v>1717</v>
      </c>
      <c r="S383" s="142" t="s">
        <v>1847</v>
      </c>
      <c r="T383" s="141" t="s">
        <v>1718</v>
      </c>
      <c r="U383" s="142" t="s">
        <v>1849</v>
      </c>
      <c r="V383" s="142" t="s">
        <v>593</v>
      </c>
      <c r="W383" s="141">
        <f t="shared" si="11"/>
        <v>2</v>
      </c>
      <c r="X383" s="143">
        <v>2</v>
      </c>
      <c r="Y383" s="145" t="s">
        <v>1850</v>
      </c>
      <c r="AA383"/>
    </row>
    <row r="384" spans="1:27" s="115" customFormat="1" ht="13.5" customHeight="1">
      <c r="A384" s="139">
        <v>359</v>
      </c>
      <c r="B384" s="140" t="s">
        <v>4891</v>
      </c>
      <c r="C384" s="141" t="s">
        <v>1429</v>
      </c>
      <c r="D384" s="142" t="s">
        <v>1430</v>
      </c>
      <c r="E384" s="141" t="s">
        <v>1832</v>
      </c>
      <c r="F384" s="142" t="s">
        <v>1833</v>
      </c>
      <c r="G384" s="141" t="s">
        <v>1846</v>
      </c>
      <c r="H384" s="142" t="s">
        <v>1847</v>
      </c>
      <c r="I384" s="141" t="s">
        <v>1848</v>
      </c>
      <c r="J384" s="142" t="s">
        <v>1849</v>
      </c>
      <c r="K384" s="142" t="s">
        <v>594</v>
      </c>
      <c r="L384" s="143">
        <f t="shared" si="10"/>
        <v>1</v>
      </c>
      <c r="M384" s="144">
        <v>24211</v>
      </c>
      <c r="N384" s="141" t="s">
        <v>1429</v>
      </c>
      <c r="O384" s="142" t="s">
        <v>1430</v>
      </c>
      <c r="P384" s="141" t="s">
        <v>1700</v>
      </c>
      <c r="Q384" s="142" t="s">
        <v>1833</v>
      </c>
      <c r="R384" s="141" t="s">
        <v>1717</v>
      </c>
      <c r="S384" s="142" t="s">
        <v>1847</v>
      </c>
      <c r="T384" s="141" t="s">
        <v>1718</v>
      </c>
      <c r="U384" s="142" t="s">
        <v>1849</v>
      </c>
      <c r="V384" s="142" t="s">
        <v>594</v>
      </c>
      <c r="W384" s="141">
        <f t="shared" si="11"/>
        <v>2</v>
      </c>
      <c r="X384" s="143">
        <v>2</v>
      </c>
      <c r="Y384" s="145" t="s">
        <v>1851</v>
      </c>
      <c r="AA384"/>
    </row>
    <row r="385" spans="1:27" s="115" customFormat="1" ht="27" customHeight="1">
      <c r="A385" s="139">
        <v>360</v>
      </c>
      <c r="B385" s="140" t="s">
        <v>4892</v>
      </c>
      <c r="C385" s="141" t="s">
        <v>1429</v>
      </c>
      <c r="D385" s="142" t="s">
        <v>1430</v>
      </c>
      <c r="E385" s="141" t="s">
        <v>1832</v>
      </c>
      <c r="F385" s="142" t="s">
        <v>1833</v>
      </c>
      <c r="G385" s="141" t="s">
        <v>1846</v>
      </c>
      <c r="H385" s="142" t="s">
        <v>1847</v>
      </c>
      <c r="I385" s="141" t="s">
        <v>1848</v>
      </c>
      <c r="J385" s="142" t="s">
        <v>1849</v>
      </c>
      <c r="K385" s="142" t="s">
        <v>595</v>
      </c>
      <c r="L385" s="143">
        <f t="shared" si="10"/>
        <v>1</v>
      </c>
      <c r="M385" s="144">
        <v>24212</v>
      </c>
      <c r="N385" s="141" t="s">
        <v>1429</v>
      </c>
      <c r="O385" s="142" t="s">
        <v>1430</v>
      </c>
      <c r="P385" s="141" t="s">
        <v>1700</v>
      </c>
      <c r="Q385" s="142" t="s">
        <v>1833</v>
      </c>
      <c r="R385" s="141" t="s">
        <v>1717</v>
      </c>
      <c r="S385" s="142" t="s">
        <v>1847</v>
      </c>
      <c r="T385" s="141" t="s">
        <v>1718</v>
      </c>
      <c r="U385" s="142" t="s">
        <v>1849</v>
      </c>
      <c r="V385" s="142" t="s">
        <v>595</v>
      </c>
      <c r="W385" s="141">
        <f t="shared" si="11"/>
        <v>2</v>
      </c>
      <c r="X385" s="143">
        <v>2</v>
      </c>
      <c r="Y385" s="145" t="s">
        <v>1852</v>
      </c>
      <c r="AA385"/>
    </row>
    <row r="386" spans="1:27" s="115" customFormat="1" ht="27" customHeight="1">
      <c r="A386" s="139">
        <v>361</v>
      </c>
      <c r="B386" s="140" t="s">
        <v>4893</v>
      </c>
      <c r="C386" s="141" t="s">
        <v>1429</v>
      </c>
      <c r="D386" s="142" t="s">
        <v>1430</v>
      </c>
      <c r="E386" s="141" t="s">
        <v>1832</v>
      </c>
      <c r="F386" s="142" t="s">
        <v>1833</v>
      </c>
      <c r="G386" s="141" t="s">
        <v>1846</v>
      </c>
      <c r="H386" s="142" t="s">
        <v>1847</v>
      </c>
      <c r="I386" s="141" t="s">
        <v>1848</v>
      </c>
      <c r="J386" s="142" t="s">
        <v>1849</v>
      </c>
      <c r="K386" s="142" t="s">
        <v>596</v>
      </c>
      <c r="L386" s="143">
        <f t="shared" si="10"/>
        <v>1</v>
      </c>
      <c r="M386" s="144">
        <v>24213</v>
      </c>
      <c r="N386" s="141" t="s">
        <v>1429</v>
      </c>
      <c r="O386" s="142" t="s">
        <v>1430</v>
      </c>
      <c r="P386" s="141" t="s">
        <v>1700</v>
      </c>
      <c r="Q386" s="142" t="s">
        <v>1833</v>
      </c>
      <c r="R386" s="141" t="s">
        <v>1717</v>
      </c>
      <c r="S386" s="142" t="s">
        <v>1847</v>
      </c>
      <c r="T386" s="141" t="s">
        <v>1718</v>
      </c>
      <c r="U386" s="142" t="s">
        <v>1849</v>
      </c>
      <c r="V386" s="142" t="s">
        <v>596</v>
      </c>
      <c r="W386" s="141">
        <f t="shared" si="11"/>
        <v>2</v>
      </c>
      <c r="X386" s="143">
        <v>2</v>
      </c>
      <c r="Y386" s="145" t="s">
        <v>1853</v>
      </c>
      <c r="AA386"/>
    </row>
    <row r="387" spans="1:27" s="115" customFormat="1" ht="27" customHeight="1">
      <c r="A387" s="139">
        <v>362</v>
      </c>
      <c r="B387" s="140" t="s">
        <v>4894</v>
      </c>
      <c r="C387" s="141" t="s">
        <v>1429</v>
      </c>
      <c r="D387" s="142" t="s">
        <v>1430</v>
      </c>
      <c r="E387" s="141" t="s">
        <v>1832</v>
      </c>
      <c r="F387" s="142" t="s">
        <v>1833</v>
      </c>
      <c r="G387" s="141" t="s">
        <v>1846</v>
      </c>
      <c r="H387" s="142" t="s">
        <v>1847</v>
      </c>
      <c r="I387" s="141" t="s">
        <v>1854</v>
      </c>
      <c r="J387" s="142" t="s">
        <v>1849</v>
      </c>
      <c r="K387" s="142" t="s">
        <v>593</v>
      </c>
      <c r="L387" s="143">
        <f t="shared" si="10"/>
        <v>1</v>
      </c>
      <c r="M387" s="144">
        <v>24219</v>
      </c>
      <c r="N387" s="141" t="s">
        <v>1429</v>
      </c>
      <c r="O387" s="142" t="s">
        <v>1430</v>
      </c>
      <c r="P387" s="141" t="s">
        <v>1700</v>
      </c>
      <c r="Q387" s="142" t="s">
        <v>1833</v>
      </c>
      <c r="R387" s="141" t="s">
        <v>1717</v>
      </c>
      <c r="S387" s="142" t="s">
        <v>1847</v>
      </c>
      <c r="T387" s="141" t="s">
        <v>1718</v>
      </c>
      <c r="U387" s="142" t="s">
        <v>1849</v>
      </c>
      <c r="V387" s="142" t="s">
        <v>593</v>
      </c>
      <c r="W387" s="141">
        <f t="shared" si="11"/>
        <v>2</v>
      </c>
      <c r="X387" s="143">
        <v>2</v>
      </c>
      <c r="Y387" s="145" t="s">
        <v>1855</v>
      </c>
      <c r="AA387"/>
    </row>
    <row r="388" spans="1:27" s="115" customFormat="1" ht="27" customHeight="1">
      <c r="A388" s="139">
        <v>363</v>
      </c>
      <c r="B388" s="140" t="s">
        <v>4895</v>
      </c>
      <c r="C388" s="141" t="s">
        <v>1429</v>
      </c>
      <c r="D388" s="142" t="s">
        <v>1430</v>
      </c>
      <c r="E388" s="141" t="s">
        <v>1832</v>
      </c>
      <c r="F388" s="142" t="s">
        <v>1833</v>
      </c>
      <c r="G388" s="141" t="s">
        <v>1846</v>
      </c>
      <c r="H388" s="142" t="s">
        <v>1847</v>
      </c>
      <c r="I388" s="141" t="s">
        <v>1854</v>
      </c>
      <c r="J388" s="142" t="s">
        <v>1849</v>
      </c>
      <c r="K388" s="142" t="s">
        <v>594</v>
      </c>
      <c r="L388" s="143">
        <f t="shared" si="10"/>
        <v>1</v>
      </c>
      <c r="M388" s="144">
        <v>24211</v>
      </c>
      <c r="N388" s="141" t="s">
        <v>1429</v>
      </c>
      <c r="O388" s="142" t="s">
        <v>1430</v>
      </c>
      <c r="P388" s="141" t="s">
        <v>1700</v>
      </c>
      <c r="Q388" s="142" t="s">
        <v>1833</v>
      </c>
      <c r="R388" s="141" t="s">
        <v>1717</v>
      </c>
      <c r="S388" s="142" t="s">
        <v>1847</v>
      </c>
      <c r="T388" s="141" t="s">
        <v>1718</v>
      </c>
      <c r="U388" s="142" t="s">
        <v>1849</v>
      </c>
      <c r="V388" s="142" t="s">
        <v>594</v>
      </c>
      <c r="W388" s="141">
        <f t="shared" si="11"/>
        <v>2</v>
      </c>
      <c r="X388" s="143">
        <v>2</v>
      </c>
      <c r="Y388" s="145" t="s">
        <v>1856</v>
      </c>
      <c r="AA388"/>
    </row>
    <row r="389" spans="1:27" s="115" customFormat="1" ht="27" customHeight="1">
      <c r="A389" s="139">
        <v>364</v>
      </c>
      <c r="B389" s="140" t="s">
        <v>4896</v>
      </c>
      <c r="C389" s="141" t="s">
        <v>1429</v>
      </c>
      <c r="D389" s="142" t="s">
        <v>1430</v>
      </c>
      <c r="E389" s="141" t="s">
        <v>1832</v>
      </c>
      <c r="F389" s="142" t="s">
        <v>1833</v>
      </c>
      <c r="G389" s="141" t="s">
        <v>1846</v>
      </c>
      <c r="H389" s="142" t="s">
        <v>1847</v>
      </c>
      <c r="I389" s="141" t="s">
        <v>1854</v>
      </c>
      <c r="J389" s="142" t="s">
        <v>1849</v>
      </c>
      <c r="K389" s="142" t="s">
        <v>595</v>
      </c>
      <c r="L389" s="143">
        <f t="shared" ref="L389:L452" si="12">COUNTIF($B$5:$B$1752,B389)</f>
        <v>1</v>
      </c>
      <c r="M389" s="144">
        <v>24212</v>
      </c>
      <c r="N389" s="141" t="s">
        <v>1429</v>
      </c>
      <c r="O389" s="142" t="s">
        <v>1430</v>
      </c>
      <c r="P389" s="141" t="s">
        <v>1700</v>
      </c>
      <c r="Q389" s="142" t="s">
        <v>1833</v>
      </c>
      <c r="R389" s="141" t="s">
        <v>1717</v>
      </c>
      <c r="S389" s="142" t="s">
        <v>1847</v>
      </c>
      <c r="T389" s="141" t="s">
        <v>1718</v>
      </c>
      <c r="U389" s="142" t="s">
        <v>1849</v>
      </c>
      <c r="V389" s="142" t="s">
        <v>595</v>
      </c>
      <c r="W389" s="141">
        <f t="shared" ref="W389:W452" si="13">COUNTIF($M$5:$M$1756,M389)</f>
        <v>2</v>
      </c>
      <c r="X389" s="143">
        <v>2</v>
      </c>
      <c r="Y389" s="145" t="s">
        <v>1857</v>
      </c>
      <c r="AA389"/>
    </row>
    <row r="390" spans="1:27" s="115" customFormat="1" ht="27" customHeight="1">
      <c r="A390" s="139">
        <v>365</v>
      </c>
      <c r="B390" s="140" t="s">
        <v>6054</v>
      </c>
      <c r="C390" s="141" t="s">
        <v>1429</v>
      </c>
      <c r="D390" s="142" t="s">
        <v>1430</v>
      </c>
      <c r="E390" s="141" t="s">
        <v>1832</v>
      </c>
      <c r="F390" s="142" t="s">
        <v>1833</v>
      </c>
      <c r="G390" s="141" t="s">
        <v>1846</v>
      </c>
      <c r="H390" s="142" t="s">
        <v>1847</v>
      </c>
      <c r="I390" s="141" t="s">
        <v>1854</v>
      </c>
      <c r="J390" s="142" t="s">
        <v>1849</v>
      </c>
      <c r="K390" s="142" t="s">
        <v>596</v>
      </c>
      <c r="L390" s="143">
        <f t="shared" si="12"/>
        <v>1</v>
      </c>
      <c r="M390" s="144">
        <v>24213</v>
      </c>
      <c r="N390" s="141" t="s">
        <v>1429</v>
      </c>
      <c r="O390" s="142" t="s">
        <v>1430</v>
      </c>
      <c r="P390" s="141" t="s">
        <v>1700</v>
      </c>
      <c r="Q390" s="142" t="s">
        <v>1833</v>
      </c>
      <c r="R390" s="141" t="s">
        <v>1717</v>
      </c>
      <c r="S390" s="142" t="s">
        <v>1847</v>
      </c>
      <c r="T390" s="141" t="s">
        <v>1718</v>
      </c>
      <c r="U390" s="142" t="s">
        <v>1849</v>
      </c>
      <c r="V390" s="142" t="s">
        <v>596</v>
      </c>
      <c r="W390" s="141">
        <f t="shared" si="13"/>
        <v>2</v>
      </c>
      <c r="X390" s="143">
        <v>2</v>
      </c>
      <c r="Y390" s="145" t="s">
        <v>1858</v>
      </c>
      <c r="AA390"/>
    </row>
    <row r="391" spans="1:27" s="115" customFormat="1" ht="27" customHeight="1">
      <c r="A391" s="139">
        <v>366</v>
      </c>
      <c r="B391" s="140" t="s">
        <v>4897</v>
      </c>
      <c r="C391" s="141" t="s">
        <v>1429</v>
      </c>
      <c r="D391" s="142" t="s">
        <v>1430</v>
      </c>
      <c r="E391" s="141" t="s">
        <v>1832</v>
      </c>
      <c r="F391" s="142" t="s">
        <v>1833</v>
      </c>
      <c r="G391" s="141" t="s">
        <v>1846</v>
      </c>
      <c r="H391" s="142" t="s">
        <v>1847</v>
      </c>
      <c r="I391" s="141" t="s">
        <v>1859</v>
      </c>
      <c r="J391" s="142" t="s">
        <v>1860</v>
      </c>
      <c r="K391" s="142" t="s">
        <v>597</v>
      </c>
      <c r="L391" s="143">
        <f t="shared" si="12"/>
        <v>1</v>
      </c>
      <c r="M391" s="144">
        <v>24222</v>
      </c>
      <c r="N391" s="141" t="s">
        <v>1429</v>
      </c>
      <c r="O391" s="142" t="s">
        <v>1430</v>
      </c>
      <c r="P391" s="141" t="s">
        <v>1700</v>
      </c>
      <c r="Q391" s="142" t="s">
        <v>1833</v>
      </c>
      <c r="R391" s="141" t="s">
        <v>1717</v>
      </c>
      <c r="S391" s="142" t="s">
        <v>1847</v>
      </c>
      <c r="T391" s="141" t="s">
        <v>1723</v>
      </c>
      <c r="U391" s="142" t="s">
        <v>1860</v>
      </c>
      <c r="V391" s="142" t="s">
        <v>597</v>
      </c>
      <c r="W391" s="141">
        <f t="shared" si="13"/>
        <v>1</v>
      </c>
      <c r="X391" s="143"/>
      <c r="Y391" s="145"/>
      <c r="AA391"/>
    </row>
    <row r="392" spans="1:27" s="115" customFormat="1" ht="27" customHeight="1">
      <c r="A392" s="139">
        <v>367</v>
      </c>
      <c r="B392" s="140" t="s">
        <v>4898</v>
      </c>
      <c r="C392" s="141" t="s">
        <v>1429</v>
      </c>
      <c r="D392" s="142" t="s">
        <v>1430</v>
      </c>
      <c r="E392" s="141" t="s">
        <v>1832</v>
      </c>
      <c r="F392" s="142" t="s">
        <v>1833</v>
      </c>
      <c r="G392" s="141" t="s">
        <v>1846</v>
      </c>
      <c r="H392" s="142" t="s">
        <v>1847</v>
      </c>
      <c r="I392" s="141" t="s">
        <v>1859</v>
      </c>
      <c r="J392" s="142" t="s">
        <v>1860</v>
      </c>
      <c r="K392" s="142" t="s">
        <v>598</v>
      </c>
      <c r="L392" s="143">
        <f t="shared" si="12"/>
        <v>1</v>
      </c>
      <c r="M392" s="144">
        <v>24221</v>
      </c>
      <c r="N392" s="141" t="s">
        <v>1429</v>
      </c>
      <c r="O392" s="142" t="s">
        <v>1430</v>
      </c>
      <c r="P392" s="141" t="s">
        <v>1700</v>
      </c>
      <c r="Q392" s="142" t="s">
        <v>1833</v>
      </c>
      <c r="R392" s="141" t="s">
        <v>1717</v>
      </c>
      <c r="S392" s="142" t="s">
        <v>1847</v>
      </c>
      <c r="T392" s="141" t="s">
        <v>1723</v>
      </c>
      <c r="U392" s="142" t="s">
        <v>1860</v>
      </c>
      <c r="V392" s="142" t="s">
        <v>598</v>
      </c>
      <c r="W392" s="141">
        <f t="shared" si="13"/>
        <v>1</v>
      </c>
      <c r="X392" s="143"/>
      <c r="Y392" s="145"/>
      <c r="AA392"/>
    </row>
    <row r="393" spans="1:27" s="115" customFormat="1" ht="13.5" customHeight="1">
      <c r="A393" s="139">
        <v>368</v>
      </c>
      <c r="B393" s="140" t="s">
        <v>4899</v>
      </c>
      <c r="C393" s="141" t="s">
        <v>1429</v>
      </c>
      <c r="D393" s="142" t="s">
        <v>1430</v>
      </c>
      <c r="E393" s="141" t="s">
        <v>1832</v>
      </c>
      <c r="F393" s="142" t="s">
        <v>1833</v>
      </c>
      <c r="G393" s="141" t="s">
        <v>1846</v>
      </c>
      <c r="H393" s="142" t="s">
        <v>1847</v>
      </c>
      <c r="I393" s="141" t="s">
        <v>1859</v>
      </c>
      <c r="J393" s="142" t="s">
        <v>1860</v>
      </c>
      <c r="K393" s="142" t="s">
        <v>599</v>
      </c>
      <c r="L393" s="143">
        <f t="shared" si="12"/>
        <v>1</v>
      </c>
      <c r="M393" s="144">
        <v>24229</v>
      </c>
      <c r="N393" s="141" t="s">
        <v>1429</v>
      </c>
      <c r="O393" s="142" t="s">
        <v>1430</v>
      </c>
      <c r="P393" s="141" t="s">
        <v>1700</v>
      </c>
      <c r="Q393" s="142" t="s">
        <v>1833</v>
      </c>
      <c r="R393" s="141" t="s">
        <v>1717</v>
      </c>
      <c r="S393" s="142" t="s">
        <v>1847</v>
      </c>
      <c r="T393" s="141" t="s">
        <v>1723</v>
      </c>
      <c r="U393" s="142" t="s">
        <v>1860</v>
      </c>
      <c r="V393" s="142" t="s">
        <v>599</v>
      </c>
      <c r="W393" s="141">
        <f t="shared" si="13"/>
        <v>1</v>
      </c>
      <c r="X393" s="143"/>
      <c r="Y393" s="145"/>
      <c r="AA393"/>
    </row>
    <row r="394" spans="1:27" s="115" customFormat="1" ht="13.5" customHeight="1">
      <c r="A394" s="139">
        <v>369</v>
      </c>
      <c r="B394" s="140" t="s">
        <v>4900</v>
      </c>
      <c r="C394" s="141" t="s">
        <v>1429</v>
      </c>
      <c r="D394" s="142" t="s">
        <v>1430</v>
      </c>
      <c r="E394" s="141" t="s">
        <v>1832</v>
      </c>
      <c r="F394" s="142" t="s">
        <v>1833</v>
      </c>
      <c r="G394" s="141" t="s">
        <v>1846</v>
      </c>
      <c r="H394" s="142" t="s">
        <v>1847</v>
      </c>
      <c r="I394" s="141" t="s">
        <v>1861</v>
      </c>
      <c r="J394" s="142" t="s">
        <v>600</v>
      </c>
      <c r="K394" s="142" t="s">
        <v>600</v>
      </c>
      <c r="L394" s="143">
        <f t="shared" si="12"/>
        <v>1</v>
      </c>
      <c r="M394" s="144">
        <v>24290</v>
      </c>
      <c r="N394" s="141" t="s">
        <v>1429</v>
      </c>
      <c r="O394" s="142" t="s">
        <v>1430</v>
      </c>
      <c r="P394" s="141" t="s">
        <v>1700</v>
      </c>
      <c r="Q394" s="142" t="s">
        <v>1833</v>
      </c>
      <c r="R394" s="141" t="s">
        <v>1717</v>
      </c>
      <c r="S394" s="142" t="s">
        <v>1847</v>
      </c>
      <c r="T394" s="141" t="s">
        <v>1748</v>
      </c>
      <c r="U394" s="142" t="s">
        <v>600</v>
      </c>
      <c r="V394" s="142" t="s">
        <v>600</v>
      </c>
      <c r="W394" s="141">
        <f t="shared" si="13"/>
        <v>1</v>
      </c>
      <c r="X394" s="143"/>
      <c r="Y394" s="145"/>
      <c r="AA394"/>
    </row>
    <row r="395" spans="1:27" s="115" customFormat="1" ht="13.5" customHeight="1">
      <c r="A395" s="139">
        <v>370</v>
      </c>
      <c r="B395" s="140" t="s">
        <v>4901</v>
      </c>
      <c r="C395" s="141" t="s">
        <v>1429</v>
      </c>
      <c r="D395" s="142" t="s">
        <v>1430</v>
      </c>
      <c r="E395" s="141" t="s">
        <v>1832</v>
      </c>
      <c r="F395" s="142" t="s">
        <v>1833</v>
      </c>
      <c r="G395" s="141" t="s">
        <v>1862</v>
      </c>
      <c r="H395" s="142" t="s">
        <v>1863</v>
      </c>
      <c r="I395" s="141" t="s">
        <v>1864</v>
      </c>
      <c r="J395" s="142" t="s">
        <v>1865</v>
      </c>
      <c r="K395" s="142" t="s">
        <v>601</v>
      </c>
      <c r="L395" s="143">
        <f t="shared" si="12"/>
        <v>1</v>
      </c>
      <c r="M395" s="144">
        <v>24311</v>
      </c>
      <c r="N395" s="141" t="s">
        <v>1429</v>
      </c>
      <c r="O395" s="142" t="s">
        <v>1430</v>
      </c>
      <c r="P395" s="141" t="s">
        <v>1700</v>
      </c>
      <c r="Q395" s="142" t="s">
        <v>1833</v>
      </c>
      <c r="R395" s="141" t="s">
        <v>1756</v>
      </c>
      <c r="S395" s="142" t="s">
        <v>1863</v>
      </c>
      <c r="T395" s="141" t="s">
        <v>1866</v>
      </c>
      <c r="U395" s="142" t="s">
        <v>1865</v>
      </c>
      <c r="V395" s="142" t="s">
        <v>601</v>
      </c>
      <c r="W395" s="141">
        <f t="shared" si="13"/>
        <v>1</v>
      </c>
      <c r="X395" s="143"/>
      <c r="Y395" s="145"/>
      <c r="AA395"/>
    </row>
    <row r="396" spans="1:27" s="115" customFormat="1" ht="13.5" customHeight="1">
      <c r="A396" s="139">
        <v>371</v>
      </c>
      <c r="B396" s="140" t="s">
        <v>4902</v>
      </c>
      <c r="C396" s="141" t="s">
        <v>1429</v>
      </c>
      <c r="D396" s="142" t="s">
        <v>1430</v>
      </c>
      <c r="E396" s="141" t="s">
        <v>1832</v>
      </c>
      <c r="F396" s="142" t="s">
        <v>1833</v>
      </c>
      <c r="G396" s="141" t="s">
        <v>1862</v>
      </c>
      <c r="H396" s="142" t="s">
        <v>1863</v>
      </c>
      <c r="I396" s="141" t="s">
        <v>1864</v>
      </c>
      <c r="J396" s="142" t="s">
        <v>1865</v>
      </c>
      <c r="K396" s="142" t="s">
        <v>602</v>
      </c>
      <c r="L396" s="143">
        <f t="shared" si="12"/>
        <v>1</v>
      </c>
      <c r="M396" s="144">
        <v>24312</v>
      </c>
      <c r="N396" s="141" t="s">
        <v>1429</v>
      </c>
      <c r="O396" s="142" t="s">
        <v>1430</v>
      </c>
      <c r="P396" s="141" t="s">
        <v>1700</v>
      </c>
      <c r="Q396" s="142" t="s">
        <v>1833</v>
      </c>
      <c r="R396" s="141" t="s">
        <v>1756</v>
      </c>
      <c r="S396" s="142" t="s">
        <v>1863</v>
      </c>
      <c r="T396" s="141" t="s">
        <v>1866</v>
      </c>
      <c r="U396" s="142" t="s">
        <v>1865</v>
      </c>
      <c r="V396" s="142" t="s">
        <v>602</v>
      </c>
      <c r="W396" s="141">
        <f t="shared" si="13"/>
        <v>1</v>
      </c>
      <c r="X396" s="143"/>
      <c r="Y396" s="145"/>
      <c r="AA396"/>
    </row>
    <row r="397" spans="1:27" s="115" customFormat="1" ht="13.5" customHeight="1">
      <c r="A397" s="139">
        <v>372</v>
      </c>
      <c r="B397" s="140" t="s">
        <v>4903</v>
      </c>
      <c r="C397" s="141" t="s">
        <v>1429</v>
      </c>
      <c r="D397" s="142" t="s">
        <v>1430</v>
      </c>
      <c r="E397" s="141" t="s">
        <v>1832</v>
      </c>
      <c r="F397" s="142" t="s">
        <v>1833</v>
      </c>
      <c r="G397" s="141" t="s">
        <v>1862</v>
      </c>
      <c r="H397" s="142" t="s">
        <v>1863</v>
      </c>
      <c r="I397" s="141" t="s">
        <v>1867</v>
      </c>
      <c r="J397" s="142" t="s">
        <v>1868</v>
      </c>
      <c r="K397" s="142" t="s">
        <v>603</v>
      </c>
      <c r="L397" s="143">
        <f t="shared" si="12"/>
        <v>1</v>
      </c>
      <c r="M397" s="144">
        <v>24321</v>
      </c>
      <c r="N397" s="141" t="s">
        <v>1429</v>
      </c>
      <c r="O397" s="142" t="s">
        <v>1430</v>
      </c>
      <c r="P397" s="141" t="s">
        <v>1700</v>
      </c>
      <c r="Q397" s="142" t="s">
        <v>1833</v>
      </c>
      <c r="R397" s="141" t="s">
        <v>1756</v>
      </c>
      <c r="S397" s="142" t="s">
        <v>1863</v>
      </c>
      <c r="T397" s="141" t="s">
        <v>1869</v>
      </c>
      <c r="U397" s="142" t="s">
        <v>1868</v>
      </c>
      <c r="V397" s="142" t="s">
        <v>603</v>
      </c>
      <c r="W397" s="141">
        <f t="shared" si="13"/>
        <v>1</v>
      </c>
      <c r="X397" s="143"/>
      <c r="Y397" s="145"/>
      <c r="AA397"/>
    </row>
    <row r="398" spans="1:27" s="115" customFormat="1" ht="13.5" customHeight="1">
      <c r="A398" s="139">
        <v>373</v>
      </c>
      <c r="B398" s="140" t="s">
        <v>4904</v>
      </c>
      <c r="C398" s="141" t="s">
        <v>1429</v>
      </c>
      <c r="D398" s="142" t="s">
        <v>1430</v>
      </c>
      <c r="E398" s="141" t="s">
        <v>1832</v>
      </c>
      <c r="F398" s="142" t="s">
        <v>1833</v>
      </c>
      <c r="G398" s="141" t="s">
        <v>1862</v>
      </c>
      <c r="H398" s="142" t="s">
        <v>1863</v>
      </c>
      <c r="I398" s="141" t="s">
        <v>1867</v>
      </c>
      <c r="J398" s="142" t="s">
        <v>1868</v>
      </c>
      <c r="K398" s="142" t="s">
        <v>604</v>
      </c>
      <c r="L398" s="143">
        <f t="shared" si="12"/>
        <v>1</v>
      </c>
      <c r="M398" s="144">
        <v>24322</v>
      </c>
      <c r="N398" s="141" t="s">
        <v>1429</v>
      </c>
      <c r="O398" s="142" t="s">
        <v>1430</v>
      </c>
      <c r="P398" s="141" t="s">
        <v>1700</v>
      </c>
      <c r="Q398" s="142" t="s">
        <v>1833</v>
      </c>
      <c r="R398" s="141" t="s">
        <v>1756</v>
      </c>
      <c r="S398" s="142" t="s">
        <v>1863</v>
      </c>
      <c r="T398" s="141" t="s">
        <v>1869</v>
      </c>
      <c r="U398" s="142" t="s">
        <v>1868</v>
      </c>
      <c r="V398" s="142" t="s">
        <v>604</v>
      </c>
      <c r="W398" s="141">
        <f t="shared" si="13"/>
        <v>1</v>
      </c>
      <c r="X398" s="143"/>
      <c r="Y398" s="145"/>
      <c r="AA398"/>
    </row>
    <row r="399" spans="1:27" s="115" customFormat="1" ht="27" customHeight="1">
      <c r="A399" s="139">
        <v>374</v>
      </c>
      <c r="B399" s="140" t="s">
        <v>4905</v>
      </c>
      <c r="C399" s="141" t="s">
        <v>1429</v>
      </c>
      <c r="D399" s="142" t="s">
        <v>1430</v>
      </c>
      <c r="E399" s="141" t="s">
        <v>1832</v>
      </c>
      <c r="F399" s="142" t="s">
        <v>1833</v>
      </c>
      <c r="G399" s="141" t="s">
        <v>1862</v>
      </c>
      <c r="H399" s="142" t="s">
        <v>1863</v>
      </c>
      <c r="I399" s="141" t="s">
        <v>1867</v>
      </c>
      <c r="J399" s="142" t="s">
        <v>1868</v>
      </c>
      <c r="K399" s="142" t="s">
        <v>605</v>
      </c>
      <c r="L399" s="143">
        <f t="shared" si="12"/>
        <v>1</v>
      </c>
      <c r="M399" s="144">
        <v>24329</v>
      </c>
      <c r="N399" s="141" t="s">
        <v>1429</v>
      </c>
      <c r="O399" s="142" t="s">
        <v>1430</v>
      </c>
      <c r="P399" s="141" t="s">
        <v>1700</v>
      </c>
      <c r="Q399" s="142" t="s">
        <v>1833</v>
      </c>
      <c r="R399" s="141" t="s">
        <v>1756</v>
      </c>
      <c r="S399" s="142" t="s">
        <v>1863</v>
      </c>
      <c r="T399" s="141" t="s">
        <v>1869</v>
      </c>
      <c r="U399" s="142" t="s">
        <v>1868</v>
      </c>
      <c r="V399" s="142" t="s">
        <v>605</v>
      </c>
      <c r="W399" s="141">
        <f t="shared" si="13"/>
        <v>1</v>
      </c>
      <c r="X399" s="143"/>
      <c r="Y399" s="145"/>
      <c r="AA399"/>
    </row>
    <row r="400" spans="1:27" s="115" customFormat="1" ht="27" customHeight="1">
      <c r="A400" s="139">
        <v>375</v>
      </c>
      <c r="B400" s="140" t="s">
        <v>4906</v>
      </c>
      <c r="C400" s="141" t="s">
        <v>1429</v>
      </c>
      <c r="D400" s="142" t="s">
        <v>1430</v>
      </c>
      <c r="E400" s="141" t="s">
        <v>1870</v>
      </c>
      <c r="F400" s="142" t="s">
        <v>1871</v>
      </c>
      <c r="G400" s="141" t="s">
        <v>1872</v>
      </c>
      <c r="H400" s="142" t="s">
        <v>1873</v>
      </c>
      <c r="I400" s="141" t="s">
        <v>1874</v>
      </c>
      <c r="J400" s="142" t="s">
        <v>1875</v>
      </c>
      <c r="K400" s="142" t="s">
        <v>606</v>
      </c>
      <c r="L400" s="143">
        <f t="shared" si="12"/>
        <v>1</v>
      </c>
      <c r="M400" s="144">
        <v>25111</v>
      </c>
      <c r="N400" s="141" t="s">
        <v>1429</v>
      </c>
      <c r="O400" s="142" t="s">
        <v>1430</v>
      </c>
      <c r="P400" s="141" t="s">
        <v>1761</v>
      </c>
      <c r="Q400" s="142" t="s">
        <v>1876</v>
      </c>
      <c r="R400" s="141" t="s">
        <v>1763</v>
      </c>
      <c r="S400" s="142" t="s">
        <v>1877</v>
      </c>
      <c r="T400" s="141" t="s">
        <v>1765</v>
      </c>
      <c r="U400" s="142" t="s">
        <v>1875</v>
      </c>
      <c r="V400" s="142" t="s">
        <v>606</v>
      </c>
      <c r="W400" s="141">
        <f t="shared" si="13"/>
        <v>1</v>
      </c>
      <c r="X400" s="143"/>
      <c r="Y400" s="145"/>
      <c r="AA400"/>
    </row>
    <row r="401" spans="1:27" s="115" customFormat="1" ht="27" customHeight="1">
      <c r="A401" s="139">
        <v>376</v>
      </c>
      <c r="B401" s="140" t="s">
        <v>4907</v>
      </c>
      <c r="C401" s="141" t="s">
        <v>1429</v>
      </c>
      <c r="D401" s="142" t="s">
        <v>1430</v>
      </c>
      <c r="E401" s="141" t="s">
        <v>1870</v>
      </c>
      <c r="F401" s="142" t="s">
        <v>1871</v>
      </c>
      <c r="G401" s="141" t="s">
        <v>1872</v>
      </c>
      <c r="H401" s="142" t="s">
        <v>1878</v>
      </c>
      <c r="I401" s="141" t="s">
        <v>1874</v>
      </c>
      <c r="J401" s="142" t="s">
        <v>1879</v>
      </c>
      <c r="K401" s="142" t="s">
        <v>607</v>
      </c>
      <c r="L401" s="143">
        <f t="shared" si="12"/>
        <v>1</v>
      </c>
      <c r="M401" s="144">
        <v>25999</v>
      </c>
      <c r="N401" s="141" t="s">
        <v>1429</v>
      </c>
      <c r="O401" s="142" t="s">
        <v>1430</v>
      </c>
      <c r="P401" s="141" t="s">
        <v>1761</v>
      </c>
      <c r="Q401" s="142" t="s">
        <v>1876</v>
      </c>
      <c r="R401" s="141" t="s">
        <v>1880</v>
      </c>
      <c r="S401" s="142" t="s">
        <v>1878</v>
      </c>
      <c r="T401" s="141" t="s">
        <v>1881</v>
      </c>
      <c r="U401" s="142" t="s">
        <v>1879</v>
      </c>
      <c r="V401" s="142" t="s">
        <v>607</v>
      </c>
      <c r="W401" s="141">
        <f t="shared" si="13"/>
        <v>3</v>
      </c>
      <c r="X401" s="143">
        <v>1</v>
      </c>
      <c r="Y401" s="145"/>
      <c r="AA401"/>
    </row>
    <row r="402" spans="1:27" s="115" customFormat="1" ht="27" customHeight="1">
      <c r="A402" s="139">
        <v>377</v>
      </c>
      <c r="B402" s="140" t="s">
        <v>4908</v>
      </c>
      <c r="C402" s="141" t="s">
        <v>1429</v>
      </c>
      <c r="D402" s="142" t="s">
        <v>1430</v>
      </c>
      <c r="E402" s="141" t="s">
        <v>1870</v>
      </c>
      <c r="F402" s="142" t="s">
        <v>1882</v>
      </c>
      <c r="G402" s="141" t="s">
        <v>1872</v>
      </c>
      <c r="H402" s="142" t="s">
        <v>1883</v>
      </c>
      <c r="I402" s="141" t="s">
        <v>1874</v>
      </c>
      <c r="J402" s="142" t="s">
        <v>1884</v>
      </c>
      <c r="K402" s="142" t="s">
        <v>608</v>
      </c>
      <c r="L402" s="143">
        <f t="shared" si="12"/>
        <v>1</v>
      </c>
      <c r="M402" s="144">
        <v>29133</v>
      </c>
      <c r="N402" s="141" t="s">
        <v>1429</v>
      </c>
      <c r="O402" s="142" t="s">
        <v>1430</v>
      </c>
      <c r="P402" s="141" t="s">
        <v>1885</v>
      </c>
      <c r="Q402" s="142" t="s">
        <v>1882</v>
      </c>
      <c r="R402" s="141" t="s">
        <v>1886</v>
      </c>
      <c r="S402" s="142" t="s">
        <v>1887</v>
      </c>
      <c r="T402" s="141" t="s">
        <v>1888</v>
      </c>
      <c r="U402" s="142" t="s">
        <v>1884</v>
      </c>
      <c r="V402" s="142" t="s">
        <v>608</v>
      </c>
      <c r="W402" s="141">
        <f t="shared" si="13"/>
        <v>1</v>
      </c>
      <c r="X402" s="143"/>
      <c r="Y402" s="145"/>
      <c r="AA402"/>
    </row>
    <row r="403" spans="1:27" s="115" customFormat="1" ht="27" customHeight="1">
      <c r="A403" s="139">
        <v>378</v>
      </c>
      <c r="B403" s="140" t="s">
        <v>4909</v>
      </c>
      <c r="C403" s="141" t="s">
        <v>1429</v>
      </c>
      <c r="D403" s="142" t="s">
        <v>1430</v>
      </c>
      <c r="E403" s="141" t="s">
        <v>1870</v>
      </c>
      <c r="F403" s="142" t="s">
        <v>1871</v>
      </c>
      <c r="G403" s="141" t="s">
        <v>1872</v>
      </c>
      <c r="H403" s="142" t="s">
        <v>1877</v>
      </c>
      <c r="I403" s="141" t="s">
        <v>1874</v>
      </c>
      <c r="J403" s="142" t="s">
        <v>1875</v>
      </c>
      <c r="K403" s="142" t="s">
        <v>609</v>
      </c>
      <c r="L403" s="143">
        <f t="shared" si="12"/>
        <v>1</v>
      </c>
      <c r="M403" s="144">
        <v>25112</v>
      </c>
      <c r="N403" s="141" t="s">
        <v>1429</v>
      </c>
      <c r="O403" s="142" t="s">
        <v>1430</v>
      </c>
      <c r="P403" s="141" t="s">
        <v>1761</v>
      </c>
      <c r="Q403" s="142" t="s">
        <v>1876</v>
      </c>
      <c r="R403" s="141" t="s">
        <v>1763</v>
      </c>
      <c r="S403" s="142" t="s">
        <v>1877</v>
      </c>
      <c r="T403" s="141" t="s">
        <v>1765</v>
      </c>
      <c r="U403" s="142" t="s">
        <v>1875</v>
      </c>
      <c r="V403" s="142" t="s">
        <v>609</v>
      </c>
      <c r="W403" s="141">
        <f t="shared" si="13"/>
        <v>1</v>
      </c>
      <c r="X403" s="143"/>
      <c r="Y403" s="145"/>
      <c r="AA403"/>
    </row>
    <row r="404" spans="1:27" s="115" customFormat="1" ht="27" customHeight="1">
      <c r="A404" s="139">
        <v>379</v>
      </c>
      <c r="B404" s="140" t="s">
        <v>4910</v>
      </c>
      <c r="C404" s="141" t="s">
        <v>1429</v>
      </c>
      <c r="D404" s="142" t="s">
        <v>1430</v>
      </c>
      <c r="E404" s="141" t="s">
        <v>1870</v>
      </c>
      <c r="F404" s="142" t="s">
        <v>1871</v>
      </c>
      <c r="G404" s="141" t="s">
        <v>1872</v>
      </c>
      <c r="H404" s="142" t="s">
        <v>1877</v>
      </c>
      <c r="I404" s="141" t="s">
        <v>1874</v>
      </c>
      <c r="J404" s="142" t="s">
        <v>1875</v>
      </c>
      <c r="K404" s="142" t="s">
        <v>610</v>
      </c>
      <c r="L404" s="143">
        <f t="shared" si="12"/>
        <v>1</v>
      </c>
      <c r="M404" s="144">
        <v>25113</v>
      </c>
      <c r="N404" s="141" t="s">
        <v>1429</v>
      </c>
      <c r="O404" s="142" t="s">
        <v>1430</v>
      </c>
      <c r="P404" s="141" t="s">
        <v>1761</v>
      </c>
      <c r="Q404" s="142" t="s">
        <v>1876</v>
      </c>
      <c r="R404" s="141" t="s">
        <v>1763</v>
      </c>
      <c r="S404" s="142" t="s">
        <v>1877</v>
      </c>
      <c r="T404" s="141" t="s">
        <v>1765</v>
      </c>
      <c r="U404" s="142" t="s">
        <v>1875</v>
      </c>
      <c r="V404" s="142" t="s">
        <v>610</v>
      </c>
      <c r="W404" s="141">
        <f t="shared" si="13"/>
        <v>1</v>
      </c>
      <c r="X404" s="143"/>
      <c r="Y404" s="145"/>
      <c r="AA404"/>
    </row>
    <row r="405" spans="1:27" s="115" customFormat="1" ht="27" customHeight="1">
      <c r="A405" s="139">
        <v>380</v>
      </c>
      <c r="B405" s="140" t="s">
        <v>4911</v>
      </c>
      <c r="C405" s="141" t="s">
        <v>1429</v>
      </c>
      <c r="D405" s="142" t="s">
        <v>1430</v>
      </c>
      <c r="E405" s="141" t="s">
        <v>1870</v>
      </c>
      <c r="F405" s="142" t="s">
        <v>1871</v>
      </c>
      <c r="G405" s="141" t="s">
        <v>1872</v>
      </c>
      <c r="H405" s="142" t="s">
        <v>1877</v>
      </c>
      <c r="I405" s="141" t="s">
        <v>1874</v>
      </c>
      <c r="J405" s="142" t="s">
        <v>1875</v>
      </c>
      <c r="K405" s="142" t="s">
        <v>611</v>
      </c>
      <c r="L405" s="143">
        <f t="shared" si="12"/>
        <v>1</v>
      </c>
      <c r="M405" s="144">
        <v>25114</v>
      </c>
      <c r="N405" s="141" t="s">
        <v>1429</v>
      </c>
      <c r="O405" s="142" t="s">
        <v>1430</v>
      </c>
      <c r="P405" s="141" t="s">
        <v>1761</v>
      </c>
      <c r="Q405" s="142" t="s">
        <v>1876</v>
      </c>
      <c r="R405" s="141" t="s">
        <v>1763</v>
      </c>
      <c r="S405" s="142" t="s">
        <v>1877</v>
      </c>
      <c r="T405" s="141" t="s">
        <v>1765</v>
      </c>
      <c r="U405" s="142" t="s">
        <v>1875</v>
      </c>
      <c r="V405" s="142" t="s">
        <v>611</v>
      </c>
      <c r="W405" s="141">
        <f t="shared" si="13"/>
        <v>1</v>
      </c>
      <c r="X405" s="143"/>
      <c r="Y405" s="145"/>
      <c r="AA405"/>
    </row>
    <row r="406" spans="1:27" s="115" customFormat="1" ht="27" customHeight="1">
      <c r="A406" s="139">
        <v>381</v>
      </c>
      <c r="B406" s="140" t="s">
        <v>4912</v>
      </c>
      <c r="C406" s="141" t="s">
        <v>1429</v>
      </c>
      <c r="D406" s="142" t="s">
        <v>1430</v>
      </c>
      <c r="E406" s="141" t="s">
        <v>1870</v>
      </c>
      <c r="F406" s="142" t="s">
        <v>1871</v>
      </c>
      <c r="G406" s="141" t="s">
        <v>1872</v>
      </c>
      <c r="H406" s="142" t="s">
        <v>1877</v>
      </c>
      <c r="I406" s="141" t="s">
        <v>1874</v>
      </c>
      <c r="J406" s="142" t="s">
        <v>1875</v>
      </c>
      <c r="K406" s="142" t="s">
        <v>612</v>
      </c>
      <c r="L406" s="143">
        <f t="shared" si="12"/>
        <v>1</v>
      </c>
      <c r="M406" s="144">
        <v>25119</v>
      </c>
      <c r="N406" s="141" t="s">
        <v>1429</v>
      </c>
      <c r="O406" s="142" t="s">
        <v>1430</v>
      </c>
      <c r="P406" s="141" t="s">
        <v>1761</v>
      </c>
      <c r="Q406" s="142" t="s">
        <v>1876</v>
      </c>
      <c r="R406" s="141" t="s">
        <v>1763</v>
      </c>
      <c r="S406" s="142" t="s">
        <v>1877</v>
      </c>
      <c r="T406" s="141" t="s">
        <v>1765</v>
      </c>
      <c r="U406" s="142" t="s">
        <v>1875</v>
      </c>
      <c r="V406" s="142" t="s">
        <v>612</v>
      </c>
      <c r="W406" s="141">
        <f t="shared" si="13"/>
        <v>1</v>
      </c>
      <c r="X406" s="143"/>
      <c r="Y406" s="145"/>
      <c r="AA406"/>
    </row>
    <row r="407" spans="1:27" s="115" customFormat="1" ht="27" customHeight="1">
      <c r="A407" s="139">
        <v>382</v>
      </c>
      <c r="B407" s="140" t="s">
        <v>4913</v>
      </c>
      <c r="C407" s="141" t="s">
        <v>1429</v>
      </c>
      <c r="D407" s="142" t="s">
        <v>1430</v>
      </c>
      <c r="E407" s="141" t="s">
        <v>1870</v>
      </c>
      <c r="F407" s="142" t="s">
        <v>1871</v>
      </c>
      <c r="G407" s="141" t="s">
        <v>1872</v>
      </c>
      <c r="H407" s="142" t="s">
        <v>1877</v>
      </c>
      <c r="I407" s="141" t="s">
        <v>1889</v>
      </c>
      <c r="J407" s="142" t="s">
        <v>1890</v>
      </c>
      <c r="K407" s="142" t="s">
        <v>613</v>
      </c>
      <c r="L407" s="143">
        <f t="shared" si="12"/>
        <v>1</v>
      </c>
      <c r="M407" s="144">
        <v>25121</v>
      </c>
      <c r="N407" s="141" t="s">
        <v>1429</v>
      </c>
      <c r="O407" s="142" t="s">
        <v>1430</v>
      </c>
      <c r="P407" s="141" t="s">
        <v>1761</v>
      </c>
      <c r="Q407" s="142" t="s">
        <v>1876</v>
      </c>
      <c r="R407" s="141" t="s">
        <v>1763</v>
      </c>
      <c r="S407" s="142" t="s">
        <v>1877</v>
      </c>
      <c r="T407" s="141" t="s">
        <v>1891</v>
      </c>
      <c r="U407" s="142" t="s">
        <v>1890</v>
      </c>
      <c r="V407" s="142" t="s">
        <v>613</v>
      </c>
      <c r="W407" s="141">
        <f t="shared" si="13"/>
        <v>2</v>
      </c>
      <c r="X407" s="143">
        <v>1</v>
      </c>
      <c r="Y407" s="145"/>
      <c r="AA407"/>
    </row>
    <row r="408" spans="1:27" s="115" customFormat="1" ht="27" customHeight="1">
      <c r="A408" s="139">
        <v>383</v>
      </c>
      <c r="B408" s="140" t="s">
        <v>4914</v>
      </c>
      <c r="C408" s="141" t="s">
        <v>1429</v>
      </c>
      <c r="D408" s="142" t="s">
        <v>1430</v>
      </c>
      <c r="E408" s="141" t="s">
        <v>1870</v>
      </c>
      <c r="F408" s="142" t="s">
        <v>1871</v>
      </c>
      <c r="G408" s="141" t="s">
        <v>1872</v>
      </c>
      <c r="H408" s="142" t="s">
        <v>1877</v>
      </c>
      <c r="I408" s="141" t="s">
        <v>1889</v>
      </c>
      <c r="J408" s="142" t="s">
        <v>1890</v>
      </c>
      <c r="K408" s="142" t="s">
        <v>613</v>
      </c>
      <c r="L408" s="143">
        <f t="shared" si="12"/>
        <v>1</v>
      </c>
      <c r="M408" s="144">
        <v>25121</v>
      </c>
      <c r="N408" s="141" t="s">
        <v>1429</v>
      </c>
      <c r="O408" s="142" t="s">
        <v>1430</v>
      </c>
      <c r="P408" s="141" t="s">
        <v>1761</v>
      </c>
      <c r="Q408" s="142" t="s">
        <v>1876</v>
      </c>
      <c r="R408" s="141" t="s">
        <v>1763</v>
      </c>
      <c r="S408" s="142" t="s">
        <v>1877</v>
      </c>
      <c r="T408" s="141" t="s">
        <v>1891</v>
      </c>
      <c r="U408" s="142" t="s">
        <v>1890</v>
      </c>
      <c r="V408" s="142" t="s">
        <v>613</v>
      </c>
      <c r="W408" s="141">
        <f t="shared" si="13"/>
        <v>2</v>
      </c>
      <c r="X408" s="143"/>
      <c r="Y408" s="145" t="s">
        <v>1892</v>
      </c>
      <c r="AA408"/>
    </row>
    <row r="409" spans="1:27" s="115" customFormat="1" ht="27" customHeight="1">
      <c r="A409" s="139">
        <v>384</v>
      </c>
      <c r="B409" s="140" t="s">
        <v>4915</v>
      </c>
      <c r="C409" s="141" t="s">
        <v>1429</v>
      </c>
      <c r="D409" s="142" t="s">
        <v>1430</v>
      </c>
      <c r="E409" s="141" t="s">
        <v>1870</v>
      </c>
      <c r="F409" s="142" t="s">
        <v>1871</v>
      </c>
      <c r="G409" s="141" t="s">
        <v>1872</v>
      </c>
      <c r="H409" s="142" t="s">
        <v>1877</v>
      </c>
      <c r="I409" s="141" t="s">
        <v>1889</v>
      </c>
      <c r="J409" s="142" t="s">
        <v>1890</v>
      </c>
      <c r="K409" s="142" t="s">
        <v>614</v>
      </c>
      <c r="L409" s="143">
        <f t="shared" si="12"/>
        <v>1</v>
      </c>
      <c r="M409" s="144">
        <v>25122</v>
      </c>
      <c r="N409" s="141" t="s">
        <v>1429</v>
      </c>
      <c r="O409" s="142" t="s">
        <v>1430</v>
      </c>
      <c r="P409" s="141" t="s">
        <v>1761</v>
      </c>
      <c r="Q409" s="142" t="s">
        <v>1876</v>
      </c>
      <c r="R409" s="141" t="s">
        <v>1763</v>
      </c>
      <c r="S409" s="142" t="s">
        <v>1877</v>
      </c>
      <c r="T409" s="141" t="s">
        <v>1891</v>
      </c>
      <c r="U409" s="142" t="s">
        <v>1890</v>
      </c>
      <c r="V409" s="142" t="s">
        <v>614</v>
      </c>
      <c r="W409" s="141">
        <f t="shared" si="13"/>
        <v>1</v>
      </c>
      <c r="X409" s="143"/>
      <c r="Y409" s="145"/>
      <c r="AA409"/>
    </row>
    <row r="410" spans="1:27" s="115" customFormat="1" ht="27" customHeight="1">
      <c r="A410" s="139">
        <v>385</v>
      </c>
      <c r="B410" s="140" t="s">
        <v>4916</v>
      </c>
      <c r="C410" s="141" t="s">
        <v>1429</v>
      </c>
      <c r="D410" s="142" t="s">
        <v>1430</v>
      </c>
      <c r="E410" s="141" t="s">
        <v>1870</v>
      </c>
      <c r="F410" s="142" t="s">
        <v>1871</v>
      </c>
      <c r="G410" s="141" t="s">
        <v>1872</v>
      </c>
      <c r="H410" s="142" t="s">
        <v>1877</v>
      </c>
      <c r="I410" s="141" t="s">
        <v>1889</v>
      </c>
      <c r="J410" s="142" t="s">
        <v>1890</v>
      </c>
      <c r="K410" s="142" t="s">
        <v>615</v>
      </c>
      <c r="L410" s="143">
        <f t="shared" si="12"/>
        <v>1</v>
      </c>
      <c r="M410" s="144">
        <v>25123</v>
      </c>
      <c r="N410" s="141" t="s">
        <v>1429</v>
      </c>
      <c r="O410" s="142" t="s">
        <v>1430</v>
      </c>
      <c r="P410" s="141" t="s">
        <v>1761</v>
      </c>
      <c r="Q410" s="142" t="s">
        <v>1876</v>
      </c>
      <c r="R410" s="141" t="s">
        <v>1763</v>
      </c>
      <c r="S410" s="142" t="s">
        <v>1877</v>
      </c>
      <c r="T410" s="141" t="s">
        <v>1891</v>
      </c>
      <c r="U410" s="142" t="s">
        <v>1890</v>
      </c>
      <c r="V410" s="142" t="s">
        <v>615</v>
      </c>
      <c r="W410" s="141">
        <f t="shared" si="13"/>
        <v>1</v>
      </c>
      <c r="X410" s="143"/>
      <c r="Y410" s="145"/>
      <c r="AA410"/>
    </row>
    <row r="411" spans="1:27" s="115" customFormat="1" ht="27" customHeight="1">
      <c r="A411" s="139">
        <v>386</v>
      </c>
      <c r="B411" s="140" t="s">
        <v>4917</v>
      </c>
      <c r="C411" s="141" t="s">
        <v>1429</v>
      </c>
      <c r="D411" s="142" t="s">
        <v>1430</v>
      </c>
      <c r="E411" s="141" t="s">
        <v>1870</v>
      </c>
      <c r="F411" s="142" t="s">
        <v>1871</v>
      </c>
      <c r="G411" s="141" t="s">
        <v>1872</v>
      </c>
      <c r="H411" s="142" t="s">
        <v>1877</v>
      </c>
      <c r="I411" s="141" t="s">
        <v>1893</v>
      </c>
      <c r="J411" s="142" t="s">
        <v>616</v>
      </c>
      <c r="K411" s="142" t="s">
        <v>616</v>
      </c>
      <c r="L411" s="143">
        <f t="shared" si="12"/>
        <v>1</v>
      </c>
      <c r="M411" s="144">
        <v>25130</v>
      </c>
      <c r="N411" s="141" t="s">
        <v>1429</v>
      </c>
      <c r="O411" s="142" t="s">
        <v>1430</v>
      </c>
      <c r="P411" s="141" t="s">
        <v>1761</v>
      </c>
      <c r="Q411" s="142" t="s">
        <v>1876</v>
      </c>
      <c r="R411" s="141" t="s">
        <v>1763</v>
      </c>
      <c r="S411" s="142" t="s">
        <v>1877</v>
      </c>
      <c r="T411" s="141" t="s">
        <v>1894</v>
      </c>
      <c r="U411" s="142" t="s">
        <v>616</v>
      </c>
      <c r="V411" s="142" t="s">
        <v>616</v>
      </c>
      <c r="W411" s="141">
        <f t="shared" si="13"/>
        <v>1</v>
      </c>
      <c r="X411" s="143"/>
      <c r="Y411" s="145"/>
      <c r="AA411"/>
    </row>
    <row r="412" spans="1:27" s="115" customFormat="1" ht="27" customHeight="1">
      <c r="A412" s="139">
        <v>387</v>
      </c>
      <c r="B412" s="140" t="s">
        <v>4918</v>
      </c>
      <c r="C412" s="141" t="s">
        <v>1429</v>
      </c>
      <c r="D412" s="142" t="s">
        <v>1430</v>
      </c>
      <c r="E412" s="141" t="s">
        <v>1870</v>
      </c>
      <c r="F412" s="142" t="s">
        <v>1871</v>
      </c>
      <c r="G412" s="141" t="s">
        <v>1895</v>
      </c>
      <c r="H412" s="142" t="s">
        <v>1878</v>
      </c>
      <c r="I412" s="141" t="s">
        <v>1896</v>
      </c>
      <c r="J412" s="142" t="s">
        <v>1897</v>
      </c>
      <c r="K412" s="142" t="s">
        <v>617</v>
      </c>
      <c r="L412" s="143">
        <f t="shared" si="12"/>
        <v>1</v>
      </c>
      <c r="M412" s="144">
        <v>25911</v>
      </c>
      <c r="N412" s="141" t="s">
        <v>1429</v>
      </c>
      <c r="O412" s="142" t="s">
        <v>1430</v>
      </c>
      <c r="P412" s="141" t="s">
        <v>1761</v>
      </c>
      <c r="Q412" s="142" t="s">
        <v>1876</v>
      </c>
      <c r="R412" s="141" t="s">
        <v>1880</v>
      </c>
      <c r="S412" s="142" t="s">
        <v>1878</v>
      </c>
      <c r="T412" s="141" t="s">
        <v>1898</v>
      </c>
      <c r="U412" s="142" t="s">
        <v>1897</v>
      </c>
      <c r="V412" s="142" t="s">
        <v>617</v>
      </c>
      <c r="W412" s="141">
        <f t="shared" si="13"/>
        <v>1</v>
      </c>
      <c r="X412" s="143"/>
      <c r="Y412" s="145"/>
      <c r="AA412"/>
    </row>
    <row r="413" spans="1:27" s="115" customFormat="1" ht="27" customHeight="1">
      <c r="A413" s="139">
        <v>388</v>
      </c>
      <c r="B413" s="140" t="s">
        <v>4919</v>
      </c>
      <c r="C413" s="141" t="s">
        <v>1429</v>
      </c>
      <c r="D413" s="142" t="s">
        <v>1430</v>
      </c>
      <c r="E413" s="141" t="s">
        <v>1870</v>
      </c>
      <c r="F413" s="142" t="s">
        <v>1871</v>
      </c>
      <c r="G413" s="141" t="s">
        <v>1895</v>
      </c>
      <c r="H413" s="142" t="s">
        <v>1878</v>
      </c>
      <c r="I413" s="141" t="s">
        <v>1896</v>
      </c>
      <c r="J413" s="142" t="s">
        <v>1897</v>
      </c>
      <c r="K413" s="142" t="s">
        <v>618</v>
      </c>
      <c r="L413" s="143">
        <f t="shared" si="12"/>
        <v>1</v>
      </c>
      <c r="M413" s="144">
        <v>25912</v>
      </c>
      <c r="N413" s="141" t="s">
        <v>1429</v>
      </c>
      <c r="O413" s="142" t="s">
        <v>1430</v>
      </c>
      <c r="P413" s="141" t="s">
        <v>1761</v>
      </c>
      <c r="Q413" s="142" t="s">
        <v>1876</v>
      </c>
      <c r="R413" s="141" t="s">
        <v>1880</v>
      </c>
      <c r="S413" s="142" t="s">
        <v>1878</v>
      </c>
      <c r="T413" s="141" t="s">
        <v>1898</v>
      </c>
      <c r="U413" s="142" t="s">
        <v>1897</v>
      </c>
      <c r="V413" s="142" t="s">
        <v>618</v>
      </c>
      <c r="W413" s="141">
        <f t="shared" si="13"/>
        <v>1</v>
      </c>
      <c r="X413" s="143"/>
      <c r="Y413" s="145"/>
      <c r="AA413"/>
    </row>
    <row r="414" spans="1:27" s="115" customFormat="1" ht="27" customHeight="1">
      <c r="A414" s="139">
        <v>389</v>
      </c>
      <c r="B414" s="140" t="s">
        <v>4920</v>
      </c>
      <c r="C414" s="141" t="s">
        <v>1429</v>
      </c>
      <c r="D414" s="142" t="s">
        <v>1430</v>
      </c>
      <c r="E414" s="141" t="s">
        <v>1870</v>
      </c>
      <c r="F414" s="142" t="s">
        <v>1871</v>
      </c>
      <c r="G414" s="141" t="s">
        <v>1895</v>
      </c>
      <c r="H414" s="142" t="s">
        <v>1878</v>
      </c>
      <c r="I414" s="141" t="s">
        <v>1896</v>
      </c>
      <c r="J414" s="142" t="s">
        <v>1897</v>
      </c>
      <c r="K414" s="142" t="s">
        <v>619</v>
      </c>
      <c r="L414" s="143">
        <f t="shared" si="12"/>
        <v>1</v>
      </c>
      <c r="M414" s="144">
        <v>25913</v>
      </c>
      <c r="N414" s="141" t="s">
        <v>1429</v>
      </c>
      <c r="O414" s="142" t="s">
        <v>1430</v>
      </c>
      <c r="P414" s="141" t="s">
        <v>1761</v>
      </c>
      <c r="Q414" s="142" t="s">
        <v>1876</v>
      </c>
      <c r="R414" s="141" t="s">
        <v>1880</v>
      </c>
      <c r="S414" s="142" t="s">
        <v>1878</v>
      </c>
      <c r="T414" s="141" t="s">
        <v>1898</v>
      </c>
      <c r="U414" s="142" t="s">
        <v>1897</v>
      </c>
      <c r="V414" s="142" t="s">
        <v>619</v>
      </c>
      <c r="W414" s="141">
        <f t="shared" si="13"/>
        <v>1</v>
      </c>
      <c r="X414" s="143"/>
      <c r="Y414" s="145"/>
      <c r="AA414"/>
    </row>
    <row r="415" spans="1:27" s="115" customFormat="1" ht="27" customHeight="1">
      <c r="A415" s="139">
        <v>390</v>
      </c>
      <c r="B415" s="140" t="s">
        <v>4921</v>
      </c>
      <c r="C415" s="141" t="s">
        <v>1429</v>
      </c>
      <c r="D415" s="142" t="s">
        <v>1430</v>
      </c>
      <c r="E415" s="141" t="s">
        <v>1870</v>
      </c>
      <c r="F415" s="142" t="s">
        <v>1871</v>
      </c>
      <c r="G415" s="141" t="s">
        <v>1895</v>
      </c>
      <c r="H415" s="142" t="s">
        <v>1878</v>
      </c>
      <c r="I415" s="141" t="s">
        <v>1896</v>
      </c>
      <c r="J415" s="142" t="s">
        <v>1897</v>
      </c>
      <c r="K415" s="142" t="s">
        <v>620</v>
      </c>
      <c r="L415" s="143">
        <f t="shared" si="12"/>
        <v>1</v>
      </c>
      <c r="M415" s="144">
        <v>25914</v>
      </c>
      <c r="N415" s="141" t="s">
        <v>1429</v>
      </c>
      <c r="O415" s="142" t="s">
        <v>1430</v>
      </c>
      <c r="P415" s="141" t="s">
        <v>1761</v>
      </c>
      <c r="Q415" s="142" t="s">
        <v>1876</v>
      </c>
      <c r="R415" s="141" t="s">
        <v>1880</v>
      </c>
      <c r="S415" s="142" t="s">
        <v>1878</v>
      </c>
      <c r="T415" s="141" t="s">
        <v>1898</v>
      </c>
      <c r="U415" s="142" t="s">
        <v>1897</v>
      </c>
      <c r="V415" s="142" t="s">
        <v>620</v>
      </c>
      <c r="W415" s="141">
        <f t="shared" si="13"/>
        <v>1</v>
      </c>
      <c r="X415" s="143"/>
      <c r="Y415" s="145"/>
      <c r="AA415"/>
    </row>
    <row r="416" spans="1:27" s="115" customFormat="1" ht="27" customHeight="1">
      <c r="A416" s="139">
        <v>391</v>
      </c>
      <c r="B416" s="140" t="s">
        <v>4922</v>
      </c>
      <c r="C416" s="141" t="s">
        <v>1429</v>
      </c>
      <c r="D416" s="142" t="s">
        <v>1430</v>
      </c>
      <c r="E416" s="141" t="s">
        <v>1870</v>
      </c>
      <c r="F416" s="142" t="s">
        <v>1871</v>
      </c>
      <c r="G416" s="141" t="s">
        <v>1895</v>
      </c>
      <c r="H416" s="142" t="s">
        <v>1878</v>
      </c>
      <c r="I416" s="141" t="s">
        <v>1899</v>
      </c>
      <c r="J416" s="142" t="s">
        <v>1900</v>
      </c>
      <c r="K416" s="142" t="s">
        <v>621</v>
      </c>
      <c r="L416" s="143">
        <f t="shared" si="12"/>
        <v>1</v>
      </c>
      <c r="M416" s="144">
        <v>25929</v>
      </c>
      <c r="N416" s="141" t="s">
        <v>1429</v>
      </c>
      <c r="O416" s="142" t="s">
        <v>1430</v>
      </c>
      <c r="P416" s="141" t="s">
        <v>1761</v>
      </c>
      <c r="Q416" s="142" t="s">
        <v>1876</v>
      </c>
      <c r="R416" s="141" t="s">
        <v>1880</v>
      </c>
      <c r="S416" s="142" t="s">
        <v>1878</v>
      </c>
      <c r="T416" s="141" t="s">
        <v>1901</v>
      </c>
      <c r="U416" s="142" t="s">
        <v>1900</v>
      </c>
      <c r="V416" s="142" t="s">
        <v>621</v>
      </c>
      <c r="W416" s="141">
        <f t="shared" si="13"/>
        <v>3</v>
      </c>
      <c r="X416" s="143"/>
      <c r="Y416" s="145" t="s">
        <v>1902</v>
      </c>
      <c r="AA416"/>
    </row>
    <row r="417" spans="1:27" s="115" customFormat="1" ht="27" customHeight="1">
      <c r="A417" s="139">
        <v>392</v>
      </c>
      <c r="B417" s="140" t="s">
        <v>4923</v>
      </c>
      <c r="C417" s="141" t="s">
        <v>1429</v>
      </c>
      <c r="D417" s="142" t="s">
        <v>1430</v>
      </c>
      <c r="E417" s="141" t="s">
        <v>1870</v>
      </c>
      <c r="F417" s="142" t="s">
        <v>1871</v>
      </c>
      <c r="G417" s="141" t="s">
        <v>1895</v>
      </c>
      <c r="H417" s="142" t="s">
        <v>1878</v>
      </c>
      <c r="I417" s="141" t="s">
        <v>1899</v>
      </c>
      <c r="J417" s="142" t="s">
        <v>1900</v>
      </c>
      <c r="K417" s="142" t="s">
        <v>622</v>
      </c>
      <c r="L417" s="143">
        <f t="shared" si="12"/>
        <v>1</v>
      </c>
      <c r="M417" s="144">
        <v>25923</v>
      </c>
      <c r="N417" s="141" t="s">
        <v>1429</v>
      </c>
      <c r="O417" s="142" t="s">
        <v>1430</v>
      </c>
      <c r="P417" s="141" t="s">
        <v>1761</v>
      </c>
      <c r="Q417" s="142" t="s">
        <v>1876</v>
      </c>
      <c r="R417" s="141" t="s">
        <v>1880</v>
      </c>
      <c r="S417" s="142" t="s">
        <v>1878</v>
      </c>
      <c r="T417" s="141" t="s">
        <v>1901</v>
      </c>
      <c r="U417" s="142" t="s">
        <v>1900</v>
      </c>
      <c r="V417" s="142" t="s">
        <v>622</v>
      </c>
      <c r="W417" s="141">
        <f t="shared" si="13"/>
        <v>1</v>
      </c>
      <c r="X417" s="143"/>
      <c r="Y417" s="145"/>
      <c r="AA417"/>
    </row>
    <row r="418" spans="1:27" s="115" customFormat="1" ht="27" customHeight="1">
      <c r="A418" s="139">
        <v>393</v>
      </c>
      <c r="B418" s="140" t="s">
        <v>4924</v>
      </c>
      <c r="C418" s="141" t="s">
        <v>1429</v>
      </c>
      <c r="D418" s="142" t="s">
        <v>1430</v>
      </c>
      <c r="E418" s="141" t="s">
        <v>1870</v>
      </c>
      <c r="F418" s="142" t="s">
        <v>1871</v>
      </c>
      <c r="G418" s="141" t="s">
        <v>1895</v>
      </c>
      <c r="H418" s="142" t="s">
        <v>1878</v>
      </c>
      <c r="I418" s="141" t="s">
        <v>1899</v>
      </c>
      <c r="J418" s="142" t="s">
        <v>1900</v>
      </c>
      <c r="K418" s="142" t="s">
        <v>623</v>
      </c>
      <c r="L418" s="143">
        <f t="shared" si="12"/>
        <v>1</v>
      </c>
      <c r="M418" s="144">
        <v>25924</v>
      </c>
      <c r="N418" s="141" t="s">
        <v>1429</v>
      </c>
      <c r="O418" s="142" t="s">
        <v>1430</v>
      </c>
      <c r="P418" s="141" t="s">
        <v>1761</v>
      </c>
      <c r="Q418" s="142" t="s">
        <v>1876</v>
      </c>
      <c r="R418" s="141" t="s">
        <v>1880</v>
      </c>
      <c r="S418" s="142" t="s">
        <v>1878</v>
      </c>
      <c r="T418" s="141" t="s">
        <v>1901</v>
      </c>
      <c r="U418" s="142" t="s">
        <v>1900</v>
      </c>
      <c r="V418" s="142" t="s">
        <v>623</v>
      </c>
      <c r="W418" s="141">
        <f t="shared" si="13"/>
        <v>2</v>
      </c>
      <c r="X418" s="143">
        <v>1</v>
      </c>
      <c r="Y418" s="145"/>
      <c r="AA418"/>
    </row>
    <row r="419" spans="1:27" s="115" customFormat="1" ht="27" customHeight="1">
      <c r="A419" s="139">
        <v>394</v>
      </c>
      <c r="B419" s="140" t="s">
        <v>4925</v>
      </c>
      <c r="C419" s="141" t="s">
        <v>1429</v>
      </c>
      <c r="D419" s="142" t="s">
        <v>1430</v>
      </c>
      <c r="E419" s="141" t="s">
        <v>1870</v>
      </c>
      <c r="F419" s="142" t="s">
        <v>1871</v>
      </c>
      <c r="G419" s="141" t="s">
        <v>1895</v>
      </c>
      <c r="H419" s="142" t="s">
        <v>1878</v>
      </c>
      <c r="I419" s="141" t="s">
        <v>1899</v>
      </c>
      <c r="J419" s="142" t="s">
        <v>1900</v>
      </c>
      <c r="K419" s="142" t="s">
        <v>624</v>
      </c>
      <c r="L419" s="143">
        <f t="shared" si="12"/>
        <v>1</v>
      </c>
      <c r="M419" s="144">
        <v>25921</v>
      </c>
      <c r="N419" s="141" t="s">
        <v>1429</v>
      </c>
      <c r="O419" s="142" t="s">
        <v>1430</v>
      </c>
      <c r="P419" s="141" t="s">
        <v>1761</v>
      </c>
      <c r="Q419" s="142" t="s">
        <v>1876</v>
      </c>
      <c r="R419" s="141" t="s">
        <v>1880</v>
      </c>
      <c r="S419" s="142" t="s">
        <v>1878</v>
      </c>
      <c r="T419" s="141" t="s">
        <v>1901</v>
      </c>
      <c r="U419" s="142" t="s">
        <v>1900</v>
      </c>
      <c r="V419" s="142" t="s">
        <v>624</v>
      </c>
      <c r="W419" s="141">
        <f t="shared" si="13"/>
        <v>1</v>
      </c>
      <c r="X419" s="143"/>
      <c r="Y419" s="145"/>
      <c r="AA419"/>
    </row>
    <row r="420" spans="1:27" s="115" customFormat="1" ht="27" customHeight="1">
      <c r="A420" s="139">
        <v>395</v>
      </c>
      <c r="B420" s="140" t="s">
        <v>4926</v>
      </c>
      <c r="C420" s="141" t="s">
        <v>1429</v>
      </c>
      <c r="D420" s="142" t="s">
        <v>1430</v>
      </c>
      <c r="E420" s="141" t="s">
        <v>1870</v>
      </c>
      <c r="F420" s="142" t="s">
        <v>1871</v>
      </c>
      <c r="G420" s="141" t="s">
        <v>1895</v>
      </c>
      <c r="H420" s="142" t="s">
        <v>1878</v>
      </c>
      <c r="I420" s="141" t="s">
        <v>1899</v>
      </c>
      <c r="J420" s="142" t="s">
        <v>1900</v>
      </c>
      <c r="K420" s="142" t="s">
        <v>625</v>
      </c>
      <c r="L420" s="143">
        <f t="shared" si="12"/>
        <v>1</v>
      </c>
      <c r="M420" s="144">
        <v>25922</v>
      </c>
      <c r="N420" s="141" t="s">
        <v>1429</v>
      </c>
      <c r="O420" s="142" t="s">
        <v>1430</v>
      </c>
      <c r="P420" s="141" t="s">
        <v>1761</v>
      </c>
      <c r="Q420" s="142" t="s">
        <v>1876</v>
      </c>
      <c r="R420" s="141" t="s">
        <v>1880</v>
      </c>
      <c r="S420" s="142" t="s">
        <v>1878</v>
      </c>
      <c r="T420" s="141" t="s">
        <v>1901</v>
      </c>
      <c r="U420" s="142" t="s">
        <v>1900</v>
      </c>
      <c r="V420" s="142" t="s">
        <v>625</v>
      </c>
      <c r="W420" s="141">
        <f t="shared" si="13"/>
        <v>1</v>
      </c>
      <c r="X420" s="143"/>
      <c r="Y420" s="145"/>
      <c r="AA420"/>
    </row>
    <row r="421" spans="1:27" s="115" customFormat="1" ht="27" customHeight="1">
      <c r="A421" s="139">
        <v>396</v>
      </c>
      <c r="B421" s="140" t="s">
        <v>4927</v>
      </c>
      <c r="C421" s="141" t="s">
        <v>1429</v>
      </c>
      <c r="D421" s="142" t="s">
        <v>1430</v>
      </c>
      <c r="E421" s="141" t="s">
        <v>1870</v>
      </c>
      <c r="F421" s="142" t="s">
        <v>1871</v>
      </c>
      <c r="G421" s="141" t="s">
        <v>1895</v>
      </c>
      <c r="H421" s="142" t="s">
        <v>1878</v>
      </c>
      <c r="I421" s="141" t="s">
        <v>1899</v>
      </c>
      <c r="J421" s="142" t="s">
        <v>1900</v>
      </c>
      <c r="K421" s="142" t="s">
        <v>621</v>
      </c>
      <c r="L421" s="143">
        <f t="shared" si="12"/>
        <v>1</v>
      </c>
      <c r="M421" s="144">
        <v>25929</v>
      </c>
      <c r="N421" s="141" t="s">
        <v>1429</v>
      </c>
      <c r="O421" s="142" t="s">
        <v>1430</v>
      </c>
      <c r="P421" s="141" t="s">
        <v>1761</v>
      </c>
      <c r="Q421" s="142" t="s">
        <v>1876</v>
      </c>
      <c r="R421" s="141" t="s">
        <v>1880</v>
      </c>
      <c r="S421" s="142" t="s">
        <v>1878</v>
      </c>
      <c r="T421" s="141" t="s">
        <v>1901</v>
      </c>
      <c r="U421" s="142" t="s">
        <v>1900</v>
      </c>
      <c r="V421" s="142" t="s">
        <v>621</v>
      </c>
      <c r="W421" s="141">
        <f t="shared" si="13"/>
        <v>3</v>
      </c>
      <c r="X421" s="143">
        <v>1</v>
      </c>
      <c r="Y421" s="145"/>
      <c r="AA421"/>
    </row>
    <row r="422" spans="1:27" s="115" customFormat="1" ht="27" customHeight="1">
      <c r="A422" s="139">
        <v>397</v>
      </c>
      <c r="B422" s="140" t="s">
        <v>4928</v>
      </c>
      <c r="C422" s="141" t="s">
        <v>1429</v>
      </c>
      <c r="D422" s="142" t="s">
        <v>1430</v>
      </c>
      <c r="E422" s="141" t="s">
        <v>1870</v>
      </c>
      <c r="F422" s="142" t="s">
        <v>1871</v>
      </c>
      <c r="G422" s="141" t="s">
        <v>1895</v>
      </c>
      <c r="H422" s="142" t="s">
        <v>1878</v>
      </c>
      <c r="I422" s="141" t="s">
        <v>1903</v>
      </c>
      <c r="J422" s="142" t="s">
        <v>1904</v>
      </c>
      <c r="K422" s="142" t="s">
        <v>146</v>
      </c>
      <c r="L422" s="143">
        <f t="shared" si="12"/>
        <v>1</v>
      </c>
      <c r="M422" s="144">
        <v>25933</v>
      </c>
      <c r="N422" s="141" t="s">
        <v>1429</v>
      </c>
      <c r="O422" s="142" t="s">
        <v>1430</v>
      </c>
      <c r="P422" s="141" t="s">
        <v>1761</v>
      </c>
      <c r="Q422" s="142" t="s">
        <v>1876</v>
      </c>
      <c r="R422" s="141" t="s">
        <v>1880</v>
      </c>
      <c r="S422" s="142" t="s">
        <v>1878</v>
      </c>
      <c r="T422" s="141" t="s">
        <v>1905</v>
      </c>
      <c r="U422" s="142" t="s">
        <v>1904</v>
      </c>
      <c r="V422" s="142" t="s">
        <v>146</v>
      </c>
      <c r="W422" s="141">
        <f t="shared" si="13"/>
        <v>2</v>
      </c>
      <c r="X422" s="143"/>
      <c r="Y422" s="145" t="s">
        <v>1906</v>
      </c>
      <c r="AA422"/>
    </row>
    <row r="423" spans="1:27" s="115" customFormat="1" ht="27" customHeight="1">
      <c r="A423" s="139">
        <v>398</v>
      </c>
      <c r="B423" s="140" t="s">
        <v>4929</v>
      </c>
      <c r="C423" s="141" t="s">
        <v>1429</v>
      </c>
      <c r="D423" s="142" t="s">
        <v>1430</v>
      </c>
      <c r="E423" s="141" t="s">
        <v>1870</v>
      </c>
      <c r="F423" s="142" t="s">
        <v>1871</v>
      </c>
      <c r="G423" s="141" t="s">
        <v>1895</v>
      </c>
      <c r="H423" s="142" t="s">
        <v>1878</v>
      </c>
      <c r="I423" s="141" t="s">
        <v>1903</v>
      </c>
      <c r="J423" s="142" t="s">
        <v>1904</v>
      </c>
      <c r="K423" s="142" t="s">
        <v>626</v>
      </c>
      <c r="L423" s="143">
        <f t="shared" si="12"/>
        <v>1</v>
      </c>
      <c r="M423" s="144">
        <v>25932</v>
      </c>
      <c r="N423" s="141" t="s">
        <v>1429</v>
      </c>
      <c r="O423" s="142" t="s">
        <v>1430</v>
      </c>
      <c r="P423" s="141" t="s">
        <v>1761</v>
      </c>
      <c r="Q423" s="142" t="s">
        <v>1876</v>
      </c>
      <c r="R423" s="141" t="s">
        <v>1880</v>
      </c>
      <c r="S423" s="142" t="s">
        <v>1878</v>
      </c>
      <c r="T423" s="141" t="s">
        <v>1905</v>
      </c>
      <c r="U423" s="142" t="s">
        <v>1904</v>
      </c>
      <c r="V423" s="142" t="s">
        <v>626</v>
      </c>
      <c r="W423" s="141">
        <f t="shared" si="13"/>
        <v>2</v>
      </c>
      <c r="X423" s="143">
        <v>1</v>
      </c>
      <c r="Y423" s="145"/>
      <c r="AA423"/>
    </row>
    <row r="424" spans="1:27" s="115" customFormat="1" ht="27" customHeight="1">
      <c r="A424" s="139">
        <v>399</v>
      </c>
      <c r="B424" s="140" t="s">
        <v>4930</v>
      </c>
      <c r="C424" s="141" t="s">
        <v>1429</v>
      </c>
      <c r="D424" s="142" t="s">
        <v>1430</v>
      </c>
      <c r="E424" s="141" t="s">
        <v>1870</v>
      </c>
      <c r="F424" s="142" t="s">
        <v>1871</v>
      </c>
      <c r="G424" s="141" t="s">
        <v>1895</v>
      </c>
      <c r="H424" s="142" t="s">
        <v>1878</v>
      </c>
      <c r="I424" s="141" t="s">
        <v>1903</v>
      </c>
      <c r="J424" s="142" t="s">
        <v>1904</v>
      </c>
      <c r="K424" s="142" t="s">
        <v>627</v>
      </c>
      <c r="L424" s="143">
        <f t="shared" si="12"/>
        <v>1</v>
      </c>
      <c r="M424" s="144">
        <v>25934</v>
      </c>
      <c r="N424" s="141" t="s">
        <v>1429</v>
      </c>
      <c r="O424" s="142" t="s">
        <v>1430</v>
      </c>
      <c r="P424" s="141" t="s">
        <v>1761</v>
      </c>
      <c r="Q424" s="142" t="s">
        <v>1876</v>
      </c>
      <c r="R424" s="141" t="s">
        <v>1880</v>
      </c>
      <c r="S424" s="142" t="s">
        <v>1878</v>
      </c>
      <c r="T424" s="141" t="s">
        <v>1905</v>
      </c>
      <c r="U424" s="142" t="s">
        <v>1904</v>
      </c>
      <c r="V424" s="142" t="s">
        <v>627</v>
      </c>
      <c r="W424" s="141">
        <f t="shared" si="13"/>
        <v>1</v>
      </c>
      <c r="X424" s="143"/>
      <c r="Y424" s="145"/>
      <c r="AA424"/>
    </row>
    <row r="425" spans="1:27" s="115" customFormat="1" ht="27" customHeight="1">
      <c r="A425" s="139">
        <v>400</v>
      </c>
      <c r="B425" s="140" t="s">
        <v>4931</v>
      </c>
      <c r="C425" s="141" t="s">
        <v>1429</v>
      </c>
      <c r="D425" s="142" t="s">
        <v>1430</v>
      </c>
      <c r="E425" s="141" t="s">
        <v>1870</v>
      </c>
      <c r="F425" s="142" t="s">
        <v>1871</v>
      </c>
      <c r="G425" s="141" t="s">
        <v>1895</v>
      </c>
      <c r="H425" s="142" t="s">
        <v>1878</v>
      </c>
      <c r="I425" s="141" t="s">
        <v>1903</v>
      </c>
      <c r="J425" s="142" t="s">
        <v>1904</v>
      </c>
      <c r="K425" s="142" t="s">
        <v>628</v>
      </c>
      <c r="L425" s="143">
        <f t="shared" si="12"/>
        <v>1</v>
      </c>
      <c r="M425" s="144">
        <v>25931</v>
      </c>
      <c r="N425" s="141" t="s">
        <v>1429</v>
      </c>
      <c r="O425" s="142" t="s">
        <v>1430</v>
      </c>
      <c r="P425" s="141" t="s">
        <v>1761</v>
      </c>
      <c r="Q425" s="142" t="s">
        <v>1876</v>
      </c>
      <c r="R425" s="141" t="s">
        <v>1880</v>
      </c>
      <c r="S425" s="142" t="s">
        <v>1878</v>
      </c>
      <c r="T425" s="141" t="s">
        <v>1905</v>
      </c>
      <c r="U425" s="142" t="s">
        <v>1904</v>
      </c>
      <c r="V425" s="142" t="s">
        <v>628</v>
      </c>
      <c r="W425" s="141">
        <f t="shared" si="13"/>
        <v>1</v>
      </c>
      <c r="X425" s="143"/>
      <c r="Y425" s="145"/>
      <c r="AA425"/>
    </row>
    <row r="426" spans="1:27" s="115" customFormat="1" ht="27" customHeight="1">
      <c r="A426" s="139">
        <v>401</v>
      </c>
      <c r="B426" s="140" t="s">
        <v>6055</v>
      </c>
      <c r="C426" s="141" t="s">
        <v>1429</v>
      </c>
      <c r="D426" s="142" t="s">
        <v>1430</v>
      </c>
      <c r="E426" s="141" t="s">
        <v>1870</v>
      </c>
      <c r="F426" s="142" t="s">
        <v>1871</v>
      </c>
      <c r="G426" s="141" t="s">
        <v>1895</v>
      </c>
      <c r="H426" s="142" t="s">
        <v>1878</v>
      </c>
      <c r="I426" s="141" t="s">
        <v>1903</v>
      </c>
      <c r="J426" s="142" t="s">
        <v>1904</v>
      </c>
      <c r="K426" s="142" t="s">
        <v>626</v>
      </c>
      <c r="L426" s="143">
        <f t="shared" si="12"/>
        <v>1</v>
      </c>
      <c r="M426" s="144">
        <v>25932</v>
      </c>
      <c r="N426" s="141" t="s">
        <v>1429</v>
      </c>
      <c r="O426" s="142" t="s">
        <v>1430</v>
      </c>
      <c r="P426" s="141" t="s">
        <v>1761</v>
      </c>
      <c r="Q426" s="142" t="s">
        <v>1876</v>
      </c>
      <c r="R426" s="141" t="s">
        <v>1880</v>
      </c>
      <c r="S426" s="142" t="s">
        <v>1878</v>
      </c>
      <c r="T426" s="141" t="s">
        <v>1905</v>
      </c>
      <c r="U426" s="142" t="s">
        <v>1904</v>
      </c>
      <c r="V426" s="142" t="s">
        <v>626</v>
      </c>
      <c r="W426" s="141">
        <f t="shared" si="13"/>
        <v>2</v>
      </c>
      <c r="X426" s="143"/>
      <c r="Y426" s="145" t="s">
        <v>1907</v>
      </c>
      <c r="AA426"/>
    </row>
    <row r="427" spans="1:27" s="115" customFormat="1" ht="27" customHeight="1">
      <c r="A427" s="139">
        <v>402</v>
      </c>
      <c r="B427" s="140" t="s">
        <v>4932</v>
      </c>
      <c r="C427" s="141" t="s">
        <v>1429</v>
      </c>
      <c r="D427" s="142" t="s">
        <v>1430</v>
      </c>
      <c r="E427" s="141" t="s">
        <v>1870</v>
      </c>
      <c r="F427" s="142" t="s">
        <v>1871</v>
      </c>
      <c r="G427" s="141" t="s">
        <v>1895</v>
      </c>
      <c r="H427" s="142" t="s">
        <v>1878</v>
      </c>
      <c r="I427" s="141" t="s">
        <v>1903</v>
      </c>
      <c r="J427" s="142" t="s">
        <v>1904</v>
      </c>
      <c r="K427" s="142" t="s">
        <v>146</v>
      </c>
      <c r="L427" s="143">
        <f t="shared" si="12"/>
        <v>1</v>
      </c>
      <c r="M427" s="144">
        <v>25933</v>
      </c>
      <c r="N427" s="141" t="s">
        <v>1429</v>
      </c>
      <c r="O427" s="142" t="s">
        <v>1430</v>
      </c>
      <c r="P427" s="141" t="s">
        <v>1761</v>
      </c>
      <c r="Q427" s="142" t="s">
        <v>1876</v>
      </c>
      <c r="R427" s="141" t="s">
        <v>1880</v>
      </c>
      <c r="S427" s="142" t="s">
        <v>1878</v>
      </c>
      <c r="T427" s="141" t="s">
        <v>1905</v>
      </c>
      <c r="U427" s="142" t="s">
        <v>1904</v>
      </c>
      <c r="V427" s="142" t="s">
        <v>146</v>
      </c>
      <c r="W427" s="141">
        <f t="shared" si="13"/>
        <v>2</v>
      </c>
      <c r="X427" s="143">
        <v>1</v>
      </c>
      <c r="Y427" s="145"/>
      <c r="AA427"/>
    </row>
    <row r="428" spans="1:27" s="115" customFormat="1" ht="27" customHeight="1">
      <c r="A428" s="139">
        <v>403</v>
      </c>
      <c r="B428" s="140" t="s">
        <v>4933</v>
      </c>
      <c r="C428" s="141" t="s">
        <v>1429</v>
      </c>
      <c r="D428" s="142" t="s">
        <v>1430</v>
      </c>
      <c r="E428" s="141" t="s">
        <v>1870</v>
      </c>
      <c r="F428" s="142" t="s">
        <v>1871</v>
      </c>
      <c r="G428" s="141" t="s">
        <v>1895</v>
      </c>
      <c r="H428" s="142" t="s">
        <v>1878</v>
      </c>
      <c r="I428" s="141" t="s">
        <v>1908</v>
      </c>
      <c r="J428" s="142" t="s">
        <v>1909</v>
      </c>
      <c r="K428" s="142" t="s">
        <v>629</v>
      </c>
      <c r="L428" s="143">
        <f t="shared" si="12"/>
        <v>1</v>
      </c>
      <c r="M428" s="144">
        <v>25944</v>
      </c>
      <c r="N428" s="141" t="s">
        <v>1429</v>
      </c>
      <c r="O428" s="142" t="s">
        <v>1430</v>
      </c>
      <c r="P428" s="141" t="s">
        <v>1761</v>
      </c>
      <c r="Q428" s="142" t="s">
        <v>1876</v>
      </c>
      <c r="R428" s="141" t="s">
        <v>1880</v>
      </c>
      <c r="S428" s="142" t="s">
        <v>1878</v>
      </c>
      <c r="T428" s="141" t="s">
        <v>1910</v>
      </c>
      <c r="U428" s="142" t="s">
        <v>1909</v>
      </c>
      <c r="V428" s="142" t="s">
        <v>629</v>
      </c>
      <c r="W428" s="141">
        <f t="shared" si="13"/>
        <v>1</v>
      </c>
      <c r="X428" s="143"/>
      <c r="Y428" s="145"/>
      <c r="AA428"/>
    </row>
    <row r="429" spans="1:27" s="115" customFormat="1" ht="27" customHeight="1">
      <c r="A429" s="139">
        <v>404</v>
      </c>
      <c r="B429" s="140" t="s">
        <v>4934</v>
      </c>
      <c r="C429" s="141" t="s">
        <v>1429</v>
      </c>
      <c r="D429" s="142" t="s">
        <v>1430</v>
      </c>
      <c r="E429" s="141" t="s">
        <v>1870</v>
      </c>
      <c r="F429" s="142" t="s">
        <v>1871</v>
      </c>
      <c r="G429" s="141" t="s">
        <v>1895</v>
      </c>
      <c r="H429" s="142" t="s">
        <v>1878</v>
      </c>
      <c r="I429" s="141" t="s">
        <v>1908</v>
      </c>
      <c r="J429" s="142" t="s">
        <v>1879</v>
      </c>
      <c r="K429" s="142" t="s">
        <v>630</v>
      </c>
      <c r="L429" s="143">
        <f t="shared" si="12"/>
        <v>1</v>
      </c>
      <c r="M429" s="144">
        <v>25991</v>
      </c>
      <c r="N429" s="141" t="s">
        <v>1429</v>
      </c>
      <c r="O429" s="142" t="s">
        <v>1430</v>
      </c>
      <c r="P429" s="141" t="s">
        <v>1761</v>
      </c>
      <c r="Q429" s="142" t="s">
        <v>1876</v>
      </c>
      <c r="R429" s="141" t="s">
        <v>1880</v>
      </c>
      <c r="S429" s="142" t="s">
        <v>1878</v>
      </c>
      <c r="T429" s="141" t="s">
        <v>1881</v>
      </c>
      <c r="U429" s="142" t="s">
        <v>1879</v>
      </c>
      <c r="V429" s="142" t="s">
        <v>630</v>
      </c>
      <c r="W429" s="141">
        <f t="shared" si="13"/>
        <v>1</v>
      </c>
      <c r="X429" s="143"/>
      <c r="Y429" s="145"/>
      <c r="AA429"/>
    </row>
    <row r="430" spans="1:27" s="115" customFormat="1" ht="27" customHeight="1">
      <c r="A430" s="139">
        <v>405</v>
      </c>
      <c r="B430" s="140" t="s">
        <v>4935</v>
      </c>
      <c r="C430" s="141" t="s">
        <v>1429</v>
      </c>
      <c r="D430" s="142" t="s">
        <v>1430</v>
      </c>
      <c r="E430" s="141" t="s">
        <v>1870</v>
      </c>
      <c r="F430" s="142" t="s">
        <v>1871</v>
      </c>
      <c r="G430" s="141" t="s">
        <v>1895</v>
      </c>
      <c r="H430" s="142" t="s">
        <v>1878</v>
      </c>
      <c r="I430" s="141" t="s">
        <v>1908</v>
      </c>
      <c r="J430" s="142" t="s">
        <v>1879</v>
      </c>
      <c r="K430" s="142" t="s">
        <v>631</v>
      </c>
      <c r="L430" s="143">
        <f t="shared" si="12"/>
        <v>1</v>
      </c>
      <c r="M430" s="144">
        <v>25992</v>
      </c>
      <c r="N430" s="141" t="s">
        <v>1429</v>
      </c>
      <c r="O430" s="142" t="s">
        <v>1430</v>
      </c>
      <c r="P430" s="141" t="s">
        <v>1761</v>
      </c>
      <c r="Q430" s="142" t="s">
        <v>1876</v>
      </c>
      <c r="R430" s="141" t="s">
        <v>1880</v>
      </c>
      <c r="S430" s="142" t="s">
        <v>1878</v>
      </c>
      <c r="T430" s="141" t="s">
        <v>1881</v>
      </c>
      <c r="U430" s="142" t="s">
        <v>1879</v>
      </c>
      <c r="V430" s="142" t="s">
        <v>631</v>
      </c>
      <c r="W430" s="141">
        <f t="shared" si="13"/>
        <v>1</v>
      </c>
      <c r="X430" s="143"/>
      <c r="Y430" s="145"/>
      <c r="AA430"/>
    </row>
    <row r="431" spans="1:27" s="115" customFormat="1" ht="27" customHeight="1">
      <c r="A431" s="139">
        <v>406</v>
      </c>
      <c r="B431" s="140" t="s">
        <v>4936</v>
      </c>
      <c r="C431" s="141" t="s">
        <v>1429</v>
      </c>
      <c r="D431" s="142" t="s">
        <v>1430</v>
      </c>
      <c r="E431" s="141" t="s">
        <v>1870</v>
      </c>
      <c r="F431" s="142" t="s">
        <v>1871</v>
      </c>
      <c r="G431" s="141" t="s">
        <v>1895</v>
      </c>
      <c r="H431" s="142" t="s">
        <v>1878</v>
      </c>
      <c r="I431" s="141" t="s">
        <v>1908</v>
      </c>
      <c r="J431" s="142" t="s">
        <v>1909</v>
      </c>
      <c r="K431" s="142" t="s">
        <v>632</v>
      </c>
      <c r="L431" s="143">
        <f t="shared" si="12"/>
        <v>1</v>
      </c>
      <c r="M431" s="144">
        <v>25941</v>
      </c>
      <c r="N431" s="141" t="s">
        <v>1429</v>
      </c>
      <c r="O431" s="142" t="s">
        <v>1430</v>
      </c>
      <c r="P431" s="141" t="s">
        <v>1761</v>
      </c>
      <c r="Q431" s="142" t="s">
        <v>1876</v>
      </c>
      <c r="R431" s="141" t="s">
        <v>1880</v>
      </c>
      <c r="S431" s="142" t="s">
        <v>1878</v>
      </c>
      <c r="T431" s="141" t="s">
        <v>1910</v>
      </c>
      <c r="U431" s="142" t="s">
        <v>1909</v>
      </c>
      <c r="V431" s="142" t="s">
        <v>632</v>
      </c>
      <c r="W431" s="141">
        <f t="shared" si="13"/>
        <v>1</v>
      </c>
      <c r="X431" s="143"/>
      <c r="Y431" s="145"/>
      <c r="AA431"/>
    </row>
    <row r="432" spans="1:27" s="115" customFormat="1" ht="27" customHeight="1">
      <c r="A432" s="139">
        <v>407</v>
      </c>
      <c r="B432" s="140" t="s">
        <v>4937</v>
      </c>
      <c r="C432" s="141" t="s">
        <v>1429</v>
      </c>
      <c r="D432" s="142" t="s">
        <v>1430</v>
      </c>
      <c r="E432" s="141" t="s">
        <v>1870</v>
      </c>
      <c r="F432" s="142" t="s">
        <v>1871</v>
      </c>
      <c r="G432" s="141" t="s">
        <v>1895</v>
      </c>
      <c r="H432" s="142" t="s">
        <v>1878</v>
      </c>
      <c r="I432" s="141" t="s">
        <v>1908</v>
      </c>
      <c r="J432" s="142" t="s">
        <v>1909</v>
      </c>
      <c r="K432" s="142" t="s">
        <v>633</v>
      </c>
      <c r="L432" s="143">
        <f t="shared" si="12"/>
        <v>1</v>
      </c>
      <c r="M432" s="144">
        <v>25942</v>
      </c>
      <c r="N432" s="141" t="s">
        <v>1429</v>
      </c>
      <c r="O432" s="142" t="s">
        <v>1430</v>
      </c>
      <c r="P432" s="141" t="s">
        <v>1761</v>
      </c>
      <c r="Q432" s="142" t="s">
        <v>1876</v>
      </c>
      <c r="R432" s="141" t="s">
        <v>1880</v>
      </c>
      <c r="S432" s="142" t="s">
        <v>1878</v>
      </c>
      <c r="T432" s="141" t="s">
        <v>1910</v>
      </c>
      <c r="U432" s="142" t="s">
        <v>1909</v>
      </c>
      <c r="V432" s="142" t="s">
        <v>633</v>
      </c>
      <c r="W432" s="141">
        <f t="shared" si="13"/>
        <v>1</v>
      </c>
      <c r="X432" s="143"/>
      <c r="Y432" s="145"/>
      <c r="AA432"/>
    </row>
    <row r="433" spans="1:27" s="115" customFormat="1" ht="27" customHeight="1">
      <c r="A433" s="139">
        <v>408</v>
      </c>
      <c r="B433" s="140" t="s">
        <v>4938</v>
      </c>
      <c r="C433" s="141" t="s">
        <v>1429</v>
      </c>
      <c r="D433" s="142" t="s">
        <v>1430</v>
      </c>
      <c r="E433" s="141" t="s">
        <v>1870</v>
      </c>
      <c r="F433" s="142" t="s">
        <v>1871</v>
      </c>
      <c r="G433" s="141" t="s">
        <v>1895</v>
      </c>
      <c r="H433" s="142" t="s">
        <v>1878</v>
      </c>
      <c r="I433" s="141" t="s">
        <v>1908</v>
      </c>
      <c r="J433" s="142" t="s">
        <v>1909</v>
      </c>
      <c r="K433" s="142" t="s">
        <v>634</v>
      </c>
      <c r="L433" s="143">
        <f t="shared" si="12"/>
        <v>1</v>
      </c>
      <c r="M433" s="144">
        <v>25943</v>
      </c>
      <c r="N433" s="141" t="s">
        <v>1429</v>
      </c>
      <c r="O433" s="142" t="s">
        <v>1430</v>
      </c>
      <c r="P433" s="141" t="s">
        <v>1761</v>
      </c>
      <c r="Q433" s="142" t="s">
        <v>1876</v>
      </c>
      <c r="R433" s="141" t="s">
        <v>1880</v>
      </c>
      <c r="S433" s="142" t="s">
        <v>1878</v>
      </c>
      <c r="T433" s="141" t="s">
        <v>1910</v>
      </c>
      <c r="U433" s="142" t="s">
        <v>1909</v>
      </c>
      <c r="V433" s="142" t="s">
        <v>634</v>
      </c>
      <c r="W433" s="141">
        <f t="shared" si="13"/>
        <v>1</v>
      </c>
      <c r="X433" s="143"/>
      <c r="Y433" s="145"/>
      <c r="AA433"/>
    </row>
    <row r="434" spans="1:27" s="115" customFormat="1" ht="27" customHeight="1">
      <c r="A434" s="139">
        <v>409</v>
      </c>
      <c r="B434" s="140" t="s">
        <v>4939</v>
      </c>
      <c r="C434" s="141" t="s">
        <v>1429</v>
      </c>
      <c r="D434" s="142" t="s">
        <v>1430</v>
      </c>
      <c r="E434" s="141" t="s">
        <v>1870</v>
      </c>
      <c r="F434" s="142" t="s">
        <v>1871</v>
      </c>
      <c r="G434" s="141" t="s">
        <v>1895</v>
      </c>
      <c r="H434" s="142" t="s">
        <v>1878</v>
      </c>
      <c r="I434" s="141" t="s">
        <v>1908</v>
      </c>
      <c r="J434" s="142" t="s">
        <v>1879</v>
      </c>
      <c r="K434" s="142" t="s">
        <v>635</v>
      </c>
      <c r="L434" s="143">
        <f t="shared" si="12"/>
        <v>1</v>
      </c>
      <c r="M434" s="144">
        <v>25995</v>
      </c>
      <c r="N434" s="141" t="s">
        <v>1429</v>
      </c>
      <c r="O434" s="142" t="s">
        <v>1430</v>
      </c>
      <c r="P434" s="141" t="s">
        <v>1761</v>
      </c>
      <c r="Q434" s="142" t="s">
        <v>1876</v>
      </c>
      <c r="R434" s="141" t="s">
        <v>1880</v>
      </c>
      <c r="S434" s="142" t="s">
        <v>1878</v>
      </c>
      <c r="T434" s="141" t="s">
        <v>1881</v>
      </c>
      <c r="U434" s="142" t="s">
        <v>1879</v>
      </c>
      <c r="V434" s="142" t="s">
        <v>635</v>
      </c>
      <c r="W434" s="141">
        <f t="shared" si="13"/>
        <v>1</v>
      </c>
      <c r="X434" s="143"/>
      <c r="Y434" s="145"/>
      <c r="AA434"/>
    </row>
    <row r="435" spans="1:27" s="115" customFormat="1" ht="27" customHeight="1">
      <c r="A435" s="139">
        <v>410</v>
      </c>
      <c r="B435" s="140" t="s">
        <v>6056</v>
      </c>
      <c r="C435" s="141" t="s">
        <v>1429</v>
      </c>
      <c r="D435" s="142" t="s">
        <v>1430</v>
      </c>
      <c r="E435" s="141" t="s">
        <v>1870</v>
      </c>
      <c r="F435" s="142" t="s">
        <v>1871</v>
      </c>
      <c r="G435" s="141" t="s">
        <v>1895</v>
      </c>
      <c r="H435" s="142" t="s">
        <v>1878</v>
      </c>
      <c r="I435" s="141" t="s">
        <v>1908</v>
      </c>
      <c r="J435" s="142" t="s">
        <v>1879</v>
      </c>
      <c r="K435" s="142" t="s">
        <v>607</v>
      </c>
      <c r="L435" s="143">
        <f t="shared" si="12"/>
        <v>1</v>
      </c>
      <c r="M435" s="144">
        <v>25999</v>
      </c>
      <c r="N435" s="141" t="s">
        <v>1429</v>
      </c>
      <c r="O435" s="142" t="s">
        <v>1430</v>
      </c>
      <c r="P435" s="141" t="s">
        <v>1761</v>
      </c>
      <c r="Q435" s="142" t="s">
        <v>1876</v>
      </c>
      <c r="R435" s="141" t="s">
        <v>1880</v>
      </c>
      <c r="S435" s="142" t="s">
        <v>1878</v>
      </c>
      <c r="T435" s="141" t="s">
        <v>1881</v>
      </c>
      <c r="U435" s="142" t="s">
        <v>1879</v>
      </c>
      <c r="V435" s="142" t="s">
        <v>607</v>
      </c>
      <c r="W435" s="141">
        <f t="shared" si="13"/>
        <v>3</v>
      </c>
      <c r="X435" s="143"/>
      <c r="Y435" s="145" t="s">
        <v>1911</v>
      </c>
      <c r="AA435"/>
    </row>
    <row r="436" spans="1:27" s="115" customFormat="1" ht="27" customHeight="1">
      <c r="A436" s="139">
        <v>411</v>
      </c>
      <c r="B436" s="140" t="s">
        <v>4940</v>
      </c>
      <c r="C436" s="141" t="s">
        <v>1429</v>
      </c>
      <c r="D436" s="142" t="s">
        <v>1430</v>
      </c>
      <c r="E436" s="141" t="s">
        <v>1870</v>
      </c>
      <c r="F436" s="142" t="s">
        <v>1871</v>
      </c>
      <c r="G436" s="141" t="s">
        <v>1895</v>
      </c>
      <c r="H436" s="142" t="s">
        <v>1878</v>
      </c>
      <c r="I436" s="141" t="s">
        <v>1908</v>
      </c>
      <c r="J436" s="142" t="s">
        <v>1879</v>
      </c>
      <c r="K436" s="142" t="s">
        <v>636</v>
      </c>
      <c r="L436" s="143">
        <f t="shared" si="12"/>
        <v>1</v>
      </c>
      <c r="M436" s="144">
        <v>25993</v>
      </c>
      <c r="N436" s="141" t="s">
        <v>1429</v>
      </c>
      <c r="O436" s="142" t="s">
        <v>1430</v>
      </c>
      <c r="P436" s="141" t="s">
        <v>1761</v>
      </c>
      <c r="Q436" s="142" t="s">
        <v>1876</v>
      </c>
      <c r="R436" s="141" t="s">
        <v>1880</v>
      </c>
      <c r="S436" s="142" t="s">
        <v>1878</v>
      </c>
      <c r="T436" s="141" t="s">
        <v>1881</v>
      </c>
      <c r="U436" s="142" t="s">
        <v>1879</v>
      </c>
      <c r="V436" s="142" t="s">
        <v>636</v>
      </c>
      <c r="W436" s="141">
        <f t="shared" si="13"/>
        <v>1</v>
      </c>
      <c r="X436" s="143"/>
      <c r="Y436" s="145"/>
      <c r="AA436"/>
    </row>
    <row r="437" spans="1:27" s="115" customFormat="1" ht="27" customHeight="1">
      <c r="A437" s="139">
        <v>412</v>
      </c>
      <c r="B437" s="140" t="s">
        <v>4941</v>
      </c>
      <c r="C437" s="141" t="s">
        <v>1429</v>
      </c>
      <c r="D437" s="142" t="s">
        <v>1430</v>
      </c>
      <c r="E437" s="141" t="s">
        <v>1870</v>
      </c>
      <c r="F437" s="142" t="s">
        <v>1871</v>
      </c>
      <c r="G437" s="141" t="s">
        <v>1895</v>
      </c>
      <c r="H437" s="142" t="s">
        <v>1878</v>
      </c>
      <c r="I437" s="141" t="s">
        <v>1908</v>
      </c>
      <c r="J437" s="142" t="s">
        <v>1879</v>
      </c>
      <c r="K437" s="142" t="s">
        <v>637</v>
      </c>
      <c r="L437" s="143">
        <f t="shared" si="12"/>
        <v>1</v>
      </c>
      <c r="M437" s="144">
        <v>25994</v>
      </c>
      <c r="N437" s="141" t="s">
        <v>1429</v>
      </c>
      <c r="O437" s="142" t="s">
        <v>1430</v>
      </c>
      <c r="P437" s="141" t="s">
        <v>1761</v>
      </c>
      <c r="Q437" s="142" t="s">
        <v>1876</v>
      </c>
      <c r="R437" s="141" t="s">
        <v>1880</v>
      </c>
      <c r="S437" s="142" t="s">
        <v>1878</v>
      </c>
      <c r="T437" s="141" t="s">
        <v>1881</v>
      </c>
      <c r="U437" s="142" t="s">
        <v>1879</v>
      </c>
      <c r="V437" s="142" t="s">
        <v>637</v>
      </c>
      <c r="W437" s="141">
        <f t="shared" si="13"/>
        <v>1</v>
      </c>
      <c r="X437" s="143"/>
      <c r="Y437" s="145"/>
      <c r="AA437"/>
    </row>
    <row r="438" spans="1:27" s="115" customFormat="1" ht="40.5" customHeight="1">
      <c r="A438" s="139">
        <v>413</v>
      </c>
      <c r="B438" s="140" t="s">
        <v>4942</v>
      </c>
      <c r="C438" s="141" t="s">
        <v>1429</v>
      </c>
      <c r="D438" s="142" t="s">
        <v>1430</v>
      </c>
      <c r="E438" s="141" t="s">
        <v>1870</v>
      </c>
      <c r="F438" s="142" t="s">
        <v>1871</v>
      </c>
      <c r="G438" s="141" t="s">
        <v>1895</v>
      </c>
      <c r="H438" s="142" t="s">
        <v>1878</v>
      </c>
      <c r="I438" s="141" t="s">
        <v>1908</v>
      </c>
      <c r="J438" s="142" t="s">
        <v>1879</v>
      </c>
      <c r="K438" s="142" t="s">
        <v>607</v>
      </c>
      <c r="L438" s="143">
        <f t="shared" si="12"/>
        <v>1</v>
      </c>
      <c r="M438" s="144">
        <v>25999</v>
      </c>
      <c r="N438" s="141" t="s">
        <v>1429</v>
      </c>
      <c r="O438" s="142" t="s">
        <v>1430</v>
      </c>
      <c r="P438" s="141" t="s">
        <v>1761</v>
      </c>
      <c r="Q438" s="142" t="s">
        <v>1876</v>
      </c>
      <c r="R438" s="141" t="s">
        <v>1880</v>
      </c>
      <c r="S438" s="142" t="s">
        <v>1878</v>
      </c>
      <c r="T438" s="141" t="s">
        <v>1881</v>
      </c>
      <c r="U438" s="142" t="s">
        <v>1879</v>
      </c>
      <c r="V438" s="142" t="s">
        <v>607</v>
      </c>
      <c r="W438" s="141">
        <f t="shared" si="13"/>
        <v>3</v>
      </c>
      <c r="X438" s="143"/>
      <c r="Y438" s="145" t="s">
        <v>1912</v>
      </c>
      <c r="AA438"/>
    </row>
    <row r="439" spans="1:27" s="115" customFormat="1" ht="40.5" customHeight="1">
      <c r="A439" s="139">
        <v>414</v>
      </c>
      <c r="B439" s="140" t="s">
        <v>4943</v>
      </c>
      <c r="C439" s="141" t="s">
        <v>1429</v>
      </c>
      <c r="D439" s="142" t="s">
        <v>1430</v>
      </c>
      <c r="E439" s="141" t="s">
        <v>1885</v>
      </c>
      <c r="F439" s="142" t="s">
        <v>1882</v>
      </c>
      <c r="G439" s="141" t="s">
        <v>1886</v>
      </c>
      <c r="H439" s="142" t="s">
        <v>1887</v>
      </c>
      <c r="I439" s="141" t="s">
        <v>1913</v>
      </c>
      <c r="J439" s="142" t="s">
        <v>1914</v>
      </c>
      <c r="K439" s="142" t="s">
        <v>638</v>
      </c>
      <c r="L439" s="143">
        <f t="shared" si="12"/>
        <v>1</v>
      </c>
      <c r="M439" s="144">
        <v>29111</v>
      </c>
      <c r="N439" s="141" t="s">
        <v>1429</v>
      </c>
      <c r="O439" s="142" t="s">
        <v>1430</v>
      </c>
      <c r="P439" s="141" t="s">
        <v>1885</v>
      </c>
      <c r="Q439" s="142" t="s">
        <v>1882</v>
      </c>
      <c r="R439" s="141" t="s">
        <v>1886</v>
      </c>
      <c r="S439" s="142" t="s">
        <v>1887</v>
      </c>
      <c r="T439" s="141" t="s">
        <v>1913</v>
      </c>
      <c r="U439" s="142" t="s">
        <v>1914</v>
      </c>
      <c r="V439" s="142" t="s">
        <v>638</v>
      </c>
      <c r="W439" s="141">
        <f t="shared" si="13"/>
        <v>1</v>
      </c>
      <c r="X439" s="143"/>
      <c r="Y439" s="145"/>
      <c r="AA439"/>
    </row>
    <row r="440" spans="1:27" s="115" customFormat="1" ht="40.5" customHeight="1">
      <c r="A440" s="139">
        <v>415</v>
      </c>
      <c r="B440" s="140" t="s">
        <v>4944</v>
      </c>
      <c r="C440" s="141" t="s">
        <v>1429</v>
      </c>
      <c r="D440" s="142" t="s">
        <v>1430</v>
      </c>
      <c r="E440" s="141" t="s">
        <v>1885</v>
      </c>
      <c r="F440" s="142" t="s">
        <v>1882</v>
      </c>
      <c r="G440" s="141" t="s">
        <v>1886</v>
      </c>
      <c r="H440" s="142" t="s">
        <v>1887</v>
      </c>
      <c r="I440" s="141" t="s">
        <v>1913</v>
      </c>
      <c r="J440" s="142" t="s">
        <v>1915</v>
      </c>
      <c r="K440" s="142" t="s">
        <v>1916</v>
      </c>
      <c r="L440" s="143">
        <f t="shared" si="12"/>
        <v>1</v>
      </c>
      <c r="M440" s="144">
        <v>29119</v>
      </c>
      <c r="N440" s="141" t="s">
        <v>1429</v>
      </c>
      <c r="O440" s="142" t="s">
        <v>1430</v>
      </c>
      <c r="P440" s="141" t="s">
        <v>1885</v>
      </c>
      <c r="Q440" s="142" t="s">
        <v>1882</v>
      </c>
      <c r="R440" s="141" t="s">
        <v>1886</v>
      </c>
      <c r="S440" s="142" t="s">
        <v>1887</v>
      </c>
      <c r="T440" s="141" t="s">
        <v>1913</v>
      </c>
      <c r="U440" s="142" t="s">
        <v>1914</v>
      </c>
      <c r="V440" s="142" t="s">
        <v>639</v>
      </c>
      <c r="W440" s="141">
        <f t="shared" si="13"/>
        <v>1</v>
      </c>
      <c r="X440" s="143"/>
      <c r="Y440" s="145"/>
      <c r="AA440"/>
    </row>
    <row r="441" spans="1:27" s="115" customFormat="1" ht="40.5" customHeight="1">
      <c r="A441" s="139">
        <v>416</v>
      </c>
      <c r="B441" s="140" t="s">
        <v>4945</v>
      </c>
      <c r="C441" s="141" t="s">
        <v>1429</v>
      </c>
      <c r="D441" s="142" t="s">
        <v>1430</v>
      </c>
      <c r="E441" s="141" t="s">
        <v>1885</v>
      </c>
      <c r="F441" s="142" t="s">
        <v>1882</v>
      </c>
      <c r="G441" s="141" t="s">
        <v>1886</v>
      </c>
      <c r="H441" s="142" t="s">
        <v>1887</v>
      </c>
      <c r="I441" s="141" t="s">
        <v>1917</v>
      </c>
      <c r="J441" s="142" t="s">
        <v>640</v>
      </c>
      <c r="K441" s="142" t="s">
        <v>640</v>
      </c>
      <c r="L441" s="143">
        <f t="shared" si="12"/>
        <v>1</v>
      </c>
      <c r="M441" s="144">
        <v>29120</v>
      </c>
      <c r="N441" s="141" t="s">
        <v>1429</v>
      </c>
      <c r="O441" s="142" t="s">
        <v>1430</v>
      </c>
      <c r="P441" s="141" t="s">
        <v>1885</v>
      </c>
      <c r="Q441" s="142" t="s">
        <v>1882</v>
      </c>
      <c r="R441" s="141" t="s">
        <v>1886</v>
      </c>
      <c r="S441" s="142" t="s">
        <v>1887</v>
      </c>
      <c r="T441" s="141" t="s">
        <v>1917</v>
      </c>
      <c r="U441" s="142" t="s">
        <v>640</v>
      </c>
      <c r="V441" s="142" t="s">
        <v>640</v>
      </c>
      <c r="W441" s="141">
        <f t="shared" si="13"/>
        <v>1</v>
      </c>
      <c r="X441" s="143"/>
      <c r="Y441" s="145"/>
      <c r="AA441"/>
    </row>
    <row r="442" spans="1:27" s="115" customFormat="1" ht="40.5" customHeight="1">
      <c r="A442" s="139">
        <v>417</v>
      </c>
      <c r="B442" s="140" t="s">
        <v>4946</v>
      </c>
      <c r="C442" s="141" t="s">
        <v>1429</v>
      </c>
      <c r="D442" s="142" t="s">
        <v>1430</v>
      </c>
      <c r="E442" s="141" t="s">
        <v>1885</v>
      </c>
      <c r="F442" s="142" t="s">
        <v>1882</v>
      </c>
      <c r="G442" s="141" t="s">
        <v>1886</v>
      </c>
      <c r="H442" s="142" t="s">
        <v>1887</v>
      </c>
      <c r="I442" s="141" t="s">
        <v>1917</v>
      </c>
      <c r="J442" s="142" t="s">
        <v>1884</v>
      </c>
      <c r="K442" s="142" t="s">
        <v>641</v>
      </c>
      <c r="L442" s="143">
        <f t="shared" si="12"/>
        <v>1</v>
      </c>
      <c r="M442" s="144">
        <v>29131</v>
      </c>
      <c r="N442" s="141" t="s">
        <v>1429</v>
      </c>
      <c r="O442" s="142" t="s">
        <v>1430</v>
      </c>
      <c r="P442" s="141" t="s">
        <v>1885</v>
      </c>
      <c r="Q442" s="142" t="s">
        <v>1882</v>
      </c>
      <c r="R442" s="141" t="s">
        <v>1886</v>
      </c>
      <c r="S442" s="142" t="s">
        <v>1887</v>
      </c>
      <c r="T442" s="141" t="s">
        <v>1888</v>
      </c>
      <c r="U442" s="142" t="s">
        <v>1884</v>
      </c>
      <c r="V442" s="142" t="s">
        <v>641</v>
      </c>
      <c r="W442" s="141">
        <f t="shared" si="13"/>
        <v>1</v>
      </c>
      <c r="X442" s="143"/>
      <c r="Y442" s="145"/>
      <c r="AA442"/>
    </row>
    <row r="443" spans="1:27" s="115" customFormat="1" ht="40.5" customHeight="1">
      <c r="A443" s="139">
        <v>418</v>
      </c>
      <c r="B443" s="140" t="s">
        <v>4947</v>
      </c>
      <c r="C443" s="141" t="s">
        <v>1429</v>
      </c>
      <c r="D443" s="142" t="s">
        <v>1430</v>
      </c>
      <c r="E443" s="141" t="s">
        <v>1885</v>
      </c>
      <c r="F443" s="142" t="s">
        <v>1882</v>
      </c>
      <c r="G443" s="141" t="s">
        <v>1886</v>
      </c>
      <c r="H443" s="142" t="s">
        <v>1887</v>
      </c>
      <c r="I443" s="141" t="s">
        <v>1917</v>
      </c>
      <c r="J443" s="142" t="s">
        <v>1884</v>
      </c>
      <c r="K443" s="142" t="s">
        <v>642</v>
      </c>
      <c r="L443" s="143">
        <f t="shared" si="12"/>
        <v>1</v>
      </c>
      <c r="M443" s="144">
        <v>29132</v>
      </c>
      <c r="N443" s="141" t="s">
        <v>1429</v>
      </c>
      <c r="O443" s="142" t="s">
        <v>1430</v>
      </c>
      <c r="P443" s="141" t="s">
        <v>1885</v>
      </c>
      <c r="Q443" s="142" t="s">
        <v>1882</v>
      </c>
      <c r="R443" s="141" t="s">
        <v>1886</v>
      </c>
      <c r="S443" s="142" t="s">
        <v>1887</v>
      </c>
      <c r="T443" s="141" t="s">
        <v>1888</v>
      </c>
      <c r="U443" s="142" t="s">
        <v>1884</v>
      </c>
      <c r="V443" s="142" t="s">
        <v>642</v>
      </c>
      <c r="W443" s="141">
        <f t="shared" si="13"/>
        <v>1</v>
      </c>
      <c r="X443" s="143"/>
      <c r="Y443" s="145"/>
      <c r="AA443"/>
    </row>
    <row r="444" spans="1:27" s="115" customFormat="1" ht="40.5" customHeight="1">
      <c r="A444" s="139">
        <v>419</v>
      </c>
      <c r="B444" s="140" t="s">
        <v>4948</v>
      </c>
      <c r="C444" s="141" t="s">
        <v>1429</v>
      </c>
      <c r="D444" s="142" t="s">
        <v>1430</v>
      </c>
      <c r="E444" s="141" t="s">
        <v>1885</v>
      </c>
      <c r="F444" s="142" t="s">
        <v>1882</v>
      </c>
      <c r="G444" s="141" t="s">
        <v>1886</v>
      </c>
      <c r="H444" s="142" t="s">
        <v>1887</v>
      </c>
      <c r="I444" s="141" t="s">
        <v>1888</v>
      </c>
      <c r="J444" s="142" t="s">
        <v>1918</v>
      </c>
      <c r="K444" s="142" t="s">
        <v>643</v>
      </c>
      <c r="L444" s="143">
        <f t="shared" si="12"/>
        <v>1</v>
      </c>
      <c r="M444" s="144">
        <v>29142</v>
      </c>
      <c r="N444" s="141" t="s">
        <v>1429</v>
      </c>
      <c r="O444" s="142" t="s">
        <v>1430</v>
      </c>
      <c r="P444" s="141" t="s">
        <v>1885</v>
      </c>
      <c r="Q444" s="142" t="s">
        <v>1882</v>
      </c>
      <c r="R444" s="141" t="s">
        <v>1886</v>
      </c>
      <c r="S444" s="142" t="s">
        <v>1887</v>
      </c>
      <c r="T444" s="141" t="s">
        <v>1919</v>
      </c>
      <c r="U444" s="142" t="s">
        <v>1918</v>
      </c>
      <c r="V444" s="142" t="s">
        <v>643</v>
      </c>
      <c r="W444" s="141">
        <f t="shared" si="13"/>
        <v>1</v>
      </c>
      <c r="X444" s="143"/>
      <c r="Y444" s="145"/>
      <c r="AA444"/>
    </row>
    <row r="445" spans="1:27" s="115" customFormat="1" ht="40.5" customHeight="1">
      <c r="A445" s="139">
        <v>420</v>
      </c>
      <c r="B445" s="140" t="s">
        <v>4949</v>
      </c>
      <c r="C445" s="141" t="s">
        <v>1429</v>
      </c>
      <c r="D445" s="142" t="s">
        <v>1430</v>
      </c>
      <c r="E445" s="141" t="s">
        <v>1885</v>
      </c>
      <c r="F445" s="142" t="s">
        <v>1882</v>
      </c>
      <c r="G445" s="141" t="s">
        <v>1886</v>
      </c>
      <c r="H445" s="142" t="s">
        <v>1887</v>
      </c>
      <c r="I445" s="141" t="s">
        <v>1888</v>
      </c>
      <c r="J445" s="142" t="s">
        <v>1918</v>
      </c>
      <c r="K445" s="142" t="s">
        <v>644</v>
      </c>
      <c r="L445" s="143">
        <f t="shared" si="12"/>
        <v>1</v>
      </c>
      <c r="M445" s="144">
        <v>29141</v>
      </c>
      <c r="N445" s="141" t="s">
        <v>1429</v>
      </c>
      <c r="O445" s="142" t="s">
        <v>1430</v>
      </c>
      <c r="P445" s="141" t="s">
        <v>1885</v>
      </c>
      <c r="Q445" s="142" t="s">
        <v>1882</v>
      </c>
      <c r="R445" s="141" t="s">
        <v>1886</v>
      </c>
      <c r="S445" s="142" t="s">
        <v>1887</v>
      </c>
      <c r="T445" s="141" t="s">
        <v>1919</v>
      </c>
      <c r="U445" s="142" t="s">
        <v>1918</v>
      </c>
      <c r="V445" s="142" t="s">
        <v>644</v>
      </c>
      <c r="W445" s="141">
        <f t="shared" si="13"/>
        <v>1</v>
      </c>
      <c r="X445" s="143"/>
      <c r="Y445" s="145"/>
      <c r="AA445"/>
    </row>
    <row r="446" spans="1:27" s="115" customFormat="1" ht="40.5" customHeight="1">
      <c r="A446" s="139">
        <v>421</v>
      </c>
      <c r="B446" s="140" t="s">
        <v>4950</v>
      </c>
      <c r="C446" s="141" t="s">
        <v>1429</v>
      </c>
      <c r="D446" s="142" t="s">
        <v>1430</v>
      </c>
      <c r="E446" s="141" t="s">
        <v>1885</v>
      </c>
      <c r="F446" s="142" t="s">
        <v>1882</v>
      </c>
      <c r="G446" s="141" t="s">
        <v>1886</v>
      </c>
      <c r="H446" s="142" t="s">
        <v>1887</v>
      </c>
      <c r="I446" s="141" t="s">
        <v>1919</v>
      </c>
      <c r="J446" s="142" t="s">
        <v>147</v>
      </c>
      <c r="K446" s="142" t="s">
        <v>147</v>
      </c>
      <c r="L446" s="143">
        <f t="shared" si="12"/>
        <v>1</v>
      </c>
      <c r="M446" s="144">
        <v>29150</v>
      </c>
      <c r="N446" s="141" t="s">
        <v>1429</v>
      </c>
      <c r="O446" s="142" t="s">
        <v>1430</v>
      </c>
      <c r="P446" s="141" t="s">
        <v>1885</v>
      </c>
      <c r="Q446" s="142" t="s">
        <v>1882</v>
      </c>
      <c r="R446" s="141" t="s">
        <v>1886</v>
      </c>
      <c r="S446" s="142" t="s">
        <v>1887</v>
      </c>
      <c r="T446" s="141" t="s">
        <v>1920</v>
      </c>
      <c r="U446" s="142" t="s">
        <v>147</v>
      </c>
      <c r="V446" s="142" t="s">
        <v>147</v>
      </c>
      <c r="W446" s="141">
        <f t="shared" si="13"/>
        <v>1</v>
      </c>
      <c r="X446" s="143"/>
      <c r="Y446" s="145"/>
      <c r="AA446"/>
    </row>
    <row r="447" spans="1:27" s="115" customFormat="1" ht="40.5" customHeight="1">
      <c r="A447" s="139">
        <v>422</v>
      </c>
      <c r="B447" s="140" t="s">
        <v>4951</v>
      </c>
      <c r="C447" s="141" t="s">
        <v>1429</v>
      </c>
      <c r="D447" s="142" t="s">
        <v>1430</v>
      </c>
      <c r="E447" s="141" t="s">
        <v>1885</v>
      </c>
      <c r="F447" s="142" t="s">
        <v>1882</v>
      </c>
      <c r="G447" s="141" t="s">
        <v>1886</v>
      </c>
      <c r="H447" s="142" t="s">
        <v>1887</v>
      </c>
      <c r="I447" s="141" t="s">
        <v>1920</v>
      </c>
      <c r="J447" s="142" t="s">
        <v>1921</v>
      </c>
      <c r="K447" s="142" t="s">
        <v>148</v>
      </c>
      <c r="L447" s="143">
        <f t="shared" si="12"/>
        <v>1</v>
      </c>
      <c r="M447" s="144">
        <v>29161</v>
      </c>
      <c r="N447" s="141" t="s">
        <v>1429</v>
      </c>
      <c r="O447" s="142" t="s">
        <v>1430</v>
      </c>
      <c r="P447" s="141" t="s">
        <v>1885</v>
      </c>
      <c r="Q447" s="142" t="s">
        <v>1882</v>
      </c>
      <c r="R447" s="141" t="s">
        <v>1886</v>
      </c>
      <c r="S447" s="142" t="s">
        <v>1887</v>
      </c>
      <c r="T447" s="141" t="s">
        <v>1922</v>
      </c>
      <c r="U447" s="142" t="s">
        <v>1921</v>
      </c>
      <c r="V447" s="142" t="s">
        <v>148</v>
      </c>
      <c r="W447" s="141">
        <f t="shared" si="13"/>
        <v>1</v>
      </c>
      <c r="X447" s="143"/>
      <c r="Y447" s="145"/>
      <c r="AA447"/>
    </row>
    <row r="448" spans="1:27" s="115" customFormat="1" ht="40.5" customHeight="1">
      <c r="A448" s="139">
        <v>423</v>
      </c>
      <c r="B448" s="140" t="s">
        <v>4952</v>
      </c>
      <c r="C448" s="141" t="s">
        <v>1429</v>
      </c>
      <c r="D448" s="142" t="s">
        <v>1430</v>
      </c>
      <c r="E448" s="141" t="s">
        <v>1885</v>
      </c>
      <c r="F448" s="142" t="s">
        <v>1882</v>
      </c>
      <c r="G448" s="141" t="s">
        <v>1886</v>
      </c>
      <c r="H448" s="142" t="s">
        <v>1887</v>
      </c>
      <c r="I448" s="141" t="s">
        <v>1920</v>
      </c>
      <c r="J448" s="142" t="s">
        <v>1921</v>
      </c>
      <c r="K448" s="142" t="s">
        <v>645</v>
      </c>
      <c r="L448" s="143">
        <f t="shared" si="12"/>
        <v>1</v>
      </c>
      <c r="M448" s="144">
        <v>29169</v>
      </c>
      <c r="N448" s="141" t="s">
        <v>1429</v>
      </c>
      <c r="O448" s="142" t="s">
        <v>1430</v>
      </c>
      <c r="P448" s="141" t="s">
        <v>1885</v>
      </c>
      <c r="Q448" s="142" t="s">
        <v>1882</v>
      </c>
      <c r="R448" s="141" t="s">
        <v>1886</v>
      </c>
      <c r="S448" s="142" t="s">
        <v>1887</v>
      </c>
      <c r="T448" s="141" t="s">
        <v>1922</v>
      </c>
      <c r="U448" s="142" t="s">
        <v>1921</v>
      </c>
      <c r="V448" s="142" t="s">
        <v>645</v>
      </c>
      <c r="W448" s="141">
        <f t="shared" si="13"/>
        <v>1</v>
      </c>
      <c r="X448" s="143"/>
      <c r="Y448" s="145"/>
      <c r="AA448"/>
    </row>
    <row r="449" spans="1:27" s="115" customFormat="1" ht="40.5" customHeight="1">
      <c r="A449" s="139">
        <v>424</v>
      </c>
      <c r="B449" s="140" t="s">
        <v>4953</v>
      </c>
      <c r="C449" s="141" t="s">
        <v>1429</v>
      </c>
      <c r="D449" s="142" t="s">
        <v>1430</v>
      </c>
      <c r="E449" s="141" t="s">
        <v>1885</v>
      </c>
      <c r="F449" s="142" t="s">
        <v>1882</v>
      </c>
      <c r="G449" s="141" t="s">
        <v>1886</v>
      </c>
      <c r="H449" s="142" t="s">
        <v>1887</v>
      </c>
      <c r="I449" s="141" t="s">
        <v>1920</v>
      </c>
      <c r="J449" s="142" t="s">
        <v>1921</v>
      </c>
      <c r="K449" s="142" t="s">
        <v>646</v>
      </c>
      <c r="L449" s="143">
        <f t="shared" si="12"/>
        <v>1</v>
      </c>
      <c r="M449" s="144">
        <v>29162</v>
      </c>
      <c r="N449" s="141" t="s">
        <v>1429</v>
      </c>
      <c r="O449" s="142" t="s">
        <v>1430</v>
      </c>
      <c r="P449" s="141" t="s">
        <v>1885</v>
      </c>
      <c r="Q449" s="142" t="s">
        <v>1882</v>
      </c>
      <c r="R449" s="141" t="s">
        <v>1886</v>
      </c>
      <c r="S449" s="142" t="s">
        <v>1887</v>
      </c>
      <c r="T449" s="141" t="s">
        <v>1922</v>
      </c>
      <c r="U449" s="142" t="s">
        <v>1921</v>
      </c>
      <c r="V449" s="142" t="s">
        <v>646</v>
      </c>
      <c r="W449" s="141">
        <f t="shared" si="13"/>
        <v>1</v>
      </c>
      <c r="X449" s="143"/>
      <c r="Y449" s="145"/>
      <c r="AA449"/>
    </row>
    <row r="450" spans="1:27" s="115" customFormat="1" ht="40.5" customHeight="1">
      <c r="A450" s="139">
        <v>425</v>
      </c>
      <c r="B450" s="140" t="s">
        <v>4954</v>
      </c>
      <c r="C450" s="141" t="s">
        <v>1429</v>
      </c>
      <c r="D450" s="142" t="s">
        <v>1430</v>
      </c>
      <c r="E450" s="141" t="s">
        <v>1885</v>
      </c>
      <c r="F450" s="142" t="s">
        <v>1882</v>
      </c>
      <c r="G450" s="141" t="s">
        <v>1886</v>
      </c>
      <c r="H450" s="142" t="s">
        <v>1887</v>
      </c>
      <c r="I450" s="141" t="s">
        <v>1920</v>
      </c>
      <c r="J450" s="142" t="s">
        <v>1921</v>
      </c>
      <c r="K450" s="142" t="s">
        <v>647</v>
      </c>
      <c r="L450" s="143">
        <f t="shared" si="12"/>
        <v>1</v>
      </c>
      <c r="M450" s="144">
        <v>29163</v>
      </c>
      <c r="N450" s="141" t="s">
        <v>1429</v>
      </c>
      <c r="O450" s="142" t="s">
        <v>1430</v>
      </c>
      <c r="P450" s="141" t="s">
        <v>1885</v>
      </c>
      <c r="Q450" s="142" t="s">
        <v>1882</v>
      </c>
      <c r="R450" s="141" t="s">
        <v>1886</v>
      </c>
      <c r="S450" s="142" t="s">
        <v>1887</v>
      </c>
      <c r="T450" s="141" t="s">
        <v>1922</v>
      </c>
      <c r="U450" s="142" t="s">
        <v>1921</v>
      </c>
      <c r="V450" s="142" t="s">
        <v>647</v>
      </c>
      <c r="W450" s="141">
        <f t="shared" si="13"/>
        <v>1</v>
      </c>
      <c r="X450" s="143"/>
      <c r="Y450" s="145"/>
      <c r="AA450"/>
    </row>
    <row r="451" spans="1:27" s="115" customFormat="1" ht="40.5" customHeight="1">
      <c r="A451" s="139">
        <v>426</v>
      </c>
      <c r="B451" s="140" t="s">
        <v>4955</v>
      </c>
      <c r="C451" s="141" t="s">
        <v>1429</v>
      </c>
      <c r="D451" s="142" t="s">
        <v>1430</v>
      </c>
      <c r="E451" s="141" t="s">
        <v>1885</v>
      </c>
      <c r="F451" s="142" t="s">
        <v>1882</v>
      </c>
      <c r="G451" s="141" t="s">
        <v>1886</v>
      </c>
      <c r="H451" s="142" t="s">
        <v>1887</v>
      </c>
      <c r="I451" s="141" t="s">
        <v>1923</v>
      </c>
      <c r="J451" s="142" t="s">
        <v>1924</v>
      </c>
      <c r="K451" s="142" t="s">
        <v>648</v>
      </c>
      <c r="L451" s="143">
        <f t="shared" si="12"/>
        <v>1</v>
      </c>
      <c r="M451" s="144">
        <v>29191</v>
      </c>
      <c r="N451" s="141" t="s">
        <v>1429</v>
      </c>
      <c r="O451" s="142" t="s">
        <v>1430</v>
      </c>
      <c r="P451" s="141" t="s">
        <v>1885</v>
      </c>
      <c r="Q451" s="142" t="s">
        <v>1882</v>
      </c>
      <c r="R451" s="141" t="s">
        <v>1886</v>
      </c>
      <c r="S451" s="142" t="s">
        <v>1887</v>
      </c>
      <c r="T451" s="141" t="s">
        <v>1923</v>
      </c>
      <c r="U451" s="142" t="s">
        <v>1924</v>
      </c>
      <c r="V451" s="142" t="s">
        <v>648</v>
      </c>
      <c r="W451" s="141">
        <f t="shared" si="13"/>
        <v>1</v>
      </c>
      <c r="X451" s="143"/>
      <c r="Y451" s="145"/>
      <c r="AA451"/>
    </row>
    <row r="452" spans="1:27" s="115" customFormat="1" ht="40.5" customHeight="1">
      <c r="A452" s="139">
        <v>427</v>
      </c>
      <c r="B452" s="140" t="s">
        <v>4956</v>
      </c>
      <c r="C452" s="141" t="s">
        <v>1429</v>
      </c>
      <c r="D452" s="142" t="s">
        <v>1430</v>
      </c>
      <c r="E452" s="141" t="s">
        <v>1885</v>
      </c>
      <c r="F452" s="142" t="s">
        <v>1882</v>
      </c>
      <c r="G452" s="141" t="s">
        <v>1886</v>
      </c>
      <c r="H452" s="142" t="s">
        <v>1887</v>
      </c>
      <c r="I452" s="141" t="s">
        <v>1923</v>
      </c>
      <c r="J452" s="142" t="s">
        <v>1925</v>
      </c>
      <c r="K452" s="142" t="s">
        <v>649</v>
      </c>
      <c r="L452" s="143">
        <f t="shared" si="12"/>
        <v>1</v>
      </c>
      <c r="M452" s="144">
        <v>29171</v>
      </c>
      <c r="N452" s="141" t="s">
        <v>1429</v>
      </c>
      <c r="O452" s="142" t="s">
        <v>1430</v>
      </c>
      <c r="P452" s="141" t="s">
        <v>1885</v>
      </c>
      <c r="Q452" s="142" t="s">
        <v>1882</v>
      </c>
      <c r="R452" s="141" t="s">
        <v>1886</v>
      </c>
      <c r="S452" s="142" t="s">
        <v>1887</v>
      </c>
      <c r="T452" s="141" t="s">
        <v>1926</v>
      </c>
      <c r="U452" s="142" t="s">
        <v>1925</v>
      </c>
      <c r="V452" s="142" t="s">
        <v>649</v>
      </c>
      <c r="W452" s="141">
        <f t="shared" si="13"/>
        <v>1</v>
      </c>
      <c r="X452" s="143"/>
      <c r="Y452" s="145"/>
      <c r="AA452"/>
    </row>
    <row r="453" spans="1:27" s="115" customFormat="1" ht="40.5" customHeight="1">
      <c r="A453" s="139">
        <v>428</v>
      </c>
      <c r="B453" s="140" t="s">
        <v>4957</v>
      </c>
      <c r="C453" s="141" t="s">
        <v>1429</v>
      </c>
      <c r="D453" s="142" t="s">
        <v>1430</v>
      </c>
      <c r="E453" s="141" t="s">
        <v>1885</v>
      </c>
      <c r="F453" s="142" t="s">
        <v>1882</v>
      </c>
      <c r="G453" s="141" t="s">
        <v>1886</v>
      </c>
      <c r="H453" s="142" t="s">
        <v>1887</v>
      </c>
      <c r="I453" s="141" t="s">
        <v>1923</v>
      </c>
      <c r="J453" s="142" t="s">
        <v>1925</v>
      </c>
      <c r="K453" s="142" t="s">
        <v>650</v>
      </c>
      <c r="L453" s="143">
        <f t="shared" ref="L453:L516" si="14">COUNTIF($B$5:$B$1752,B453)</f>
        <v>1</v>
      </c>
      <c r="M453" s="144">
        <v>29172</v>
      </c>
      <c r="N453" s="141" t="s">
        <v>1429</v>
      </c>
      <c r="O453" s="142" t="s">
        <v>1430</v>
      </c>
      <c r="P453" s="141" t="s">
        <v>1885</v>
      </c>
      <c r="Q453" s="142" t="s">
        <v>1882</v>
      </c>
      <c r="R453" s="141" t="s">
        <v>1886</v>
      </c>
      <c r="S453" s="142" t="s">
        <v>1887</v>
      </c>
      <c r="T453" s="141" t="s">
        <v>1926</v>
      </c>
      <c r="U453" s="142" t="s">
        <v>1925</v>
      </c>
      <c r="V453" s="142" t="s">
        <v>650</v>
      </c>
      <c r="W453" s="141">
        <f t="shared" ref="W453:W516" si="15">COUNTIF($M$5:$M$1756,M453)</f>
        <v>1</v>
      </c>
      <c r="X453" s="143"/>
      <c r="Y453" s="145"/>
      <c r="AA453"/>
    </row>
    <row r="454" spans="1:27" s="115" customFormat="1" ht="40.5" customHeight="1">
      <c r="A454" s="139">
        <v>429</v>
      </c>
      <c r="B454" s="140" t="s">
        <v>4958</v>
      </c>
      <c r="C454" s="141" t="s">
        <v>1429</v>
      </c>
      <c r="D454" s="142" t="s">
        <v>1430</v>
      </c>
      <c r="E454" s="141" t="s">
        <v>1885</v>
      </c>
      <c r="F454" s="142" t="s">
        <v>1882</v>
      </c>
      <c r="G454" s="141" t="s">
        <v>1886</v>
      </c>
      <c r="H454" s="142" t="s">
        <v>1887</v>
      </c>
      <c r="I454" s="141" t="s">
        <v>1923</v>
      </c>
      <c r="J454" s="142" t="s">
        <v>1925</v>
      </c>
      <c r="K454" s="142" t="s">
        <v>651</v>
      </c>
      <c r="L454" s="143">
        <f t="shared" si="14"/>
        <v>1</v>
      </c>
      <c r="M454" s="144">
        <v>29173</v>
      </c>
      <c r="N454" s="141" t="s">
        <v>1429</v>
      </c>
      <c r="O454" s="142" t="s">
        <v>1430</v>
      </c>
      <c r="P454" s="141" t="s">
        <v>1885</v>
      </c>
      <c r="Q454" s="142" t="s">
        <v>1882</v>
      </c>
      <c r="R454" s="141" t="s">
        <v>1886</v>
      </c>
      <c r="S454" s="142" t="s">
        <v>1887</v>
      </c>
      <c r="T454" s="141" t="s">
        <v>1926</v>
      </c>
      <c r="U454" s="142" t="s">
        <v>1925</v>
      </c>
      <c r="V454" s="142" t="s">
        <v>651</v>
      </c>
      <c r="W454" s="141">
        <f t="shared" si="15"/>
        <v>1</v>
      </c>
      <c r="X454" s="143"/>
      <c r="Y454" s="145"/>
      <c r="AA454"/>
    </row>
    <row r="455" spans="1:27" s="115" customFormat="1" ht="40.5" customHeight="1">
      <c r="A455" s="139">
        <v>430</v>
      </c>
      <c r="B455" s="140" t="s">
        <v>4959</v>
      </c>
      <c r="C455" s="141" t="s">
        <v>1429</v>
      </c>
      <c r="D455" s="142" t="s">
        <v>1430</v>
      </c>
      <c r="E455" s="141" t="s">
        <v>1885</v>
      </c>
      <c r="F455" s="142" t="s">
        <v>1882</v>
      </c>
      <c r="G455" s="141" t="s">
        <v>1886</v>
      </c>
      <c r="H455" s="142" t="s">
        <v>1887</v>
      </c>
      <c r="I455" s="141" t="s">
        <v>1923</v>
      </c>
      <c r="J455" s="142" t="s">
        <v>1925</v>
      </c>
      <c r="K455" s="142" t="s">
        <v>652</v>
      </c>
      <c r="L455" s="143">
        <f t="shared" si="14"/>
        <v>1</v>
      </c>
      <c r="M455" s="144">
        <v>29174</v>
      </c>
      <c r="N455" s="141" t="s">
        <v>1429</v>
      </c>
      <c r="O455" s="142" t="s">
        <v>1430</v>
      </c>
      <c r="P455" s="141" t="s">
        <v>1885</v>
      </c>
      <c r="Q455" s="142" t="s">
        <v>1882</v>
      </c>
      <c r="R455" s="141" t="s">
        <v>1886</v>
      </c>
      <c r="S455" s="142" t="s">
        <v>1887</v>
      </c>
      <c r="T455" s="141" t="s">
        <v>1926</v>
      </c>
      <c r="U455" s="142" t="s">
        <v>1925</v>
      </c>
      <c r="V455" s="142" t="s">
        <v>652</v>
      </c>
      <c r="W455" s="141">
        <f t="shared" si="15"/>
        <v>1</v>
      </c>
      <c r="X455" s="143"/>
      <c r="Y455" s="145"/>
      <c r="AA455"/>
    </row>
    <row r="456" spans="1:27" s="115" customFormat="1" ht="40.5" customHeight="1">
      <c r="A456" s="139">
        <v>431</v>
      </c>
      <c r="B456" s="140" t="s">
        <v>4960</v>
      </c>
      <c r="C456" s="141" t="s">
        <v>1429</v>
      </c>
      <c r="D456" s="142" t="s">
        <v>1430</v>
      </c>
      <c r="E456" s="141" t="s">
        <v>1885</v>
      </c>
      <c r="F456" s="142" t="s">
        <v>1882</v>
      </c>
      <c r="G456" s="141" t="s">
        <v>1886</v>
      </c>
      <c r="H456" s="142" t="s">
        <v>1887</v>
      </c>
      <c r="I456" s="141" t="s">
        <v>1923</v>
      </c>
      <c r="J456" s="142" t="s">
        <v>1925</v>
      </c>
      <c r="K456" s="142" t="s">
        <v>653</v>
      </c>
      <c r="L456" s="143">
        <f t="shared" si="14"/>
        <v>1</v>
      </c>
      <c r="M456" s="144">
        <v>29175</v>
      </c>
      <c r="N456" s="141" t="s">
        <v>1429</v>
      </c>
      <c r="O456" s="142" t="s">
        <v>1430</v>
      </c>
      <c r="P456" s="141" t="s">
        <v>1885</v>
      </c>
      <c r="Q456" s="142" t="s">
        <v>1882</v>
      </c>
      <c r="R456" s="141" t="s">
        <v>1886</v>
      </c>
      <c r="S456" s="142" t="s">
        <v>1887</v>
      </c>
      <c r="T456" s="141" t="s">
        <v>1926</v>
      </c>
      <c r="U456" s="142" t="s">
        <v>1925</v>
      </c>
      <c r="V456" s="142" t="s">
        <v>653</v>
      </c>
      <c r="W456" s="141">
        <f t="shared" si="15"/>
        <v>1</v>
      </c>
      <c r="X456" s="143"/>
      <c r="Y456" s="145"/>
      <c r="AA456"/>
    </row>
    <row r="457" spans="1:27" s="115" customFormat="1" ht="40.5" customHeight="1">
      <c r="A457" s="139">
        <v>432</v>
      </c>
      <c r="B457" s="140" t="s">
        <v>4961</v>
      </c>
      <c r="C457" s="141" t="s">
        <v>1429</v>
      </c>
      <c r="D457" s="142" t="s">
        <v>1430</v>
      </c>
      <c r="E457" s="141" t="s">
        <v>1885</v>
      </c>
      <c r="F457" s="142" t="s">
        <v>1882</v>
      </c>
      <c r="G457" s="141" t="s">
        <v>1886</v>
      </c>
      <c r="H457" s="142" t="s">
        <v>1887</v>
      </c>
      <c r="I457" s="141" t="s">
        <v>1923</v>
      </c>
      <c r="J457" s="142" t="s">
        <v>1925</v>
      </c>
      <c r="K457" s="142" t="s">
        <v>654</v>
      </c>
      <c r="L457" s="143">
        <f t="shared" si="14"/>
        <v>1</v>
      </c>
      <c r="M457" s="144">
        <v>29176</v>
      </c>
      <c r="N457" s="141" t="s">
        <v>1429</v>
      </c>
      <c r="O457" s="142" t="s">
        <v>1430</v>
      </c>
      <c r="P457" s="141" t="s">
        <v>1885</v>
      </c>
      <c r="Q457" s="142" t="s">
        <v>1882</v>
      </c>
      <c r="R457" s="141" t="s">
        <v>1886</v>
      </c>
      <c r="S457" s="142" t="s">
        <v>1887</v>
      </c>
      <c r="T457" s="141" t="s">
        <v>1926</v>
      </c>
      <c r="U457" s="142" t="s">
        <v>1925</v>
      </c>
      <c r="V457" s="142" t="s">
        <v>654</v>
      </c>
      <c r="W457" s="141">
        <f t="shared" si="15"/>
        <v>1</v>
      </c>
      <c r="X457" s="143"/>
      <c r="Y457" s="145"/>
      <c r="AA457"/>
    </row>
    <row r="458" spans="1:27" s="115" customFormat="1" ht="40.5" customHeight="1">
      <c r="A458" s="139">
        <v>433</v>
      </c>
      <c r="B458" s="140" t="s">
        <v>4962</v>
      </c>
      <c r="C458" s="141" t="s">
        <v>1429</v>
      </c>
      <c r="D458" s="142" t="s">
        <v>1430</v>
      </c>
      <c r="E458" s="141" t="s">
        <v>1885</v>
      </c>
      <c r="F458" s="142" t="s">
        <v>1882</v>
      </c>
      <c r="G458" s="141" t="s">
        <v>1886</v>
      </c>
      <c r="H458" s="142" t="s">
        <v>1887</v>
      </c>
      <c r="I458" s="141" t="s">
        <v>1923</v>
      </c>
      <c r="J458" s="142" t="s">
        <v>1924</v>
      </c>
      <c r="K458" s="142" t="s">
        <v>655</v>
      </c>
      <c r="L458" s="143">
        <f t="shared" si="14"/>
        <v>1</v>
      </c>
      <c r="M458" s="144">
        <v>29192</v>
      </c>
      <c r="N458" s="141" t="s">
        <v>1429</v>
      </c>
      <c r="O458" s="142" t="s">
        <v>1430</v>
      </c>
      <c r="P458" s="141" t="s">
        <v>1885</v>
      </c>
      <c r="Q458" s="142" t="s">
        <v>1882</v>
      </c>
      <c r="R458" s="141" t="s">
        <v>1886</v>
      </c>
      <c r="S458" s="142" t="s">
        <v>1887</v>
      </c>
      <c r="T458" s="141" t="s">
        <v>1923</v>
      </c>
      <c r="U458" s="142" t="s">
        <v>1924</v>
      </c>
      <c r="V458" s="142" t="s">
        <v>655</v>
      </c>
      <c r="W458" s="141">
        <f t="shared" si="15"/>
        <v>1</v>
      </c>
      <c r="X458" s="143"/>
      <c r="Y458" s="145"/>
      <c r="AA458"/>
    </row>
    <row r="459" spans="1:27" s="115" customFormat="1" ht="40.5" customHeight="1">
      <c r="A459" s="139">
        <v>434</v>
      </c>
      <c r="B459" s="140" t="s">
        <v>4963</v>
      </c>
      <c r="C459" s="141" t="s">
        <v>1429</v>
      </c>
      <c r="D459" s="142" t="s">
        <v>1430</v>
      </c>
      <c r="E459" s="141" t="s">
        <v>1885</v>
      </c>
      <c r="F459" s="142" t="s">
        <v>1882</v>
      </c>
      <c r="G459" s="141" t="s">
        <v>1886</v>
      </c>
      <c r="H459" s="142" t="s">
        <v>1887</v>
      </c>
      <c r="I459" s="141" t="s">
        <v>1923</v>
      </c>
      <c r="J459" s="142" t="s">
        <v>1924</v>
      </c>
      <c r="K459" s="142" t="s">
        <v>656</v>
      </c>
      <c r="L459" s="143">
        <f t="shared" si="14"/>
        <v>1</v>
      </c>
      <c r="M459" s="144">
        <v>29193</v>
      </c>
      <c r="N459" s="141" t="s">
        <v>1429</v>
      </c>
      <c r="O459" s="142" t="s">
        <v>1430</v>
      </c>
      <c r="P459" s="141" t="s">
        <v>1885</v>
      </c>
      <c r="Q459" s="142" t="s">
        <v>1882</v>
      </c>
      <c r="R459" s="141" t="s">
        <v>1886</v>
      </c>
      <c r="S459" s="142" t="s">
        <v>1887</v>
      </c>
      <c r="T459" s="141" t="s">
        <v>1923</v>
      </c>
      <c r="U459" s="142" t="s">
        <v>1924</v>
      </c>
      <c r="V459" s="142" t="s">
        <v>656</v>
      </c>
      <c r="W459" s="141">
        <f t="shared" si="15"/>
        <v>1</v>
      </c>
      <c r="X459" s="143"/>
      <c r="Y459" s="145"/>
      <c r="AA459"/>
    </row>
    <row r="460" spans="1:27" s="115" customFormat="1" ht="40.5" customHeight="1">
      <c r="A460" s="139">
        <v>435</v>
      </c>
      <c r="B460" s="140" t="s">
        <v>4964</v>
      </c>
      <c r="C460" s="141" t="s">
        <v>1429</v>
      </c>
      <c r="D460" s="142" t="s">
        <v>1430</v>
      </c>
      <c r="E460" s="141" t="s">
        <v>1885</v>
      </c>
      <c r="F460" s="142" t="s">
        <v>1882</v>
      </c>
      <c r="G460" s="141" t="s">
        <v>1886</v>
      </c>
      <c r="H460" s="142" t="s">
        <v>1887</v>
      </c>
      <c r="I460" s="141" t="s">
        <v>1923</v>
      </c>
      <c r="J460" s="142" t="s">
        <v>1924</v>
      </c>
      <c r="K460" s="142" t="s">
        <v>657</v>
      </c>
      <c r="L460" s="143">
        <f t="shared" si="14"/>
        <v>1</v>
      </c>
      <c r="M460" s="144">
        <v>29199</v>
      </c>
      <c r="N460" s="141" t="s">
        <v>1429</v>
      </c>
      <c r="O460" s="142" t="s">
        <v>1430</v>
      </c>
      <c r="P460" s="141" t="s">
        <v>1885</v>
      </c>
      <c r="Q460" s="142" t="s">
        <v>1882</v>
      </c>
      <c r="R460" s="141" t="s">
        <v>1886</v>
      </c>
      <c r="S460" s="142" t="s">
        <v>1887</v>
      </c>
      <c r="T460" s="141" t="s">
        <v>1923</v>
      </c>
      <c r="U460" s="142" t="s">
        <v>1924</v>
      </c>
      <c r="V460" s="142" t="s">
        <v>657</v>
      </c>
      <c r="W460" s="141">
        <f t="shared" si="15"/>
        <v>1</v>
      </c>
      <c r="X460" s="143"/>
      <c r="Y460" s="145"/>
      <c r="AA460"/>
    </row>
    <row r="461" spans="1:27" s="115" customFormat="1" ht="40.5" customHeight="1">
      <c r="A461" s="139">
        <v>436</v>
      </c>
      <c r="B461" s="140" t="s">
        <v>4965</v>
      </c>
      <c r="C461" s="141" t="s">
        <v>1429</v>
      </c>
      <c r="D461" s="142" t="s">
        <v>1430</v>
      </c>
      <c r="E461" s="141" t="s">
        <v>1885</v>
      </c>
      <c r="F461" s="142" t="s">
        <v>1882</v>
      </c>
      <c r="G461" s="141" t="s">
        <v>1927</v>
      </c>
      <c r="H461" s="142" t="s">
        <v>1928</v>
      </c>
      <c r="I461" s="141" t="s">
        <v>1929</v>
      </c>
      <c r="J461" s="142" t="s">
        <v>149</v>
      </c>
      <c r="K461" s="142" t="s">
        <v>149</v>
      </c>
      <c r="L461" s="143">
        <f t="shared" si="14"/>
        <v>1</v>
      </c>
      <c r="M461" s="144">
        <v>29210</v>
      </c>
      <c r="N461" s="141" t="s">
        <v>1429</v>
      </c>
      <c r="O461" s="142" t="s">
        <v>1430</v>
      </c>
      <c r="P461" s="141" t="s">
        <v>1885</v>
      </c>
      <c r="Q461" s="142" t="s">
        <v>1882</v>
      </c>
      <c r="R461" s="141" t="s">
        <v>1927</v>
      </c>
      <c r="S461" s="142" t="s">
        <v>1928</v>
      </c>
      <c r="T461" s="141" t="s">
        <v>1929</v>
      </c>
      <c r="U461" s="142" t="s">
        <v>149</v>
      </c>
      <c r="V461" s="142" t="s">
        <v>149</v>
      </c>
      <c r="W461" s="141">
        <f t="shared" si="15"/>
        <v>1</v>
      </c>
      <c r="X461" s="143"/>
      <c r="Y461" s="145"/>
      <c r="AA461"/>
    </row>
    <row r="462" spans="1:27" s="115" customFormat="1" ht="40.5" customHeight="1">
      <c r="A462" s="139">
        <v>437</v>
      </c>
      <c r="B462" s="140" t="s">
        <v>4966</v>
      </c>
      <c r="C462" s="141" t="s">
        <v>1429</v>
      </c>
      <c r="D462" s="142" t="s">
        <v>1430</v>
      </c>
      <c r="E462" s="141" t="s">
        <v>1885</v>
      </c>
      <c r="F462" s="142" t="s">
        <v>1882</v>
      </c>
      <c r="G462" s="141" t="s">
        <v>1927</v>
      </c>
      <c r="H462" s="142" t="s">
        <v>1887</v>
      </c>
      <c r="I462" s="141" t="s">
        <v>1930</v>
      </c>
      <c r="J462" s="142" t="s">
        <v>1924</v>
      </c>
      <c r="K462" s="142" t="s">
        <v>658</v>
      </c>
      <c r="L462" s="143">
        <f t="shared" si="14"/>
        <v>1</v>
      </c>
      <c r="M462" s="144">
        <v>29194</v>
      </c>
      <c r="N462" s="141" t="s">
        <v>1429</v>
      </c>
      <c r="O462" s="142" t="s">
        <v>1430</v>
      </c>
      <c r="P462" s="141" t="s">
        <v>1885</v>
      </c>
      <c r="Q462" s="142" t="s">
        <v>1882</v>
      </c>
      <c r="R462" s="141" t="s">
        <v>1886</v>
      </c>
      <c r="S462" s="142" t="s">
        <v>1887</v>
      </c>
      <c r="T462" s="141" t="s">
        <v>1923</v>
      </c>
      <c r="U462" s="142" t="s">
        <v>1924</v>
      </c>
      <c r="V462" s="142" t="s">
        <v>658</v>
      </c>
      <c r="W462" s="141">
        <f t="shared" si="15"/>
        <v>1</v>
      </c>
      <c r="X462" s="143"/>
      <c r="Y462" s="145"/>
      <c r="AA462"/>
    </row>
    <row r="463" spans="1:27" s="115" customFormat="1" ht="40.5" customHeight="1">
      <c r="A463" s="139">
        <v>438</v>
      </c>
      <c r="B463" s="140" t="s">
        <v>4967</v>
      </c>
      <c r="C463" s="141" t="s">
        <v>1429</v>
      </c>
      <c r="D463" s="142" t="s">
        <v>1430</v>
      </c>
      <c r="E463" s="141" t="s">
        <v>1885</v>
      </c>
      <c r="F463" s="142" t="s">
        <v>1882</v>
      </c>
      <c r="G463" s="141" t="s">
        <v>1927</v>
      </c>
      <c r="H463" s="142" t="s">
        <v>1928</v>
      </c>
      <c r="I463" s="141" t="s">
        <v>1930</v>
      </c>
      <c r="J463" s="142" t="s">
        <v>1931</v>
      </c>
      <c r="K463" s="142" t="s">
        <v>659</v>
      </c>
      <c r="L463" s="143">
        <f t="shared" si="14"/>
        <v>1</v>
      </c>
      <c r="M463" s="144">
        <v>29223</v>
      </c>
      <c r="N463" s="141" t="s">
        <v>1429</v>
      </c>
      <c r="O463" s="142" t="s">
        <v>1430</v>
      </c>
      <c r="P463" s="141" t="s">
        <v>1885</v>
      </c>
      <c r="Q463" s="142" t="s">
        <v>1882</v>
      </c>
      <c r="R463" s="141" t="s">
        <v>1927</v>
      </c>
      <c r="S463" s="142" t="s">
        <v>1928</v>
      </c>
      <c r="T463" s="141" t="s">
        <v>1930</v>
      </c>
      <c r="U463" s="142" t="s">
        <v>1931</v>
      </c>
      <c r="V463" s="142" t="s">
        <v>659</v>
      </c>
      <c r="W463" s="141">
        <f t="shared" si="15"/>
        <v>1</v>
      </c>
      <c r="X463" s="143"/>
      <c r="Y463" s="145"/>
      <c r="AA463"/>
    </row>
    <row r="464" spans="1:27" s="115" customFormat="1" ht="40.5" customHeight="1">
      <c r="A464" s="139">
        <v>439</v>
      </c>
      <c r="B464" s="140" t="s">
        <v>4968</v>
      </c>
      <c r="C464" s="141" t="s">
        <v>1429</v>
      </c>
      <c r="D464" s="142" t="s">
        <v>1430</v>
      </c>
      <c r="E464" s="141" t="s">
        <v>1885</v>
      </c>
      <c r="F464" s="142" t="s">
        <v>1882</v>
      </c>
      <c r="G464" s="141" t="s">
        <v>1927</v>
      </c>
      <c r="H464" s="142" t="s">
        <v>1928</v>
      </c>
      <c r="I464" s="141" t="s">
        <v>1930</v>
      </c>
      <c r="J464" s="142" t="s">
        <v>1931</v>
      </c>
      <c r="K464" s="142" t="s">
        <v>660</v>
      </c>
      <c r="L464" s="143">
        <f t="shared" si="14"/>
        <v>1</v>
      </c>
      <c r="M464" s="144">
        <v>29221</v>
      </c>
      <c r="N464" s="141" t="s">
        <v>1429</v>
      </c>
      <c r="O464" s="142" t="s">
        <v>1430</v>
      </c>
      <c r="P464" s="141" t="s">
        <v>1885</v>
      </c>
      <c r="Q464" s="142" t="s">
        <v>1882</v>
      </c>
      <c r="R464" s="141" t="s">
        <v>1927</v>
      </c>
      <c r="S464" s="142" t="s">
        <v>1928</v>
      </c>
      <c r="T464" s="141" t="s">
        <v>1930</v>
      </c>
      <c r="U464" s="142" t="s">
        <v>1931</v>
      </c>
      <c r="V464" s="142" t="s">
        <v>660</v>
      </c>
      <c r="W464" s="141">
        <f t="shared" si="15"/>
        <v>1</v>
      </c>
      <c r="X464" s="143"/>
      <c r="Y464" s="145"/>
      <c r="AA464"/>
    </row>
    <row r="465" spans="1:27" s="115" customFormat="1" ht="40.5" customHeight="1">
      <c r="A465" s="139">
        <v>440</v>
      </c>
      <c r="B465" s="140" t="s">
        <v>4969</v>
      </c>
      <c r="C465" s="141" t="s">
        <v>1429</v>
      </c>
      <c r="D465" s="142" t="s">
        <v>1430</v>
      </c>
      <c r="E465" s="141" t="s">
        <v>1885</v>
      </c>
      <c r="F465" s="142" t="s">
        <v>1882</v>
      </c>
      <c r="G465" s="141" t="s">
        <v>1927</v>
      </c>
      <c r="H465" s="142" t="s">
        <v>1928</v>
      </c>
      <c r="I465" s="141" t="s">
        <v>1930</v>
      </c>
      <c r="J465" s="142" t="s">
        <v>1931</v>
      </c>
      <c r="K465" s="142" t="s">
        <v>661</v>
      </c>
      <c r="L465" s="143">
        <f t="shared" si="14"/>
        <v>1</v>
      </c>
      <c r="M465" s="144">
        <v>29229</v>
      </c>
      <c r="N465" s="141" t="s">
        <v>1429</v>
      </c>
      <c r="O465" s="142" t="s">
        <v>1430</v>
      </c>
      <c r="P465" s="141" t="s">
        <v>1885</v>
      </c>
      <c r="Q465" s="142" t="s">
        <v>1882</v>
      </c>
      <c r="R465" s="141" t="s">
        <v>1927</v>
      </c>
      <c r="S465" s="142" t="s">
        <v>1928</v>
      </c>
      <c r="T465" s="141" t="s">
        <v>1930</v>
      </c>
      <c r="U465" s="142" t="s">
        <v>1931</v>
      </c>
      <c r="V465" s="142" t="s">
        <v>661</v>
      </c>
      <c r="W465" s="141">
        <f t="shared" si="15"/>
        <v>1</v>
      </c>
      <c r="X465" s="143"/>
      <c r="Y465" s="145"/>
      <c r="AA465"/>
    </row>
    <row r="466" spans="1:27" s="115" customFormat="1" ht="40.5" customHeight="1">
      <c r="A466" s="139">
        <v>441</v>
      </c>
      <c r="B466" s="140" t="s">
        <v>4970</v>
      </c>
      <c r="C466" s="141" t="s">
        <v>1429</v>
      </c>
      <c r="D466" s="142" t="s">
        <v>1430</v>
      </c>
      <c r="E466" s="141" t="s">
        <v>1885</v>
      </c>
      <c r="F466" s="142" t="s">
        <v>1882</v>
      </c>
      <c r="G466" s="141" t="s">
        <v>1927</v>
      </c>
      <c r="H466" s="142" t="s">
        <v>1928</v>
      </c>
      <c r="I466" s="141" t="s">
        <v>1930</v>
      </c>
      <c r="J466" s="142" t="s">
        <v>1931</v>
      </c>
      <c r="K466" s="142" t="s">
        <v>662</v>
      </c>
      <c r="L466" s="143">
        <f t="shared" si="14"/>
        <v>1</v>
      </c>
      <c r="M466" s="144">
        <v>29222</v>
      </c>
      <c r="N466" s="141" t="s">
        <v>1429</v>
      </c>
      <c r="O466" s="142" t="s">
        <v>1430</v>
      </c>
      <c r="P466" s="141" t="s">
        <v>1885</v>
      </c>
      <c r="Q466" s="142" t="s">
        <v>1882</v>
      </c>
      <c r="R466" s="141" t="s">
        <v>1927</v>
      </c>
      <c r="S466" s="142" t="s">
        <v>1928</v>
      </c>
      <c r="T466" s="141" t="s">
        <v>1930</v>
      </c>
      <c r="U466" s="142" t="s">
        <v>1931</v>
      </c>
      <c r="V466" s="142" t="s">
        <v>662</v>
      </c>
      <c r="W466" s="141">
        <f t="shared" si="15"/>
        <v>1</v>
      </c>
      <c r="X466" s="143"/>
      <c r="Y466" s="145"/>
      <c r="AA466"/>
    </row>
    <row r="467" spans="1:27" s="115" customFormat="1" ht="40.5" customHeight="1">
      <c r="A467" s="139">
        <v>442</v>
      </c>
      <c r="B467" s="140" t="s">
        <v>4971</v>
      </c>
      <c r="C467" s="141" t="s">
        <v>1429</v>
      </c>
      <c r="D467" s="142" t="s">
        <v>1430</v>
      </c>
      <c r="E467" s="141" t="s">
        <v>1885</v>
      </c>
      <c r="F467" s="142" t="s">
        <v>1882</v>
      </c>
      <c r="G467" s="141" t="s">
        <v>1927</v>
      </c>
      <c r="H467" s="142" t="s">
        <v>1928</v>
      </c>
      <c r="I467" s="141" t="s">
        <v>1930</v>
      </c>
      <c r="J467" s="142" t="s">
        <v>1931</v>
      </c>
      <c r="K467" s="142" t="s">
        <v>663</v>
      </c>
      <c r="L467" s="143">
        <f t="shared" si="14"/>
        <v>1</v>
      </c>
      <c r="M467" s="144">
        <v>29224</v>
      </c>
      <c r="N467" s="141" t="s">
        <v>1429</v>
      </c>
      <c r="O467" s="142" t="s">
        <v>1430</v>
      </c>
      <c r="P467" s="141" t="s">
        <v>1885</v>
      </c>
      <c r="Q467" s="142" t="s">
        <v>1882</v>
      </c>
      <c r="R467" s="141" t="s">
        <v>1927</v>
      </c>
      <c r="S467" s="142" t="s">
        <v>1928</v>
      </c>
      <c r="T467" s="141" t="s">
        <v>1930</v>
      </c>
      <c r="U467" s="142" t="s">
        <v>1931</v>
      </c>
      <c r="V467" s="142" t="s">
        <v>663</v>
      </c>
      <c r="W467" s="141">
        <f t="shared" si="15"/>
        <v>1</v>
      </c>
      <c r="X467" s="143"/>
      <c r="Y467" s="145"/>
      <c r="AA467"/>
    </row>
    <row r="468" spans="1:27" s="115" customFormat="1" ht="40.5" customHeight="1">
      <c r="A468" s="139">
        <v>443</v>
      </c>
      <c r="B468" s="140" t="s">
        <v>4972</v>
      </c>
      <c r="C468" s="141" t="s">
        <v>1429</v>
      </c>
      <c r="D468" s="142" t="s">
        <v>1430</v>
      </c>
      <c r="E468" s="141" t="s">
        <v>1885</v>
      </c>
      <c r="F468" s="142" t="s">
        <v>1882</v>
      </c>
      <c r="G468" s="141" t="s">
        <v>1927</v>
      </c>
      <c r="H468" s="142" t="s">
        <v>1928</v>
      </c>
      <c r="I468" s="141" t="s">
        <v>1932</v>
      </c>
      <c r="J468" s="142" t="s">
        <v>150</v>
      </c>
      <c r="K468" s="142" t="s">
        <v>150</v>
      </c>
      <c r="L468" s="143">
        <f t="shared" si="14"/>
        <v>1</v>
      </c>
      <c r="M468" s="144">
        <v>29230</v>
      </c>
      <c r="N468" s="141" t="s">
        <v>1429</v>
      </c>
      <c r="O468" s="142" t="s">
        <v>1430</v>
      </c>
      <c r="P468" s="141" t="s">
        <v>1885</v>
      </c>
      <c r="Q468" s="142" t="s">
        <v>1882</v>
      </c>
      <c r="R468" s="141" t="s">
        <v>1927</v>
      </c>
      <c r="S468" s="142" t="s">
        <v>1928</v>
      </c>
      <c r="T468" s="141" t="s">
        <v>1932</v>
      </c>
      <c r="U468" s="142" t="s">
        <v>150</v>
      </c>
      <c r="V468" s="142" t="s">
        <v>150</v>
      </c>
      <c r="W468" s="141">
        <f t="shared" si="15"/>
        <v>1</v>
      </c>
      <c r="X468" s="143"/>
      <c r="Y468" s="145"/>
      <c r="AA468"/>
    </row>
    <row r="469" spans="1:27" s="115" customFormat="1" ht="27" customHeight="1">
      <c r="A469" s="139">
        <v>444</v>
      </c>
      <c r="B469" s="140" t="s">
        <v>4973</v>
      </c>
      <c r="C469" s="141" t="s">
        <v>1429</v>
      </c>
      <c r="D469" s="142" t="s">
        <v>1430</v>
      </c>
      <c r="E469" s="141" t="s">
        <v>1885</v>
      </c>
      <c r="F469" s="142" t="s">
        <v>1882</v>
      </c>
      <c r="G469" s="141" t="s">
        <v>1927</v>
      </c>
      <c r="H469" s="142" t="s">
        <v>1928</v>
      </c>
      <c r="I469" s="141" t="s">
        <v>1933</v>
      </c>
      <c r="J469" s="142" t="s">
        <v>1934</v>
      </c>
      <c r="K469" s="142" t="s">
        <v>664</v>
      </c>
      <c r="L469" s="143">
        <f t="shared" si="14"/>
        <v>1</v>
      </c>
      <c r="M469" s="144">
        <v>29241</v>
      </c>
      <c r="N469" s="141" t="s">
        <v>1429</v>
      </c>
      <c r="O469" s="142" t="s">
        <v>1430</v>
      </c>
      <c r="P469" s="141" t="s">
        <v>1885</v>
      </c>
      <c r="Q469" s="142" t="s">
        <v>1882</v>
      </c>
      <c r="R469" s="141" t="s">
        <v>1927</v>
      </c>
      <c r="S469" s="142" t="s">
        <v>1928</v>
      </c>
      <c r="T469" s="141" t="s">
        <v>1933</v>
      </c>
      <c r="U469" s="142" t="s">
        <v>1934</v>
      </c>
      <c r="V469" s="142" t="s">
        <v>664</v>
      </c>
      <c r="W469" s="141">
        <f t="shared" si="15"/>
        <v>1</v>
      </c>
      <c r="X469" s="143"/>
      <c r="Y469" s="145"/>
      <c r="AA469"/>
    </row>
    <row r="470" spans="1:27" s="115" customFormat="1" ht="27" customHeight="1">
      <c r="A470" s="139">
        <v>445</v>
      </c>
      <c r="B470" s="140" t="s">
        <v>4974</v>
      </c>
      <c r="C470" s="141" t="s">
        <v>1429</v>
      </c>
      <c r="D470" s="142" t="s">
        <v>1430</v>
      </c>
      <c r="E470" s="141" t="s">
        <v>1885</v>
      </c>
      <c r="F470" s="142" t="s">
        <v>1882</v>
      </c>
      <c r="G470" s="141" t="s">
        <v>1927</v>
      </c>
      <c r="H470" s="142" t="s">
        <v>1928</v>
      </c>
      <c r="I470" s="141" t="s">
        <v>1933</v>
      </c>
      <c r="J470" s="142" t="s">
        <v>1934</v>
      </c>
      <c r="K470" s="142" t="s">
        <v>665</v>
      </c>
      <c r="L470" s="143">
        <f t="shared" si="14"/>
        <v>1</v>
      </c>
      <c r="M470" s="144">
        <v>29242</v>
      </c>
      <c r="N470" s="141" t="s">
        <v>1429</v>
      </c>
      <c r="O470" s="142" t="s">
        <v>1430</v>
      </c>
      <c r="P470" s="141" t="s">
        <v>1885</v>
      </c>
      <c r="Q470" s="142" t="s">
        <v>1882</v>
      </c>
      <c r="R470" s="141" t="s">
        <v>1927</v>
      </c>
      <c r="S470" s="142" t="s">
        <v>1928</v>
      </c>
      <c r="T470" s="141" t="s">
        <v>1933</v>
      </c>
      <c r="U470" s="142" t="s">
        <v>1934</v>
      </c>
      <c r="V470" s="142" t="s">
        <v>665</v>
      </c>
      <c r="W470" s="141">
        <f t="shared" si="15"/>
        <v>1</v>
      </c>
      <c r="X470" s="143"/>
      <c r="Y470" s="145"/>
      <c r="AA470"/>
    </row>
    <row r="471" spans="1:27" s="115" customFormat="1" ht="27" customHeight="1">
      <c r="A471" s="139">
        <v>446</v>
      </c>
      <c r="B471" s="140" t="s">
        <v>4975</v>
      </c>
      <c r="C471" s="141" t="s">
        <v>1429</v>
      </c>
      <c r="D471" s="142" t="s">
        <v>1430</v>
      </c>
      <c r="E471" s="141" t="s">
        <v>1885</v>
      </c>
      <c r="F471" s="142" t="s">
        <v>1882</v>
      </c>
      <c r="G471" s="141" t="s">
        <v>1927</v>
      </c>
      <c r="H471" s="142" t="s">
        <v>1928</v>
      </c>
      <c r="I471" s="141" t="s">
        <v>1935</v>
      </c>
      <c r="J471" s="142" t="s">
        <v>666</v>
      </c>
      <c r="K471" s="142" t="s">
        <v>666</v>
      </c>
      <c r="L471" s="143">
        <f t="shared" si="14"/>
        <v>1</v>
      </c>
      <c r="M471" s="144">
        <v>29250</v>
      </c>
      <c r="N471" s="141" t="s">
        <v>1429</v>
      </c>
      <c r="O471" s="142" t="s">
        <v>1430</v>
      </c>
      <c r="P471" s="141" t="s">
        <v>1885</v>
      </c>
      <c r="Q471" s="142" t="s">
        <v>1882</v>
      </c>
      <c r="R471" s="141" t="s">
        <v>1927</v>
      </c>
      <c r="S471" s="142" t="s">
        <v>1928</v>
      </c>
      <c r="T471" s="141" t="s">
        <v>1935</v>
      </c>
      <c r="U471" s="142" t="s">
        <v>666</v>
      </c>
      <c r="V471" s="142" t="s">
        <v>666</v>
      </c>
      <c r="W471" s="141">
        <f t="shared" si="15"/>
        <v>1</v>
      </c>
      <c r="X471" s="143"/>
      <c r="Y471" s="145"/>
      <c r="AA471"/>
    </row>
    <row r="472" spans="1:27" s="115" customFormat="1" ht="27" customHeight="1">
      <c r="A472" s="139">
        <v>447</v>
      </c>
      <c r="B472" s="140" t="s">
        <v>4976</v>
      </c>
      <c r="C472" s="141" t="s">
        <v>1429</v>
      </c>
      <c r="D472" s="142" t="s">
        <v>1430</v>
      </c>
      <c r="E472" s="141" t="s">
        <v>1885</v>
      </c>
      <c r="F472" s="142" t="s">
        <v>1882</v>
      </c>
      <c r="G472" s="141" t="s">
        <v>1927</v>
      </c>
      <c r="H472" s="142" t="s">
        <v>1928</v>
      </c>
      <c r="I472" s="141" t="s">
        <v>1936</v>
      </c>
      <c r="J472" s="142" t="s">
        <v>1937</v>
      </c>
      <c r="K472" s="142" t="s">
        <v>667</v>
      </c>
      <c r="L472" s="143">
        <f t="shared" si="14"/>
        <v>1</v>
      </c>
      <c r="M472" s="144">
        <v>29269</v>
      </c>
      <c r="N472" s="141" t="s">
        <v>1429</v>
      </c>
      <c r="O472" s="142" t="s">
        <v>1430</v>
      </c>
      <c r="P472" s="141" t="s">
        <v>1885</v>
      </c>
      <c r="Q472" s="142" t="s">
        <v>1882</v>
      </c>
      <c r="R472" s="141" t="s">
        <v>1927</v>
      </c>
      <c r="S472" s="142" t="s">
        <v>1928</v>
      </c>
      <c r="T472" s="141" t="s">
        <v>1936</v>
      </c>
      <c r="U472" s="142" t="s">
        <v>1937</v>
      </c>
      <c r="V472" s="142" t="s">
        <v>667</v>
      </c>
      <c r="W472" s="141">
        <f t="shared" si="15"/>
        <v>1</v>
      </c>
      <c r="X472" s="143"/>
      <c r="Y472" s="145"/>
      <c r="AA472"/>
    </row>
    <row r="473" spans="1:27" s="115" customFormat="1" ht="27" customHeight="1">
      <c r="A473" s="139">
        <v>448</v>
      </c>
      <c r="B473" s="140" t="s">
        <v>4977</v>
      </c>
      <c r="C473" s="141" t="s">
        <v>1429</v>
      </c>
      <c r="D473" s="142" t="s">
        <v>1430</v>
      </c>
      <c r="E473" s="141" t="s">
        <v>1885</v>
      </c>
      <c r="F473" s="142" t="s">
        <v>1882</v>
      </c>
      <c r="G473" s="141" t="s">
        <v>1927</v>
      </c>
      <c r="H473" s="142" t="s">
        <v>1928</v>
      </c>
      <c r="I473" s="141" t="s">
        <v>1936</v>
      </c>
      <c r="J473" s="142" t="s">
        <v>1937</v>
      </c>
      <c r="K473" s="142" t="s">
        <v>668</v>
      </c>
      <c r="L473" s="143">
        <f t="shared" si="14"/>
        <v>1</v>
      </c>
      <c r="M473" s="144">
        <v>29261</v>
      </c>
      <c r="N473" s="141" t="s">
        <v>1429</v>
      </c>
      <c r="O473" s="142" t="s">
        <v>1430</v>
      </c>
      <c r="P473" s="141" t="s">
        <v>1885</v>
      </c>
      <c r="Q473" s="142" t="s">
        <v>1882</v>
      </c>
      <c r="R473" s="141" t="s">
        <v>1927</v>
      </c>
      <c r="S473" s="142" t="s">
        <v>1928</v>
      </c>
      <c r="T473" s="141" t="s">
        <v>1936</v>
      </c>
      <c r="U473" s="142" t="s">
        <v>1937</v>
      </c>
      <c r="V473" s="142" t="s">
        <v>668</v>
      </c>
      <c r="W473" s="141">
        <f t="shared" si="15"/>
        <v>1</v>
      </c>
      <c r="X473" s="143"/>
      <c r="Y473" s="145"/>
      <c r="AA473"/>
    </row>
    <row r="474" spans="1:27" s="115" customFormat="1" ht="27" customHeight="1">
      <c r="A474" s="139">
        <v>449</v>
      </c>
      <c r="B474" s="140" t="s">
        <v>4978</v>
      </c>
      <c r="C474" s="141" t="s">
        <v>1429</v>
      </c>
      <c r="D474" s="142" t="s">
        <v>1430</v>
      </c>
      <c r="E474" s="141" t="s">
        <v>1885</v>
      </c>
      <c r="F474" s="142" t="s">
        <v>1871</v>
      </c>
      <c r="G474" s="141" t="s">
        <v>1927</v>
      </c>
      <c r="H474" s="142" t="s">
        <v>151</v>
      </c>
      <c r="I474" s="141" t="s">
        <v>1938</v>
      </c>
      <c r="J474" s="142" t="s">
        <v>151</v>
      </c>
      <c r="K474" s="142" t="s">
        <v>151</v>
      </c>
      <c r="L474" s="143">
        <f t="shared" si="14"/>
        <v>1</v>
      </c>
      <c r="M474" s="144">
        <v>25200</v>
      </c>
      <c r="N474" s="141" t="s">
        <v>1429</v>
      </c>
      <c r="O474" s="142" t="s">
        <v>1430</v>
      </c>
      <c r="P474" s="141" t="s">
        <v>1761</v>
      </c>
      <c r="Q474" s="142" t="s">
        <v>1876</v>
      </c>
      <c r="R474" s="141" t="s">
        <v>1772</v>
      </c>
      <c r="S474" s="142" t="s">
        <v>151</v>
      </c>
      <c r="T474" s="141" t="s">
        <v>1939</v>
      </c>
      <c r="U474" s="142" t="s">
        <v>151</v>
      </c>
      <c r="V474" s="142" t="s">
        <v>151</v>
      </c>
      <c r="W474" s="141">
        <f t="shared" si="15"/>
        <v>1</v>
      </c>
      <c r="X474" s="143"/>
      <c r="Y474" s="145"/>
      <c r="AA474"/>
    </row>
    <row r="475" spans="1:27" s="115" customFormat="1" ht="27" customHeight="1">
      <c r="A475" s="139">
        <v>450</v>
      </c>
      <c r="B475" s="140" t="s">
        <v>4979</v>
      </c>
      <c r="C475" s="141" t="s">
        <v>1429</v>
      </c>
      <c r="D475" s="142" t="s">
        <v>1430</v>
      </c>
      <c r="E475" s="141" t="s">
        <v>1885</v>
      </c>
      <c r="F475" s="142" t="s">
        <v>1882</v>
      </c>
      <c r="G475" s="141" t="s">
        <v>1927</v>
      </c>
      <c r="H475" s="142" t="s">
        <v>1928</v>
      </c>
      <c r="I475" s="141" t="s">
        <v>1940</v>
      </c>
      <c r="J475" s="142" t="s">
        <v>152</v>
      </c>
      <c r="K475" s="142" t="s">
        <v>152</v>
      </c>
      <c r="L475" s="143">
        <f t="shared" si="14"/>
        <v>1</v>
      </c>
      <c r="M475" s="144">
        <v>29280</v>
      </c>
      <c r="N475" s="141" t="s">
        <v>1429</v>
      </c>
      <c r="O475" s="142" t="s">
        <v>1430</v>
      </c>
      <c r="P475" s="141" t="s">
        <v>1885</v>
      </c>
      <c r="Q475" s="142" t="s">
        <v>1882</v>
      </c>
      <c r="R475" s="141" t="s">
        <v>1927</v>
      </c>
      <c r="S475" s="142" t="s">
        <v>1928</v>
      </c>
      <c r="T475" s="141" t="s">
        <v>1941</v>
      </c>
      <c r="U475" s="142" t="s">
        <v>152</v>
      </c>
      <c r="V475" s="142" t="s">
        <v>152</v>
      </c>
      <c r="W475" s="141">
        <f t="shared" si="15"/>
        <v>1</v>
      </c>
      <c r="X475" s="143"/>
      <c r="Y475" s="145"/>
      <c r="AA475"/>
    </row>
    <row r="476" spans="1:27" s="115" customFormat="1" ht="27" customHeight="1">
      <c r="A476" s="139">
        <v>451</v>
      </c>
      <c r="B476" s="140" t="s">
        <v>4980</v>
      </c>
      <c r="C476" s="141" t="s">
        <v>1429</v>
      </c>
      <c r="D476" s="142" t="s">
        <v>1430</v>
      </c>
      <c r="E476" s="141" t="s">
        <v>1885</v>
      </c>
      <c r="F476" s="142" t="s">
        <v>1882</v>
      </c>
      <c r="G476" s="141" t="s">
        <v>1927</v>
      </c>
      <c r="H476" s="142" t="s">
        <v>1928</v>
      </c>
      <c r="I476" s="141" t="s">
        <v>1940</v>
      </c>
      <c r="J476" s="142" t="s">
        <v>1942</v>
      </c>
      <c r="K476" s="142" t="s">
        <v>669</v>
      </c>
      <c r="L476" s="143">
        <f t="shared" si="14"/>
        <v>1</v>
      </c>
      <c r="M476" s="144">
        <v>29293</v>
      </c>
      <c r="N476" s="141" t="s">
        <v>1429</v>
      </c>
      <c r="O476" s="142" t="s">
        <v>1430</v>
      </c>
      <c r="P476" s="141" t="s">
        <v>1885</v>
      </c>
      <c r="Q476" s="142" t="s">
        <v>1882</v>
      </c>
      <c r="R476" s="141" t="s">
        <v>1927</v>
      </c>
      <c r="S476" s="142" t="s">
        <v>1928</v>
      </c>
      <c r="T476" s="141" t="s">
        <v>1940</v>
      </c>
      <c r="U476" s="142" t="s">
        <v>1942</v>
      </c>
      <c r="V476" s="142" t="s">
        <v>669</v>
      </c>
      <c r="W476" s="141">
        <f t="shared" si="15"/>
        <v>1</v>
      </c>
      <c r="X476" s="143"/>
      <c r="Y476" s="145"/>
      <c r="AA476"/>
    </row>
    <row r="477" spans="1:27" s="115" customFormat="1" ht="27" customHeight="1">
      <c r="A477" s="139">
        <v>452</v>
      </c>
      <c r="B477" s="140" t="s">
        <v>4981</v>
      </c>
      <c r="C477" s="141" t="s">
        <v>1429</v>
      </c>
      <c r="D477" s="142" t="s">
        <v>1430</v>
      </c>
      <c r="E477" s="141" t="s">
        <v>1885</v>
      </c>
      <c r="F477" s="142" t="s">
        <v>1882</v>
      </c>
      <c r="G477" s="141" t="s">
        <v>1927</v>
      </c>
      <c r="H477" s="142" t="s">
        <v>1928</v>
      </c>
      <c r="I477" s="141" t="s">
        <v>1940</v>
      </c>
      <c r="J477" s="142" t="s">
        <v>1942</v>
      </c>
      <c r="K477" s="142" t="s">
        <v>670</v>
      </c>
      <c r="L477" s="143">
        <f t="shared" si="14"/>
        <v>1</v>
      </c>
      <c r="M477" s="144">
        <v>29294</v>
      </c>
      <c r="N477" s="141" t="s">
        <v>1429</v>
      </c>
      <c r="O477" s="142" t="s">
        <v>1430</v>
      </c>
      <c r="P477" s="141" t="s">
        <v>1885</v>
      </c>
      <c r="Q477" s="142" t="s">
        <v>1882</v>
      </c>
      <c r="R477" s="141" t="s">
        <v>1927</v>
      </c>
      <c r="S477" s="142" t="s">
        <v>1928</v>
      </c>
      <c r="T477" s="141" t="s">
        <v>1940</v>
      </c>
      <c r="U477" s="142" t="s">
        <v>1942</v>
      </c>
      <c r="V477" s="142" t="s">
        <v>670</v>
      </c>
      <c r="W477" s="141">
        <f t="shared" si="15"/>
        <v>1</v>
      </c>
      <c r="X477" s="143"/>
      <c r="Y477" s="145"/>
      <c r="AA477"/>
    </row>
    <row r="478" spans="1:27" s="115" customFormat="1" ht="40.5" customHeight="1">
      <c r="A478" s="139">
        <v>453</v>
      </c>
      <c r="B478" s="140" t="s">
        <v>4982</v>
      </c>
      <c r="C478" s="141" t="s">
        <v>1429</v>
      </c>
      <c r="D478" s="142" t="s">
        <v>1430</v>
      </c>
      <c r="E478" s="141" t="s">
        <v>1885</v>
      </c>
      <c r="F478" s="142" t="s">
        <v>1882</v>
      </c>
      <c r="G478" s="141" t="s">
        <v>1927</v>
      </c>
      <c r="H478" s="142" t="s">
        <v>1928</v>
      </c>
      <c r="I478" s="141" t="s">
        <v>1940</v>
      </c>
      <c r="J478" s="142" t="s">
        <v>1942</v>
      </c>
      <c r="K478" s="142" t="s">
        <v>671</v>
      </c>
      <c r="L478" s="143">
        <f t="shared" si="14"/>
        <v>1</v>
      </c>
      <c r="M478" s="144">
        <v>29291</v>
      </c>
      <c r="N478" s="141" t="s">
        <v>1429</v>
      </c>
      <c r="O478" s="142" t="s">
        <v>1430</v>
      </c>
      <c r="P478" s="141" t="s">
        <v>1885</v>
      </c>
      <c r="Q478" s="142" t="s">
        <v>1882</v>
      </c>
      <c r="R478" s="141" t="s">
        <v>1927</v>
      </c>
      <c r="S478" s="142" t="s">
        <v>1928</v>
      </c>
      <c r="T478" s="141" t="s">
        <v>1940</v>
      </c>
      <c r="U478" s="142" t="s">
        <v>1942</v>
      </c>
      <c r="V478" s="142" t="s">
        <v>671</v>
      </c>
      <c r="W478" s="141">
        <f t="shared" si="15"/>
        <v>1</v>
      </c>
      <c r="X478" s="143"/>
      <c r="Y478" s="145"/>
      <c r="AA478"/>
    </row>
    <row r="479" spans="1:27" s="115" customFormat="1" ht="40.5" customHeight="1">
      <c r="A479" s="139">
        <v>454</v>
      </c>
      <c r="B479" s="140" t="s">
        <v>4983</v>
      </c>
      <c r="C479" s="141" t="s">
        <v>1429</v>
      </c>
      <c r="D479" s="142" t="s">
        <v>1430</v>
      </c>
      <c r="E479" s="141" t="s">
        <v>1885</v>
      </c>
      <c r="F479" s="142" t="s">
        <v>1882</v>
      </c>
      <c r="G479" s="141" t="s">
        <v>1927</v>
      </c>
      <c r="H479" s="142" t="s">
        <v>1928</v>
      </c>
      <c r="I479" s="141" t="s">
        <v>1940</v>
      </c>
      <c r="J479" s="142" t="s">
        <v>1942</v>
      </c>
      <c r="K479" s="142" t="s">
        <v>672</v>
      </c>
      <c r="L479" s="143">
        <f t="shared" si="14"/>
        <v>1</v>
      </c>
      <c r="M479" s="144">
        <v>29292</v>
      </c>
      <c r="N479" s="141" t="s">
        <v>1429</v>
      </c>
      <c r="O479" s="142" t="s">
        <v>1430</v>
      </c>
      <c r="P479" s="141" t="s">
        <v>1885</v>
      </c>
      <c r="Q479" s="142" t="s">
        <v>1882</v>
      </c>
      <c r="R479" s="141" t="s">
        <v>1927</v>
      </c>
      <c r="S479" s="142" t="s">
        <v>1928</v>
      </c>
      <c r="T479" s="141" t="s">
        <v>1940</v>
      </c>
      <c r="U479" s="142" t="s">
        <v>1942</v>
      </c>
      <c r="V479" s="142" t="s">
        <v>672</v>
      </c>
      <c r="W479" s="141">
        <f t="shared" si="15"/>
        <v>1</v>
      </c>
      <c r="X479" s="143"/>
      <c r="Y479" s="145"/>
      <c r="AA479"/>
    </row>
    <row r="480" spans="1:27" s="115" customFormat="1" ht="40.5" customHeight="1">
      <c r="A480" s="139">
        <v>455</v>
      </c>
      <c r="B480" s="140" t="s">
        <v>4984</v>
      </c>
      <c r="C480" s="141" t="s">
        <v>1429</v>
      </c>
      <c r="D480" s="142" t="s">
        <v>1430</v>
      </c>
      <c r="E480" s="141" t="s">
        <v>1885</v>
      </c>
      <c r="F480" s="142" t="s">
        <v>1882</v>
      </c>
      <c r="G480" s="141" t="s">
        <v>1927</v>
      </c>
      <c r="H480" s="142" t="s">
        <v>1928</v>
      </c>
      <c r="I480" s="141" t="s">
        <v>1940</v>
      </c>
      <c r="J480" s="142" t="s">
        <v>1942</v>
      </c>
      <c r="K480" s="142" t="s">
        <v>673</v>
      </c>
      <c r="L480" s="143">
        <f t="shared" si="14"/>
        <v>1</v>
      </c>
      <c r="M480" s="144">
        <v>29299</v>
      </c>
      <c r="N480" s="141" t="s">
        <v>1429</v>
      </c>
      <c r="O480" s="142" t="s">
        <v>1430</v>
      </c>
      <c r="P480" s="141" t="s">
        <v>1885</v>
      </c>
      <c r="Q480" s="142" t="s">
        <v>1882</v>
      </c>
      <c r="R480" s="141" t="s">
        <v>1927</v>
      </c>
      <c r="S480" s="142" t="s">
        <v>1928</v>
      </c>
      <c r="T480" s="141" t="s">
        <v>1940</v>
      </c>
      <c r="U480" s="142" t="s">
        <v>1942</v>
      </c>
      <c r="V480" s="142" t="s">
        <v>673</v>
      </c>
      <c r="W480" s="141">
        <f t="shared" si="15"/>
        <v>1</v>
      </c>
      <c r="X480" s="143"/>
      <c r="Y480" s="145"/>
      <c r="AA480"/>
    </row>
    <row r="481" spans="1:27" s="115" customFormat="1" ht="40.5" customHeight="1">
      <c r="A481" s="139">
        <v>456</v>
      </c>
      <c r="B481" s="140" t="s">
        <v>4985</v>
      </c>
      <c r="C481" s="141" t="s">
        <v>1429</v>
      </c>
      <c r="D481" s="142" t="s">
        <v>1430</v>
      </c>
      <c r="E481" s="141" t="s">
        <v>1885</v>
      </c>
      <c r="F481" s="142" t="s">
        <v>1882</v>
      </c>
      <c r="G481" s="141" t="s">
        <v>1927</v>
      </c>
      <c r="H481" s="142" t="s">
        <v>1928</v>
      </c>
      <c r="I481" s="141" t="s">
        <v>1940</v>
      </c>
      <c r="J481" s="142" t="s">
        <v>1943</v>
      </c>
      <c r="K481" s="142" t="s">
        <v>674</v>
      </c>
      <c r="L481" s="143">
        <f t="shared" si="14"/>
        <v>1</v>
      </c>
      <c r="M481" s="144">
        <v>29271</v>
      </c>
      <c r="N481" s="141" t="s">
        <v>1429</v>
      </c>
      <c r="O481" s="142" t="s">
        <v>1430</v>
      </c>
      <c r="P481" s="141" t="s">
        <v>1885</v>
      </c>
      <c r="Q481" s="142" t="s">
        <v>1882</v>
      </c>
      <c r="R481" s="141" t="s">
        <v>1927</v>
      </c>
      <c r="S481" s="142" t="s">
        <v>1928</v>
      </c>
      <c r="T481" s="141" t="s">
        <v>1938</v>
      </c>
      <c r="U481" s="142" t="s">
        <v>1943</v>
      </c>
      <c r="V481" s="142" t="s">
        <v>674</v>
      </c>
      <c r="W481" s="141">
        <f t="shared" si="15"/>
        <v>1</v>
      </c>
      <c r="X481" s="143"/>
      <c r="Y481" s="145"/>
      <c r="AA481"/>
    </row>
    <row r="482" spans="1:27" s="115" customFormat="1" ht="40.5" customHeight="1">
      <c r="A482" s="139">
        <v>457</v>
      </c>
      <c r="B482" s="140" t="s">
        <v>4986</v>
      </c>
      <c r="C482" s="141" t="s">
        <v>1429</v>
      </c>
      <c r="D482" s="142" t="s">
        <v>1430</v>
      </c>
      <c r="E482" s="141" t="s">
        <v>1885</v>
      </c>
      <c r="F482" s="142" t="s">
        <v>1882</v>
      </c>
      <c r="G482" s="141" t="s">
        <v>1927</v>
      </c>
      <c r="H482" s="142" t="s">
        <v>1928</v>
      </c>
      <c r="I482" s="141" t="s">
        <v>1940</v>
      </c>
      <c r="J482" s="142" t="s">
        <v>1943</v>
      </c>
      <c r="K482" s="142" t="s">
        <v>675</v>
      </c>
      <c r="L482" s="143">
        <f t="shared" si="14"/>
        <v>1</v>
      </c>
      <c r="M482" s="144">
        <v>29272</v>
      </c>
      <c r="N482" s="141" t="s">
        <v>1429</v>
      </c>
      <c r="O482" s="142" t="s">
        <v>1430</v>
      </c>
      <c r="P482" s="141" t="s">
        <v>1885</v>
      </c>
      <c r="Q482" s="142" t="s">
        <v>1882</v>
      </c>
      <c r="R482" s="141" t="s">
        <v>1927</v>
      </c>
      <c r="S482" s="142" t="s">
        <v>1928</v>
      </c>
      <c r="T482" s="141" t="s">
        <v>1938</v>
      </c>
      <c r="U482" s="142" t="s">
        <v>1943</v>
      </c>
      <c r="V482" s="142" t="s">
        <v>675</v>
      </c>
      <c r="W482" s="141">
        <f t="shared" si="15"/>
        <v>1</v>
      </c>
      <c r="X482" s="143"/>
      <c r="Y482" s="145"/>
      <c r="AA482"/>
    </row>
    <row r="483" spans="1:27" s="115" customFormat="1" ht="40.5" customHeight="1">
      <c r="A483" s="139">
        <v>458</v>
      </c>
      <c r="B483" s="140" t="s">
        <v>4987</v>
      </c>
      <c r="C483" s="141" t="s">
        <v>1429</v>
      </c>
      <c r="D483" s="142" t="s">
        <v>1430</v>
      </c>
      <c r="E483" s="141" t="s">
        <v>1885</v>
      </c>
      <c r="F483" s="142" t="s">
        <v>1944</v>
      </c>
      <c r="G483" s="141" t="s">
        <v>1945</v>
      </c>
      <c r="H483" s="142" t="s">
        <v>1946</v>
      </c>
      <c r="I483" s="141" t="s">
        <v>1947</v>
      </c>
      <c r="J483" s="142" t="s">
        <v>1948</v>
      </c>
      <c r="K483" s="142" t="s">
        <v>676</v>
      </c>
      <c r="L483" s="143">
        <f t="shared" si="14"/>
        <v>1</v>
      </c>
      <c r="M483" s="144">
        <v>28511</v>
      </c>
      <c r="N483" s="141" t="s">
        <v>1429</v>
      </c>
      <c r="O483" s="142" t="s">
        <v>1430</v>
      </c>
      <c r="P483" s="141" t="s">
        <v>1870</v>
      </c>
      <c r="Q483" s="142" t="s">
        <v>1944</v>
      </c>
      <c r="R483" s="141" t="s">
        <v>1949</v>
      </c>
      <c r="S483" s="142" t="s">
        <v>1946</v>
      </c>
      <c r="T483" s="141" t="s">
        <v>1950</v>
      </c>
      <c r="U483" s="142" t="s">
        <v>1948</v>
      </c>
      <c r="V483" s="142" t="s">
        <v>676</v>
      </c>
      <c r="W483" s="141">
        <f t="shared" si="15"/>
        <v>1</v>
      </c>
      <c r="X483" s="143"/>
      <c r="Y483" s="145"/>
      <c r="AA483"/>
    </row>
    <row r="484" spans="1:27" s="115" customFormat="1" ht="40.5" customHeight="1">
      <c r="A484" s="139">
        <v>459</v>
      </c>
      <c r="B484" s="140" t="s">
        <v>4988</v>
      </c>
      <c r="C484" s="141" t="s">
        <v>1429</v>
      </c>
      <c r="D484" s="142" t="s">
        <v>1430</v>
      </c>
      <c r="E484" s="141" t="s">
        <v>1885</v>
      </c>
      <c r="F484" s="142" t="s">
        <v>1944</v>
      </c>
      <c r="G484" s="141" t="s">
        <v>1945</v>
      </c>
      <c r="H484" s="142" t="s">
        <v>1946</v>
      </c>
      <c r="I484" s="141" t="s">
        <v>1947</v>
      </c>
      <c r="J484" s="142" t="s">
        <v>1948</v>
      </c>
      <c r="K484" s="142" t="s">
        <v>677</v>
      </c>
      <c r="L484" s="143">
        <f t="shared" si="14"/>
        <v>1</v>
      </c>
      <c r="M484" s="144">
        <v>28519</v>
      </c>
      <c r="N484" s="141" t="s">
        <v>1429</v>
      </c>
      <c r="O484" s="142" t="s">
        <v>1430</v>
      </c>
      <c r="P484" s="141" t="s">
        <v>1870</v>
      </c>
      <c r="Q484" s="142" t="s">
        <v>1944</v>
      </c>
      <c r="R484" s="141" t="s">
        <v>1949</v>
      </c>
      <c r="S484" s="142" t="s">
        <v>1946</v>
      </c>
      <c r="T484" s="141" t="s">
        <v>1950</v>
      </c>
      <c r="U484" s="142" t="s">
        <v>1948</v>
      </c>
      <c r="V484" s="142" t="s">
        <v>677</v>
      </c>
      <c r="W484" s="141">
        <f t="shared" si="15"/>
        <v>1</v>
      </c>
      <c r="X484" s="143"/>
      <c r="Y484" s="145"/>
      <c r="AA484"/>
    </row>
    <row r="485" spans="1:27" s="115" customFormat="1" ht="27" customHeight="1">
      <c r="A485" s="139">
        <v>460</v>
      </c>
      <c r="B485" s="140" t="s">
        <v>4989</v>
      </c>
      <c r="C485" s="141" t="s">
        <v>1429</v>
      </c>
      <c r="D485" s="142" t="s">
        <v>1430</v>
      </c>
      <c r="E485" s="141" t="s">
        <v>1885</v>
      </c>
      <c r="F485" s="142" t="s">
        <v>1944</v>
      </c>
      <c r="G485" s="141" t="s">
        <v>1945</v>
      </c>
      <c r="H485" s="142" t="s">
        <v>1946</v>
      </c>
      <c r="I485" s="141" t="s">
        <v>1947</v>
      </c>
      <c r="J485" s="142" t="s">
        <v>153</v>
      </c>
      <c r="K485" s="142" t="s">
        <v>153</v>
      </c>
      <c r="L485" s="143">
        <f t="shared" si="14"/>
        <v>1</v>
      </c>
      <c r="M485" s="144">
        <v>28520</v>
      </c>
      <c r="N485" s="141" t="s">
        <v>1429</v>
      </c>
      <c r="O485" s="142" t="s">
        <v>1430</v>
      </c>
      <c r="P485" s="141" t="s">
        <v>1870</v>
      </c>
      <c r="Q485" s="142" t="s">
        <v>1944</v>
      </c>
      <c r="R485" s="141" t="s">
        <v>1949</v>
      </c>
      <c r="S485" s="142" t="s">
        <v>1946</v>
      </c>
      <c r="T485" s="141" t="s">
        <v>1951</v>
      </c>
      <c r="U485" s="142" t="s">
        <v>153</v>
      </c>
      <c r="V485" s="142" t="s">
        <v>153</v>
      </c>
      <c r="W485" s="141">
        <f t="shared" si="15"/>
        <v>1</v>
      </c>
      <c r="X485" s="143"/>
      <c r="Y485" s="145"/>
      <c r="AA485"/>
    </row>
    <row r="486" spans="1:27" s="115" customFormat="1" ht="27" customHeight="1">
      <c r="A486" s="139">
        <v>461</v>
      </c>
      <c r="B486" s="140" t="s">
        <v>4990</v>
      </c>
      <c r="C486" s="141" t="s">
        <v>1429</v>
      </c>
      <c r="D486" s="142" t="s">
        <v>1430</v>
      </c>
      <c r="E486" s="141" t="s">
        <v>1885</v>
      </c>
      <c r="F486" s="142" t="s">
        <v>1944</v>
      </c>
      <c r="G486" s="141" t="s">
        <v>1945</v>
      </c>
      <c r="H486" s="142" t="s">
        <v>1946</v>
      </c>
      <c r="I486" s="141" t="s">
        <v>1947</v>
      </c>
      <c r="J486" s="142" t="s">
        <v>1948</v>
      </c>
      <c r="K486" s="142" t="s">
        <v>678</v>
      </c>
      <c r="L486" s="143">
        <f t="shared" si="14"/>
        <v>1</v>
      </c>
      <c r="M486" s="144">
        <v>28512</v>
      </c>
      <c r="N486" s="141" t="s">
        <v>1429</v>
      </c>
      <c r="O486" s="142" t="s">
        <v>1430</v>
      </c>
      <c r="P486" s="141" t="s">
        <v>1870</v>
      </c>
      <c r="Q486" s="142" t="s">
        <v>1944</v>
      </c>
      <c r="R486" s="141" t="s">
        <v>1949</v>
      </c>
      <c r="S486" s="142" t="s">
        <v>1946</v>
      </c>
      <c r="T486" s="141" t="s">
        <v>1950</v>
      </c>
      <c r="U486" s="142" t="s">
        <v>1948</v>
      </c>
      <c r="V486" s="142" t="s">
        <v>678</v>
      </c>
      <c r="W486" s="141">
        <f t="shared" si="15"/>
        <v>1</v>
      </c>
      <c r="X486" s="143"/>
      <c r="Y486" s="145"/>
      <c r="AA486"/>
    </row>
    <row r="487" spans="1:27" s="115" customFormat="1" ht="27" customHeight="1">
      <c r="A487" s="139">
        <v>462</v>
      </c>
      <c r="B487" s="140" t="s">
        <v>4991</v>
      </c>
      <c r="C487" s="141" t="s">
        <v>1429</v>
      </c>
      <c r="D487" s="142" t="s">
        <v>1430</v>
      </c>
      <c r="E487" s="141" t="s">
        <v>1555</v>
      </c>
      <c r="F487" s="142" t="s">
        <v>1751</v>
      </c>
      <c r="G487" s="141" t="s">
        <v>1952</v>
      </c>
      <c r="H487" s="142" t="s">
        <v>1953</v>
      </c>
      <c r="I487" s="141" t="s">
        <v>1954</v>
      </c>
      <c r="J487" s="142" t="s">
        <v>154</v>
      </c>
      <c r="K487" s="142" t="s">
        <v>154</v>
      </c>
      <c r="L487" s="143">
        <f t="shared" si="14"/>
        <v>1</v>
      </c>
      <c r="M487" s="144">
        <v>26310</v>
      </c>
      <c r="N487" s="141" t="s">
        <v>1429</v>
      </c>
      <c r="O487" s="142" t="s">
        <v>1430</v>
      </c>
      <c r="P487" s="141" t="s">
        <v>1752</v>
      </c>
      <c r="Q487" s="142" t="s">
        <v>1751</v>
      </c>
      <c r="R487" s="141" t="s">
        <v>1955</v>
      </c>
      <c r="S487" s="142" t="s">
        <v>1953</v>
      </c>
      <c r="T487" s="141" t="s">
        <v>1956</v>
      </c>
      <c r="U487" s="142" t="s">
        <v>154</v>
      </c>
      <c r="V487" s="142" t="s">
        <v>154</v>
      </c>
      <c r="W487" s="141">
        <f t="shared" si="15"/>
        <v>1</v>
      </c>
      <c r="X487" s="143"/>
      <c r="Y487" s="145"/>
      <c r="AA487"/>
    </row>
    <row r="488" spans="1:27" s="115" customFormat="1" ht="27" customHeight="1">
      <c r="A488" s="139">
        <v>463</v>
      </c>
      <c r="B488" s="140" t="s">
        <v>4992</v>
      </c>
      <c r="C488" s="141" t="s">
        <v>1429</v>
      </c>
      <c r="D488" s="142" t="s">
        <v>1430</v>
      </c>
      <c r="E488" s="141" t="s">
        <v>1555</v>
      </c>
      <c r="F488" s="142" t="s">
        <v>1751</v>
      </c>
      <c r="G488" s="141" t="s">
        <v>1952</v>
      </c>
      <c r="H488" s="142" t="s">
        <v>1953</v>
      </c>
      <c r="I488" s="141" t="s">
        <v>1954</v>
      </c>
      <c r="J488" s="142" t="s">
        <v>1957</v>
      </c>
      <c r="K488" s="142" t="s">
        <v>679</v>
      </c>
      <c r="L488" s="143">
        <f t="shared" si="14"/>
        <v>1</v>
      </c>
      <c r="M488" s="144">
        <v>26329</v>
      </c>
      <c r="N488" s="141" t="s">
        <v>1429</v>
      </c>
      <c r="O488" s="142" t="s">
        <v>1430</v>
      </c>
      <c r="P488" s="141" t="s">
        <v>1752</v>
      </c>
      <c r="Q488" s="142" t="s">
        <v>1751</v>
      </c>
      <c r="R488" s="141" t="s">
        <v>1955</v>
      </c>
      <c r="S488" s="142" t="s">
        <v>1953</v>
      </c>
      <c r="T488" s="141" t="s">
        <v>1958</v>
      </c>
      <c r="U488" s="142" t="s">
        <v>1957</v>
      </c>
      <c r="V488" s="142" t="s">
        <v>679</v>
      </c>
      <c r="W488" s="141">
        <f t="shared" si="15"/>
        <v>1</v>
      </c>
      <c r="X488" s="143"/>
      <c r="Y488" s="145"/>
      <c r="AA488"/>
    </row>
    <row r="489" spans="1:27" s="115" customFormat="1" ht="40.5" customHeight="1">
      <c r="A489" s="139">
        <v>464</v>
      </c>
      <c r="B489" s="140" t="s">
        <v>4993</v>
      </c>
      <c r="C489" s="141" t="s">
        <v>1429</v>
      </c>
      <c r="D489" s="142" t="s">
        <v>1430</v>
      </c>
      <c r="E489" s="141" t="s">
        <v>1555</v>
      </c>
      <c r="F489" s="142" t="s">
        <v>1751</v>
      </c>
      <c r="G489" s="141" t="s">
        <v>1952</v>
      </c>
      <c r="H489" s="142" t="s">
        <v>1953</v>
      </c>
      <c r="I489" s="141" t="s">
        <v>1954</v>
      </c>
      <c r="J489" s="142" t="s">
        <v>1957</v>
      </c>
      <c r="K489" s="142" t="s">
        <v>680</v>
      </c>
      <c r="L489" s="143">
        <f t="shared" si="14"/>
        <v>1</v>
      </c>
      <c r="M489" s="144">
        <v>26321</v>
      </c>
      <c r="N489" s="141" t="s">
        <v>1429</v>
      </c>
      <c r="O489" s="142" t="s">
        <v>1430</v>
      </c>
      <c r="P489" s="141" t="s">
        <v>1752</v>
      </c>
      <c r="Q489" s="142" t="s">
        <v>1751</v>
      </c>
      <c r="R489" s="141" t="s">
        <v>1955</v>
      </c>
      <c r="S489" s="142" t="s">
        <v>1953</v>
      </c>
      <c r="T489" s="141" t="s">
        <v>1958</v>
      </c>
      <c r="U489" s="142" t="s">
        <v>1957</v>
      </c>
      <c r="V489" s="142" t="s">
        <v>680</v>
      </c>
      <c r="W489" s="141">
        <f t="shared" si="15"/>
        <v>1</v>
      </c>
      <c r="X489" s="143"/>
      <c r="Y489" s="145"/>
      <c r="AA489"/>
    </row>
    <row r="490" spans="1:27" s="115" customFormat="1" ht="40.5" customHeight="1">
      <c r="A490" s="139">
        <v>465</v>
      </c>
      <c r="B490" s="140" t="s">
        <v>4994</v>
      </c>
      <c r="C490" s="141" t="s">
        <v>1429</v>
      </c>
      <c r="D490" s="142" t="s">
        <v>1430</v>
      </c>
      <c r="E490" s="141" t="s">
        <v>1555</v>
      </c>
      <c r="F490" s="142" t="s">
        <v>1751</v>
      </c>
      <c r="G490" s="141" t="s">
        <v>1952</v>
      </c>
      <c r="H490" s="142" t="s">
        <v>1953</v>
      </c>
      <c r="I490" s="141" t="s">
        <v>1954</v>
      </c>
      <c r="J490" s="142" t="s">
        <v>1957</v>
      </c>
      <c r="K490" s="142" t="s">
        <v>681</v>
      </c>
      <c r="L490" s="143">
        <f t="shared" si="14"/>
        <v>1</v>
      </c>
      <c r="M490" s="144">
        <v>26322</v>
      </c>
      <c r="N490" s="141" t="s">
        <v>1429</v>
      </c>
      <c r="O490" s="142" t="s">
        <v>1430</v>
      </c>
      <c r="P490" s="141" t="s">
        <v>1752</v>
      </c>
      <c r="Q490" s="142" t="s">
        <v>1751</v>
      </c>
      <c r="R490" s="141" t="s">
        <v>1955</v>
      </c>
      <c r="S490" s="142" t="s">
        <v>1953</v>
      </c>
      <c r="T490" s="141" t="s">
        <v>1958</v>
      </c>
      <c r="U490" s="142" t="s">
        <v>1957</v>
      </c>
      <c r="V490" s="142" t="s">
        <v>681</v>
      </c>
      <c r="W490" s="141">
        <f t="shared" si="15"/>
        <v>1</v>
      </c>
      <c r="X490" s="143"/>
      <c r="Y490" s="145"/>
      <c r="AA490"/>
    </row>
    <row r="491" spans="1:27" s="115" customFormat="1" ht="40.5" customHeight="1">
      <c r="A491" s="139">
        <v>466</v>
      </c>
      <c r="B491" s="140" t="s">
        <v>4995</v>
      </c>
      <c r="C491" s="141" t="s">
        <v>1429</v>
      </c>
      <c r="D491" s="142" t="s">
        <v>1430</v>
      </c>
      <c r="E491" s="141" t="s">
        <v>1555</v>
      </c>
      <c r="F491" s="142" t="s">
        <v>1751</v>
      </c>
      <c r="G491" s="141" t="s">
        <v>1952</v>
      </c>
      <c r="H491" s="142" t="s">
        <v>1953</v>
      </c>
      <c r="I491" s="141" t="s">
        <v>1954</v>
      </c>
      <c r="J491" s="142" t="s">
        <v>1957</v>
      </c>
      <c r="K491" s="142" t="s">
        <v>682</v>
      </c>
      <c r="L491" s="143">
        <f t="shared" si="14"/>
        <v>1</v>
      </c>
      <c r="M491" s="144">
        <v>26323</v>
      </c>
      <c r="N491" s="141" t="s">
        <v>1429</v>
      </c>
      <c r="O491" s="142" t="s">
        <v>1430</v>
      </c>
      <c r="P491" s="141" t="s">
        <v>1752</v>
      </c>
      <c r="Q491" s="142" t="s">
        <v>1751</v>
      </c>
      <c r="R491" s="141" t="s">
        <v>1955</v>
      </c>
      <c r="S491" s="142" t="s">
        <v>1953</v>
      </c>
      <c r="T491" s="141" t="s">
        <v>1958</v>
      </c>
      <c r="U491" s="142" t="s">
        <v>1957</v>
      </c>
      <c r="V491" s="142" t="s">
        <v>682</v>
      </c>
      <c r="W491" s="141">
        <f t="shared" si="15"/>
        <v>1</v>
      </c>
      <c r="X491" s="143"/>
      <c r="Y491" s="145"/>
      <c r="AA491"/>
    </row>
    <row r="492" spans="1:27" s="115" customFormat="1" ht="40.5" customHeight="1">
      <c r="A492" s="139">
        <v>467</v>
      </c>
      <c r="B492" s="140" t="s">
        <v>4996</v>
      </c>
      <c r="C492" s="141" t="s">
        <v>1429</v>
      </c>
      <c r="D492" s="142" t="s">
        <v>1430</v>
      </c>
      <c r="E492" s="141" t="s">
        <v>1555</v>
      </c>
      <c r="F492" s="142" t="s">
        <v>1882</v>
      </c>
      <c r="G492" s="141" t="s">
        <v>1952</v>
      </c>
      <c r="H492" s="142" t="s">
        <v>1887</v>
      </c>
      <c r="I492" s="141" t="s">
        <v>1959</v>
      </c>
      <c r="J492" s="142" t="s">
        <v>155</v>
      </c>
      <c r="K492" s="142" t="s">
        <v>155</v>
      </c>
      <c r="L492" s="143">
        <f t="shared" si="14"/>
        <v>1</v>
      </c>
      <c r="M492" s="144">
        <v>29180</v>
      </c>
      <c r="N492" s="141" t="s">
        <v>1429</v>
      </c>
      <c r="O492" s="142" t="s">
        <v>1430</v>
      </c>
      <c r="P492" s="141" t="s">
        <v>1885</v>
      </c>
      <c r="Q492" s="142" t="s">
        <v>1882</v>
      </c>
      <c r="R492" s="141" t="s">
        <v>1886</v>
      </c>
      <c r="S492" s="142" t="s">
        <v>1887</v>
      </c>
      <c r="T492" s="141" t="s">
        <v>1960</v>
      </c>
      <c r="U492" s="142" t="s">
        <v>155</v>
      </c>
      <c r="V492" s="142" t="s">
        <v>155</v>
      </c>
      <c r="W492" s="141">
        <f t="shared" si="15"/>
        <v>2</v>
      </c>
      <c r="X492" s="143">
        <v>1</v>
      </c>
      <c r="Y492" s="145"/>
      <c r="AA492"/>
    </row>
    <row r="493" spans="1:27" s="115" customFormat="1" ht="40.5" customHeight="1">
      <c r="A493" s="139">
        <v>468</v>
      </c>
      <c r="B493" s="140" t="s">
        <v>4997</v>
      </c>
      <c r="C493" s="141" t="s">
        <v>1429</v>
      </c>
      <c r="D493" s="142" t="s">
        <v>1430</v>
      </c>
      <c r="E493" s="141" t="s">
        <v>1555</v>
      </c>
      <c r="F493" s="142" t="s">
        <v>1882</v>
      </c>
      <c r="G493" s="141" t="s">
        <v>1952</v>
      </c>
      <c r="H493" s="142" t="s">
        <v>1887</v>
      </c>
      <c r="I493" s="141" t="s">
        <v>1959</v>
      </c>
      <c r="J493" s="142" t="s">
        <v>155</v>
      </c>
      <c r="K493" s="142" t="s">
        <v>155</v>
      </c>
      <c r="L493" s="143">
        <f t="shared" si="14"/>
        <v>1</v>
      </c>
      <c r="M493" s="144">
        <v>29180</v>
      </c>
      <c r="N493" s="141" t="s">
        <v>1429</v>
      </c>
      <c r="O493" s="142" t="s">
        <v>1430</v>
      </c>
      <c r="P493" s="141" t="s">
        <v>1885</v>
      </c>
      <c r="Q493" s="142" t="s">
        <v>1882</v>
      </c>
      <c r="R493" s="141" t="s">
        <v>1886</v>
      </c>
      <c r="S493" s="142" t="s">
        <v>1887</v>
      </c>
      <c r="T493" s="141" t="s">
        <v>1960</v>
      </c>
      <c r="U493" s="142" t="s">
        <v>155</v>
      </c>
      <c r="V493" s="142" t="s">
        <v>155</v>
      </c>
      <c r="W493" s="141">
        <f t="shared" si="15"/>
        <v>2</v>
      </c>
      <c r="X493" s="143"/>
      <c r="Y493" s="145" t="s">
        <v>1961</v>
      </c>
      <c r="AA493"/>
    </row>
    <row r="494" spans="1:27" s="115" customFormat="1" ht="40.5" customHeight="1">
      <c r="A494" s="139">
        <v>469</v>
      </c>
      <c r="B494" s="140" t="s">
        <v>4998</v>
      </c>
      <c r="C494" s="141" t="s">
        <v>1429</v>
      </c>
      <c r="D494" s="142" t="s">
        <v>1430</v>
      </c>
      <c r="E494" s="141" t="s">
        <v>1962</v>
      </c>
      <c r="F494" s="142" t="s">
        <v>1751</v>
      </c>
      <c r="G494" s="141" t="s">
        <v>1963</v>
      </c>
      <c r="H494" s="142" t="s">
        <v>1964</v>
      </c>
      <c r="I494" s="141" t="s">
        <v>1965</v>
      </c>
      <c r="J494" s="142" t="s">
        <v>1966</v>
      </c>
      <c r="K494" s="142" t="s">
        <v>683</v>
      </c>
      <c r="L494" s="143">
        <f t="shared" si="14"/>
        <v>1</v>
      </c>
      <c r="M494" s="144">
        <v>26294</v>
      </c>
      <c r="N494" s="141" t="s">
        <v>1429</v>
      </c>
      <c r="O494" s="142" t="s">
        <v>1430</v>
      </c>
      <c r="P494" s="141" t="s">
        <v>1752</v>
      </c>
      <c r="Q494" s="142" t="s">
        <v>1751</v>
      </c>
      <c r="R494" s="141" t="s">
        <v>1967</v>
      </c>
      <c r="S494" s="142" t="s">
        <v>1964</v>
      </c>
      <c r="T494" s="141" t="s">
        <v>1968</v>
      </c>
      <c r="U494" s="142" t="s">
        <v>1966</v>
      </c>
      <c r="V494" s="142" t="s">
        <v>683</v>
      </c>
      <c r="W494" s="141">
        <f t="shared" si="15"/>
        <v>1</v>
      </c>
      <c r="X494" s="143"/>
      <c r="Y494" s="145"/>
      <c r="AA494"/>
    </row>
    <row r="495" spans="1:27" s="115" customFormat="1" ht="40.5" customHeight="1">
      <c r="A495" s="139">
        <v>470</v>
      </c>
      <c r="B495" s="140" t="s">
        <v>4999</v>
      </c>
      <c r="C495" s="141" t="s">
        <v>1429</v>
      </c>
      <c r="D495" s="142" t="s">
        <v>1430</v>
      </c>
      <c r="E495" s="141" t="s">
        <v>1962</v>
      </c>
      <c r="F495" s="142" t="s">
        <v>1944</v>
      </c>
      <c r="G495" s="141" t="s">
        <v>1963</v>
      </c>
      <c r="H495" s="142" t="s">
        <v>1969</v>
      </c>
      <c r="I495" s="141" t="s">
        <v>1965</v>
      </c>
      <c r="J495" s="142" t="s">
        <v>1970</v>
      </c>
      <c r="K495" s="142" t="s">
        <v>684</v>
      </c>
      <c r="L495" s="143">
        <f t="shared" si="14"/>
        <v>1</v>
      </c>
      <c r="M495" s="144">
        <v>28111</v>
      </c>
      <c r="N495" s="141" t="s">
        <v>1429</v>
      </c>
      <c r="O495" s="142" t="s">
        <v>1430</v>
      </c>
      <c r="P495" s="141" t="s">
        <v>1870</v>
      </c>
      <c r="Q495" s="142" t="s">
        <v>1944</v>
      </c>
      <c r="R495" s="141" t="s">
        <v>1872</v>
      </c>
      <c r="S495" s="142" t="s">
        <v>1969</v>
      </c>
      <c r="T495" s="141" t="s">
        <v>1874</v>
      </c>
      <c r="U495" s="142" t="s">
        <v>1970</v>
      </c>
      <c r="V495" s="142" t="s">
        <v>684</v>
      </c>
      <c r="W495" s="141">
        <f t="shared" si="15"/>
        <v>1</v>
      </c>
      <c r="X495" s="143"/>
      <c r="Y495" s="145"/>
      <c r="AA495"/>
    </row>
    <row r="496" spans="1:27" s="115" customFormat="1" ht="40.5" customHeight="1">
      <c r="A496" s="139">
        <v>471</v>
      </c>
      <c r="B496" s="140" t="s">
        <v>5000</v>
      </c>
      <c r="C496" s="141" t="s">
        <v>1429</v>
      </c>
      <c r="D496" s="142" t="s">
        <v>1430</v>
      </c>
      <c r="E496" s="141" t="s">
        <v>1962</v>
      </c>
      <c r="F496" s="142" t="s">
        <v>1944</v>
      </c>
      <c r="G496" s="141" t="s">
        <v>1963</v>
      </c>
      <c r="H496" s="142" t="s">
        <v>1969</v>
      </c>
      <c r="I496" s="141" t="s">
        <v>1965</v>
      </c>
      <c r="J496" s="142" t="s">
        <v>1970</v>
      </c>
      <c r="K496" s="142" t="s">
        <v>685</v>
      </c>
      <c r="L496" s="143">
        <f t="shared" si="14"/>
        <v>1</v>
      </c>
      <c r="M496" s="144">
        <v>28112</v>
      </c>
      <c r="N496" s="141" t="s">
        <v>1429</v>
      </c>
      <c r="O496" s="142" t="s">
        <v>1430</v>
      </c>
      <c r="P496" s="141" t="s">
        <v>1870</v>
      </c>
      <c r="Q496" s="142" t="s">
        <v>1944</v>
      </c>
      <c r="R496" s="141" t="s">
        <v>1872</v>
      </c>
      <c r="S496" s="142" t="s">
        <v>1969</v>
      </c>
      <c r="T496" s="141" t="s">
        <v>1874</v>
      </c>
      <c r="U496" s="142" t="s">
        <v>1970</v>
      </c>
      <c r="V496" s="142" t="s">
        <v>685</v>
      </c>
      <c r="W496" s="141">
        <f t="shared" si="15"/>
        <v>1</v>
      </c>
      <c r="X496" s="143"/>
      <c r="Y496" s="145"/>
      <c r="AA496"/>
    </row>
    <row r="497" spans="1:27" s="115" customFormat="1" ht="27" customHeight="1">
      <c r="A497" s="139">
        <v>472</v>
      </c>
      <c r="B497" s="140" t="s">
        <v>5001</v>
      </c>
      <c r="C497" s="141" t="s">
        <v>1429</v>
      </c>
      <c r="D497" s="142" t="s">
        <v>1430</v>
      </c>
      <c r="E497" s="141" t="s">
        <v>1962</v>
      </c>
      <c r="F497" s="142" t="s">
        <v>1944</v>
      </c>
      <c r="G497" s="141" t="s">
        <v>1963</v>
      </c>
      <c r="H497" s="142" t="s">
        <v>1969</v>
      </c>
      <c r="I497" s="141" t="s">
        <v>1965</v>
      </c>
      <c r="J497" s="142" t="s">
        <v>1970</v>
      </c>
      <c r="K497" s="142" t="s">
        <v>686</v>
      </c>
      <c r="L497" s="143">
        <f t="shared" si="14"/>
        <v>1</v>
      </c>
      <c r="M497" s="144">
        <v>28113</v>
      </c>
      <c r="N497" s="141" t="s">
        <v>1429</v>
      </c>
      <c r="O497" s="142" t="s">
        <v>1430</v>
      </c>
      <c r="P497" s="141" t="s">
        <v>1870</v>
      </c>
      <c r="Q497" s="142" t="s">
        <v>1944</v>
      </c>
      <c r="R497" s="141" t="s">
        <v>1872</v>
      </c>
      <c r="S497" s="142" t="s">
        <v>1969</v>
      </c>
      <c r="T497" s="141" t="s">
        <v>1874</v>
      </c>
      <c r="U497" s="142" t="s">
        <v>1970</v>
      </c>
      <c r="V497" s="142" t="s">
        <v>686</v>
      </c>
      <c r="W497" s="141">
        <f t="shared" si="15"/>
        <v>1</v>
      </c>
      <c r="X497" s="143"/>
      <c r="Y497" s="145"/>
      <c r="AA497"/>
    </row>
    <row r="498" spans="1:27" s="115" customFormat="1" ht="27" customHeight="1">
      <c r="A498" s="139">
        <v>473</v>
      </c>
      <c r="B498" s="140" t="s">
        <v>5002</v>
      </c>
      <c r="C498" s="141" t="s">
        <v>1429</v>
      </c>
      <c r="D498" s="142" t="s">
        <v>1430</v>
      </c>
      <c r="E498" s="141" t="s">
        <v>1962</v>
      </c>
      <c r="F498" s="142" t="s">
        <v>1944</v>
      </c>
      <c r="G498" s="141" t="s">
        <v>1963</v>
      </c>
      <c r="H498" s="142" t="s">
        <v>1971</v>
      </c>
      <c r="I498" s="141" t="s">
        <v>1965</v>
      </c>
      <c r="J498" s="142" t="s">
        <v>1970</v>
      </c>
      <c r="K498" s="142" t="s">
        <v>687</v>
      </c>
      <c r="L498" s="143">
        <f t="shared" si="14"/>
        <v>1</v>
      </c>
      <c r="M498" s="144">
        <v>28114</v>
      </c>
      <c r="N498" s="141" t="s">
        <v>1429</v>
      </c>
      <c r="O498" s="142" t="s">
        <v>1430</v>
      </c>
      <c r="P498" s="141" t="s">
        <v>1870</v>
      </c>
      <c r="Q498" s="142" t="s">
        <v>1944</v>
      </c>
      <c r="R498" s="141" t="s">
        <v>1872</v>
      </c>
      <c r="S498" s="142" t="s">
        <v>1969</v>
      </c>
      <c r="T498" s="141" t="s">
        <v>1874</v>
      </c>
      <c r="U498" s="142" t="s">
        <v>1970</v>
      </c>
      <c r="V498" s="142" t="s">
        <v>687</v>
      </c>
      <c r="W498" s="141">
        <f t="shared" si="15"/>
        <v>1</v>
      </c>
      <c r="X498" s="143"/>
      <c r="Y498" s="145"/>
      <c r="AA498"/>
    </row>
    <row r="499" spans="1:27" s="115" customFormat="1" ht="27" customHeight="1">
      <c r="A499" s="139">
        <v>474</v>
      </c>
      <c r="B499" s="140" t="s">
        <v>5003</v>
      </c>
      <c r="C499" s="141" t="s">
        <v>1429</v>
      </c>
      <c r="D499" s="142" t="s">
        <v>1430</v>
      </c>
      <c r="E499" s="141" t="s">
        <v>1962</v>
      </c>
      <c r="F499" s="142" t="s">
        <v>1944</v>
      </c>
      <c r="G499" s="141" t="s">
        <v>1963</v>
      </c>
      <c r="H499" s="142" t="s">
        <v>1969</v>
      </c>
      <c r="I499" s="141" t="s">
        <v>1965</v>
      </c>
      <c r="J499" s="142" t="s">
        <v>1970</v>
      </c>
      <c r="K499" s="142" t="s">
        <v>688</v>
      </c>
      <c r="L499" s="143">
        <f t="shared" si="14"/>
        <v>1</v>
      </c>
      <c r="M499" s="144">
        <v>28119</v>
      </c>
      <c r="N499" s="141" t="s">
        <v>1429</v>
      </c>
      <c r="O499" s="142" t="s">
        <v>1430</v>
      </c>
      <c r="P499" s="141" t="s">
        <v>1870</v>
      </c>
      <c r="Q499" s="142" t="s">
        <v>1944</v>
      </c>
      <c r="R499" s="141" t="s">
        <v>1872</v>
      </c>
      <c r="S499" s="142" t="s">
        <v>1969</v>
      </c>
      <c r="T499" s="141" t="s">
        <v>1874</v>
      </c>
      <c r="U499" s="142" t="s">
        <v>1970</v>
      </c>
      <c r="V499" s="142" t="s">
        <v>688</v>
      </c>
      <c r="W499" s="141">
        <f t="shared" si="15"/>
        <v>1</v>
      </c>
      <c r="X499" s="143"/>
      <c r="Y499" s="145"/>
      <c r="AA499"/>
    </row>
    <row r="500" spans="1:27" s="115" customFormat="1" ht="27" customHeight="1">
      <c r="A500" s="139">
        <v>475</v>
      </c>
      <c r="B500" s="140" t="s">
        <v>5004</v>
      </c>
      <c r="C500" s="141" t="s">
        <v>1429</v>
      </c>
      <c r="D500" s="142" t="s">
        <v>1430</v>
      </c>
      <c r="E500" s="141" t="s">
        <v>1962</v>
      </c>
      <c r="F500" s="142" t="s">
        <v>1944</v>
      </c>
      <c r="G500" s="141" t="s">
        <v>1972</v>
      </c>
      <c r="H500" s="142" t="s">
        <v>1969</v>
      </c>
      <c r="I500" s="141" t="s">
        <v>1973</v>
      </c>
      <c r="J500" s="142" t="s">
        <v>1974</v>
      </c>
      <c r="K500" s="142" t="s">
        <v>689</v>
      </c>
      <c r="L500" s="143">
        <f t="shared" si="14"/>
        <v>1</v>
      </c>
      <c r="M500" s="144">
        <v>28123</v>
      </c>
      <c r="N500" s="141" t="s">
        <v>1429</v>
      </c>
      <c r="O500" s="142" t="s">
        <v>1430</v>
      </c>
      <c r="P500" s="141" t="s">
        <v>1870</v>
      </c>
      <c r="Q500" s="142" t="s">
        <v>1944</v>
      </c>
      <c r="R500" s="141" t="s">
        <v>1872</v>
      </c>
      <c r="S500" s="142" t="s">
        <v>1969</v>
      </c>
      <c r="T500" s="141" t="s">
        <v>1889</v>
      </c>
      <c r="U500" s="142" t="s">
        <v>1974</v>
      </c>
      <c r="V500" s="142" t="s">
        <v>689</v>
      </c>
      <c r="W500" s="141">
        <f t="shared" si="15"/>
        <v>1</v>
      </c>
      <c r="X500" s="143"/>
      <c r="Y500" s="145"/>
      <c r="AA500"/>
    </row>
    <row r="501" spans="1:27" s="115" customFormat="1" ht="27" customHeight="1">
      <c r="A501" s="139">
        <v>476</v>
      </c>
      <c r="B501" s="140" t="s">
        <v>5005</v>
      </c>
      <c r="C501" s="141" t="s">
        <v>1429</v>
      </c>
      <c r="D501" s="142" t="s">
        <v>1430</v>
      </c>
      <c r="E501" s="141" t="s">
        <v>1962</v>
      </c>
      <c r="F501" s="142" t="s">
        <v>1944</v>
      </c>
      <c r="G501" s="141" t="s">
        <v>1972</v>
      </c>
      <c r="H501" s="142" t="s">
        <v>1969</v>
      </c>
      <c r="I501" s="141" t="s">
        <v>1973</v>
      </c>
      <c r="J501" s="142" t="s">
        <v>1974</v>
      </c>
      <c r="K501" s="142" t="s">
        <v>690</v>
      </c>
      <c r="L501" s="143">
        <f t="shared" si="14"/>
        <v>1</v>
      </c>
      <c r="M501" s="144">
        <v>28121</v>
      </c>
      <c r="N501" s="141" t="s">
        <v>1429</v>
      </c>
      <c r="O501" s="142" t="s">
        <v>1430</v>
      </c>
      <c r="P501" s="141" t="s">
        <v>1870</v>
      </c>
      <c r="Q501" s="142" t="s">
        <v>1944</v>
      </c>
      <c r="R501" s="141" t="s">
        <v>1872</v>
      </c>
      <c r="S501" s="142" t="s">
        <v>1969</v>
      </c>
      <c r="T501" s="141" t="s">
        <v>1889</v>
      </c>
      <c r="U501" s="142" t="s">
        <v>1974</v>
      </c>
      <c r="V501" s="142" t="s">
        <v>690</v>
      </c>
      <c r="W501" s="141">
        <f t="shared" si="15"/>
        <v>1</v>
      </c>
      <c r="X501" s="143"/>
      <c r="Y501" s="145"/>
      <c r="AA501"/>
    </row>
    <row r="502" spans="1:27" s="115" customFormat="1" ht="27" customHeight="1">
      <c r="A502" s="139">
        <v>477</v>
      </c>
      <c r="B502" s="140" t="s">
        <v>5006</v>
      </c>
      <c r="C502" s="141" t="s">
        <v>1429</v>
      </c>
      <c r="D502" s="142" t="s">
        <v>1430</v>
      </c>
      <c r="E502" s="141" t="s">
        <v>1962</v>
      </c>
      <c r="F502" s="142" t="s">
        <v>1944</v>
      </c>
      <c r="G502" s="141" t="s">
        <v>1972</v>
      </c>
      <c r="H502" s="142" t="s">
        <v>1969</v>
      </c>
      <c r="I502" s="141" t="s">
        <v>1973</v>
      </c>
      <c r="J502" s="142" t="s">
        <v>1974</v>
      </c>
      <c r="K502" s="142" t="s">
        <v>1975</v>
      </c>
      <c r="L502" s="143">
        <f t="shared" si="14"/>
        <v>1</v>
      </c>
      <c r="M502" s="144">
        <v>28122</v>
      </c>
      <c r="N502" s="141" t="s">
        <v>1429</v>
      </c>
      <c r="O502" s="142" t="s">
        <v>1430</v>
      </c>
      <c r="P502" s="141" t="s">
        <v>1870</v>
      </c>
      <c r="Q502" s="142" t="s">
        <v>1944</v>
      </c>
      <c r="R502" s="141" t="s">
        <v>1872</v>
      </c>
      <c r="S502" s="142" t="s">
        <v>1969</v>
      </c>
      <c r="T502" s="141" t="s">
        <v>1889</v>
      </c>
      <c r="U502" s="142" t="s">
        <v>1974</v>
      </c>
      <c r="V502" s="142" t="s">
        <v>1975</v>
      </c>
      <c r="W502" s="141">
        <f t="shared" si="15"/>
        <v>1</v>
      </c>
      <c r="X502" s="143"/>
      <c r="Y502" s="145"/>
      <c r="AA502"/>
    </row>
    <row r="503" spans="1:27" s="115" customFormat="1" ht="27" customHeight="1">
      <c r="A503" s="139">
        <v>478</v>
      </c>
      <c r="B503" s="140" t="s">
        <v>5007</v>
      </c>
      <c r="C503" s="141" t="s">
        <v>1429</v>
      </c>
      <c r="D503" s="142" t="s">
        <v>1430</v>
      </c>
      <c r="E503" s="141" t="s">
        <v>1962</v>
      </c>
      <c r="F503" s="142" t="s">
        <v>1944</v>
      </c>
      <c r="G503" s="141" t="s">
        <v>1976</v>
      </c>
      <c r="H503" s="142" t="s">
        <v>1977</v>
      </c>
      <c r="I503" s="141" t="s">
        <v>1978</v>
      </c>
      <c r="J503" s="142" t="s">
        <v>1977</v>
      </c>
      <c r="K503" s="142" t="s">
        <v>691</v>
      </c>
      <c r="L503" s="143">
        <f t="shared" si="14"/>
        <v>1</v>
      </c>
      <c r="M503" s="144">
        <v>28302</v>
      </c>
      <c r="N503" s="141" t="s">
        <v>1429</v>
      </c>
      <c r="O503" s="142" t="s">
        <v>1430</v>
      </c>
      <c r="P503" s="141" t="s">
        <v>1870</v>
      </c>
      <c r="Q503" s="142" t="s">
        <v>1944</v>
      </c>
      <c r="R503" s="141" t="s">
        <v>1979</v>
      </c>
      <c r="S503" s="142" t="s">
        <v>1977</v>
      </c>
      <c r="T503" s="141" t="s">
        <v>1980</v>
      </c>
      <c r="U503" s="142" t="s">
        <v>1977</v>
      </c>
      <c r="V503" s="142" t="s">
        <v>691</v>
      </c>
      <c r="W503" s="141">
        <f t="shared" si="15"/>
        <v>1</v>
      </c>
      <c r="X503" s="143"/>
      <c r="Y503" s="145"/>
      <c r="AA503"/>
    </row>
    <row r="504" spans="1:27" s="115" customFormat="1" ht="27" customHeight="1">
      <c r="A504" s="139">
        <v>479</v>
      </c>
      <c r="B504" s="140" t="s">
        <v>5008</v>
      </c>
      <c r="C504" s="141" t="s">
        <v>1429</v>
      </c>
      <c r="D504" s="142" t="s">
        <v>1430</v>
      </c>
      <c r="E504" s="141" t="s">
        <v>1962</v>
      </c>
      <c r="F504" s="142" t="s">
        <v>1944</v>
      </c>
      <c r="G504" s="141" t="s">
        <v>1976</v>
      </c>
      <c r="H504" s="142" t="s">
        <v>1977</v>
      </c>
      <c r="I504" s="141" t="s">
        <v>1978</v>
      </c>
      <c r="J504" s="142" t="s">
        <v>1977</v>
      </c>
      <c r="K504" s="142" t="s">
        <v>156</v>
      </c>
      <c r="L504" s="143">
        <f t="shared" si="14"/>
        <v>1</v>
      </c>
      <c r="M504" s="144">
        <v>28303</v>
      </c>
      <c r="N504" s="141" t="s">
        <v>1429</v>
      </c>
      <c r="O504" s="142" t="s">
        <v>1430</v>
      </c>
      <c r="P504" s="141" t="s">
        <v>1870</v>
      </c>
      <c r="Q504" s="142" t="s">
        <v>1944</v>
      </c>
      <c r="R504" s="141" t="s">
        <v>1979</v>
      </c>
      <c r="S504" s="142" t="s">
        <v>1977</v>
      </c>
      <c r="T504" s="141" t="s">
        <v>1980</v>
      </c>
      <c r="U504" s="142" t="s">
        <v>1977</v>
      </c>
      <c r="V504" s="142" t="s">
        <v>156</v>
      </c>
      <c r="W504" s="141">
        <f t="shared" si="15"/>
        <v>1</v>
      </c>
      <c r="X504" s="143"/>
      <c r="Y504" s="145"/>
      <c r="AA504"/>
    </row>
    <row r="505" spans="1:27" s="115" customFormat="1" ht="27" customHeight="1">
      <c r="A505" s="139">
        <v>480</v>
      </c>
      <c r="B505" s="140" t="s">
        <v>5009</v>
      </c>
      <c r="C505" s="141" t="s">
        <v>1429</v>
      </c>
      <c r="D505" s="142" t="s">
        <v>1430</v>
      </c>
      <c r="E505" s="141" t="s">
        <v>1962</v>
      </c>
      <c r="F505" s="142" t="s">
        <v>1944</v>
      </c>
      <c r="G505" s="141" t="s">
        <v>1976</v>
      </c>
      <c r="H505" s="142" t="s">
        <v>1977</v>
      </c>
      <c r="I505" s="141" t="s">
        <v>1978</v>
      </c>
      <c r="J505" s="142" t="s">
        <v>1977</v>
      </c>
      <c r="K505" s="142" t="s">
        <v>692</v>
      </c>
      <c r="L505" s="143">
        <f t="shared" si="14"/>
        <v>1</v>
      </c>
      <c r="M505" s="144">
        <v>28301</v>
      </c>
      <c r="N505" s="141" t="s">
        <v>1429</v>
      </c>
      <c r="O505" s="142" t="s">
        <v>1430</v>
      </c>
      <c r="P505" s="141" t="s">
        <v>1870</v>
      </c>
      <c r="Q505" s="142" t="s">
        <v>1944</v>
      </c>
      <c r="R505" s="141" t="s">
        <v>1979</v>
      </c>
      <c r="S505" s="142" t="s">
        <v>1977</v>
      </c>
      <c r="T505" s="141" t="s">
        <v>1980</v>
      </c>
      <c r="U505" s="142" t="s">
        <v>1977</v>
      </c>
      <c r="V505" s="142" t="s">
        <v>692</v>
      </c>
      <c r="W505" s="141">
        <f t="shared" si="15"/>
        <v>1</v>
      </c>
      <c r="X505" s="143"/>
      <c r="Y505" s="145"/>
      <c r="AA505"/>
    </row>
    <row r="506" spans="1:27" s="115" customFormat="1" ht="27" customHeight="1">
      <c r="A506" s="139">
        <v>481</v>
      </c>
      <c r="B506" s="140" t="s">
        <v>5010</v>
      </c>
      <c r="C506" s="141" t="s">
        <v>1429</v>
      </c>
      <c r="D506" s="142" t="s">
        <v>1430</v>
      </c>
      <c r="E506" s="141" t="s">
        <v>1962</v>
      </c>
      <c r="F506" s="142" t="s">
        <v>1944</v>
      </c>
      <c r="G506" s="141" t="s">
        <v>1981</v>
      </c>
      <c r="H506" s="142" t="s">
        <v>1982</v>
      </c>
      <c r="I506" s="141" t="s">
        <v>1983</v>
      </c>
      <c r="J506" s="142" t="s">
        <v>1982</v>
      </c>
      <c r="K506" s="142" t="s">
        <v>693</v>
      </c>
      <c r="L506" s="143">
        <f t="shared" si="14"/>
        <v>1</v>
      </c>
      <c r="M506" s="144">
        <v>28202</v>
      </c>
      <c r="N506" s="141" t="s">
        <v>1429</v>
      </c>
      <c r="O506" s="142" t="s">
        <v>1430</v>
      </c>
      <c r="P506" s="141" t="s">
        <v>1870</v>
      </c>
      <c r="Q506" s="142" t="s">
        <v>1944</v>
      </c>
      <c r="R506" s="141" t="s">
        <v>1984</v>
      </c>
      <c r="S506" s="142" t="s">
        <v>1982</v>
      </c>
      <c r="T506" s="141" t="s">
        <v>1985</v>
      </c>
      <c r="U506" s="142" t="s">
        <v>1982</v>
      </c>
      <c r="V506" s="142" t="s">
        <v>693</v>
      </c>
      <c r="W506" s="141">
        <f t="shared" si="15"/>
        <v>1</v>
      </c>
      <c r="X506" s="143"/>
      <c r="Y506" s="145"/>
      <c r="AA506"/>
    </row>
    <row r="507" spans="1:27" s="115" customFormat="1" ht="13.5" customHeight="1">
      <c r="A507" s="139">
        <v>482</v>
      </c>
      <c r="B507" s="140" t="s">
        <v>5011</v>
      </c>
      <c r="C507" s="141" t="s">
        <v>1429</v>
      </c>
      <c r="D507" s="142" t="s">
        <v>1430</v>
      </c>
      <c r="E507" s="141" t="s">
        <v>1962</v>
      </c>
      <c r="F507" s="142" t="s">
        <v>1944</v>
      </c>
      <c r="G507" s="141" t="s">
        <v>1981</v>
      </c>
      <c r="H507" s="142" t="s">
        <v>1982</v>
      </c>
      <c r="I507" s="141" t="s">
        <v>1983</v>
      </c>
      <c r="J507" s="142" t="s">
        <v>1982</v>
      </c>
      <c r="K507" s="142" t="s">
        <v>694</v>
      </c>
      <c r="L507" s="143">
        <f t="shared" si="14"/>
        <v>1</v>
      </c>
      <c r="M507" s="144">
        <v>28201</v>
      </c>
      <c r="N507" s="141" t="s">
        <v>1429</v>
      </c>
      <c r="O507" s="142" t="s">
        <v>1430</v>
      </c>
      <c r="P507" s="141" t="s">
        <v>1870</v>
      </c>
      <c r="Q507" s="142" t="s">
        <v>1944</v>
      </c>
      <c r="R507" s="141" t="s">
        <v>1984</v>
      </c>
      <c r="S507" s="142" t="s">
        <v>1982</v>
      </c>
      <c r="T507" s="141" t="s">
        <v>1985</v>
      </c>
      <c r="U507" s="142" t="s">
        <v>1982</v>
      </c>
      <c r="V507" s="142" t="s">
        <v>694</v>
      </c>
      <c r="W507" s="141">
        <f t="shared" si="15"/>
        <v>1</v>
      </c>
      <c r="X507" s="143"/>
      <c r="Y507" s="145"/>
      <c r="AA507"/>
    </row>
    <row r="508" spans="1:27" s="115" customFormat="1" ht="13.5" customHeight="1">
      <c r="A508" s="139">
        <v>483</v>
      </c>
      <c r="B508" s="140" t="s">
        <v>5012</v>
      </c>
      <c r="C508" s="141" t="s">
        <v>1429</v>
      </c>
      <c r="D508" s="142" t="s">
        <v>1430</v>
      </c>
      <c r="E508" s="141" t="s">
        <v>1962</v>
      </c>
      <c r="F508" s="142" t="s">
        <v>1944</v>
      </c>
      <c r="G508" s="141" t="s">
        <v>1986</v>
      </c>
      <c r="H508" s="142" t="s">
        <v>1987</v>
      </c>
      <c r="I508" s="141" t="s">
        <v>1988</v>
      </c>
      <c r="J508" s="142" t="s">
        <v>1989</v>
      </c>
      <c r="K508" s="142" t="s">
        <v>695</v>
      </c>
      <c r="L508" s="143">
        <f t="shared" si="14"/>
        <v>1</v>
      </c>
      <c r="M508" s="144">
        <v>28422</v>
      </c>
      <c r="N508" s="141" t="s">
        <v>1429</v>
      </c>
      <c r="O508" s="142" t="s">
        <v>1430</v>
      </c>
      <c r="P508" s="141" t="s">
        <v>1870</v>
      </c>
      <c r="Q508" s="142" t="s">
        <v>1944</v>
      </c>
      <c r="R508" s="141" t="s">
        <v>1990</v>
      </c>
      <c r="S508" s="142" t="s">
        <v>1987</v>
      </c>
      <c r="T508" s="141" t="s">
        <v>1991</v>
      </c>
      <c r="U508" s="142" t="s">
        <v>1989</v>
      </c>
      <c r="V508" s="142" t="s">
        <v>695</v>
      </c>
      <c r="W508" s="141">
        <f t="shared" si="15"/>
        <v>1</v>
      </c>
      <c r="X508" s="143"/>
      <c r="Y508" s="145"/>
      <c r="AA508"/>
    </row>
    <row r="509" spans="1:27" s="115" customFormat="1" ht="13.5" customHeight="1">
      <c r="A509" s="139">
        <v>484</v>
      </c>
      <c r="B509" s="140" t="s">
        <v>5013</v>
      </c>
      <c r="C509" s="141" t="s">
        <v>1429</v>
      </c>
      <c r="D509" s="142" t="s">
        <v>1430</v>
      </c>
      <c r="E509" s="141" t="s">
        <v>1962</v>
      </c>
      <c r="F509" s="142" t="s">
        <v>1944</v>
      </c>
      <c r="G509" s="141" t="s">
        <v>1986</v>
      </c>
      <c r="H509" s="142" t="s">
        <v>1987</v>
      </c>
      <c r="I509" s="141" t="s">
        <v>1988</v>
      </c>
      <c r="J509" s="142" t="s">
        <v>1989</v>
      </c>
      <c r="K509" s="142" t="s">
        <v>157</v>
      </c>
      <c r="L509" s="143">
        <f t="shared" si="14"/>
        <v>1</v>
      </c>
      <c r="M509" s="144">
        <v>28423</v>
      </c>
      <c r="N509" s="141" t="s">
        <v>1429</v>
      </c>
      <c r="O509" s="142" t="s">
        <v>1430</v>
      </c>
      <c r="P509" s="141" t="s">
        <v>1870</v>
      </c>
      <c r="Q509" s="142" t="s">
        <v>1944</v>
      </c>
      <c r="R509" s="141" t="s">
        <v>1990</v>
      </c>
      <c r="S509" s="142" t="s">
        <v>1987</v>
      </c>
      <c r="T509" s="141" t="s">
        <v>1991</v>
      </c>
      <c r="U509" s="142" t="s">
        <v>1989</v>
      </c>
      <c r="V509" s="142" t="s">
        <v>157</v>
      </c>
      <c r="W509" s="141">
        <f t="shared" si="15"/>
        <v>1</v>
      </c>
      <c r="X509" s="143"/>
      <c r="Y509" s="145"/>
      <c r="AA509"/>
    </row>
    <row r="510" spans="1:27" s="115" customFormat="1" ht="27" customHeight="1">
      <c r="A510" s="139">
        <v>485</v>
      </c>
      <c r="B510" s="140" t="s">
        <v>5014</v>
      </c>
      <c r="C510" s="141" t="s">
        <v>1429</v>
      </c>
      <c r="D510" s="142" t="s">
        <v>1430</v>
      </c>
      <c r="E510" s="141" t="s">
        <v>1962</v>
      </c>
      <c r="F510" s="142" t="s">
        <v>1944</v>
      </c>
      <c r="G510" s="141" t="s">
        <v>1986</v>
      </c>
      <c r="H510" s="142" t="s">
        <v>1987</v>
      </c>
      <c r="I510" s="141" t="s">
        <v>1988</v>
      </c>
      <c r="J510" s="142" t="s">
        <v>696</v>
      </c>
      <c r="K510" s="142" t="s">
        <v>696</v>
      </c>
      <c r="L510" s="143">
        <f t="shared" si="14"/>
        <v>1</v>
      </c>
      <c r="M510" s="144">
        <v>28410</v>
      </c>
      <c r="N510" s="141" t="s">
        <v>1429</v>
      </c>
      <c r="O510" s="142" t="s">
        <v>1430</v>
      </c>
      <c r="P510" s="141" t="s">
        <v>1870</v>
      </c>
      <c r="Q510" s="142" t="s">
        <v>1944</v>
      </c>
      <c r="R510" s="141" t="s">
        <v>1990</v>
      </c>
      <c r="S510" s="142" t="s">
        <v>1987</v>
      </c>
      <c r="T510" s="141" t="s">
        <v>1992</v>
      </c>
      <c r="U510" s="142" t="s">
        <v>696</v>
      </c>
      <c r="V510" s="142" t="s">
        <v>696</v>
      </c>
      <c r="W510" s="141">
        <f t="shared" si="15"/>
        <v>1</v>
      </c>
      <c r="X510" s="143"/>
      <c r="Y510" s="145"/>
      <c r="AA510"/>
    </row>
    <row r="511" spans="1:27" s="115" customFormat="1" ht="13.5" customHeight="1">
      <c r="A511" s="139">
        <v>486</v>
      </c>
      <c r="B511" s="140" t="s">
        <v>5015</v>
      </c>
      <c r="C511" s="141" t="s">
        <v>1429</v>
      </c>
      <c r="D511" s="142" t="s">
        <v>1430</v>
      </c>
      <c r="E511" s="141" t="s">
        <v>1962</v>
      </c>
      <c r="F511" s="142" t="s">
        <v>1944</v>
      </c>
      <c r="G511" s="141" t="s">
        <v>1986</v>
      </c>
      <c r="H511" s="142" t="s">
        <v>1987</v>
      </c>
      <c r="I511" s="141" t="s">
        <v>1988</v>
      </c>
      <c r="J511" s="142" t="s">
        <v>1989</v>
      </c>
      <c r="K511" s="142" t="s">
        <v>697</v>
      </c>
      <c r="L511" s="143">
        <f t="shared" si="14"/>
        <v>1</v>
      </c>
      <c r="M511" s="144">
        <v>28429</v>
      </c>
      <c r="N511" s="141" t="s">
        <v>1429</v>
      </c>
      <c r="O511" s="142" t="s">
        <v>1430</v>
      </c>
      <c r="P511" s="141" t="s">
        <v>1870</v>
      </c>
      <c r="Q511" s="142" t="s">
        <v>1944</v>
      </c>
      <c r="R511" s="141" t="s">
        <v>1990</v>
      </c>
      <c r="S511" s="142" t="s">
        <v>1987</v>
      </c>
      <c r="T511" s="141" t="s">
        <v>1991</v>
      </c>
      <c r="U511" s="142" t="s">
        <v>1989</v>
      </c>
      <c r="V511" s="142" t="s">
        <v>697</v>
      </c>
      <c r="W511" s="141">
        <f t="shared" si="15"/>
        <v>1</v>
      </c>
      <c r="X511" s="143"/>
      <c r="Y511" s="145"/>
      <c r="AA511"/>
    </row>
    <row r="512" spans="1:27" s="115" customFormat="1" ht="27" customHeight="1">
      <c r="A512" s="139">
        <v>487</v>
      </c>
      <c r="B512" s="140" t="s">
        <v>5016</v>
      </c>
      <c r="C512" s="141" t="s">
        <v>1429</v>
      </c>
      <c r="D512" s="142" t="s">
        <v>1430</v>
      </c>
      <c r="E512" s="141" t="s">
        <v>1962</v>
      </c>
      <c r="F512" s="142" t="s">
        <v>1944</v>
      </c>
      <c r="G512" s="141" t="s">
        <v>1993</v>
      </c>
      <c r="H512" s="142" t="s">
        <v>1994</v>
      </c>
      <c r="I512" s="141" t="s">
        <v>1995</v>
      </c>
      <c r="J512" s="142" t="s">
        <v>1989</v>
      </c>
      <c r="K512" s="142" t="s">
        <v>158</v>
      </c>
      <c r="L512" s="143">
        <f t="shared" si="14"/>
        <v>1</v>
      </c>
      <c r="M512" s="144">
        <v>28421</v>
      </c>
      <c r="N512" s="141" t="s">
        <v>1429</v>
      </c>
      <c r="O512" s="142" t="s">
        <v>1430</v>
      </c>
      <c r="P512" s="141" t="s">
        <v>1870</v>
      </c>
      <c r="Q512" s="142" t="s">
        <v>1944</v>
      </c>
      <c r="R512" s="141" t="s">
        <v>1990</v>
      </c>
      <c r="S512" s="142" t="s">
        <v>1987</v>
      </c>
      <c r="T512" s="141" t="s">
        <v>1991</v>
      </c>
      <c r="U512" s="142" t="s">
        <v>1989</v>
      </c>
      <c r="V512" s="142" t="s">
        <v>158</v>
      </c>
      <c r="W512" s="141">
        <f t="shared" si="15"/>
        <v>1</v>
      </c>
      <c r="X512" s="143"/>
      <c r="Y512" s="145"/>
      <c r="AA512"/>
    </row>
    <row r="513" spans="1:27" s="115" customFormat="1" ht="13.5" customHeight="1">
      <c r="A513" s="139">
        <v>488</v>
      </c>
      <c r="B513" s="140" t="s">
        <v>5017</v>
      </c>
      <c r="C513" s="141" t="s">
        <v>1429</v>
      </c>
      <c r="D513" s="142" t="s">
        <v>1430</v>
      </c>
      <c r="E513" s="141" t="s">
        <v>1962</v>
      </c>
      <c r="F513" s="142" t="s">
        <v>1944</v>
      </c>
      <c r="G513" s="141" t="s">
        <v>1993</v>
      </c>
      <c r="H513" s="142" t="s">
        <v>1996</v>
      </c>
      <c r="I513" s="141" t="s">
        <v>1995</v>
      </c>
      <c r="J513" s="142" t="s">
        <v>1996</v>
      </c>
      <c r="K513" s="142" t="s">
        <v>698</v>
      </c>
      <c r="L513" s="143">
        <f t="shared" si="14"/>
        <v>1</v>
      </c>
      <c r="M513" s="144">
        <v>28909</v>
      </c>
      <c r="N513" s="141" t="s">
        <v>1429</v>
      </c>
      <c r="O513" s="142" t="s">
        <v>1430</v>
      </c>
      <c r="P513" s="141" t="s">
        <v>1870</v>
      </c>
      <c r="Q513" s="142" t="s">
        <v>1944</v>
      </c>
      <c r="R513" s="141" t="s">
        <v>1895</v>
      </c>
      <c r="S513" s="142" t="s">
        <v>1996</v>
      </c>
      <c r="T513" s="141" t="s">
        <v>1997</v>
      </c>
      <c r="U513" s="142" t="s">
        <v>1996</v>
      </c>
      <c r="V513" s="142" t="s">
        <v>698</v>
      </c>
      <c r="W513" s="141">
        <f t="shared" si="15"/>
        <v>1</v>
      </c>
      <c r="X513" s="143"/>
      <c r="Y513" s="145"/>
      <c r="AA513"/>
    </row>
    <row r="514" spans="1:27" s="115" customFormat="1" ht="13.5" customHeight="1">
      <c r="A514" s="139">
        <v>489</v>
      </c>
      <c r="B514" s="140" t="s">
        <v>5018</v>
      </c>
      <c r="C514" s="141" t="s">
        <v>1429</v>
      </c>
      <c r="D514" s="142" t="s">
        <v>1430</v>
      </c>
      <c r="E514" s="141" t="s">
        <v>1962</v>
      </c>
      <c r="F514" s="142" t="s">
        <v>1944</v>
      </c>
      <c r="G514" s="141" t="s">
        <v>1993</v>
      </c>
      <c r="H514" s="142" t="s">
        <v>1998</v>
      </c>
      <c r="I514" s="141" t="s">
        <v>1995</v>
      </c>
      <c r="J514" s="142" t="s">
        <v>1996</v>
      </c>
      <c r="K514" s="142" t="s">
        <v>699</v>
      </c>
      <c r="L514" s="143">
        <f t="shared" si="14"/>
        <v>1</v>
      </c>
      <c r="M514" s="144">
        <v>28901</v>
      </c>
      <c r="N514" s="141" t="s">
        <v>1429</v>
      </c>
      <c r="O514" s="142" t="s">
        <v>1430</v>
      </c>
      <c r="P514" s="141" t="s">
        <v>1870</v>
      </c>
      <c r="Q514" s="142" t="s">
        <v>1944</v>
      </c>
      <c r="R514" s="141" t="s">
        <v>1895</v>
      </c>
      <c r="S514" s="142" t="s">
        <v>1996</v>
      </c>
      <c r="T514" s="141" t="s">
        <v>1997</v>
      </c>
      <c r="U514" s="142" t="s">
        <v>1996</v>
      </c>
      <c r="V514" s="142" t="s">
        <v>699</v>
      </c>
      <c r="W514" s="141">
        <f t="shared" si="15"/>
        <v>1</v>
      </c>
      <c r="X514" s="143"/>
      <c r="Y514" s="145"/>
      <c r="AA514"/>
    </row>
    <row r="515" spans="1:27" s="115" customFormat="1" ht="27" customHeight="1">
      <c r="A515" s="139">
        <v>490</v>
      </c>
      <c r="B515" s="140" t="s">
        <v>5019</v>
      </c>
      <c r="C515" s="141" t="s">
        <v>1429</v>
      </c>
      <c r="D515" s="142" t="s">
        <v>1430</v>
      </c>
      <c r="E515" s="141" t="s">
        <v>1962</v>
      </c>
      <c r="F515" s="142" t="s">
        <v>1944</v>
      </c>
      <c r="G515" s="141" t="s">
        <v>1993</v>
      </c>
      <c r="H515" s="142" t="s">
        <v>1996</v>
      </c>
      <c r="I515" s="141" t="s">
        <v>1995</v>
      </c>
      <c r="J515" s="142" t="s">
        <v>1996</v>
      </c>
      <c r="K515" s="142" t="s">
        <v>700</v>
      </c>
      <c r="L515" s="143">
        <f t="shared" si="14"/>
        <v>1</v>
      </c>
      <c r="M515" s="144">
        <v>28902</v>
      </c>
      <c r="N515" s="141" t="s">
        <v>1429</v>
      </c>
      <c r="O515" s="142" t="s">
        <v>1430</v>
      </c>
      <c r="P515" s="141" t="s">
        <v>1870</v>
      </c>
      <c r="Q515" s="142" t="s">
        <v>1944</v>
      </c>
      <c r="R515" s="141" t="s">
        <v>1895</v>
      </c>
      <c r="S515" s="142" t="s">
        <v>1996</v>
      </c>
      <c r="T515" s="141" t="s">
        <v>1997</v>
      </c>
      <c r="U515" s="142" t="s">
        <v>1996</v>
      </c>
      <c r="V515" s="142" t="s">
        <v>700</v>
      </c>
      <c r="W515" s="141">
        <f t="shared" si="15"/>
        <v>1</v>
      </c>
      <c r="X515" s="143"/>
      <c r="Y515" s="145"/>
      <c r="AA515"/>
    </row>
    <row r="516" spans="1:27" s="115" customFormat="1" ht="27" customHeight="1">
      <c r="A516" s="139">
        <v>491</v>
      </c>
      <c r="B516" s="140" t="s">
        <v>5020</v>
      </c>
      <c r="C516" s="141" t="s">
        <v>1429</v>
      </c>
      <c r="D516" s="142" t="s">
        <v>1430</v>
      </c>
      <c r="E516" s="141" t="s">
        <v>1962</v>
      </c>
      <c r="F516" s="142" t="s">
        <v>1944</v>
      </c>
      <c r="G516" s="141" t="s">
        <v>1993</v>
      </c>
      <c r="H516" s="142" t="s">
        <v>1996</v>
      </c>
      <c r="I516" s="141" t="s">
        <v>1995</v>
      </c>
      <c r="J516" s="142" t="s">
        <v>1996</v>
      </c>
      <c r="K516" s="142" t="s">
        <v>701</v>
      </c>
      <c r="L516" s="143">
        <f t="shared" si="14"/>
        <v>1</v>
      </c>
      <c r="M516" s="144">
        <v>28903</v>
      </c>
      <c r="N516" s="141" t="s">
        <v>1429</v>
      </c>
      <c r="O516" s="142" t="s">
        <v>1430</v>
      </c>
      <c r="P516" s="141" t="s">
        <v>1870</v>
      </c>
      <c r="Q516" s="142" t="s">
        <v>1944</v>
      </c>
      <c r="R516" s="141" t="s">
        <v>1895</v>
      </c>
      <c r="S516" s="142" t="s">
        <v>1996</v>
      </c>
      <c r="T516" s="141" t="s">
        <v>1997</v>
      </c>
      <c r="U516" s="142" t="s">
        <v>1996</v>
      </c>
      <c r="V516" s="142" t="s">
        <v>701</v>
      </c>
      <c r="W516" s="141">
        <f t="shared" si="15"/>
        <v>1</v>
      </c>
      <c r="X516" s="143"/>
      <c r="Y516" s="145"/>
      <c r="AA516"/>
    </row>
    <row r="517" spans="1:27" s="115" customFormat="1" ht="27" customHeight="1">
      <c r="A517" s="139">
        <v>492</v>
      </c>
      <c r="B517" s="140" t="s">
        <v>5021</v>
      </c>
      <c r="C517" s="141" t="s">
        <v>1429</v>
      </c>
      <c r="D517" s="142" t="s">
        <v>1430</v>
      </c>
      <c r="E517" s="141" t="s">
        <v>1999</v>
      </c>
      <c r="F517" s="142" t="s">
        <v>1751</v>
      </c>
      <c r="G517" s="141" t="s">
        <v>2000</v>
      </c>
      <c r="H517" s="142" t="s">
        <v>2001</v>
      </c>
      <c r="I517" s="141" t="s">
        <v>2002</v>
      </c>
      <c r="J517" s="142" t="s">
        <v>2003</v>
      </c>
      <c r="K517" s="142" t="s">
        <v>702</v>
      </c>
      <c r="L517" s="143">
        <f t="shared" ref="L517:L580" si="16">COUNTIF($B$5:$B$1752,B517)</f>
        <v>1</v>
      </c>
      <c r="M517" s="144">
        <v>26129</v>
      </c>
      <c r="N517" s="141" t="s">
        <v>1429</v>
      </c>
      <c r="O517" s="142" t="s">
        <v>1430</v>
      </c>
      <c r="P517" s="141" t="s">
        <v>1752</v>
      </c>
      <c r="Q517" s="142" t="s">
        <v>1751</v>
      </c>
      <c r="R517" s="141" t="s">
        <v>1791</v>
      </c>
      <c r="S517" s="142" t="s">
        <v>2001</v>
      </c>
      <c r="T517" s="141" t="s">
        <v>2004</v>
      </c>
      <c r="U517" s="142" t="s">
        <v>2003</v>
      </c>
      <c r="V517" s="142" t="s">
        <v>702</v>
      </c>
      <c r="W517" s="141">
        <f t="shared" ref="W517:W580" si="17">COUNTIF($M$5:$M$1756,M517)</f>
        <v>1</v>
      </c>
      <c r="X517" s="143"/>
      <c r="Y517" s="145"/>
      <c r="AA517"/>
    </row>
    <row r="518" spans="1:27" s="115" customFormat="1" ht="27" customHeight="1">
      <c r="A518" s="139">
        <v>493</v>
      </c>
      <c r="B518" s="140" t="s">
        <v>6057</v>
      </c>
      <c r="C518" s="141" t="s">
        <v>1429</v>
      </c>
      <c r="D518" s="142" t="s">
        <v>1430</v>
      </c>
      <c r="E518" s="141" t="s">
        <v>1999</v>
      </c>
      <c r="F518" s="142" t="s">
        <v>1751</v>
      </c>
      <c r="G518" s="141" t="s">
        <v>2000</v>
      </c>
      <c r="H518" s="142" t="s">
        <v>1964</v>
      </c>
      <c r="I518" s="141" t="s">
        <v>2002</v>
      </c>
      <c r="J518" s="142" t="s">
        <v>1966</v>
      </c>
      <c r="K518" s="142" t="s">
        <v>703</v>
      </c>
      <c r="L518" s="143">
        <f t="shared" si="16"/>
        <v>1</v>
      </c>
      <c r="M518" s="144">
        <v>26299</v>
      </c>
      <c r="N518" s="141" t="s">
        <v>1429</v>
      </c>
      <c r="O518" s="142" t="s">
        <v>1430</v>
      </c>
      <c r="P518" s="141" t="s">
        <v>1752</v>
      </c>
      <c r="Q518" s="142" t="s">
        <v>1751</v>
      </c>
      <c r="R518" s="141" t="s">
        <v>1967</v>
      </c>
      <c r="S518" s="142" t="s">
        <v>1964</v>
      </c>
      <c r="T518" s="141" t="s">
        <v>1968</v>
      </c>
      <c r="U518" s="142" t="s">
        <v>1966</v>
      </c>
      <c r="V518" s="142" t="s">
        <v>703</v>
      </c>
      <c r="W518" s="141">
        <f t="shared" si="17"/>
        <v>1</v>
      </c>
      <c r="X518" s="143"/>
      <c r="Y518" s="145"/>
      <c r="AA518"/>
    </row>
    <row r="519" spans="1:27" s="115" customFormat="1" ht="27" customHeight="1">
      <c r="A519" s="139">
        <v>494</v>
      </c>
      <c r="B519" s="140" t="s">
        <v>5022</v>
      </c>
      <c r="C519" s="141" t="s">
        <v>1429</v>
      </c>
      <c r="D519" s="142" t="s">
        <v>1430</v>
      </c>
      <c r="E519" s="141" t="s">
        <v>1999</v>
      </c>
      <c r="F519" s="142" t="s">
        <v>1751</v>
      </c>
      <c r="G519" s="141" t="s">
        <v>2000</v>
      </c>
      <c r="H519" s="142" t="s">
        <v>2001</v>
      </c>
      <c r="I519" s="141" t="s">
        <v>2002</v>
      </c>
      <c r="J519" s="142" t="s">
        <v>2005</v>
      </c>
      <c r="K519" s="142" t="s">
        <v>704</v>
      </c>
      <c r="L519" s="143">
        <f t="shared" si="16"/>
        <v>1</v>
      </c>
      <c r="M519" s="144">
        <v>26111</v>
      </c>
      <c r="N519" s="141" t="s">
        <v>1429</v>
      </c>
      <c r="O519" s="142" t="s">
        <v>1430</v>
      </c>
      <c r="P519" s="141" t="s">
        <v>1752</v>
      </c>
      <c r="Q519" s="142" t="s">
        <v>1751</v>
      </c>
      <c r="R519" s="141" t="s">
        <v>1791</v>
      </c>
      <c r="S519" s="142" t="s">
        <v>2001</v>
      </c>
      <c r="T519" s="141" t="s">
        <v>2006</v>
      </c>
      <c r="U519" s="142" t="s">
        <v>2005</v>
      </c>
      <c r="V519" s="142" t="s">
        <v>704</v>
      </c>
      <c r="W519" s="141">
        <f t="shared" si="17"/>
        <v>1</v>
      </c>
      <c r="X519" s="143"/>
      <c r="Y519" s="145"/>
      <c r="AA519"/>
    </row>
    <row r="520" spans="1:27" s="115" customFormat="1" ht="27" customHeight="1">
      <c r="A520" s="139">
        <v>495</v>
      </c>
      <c r="B520" s="140" t="s">
        <v>5023</v>
      </c>
      <c r="C520" s="141" t="s">
        <v>1429</v>
      </c>
      <c r="D520" s="142" t="s">
        <v>1430</v>
      </c>
      <c r="E520" s="141" t="s">
        <v>1999</v>
      </c>
      <c r="F520" s="142" t="s">
        <v>1751</v>
      </c>
      <c r="G520" s="141" t="s">
        <v>2000</v>
      </c>
      <c r="H520" s="142" t="s">
        <v>2001</v>
      </c>
      <c r="I520" s="141" t="s">
        <v>2002</v>
      </c>
      <c r="J520" s="142" t="s">
        <v>2005</v>
      </c>
      <c r="K520" s="142" t="s">
        <v>705</v>
      </c>
      <c r="L520" s="143">
        <f t="shared" si="16"/>
        <v>1</v>
      </c>
      <c r="M520" s="144">
        <v>26112</v>
      </c>
      <c r="N520" s="141" t="s">
        <v>1429</v>
      </c>
      <c r="O520" s="142" t="s">
        <v>1430</v>
      </c>
      <c r="P520" s="141" t="s">
        <v>1752</v>
      </c>
      <c r="Q520" s="142" t="s">
        <v>1751</v>
      </c>
      <c r="R520" s="141" t="s">
        <v>1791</v>
      </c>
      <c r="S520" s="142" t="s">
        <v>2001</v>
      </c>
      <c r="T520" s="141" t="s">
        <v>2006</v>
      </c>
      <c r="U520" s="142" t="s">
        <v>2005</v>
      </c>
      <c r="V520" s="142" t="s">
        <v>705</v>
      </c>
      <c r="W520" s="141">
        <f t="shared" si="17"/>
        <v>1</v>
      </c>
      <c r="X520" s="143"/>
      <c r="Y520" s="145"/>
      <c r="AA520"/>
    </row>
    <row r="521" spans="1:27" s="115" customFormat="1" ht="27" customHeight="1">
      <c r="A521" s="139">
        <v>496</v>
      </c>
      <c r="B521" s="140" t="s">
        <v>5024</v>
      </c>
      <c r="C521" s="141" t="s">
        <v>1429</v>
      </c>
      <c r="D521" s="142" t="s">
        <v>1430</v>
      </c>
      <c r="E521" s="141" t="s">
        <v>1999</v>
      </c>
      <c r="F521" s="142" t="s">
        <v>1751</v>
      </c>
      <c r="G521" s="141" t="s">
        <v>2000</v>
      </c>
      <c r="H521" s="142" t="s">
        <v>2001</v>
      </c>
      <c r="I521" s="141" t="s">
        <v>2002</v>
      </c>
      <c r="J521" s="142" t="s">
        <v>2003</v>
      </c>
      <c r="K521" s="142" t="s">
        <v>706</v>
      </c>
      <c r="L521" s="143">
        <f t="shared" si="16"/>
        <v>1</v>
      </c>
      <c r="M521" s="144">
        <v>26121</v>
      </c>
      <c r="N521" s="141" t="s">
        <v>1429</v>
      </c>
      <c r="O521" s="142" t="s">
        <v>1430</v>
      </c>
      <c r="P521" s="141" t="s">
        <v>1752</v>
      </c>
      <c r="Q521" s="142" t="s">
        <v>1751</v>
      </c>
      <c r="R521" s="141" t="s">
        <v>1791</v>
      </c>
      <c r="S521" s="142" t="s">
        <v>2001</v>
      </c>
      <c r="T521" s="141" t="s">
        <v>2004</v>
      </c>
      <c r="U521" s="142" t="s">
        <v>2003</v>
      </c>
      <c r="V521" s="142" t="s">
        <v>706</v>
      </c>
      <c r="W521" s="141">
        <f t="shared" si="17"/>
        <v>1</v>
      </c>
      <c r="X521" s="143"/>
      <c r="Y521" s="145"/>
      <c r="AA521"/>
    </row>
    <row r="522" spans="1:27" s="115" customFormat="1" ht="27" customHeight="1">
      <c r="A522" s="139">
        <v>497</v>
      </c>
      <c r="B522" s="140" t="s">
        <v>5025</v>
      </c>
      <c r="C522" s="141" t="s">
        <v>1429</v>
      </c>
      <c r="D522" s="142" t="s">
        <v>1430</v>
      </c>
      <c r="E522" s="141" t="s">
        <v>1999</v>
      </c>
      <c r="F522" s="142" t="s">
        <v>1751</v>
      </c>
      <c r="G522" s="141" t="s">
        <v>2000</v>
      </c>
      <c r="H522" s="142" t="s">
        <v>1964</v>
      </c>
      <c r="I522" s="141" t="s">
        <v>2002</v>
      </c>
      <c r="J522" s="142" t="s">
        <v>2007</v>
      </c>
      <c r="K522" s="142" t="s">
        <v>707</v>
      </c>
      <c r="L522" s="143">
        <f t="shared" si="16"/>
        <v>1</v>
      </c>
      <c r="M522" s="144">
        <v>26211</v>
      </c>
      <c r="N522" s="141" t="s">
        <v>1429</v>
      </c>
      <c r="O522" s="142" t="s">
        <v>1430</v>
      </c>
      <c r="P522" s="141" t="s">
        <v>1752</v>
      </c>
      <c r="Q522" s="142" t="s">
        <v>1751</v>
      </c>
      <c r="R522" s="141" t="s">
        <v>1967</v>
      </c>
      <c r="S522" s="142" t="s">
        <v>1964</v>
      </c>
      <c r="T522" s="141" t="s">
        <v>2008</v>
      </c>
      <c r="U522" s="142" t="s">
        <v>2007</v>
      </c>
      <c r="V522" s="142" t="s">
        <v>707</v>
      </c>
      <c r="W522" s="141">
        <f t="shared" si="17"/>
        <v>1</v>
      </c>
      <c r="X522" s="143"/>
      <c r="Y522" s="145"/>
      <c r="AA522"/>
    </row>
    <row r="523" spans="1:27" s="115" customFormat="1" ht="27" customHeight="1">
      <c r="A523" s="139">
        <v>498</v>
      </c>
      <c r="B523" s="140" t="s">
        <v>5026</v>
      </c>
      <c r="C523" s="141" t="s">
        <v>1429</v>
      </c>
      <c r="D523" s="142" t="s">
        <v>1430</v>
      </c>
      <c r="E523" s="141" t="s">
        <v>1999</v>
      </c>
      <c r="F523" s="142" t="s">
        <v>1751</v>
      </c>
      <c r="G523" s="141" t="s">
        <v>2000</v>
      </c>
      <c r="H523" s="142" t="s">
        <v>1964</v>
      </c>
      <c r="I523" s="141" t="s">
        <v>2002</v>
      </c>
      <c r="J523" s="142" t="s">
        <v>2007</v>
      </c>
      <c r="K523" s="142" t="s">
        <v>708</v>
      </c>
      <c r="L523" s="143">
        <f t="shared" si="16"/>
        <v>1</v>
      </c>
      <c r="M523" s="144">
        <v>26212</v>
      </c>
      <c r="N523" s="141" t="s">
        <v>1429</v>
      </c>
      <c r="O523" s="142" t="s">
        <v>1430</v>
      </c>
      <c r="P523" s="141" t="s">
        <v>1752</v>
      </c>
      <c r="Q523" s="142" t="s">
        <v>1751</v>
      </c>
      <c r="R523" s="141" t="s">
        <v>1967</v>
      </c>
      <c r="S523" s="142" t="s">
        <v>1964</v>
      </c>
      <c r="T523" s="141" t="s">
        <v>2008</v>
      </c>
      <c r="U523" s="142" t="s">
        <v>2007</v>
      </c>
      <c r="V523" s="142" t="s">
        <v>708</v>
      </c>
      <c r="W523" s="141">
        <f t="shared" si="17"/>
        <v>1</v>
      </c>
      <c r="X523" s="143"/>
      <c r="Y523" s="145"/>
      <c r="AA523"/>
    </row>
    <row r="524" spans="1:27" s="115" customFormat="1" ht="27" customHeight="1">
      <c r="A524" s="139">
        <v>499</v>
      </c>
      <c r="B524" s="140" t="s">
        <v>5027</v>
      </c>
      <c r="C524" s="141" t="s">
        <v>1429</v>
      </c>
      <c r="D524" s="142" t="s">
        <v>1430</v>
      </c>
      <c r="E524" s="141" t="s">
        <v>1999</v>
      </c>
      <c r="F524" s="142" t="s">
        <v>1751</v>
      </c>
      <c r="G524" s="141" t="s">
        <v>2000</v>
      </c>
      <c r="H524" s="142" t="s">
        <v>1964</v>
      </c>
      <c r="I524" s="141" t="s">
        <v>2002</v>
      </c>
      <c r="J524" s="142" t="s">
        <v>2007</v>
      </c>
      <c r="K524" s="142" t="s">
        <v>709</v>
      </c>
      <c r="L524" s="143">
        <f t="shared" si="16"/>
        <v>1</v>
      </c>
      <c r="M524" s="144">
        <v>26219</v>
      </c>
      <c r="N524" s="141" t="s">
        <v>1429</v>
      </c>
      <c r="O524" s="142" t="s">
        <v>1430</v>
      </c>
      <c r="P524" s="141" t="s">
        <v>1752</v>
      </c>
      <c r="Q524" s="142" t="s">
        <v>1751</v>
      </c>
      <c r="R524" s="141" t="s">
        <v>1967</v>
      </c>
      <c r="S524" s="142" t="s">
        <v>1964</v>
      </c>
      <c r="T524" s="141" t="s">
        <v>2008</v>
      </c>
      <c r="U524" s="142" t="s">
        <v>2007</v>
      </c>
      <c r="V524" s="142" t="s">
        <v>709</v>
      </c>
      <c r="W524" s="141">
        <f t="shared" si="17"/>
        <v>1</v>
      </c>
      <c r="X524" s="143"/>
      <c r="Y524" s="145"/>
      <c r="AA524"/>
    </row>
    <row r="525" spans="1:27" s="115" customFormat="1" ht="27" customHeight="1">
      <c r="A525" s="139">
        <v>500</v>
      </c>
      <c r="B525" s="140" t="s">
        <v>5028</v>
      </c>
      <c r="C525" s="141" t="s">
        <v>1429</v>
      </c>
      <c r="D525" s="142" t="s">
        <v>1430</v>
      </c>
      <c r="E525" s="141" t="s">
        <v>1999</v>
      </c>
      <c r="F525" s="142" t="s">
        <v>1751</v>
      </c>
      <c r="G525" s="141" t="s">
        <v>2000</v>
      </c>
      <c r="H525" s="142" t="s">
        <v>1964</v>
      </c>
      <c r="I525" s="141" t="s">
        <v>2002</v>
      </c>
      <c r="J525" s="142" t="s">
        <v>2009</v>
      </c>
      <c r="K525" s="142" t="s">
        <v>710</v>
      </c>
      <c r="L525" s="143">
        <f t="shared" si="16"/>
        <v>1</v>
      </c>
      <c r="M525" s="144">
        <v>26221</v>
      </c>
      <c r="N525" s="141" t="s">
        <v>1429</v>
      </c>
      <c r="O525" s="142" t="s">
        <v>1430</v>
      </c>
      <c r="P525" s="141" t="s">
        <v>1752</v>
      </c>
      <c r="Q525" s="142" t="s">
        <v>1751</v>
      </c>
      <c r="R525" s="141" t="s">
        <v>1967</v>
      </c>
      <c r="S525" s="142" t="s">
        <v>1964</v>
      </c>
      <c r="T525" s="141" t="s">
        <v>2010</v>
      </c>
      <c r="U525" s="142" t="s">
        <v>2009</v>
      </c>
      <c r="V525" s="142" t="s">
        <v>710</v>
      </c>
      <c r="W525" s="141">
        <f t="shared" si="17"/>
        <v>1</v>
      </c>
      <c r="X525" s="143"/>
      <c r="Y525" s="145"/>
      <c r="AA525"/>
    </row>
    <row r="526" spans="1:27" s="115" customFormat="1" ht="27" customHeight="1">
      <c r="A526" s="139">
        <v>501</v>
      </c>
      <c r="B526" s="140" t="s">
        <v>5029</v>
      </c>
      <c r="C526" s="141" t="s">
        <v>1429</v>
      </c>
      <c r="D526" s="142" t="s">
        <v>1430</v>
      </c>
      <c r="E526" s="141" t="s">
        <v>1999</v>
      </c>
      <c r="F526" s="142" t="s">
        <v>1751</v>
      </c>
      <c r="G526" s="141" t="s">
        <v>2000</v>
      </c>
      <c r="H526" s="142" t="s">
        <v>1964</v>
      </c>
      <c r="I526" s="141" t="s">
        <v>2002</v>
      </c>
      <c r="J526" s="142" t="s">
        <v>2009</v>
      </c>
      <c r="K526" s="142" t="s">
        <v>711</v>
      </c>
      <c r="L526" s="143">
        <f t="shared" si="16"/>
        <v>1</v>
      </c>
      <c r="M526" s="144">
        <v>26222</v>
      </c>
      <c r="N526" s="141" t="s">
        <v>1429</v>
      </c>
      <c r="O526" s="142" t="s">
        <v>1430</v>
      </c>
      <c r="P526" s="141" t="s">
        <v>1752</v>
      </c>
      <c r="Q526" s="142" t="s">
        <v>1751</v>
      </c>
      <c r="R526" s="141" t="s">
        <v>1967</v>
      </c>
      <c r="S526" s="142" t="s">
        <v>1964</v>
      </c>
      <c r="T526" s="141" t="s">
        <v>2010</v>
      </c>
      <c r="U526" s="142" t="s">
        <v>2009</v>
      </c>
      <c r="V526" s="142" t="s">
        <v>711</v>
      </c>
      <c r="W526" s="141">
        <f t="shared" si="17"/>
        <v>1</v>
      </c>
      <c r="X526" s="143"/>
      <c r="Y526" s="145"/>
      <c r="AA526"/>
    </row>
    <row r="527" spans="1:27" s="115" customFormat="1" ht="27" customHeight="1">
      <c r="A527" s="139">
        <v>502</v>
      </c>
      <c r="B527" s="140" t="s">
        <v>5030</v>
      </c>
      <c r="C527" s="141" t="s">
        <v>1429</v>
      </c>
      <c r="D527" s="142" t="s">
        <v>1430</v>
      </c>
      <c r="E527" s="141" t="s">
        <v>1999</v>
      </c>
      <c r="F527" s="142" t="s">
        <v>1751</v>
      </c>
      <c r="G527" s="141" t="s">
        <v>2000</v>
      </c>
      <c r="H527" s="142" t="s">
        <v>1964</v>
      </c>
      <c r="I527" s="141" t="s">
        <v>2002</v>
      </c>
      <c r="J527" s="142" t="s">
        <v>2009</v>
      </c>
      <c r="K527" s="142" t="s">
        <v>712</v>
      </c>
      <c r="L527" s="143">
        <f t="shared" si="16"/>
        <v>1</v>
      </c>
      <c r="M527" s="144">
        <v>26223</v>
      </c>
      <c r="N527" s="141" t="s">
        <v>1429</v>
      </c>
      <c r="O527" s="142" t="s">
        <v>1430</v>
      </c>
      <c r="P527" s="141" t="s">
        <v>1752</v>
      </c>
      <c r="Q527" s="142" t="s">
        <v>1751</v>
      </c>
      <c r="R527" s="141" t="s">
        <v>1967</v>
      </c>
      <c r="S527" s="142" t="s">
        <v>1964</v>
      </c>
      <c r="T527" s="141" t="s">
        <v>2010</v>
      </c>
      <c r="U527" s="142" t="s">
        <v>2009</v>
      </c>
      <c r="V527" s="142" t="s">
        <v>712</v>
      </c>
      <c r="W527" s="141">
        <f t="shared" si="17"/>
        <v>1</v>
      </c>
      <c r="X527" s="143"/>
      <c r="Y527" s="145"/>
      <c r="AA527"/>
    </row>
    <row r="528" spans="1:27" s="115" customFormat="1" ht="27" customHeight="1">
      <c r="A528" s="139">
        <v>503</v>
      </c>
      <c r="B528" s="140" t="s">
        <v>5031</v>
      </c>
      <c r="C528" s="141" t="s">
        <v>1429</v>
      </c>
      <c r="D528" s="142" t="s">
        <v>1430</v>
      </c>
      <c r="E528" s="141" t="s">
        <v>1999</v>
      </c>
      <c r="F528" s="142" t="s">
        <v>1751</v>
      </c>
      <c r="G528" s="141" t="s">
        <v>2000</v>
      </c>
      <c r="H528" s="142" t="s">
        <v>1964</v>
      </c>
      <c r="I528" s="141" t="s">
        <v>2002</v>
      </c>
      <c r="J528" s="142" t="s">
        <v>2009</v>
      </c>
      <c r="K528" s="142" t="s">
        <v>713</v>
      </c>
      <c r="L528" s="143">
        <f t="shared" si="16"/>
        <v>1</v>
      </c>
      <c r="M528" s="144">
        <v>26224</v>
      </c>
      <c r="N528" s="141" t="s">
        <v>1429</v>
      </c>
      <c r="O528" s="142" t="s">
        <v>1430</v>
      </c>
      <c r="P528" s="141" t="s">
        <v>1752</v>
      </c>
      <c r="Q528" s="142" t="s">
        <v>1751</v>
      </c>
      <c r="R528" s="141" t="s">
        <v>1967</v>
      </c>
      <c r="S528" s="142" t="s">
        <v>1964</v>
      </c>
      <c r="T528" s="141" t="s">
        <v>2010</v>
      </c>
      <c r="U528" s="142" t="s">
        <v>2009</v>
      </c>
      <c r="V528" s="142" t="s">
        <v>713</v>
      </c>
      <c r="W528" s="141">
        <f t="shared" si="17"/>
        <v>1</v>
      </c>
      <c r="X528" s="143"/>
      <c r="Y528" s="145"/>
      <c r="AA528"/>
    </row>
    <row r="529" spans="1:27" s="115" customFormat="1" ht="27" customHeight="1">
      <c r="A529" s="139">
        <v>504</v>
      </c>
      <c r="B529" s="140" t="s">
        <v>5032</v>
      </c>
      <c r="C529" s="141" t="s">
        <v>1429</v>
      </c>
      <c r="D529" s="142" t="s">
        <v>1430</v>
      </c>
      <c r="E529" s="141" t="s">
        <v>1999</v>
      </c>
      <c r="F529" s="142" t="s">
        <v>1751</v>
      </c>
      <c r="G529" s="141" t="s">
        <v>2000</v>
      </c>
      <c r="H529" s="142" t="s">
        <v>1964</v>
      </c>
      <c r="I529" s="141" t="s">
        <v>2002</v>
      </c>
      <c r="J529" s="142" t="s">
        <v>1966</v>
      </c>
      <c r="K529" s="142" t="s">
        <v>714</v>
      </c>
      <c r="L529" s="143">
        <f t="shared" si="16"/>
        <v>1</v>
      </c>
      <c r="M529" s="144">
        <v>26291</v>
      </c>
      <c r="N529" s="141" t="s">
        <v>1429</v>
      </c>
      <c r="O529" s="142" t="s">
        <v>1430</v>
      </c>
      <c r="P529" s="141" t="s">
        <v>1752</v>
      </c>
      <c r="Q529" s="142" t="s">
        <v>1751</v>
      </c>
      <c r="R529" s="141" t="s">
        <v>1967</v>
      </c>
      <c r="S529" s="142" t="s">
        <v>1964</v>
      </c>
      <c r="T529" s="141" t="s">
        <v>1968</v>
      </c>
      <c r="U529" s="142" t="s">
        <v>1966</v>
      </c>
      <c r="V529" s="142" t="s">
        <v>714</v>
      </c>
      <c r="W529" s="141">
        <f t="shared" si="17"/>
        <v>1</v>
      </c>
      <c r="X529" s="143"/>
      <c r="Y529" s="145"/>
      <c r="AA529"/>
    </row>
    <row r="530" spans="1:27" s="115" customFormat="1" ht="27" customHeight="1">
      <c r="A530" s="139">
        <v>505</v>
      </c>
      <c r="B530" s="140" t="s">
        <v>5033</v>
      </c>
      <c r="C530" s="141" t="s">
        <v>1429</v>
      </c>
      <c r="D530" s="142" t="s">
        <v>1430</v>
      </c>
      <c r="E530" s="141" t="s">
        <v>1999</v>
      </c>
      <c r="F530" s="142" t="s">
        <v>1751</v>
      </c>
      <c r="G530" s="141" t="s">
        <v>2000</v>
      </c>
      <c r="H530" s="142" t="s">
        <v>1964</v>
      </c>
      <c r="I530" s="141" t="s">
        <v>2002</v>
      </c>
      <c r="J530" s="142" t="s">
        <v>1966</v>
      </c>
      <c r="K530" s="142" t="s">
        <v>715</v>
      </c>
      <c r="L530" s="143">
        <f t="shared" si="16"/>
        <v>1</v>
      </c>
      <c r="M530" s="144">
        <v>26292</v>
      </c>
      <c r="N530" s="141" t="s">
        <v>1429</v>
      </c>
      <c r="O530" s="142" t="s">
        <v>1430</v>
      </c>
      <c r="P530" s="141" t="s">
        <v>1752</v>
      </c>
      <c r="Q530" s="142" t="s">
        <v>1751</v>
      </c>
      <c r="R530" s="141" t="s">
        <v>1967</v>
      </c>
      <c r="S530" s="142" t="s">
        <v>1964</v>
      </c>
      <c r="T530" s="141" t="s">
        <v>1968</v>
      </c>
      <c r="U530" s="142" t="s">
        <v>1966</v>
      </c>
      <c r="V530" s="142" t="s">
        <v>715</v>
      </c>
      <c r="W530" s="141">
        <f t="shared" si="17"/>
        <v>1</v>
      </c>
      <c r="X530" s="143"/>
      <c r="Y530" s="145"/>
      <c r="AA530"/>
    </row>
    <row r="531" spans="1:27" s="115" customFormat="1" ht="27" customHeight="1">
      <c r="A531" s="139">
        <v>506</v>
      </c>
      <c r="B531" s="140" t="s">
        <v>5034</v>
      </c>
      <c r="C531" s="141" t="s">
        <v>1429</v>
      </c>
      <c r="D531" s="142" t="s">
        <v>1430</v>
      </c>
      <c r="E531" s="141" t="s">
        <v>1999</v>
      </c>
      <c r="F531" s="142" t="s">
        <v>1751</v>
      </c>
      <c r="G531" s="141" t="s">
        <v>2000</v>
      </c>
      <c r="H531" s="142" t="s">
        <v>1964</v>
      </c>
      <c r="I531" s="141" t="s">
        <v>2002</v>
      </c>
      <c r="J531" s="142" t="s">
        <v>1966</v>
      </c>
      <c r="K531" s="142" t="s">
        <v>716</v>
      </c>
      <c r="L531" s="143">
        <f t="shared" si="16"/>
        <v>1</v>
      </c>
      <c r="M531" s="144">
        <v>26293</v>
      </c>
      <c r="N531" s="141" t="s">
        <v>1429</v>
      </c>
      <c r="O531" s="142" t="s">
        <v>1430</v>
      </c>
      <c r="P531" s="141" t="s">
        <v>1752</v>
      </c>
      <c r="Q531" s="142" t="s">
        <v>1751</v>
      </c>
      <c r="R531" s="141" t="s">
        <v>1967</v>
      </c>
      <c r="S531" s="142" t="s">
        <v>1964</v>
      </c>
      <c r="T531" s="141" t="s">
        <v>1968</v>
      </c>
      <c r="U531" s="142" t="s">
        <v>1966</v>
      </c>
      <c r="V531" s="142" t="s">
        <v>716</v>
      </c>
      <c r="W531" s="141">
        <f t="shared" si="17"/>
        <v>1</v>
      </c>
      <c r="X531" s="143"/>
      <c r="Y531" s="145"/>
      <c r="AA531"/>
    </row>
    <row r="532" spans="1:27" s="115" customFormat="1" ht="27" customHeight="1">
      <c r="A532" s="139">
        <v>507</v>
      </c>
      <c r="B532" s="140" t="s">
        <v>5035</v>
      </c>
      <c r="C532" s="141" t="s">
        <v>1429</v>
      </c>
      <c r="D532" s="142" t="s">
        <v>1430</v>
      </c>
      <c r="E532" s="141" t="s">
        <v>1999</v>
      </c>
      <c r="F532" s="142" t="s">
        <v>1751</v>
      </c>
      <c r="G532" s="141" t="s">
        <v>2000</v>
      </c>
      <c r="H532" s="142" t="s">
        <v>1964</v>
      </c>
      <c r="I532" s="141" t="s">
        <v>2002</v>
      </c>
      <c r="J532" s="142" t="s">
        <v>1966</v>
      </c>
      <c r="K532" s="142" t="s">
        <v>717</v>
      </c>
      <c r="L532" s="143">
        <f t="shared" si="16"/>
        <v>1</v>
      </c>
      <c r="M532" s="144">
        <v>26295</v>
      </c>
      <c r="N532" s="141" t="s">
        <v>1429</v>
      </c>
      <c r="O532" s="142" t="s">
        <v>1430</v>
      </c>
      <c r="P532" s="141" t="s">
        <v>1752</v>
      </c>
      <c r="Q532" s="142" t="s">
        <v>1751</v>
      </c>
      <c r="R532" s="141" t="s">
        <v>1967</v>
      </c>
      <c r="S532" s="142" t="s">
        <v>1964</v>
      </c>
      <c r="T532" s="141" t="s">
        <v>1968</v>
      </c>
      <c r="U532" s="142" t="s">
        <v>1966</v>
      </c>
      <c r="V532" s="142" t="s">
        <v>717</v>
      </c>
      <c r="W532" s="141">
        <f t="shared" si="17"/>
        <v>1</v>
      </c>
      <c r="X532" s="143"/>
      <c r="Y532" s="145"/>
      <c r="AA532"/>
    </row>
    <row r="533" spans="1:27" s="115" customFormat="1" ht="27" customHeight="1">
      <c r="A533" s="139">
        <v>508</v>
      </c>
      <c r="B533" s="140" t="s">
        <v>5036</v>
      </c>
      <c r="C533" s="141" t="s">
        <v>1429</v>
      </c>
      <c r="D533" s="142" t="s">
        <v>1430</v>
      </c>
      <c r="E533" s="141" t="s">
        <v>1999</v>
      </c>
      <c r="F533" s="142" t="s">
        <v>1751</v>
      </c>
      <c r="G533" s="141" t="s">
        <v>2011</v>
      </c>
      <c r="H533" s="142" t="s">
        <v>2012</v>
      </c>
      <c r="I533" s="141" t="s">
        <v>2013</v>
      </c>
      <c r="J533" s="142" t="s">
        <v>159</v>
      </c>
      <c r="K533" s="142" t="s">
        <v>159</v>
      </c>
      <c r="L533" s="143">
        <f t="shared" si="16"/>
        <v>1</v>
      </c>
      <c r="M533" s="144">
        <v>26410</v>
      </c>
      <c r="N533" s="141" t="s">
        <v>1429</v>
      </c>
      <c r="O533" s="142" t="s">
        <v>1430</v>
      </c>
      <c r="P533" s="141" t="s">
        <v>1752</v>
      </c>
      <c r="Q533" s="142" t="s">
        <v>1751</v>
      </c>
      <c r="R533" s="141" t="s">
        <v>2014</v>
      </c>
      <c r="S533" s="142" t="s">
        <v>2012</v>
      </c>
      <c r="T533" s="141" t="s">
        <v>2015</v>
      </c>
      <c r="U533" s="142" t="s">
        <v>159</v>
      </c>
      <c r="V533" s="142" t="s">
        <v>159</v>
      </c>
      <c r="W533" s="141">
        <f t="shared" si="17"/>
        <v>1</v>
      </c>
      <c r="X533" s="143"/>
      <c r="Y533" s="145"/>
      <c r="AA533"/>
    </row>
    <row r="534" spans="1:27" s="115" customFormat="1" ht="27" customHeight="1">
      <c r="A534" s="139">
        <v>509</v>
      </c>
      <c r="B534" s="140" t="s">
        <v>5037</v>
      </c>
      <c r="C534" s="141" t="s">
        <v>1429</v>
      </c>
      <c r="D534" s="142" t="s">
        <v>1430</v>
      </c>
      <c r="E534" s="141" t="s">
        <v>1999</v>
      </c>
      <c r="F534" s="142" t="s">
        <v>1751</v>
      </c>
      <c r="G534" s="141" t="s">
        <v>2011</v>
      </c>
      <c r="H534" s="142" t="s">
        <v>2012</v>
      </c>
      <c r="I534" s="141" t="s">
        <v>2013</v>
      </c>
      <c r="J534" s="142" t="s">
        <v>2016</v>
      </c>
      <c r="K534" s="142" t="s">
        <v>718</v>
      </c>
      <c r="L534" s="143">
        <f t="shared" si="16"/>
        <v>1</v>
      </c>
      <c r="M534" s="144">
        <v>26421</v>
      </c>
      <c r="N534" s="141" t="s">
        <v>1429</v>
      </c>
      <c r="O534" s="142" t="s">
        <v>1430</v>
      </c>
      <c r="P534" s="141" t="s">
        <v>1752</v>
      </c>
      <c r="Q534" s="142" t="s">
        <v>1751</v>
      </c>
      <c r="R534" s="141" t="s">
        <v>2014</v>
      </c>
      <c r="S534" s="142" t="s">
        <v>2012</v>
      </c>
      <c r="T534" s="141" t="s">
        <v>2017</v>
      </c>
      <c r="U534" s="142" t="s">
        <v>2016</v>
      </c>
      <c r="V534" s="142" t="s">
        <v>718</v>
      </c>
      <c r="W534" s="141">
        <f t="shared" si="17"/>
        <v>1</v>
      </c>
      <c r="X534" s="143"/>
      <c r="Y534" s="145"/>
      <c r="AA534"/>
    </row>
    <row r="535" spans="1:27" s="115" customFormat="1" ht="27" customHeight="1">
      <c r="A535" s="139">
        <v>510</v>
      </c>
      <c r="B535" s="140" t="s">
        <v>5038</v>
      </c>
      <c r="C535" s="141" t="s">
        <v>1429</v>
      </c>
      <c r="D535" s="142" t="s">
        <v>1430</v>
      </c>
      <c r="E535" s="141" t="s">
        <v>1999</v>
      </c>
      <c r="F535" s="142" t="s">
        <v>1751</v>
      </c>
      <c r="G535" s="141" t="s">
        <v>2011</v>
      </c>
      <c r="H535" s="142" t="s">
        <v>2012</v>
      </c>
      <c r="I535" s="141" t="s">
        <v>2013</v>
      </c>
      <c r="J535" s="142" t="s">
        <v>2016</v>
      </c>
      <c r="K535" s="142" t="s">
        <v>719</v>
      </c>
      <c r="L535" s="143">
        <f t="shared" si="16"/>
        <v>1</v>
      </c>
      <c r="M535" s="144">
        <v>26422</v>
      </c>
      <c r="N535" s="141" t="s">
        <v>1429</v>
      </c>
      <c r="O535" s="142" t="s">
        <v>1430</v>
      </c>
      <c r="P535" s="141" t="s">
        <v>1752</v>
      </c>
      <c r="Q535" s="142" t="s">
        <v>1751</v>
      </c>
      <c r="R535" s="141" t="s">
        <v>2014</v>
      </c>
      <c r="S535" s="142" t="s">
        <v>2012</v>
      </c>
      <c r="T535" s="141" t="s">
        <v>2017</v>
      </c>
      <c r="U535" s="142" t="s">
        <v>2016</v>
      </c>
      <c r="V535" s="142" t="s">
        <v>719</v>
      </c>
      <c r="W535" s="141">
        <f t="shared" si="17"/>
        <v>1</v>
      </c>
      <c r="X535" s="143"/>
      <c r="Y535" s="145"/>
      <c r="AA535"/>
    </row>
    <row r="536" spans="1:27" s="115" customFormat="1" ht="27" customHeight="1">
      <c r="A536" s="139">
        <v>511</v>
      </c>
      <c r="B536" s="140" t="s">
        <v>5039</v>
      </c>
      <c r="C536" s="141" t="s">
        <v>1429</v>
      </c>
      <c r="D536" s="142" t="s">
        <v>1430</v>
      </c>
      <c r="E536" s="141" t="s">
        <v>1999</v>
      </c>
      <c r="F536" s="142" t="s">
        <v>1751</v>
      </c>
      <c r="G536" s="141" t="s">
        <v>2011</v>
      </c>
      <c r="H536" s="142" t="s">
        <v>2012</v>
      </c>
      <c r="I536" s="141" t="s">
        <v>2013</v>
      </c>
      <c r="J536" s="142" t="s">
        <v>2016</v>
      </c>
      <c r="K536" s="142" t="s">
        <v>720</v>
      </c>
      <c r="L536" s="143">
        <f t="shared" si="16"/>
        <v>1</v>
      </c>
      <c r="M536" s="144">
        <v>26429</v>
      </c>
      <c r="N536" s="141" t="s">
        <v>1429</v>
      </c>
      <c r="O536" s="142" t="s">
        <v>1430</v>
      </c>
      <c r="P536" s="141" t="s">
        <v>1752</v>
      </c>
      <c r="Q536" s="142" t="s">
        <v>1751</v>
      </c>
      <c r="R536" s="141" t="s">
        <v>2014</v>
      </c>
      <c r="S536" s="142" t="s">
        <v>2012</v>
      </c>
      <c r="T536" s="141" t="s">
        <v>2017</v>
      </c>
      <c r="U536" s="142" t="s">
        <v>2016</v>
      </c>
      <c r="V536" s="142" t="s">
        <v>720</v>
      </c>
      <c r="W536" s="141">
        <f t="shared" si="17"/>
        <v>1</v>
      </c>
      <c r="X536" s="143"/>
      <c r="Y536" s="145"/>
      <c r="AA536"/>
    </row>
    <row r="537" spans="1:27" s="115" customFormat="1" ht="27" customHeight="1">
      <c r="A537" s="139">
        <v>512</v>
      </c>
      <c r="B537" s="140" t="s">
        <v>5040</v>
      </c>
      <c r="C537" s="141" t="s">
        <v>1429</v>
      </c>
      <c r="D537" s="142" t="s">
        <v>1430</v>
      </c>
      <c r="E537" s="141" t="s">
        <v>1999</v>
      </c>
      <c r="F537" s="142" t="s">
        <v>1751</v>
      </c>
      <c r="G537" s="141" t="s">
        <v>2018</v>
      </c>
      <c r="H537" s="142" t="s">
        <v>2019</v>
      </c>
      <c r="I537" s="141" t="s">
        <v>2020</v>
      </c>
      <c r="J537" s="142" t="s">
        <v>2021</v>
      </c>
      <c r="K537" s="142" t="s">
        <v>721</v>
      </c>
      <c r="L537" s="143">
        <f t="shared" si="16"/>
        <v>1</v>
      </c>
      <c r="M537" s="144">
        <v>26519</v>
      </c>
      <c r="N537" s="141" t="s">
        <v>1429</v>
      </c>
      <c r="O537" s="142" t="s">
        <v>1430</v>
      </c>
      <c r="P537" s="141" t="s">
        <v>1752</v>
      </c>
      <c r="Q537" s="142" t="s">
        <v>1751</v>
      </c>
      <c r="R537" s="141" t="s">
        <v>2022</v>
      </c>
      <c r="S537" s="142" t="s">
        <v>2019</v>
      </c>
      <c r="T537" s="141" t="s">
        <v>2023</v>
      </c>
      <c r="U537" s="142" t="s">
        <v>2021</v>
      </c>
      <c r="V537" s="142" t="s">
        <v>721</v>
      </c>
      <c r="W537" s="141">
        <f t="shared" si="17"/>
        <v>1</v>
      </c>
      <c r="X537" s="143"/>
      <c r="Y537" s="145"/>
      <c r="AA537"/>
    </row>
    <row r="538" spans="1:27" s="115" customFormat="1" ht="27" customHeight="1">
      <c r="A538" s="139">
        <v>513</v>
      </c>
      <c r="B538" s="140" t="s">
        <v>5041</v>
      </c>
      <c r="C538" s="141" t="s">
        <v>1429</v>
      </c>
      <c r="D538" s="142" t="s">
        <v>1430</v>
      </c>
      <c r="E538" s="141" t="s">
        <v>1999</v>
      </c>
      <c r="F538" s="142" t="s">
        <v>1751</v>
      </c>
      <c r="G538" s="141" t="s">
        <v>2018</v>
      </c>
      <c r="H538" s="142" t="s">
        <v>2019</v>
      </c>
      <c r="I538" s="141" t="s">
        <v>2020</v>
      </c>
      <c r="J538" s="142" t="s">
        <v>2021</v>
      </c>
      <c r="K538" s="142" t="s">
        <v>722</v>
      </c>
      <c r="L538" s="143">
        <f t="shared" si="16"/>
        <v>1</v>
      </c>
      <c r="M538" s="144">
        <v>26511</v>
      </c>
      <c r="N538" s="141" t="s">
        <v>1429</v>
      </c>
      <c r="O538" s="142" t="s">
        <v>1430</v>
      </c>
      <c r="P538" s="141" t="s">
        <v>1752</v>
      </c>
      <c r="Q538" s="142" t="s">
        <v>1751</v>
      </c>
      <c r="R538" s="141" t="s">
        <v>2022</v>
      </c>
      <c r="S538" s="142" t="s">
        <v>2019</v>
      </c>
      <c r="T538" s="141" t="s">
        <v>2023</v>
      </c>
      <c r="U538" s="142" t="s">
        <v>2021</v>
      </c>
      <c r="V538" s="142" t="s">
        <v>722</v>
      </c>
      <c r="W538" s="141">
        <f t="shared" si="17"/>
        <v>1</v>
      </c>
      <c r="X538" s="143"/>
      <c r="Y538" s="145"/>
      <c r="AA538"/>
    </row>
    <row r="539" spans="1:27" s="115" customFormat="1" ht="27" customHeight="1">
      <c r="A539" s="139">
        <v>514</v>
      </c>
      <c r="B539" s="140" t="s">
        <v>5042</v>
      </c>
      <c r="C539" s="141" t="s">
        <v>1429</v>
      </c>
      <c r="D539" s="142" t="s">
        <v>1430</v>
      </c>
      <c r="E539" s="141" t="s">
        <v>1999</v>
      </c>
      <c r="F539" s="142" t="s">
        <v>1751</v>
      </c>
      <c r="G539" s="141" t="s">
        <v>2018</v>
      </c>
      <c r="H539" s="142" t="s">
        <v>2019</v>
      </c>
      <c r="I539" s="141" t="s">
        <v>2020</v>
      </c>
      <c r="J539" s="142" t="s">
        <v>2024</v>
      </c>
      <c r="K539" s="142" t="s">
        <v>723</v>
      </c>
      <c r="L539" s="143">
        <f t="shared" si="16"/>
        <v>1</v>
      </c>
      <c r="M539" s="144">
        <v>26521</v>
      </c>
      <c r="N539" s="141" t="s">
        <v>1429</v>
      </c>
      <c r="O539" s="142" t="s">
        <v>1430</v>
      </c>
      <c r="P539" s="141" t="s">
        <v>1752</v>
      </c>
      <c r="Q539" s="142" t="s">
        <v>1751</v>
      </c>
      <c r="R539" s="141" t="s">
        <v>2022</v>
      </c>
      <c r="S539" s="142" t="s">
        <v>2019</v>
      </c>
      <c r="T539" s="141" t="s">
        <v>2025</v>
      </c>
      <c r="U539" s="142" t="s">
        <v>2024</v>
      </c>
      <c r="V539" s="142" t="s">
        <v>723</v>
      </c>
      <c r="W539" s="141">
        <f t="shared" si="17"/>
        <v>1</v>
      </c>
      <c r="X539" s="143"/>
      <c r="Y539" s="145"/>
      <c r="AA539"/>
    </row>
    <row r="540" spans="1:27" s="115" customFormat="1" ht="27" customHeight="1">
      <c r="A540" s="139">
        <v>515</v>
      </c>
      <c r="B540" s="140" t="s">
        <v>5043</v>
      </c>
      <c r="C540" s="141" t="s">
        <v>1429</v>
      </c>
      <c r="D540" s="142" t="s">
        <v>1430</v>
      </c>
      <c r="E540" s="141" t="s">
        <v>1999</v>
      </c>
      <c r="F540" s="142" t="s">
        <v>1751</v>
      </c>
      <c r="G540" s="141" t="s">
        <v>2018</v>
      </c>
      <c r="H540" s="142" t="s">
        <v>2026</v>
      </c>
      <c r="I540" s="141" t="s">
        <v>2020</v>
      </c>
      <c r="J540" s="142" t="s">
        <v>2024</v>
      </c>
      <c r="K540" s="142" t="s">
        <v>724</v>
      </c>
      <c r="L540" s="143">
        <f t="shared" si="16"/>
        <v>1</v>
      </c>
      <c r="M540" s="144">
        <v>26529</v>
      </c>
      <c r="N540" s="141" t="s">
        <v>1429</v>
      </c>
      <c r="O540" s="142" t="s">
        <v>1430</v>
      </c>
      <c r="P540" s="141" t="s">
        <v>1752</v>
      </c>
      <c r="Q540" s="142" t="s">
        <v>1751</v>
      </c>
      <c r="R540" s="141" t="s">
        <v>2022</v>
      </c>
      <c r="S540" s="142" t="s">
        <v>2019</v>
      </c>
      <c r="T540" s="141" t="s">
        <v>2025</v>
      </c>
      <c r="U540" s="142" t="s">
        <v>2024</v>
      </c>
      <c r="V540" s="142" t="s">
        <v>724</v>
      </c>
      <c r="W540" s="141">
        <f t="shared" si="17"/>
        <v>1</v>
      </c>
      <c r="X540" s="143"/>
      <c r="Y540" s="145"/>
      <c r="AA540"/>
    </row>
    <row r="541" spans="1:27" s="115" customFormat="1" ht="27" customHeight="1">
      <c r="A541" s="139">
        <v>516</v>
      </c>
      <c r="B541" s="140" t="s">
        <v>5044</v>
      </c>
      <c r="C541" s="141" t="s">
        <v>1429</v>
      </c>
      <c r="D541" s="142" t="s">
        <v>1430</v>
      </c>
      <c r="E541" s="141" t="s">
        <v>2027</v>
      </c>
      <c r="F541" s="142" t="s">
        <v>2028</v>
      </c>
      <c r="G541" s="141" t="s">
        <v>2029</v>
      </c>
      <c r="H541" s="142" t="s">
        <v>2030</v>
      </c>
      <c r="I541" s="141" t="s">
        <v>2031</v>
      </c>
      <c r="J541" s="142" t="s">
        <v>2032</v>
      </c>
      <c r="K541" s="142" t="s">
        <v>725</v>
      </c>
      <c r="L541" s="143">
        <f t="shared" si="16"/>
        <v>1</v>
      </c>
      <c r="M541" s="144">
        <v>27112</v>
      </c>
      <c r="N541" s="141" t="s">
        <v>1429</v>
      </c>
      <c r="O541" s="142" t="s">
        <v>1430</v>
      </c>
      <c r="P541" s="141" t="s">
        <v>1832</v>
      </c>
      <c r="Q541" s="142" t="s">
        <v>2028</v>
      </c>
      <c r="R541" s="141" t="s">
        <v>1834</v>
      </c>
      <c r="S541" s="142" t="s">
        <v>2030</v>
      </c>
      <c r="T541" s="141" t="s">
        <v>1836</v>
      </c>
      <c r="U541" s="142" t="s">
        <v>2032</v>
      </c>
      <c r="V541" s="142" t="s">
        <v>725</v>
      </c>
      <c r="W541" s="141">
        <f t="shared" si="17"/>
        <v>1</v>
      </c>
      <c r="X541" s="143"/>
      <c r="Y541" s="145"/>
      <c r="AA541"/>
    </row>
    <row r="542" spans="1:27" s="115" customFormat="1" ht="27" customHeight="1">
      <c r="A542" s="139">
        <v>517</v>
      </c>
      <c r="B542" s="140" t="s">
        <v>5045</v>
      </c>
      <c r="C542" s="141" t="s">
        <v>1429</v>
      </c>
      <c r="D542" s="142" t="s">
        <v>1430</v>
      </c>
      <c r="E542" s="141" t="s">
        <v>2027</v>
      </c>
      <c r="F542" s="142" t="s">
        <v>2028</v>
      </c>
      <c r="G542" s="141" t="s">
        <v>2029</v>
      </c>
      <c r="H542" s="142" t="s">
        <v>2030</v>
      </c>
      <c r="I542" s="141" t="s">
        <v>2031</v>
      </c>
      <c r="J542" s="142" t="s">
        <v>2033</v>
      </c>
      <c r="K542" s="142" t="s">
        <v>726</v>
      </c>
      <c r="L542" s="143">
        <f t="shared" si="16"/>
        <v>1</v>
      </c>
      <c r="M542" s="144">
        <v>27192</v>
      </c>
      <c r="N542" s="141" t="s">
        <v>1429</v>
      </c>
      <c r="O542" s="142" t="s">
        <v>1430</v>
      </c>
      <c r="P542" s="141" t="s">
        <v>1832</v>
      </c>
      <c r="Q542" s="142" t="s">
        <v>2028</v>
      </c>
      <c r="R542" s="141" t="s">
        <v>1834</v>
      </c>
      <c r="S542" s="142" t="s">
        <v>2030</v>
      </c>
      <c r="T542" s="141" t="s">
        <v>1844</v>
      </c>
      <c r="U542" s="142" t="s">
        <v>2033</v>
      </c>
      <c r="V542" s="142" t="s">
        <v>726</v>
      </c>
      <c r="W542" s="141">
        <f t="shared" si="17"/>
        <v>2</v>
      </c>
      <c r="X542" s="143"/>
      <c r="Y542" s="145" t="s">
        <v>2034</v>
      </c>
      <c r="AA542"/>
    </row>
    <row r="543" spans="1:27" s="115" customFormat="1" ht="27" customHeight="1">
      <c r="A543" s="139">
        <v>518</v>
      </c>
      <c r="B543" s="140" t="s">
        <v>5046</v>
      </c>
      <c r="C543" s="141" t="s">
        <v>1429</v>
      </c>
      <c r="D543" s="142" t="s">
        <v>1430</v>
      </c>
      <c r="E543" s="141" t="s">
        <v>2027</v>
      </c>
      <c r="F543" s="142" t="s">
        <v>2028</v>
      </c>
      <c r="G543" s="141" t="s">
        <v>2029</v>
      </c>
      <c r="H543" s="142" t="s">
        <v>2030</v>
      </c>
      <c r="I543" s="141" t="s">
        <v>2031</v>
      </c>
      <c r="J543" s="142" t="s">
        <v>2033</v>
      </c>
      <c r="K543" s="142" t="s">
        <v>727</v>
      </c>
      <c r="L543" s="143">
        <f t="shared" si="16"/>
        <v>1</v>
      </c>
      <c r="M543" s="144">
        <v>27199</v>
      </c>
      <c r="N543" s="141" t="s">
        <v>1429</v>
      </c>
      <c r="O543" s="142" t="s">
        <v>1430</v>
      </c>
      <c r="P543" s="141" t="s">
        <v>1832</v>
      </c>
      <c r="Q543" s="142" t="s">
        <v>2028</v>
      </c>
      <c r="R543" s="141" t="s">
        <v>1834</v>
      </c>
      <c r="S543" s="142" t="s">
        <v>2030</v>
      </c>
      <c r="T543" s="141" t="s">
        <v>1844</v>
      </c>
      <c r="U543" s="142" t="s">
        <v>2033</v>
      </c>
      <c r="V543" s="142" t="s">
        <v>727</v>
      </c>
      <c r="W543" s="141">
        <f t="shared" si="17"/>
        <v>1</v>
      </c>
      <c r="X543" s="143"/>
      <c r="Y543" s="145"/>
      <c r="AA543"/>
    </row>
    <row r="544" spans="1:27" s="115" customFormat="1" ht="27" customHeight="1">
      <c r="A544" s="139">
        <v>519</v>
      </c>
      <c r="B544" s="140" t="s">
        <v>5047</v>
      </c>
      <c r="C544" s="141" t="s">
        <v>1429</v>
      </c>
      <c r="D544" s="142" t="s">
        <v>1430</v>
      </c>
      <c r="E544" s="141" t="s">
        <v>2027</v>
      </c>
      <c r="F544" s="142" t="s">
        <v>2028</v>
      </c>
      <c r="G544" s="141" t="s">
        <v>2029</v>
      </c>
      <c r="H544" s="142" t="s">
        <v>2030</v>
      </c>
      <c r="I544" s="141" t="s">
        <v>2031</v>
      </c>
      <c r="J544" s="142" t="s">
        <v>2032</v>
      </c>
      <c r="K544" s="142" t="s">
        <v>728</v>
      </c>
      <c r="L544" s="143">
        <f t="shared" si="16"/>
        <v>1</v>
      </c>
      <c r="M544" s="144">
        <v>27111</v>
      </c>
      <c r="N544" s="141" t="s">
        <v>1429</v>
      </c>
      <c r="O544" s="142" t="s">
        <v>1430</v>
      </c>
      <c r="P544" s="141" t="s">
        <v>1832</v>
      </c>
      <c r="Q544" s="142" t="s">
        <v>2028</v>
      </c>
      <c r="R544" s="141" t="s">
        <v>1834</v>
      </c>
      <c r="S544" s="142" t="s">
        <v>2030</v>
      </c>
      <c r="T544" s="141" t="s">
        <v>1836</v>
      </c>
      <c r="U544" s="142" t="s">
        <v>2032</v>
      </c>
      <c r="V544" s="142" t="s">
        <v>728</v>
      </c>
      <c r="W544" s="141">
        <f t="shared" si="17"/>
        <v>1</v>
      </c>
      <c r="X544" s="143"/>
      <c r="Y544" s="145"/>
      <c r="AA544"/>
    </row>
    <row r="545" spans="1:27" s="115" customFormat="1" ht="27" customHeight="1">
      <c r="A545" s="139">
        <v>520</v>
      </c>
      <c r="B545" s="140" t="s">
        <v>5048</v>
      </c>
      <c r="C545" s="141" t="s">
        <v>1429</v>
      </c>
      <c r="D545" s="142" t="s">
        <v>1430</v>
      </c>
      <c r="E545" s="141" t="s">
        <v>2027</v>
      </c>
      <c r="F545" s="142" t="s">
        <v>2028</v>
      </c>
      <c r="G545" s="141" t="s">
        <v>2029</v>
      </c>
      <c r="H545" s="142" t="s">
        <v>2030</v>
      </c>
      <c r="I545" s="141" t="s">
        <v>2031</v>
      </c>
      <c r="J545" s="142" t="s">
        <v>2033</v>
      </c>
      <c r="K545" s="142" t="s">
        <v>729</v>
      </c>
      <c r="L545" s="143">
        <f t="shared" si="16"/>
        <v>1</v>
      </c>
      <c r="M545" s="144">
        <v>27191</v>
      </c>
      <c r="N545" s="141" t="s">
        <v>1429</v>
      </c>
      <c r="O545" s="142" t="s">
        <v>1430</v>
      </c>
      <c r="P545" s="141" t="s">
        <v>1832</v>
      </c>
      <c r="Q545" s="142" t="s">
        <v>2028</v>
      </c>
      <c r="R545" s="141" t="s">
        <v>1834</v>
      </c>
      <c r="S545" s="142" t="s">
        <v>2030</v>
      </c>
      <c r="T545" s="141" t="s">
        <v>1844</v>
      </c>
      <c r="U545" s="142" t="s">
        <v>2033</v>
      </c>
      <c r="V545" s="142" t="s">
        <v>729</v>
      </c>
      <c r="W545" s="141">
        <f t="shared" si="17"/>
        <v>1</v>
      </c>
      <c r="X545" s="143"/>
      <c r="Y545" s="145"/>
      <c r="AA545"/>
    </row>
    <row r="546" spans="1:27" s="115" customFormat="1" ht="27" customHeight="1">
      <c r="A546" s="139">
        <v>521</v>
      </c>
      <c r="B546" s="140" t="s">
        <v>5049</v>
      </c>
      <c r="C546" s="141" t="s">
        <v>1429</v>
      </c>
      <c r="D546" s="142" t="s">
        <v>1430</v>
      </c>
      <c r="E546" s="141" t="s">
        <v>2027</v>
      </c>
      <c r="F546" s="142" t="s">
        <v>2028</v>
      </c>
      <c r="G546" s="141" t="s">
        <v>2029</v>
      </c>
      <c r="H546" s="142" t="s">
        <v>2030</v>
      </c>
      <c r="I546" s="141" t="s">
        <v>2031</v>
      </c>
      <c r="J546" s="142" t="s">
        <v>2033</v>
      </c>
      <c r="K546" s="142" t="s">
        <v>726</v>
      </c>
      <c r="L546" s="143">
        <f t="shared" si="16"/>
        <v>1</v>
      </c>
      <c r="M546" s="144">
        <v>27192</v>
      </c>
      <c r="N546" s="141" t="s">
        <v>1429</v>
      </c>
      <c r="O546" s="142" t="s">
        <v>1430</v>
      </c>
      <c r="P546" s="141" t="s">
        <v>1832</v>
      </c>
      <c r="Q546" s="142" t="s">
        <v>2028</v>
      </c>
      <c r="R546" s="141" t="s">
        <v>1834</v>
      </c>
      <c r="S546" s="142" t="s">
        <v>2030</v>
      </c>
      <c r="T546" s="141" t="s">
        <v>1844</v>
      </c>
      <c r="U546" s="142" t="s">
        <v>2033</v>
      </c>
      <c r="V546" s="142" t="s">
        <v>726</v>
      </c>
      <c r="W546" s="141">
        <f t="shared" si="17"/>
        <v>2</v>
      </c>
      <c r="X546" s="143">
        <v>1</v>
      </c>
      <c r="Y546" s="145"/>
      <c r="AA546"/>
    </row>
    <row r="547" spans="1:27" s="115" customFormat="1" ht="27" customHeight="1">
      <c r="A547" s="139">
        <v>522</v>
      </c>
      <c r="B547" s="140" t="s">
        <v>5050</v>
      </c>
      <c r="C547" s="141" t="s">
        <v>1429</v>
      </c>
      <c r="D547" s="142" t="s">
        <v>1430</v>
      </c>
      <c r="E547" s="141" t="s">
        <v>2027</v>
      </c>
      <c r="F547" s="142" t="s">
        <v>2028</v>
      </c>
      <c r="G547" s="141" t="s">
        <v>2029</v>
      </c>
      <c r="H547" s="142" t="s">
        <v>2030</v>
      </c>
      <c r="I547" s="141" t="s">
        <v>2031</v>
      </c>
      <c r="J547" s="142" t="s">
        <v>2033</v>
      </c>
      <c r="K547" s="142" t="s">
        <v>730</v>
      </c>
      <c r="L547" s="143">
        <f t="shared" si="16"/>
        <v>1</v>
      </c>
      <c r="M547" s="144">
        <v>27194</v>
      </c>
      <c r="N547" s="141" t="s">
        <v>1429</v>
      </c>
      <c r="O547" s="142" t="s">
        <v>1430</v>
      </c>
      <c r="P547" s="141" t="s">
        <v>1832</v>
      </c>
      <c r="Q547" s="142" t="s">
        <v>2028</v>
      </c>
      <c r="R547" s="141" t="s">
        <v>1834</v>
      </c>
      <c r="S547" s="142" t="s">
        <v>2030</v>
      </c>
      <c r="T547" s="141" t="s">
        <v>1844</v>
      </c>
      <c r="U547" s="142" t="s">
        <v>2033</v>
      </c>
      <c r="V547" s="142" t="s">
        <v>730</v>
      </c>
      <c r="W547" s="141">
        <f t="shared" si="17"/>
        <v>1</v>
      </c>
      <c r="X547" s="143"/>
      <c r="Y547" s="145"/>
      <c r="AA547"/>
    </row>
    <row r="548" spans="1:27" s="115" customFormat="1" ht="27" customHeight="1">
      <c r="A548" s="139">
        <v>523</v>
      </c>
      <c r="B548" s="140" t="s">
        <v>5051</v>
      </c>
      <c r="C548" s="141" t="s">
        <v>1429</v>
      </c>
      <c r="D548" s="142" t="s">
        <v>1430</v>
      </c>
      <c r="E548" s="141" t="s">
        <v>2027</v>
      </c>
      <c r="F548" s="142" t="s">
        <v>2028</v>
      </c>
      <c r="G548" s="141" t="s">
        <v>2029</v>
      </c>
      <c r="H548" s="142" t="s">
        <v>2035</v>
      </c>
      <c r="I548" s="141" t="s">
        <v>2036</v>
      </c>
      <c r="J548" s="142" t="s">
        <v>2037</v>
      </c>
      <c r="K548" s="142" t="s">
        <v>731</v>
      </c>
      <c r="L548" s="143">
        <f t="shared" si="16"/>
        <v>1</v>
      </c>
      <c r="M548" s="144">
        <v>27213</v>
      </c>
      <c r="N548" s="141" t="s">
        <v>1429</v>
      </c>
      <c r="O548" s="142" t="s">
        <v>1430</v>
      </c>
      <c r="P548" s="141" t="s">
        <v>1832</v>
      </c>
      <c r="Q548" s="142" t="s">
        <v>2028</v>
      </c>
      <c r="R548" s="141" t="s">
        <v>1846</v>
      </c>
      <c r="S548" s="142" t="s">
        <v>2035</v>
      </c>
      <c r="T548" s="141" t="s">
        <v>1848</v>
      </c>
      <c r="U548" s="142" t="s">
        <v>2037</v>
      </c>
      <c r="V548" s="142" t="s">
        <v>731</v>
      </c>
      <c r="W548" s="141">
        <f t="shared" si="17"/>
        <v>1</v>
      </c>
      <c r="X548" s="143"/>
      <c r="Y548" s="145"/>
      <c r="AA548"/>
    </row>
    <row r="549" spans="1:27" s="115" customFormat="1" ht="27" customHeight="1">
      <c r="A549" s="139">
        <v>524</v>
      </c>
      <c r="B549" s="140" t="s">
        <v>5052</v>
      </c>
      <c r="C549" s="141" t="s">
        <v>1429</v>
      </c>
      <c r="D549" s="142" t="s">
        <v>1430</v>
      </c>
      <c r="E549" s="141" t="s">
        <v>2027</v>
      </c>
      <c r="F549" s="142" t="s">
        <v>2028</v>
      </c>
      <c r="G549" s="141" t="s">
        <v>2029</v>
      </c>
      <c r="H549" s="142" t="s">
        <v>2038</v>
      </c>
      <c r="I549" s="141" t="s">
        <v>2036</v>
      </c>
      <c r="J549" s="142" t="s">
        <v>2037</v>
      </c>
      <c r="K549" s="142" t="s">
        <v>732</v>
      </c>
      <c r="L549" s="143">
        <f t="shared" si="16"/>
        <v>1</v>
      </c>
      <c r="M549" s="144">
        <v>27211</v>
      </c>
      <c r="N549" s="141" t="s">
        <v>1429</v>
      </c>
      <c r="O549" s="142" t="s">
        <v>1430</v>
      </c>
      <c r="P549" s="141" t="s">
        <v>1832</v>
      </c>
      <c r="Q549" s="142" t="s">
        <v>2028</v>
      </c>
      <c r="R549" s="141" t="s">
        <v>1846</v>
      </c>
      <c r="S549" s="142" t="s">
        <v>2035</v>
      </c>
      <c r="T549" s="141" t="s">
        <v>1848</v>
      </c>
      <c r="U549" s="142" t="s">
        <v>2037</v>
      </c>
      <c r="V549" s="142" t="s">
        <v>732</v>
      </c>
      <c r="W549" s="141">
        <f t="shared" si="17"/>
        <v>1</v>
      </c>
      <c r="X549" s="143"/>
      <c r="Y549" s="145"/>
      <c r="AA549"/>
    </row>
    <row r="550" spans="1:27" s="115" customFormat="1" ht="27" customHeight="1">
      <c r="A550" s="139">
        <v>525</v>
      </c>
      <c r="B550" s="140" t="s">
        <v>5053</v>
      </c>
      <c r="C550" s="141" t="s">
        <v>1429</v>
      </c>
      <c r="D550" s="142" t="s">
        <v>1430</v>
      </c>
      <c r="E550" s="141" t="s">
        <v>2027</v>
      </c>
      <c r="F550" s="142" t="s">
        <v>2028</v>
      </c>
      <c r="G550" s="141" t="s">
        <v>2029</v>
      </c>
      <c r="H550" s="142" t="s">
        <v>2035</v>
      </c>
      <c r="I550" s="141" t="s">
        <v>2036</v>
      </c>
      <c r="J550" s="142" t="s">
        <v>2037</v>
      </c>
      <c r="K550" s="142" t="s">
        <v>733</v>
      </c>
      <c r="L550" s="143">
        <f t="shared" si="16"/>
        <v>1</v>
      </c>
      <c r="M550" s="144">
        <v>27212</v>
      </c>
      <c r="N550" s="141" t="s">
        <v>1429</v>
      </c>
      <c r="O550" s="142" t="s">
        <v>1430</v>
      </c>
      <c r="P550" s="141" t="s">
        <v>1832</v>
      </c>
      <c r="Q550" s="142" t="s">
        <v>2028</v>
      </c>
      <c r="R550" s="141" t="s">
        <v>1846</v>
      </c>
      <c r="S550" s="142" t="s">
        <v>2035</v>
      </c>
      <c r="T550" s="141" t="s">
        <v>1848</v>
      </c>
      <c r="U550" s="142" t="s">
        <v>2037</v>
      </c>
      <c r="V550" s="142" t="s">
        <v>733</v>
      </c>
      <c r="W550" s="141">
        <f t="shared" si="17"/>
        <v>1</v>
      </c>
      <c r="X550" s="143"/>
      <c r="Y550" s="145"/>
      <c r="AA550"/>
    </row>
    <row r="551" spans="1:27" s="115" customFormat="1" ht="27" customHeight="1">
      <c r="A551" s="139">
        <v>526</v>
      </c>
      <c r="B551" s="140" t="s">
        <v>5054</v>
      </c>
      <c r="C551" s="141" t="s">
        <v>1429</v>
      </c>
      <c r="D551" s="142" t="s">
        <v>1430</v>
      </c>
      <c r="E551" s="141" t="s">
        <v>2027</v>
      </c>
      <c r="F551" s="142" t="s">
        <v>2028</v>
      </c>
      <c r="G551" s="141" t="s">
        <v>2029</v>
      </c>
      <c r="H551" s="142" t="s">
        <v>2035</v>
      </c>
      <c r="I551" s="141" t="s">
        <v>2036</v>
      </c>
      <c r="J551" s="142" t="s">
        <v>2037</v>
      </c>
      <c r="K551" s="142" t="s">
        <v>734</v>
      </c>
      <c r="L551" s="143">
        <f t="shared" si="16"/>
        <v>1</v>
      </c>
      <c r="M551" s="144">
        <v>27214</v>
      </c>
      <c r="N551" s="141" t="s">
        <v>1429</v>
      </c>
      <c r="O551" s="142" t="s">
        <v>1430</v>
      </c>
      <c r="P551" s="141" t="s">
        <v>1832</v>
      </c>
      <c r="Q551" s="142" t="s">
        <v>2028</v>
      </c>
      <c r="R551" s="141" t="s">
        <v>1846</v>
      </c>
      <c r="S551" s="142" t="s">
        <v>2035</v>
      </c>
      <c r="T551" s="141" t="s">
        <v>1848</v>
      </c>
      <c r="U551" s="142" t="s">
        <v>2037</v>
      </c>
      <c r="V551" s="142" t="s">
        <v>734</v>
      </c>
      <c r="W551" s="141">
        <f t="shared" si="17"/>
        <v>1</v>
      </c>
      <c r="X551" s="143"/>
      <c r="Y551" s="145"/>
      <c r="AA551"/>
    </row>
    <row r="552" spans="1:27" s="115" customFormat="1" ht="27" customHeight="1">
      <c r="A552" s="139">
        <v>527</v>
      </c>
      <c r="B552" s="140" t="s">
        <v>5055</v>
      </c>
      <c r="C552" s="141" t="s">
        <v>1429</v>
      </c>
      <c r="D552" s="142" t="s">
        <v>1430</v>
      </c>
      <c r="E552" s="141" t="s">
        <v>2027</v>
      </c>
      <c r="F552" s="142" t="s">
        <v>2028</v>
      </c>
      <c r="G552" s="141" t="s">
        <v>2029</v>
      </c>
      <c r="H552" s="142" t="s">
        <v>2035</v>
      </c>
      <c r="I552" s="141" t="s">
        <v>2036</v>
      </c>
      <c r="J552" s="142" t="s">
        <v>2037</v>
      </c>
      <c r="K552" s="142" t="s">
        <v>735</v>
      </c>
      <c r="L552" s="143">
        <f t="shared" si="16"/>
        <v>1</v>
      </c>
      <c r="M552" s="144">
        <v>27215</v>
      </c>
      <c r="N552" s="141" t="s">
        <v>1429</v>
      </c>
      <c r="O552" s="142" t="s">
        <v>1430</v>
      </c>
      <c r="P552" s="141" t="s">
        <v>1832</v>
      </c>
      <c r="Q552" s="142" t="s">
        <v>2028</v>
      </c>
      <c r="R552" s="141" t="s">
        <v>1846</v>
      </c>
      <c r="S552" s="142" t="s">
        <v>2035</v>
      </c>
      <c r="T552" s="141" t="s">
        <v>1848</v>
      </c>
      <c r="U552" s="142" t="s">
        <v>2037</v>
      </c>
      <c r="V552" s="142" t="s">
        <v>735</v>
      </c>
      <c r="W552" s="141">
        <f t="shared" si="17"/>
        <v>1</v>
      </c>
      <c r="X552" s="143"/>
      <c r="Y552" s="145"/>
      <c r="AA552"/>
    </row>
    <row r="553" spans="1:27" s="115" customFormat="1" ht="27" customHeight="1">
      <c r="A553" s="139">
        <v>528</v>
      </c>
      <c r="B553" s="140" t="s">
        <v>5056</v>
      </c>
      <c r="C553" s="141" t="s">
        <v>1429</v>
      </c>
      <c r="D553" s="142" t="s">
        <v>1430</v>
      </c>
      <c r="E553" s="141" t="s">
        <v>2027</v>
      </c>
      <c r="F553" s="142" t="s">
        <v>2028</v>
      </c>
      <c r="G553" s="141" t="s">
        <v>2029</v>
      </c>
      <c r="H553" s="142" t="s">
        <v>2035</v>
      </c>
      <c r="I553" s="141" t="s">
        <v>2036</v>
      </c>
      <c r="J553" s="142" t="s">
        <v>2037</v>
      </c>
      <c r="K553" s="142" t="s">
        <v>736</v>
      </c>
      <c r="L553" s="143">
        <f t="shared" si="16"/>
        <v>1</v>
      </c>
      <c r="M553" s="144">
        <v>27219</v>
      </c>
      <c r="N553" s="141" t="s">
        <v>1429</v>
      </c>
      <c r="O553" s="142" t="s">
        <v>1430</v>
      </c>
      <c r="P553" s="141" t="s">
        <v>1832</v>
      </c>
      <c r="Q553" s="142" t="s">
        <v>2028</v>
      </c>
      <c r="R553" s="141" t="s">
        <v>1846</v>
      </c>
      <c r="S553" s="142" t="s">
        <v>2035</v>
      </c>
      <c r="T553" s="141" t="s">
        <v>1848</v>
      </c>
      <c r="U553" s="142" t="s">
        <v>2037</v>
      </c>
      <c r="V553" s="142" t="s">
        <v>736</v>
      </c>
      <c r="W553" s="141">
        <f t="shared" si="17"/>
        <v>1</v>
      </c>
      <c r="X553" s="143"/>
      <c r="Y553" s="145"/>
      <c r="AA553"/>
    </row>
    <row r="554" spans="1:27" s="115" customFormat="1" ht="27" customHeight="1">
      <c r="A554" s="139">
        <v>529</v>
      </c>
      <c r="B554" s="140" t="s">
        <v>5057</v>
      </c>
      <c r="C554" s="141" t="s">
        <v>1429</v>
      </c>
      <c r="D554" s="142" t="s">
        <v>1430</v>
      </c>
      <c r="E554" s="141" t="s">
        <v>2027</v>
      </c>
      <c r="F554" s="142" t="s">
        <v>2028</v>
      </c>
      <c r="G554" s="141" t="s">
        <v>2029</v>
      </c>
      <c r="H554" s="142" t="s">
        <v>2035</v>
      </c>
      <c r="I554" s="141" t="s">
        <v>2039</v>
      </c>
      <c r="J554" s="142" t="s">
        <v>2037</v>
      </c>
      <c r="K554" s="142" t="s">
        <v>737</v>
      </c>
      <c r="L554" s="143">
        <f t="shared" si="16"/>
        <v>1</v>
      </c>
      <c r="M554" s="144">
        <v>27216</v>
      </c>
      <c r="N554" s="141" t="s">
        <v>1429</v>
      </c>
      <c r="O554" s="142" t="s">
        <v>1430</v>
      </c>
      <c r="P554" s="141" t="s">
        <v>1832</v>
      </c>
      <c r="Q554" s="142" t="s">
        <v>2028</v>
      </c>
      <c r="R554" s="141" t="s">
        <v>1846</v>
      </c>
      <c r="S554" s="142" t="s">
        <v>2035</v>
      </c>
      <c r="T554" s="141" t="s">
        <v>1848</v>
      </c>
      <c r="U554" s="142" t="s">
        <v>2037</v>
      </c>
      <c r="V554" s="142" t="s">
        <v>737</v>
      </c>
      <c r="W554" s="141">
        <f t="shared" si="17"/>
        <v>1</v>
      </c>
      <c r="X554" s="143"/>
      <c r="Y554" s="145"/>
      <c r="AA554"/>
    </row>
    <row r="555" spans="1:27" s="115" customFormat="1" ht="27" customHeight="1">
      <c r="A555" s="139">
        <v>530</v>
      </c>
      <c r="B555" s="140" t="s">
        <v>5058</v>
      </c>
      <c r="C555" s="141" t="s">
        <v>1429</v>
      </c>
      <c r="D555" s="142" t="s">
        <v>1430</v>
      </c>
      <c r="E555" s="141" t="s">
        <v>2027</v>
      </c>
      <c r="F555" s="142" t="s">
        <v>2028</v>
      </c>
      <c r="G555" s="141" t="s">
        <v>2040</v>
      </c>
      <c r="H555" s="142" t="s">
        <v>2041</v>
      </c>
      <c r="I555" s="141" t="s">
        <v>2042</v>
      </c>
      <c r="J555" s="142" t="s">
        <v>2033</v>
      </c>
      <c r="K555" s="142" t="s">
        <v>738</v>
      </c>
      <c r="L555" s="143">
        <f t="shared" si="16"/>
        <v>1</v>
      </c>
      <c r="M555" s="144">
        <v>27193</v>
      </c>
      <c r="N555" s="141" t="s">
        <v>1429</v>
      </c>
      <c r="O555" s="142" t="s">
        <v>1430</v>
      </c>
      <c r="P555" s="141" t="s">
        <v>1832</v>
      </c>
      <c r="Q555" s="142" t="s">
        <v>2028</v>
      </c>
      <c r="R555" s="141" t="s">
        <v>1834</v>
      </c>
      <c r="S555" s="142" t="s">
        <v>2030</v>
      </c>
      <c r="T555" s="141" t="s">
        <v>1844</v>
      </c>
      <c r="U555" s="142" t="s">
        <v>2033</v>
      </c>
      <c r="V555" s="142" t="s">
        <v>738</v>
      </c>
      <c r="W555" s="141">
        <f t="shared" si="17"/>
        <v>2</v>
      </c>
      <c r="X555" s="143">
        <v>1</v>
      </c>
      <c r="Y555" s="145"/>
      <c r="AA555"/>
    </row>
    <row r="556" spans="1:27" s="115" customFormat="1" ht="27" customHeight="1">
      <c r="A556" s="139">
        <v>531</v>
      </c>
      <c r="B556" s="140" t="s">
        <v>5059</v>
      </c>
      <c r="C556" s="141" t="s">
        <v>1429</v>
      </c>
      <c r="D556" s="142" t="s">
        <v>1430</v>
      </c>
      <c r="E556" s="141" t="s">
        <v>2027</v>
      </c>
      <c r="F556" s="142" t="s">
        <v>2028</v>
      </c>
      <c r="G556" s="141" t="s">
        <v>2040</v>
      </c>
      <c r="H556" s="142" t="s">
        <v>2043</v>
      </c>
      <c r="I556" s="141" t="s">
        <v>2042</v>
      </c>
      <c r="J556" s="142" t="s">
        <v>2044</v>
      </c>
      <c r="K556" s="142" t="s">
        <v>739</v>
      </c>
      <c r="L556" s="143">
        <f t="shared" si="16"/>
        <v>1</v>
      </c>
      <c r="M556" s="144">
        <v>27302</v>
      </c>
      <c r="N556" s="141" t="s">
        <v>1429</v>
      </c>
      <c r="O556" s="142" t="s">
        <v>1430</v>
      </c>
      <c r="P556" s="141" t="s">
        <v>1832</v>
      </c>
      <c r="Q556" s="142" t="s">
        <v>2028</v>
      </c>
      <c r="R556" s="141" t="s">
        <v>1862</v>
      </c>
      <c r="S556" s="142" t="s">
        <v>2043</v>
      </c>
      <c r="T556" s="141" t="s">
        <v>2045</v>
      </c>
      <c r="U556" s="142" t="s">
        <v>2044</v>
      </c>
      <c r="V556" s="142" t="s">
        <v>739</v>
      </c>
      <c r="W556" s="141">
        <f t="shared" si="17"/>
        <v>1</v>
      </c>
      <c r="X556" s="143"/>
      <c r="Y556" s="145"/>
      <c r="AA556"/>
    </row>
    <row r="557" spans="1:27" s="115" customFormat="1" ht="27" customHeight="1">
      <c r="A557" s="139">
        <v>532</v>
      </c>
      <c r="B557" s="140" t="s">
        <v>5060</v>
      </c>
      <c r="C557" s="141" t="s">
        <v>1429</v>
      </c>
      <c r="D557" s="142" t="s">
        <v>1430</v>
      </c>
      <c r="E557" s="141" t="s">
        <v>2027</v>
      </c>
      <c r="F557" s="142" t="s">
        <v>2028</v>
      </c>
      <c r="G557" s="141" t="s">
        <v>2040</v>
      </c>
      <c r="H557" s="142" t="s">
        <v>2030</v>
      </c>
      <c r="I557" s="141" t="s">
        <v>2042</v>
      </c>
      <c r="J557" s="142" t="s">
        <v>2033</v>
      </c>
      <c r="K557" s="142" t="s">
        <v>738</v>
      </c>
      <c r="L557" s="143">
        <f t="shared" si="16"/>
        <v>1</v>
      </c>
      <c r="M557" s="144">
        <v>27193</v>
      </c>
      <c r="N557" s="141" t="s">
        <v>1429</v>
      </c>
      <c r="O557" s="142" t="s">
        <v>1430</v>
      </c>
      <c r="P557" s="141" t="s">
        <v>1832</v>
      </c>
      <c r="Q557" s="142" t="s">
        <v>2028</v>
      </c>
      <c r="R557" s="141" t="s">
        <v>1834</v>
      </c>
      <c r="S557" s="142" t="s">
        <v>2030</v>
      </c>
      <c r="T557" s="141" t="s">
        <v>1844</v>
      </c>
      <c r="U557" s="142" t="s">
        <v>2033</v>
      </c>
      <c r="V557" s="142" t="s">
        <v>738</v>
      </c>
      <c r="W557" s="141">
        <f t="shared" si="17"/>
        <v>2</v>
      </c>
      <c r="X557" s="143"/>
      <c r="Y557" s="145" t="s">
        <v>2046</v>
      </c>
      <c r="AA557"/>
    </row>
    <row r="558" spans="1:27" s="115" customFormat="1" ht="27" customHeight="1">
      <c r="A558" s="139">
        <v>533</v>
      </c>
      <c r="B558" s="140" t="s">
        <v>5061</v>
      </c>
      <c r="C558" s="141" t="s">
        <v>1429</v>
      </c>
      <c r="D558" s="142" t="s">
        <v>1430</v>
      </c>
      <c r="E558" s="141" t="s">
        <v>2027</v>
      </c>
      <c r="F558" s="142" t="s">
        <v>2028</v>
      </c>
      <c r="G558" s="141" t="s">
        <v>2040</v>
      </c>
      <c r="H558" s="142" t="s">
        <v>2043</v>
      </c>
      <c r="I558" s="141" t="s">
        <v>2042</v>
      </c>
      <c r="J558" s="142" t="s">
        <v>2044</v>
      </c>
      <c r="K558" s="142" t="s">
        <v>740</v>
      </c>
      <c r="L558" s="143">
        <f t="shared" si="16"/>
        <v>1</v>
      </c>
      <c r="M558" s="144">
        <v>27301</v>
      </c>
      <c r="N558" s="141" t="s">
        <v>1429</v>
      </c>
      <c r="O558" s="142" t="s">
        <v>1430</v>
      </c>
      <c r="P558" s="141" t="s">
        <v>1832</v>
      </c>
      <c r="Q558" s="142" t="s">
        <v>2028</v>
      </c>
      <c r="R558" s="141" t="s">
        <v>1862</v>
      </c>
      <c r="S558" s="142" t="s">
        <v>2043</v>
      </c>
      <c r="T558" s="141" t="s">
        <v>2045</v>
      </c>
      <c r="U558" s="142" t="s">
        <v>2044</v>
      </c>
      <c r="V558" s="142" t="s">
        <v>740</v>
      </c>
      <c r="W558" s="141">
        <f t="shared" si="17"/>
        <v>1</v>
      </c>
      <c r="X558" s="143"/>
      <c r="Y558" s="145"/>
      <c r="AA558"/>
    </row>
    <row r="559" spans="1:27" s="115" customFormat="1" ht="27" customHeight="1">
      <c r="A559" s="139">
        <v>534</v>
      </c>
      <c r="B559" s="140" t="s">
        <v>5062</v>
      </c>
      <c r="C559" s="141" t="s">
        <v>1429</v>
      </c>
      <c r="D559" s="142" t="s">
        <v>1430</v>
      </c>
      <c r="E559" s="141" t="s">
        <v>2027</v>
      </c>
      <c r="F559" s="142" t="s">
        <v>2028</v>
      </c>
      <c r="G559" s="141" t="s">
        <v>2040</v>
      </c>
      <c r="H559" s="142" t="s">
        <v>2047</v>
      </c>
      <c r="I559" s="141" t="s">
        <v>2042</v>
      </c>
      <c r="J559" s="142" t="s">
        <v>2044</v>
      </c>
      <c r="K559" s="142" t="s">
        <v>741</v>
      </c>
      <c r="L559" s="143">
        <f t="shared" si="16"/>
        <v>1</v>
      </c>
      <c r="M559" s="144">
        <v>27309</v>
      </c>
      <c r="N559" s="141" t="s">
        <v>1429</v>
      </c>
      <c r="O559" s="142" t="s">
        <v>1430</v>
      </c>
      <c r="P559" s="141" t="s">
        <v>1832</v>
      </c>
      <c r="Q559" s="142" t="s">
        <v>2028</v>
      </c>
      <c r="R559" s="141" t="s">
        <v>1862</v>
      </c>
      <c r="S559" s="142" t="s">
        <v>2043</v>
      </c>
      <c r="T559" s="141" t="s">
        <v>2045</v>
      </c>
      <c r="U559" s="142" t="s">
        <v>2044</v>
      </c>
      <c r="V559" s="142" t="s">
        <v>741</v>
      </c>
      <c r="W559" s="141">
        <f t="shared" si="17"/>
        <v>1</v>
      </c>
      <c r="X559" s="143"/>
      <c r="Y559" s="145"/>
      <c r="AA559"/>
    </row>
    <row r="560" spans="1:27" s="115" customFormat="1" ht="27" customHeight="1">
      <c r="A560" s="139">
        <v>535</v>
      </c>
      <c r="B560" s="140" t="s">
        <v>5063</v>
      </c>
      <c r="C560" s="141" t="s">
        <v>1429</v>
      </c>
      <c r="D560" s="142" t="s">
        <v>1430</v>
      </c>
      <c r="E560" s="141" t="s">
        <v>2027</v>
      </c>
      <c r="F560" s="142" t="s">
        <v>2028</v>
      </c>
      <c r="G560" s="141" t="s">
        <v>2048</v>
      </c>
      <c r="H560" s="142" t="s">
        <v>742</v>
      </c>
      <c r="I560" s="141" t="s">
        <v>2049</v>
      </c>
      <c r="J560" s="142" t="s">
        <v>742</v>
      </c>
      <c r="K560" s="142" t="s">
        <v>742</v>
      </c>
      <c r="L560" s="143">
        <f t="shared" si="16"/>
        <v>1</v>
      </c>
      <c r="M560" s="144">
        <v>27400</v>
      </c>
      <c r="N560" s="141" t="s">
        <v>1429</v>
      </c>
      <c r="O560" s="142" t="s">
        <v>1430</v>
      </c>
      <c r="P560" s="141" t="s">
        <v>1832</v>
      </c>
      <c r="Q560" s="142" t="s">
        <v>2028</v>
      </c>
      <c r="R560" s="141" t="s">
        <v>2050</v>
      </c>
      <c r="S560" s="142" t="s">
        <v>742</v>
      </c>
      <c r="T560" s="141" t="s">
        <v>2051</v>
      </c>
      <c r="U560" s="142" t="s">
        <v>742</v>
      </c>
      <c r="V560" s="142" t="s">
        <v>742</v>
      </c>
      <c r="W560" s="141">
        <f t="shared" si="17"/>
        <v>1</v>
      </c>
      <c r="X560" s="143"/>
      <c r="Y560" s="145"/>
      <c r="AA560"/>
    </row>
    <row r="561" spans="1:27" s="115" customFormat="1" ht="27" customHeight="1">
      <c r="A561" s="139">
        <v>536</v>
      </c>
      <c r="B561" s="140" t="s">
        <v>5064</v>
      </c>
      <c r="C561" s="141" t="s">
        <v>1429</v>
      </c>
      <c r="D561" s="142" t="s">
        <v>1430</v>
      </c>
      <c r="E561" s="141" t="s">
        <v>2052</v>
      </c>
      <c r="F561" s="142" t="s">
        <v>1552</v>
      </c>
      <c r="G561" s="141" t="s">
        <v>2053</v>
      </c>
      <c r="H561" s="142" t="s">
        <v>2054</v>
      </c>
      <c r="I561" s="141" t="s">
        <v>2055</v>
      </c>
      <c r="J561" s="142" t="s">
        <v>2056</v>
      </c>
      <c r="K561" s="142" t="s">
        <v>743</v>
      </c>
      <c r="L561" s="143">
        <f t="shared" si="16"/>
        <v>1</v>
      </c>
      <c r="M561" s="144">
        <v>30122</v>
      </c>
      <c r="N561" s="141" t="s">
        <v>1429</v>
      </c>
      <c r="O561" s="142" t="s">
        <v>1430</v>
      </c>
      <c r="P561" s="141" t="s">
        <v>1555</v>
      </c>
      <c r="Q561" s="142" t="s">
        <v>1552</v>
      </c>
      <c r="R561" s="141" t="s">
        <v>2057</v>
      </c>
      <c r="S561" s="142" t="s">
        <v>2054</v>
      </c>
      <c r="T561" s="141" t="s">
        <v>2058</v>
      </c>
      <c r="U561" s="142" t="s">
        <v>2056</v>
      </c>
      <c r="V561" s="142" t="s">
        <v>743</v>
      </c>
      <c r="W561" s="141">
        <f t="shared" si="17"/>
        <v>1</v>
      </c>
      <c r="X561" s="143"/>
      <c r="Y561" s="145"/>
      <c r="AA561"/>
    </row>
    <row r="562" spans="1:27" s="115" customFormat="1" ht="27" customHeight="1">
      <c r="A562" s="139">
        <v>537</v>
      </c>
      <c r="B562" s="140" t="s">
        <v>5065</v>
      </c>
      <c r="C562" s="141" t="s">
        <v>1429</v>
      </c>
      <c r="D562" s="142" t="s">
        <v>1430</v>
      </c>
      <c r="E562" s="141" t="s">
        <v>2052</v>
      </c>
      <c r="F562" s="142" t="s">
        <v>1552</v>
      </c>
      <c r="G562" s="141" t="s">
        <v>2053</v>
      </c>
      <c r="H562" s="142" t="s">
        <v>2054</v>
      </c>
      <c r="I562" s="141" t="s">
        <v>2055</v>
      </c>
      <c r="J562" s="142" t="s">
        <v>744</v>
      </c>
      <c r="K562" s="142" t="s">
        <v>744</v>
      </c>
      <c r="L562" s="143">
        <f t="shared" si="16"/>
        <v>1</v>
      </c>
      <c r="M562" s="144">
        <v>30110</v>
      </c>
      <c r="N562" s="141" t="s">
        <v>1429</v>
      </c>
      <c r="O562" s="142" t="s">
        <v>1430</v>
      </c>
      <c r="P562" s="141" t="s">
        <v>1555</v>
      </c>
      <c r="Q562" s="142" t="s">
        <v>1552</v>
      </c>
      <c r="R562" s="141" t="s">
        <v>2057</v>
      </c>
      <c r="S562" s="142" t="s">
        <v>2054</v>
      </c>
      <c r="T562" s="141" t="s">
        <v>2059</v>
      </c>
      <c r="U562" s="142" t="s">
        <v>744</v>
      </c>
      <c r="V562" s="142" t="s">
        <v>744</v>
      </c>
      <c r="W562" s="141">
        <f t="shared" si="17"/>
        <v>1</v>
      </c>
      <c r="X562" s="143"/>
      <c r="Y562" s="145"/>
      <c r="AA562"/>
    </row>
    <row r="563" spans="1:27" s="115" customFormat="1" ht="27" customHeight="1">
      <c r="A563" s="139">
        <v>538</v>
      </c>
      <c r="B563" s="140" t="s">
        <v>5066</v>
      </c>
      <c r="C563" s="141" t="s">
        <v>1429</v>
      </c>
      <c r="D563" s="142" t="s">
        <v>1430</v>
      </c>
      <c r="E563" s="141" t="s">
        <v>2052</v>
      </c>
      <c r="F563" s="142" t="s">
        <v>1552</v>
      </c>
      <c r="G563" s="141" t="s">
        <v>2053</v>
      </c>
      <c r="H563" s="142" t="s">
        <v>2054</v>
      </c>
      <c r="I563" s="141" t="s">
        <v>2055</v>
      </c>
      <c r="J563" s="142" t="s">
        <v>2056</v>
      </c>
      <c r="K563" s="142" t="s">
        <v>745</v>
      </c>
      <c r="L563" s="143">
        <f t="shared" si="16"/>
        <v>1</v>
      </c>
      <c r="M563" s="144">
        <v>30121</v>
      </c>
      <c r="N563" s="141" t="s">
        <v>1429</v>
      </c>
      <c r="O563" s="142" t="s">
        <v>1430</v>
      </c>
      <c r="P563" s="141" t="s">
        <v>1555</v>
      </c>
      <c r="Q563" s="142" t="s">
        <v>1552</v>
      </c>
      <c r="R563" s="141" t="s">
        <v>2057</v>
      </c>
      <c r="S563" s="142" t="s">
        <v>2054</v>
      </c>
      <c r="T563" s="141" t="s">
        <v>2058</v>
      </c>
      <c r="U563" s="142" t="s">
        <v>2056</v>
      </c>
      <c r="V563" s="142" t="s">
        <v>745</v>
      </c>
      <c r="W563" s="141">
        <f t="shared" si="17"/>
        <v>1</v>
      </c>
      <c r="X563" s="143"/>
      <c r="Y563" s="145"/>
      <c r="AA563"/>
    </row>
    <row r="564" spans="1:27" s="115" customFormat="1" ht="27" customHeight="1">
      <c r="A564" s="139">
        <v>539</v>
      </c>
      <c r="B564" s="140" t="s">
        <v>5067</v>
      </c>
      <c r="C564" s="141" t="s">
        <v>1429</v>
      </c>
      <c r="D564" s="142" t="s">
        <v>1430</v>
      </c>
      <c r="E564" s="141" t="s">
        <v>2052</v>
      </c>
      <c r="F564" s="142" t="s">
        <v>1552</v>
      </c>
      <c r="G564" s="141" t="s">
        <v>2060</v>
      </c>
      <c r="H564" s="142" t="s">
        <v>2061</v>
      </c>
      <c r="I564" s="141" t="s">
        <v>2062</v>
      </c>
      <c r="J564" s="142" t="s">
        <v>2063</v>
      </c>
      <c r="K564" s="142" t="s">
        <v>746</v>
      </c>
      <c r="L564" s="143">
        <f t="shared" si="16"/>
        <v>1</v>
      </c>
      <c r="M564" s="144">
        <v>30203</v>
      </c>
      <c r="N564" s="141" t="s">
        <v>1429</v>
      </c>
      <c r="O564" s="142" t="s">
        <v>1430</v>
      </c>
      <c r="P564" s="141" t="s">
        <v>1555</v>
      </c>
      <c r="Q564" s="142" t="s">
        <v>1552</v>
      </c>
      <c r="R564" s="141" t="s">
        <v>2064</v>
      </c>
      <c r="S564" s="142" t="s">
        <v>2063</v>
      </c>
      <c r="T564" s="141" t="s">
        <v>2065</v>
      </c>
      <c r="U564" s="142" t="s">
        <v>2063</v>
      </c>
      <c r="V564" s="142" t="s">
        <v>746</v>
      </c>
      <c r="W564" s="141">
        <f t="shared" si="17"/>
        <v>1</v>
      </c>
      <c r="X564" s="143"/>
      <c r="Y564" s="145"/>
      <c r="AA564"/>
    </row>
    <row r="565" spans="1:27" s="115" customFormat="1" ht="27" customHeight="1">
      <c r="A565" s="139">
        <v>540</v>
      </c>
      <c r="B565" s="140" t="s">
        <v>5068</v>
      </c>
      <c r="C565" s="141" t="s">
        <v>1429</v>
      </c>
      <c r="D565" s="142" t="s">
        <v>1430</v>
      </c>
      <c r="E565" s="141" t="s">
        <v>2052</v>
      </c>
      <c r="F565" s="142" t="s">
        <v>1552</v>
      </c>
      <c r="G565" s="141" t="s">
        <v>2060</v>
      </c>
      <c r="H565" s="142" t="s">
        <v>2063</v>
      </c>
      <c r="I565" s="141" t="s">
        <v>2062</v>
      </c>
      <c r="J565" s="142" t="s">
        <v>2063</v>
      </c>
      <c r="K565" s="142" t="s">
        <v>747</v>
      </c>
      <c r="L565" s="143">
        <f t="shared" si="16"/>
        <v>1</v>
      </c>
      <c r="M565" s="144">
        <v>30201</v>
      </c>
      <c r="N565" s="141" t="s">
        <v>1429</v>
      </c>
      <c r="O565" s="142" t="s">
        <v>1430</v>
      </c>
      <c r="P565" s="141" t="s">
        <v>1555</v>
      </c>
      <c r="Q565" s="142" t="s">
        <v>1552</v>
      </c>
      <c r="R565" s="141" t="s">
        <v>2064</v>
      </c>
      <c r="S565" s="142" t="s">
        <v>2063</v>
      </c>
      <c r="T565" s="141" t="s">
        <v>2065</v>
      </c>
      <c r="U565" s="142" t="s">
        <v>2063</v>
      </c>
      <c r="V565" s="142" t="s">
        <v>747</v>
      </c>
      <c r="W565" s="141">
        <f t="shared" si="17"/>
        <v>1</v>
      </c>
      <c r="X565" s="143"/>
      <c r="Y565" s="145"/>
      <c r="AA565"/>
    </row>
    <row r="566" spans="1:27" s="115" customFormat="1" ht="27" customHeight="1">
      <c r="A566" s="139">
        <v>541</v>
      </c>
      <c r="B566" s="140" t="s">
        <v>5069</v>
      </c>
      <c r="C566" s="141" t="s">
        <v>1429</v>
      </c>
      <c r="D566" s="142" t="s">
        <v>1430</v>
      </c>
      <c r="E566" s="141" t="s">
        <v>2052</v>
      </c>
      <c r="F566" s="142" t="s">
        <v>1552</v>
      </c>
      <c r="G566" s="141" t="s">
        <v>2060</v>
      </c>
      <c r="H566" s="142" t="s">
        <v>2063</v>
      </c>
      <c r="I566" s="141" t="s">
        <v>2062</v>
      </c>
      <c r="J566" s="142" t="s">
        <v>2063</v>
      </c>
      <c r="K566" s="142" t="s">
        <v>748</v>
      </c>
      <c r="L566" s="143">
        <f t="shared" si="16"/>
        <v>1</v>
      </c>
      <c r="M566" s="144">
        <v>30202</v>
      </c>
      <c r="N566" s="141" t="s">
        <v>1429</v>
      </c>
      <c r="O566" s="142" t="s">
        <v>1430</v>
      </c>
      <c r="P566" s="141" t="s">
        <v>1555</v>
      </c>
      <c r="Q566" s="142" t="s">
        <v>1552</v>
      </c>
      <c r="R566" s="141" t="s">
        <v>2064</v>
      </c>
      <c r="S566" s="142" t="s">
        <v>2063</v>
      </c>
      <c r="T566" s="141" t="s">
        <v>2065</v>
      </c>
      <c r="U566" s="142" t="s">
        <v>2063</v>
      </c>
      <c r="V566" s="142" t="s">
        <v>748</v>
      </c>
      <c r="W566" s="141">
        <f t="shared" si="17"/>
        <v>1</v>
      </c>
      <c r="X566" s="143"/>
      <c r="Y566" s="145"/>
      <c r="AA566"/>
    </row>
    <row r="567" spans="1:27" s="115" customFormat="1" ht="27" customHeight="1">
      <c r="A567" s="139">
        <v>542</v>
      </c>
      <c r="B567" s="140" t="s">
        <v>5070</v>
      </c>
      <c r="C567" s="141" t="s">
        <v>1429</v>
      </c>
      <c r="D567" s="142" t="s">
        <v>1430</v>
      </c>
      <c r="E567" s="141" t="s">
        <v>2052</v>
      </c>
      <c r="F567" s="142" t="s">
        <v>1552</v>
      </c>
      <c r="G567" s="141" t="s">
        <v>2066</v>
      </c>
      <c r="H567" s="142" t="s">
        <v>1553</v>
      </c>
      <c r="I567" s="141" t="s">
        <v>2067</v>
      </c>
      <c r="J567" s="142" t="s">
        <v>1554</v>
      </c>
      <c r="K567" s="142" t="s">
        <v>749</v>
      </c>
      <c r="L567" s="143">
        <f t="shared" si="16"/>
        <v>1</v>
      </c>
      <c r="M567" s="144">
        <v>30399</v>
      </c>
      <c r="N567" s="141" t="s">
        <v>1429</v>
      </c>
      <c r="O567" s="142" t="s">
        <v>1430</v>
      </c>
      <c r="P567" s="141" t="s">
        <v>1555</v>
      </c>
      <c r="Q567" s="142" t="s">
        <v>1552</v>
      </c>
      <c r="R567" s="141" t="s">
        <v>1556</v>
      </c>
      <c r="S567" s="142" t="s">
        <v>1553</v>
      </c>
      <c r="T567" s="141" t="s">
        <v>1557</v>
      </c>
      <c r="U567" s="142" t="s">
        <v>1554</v>
      </c>
      <c r="V567" s="142" t="s">
        <v>749</v>
      </c>
      <c r="W567" s="141">
        <f t="shared" si="17"/>
        <v>2</v>
      </c>
      <c r="X567" s="143">
        <v>1</v>
      </c>
      <c r="Y567" s="145"/>
      <c r="AA567"/>
    </row>
    <row r="568" spans="1:27" s="115" customFormat="1" ht="27" customHeight="1">
      <c r="A568" s="139">
        <v>543</v>
      </c>
      <c r="B568" s="140" t="s">
        <v>5071</v>
      </c>
      <c r="C568" s="141" t="s">
        <v>1429</v>
      </c>
      <c r="D568" s="142" t="s">
        <v>1430</v>
      </c>
      <c r="E568" s="141" t="s">
        <v>2052</v>
      </c>
      <c r="F568" s="142" t="s">
        <v>1552</v>
      </c>
      <c r="G568" s="141" t="s">
        <v>2066</v>
      </c>
      <c r="H568" s="142" t="s">
        <v>2068</v>
      </c>
      <c r="I568" s="141" t="s">
        <v>2067</v>
      </c>
      <c r="J568" s="142" t="s">
        <v>750</v>
      </c>
      <c r="K568" s="142" t="s">
        <v>750</v>
      </c>
      <c r="L568" s="143">
        <f t="shared" si="16"/>
        <v>1</v>
      </c>
      <c r="M568" s="144">
        <v>30310</v>
      </c>
      <c r="N568" s="141" t="s">
        <v>1429</v>
      </c>
      <c r="O568" s="142" t="s">
        <v>1430</v>
      </c>
      <c r="P568" s="141" t="s">
        <v>1555</v>
      </c>
      <c r="Q568" s="142" t="s">
        <v>1552</v>
      </c>
      <c r="R568" s="141" t="s">
        <v>1556</v>
      </c>
      <c r="S568" s="142" t="s">
        <v>1553</v>
      </c>
      <c r="T568" s="141" t="s">
        <v>2069</v>
      </c>
      <c r="U568" s="142" t="s">
        <v>750</v>
      </c>
      <c r="V568" s="142" t="s">
        <v>750</v>
      </c>
      <c r="W568" s="141">
        <f t="shared" si="17"/>
        <v>1</v>
      </c>
      <c r="X568" s="143"/>
      <c r="Y568" s="145"/>
      <c r="AA568"/>
    </row>
    <row r="569" spans="1:27" s="115" customFormat="1" ht="27" customHeight="1">
      <c r="A569" s="139">
        <v>544</v>
      </c>
      <c r="B569" s="140" t="s">
        <v>5072</v>
      </c>
      <c r="C569" s="141" t="s">
        <v>1429</v>
      </c>
      <c r="D569" s="142" t="s">
        <v>1430</v>
      </c>
      <c r="E569" s="141" t="s">
        <v>2052</v>
      </c>
      <c r="F569" s="142" t="s">
        <v>1552</v>
      </c>
      <c r="G569" s="141" t="s">
        <v>2066</v>
      </c>
      <c r="H569" s="142" t="s">
        <v>1553</v>
      </c>
      <c r="I569" s="141" t="s">
        <v>2067</v>
      </c>
      <c r="J569" s="142" t="s">
        <v>751</v>
      </c>
      <c r="K569" s="142" t="s">
        <v>751</v>
      </c>
      <c r="L569" s="143">
        <f t="shared" si="16"/>
        <v>1</v>
      </c>
      <c r="M569" s="144">
        <v>30320</v>
      </c>
      <c r="N569" s="141" t="s">
        <v>1429</v>
      </c>
      <c r="O569" s="142" t="s">
        <v>1430</v>
      </c>
      <c r="P569" s="141" t="s">
        <v>1555</v>
      </c>
      <c r="Q569" s="142" t="s">
        <v>1552</v>
      </c>
      <c r="R569" s="141" t="s">
        <v>1556</v>
      </c>
      <c r="S569" s="142" t="s">
        <v>1553</v>
      </c>
      <c r="T569" s="141" t="s">
        <v>2070</v>
      </c>
      <c r="U569" s="142" t="s">
        <v>751</v>
      </c>
      <c r="V569" s="142" t="s">
        <v>751</v>
      </c>
      <c r="W569" s="141">
        <f t="shared" si="17"/>
        <v>1</v>
      </c>
      <c r="X569" s="143"/>
      <c r="Y569" s="145"/>
      <c r="AA569"/>
    </row>
    <row r="570" spans="1:27" s="115" customFormat="1" ht="27" customHeight="1">
      <c r="A570" s="139">
        <v>545</v>
      </c>
      <c r="B570" s="140" t="s">
        <v>5073</v>
      </c>
      <c r="C570" s="141" t="s">
        <v>1429</v>
      </c>
      <c r="D570" s="142" t="s">
        <v>1430</v>
      </c>
      <c r="E570" s="141" t="s">
        <v>2052</v>
      </c>
      <c r="F570" s="142" t="s">
        <v>1552</v>
      </c>
      <c r="G570" s="141" t="s">
        <v>2066</v>
      </c>
      <c r="H570" s="142" t="s">
        <v>1553</v>
      </c>
      <c r="I570" s="141" t="s">
        <v>2067</v>
      </c>
      <c r="J570" s="142" t="s">
        <v>2071</v>
      </c>
      <c r="K570" s="142" t="s">
        <v>752</v>
      </c>
      <c r="L570" s="143">
        <f t="shared" si="16"/>
        <v>1</v>
      </c>
      <c r="M570" s="144">
        <v>30331</v>
      </c>
      <c r="N570" s="141" t="s">
        <v>1429</v>
      </c>
      <c r="O570" s="142" t="s">
        <v>1430</v>
      </c>
      <c r="P570" s="141" t="s">
        <v>1555</v>
      </c>
      <c r="Q570" s="142" t="s">
        <v>1552</v>
      </c>
      <c r="R570" s="141" t="s">
        <v>1556</v>
      </c>
      <c r="S570" s="142" t="s">
        <v>1553</v>
      </c>
      <c r="T570" s="141" t="s">
        <v>2072</v>
      </c>
      <c r="U570" s="142" t="s">
        <v>2071</v>
      </c>
      <c r="V570" s="142" t="s">
        <v>752</v>
      </c>
      <c r="W570" s="141">
        <f t="shared" si="17"/>
        <v>1</v>
      </c>
      <c r="X570" s="143"/>
      <c r="Y570" s="145"/>
      <c r="AA570"/>
    </row>
    <row r="571" spans="1:27" s="115" customFormat="1" ht="27" customHeight="1">
      <c r="A571" s="139">
        <v>546</v>
      </c>
      <c r="B571" s="140" t="s">
        <v>5074</v>
      </c>
      <c r="C571" s="141" t="s">
        <v>1429</v>
      </c>
      <c r="D571" s="142" t="s">
        <v>1430</v>
      </c>
      <c r="E571" s="141" t="s">
        <v>2052</v>
      </c>
      <c r="F571" s="142" t="s">
        <v>1552</v>
      </c>
      <c r="G571" s="141" t="s">
        <v>2066</v>
      </c>
      <c r="H571" s="142" t="s">
        <v>1553</v>
      </c>
      <c r="I571" s="141" t="s">
        <v>2067</v>
      </c>
      <c r="J571" s="142" t="s">
        <v>2071</v>
      </c>
      <c r="K571" s="142" t="s">
        <v>753</v>
      </c>
      <c r="L571" s="143">
        <f t="shared" si="16"/>
        <v>1</v>
      </c>
      <c r="M571" s="144">
        <v>30332</v>
      </c>
      <c r="N571" s="141" t="s">
        <v>1429</v>
      </c>
      <c r="O571" s="142" t="s">
        <v>1430</v>
      </c>
      <c r="P571" s="141" t="s">
        <v>1555</v>
      </c>
      <c r="Q571" s="142" t="s">
        <v>1552</v>
      </c>
      <c r="R571" s="141" t="s">
        <v>1556</v>
      </c>
      <c r="S571" s="142" t="s">
        <v>1553</v>
      </c>
      <c r="T571" s="141" t="s">
        <v>2072</v>
      </c>
      <c r="U571" s="142" t="s">
        <v>2071</v>
      </c>
      <c r="V571" s="142" t="s">
        <v>753</v>
      </c>
      <c r="W571" s="141">
        <f t="shared" si="17"/>
        <v>1</v>
      </c>
      <c r="X571" s="143"/>
      <c r="Y571" s="145"/>
      <c r="AA571"/>
    </row>
    <row r="572" spans="1:27" s="115" customFormat="1" ht="27" customHeight="1">
      <c r="A572" s="139">
        <v>547</v>
      </c>
      <c r="B572" s="140" t="s">
        <v>5075</v>
      </c>
      <c r="C572" s="141" t="s">
        <v>1429</v>
      </c>
      <c r="D572" s="142" t="s">
        <v>1430</v>
      </c>
      <c r="E572" s="141" t="s">
        <v>2052</v>
      </c>
      <c r="F572" s="142" t="s">
        <v>1552</v>
      </c>
      <c r="G572" s="141" t="s">
        <v>2066</v>
      </c>
      <c r="H572" s="142" t="s">
        <v>1553</v>
      </c>
      <c r="I572" s="141" t="s">
        <v>2067</v>
      </c>
      <c r="J572" s="142" t="s">
        <v>1554</v>
      </c>
      <c r="K572" s="142" t="s">
        <v>754</v>
      </c>
      <c r="L572" s="143">
        <f t="shared" si="16"/>
        <v>1</v>
      </c>
      <c r="M572" s="144">
        <v>30391</v>
      </c>
      <c r="N572" s="141" t="s">
        <v>1429</v>
      </c>
      <c r="O572" s="142" t="s">
        <v>1430</v>
      </c>
      <c r="P572" s="141" t="s">
        <v>1555</v>
      </c>
      <c r="Q572" s="142" t="s">
        <v>1552</v>
      </c>
      <c r="R572" s="141" t="s">
        <v>1556</v>
      </c>
      <c r="S572" s="142" t="s">
        <v>1553</v>
      </c>
      <c r="T572" s="141" t="s">
        <v>1557</v>
      </c>
      <c r="U572" s="142" t="s">
        <v>1554</v>
      </c>
      <c r="V572" s="142" t="s">
        <v>754</v>
      </c>
      <c r="W572" s="141">
        <f t="shared" si="17"/>
        <v>1</v>
      </c>
      <c r="X572" s="143"/>
      <c r="Y572" s="145"/>
      <c r="AA572"/>
    </row>
    <row r="573" spans="1:27" s="115" customFormat="1" ht="27" customHeight="1">
      <c r="A573" s="139">
        <v>548</v>
      </c>
      <c r="B573" s="140" t="s">
        <v>5076</v>
      </c>
      <c r="C573" s="141" t="s">
        <v>1429</v>
      </c>
      <c r="D573" s="142" t="s">
        <v>1430</v>
      </c>
      <c r="E573" s="141" t="s">
        <v>2052</v>
      </c>
      <c r="F573" s="142" t="s">
        <v>1552</v>
      </c>
      <c r="G573" s="141" t="s">
        <v>2066</v>
      </c>
      <c r="H573" s="142" t="s">
        <v>1553</v>
      </c>
      <c r="I573" s="141" t="s">
        <v>2067</v>
      </c>
      <c r="J573" s="142" t="s">
        <v>1554</v>
      </c>
      <c r="K573" s="142" t="s">
        <v>755</v>
      </c>
      <c r="L573" s="143">
        <f t="shared" si="16"/>
        <v>1</v>
      </c>
      <c r="M573" s="144">
        <v>30392</v>
      </c>
      <c r="N573" s="141" t="s">
        <v>1429</v>
      </c>
      <c r="O573" s="142" t="s">
        <v>1430</v>
      </c>
      <c r="P573" s="141" t="s">
        <v>1555</v>
      </c>
      <c r="Q573" s="142" t="s">
        <v>1552</v>
      </c>
      <c r="R573" s="141" t="s">
        <v>1556</v>
      </c>
      <c r="S573" s="142" t="s">
        <v>1553</v>
      </c>
      <c r="T573" s="141" t="s">
        <v>1557</v>
      </c>
      <c r="U573" s="142" t="s">
        <v>1554</v>
      </c>
      <c r="V573" s="142" t="s">
        <v>755</v>
      </c>
      <c r="W573" s="141">
        <f t="shared" si="17"/>
        <v>1</v>
      </c>
      <c r="X573" s="143"/>
      <c r="Y573" s="145"/>
      <c r="AA573"/>
    </row>
    <row r="574" spans="1:27" s="115" customFormat="1" ht="27" customHeight="1">
      <c r="A574" s="139">
        <v>549</v>
      </c>
      <c r="B574" s="140" t="s">
        <v>5077</v>
      </c>
      <c r="C574" s="141" t="s">
        <v>1429</v>
      </c>
      <c r="D574" s="142" t="s">
        <v>1430</v>
      </c>
      <c r="E574" s="141" t="s">
        <v>2052</v>
      </c>
      <c r="F574" s="142" t="s">
        <v>1552</v>
      </c>
      <c r="G574" s="141" t="s">
        <v>2066</v>
      </c>
      <c r="H574" s="142" t="s">
        <v>2073</v>
      </c>
      <c r="I574" s="141" t="s">
        <v>2067</v>
      </c>
      <c r="J574" s="142" t="s">
        <v>756</v>
      </c>
      <c r="K574" s="142" t="s">
        <v>756</v>
      </c>
      <c r="L574" s="143">
        <f t="shared" si="16"/>
        <v>1</v>
      </c>
      <c r="M574" s="144">
        <v>30400</v>
      </c>
      <c r="N574" s="141" t="s">
        <v>1429</v>
      </c>
      <c r="O574" s="142" t="s">
        <v>1430</v>
      </c>
      <c r="P574" s="141" t="s">
        <v>1555</v>
      </c>
      <c r="Q574" s="142" t="s">
        <v>1552</v>
      </c>
      <c r="R574" s="141" t="s">
        <v>2074</v>
      </c>
      <c r="S574" s="142" t="s">
        <v>756</v>
      </c>
      <c r="T574" s="141" t="s">
        <v>2075</v>
      </c>
      <c r="U574" s="142" t="s">
        <v>756</v>
      </c>
      <c r="V574" s="142" t="s">
        <v>756</v>
      </c>
      <c r="W574" s="141">
        <f t="shared" si="17"/>
        <v>1</v>
      </c>
      <c r="X574" s="143"/>
      <c r="Y574" s="145"/>
      <c r="AA574"/>
    </row>
    <row r="575" spans="1:27" s="115" customFormat="1" ht="27" customHeight="1">
      <c r="A575" s="139">
        <v>550</v>
      </c>
      <c r="B575" s="140" t="s">
        <v>5078</v>
      </c>
      <c r="C575" s="141" t="s">
        <v>1429</v>
      </c>
      <c r="D575" s="142" t="s">
        <v>1430</v>
      </c>
      <c r="E575" s="141" t="s">
        <v>2076</v>
      </c>
      <c r="F575" s="142" t="s">
        <v>2077</v>
      </c>
      <c r="G575" s="141" t="s">
        <v>2078</v>
      </c>
      <c r="H575" s="142" t="s">
        <v>2079</v>
      </c>
      <c r="I575" s="141" t="s">
        <v>2080</v>
      </c>
      <c r="J575" s="142" t="s">
        <v>2081</v>
      </c>
      <c r="K575" s="142" t="s">
        <v>160</v>
      </c>
      <c r="L575" s="143">
        <f t="shared" si="16"/>
        <v>1</v>
      </c>
      <c r="M575" s="144">
        <v>31111</v>
      </c>
      <c r="N575" s="141" t="s">
        <v>1429</v>
      </c>
      <c r="O575" s="142" t="s">
        <v>1430</v>
      </c>
      <c r="P575" s="141" t="s">
        <v>1962</v>
      </c>
      <c r="Q575" s="142" t="s">
        <v>2077</v>
      </c>
      <c r="R575" s="141" t="s">
        <v>1963</v>
      </c>
      <c r="S575" s="142" t="s">
        <v>2079</v>
      </c>
      <c r="T575" s="141" t="s">
        <v>2082</v>
      </c>
      <c r="U575" s="142" t="s">
        <v>2081</v>
      </c>
      <c r="V575" s="142" t="s">
        <v>160</v>
      </c>
      <c r="W575" s="141">
        <f t="shared" si="17"/>
        <v>1</v>
      </c>
      <c r="X575" s="143"/>
      <c r="Y575" s="145"/>
      <c r="AA575"/>
    </row>
    <row r="576" spans="1:27" s="115" customFormat="1" ht="13.5" customHeight="1">
      <c r="A576" s="139">
        <v>551</v>
      </c>
      <c r="B576" s="140" t="s">
        <v>5079</v>
      </c>
      <c r="C576" s="141" t="s">
        <v>1429</v>
      </c>
      <c r="D576" s="142" t="s">
        <v>1430</v>
      </c>
      <c r="E576" s="141" t="s">
        <v>2076</v>
      </c>
      <c r="F576" s="142" t="s">
        <v>2077</v>
      </c>
      <c r="G576" s="141" t="s">
        <v>2078</v>
      </c>
      <c r="H576" s="142" t="s">
        <v>2079</v>
      </c>
      <c r="I576" s="141" t="s">
        <v>2080</v>
      </c>
      <c r="J576" s="142" t="s">
        <v>2081</v>
      </c>
      <c r="K576" s="142" t="s">
        <v>757</v>
      </c>
      <c r="L576" s="143">
        <f t="shared" si="16"/>
        <v>1</v>
      </c>
      <c r="M576" s="144">
        <v>31113</v>
      </c>
      <c r="N576" s="141" t="s">
        <v>1429</v>
      </c>
      <c r="O576" s="142" t="s">
        <v>1430</v>
      </c>
      <c r="P576" s="141" t="s">
        <v>1962</v>
      </c>
      <c r="Q576" s="142" t="s">
        <v>2077</v>
      </c>
      <c r="R576" s="141" t="s">
        <v>1963</v>
      </c>
      <c r="S576" s="142" t="s">
        <v>2079</v>
      </c>
      <c r="T576" s="141" t="s">
        <v>2082</v>
      </c>
      <c r="U576" s="142" t="s">
        <v>2081</v>
      </c>
      <c r="V576" s="142" t="s">
        <v>757</v>
      </c>
      <c r="W576" s="141">
        <f t="shared" si="17"/>
        <v>3</v>
      </c>
      <c r="X576" s="143"/>
      <c r="Y576" s="145" t="s">
        <v>2083</v>
      </c>
      <c r="AA576"/>
    </row>
    <row r="577" spans="1:27" s="115" customFormat="1" ht="13.5" customHeight="1">
      <c r="A577" s="139">
        <v>552</v>
      </c>
      <c r="B577" s="140" t="s">
        <v>5080</v>
      </c>
      <c r="C577" s="141" t="s">
        <v>1429</v>
      </c>
      <c r="D577" s="142" t="s">
        <v>1430</v>
      </c>
      <c r="E577" s="141" t="s">
        <v>2076</v>
      </c>
      <c r="F577" s="142" t="s">
        <v>2077</v>
      </c>
      <c r="G577" s="141" t="s">
        <v>2078</v>
      </c>
      <c r="H577" s="142" t="s">
        <v>2079</v>
      </c>
      <c r="I577" s="141" t="s">
        <v>2080</v>
      </c>
      <c r="J577" s="142" t="s">
        <v>2081</v>
      </c>
      <c r="K577" s="142" t="s">
        <v>758</v>
      </c>
      <c r="L577" s="143">
        <f t="shared" si="16"/>
        <v>1</v>
      </c>
      <c r="M577" s="144">
        <v>31114</v>
      </c>
      <c r="N577" s="141" t="s">
        <v>1429</v>
      </c>
      <c r="O577" s="142" t="s">
        <v>1430</v>
      </c>
      <c r="P577" s="141" t="s">
        <v>1962</v>
      </c>
      <c r="Q577" s="142" t="s">
        <v>2077</v>
      </c>
      <c r="R577" s="141" t="s">
        <v>1963</v>
      </c>
      <c r="S577" s="142" t="s">
        <v>2079</v>
      </c>
      <c r="T577" s="141" t="s">
        <v>2082</v>
      </c>
      <c r="U577" s="142" t="s">
        <v>2081</v>
      </c>
      <c r="V577" s="142" t="s">
        <v>758</v>
      </c>
      <c r="W577" s="141">
        <f t="shared" si="17"/>
        <v>1</v>
      </c>
      <c r="X577" s="143"/>
      <c r="Y577" s="145"/>
      <c r="AA577"/>
    </row>
    <row r="578" spans="1:27" s="115" customFormat="1" ht="27" customHeight="1">
      <c r="A578" s="139">
        <v>553</v>
      </c>
      <c r="B578" s="140" t="s">
        <v>5082</v>
      </c>
      <c r="C578" s="141" t="s">
        <v>1429</v>
      </c>
      <c r="D578" s="142" t="s">
        <v>1430</v>
      </c>
      <c r="E578" s="141" t="s">
        <v>2076</v>
      </c>
      <c r="F578" s="142" t="s">
        <v>2077</v>
      </c>
      <c r="G578" s="141" t="s">
        <v>2078</v>
      </c>
      <c r="H578" s="142" t="s">
        <v>2079</v>
      </c>
      <c r="I578" s="141" t="s">
        <v>2080</v>
      </c>
      <c r="J578" s="142" t="s">
        <v>2081</v>
      </c>
      <c r="K578" s="142" t="s">
        <v>757</v>
      </c>
      <c r="L578" s="143">
        <f t="shared" si="16"/>
        <v>1</v>
      </c>
      <c r="M578" s="144">
        <v>31113</v>
      </c>
      <c r="N578" s="141" t="s">
        <v>1429</v>
      </c>
      <c r="O578" s="142" t="s">
        <v>1430</v>
      </c>
      <c r="P578" s="141" t="s">
        <v>1962</v>
      </c>
      <c r="Q578" s="142" t="s">
        <v>2077</v>
      </c>
      <c r="R578" s="141" t="s">
        <v>1963</v>
      </c>
      <c r="S578" s="142" t="s">
        <v>2079</v>
      </c>
      <c r="T578" s="141" t="s">
        <v>2082</v>
      </c>
      <c r="U578" s="142" t="s">
        <v>2081</v>
      </c>
      <c r="V578" s="142" t="s">
        <v>757</v>
      </c>
      <c r="W578" s="141">
        <f t="shared" si="17"/>
        <v>3</v>
      </c>
      <c r="X578" s="143"/>
      <c r="Y578" s="145" t="s">
        <v>2084</v>
      </c>
      <c r="AA578"/>
    </row>
    <row r="579" spans="1:27" s="115" customFormat="1" ht="13.5" customHeight="1">
      <c r="A579" s="139">
        <v>554</v>
      </c>
      <c r="B579" s="140" t="s">
        <v>5083</v>
      </c>
      <c r="C579" s="141" t="s">
        <v>1429</v>
      </c>
      <c r="D579" s="142" t="s">
        <v>1430</v>
      </c>
      <c r="E579" s="141" t="s">
        <v>2076</v>
      </c>
      <c r="F579" s="142" t="s">
        <v>2077</v>
      </c>
      <c r="G579" s="141" t="s">
        <v>2078</v>
      </c>
      <c r="H579" s="142" t="s">
        <v>2079</v>
      </c>
      <c r="I579" s="141" t="s">
        <v>2080</v>
      </c>
      <c r="J579" s="142" t="s">
        <v>2081</v>
      </c>
      <c r="K579" s="142" t="s">
        <v>759</v>
      </c>
      <c r="L579" s="143">
        <f t="shared" si="16"/>
        <v>1</v>
      </c>
      <c r="M579" s="144">
        <v>31112</v>
      </c>
      <c r="N579" s="141" t="s">
        <v>1429</v>
      </c>
      <c r="O579" s="142" t="s">
        <v>1430</v>
      </c>
      <c r="P579" s="141" t="s">
        <v>1962</v>
      </c>
      <c r="Q579" s="142" t="s">
        <v>2077</v>
      </c>
      <c r="R579" s="141" t="s">
        <v>1963</v>
      </c>
      <c r="S579" s="142" t="s">
        <v>2079</v>
      </c>
      <c r="T579" s="141" t="s">
        <v>2082</v>
      </c>
      <c r="U579" s="142" t="s">
        <v>2081</v>
      </c>
      <c r="V579" s="142" t="s">
        <v>759</v>
      </c>
      <c r="W579" s="141">
        <f t="shared" si="17"/>
        <v>1</v>
      </c>
      <c r="X579" s="143"/>
      <c r="Y579" s="145"/>
      <c r="AA579"/>
    </row>
    <row r="580" spans="1:27" s="115" customFormat="1" ht="13.5" customHeight="1">
      <c r="A580" s="139">
        <v>555</v>
      </c>
      <c r="B580" s="140" t="s">
        <v>5084</v>
      </c>
      <c r="C580" s="141" t="s">
        <v>1429</v>
      </c>
      <c r="D580" s="142" t="s">
        <v>1430</v>
      </c>
      <c r="E580" s="141" t="s">
        <v>2076</v>
      </c>
      <c r="F580" s="142" t="s">
        <v>2077</v>
      </c>
      <c r="G580" s="141" t="s">
        <v>2078</v>
      </c>
      <c r="H580" s="142" t="s">
        <v>2079</v>
      </c>
      <c r="I580" s="141" t="s">
        <v>2080</v>
      </c>
      <c r="J580" s="142" t="s">
        <v>2081</v>
      </c>
      <c r="K580" s="142" t="s">
        <v>757</v>
      </c>
      <c r="L580" s="143">
        <f t="shared" si="16"/>
        <v>1</v>
      </c>
      <c r="M580" s="144">
        <v>31113</v>
      </c>
      <c r="N580" s="141" t="s">
        <v>1429</v>
      </c>
      <c r="O580" s="142" t="s">
        <v>1430</v>
      </c>
      <c r="P580" s="141" t="s">
        <v>1962</v>
      </c>
      <c r="Q580" s="142" t="s">
        <v>2077</v>
      </c>
      <c r="R580" s="141" t="s">
        <v>1963</v>
      </c>
      <c r="S580" s="142" t="s">
        <v>2079</v>
      </c>
      <c r="T580" s="141" t="s">
        <v>2082</v>
      </c>
      <c r="U580" s="142" t="s">
        <v>2081</v>
      </c>
      <c r="V580" s="142" t="s">
        <v>757</v>
      </c>
      <c r="W580" s="141">
        <f t="shared" si="17"/>
        <v>3</v>
      </c>
      <c r="X580" s="143">
        <v>1</v>
      </c>
      <c r="Y580" s="145"/>
      <c r="AA580"/>
    </row>
    <row r="581" spans="1:27" s="115" customFormat="1" ht="13.5" customHeight="1">
      <c r="A581" s="139">
        <v>556</v>
      </c>
      <c r="B581" s="140" t="s">
        <v>5085</v>
      </c>
      <c r="C581" s="141" t="s">
        <v>1429</v>
      </c>
      <c r="D581" s="142" t="s">
        <v>1430</v>
      </c>
      <c r="E581" s="141" t="s">
        <v>2076</v>
      </c>
      <c r="F581" s="142" t="s">
        <v>2077</v>
      </c>
      <c r="G581" s="141" t="s">
        <v>2078</v>
      </c>
      <c r="H581" s="142" t="s">
        <v>2079</v>
      </c>
      <c r="I581" s="141" t="s">
        <v>2085</v>
      </c>
      <c r="J581" s="142" t="s">
        <v>161</v>
      </c>
      <c r="K581" s="142" t="s">
        <v>161</v>
      </c>
      <c r="L581" s="143">
        <f t="shared" ref="L581:L644" si="18">COUNTIF($B$5:$B$1752,B581)</f>
        <v>1</v>
      </c>
      <c r="M581" s="144">
        <v>31120</v>
      </c>
      <c r="N581" s="141" t="s">
        <v>1429</v>
      </c>
      <c r="O581" s="142" t="s">
        <v>1430</v>
      </c>
      <c r="P581" s="141" t="s">
        <v>1962</v>
      </c>
      <c r="Q581" s="142" t="s">
        <v>2077</v>
      </c>
      <c r="R581" s="141" t="s">
        <v>1963</v>
      </c>
      <c r="S581" s="142" t="s">
        <v>2079</v>
      </c>
      <c r="T581" s="141" t="s">
        <v>2086</v>
      </c>
      <c r="U581" s="142" t="s">
        <v>161</v>
      </c>
      <c r="V581" s="142" t="s">
        <v>161</v>
      </c>
      <c r="W581" s="141">
        <f t="shared" ref="W581:W644" si="19">COUNTIF($M$5:$M$1756,M581)</f>
        <v>1</v>
      </c>
      <c r="X581" s="143"/>
      <c r="Y581" s="145"/>
      <c r="AA581"/>
    </row>
    <row r="582" spans="1:27" s="115" customFormat="1" ht="13.5" customHeight="1">
      <c r="A582" s="139">
        <v>557</v>
      </c>
      <c r="B582" s="140" t="s">
        <v>5086</v>
      </c>
      <c r="C582" s="141" t="s">
        <v>1429</v>
      </c>
      <c r="D582" s="142" t="s">
        <v>1430</v>
      </c>
      <c r="E582" s="141" t="s">
        <v>2076</v>
      </c>
      <c r="F582" s="142" t="s">
        <v>2077</v>
      </c>
      <c r="G582" s="141" t="s">
        <v>2087</v>
      </c>
      <c r="H582" s="142" t="s">
        <v>2088</v>
      </c>
      <c r="I582" s="141" t="s">
        <v>2089</v>
      </c>
      <c r="J582" s="142" t="s">
        <v>2088</v>
      </c>
      <c r="K582" s="142" t="s">
        <v>760</v>
      </c>
      <c r="L582" s="143">
        <f t="shared" si="18"/>
        <v>1</v>
      </c>
      <c r="M582" s="144">
        <v>31202</v>
      </c>
      <c r="N582" s="141" t="s">
        <v>1429</v>
      </c>
      <c r="O582" s="142" t="s">
        <v>1430</v>
      </c>
      <c r="P582" s="141" t="s">
        <v>1962</v>
      </c>
      <c r="Q582" s="142" t="s">
        <v>2077</v>
      </c>
      <c r="R582" s="141" t="s">
        <v>1972</v>
      </c>
      <c r="S582" s="142" t="s">
        <v>2088</v>
      </c>
      <c r="T582" s="141" t="s">
        <v>1973</v>
      </c>
      <c r="U582" s="142" t="s">
        <v>2088</v>
      </c>
      <c r="V582" s="142" t="s">
        <v>760</v>
      </c>
      <c r="W582" s="141">
        <f t="shared" si="19"/>
        <v>1</v>
      </c>
      <c r="X582" s="143"/>
      <c r="Y582" s="145"/>
      <c r="AA582"/>
    </row>
    <row r="583" spans="1:27" s="115" customFormat="1" ht="13.5" customHeight="1">
      <c r="A583" s="139">
        <v>558</v>
      </c>
      <c r="B583" s="140" t="s">
        <v>5087</v>
      </c>
      <c r="C583" s="141" t="s">
        <v>1429</v>
      </c>
      <c r="D583" s="142" t="s">
        <v>1430</v>
      </c>
      <c r="E583" s="141" t="s">
        <v>2076</v>
      </c>
      <c r="F583" s="142" t="s">
        <v>2077</v>
      </c>
      <c r="G583" s="141" t="s">
        <v>2087</v>
      </c>
      <c r="H583" s="142" t="s">
        <v>2088</v>
      </c>
      <c r="I583" s="141" t="s">
        <v>2089</v>
      </c>
      <c r="J583" s="142" t="s">
        <v>2088</v>
      </c>
      <c r="K583" s="142" t="s">
        <v>761</v>
      </c>
      <c r="L583" s="143">
        <f t="shared" si="18"/>
        <v>1</v>
      </c>
      <c r="M583" s="144">
        <v>31201</v>
      </c>
      <c r="N583" s="141" t="s">
        <v>1429</v>
      </c>
      <c r="O583" s="142" t="s">
        <v>1430</v>
      </c>
      <c r="P583" s="141" t="s">
        <v>1962</v>
      </c>
      <c r="Q583" s="142" t="s">
        <v>2077</v>
      </c>
      <c r="R583" s="141" t="s">
        <v>1972</v>
      </c>
      <c r="S583" s="142" t="s">
        <v>2088</v>
      </c>
      <c r="T583" s="141" t="s">
        <v>1973</v>
      </c>
      <c r="U583" s="142" t="s">
        <v>2088</v>
      </c>
      <c r="V583" s="142" t="s">
        <v>761</v>
      </c>
      <c r="W583" s="141">
        <f t="shared" si="19"/>
        <v>1</v>
      </c>
      <c r="X583" s="143"/>
      <c r="Y583" s="145"/>
      <c r="AA583"/>
    </row>
    <row r="584" spans="1:27" s="115" customFormat="1" ht="27" customHeight="1">
      <c r="A584" s="139">
        <v>559</v>
      </c>
      <c r="B584" s="140" t="s">
        <v>5088</v>
      </c>
      <c r="C584" s="141" t="s">
        <v>1429</v>
      </c>
      <c r="D584" s="142" t="s">
        <v>1430</v>
      </c>
      <c r="E584" s="141" t="s">
        <v>2076</v>
      </c>
      <c r="F584" s="142" t="s">
        <v>2077</v>
      </c>
      <c r="G584" s="141" t="s">
        <v>2090</v>
      </c>
      <c r="H584" s="142" t="s">
        <v>2091</v>
      </c>
      <c r="I584" s="141" t="s">
        <v>2092</v>
      </c>
      <c r="J584" s="142" t="s">
        <v>2093</v>
      </c>
      <c r="K584" s="142" t="s">
        <v>762</v>
      </c>
      <c r="L584" s="143">
        <f t="shared" si="18"/>
        <v>1</v>
      </c>
      <c r="M584" s="144">
        <v>31322</v>
      </c>
      <c r="N584" s="141" t="s">
        <v>1429</v>
      </c>
      <c r="O584" s="142" t="s">
        <v>1430</v>
      </c>
      <c r="P584" s="141" t="s">
        <v>1962</v>
      </c>
      <c r="Q584" s="142" t="s">
        <v>2077</v>
      </c>
      <c r="R584" s="141" t="s">
        <v>1976</v>
      </c>
      <c r="S584" s="142" t="s">
        <v>2091</v>
      </c>
      <c r="T584" s="141" t="s">
        <v>2094</v>
      </c>
      <c r="U584" s="142" t="s">
        <v>2093</v>
      </c>
      <c r="V584" s="142" t="s">
        <v>762</v>
      </c>
      <c r="W584" s="141">
        <f t="shared" si="19"/>
        <v>1</v>
      </c>
      <c r="X584" s="143"/>
      <c r="Y584" s="145"/>
      <c r="AA584"/>
    </row>
    <row r="585" spans="1:27" s="115" customFormat="1" ht="27" customHeight="1">
      <c r="A585" s="139">
        <v>560</v>
      </c>
      <c r="B585" s="140" t="s">
        <v>5089</v>
      </c>
      <c r="C585" s="141" t="s">
        <v>1429</v>
      </c>
      <c r="D585" s="142" t="s">
        <v>1430</v>
      </c>
      <c r="E585" s="141" t="s">
        <v>2076</v>
      </c>
      <c r="F585" s="142" t="s">
        <v>2077</v>
      </c>
      <c r="G585" s="141" t="s">
        <v>2090</v>
      </c>
      <c r="H585" s="142" t="s">
        <v>2091</v>
      </c>
      <c r="I585" s="141" t="s">
        <v>2092</v>
      </c>
      <c r="J585" s="142" t="s">
        <v>2095</v>
      </c>
      <c r="K585" s="142" t="s">
        <v>763</v>
      </c>
      <c r="L585" s="143">
        <f t="shared" si="18"/>
        <v>1</v>
      </c>
      <c r="M585" s="144">
        <v>31311</v>
      </c>
      <c r="N585" s="141" t="s">
        <v>1429</v>
      </c>
      <c r="O585" s="142" t="s">
        <v>1430</v>
      </c>
      <c r="P585" s="141" t="s">
        <v>1962</v>
      </c>
      <c r="Q585" s="142" t="s">
        <v>2077</v>
      </c>
      <c r="R585" s="141" t="s">
        <v>1976</v>
      </c>
      <c r="S585" s="142" t="s">
        <v>2091</v>
      </c>
      <c r="T585" s="141" t="s">
        <v>2096</v>
      </c>
      <c r="U585" s="142" t="s">
        <v>2095</v>
      </c>
      <c r="V585" s="142" t="s">
        <v>763</v>
      </c>
      <c r="W585" s="141">
        <f t="shared" si="19"/>
        <v>1</v>
      </c>
      <c r="X585" s="143"/>
      <c r="Y585" s="145"/>
      <c r="AA585"/>
    </row>
    <row r="586" spans="1:27" s="115" customFormat="1" ht="27" customHeight="1">
      <c r="A586" s="139">
        <v>561</v>
      </c>
      <c r="B586" s="140" t="s">
        <v>5090</v>
      </c>
      <c r="C586" s="141" t="s">
        <v>1429</v>
      </c>
      <c r="D586" s="142" t="s">
        <v>1430</v>
      </c>
      <c r="E586" s="141" t="s">
        <v>2076</v>
      </c>
      <c r="F586" s="142" t="s">
        <v>2077</v>
      </c>
      <c r="G586" s="141" t="s">
        <v>2090</v>
      </c>
      <c r="H586" s="142" t="s">
        <v>2091</v>
      </c>
      <c r="I586" s="141" t="s">
        <v>2092</v>
      </c>
      <c r="J586" s="142" t="s">
        <v>2095</v>
      </c>
      <c r="K586" s="142" t="s">
        <v>764</v>
      </c>
      <c r="L586" s="143">
        <f t="shared" si="18"/>
        <v>1</v>
      </c>
      <c r="M586" s="144">
        <v>31312</v>
      </c>
      <c r="N586" s="141" t="s">
        <v>1429</v>
      </c>
      <c r="O586" s="142" t="s">
        <v>1430</v>
      </c>
      <c r="P586" s="141" t="s">
        <v>1962</v>
      </c>
      <c r="Q586" s="142" t="s">
        <v>2077</v>
      </c>
      <c r="R586" s="141" t="s">
        <v>1976</v>
      </c>
      <c r="S586" s="142" t="s">
        <v>2091</v>
      </c>
      <c r="T586" s="141" t="s">
        <v>2096</v>
      </c>
      <c r="U586" s="142" t="s">
        <v>2095</v>
      </c>
      <c r="V586" s="142" t="s">
        <v>764</v>
      </c>
      <c r="W586" s="141">
        <f t="shared" si="19"/>
        <v>1</v>
      </c>
      <c r="X586" s="143"/>
      <c r="Y586" s="145"/>
      <c r="AA586"/>
    </row>
    <row r="587" spans="1:27" s="115" customFormat="1" ht="27" customHeight="1">
      <c r="A587" s="139">
        <v>562</v>
      </c>
      <c r="B587" s="140" t="s">
        <v>5091</v>
      </c>
      <c r="C587" s="141" t="s">
        <v>1429</v>
      </c>
      <c r="D587" s="142" t="s">
        <v>1430</v>
      </c>
      <c r="E587" s="141" t="s">
        <v>2076</v>
      </c>
      <c r="F587" s="142" t="s">
        <v>2077</v>
      </c>
      <c r="G587" s="141" t="s">
        <v>2090</v>
      </c>
      <c r="H587" s="142" t="s">
        <v>2091</v>
      </c>
      <c r="I587" s="141" t="s">
        <v>2092</v>
      </c>
      <c r="J587" s="142" t="s">
        <v>2093</v>
      </c>
      <c r="K587" s="142" t="s">
        <v>765</v>
      </c>
      <c r="L587" s="143">
        <f t="shared" si="18"/>
        <v>1</v>
      </c>
      <c r="M587" s="144">
        <v>31321</v>
      </c>
      <c r="N587" s="141" t="s">
        <v>1429</v>
      </c>
      <c r="O587" s="142" t="s">
        <v>1430</v>
      </c>
      <c r="P587" s="141" t="s">
        <v>1962</v>
      </c>
      <c r="Q587" s="142" t="s">
        <v>2077</v>
      </c>
      <c r="R587" s="141" t="s">
        <v>1976</v>
      </c>
      <c r="S587" s="142" t="s">
        <v>2091</v>
      </c>
      <c r="T587" s="141" t="s">
        <v>2094</v>
      </c>
      <c r="U587" s="142" t="s">
        <v>2093</v>
      </c>
      <c r="V587" s="142" t="s">
        <v>765</v>
      </c>
      <c r="W587" s="141">
        <f t="shared" si="19"/>
        <v>1</v>
      </c>
      <c r="X587" s="143"/>
      <c r="Y587" s="145"/>
      <c r="AA587"/>
    </row>
    <row r="588" spans="1:27" s="115" customFormat="1" ht="27" customHeight="1">
      <c r="A588" s="139">
        <v>563</v>
      </c>
      <c r="B588" s="140" t="s">
        <v>5092</v>
      </c>
      <c r="C588" s="141" t="s">
        <v>1429</v>
      </c>
      <c r="D588" s="142" t="s">
        <v>1430</v>
      </c>
      <c r="E588" s="141" t="s">
        <v>2076</v>
      </c>
      <c r="F588" s="142" t="s">
        <v>2077</v>
      </c>
      <c r="G588" s="141" t="s">
        <v>2097</v>
      </c>
      <c r="H588" s="142" t="s">
        <v>2098</v>
      </c>
      <c r="I588" s="141" t="s">
        <v>2099</v>
      </c>
      <c r="J588" s="142" t="s">
        <v>162</v>
      </c>
      <c r="K588" s="142" t="s">
        <v>162</v>
      </c>
      <c r="L588" s="143">
        <f t="shared" si="18"/>
        <v>1</v>
      </c>
      <c r="M588" s="144">
        <v>31920</v>
      </c>
      <c r="N588" s="141" t="s">
        <v>1429</v>
      </c>
      <c r="O588" s="142" t="s">
        <v>1430</v>
      </c>
      <c r="P588" s="141" t="s">
        <v>1962</v>
      </c>
      <c r="Q588" s="142" t="s">
        <v>2077</v>
      </c>
      <c r="R588" s="141" t="s">
        <v>1993</v>
      </c>
      <c r="S588" s="142" t="s">
        <v>2098</v>
      </c>
      <c r="T588" s="141" t="s">
        <v>2100</v>
      </c>
      <c r="U588" s="142" t="s">
        <v>162</v>
      </c>
      <c r="V588" s="142" t="s">
        <v>162</v>
      </c>
      <c r="W588" s="141">
        <f t="shared" si="19"/>
        <v>1</v>
      </c>
      <c r="X588" s="143"/>
      <c r="Y588" s="145"/>
      <c r="AA588"/>
    </row>
    <row r="589" spans="1:27" s="115" customFormat="1" ht="27" customHeight="1">
      <c r="A589" s="139">
        <v>564</v>
      </c>
      <c r="B589" s="140" t="s">
        <v>5093</v>
      </c>
      <c r="C589" s="141" t="s">
        <v>1429</v>
      </c>
      <c r="D589" s="142" t="s">
        <v>1430</v>
      </c>
      <c r="E589" s="141" t="s">
        <v>2076</v>
      </c>
      <c r="F589" s="142" t="s">
        <v>2077</v>
      </c>
      <c r="G589" s="141" t="s">
        <v>2097</v>
      </c>
      <c r="H589" s="142" t="s">
        <v>2098</v>
      </c>
      <c r="I589" s="141" t="s">
        <v>2101</v>
      </c>
      <c r="J589" s="142" t="s">
        <v>2102</v>
      </c>
      <c r="K589" s="142" t="s">
        <v>766</v>
      </c>
      <c r="L589" s="143">
        <f t="shared" si="18"/>
        <v>1</v>
      </c>
      <c r="M589" s="144">
        <v>31991</v>
      </c>
      <c r="N589" s="141" t="s">
        <v>1429</v>
      </c>
      <c r="O589" s="142" t="s">
        <v>1430</v>
      </c>
      <c r="P589" s="141" t="s">
        <v>1962</v>
      </c>
      <c r="Q589" s="142" t="s">
        <v>2077</v>
      </c>
      <c r="R589" s="141" t="s">
        <v>1993</v>
      </c>
      <c r="S589" s="142" t="s">
        <v>2098</v>
      </c>
      <c r="T589" s="141" t="s">
        <v>2103</v>
      </c>
      <c r="U589" s="142" t="s">
        <v>2102</v>
      </c>
      <c r="V589" s="142" t="s">
        <v>766</v>
      </c>
      <c r="W589" s="141">
        <f t="shared" si="19"/>
        <v>1</v>
      </c>
      <c r="X589" s="143"/>
      <c r="Y589" s="145"/>
      <c r="AA589"/>
    </row>
    <row r="590" spans="1:27" s="115" customFormat="1" ht="27" customHeight="1">
      <c r="A590" s="139">
        <v>565</v>
      </c>
      <c r="B590" s="140" t="s">
        <v>5094</v>
      </c>
      <c r="C590" s="141" t="s">
        <v>1429</v>
      </c>
      <c r="D590" s="142" t="s">
        <v>1430</v>
      </c>
      <c r="E590" s="141" t="s">
        <v>2076</v>
      </c>
      <c r="F590" s="142" t="s">
        <v>2077</v>
      </c>
      <c r="G590" s="141" t="s">
        <v>2097</v>
      </c>
      <c r="H590" s="142" t="s">
        <v>2098</v>
      </c>
      <c r="I590" s="141" t="s">
        <v>2101</v>
      </c>
      <c r="J590" s="142" t="s">
        <v>767</v>
      </c>
      <c r="K590" s="142" t="s">
        <v>767</v>
      </c>
      <c r="L590" s="143">
        <f t="shared" si="18"/>
        <v>1</v>
      </c>
      <c r="M590" s="144">
        <v>31910</v>
      </c>
      <c r="N590" s="141" t="s">
        <v>1429</v>
      </c>
      <c r="O590" s="142" t="s">
        <v>1430</v>
      </c>
      <c r="P590" s="141" t="s">
        <v>1962</v>
      </c>
      <c r="Q590" s="142" t="s">
        <v>2077</v>
      </c>
      <c r="R590" s="141" t="s">
        <v>1993</v>
      </c>
      <c r="S590" s="142" t="s">
        <v>2098</v>
      </c>
      <c r="T590" s="141" t="s">
        <v>2104</v>
      </c>
      <c r="U590" s="142" t="s">
        <v>767</v>
      </c>
      <c r="V590" s="142" t="s">
        <v>767</v>
      </c>
      <c r="W590" s="141">
        <f t="shared" si="19"/>
        <v>1</v>
      </c>
      <c r="X590" s="143"/>
      <c r="Y590" s="145"/>
      <c r="AA590"/>
    </row>
    <row r="591" spans="1:27" s="115" customFormat="1" ht="27" customHeight="1">
      <c r="A591" s="139">
        <v>566</v>
      </c>
      <c r="B591" s="140" t="s">
        <v>5095</v>
      </c>
      <c r="C591" s="141" t="s">
        <v>1429</v>
      </c>
      <c r="D591" s="142" t="s">
        <v>1430</v>
      </c>
      <c r="E591" s="141" t="s">
        <v>2076</v>
      </c>
      <c r="F591" s="142" t="s">
        <v>2077</v>
      </c>
      <c r="G591" s="141" t="s">
        <v>2097</v>
      </c>
      <c r="H591" s="142" t="s">
        <v>2098</v>
      </c>
      <c r="I591" s="141" t="s">
        <v>2101</v>
      </c>
      <c r="J591" s="142" t="s">
        <v>2102</v>
      </c>
      <c r="K591" s="142" t="s">
        <v>768</v>
      </c>
      <c r="L591" s="143">
        <f t="shared" si="18"/>
        <v>1</v>
      </c>
      <c r="M591" s="144">
        <v>31999</v>
      </c>
      <c r="N591" s="141" t="s">
        <v>1429</v>
      </c>
      <c r="O591" s="142" t="s">
        <v>1430</v>
      </c>
      <c r="P591" s="141" t="s">
        <v>1962</v>
      </c>
      <c r="Q591" s="142" t="s">
        <v>2077</v>
      </c>
      <c r="R591" s="141" t="s">
        <v>1993</v>
      </c>
      <c r="S591" s="142" t="s">
        <v>2098</v>
      </c>
      <c r="T591" s="141" t="s">
        <v>2103</v>
      </c>
      <c r="U591" s="142" t="s">
        <v>2102</v>
      </c>
      <c r="V591" s="142" t="s">
        <v>768</v>
      </c>
      <c r="W591" s="141">
        <f t="shared" si="19"/>
        <v>1</v>
      </c>
      <c r="X591" s="143"/>
      <c r="Y591" s="145"/>
      <c r="AA591"/>
    </row>
    <row r="592" spans="1:27" s="115" customFormat="1" ht="27" customHeight="1">
      <c r="A592" s="139">
        <v>567</v>
      </c>
      <c r="B592" s="140" t="s">
        <v>5096</v>
      </c>
      <c r="C592" s="141" t="s">
        <v>1429</v>
      </c>
      <c r="D592" s="142" t="s">
        <v>1430</v>
      </c>
      <c r="E592" s="141" t="s">
        <v>2105</v>
      </c>
      <c r="F592" s="142" t="s">
        <v>2106</v>
      </c>
      <c r="G592" s="141" t="s">
        <v>2107</v>
      </c>
      <c r="H592" s="142" t="s">
        <v>2106</v>
      </c>
      <c r="I592" s="141" t="s">
        <v>2108</v>
      </c>
      <c r="J592" s="142" t="s">
        <v>2109</v>
      </c>
      <c r="K592" s="142" t="s">
        <v>163</v>
      </c>
      <c r="L592" s="143">
        <f t="shared" si="18"/>
        <v>1</v>
      </c>
      <c r="M592" s="144">
        <v>32091</v>
      </c>
      <c r="N592" s="141" t="s">
        <v>1429</v>
      </c>
      <c r="O592" s="142" t="s">
        <v>1430</v>
      </c>
      <c r="P592" s="141" t="s">
        <v>1999</v>
      </c>
      <c r="Q592" s="142" t="s">
        <v>2106</v>
      </c>
      <c r="R592" s="141" t="s">
        <v>2110</v>
      </c>
      <c r="S592" s="142" t="s">
        <v>2106</v>
      </c>
      <c r="T592" s="141" t="s">
        <v>2111</v>
      </c>
      <c r="U592" s="142" t="s">
        <v>2109</v>
      </c>
      <c r="V592" s="142" t="s">
        <v>163</v>
      </c>
      <c r="W592" s="141">
        <f t="shared" si="19"/>
        <v>1</v>
      </c>
      <c r="X592" s="143"/>
      <c r="Y592" s="145"/>
      <c r="AA592"/>
    </row>
    <row r="593" spans="1:27" s="115" customFormat="1" ht="13.5" customHeight="1">
      <c r="A593" s="139">
        <v>568</v>
      </c>
      <c r="B593" s="140" t="s">
        <v>5097</v>
      </c>
      <c r="C593" s="141" t="s">
        <v>1429</v>
      </c>
      <c r="D593" s="142" t="s">
        <v>1430</v>
      </c>
      <c r="E593" s="141" t="s">
        <v>2105</v>
      </c>
      <c r="F593" s="142" t="s">
        <v>2106</v>
      </c>
      <c r="G593" s="141" t="s">
        <v>2107</v>
      </c>
      <c r="H593" s="142" t="s">
        <v>2106</v>
      </c>
      <c r="I593" s="141" t="s">
        <v>2108</v>
      </c>
      <c r="J593" s="142" t="s">
        <v>2112</v>
      </c>
      <c r="K593" s="142" t="s">
        <v>769</v>
      </c>
      <c r="L593" s="143">
        <f t="shared" si="18"/>
        <v>1</v>
      </c>
      <c r="M593" s="144">
        <v>32029</v>
      </c>
      <c r="N593" s="141" t="s">
        <v>1429</v>
      </c>
      <c r="O593" s="142" t="s">
        <v>1430</v>
      </c>
      <c r="P593" s="141" t="s">
        <v>1999</v>
      </c>
      <c r="Q593" s="142" t="s">
        <v>2106</v>
      </c>
      <c r="R593" s="141" t="s">
        <v>2110</v>
      </c>
      <c r="S593" s="142" t="s">
        <v>2106</v>
      </c>
      <c r="T593" s="141" t="s">
        <v>2113</v>
      </c>
      <c r="U593" s="142" t="s">
        <v>2112</v>
      </c>
      <c r="V593" s="142" t="s">
        <v>769</v>
      </c>
      <c r="W593" s="141">
        <f t="shared" si="19"/>
        <v>1</v>
      </c>
      <c r="X593" s="143"/>
      <c r="Y593" s="145"/>
      <c r="AA593"/>
    </row>
    <row r="594" spans="1:27" s="115" customFormat="1" ht="13.5" customHeight="1">
      <c r="A594" s="139">
        <v>569</v>
      </c>
      <c r="B594" s="140" t="s">
        <v>5098</v>
      </c>
      <c r="C594" s="141" t="s">
        <v>1429</v>
      </c>
      <c r="D594" s="142" t="s">
        <v>1430</v>
      </c>
      <c r="E594" s="141" t="s">
        <v>2105</v>
      </c>
      <c r="F594" s="142" t="s">
        <v>2106</v>
      </c>
      <c r="G594" s="141" t="s">
        <v>2107</v>
      </c>
      <c r="H594" s="142" t="s">
        <v>2106</v>
      </c>
      <c r="I594" s="141" t="s">
        <v>2108</v>
      </c>
      <c r="J594" s="142" t="s">
        <v>2109</v>
      </c>
      <c r="K594" s="142" t="s">
        <v>770</v>
      </c>
      <c r="L594" s="143">
        <f t="shared" si="18"/>
        <v>1</v>
      </c>
      <c r="M594" s="144">
        <v>32099</v>
      </c>
      <c r="N594" s="141" t="s">
        <v>1429</v>
      </c>
      <c r="O594" s="142" t="s">
        <v>1430</v>
      </c>
      <c r="P594" s="141" t="s">
        <v>1999</v>
      </c>
      <c r="Q594" s="142" t="s">
        <v>2106</v>
      </c>
      <c r="R594" s="141" t="s">
        <v>2110</v>
      </c>
      <c r="S594" s="142" t="s">
        <v>2106</v>
      </c>
      <c r="T594" s="141" t="s">
        <v>2111</v>
      </c>
      <c r="U594" s="142" t="s">
        <v>2109</v>
      </c>
      <c r="V594" s="142" t="s">
        <v>770</v>
      </c>
      <c r="W594" s="141">
        <f t="shared" si="19"/>
        <v>1</v>
      </c>
      <c r="X594" s="143"/>
      <c r="Y594" s="145"/>
      <c r="AA594"/>
    </row>
    <row r="595" spans="1:27" s="115" customFormat="1" ht="27" customHeight="1">
      <c r="A595" s="139">
        <v>570</v>
      </c>
      <c r="B595" s="140" t="s">
        <v>5099</v>
      </c>
      <c r="C595" s="141" t="s">
        <v>1429</v>
      </c>
      <c r="D595" s="142" t="s">
        <v>1430</v>
      </c>
      <c r="E595" s="141" t="s">
        <v>2105</v>
      </c>
      <c r="F595" s="142" t="s">
        <v>2106</v>
      </c>
      <c r="G595" s="141" t="s">
        <v>2107</v>
      </c>
      <c r="H595" s="142" t="s">
        <v>2106</v>
      </c>
      <c r="I595" s="141" t="s">
        <v>2108</v>
      </c>
      <c r="J595" s="142" t="s">
        <v>2114</v>
      </c>
      <c r="K595" s="142" t="s">
        <v>771</v>
      </c>
      <c r="L595" s="143">
        <f t="shared" si="18"/>
        <v>1</v>
      </c>
      <c r="M595" s="144">
        <v>32011</v>
      </c>
      <c r="N595" s="141" t="s">
        <v>1429</v>
      </c>
      <c r="O595" s="142" t="s">
        <v>1430</v>
      </c>
      <c r="P595" s="141" t="s">
        <v>1999</v>
      </c>
      <c r="Q595" s="142" t="s">
        <v>2106</v>
      </c>
      <c r="R595" s="141" t="s">
        <v>2110</v>
      </c>
      <c r="S595" s="142" t="s">
        <v>2106</v>
      </c>
      <c r="T595" s="141" t="s">
        <v>2115</v>
      </c>
      <c r="U595" s="142" t="s">
        <v>2114</v>
      </c>
      <c r="V595" s="142" t="s">
        <v>771</v>
      </c>
      <c r="W595" s="141">
        <f t="shared" si="19"/>
        <v>1</v>
      </c>
      <c r="X595" s="143"/>
      <c r="Y595" s="145"/>
      <c r="AA595"/>
    </row>
    <row r="596" spans="1:27" s="115" customFormat="1" ht="13.5" customHeight="1">
      <c r="A596" s="139">
        <v>571</v>
      </c>
      <c r="B596" s="140" t="s">
        <v>5100</v>
      </c>
      <c r="C596" s="141" t="s">
        <v>1429</v>
      </c>
      <c r="D596" s="142" t="s">
        <v>1430</v>
      </c>
      <c r="E596" s="141" t="s">
        <v>2105</v>
      </c>
      <c r="F596" s="142" t="s">
        <v>2106</v>
      </c>
      <c r="G596" s="141" t="s">
        <v>2107</v>
      </c>
      <c r="H596" s="142" t="s">
        <v>2106</v>
      </c>
      <c r="I596" s="141" t="s">
        <v>2108</v>
      </c>
      <c r="J596" s="142" t="s">
        <v>2114</v>
      </c>
      <c r="K596" s="142" t="s">
        <v>772</v>
      </c>
      <c r="L596" s="143">
        <f t="shared" si="18"/>
        <v>1</v>
      </c>
      <c r="M596" s="144">
        <v>32019</v>
      </c>
      <c r="N596" s="141" t="s">
        <v>1429</v>
      </c>
      <c r="O596" s="142" t="s">
        <v>1430</v>
      </c>
      <c r="P596" s="141" t="s">
        <v>1999</v>
      </c>
      <c r="Q596" s="142" t="s">
        <v>2106</v>
      </c>
      <c r="R596" s="141" t="s">
        <v>2110</v>
      </c>
      <c r="S596" s="142" t="s">
        <v>2106</v>
      </c>
      <c r="T596" s="141" t="s">
        <v>2115</v>
      </c>
      <c r="U596" s="142" t="s">
        <v>2114</v>
      </c>
      <c r="V596" s="142" t="s">
        <v>772</v>
      </c>
      <c r="W596" s="141">
        <f t="shared" si="19"/>
        <v>1</v>
      </c>
      <c r="X596" s="143"/>
      <c r="Y596" s="145"/>
      <c r="AA596"/>
    </row>
    <row r="597" spans="1:27" s="115" customFormat="1" ht="13.5" customHeight="1">
      <c r="A597" s="139">
        <v>572</v>
      </c>
      <c r="B597" s="140" t="s">
        <v>5101</v>
      </c>
      <c r="C597" s="141" t="s">
        <v>1429</v>
      </c>
      <c r="D597" s="142" t="s">
        <v>1430</v>
      </c>
      <c r="E597" s="141" t="s">
        <v>2105</v>
      </c>
      <c r="F597" s="142" t="s">
        <v>2106</v>
      </c>
      <c r="G597" s="141" t="s">
        <v>2107</v>
      </c>
      <c r="H597" s="142" t="s">
        <v>2106</v>
      </c>
      <c r="I597" s="141" t="s">
        <v>2108</v>
      </c>
      <c r="J597" s="142" t="s">
        <v>2112</v>
      </c>
      <c r="K597" s="142" t="s">
        <v>773</v>
      </c>
      <c r="L597" s="143">
        <f t="shared" si="18"/>
        <v>1</v>
      </c>
      <c r="M597" s="144">
        <v>32021</v>
      </c>
      <c r="N597" s="141" t="s">
        <v>1429</v>
      </c>
      <c r="O597" s="142" t="s">
        <v>1430</v>
      </c>
      <c r="P597" s="141" t="s">
        <v>1999</v>
      </c>
      <c r="Q597" s="142" t="s">
        <v>2106</v>
      </c>
      <c r="R597" s="141" t="s">
        <v>2110</v>
      </c>
      <c r="S597" s="142" t="s">
        <v>2106</v>
      </c>
      <c r="T597" s="141" t="s">
        <v>2113</v>
      </c>
      <c r="U597" s="142" t="s">
        <v>2112</v>
      </c>
      <c r="V597" s="142" t="s">
        <v>773</v>
      </c>
      <c r="W597" s="141">
        <f t="shared" si="19"/>
        <v>1</v>
      </c>
      <c r="X597" s="143"/>
      <c r="Y597" s="145"/>
      <c r="AA597"/>
    </row>
    <row r="598" spans="1:27" s="115" customFormat="1" ht="13.5" customHeight="1">
      <c r="A598" s="139">
        <v>573</v>
      </c>
      <c r="B598" s="140" t="s">
        <v>5102</v>
      </c>
      <c r="C598" s="141" t="s">
        <v>1429</v>
      </c>
      <c r="D598" s="142" t="s">
        <v>1430</v>
      </c>
      <c r="E598" s="141" t="s">
        <v>2105</v>
      </c>
      <c r="F598" s="142" t="s">
        <v>2116</v>
      </c>
      <c r="G598" s="141" t="s">
        <v>2117</v>
      </c>
      <c r="H598" s="142" t="s">
        <v>2118</v>
      </c>
      <c r="I598" s="141" t="s">
        <v>2119</v>
      </c>
      <c r="J598" s="142" t="s">
        <v>164</v>
      </c>
      <c r="K598" s="142" t="s">
        <v>164</v>
      </c>
      <c r="L598" s="143">
        <f t="shared" si="18"/>
        <v>1</v>
      </c>
      <c r="M598" s="144">
        <v>33110</v>
      </c>
      <c r="N598" s="141" t="s">
        <v>1429</v>
      </c>
      <c r="O598" s="142" t="s">
        <v>1430</v>
      </c>
      <c r="P598" s="141" t="s">
        <v>2027</v>
      </c>
      <c r="Q598" s="142" t="s">
        <v>2116</v>
      </c>
      <c r="R598" s="141" t="s">
        <v>2029</v>
      </c>
      <c r="S598" s="142" t="s">
        <v>2118</v>
      </c>
      <c r="T598" s="141" t="s">
        <v>2031</v>
      </c>
      <c r="U598" s="142" t="s">
        <v>164</v>
      </c>
      <c r="V598" s="142" t="s">
        <v>164</v>
      </c>
      <c r="W598" s="141">
        <f t="shared" si="19"/>
        <v>1</v>
      </c>
      <c r="X598" s="143"/>
      <c r="Y598" s="145"/>
      <c r="AA598"/>
    </row>
    <row r="599" spans="1:27" s="115" customFormat="1" ht="27" customHeight="1">
      <c r="A599" s="139">
        <v>574</v>
      </c>
      <c r="B599" s="140" t="s">
        <v>5103</v>
      </c>
      <c r="C599" s="141" t="s">
        <v>1429</v>
      </c>
      <c r="D599" s="142" t="s">
        <v>1430</v>
      </c>
      <c r="E599" s="141" t="s">
        <v>2105</v>
      </c>
      <c r="F599" s="142" t="s">
        <v>2116</v>
      </c>
      <c r="G599" s="141" t="s">
        <v>2117</v>
      </c>
      <c r="H599" s="142" t="s">
        <v>2120</v>
      </c>
      <c r="I599" s="141" t="s">
        <v>2121</v>
      </c>
      <c r="J599" s="142" t="s">
        <v>2120</v>
      </c>
      <c r="K599" s="142" t="s">
        <v>774</v>
      </c>
      <c r="L599" s="143">
        <f t="shared" si="18"/>
        <v>1</v>
      </c>
      <c r="M599" s="144">
        <v>33209</v>
      </c>
      <c r="N599" s="141" t="s">
        <v>1429</v>
      </c>
      <c r="O599" s="142" t="s">
        <v>1430</v>
      </c>
      <c r="P599" s="141" t="s">
        <v>2027</v>
      </c>
      <c r="Q599" s="142" t="s">
        <v>2116</v>
      </c>
      <c r="R599" s="141" t="s">
        <v>2040</v>
      </c>
      <c r="S599" s="142" t="s">
        <v>2120</v>
      </c>
      <c r="T599" s="141" t="s">
        <v>2042</v>
      </c>
      <c r="U599" s="142" t="s">
        <v>2120</v>
      </c>
      <c r="V599" s="142" t="s">
        <v>774</v>
      </c>
      <c r="W599" s="141">
        <f t="shared" si="19"/>
        <v>1</v>
      </c>
      <c r="X599" s="143"/>
      <c r="Y599" s="145"/>
      <c r="AA599"/>
    </row>
    <row r="600" spans="1:27" s="115" customFormat="1" ht="27" customHeight="1">
      <c r="A600" s="139">
        <v>575</v>
      </c>
      <c r="B600" s="140" t="s">
        <v>5104</v>
      </c>
      <c r="C600" s="141" t="s">
        <v>1429</v>
      </c>
      <c r="D600" s="142" t="s">
        <v>1430</v>
      </c>
      <c r="E600" s="141" t="s">
        <v>2105</v>
      </c>
      <c r="F600" s="142" t="s">
        <v>2116</v>
      </c>
      <c r="G600" s="141" t="s">
        <v>2117</v>
      </c>
      <c r="H600" s="142" t="s">
        <v>2120</v>
      </c>
      <c r="I600" s="141" t="s">
        <v>2121</v>
      </c>
      <c r="J600" s="142" t="s">
        <v>2120</v>
      </c>
      <c r="K600" s="142" t="s">
        <v>775</v>
      </c>
      <c r="L600" s="143">
        <f t="shared" si="18"/>
        <v>1</v>
      </c>
      <c r="M600" s="144">
        <v>33201</v>
      </c>
      <c r="N600" s="141" t="s">
        <v>1429</v>
      </c>
      <c r="O600" s="142" t="s">
        <v>1430</v>
      </c>
      <c r="P600" s="141" t="s">
        <v>2027</v>
      </c>
      <c r="Q600" s="142" t="s">
        <v>2116</v>
      </c>
      <c r="R600" s="141" t="s">
        <v>2040</v>
      </c>
      <c r="S600" s="142" t="s">
        <v>2120</v>
      </c>
      <c r="T600" s="141" t="s">
        <v>2042</v>
      </c>
      <c r="U600" s="142" t="s">
        <v>2120</v>
      </c>
      <c r="V600" s="142" t="s">
        <v>775</v>
      </c>
      <c r="W600" s="141">
        <f t="shared" si="19"/>
        <v>1</v>
      </c>
      <c r="X600" s="143"/>
      <c r="Y600" s="145"/>
      <c r="AA600"/>
    </row>
    <row r="601" spans="1:27" s="115" customFormat="1" ht="13.5" customHeight="1">
      <c r="A601" s="139">
        <v>576</v>
      </c>
      <c r="B601" s="140" t="s">
        <v>5105</v>
      </c>
      <c r="C601" s="141" t="s">
        <v>1429</v>
      </c>
      <c r="D601" s="142" t="s">
        <v>1430</v>
      </c>
      <c r="E601" s="141" t="s">
        <v>2105</v>
      </c>
      <c r="F601" s="142" t="s">
        <v>2116</v>
      </c>
      <c r="G601" s="141" t="s">
        <v>2117</v>
      </c>
      <c r="H601" s="142" t="s">
        <v>2120</v>
      </c>
      <c r="I601" s="141" t="s">
        <v>2121</v>
      </c>
      <c r="J601" s="142" t="s">
        <v>2120</v>
      </c>
      <c r="K601" s="142" t="s">
        <v>776</v>
      </c>
      <c r="L601" s="143">
        <f t="shared" si="18"/>
        <v>1</v>
      </c>
      <c r="M601" s="144">
        <v>33202</v>
      </c>
      <c r="N601" s="141" t="s">
        <v>1429</v>
      </c>
      <c r="O601" s="142" t="s">
        <v>1430</v>
      </c>
      <c r="P601" s="141" t="s">
        <v>2027</v>
      </c>
      <c r="Q601" s="142" t="s">
        <v>2116</v>
      </c>
      <c r="R601" s="141" t="s">
        <v>2040</v>
      </c>
      <c r="S601" s="142" t="s">
        <v>2120</v>
      </c>
      <c r="T601" s="141" t="s">
        <v>2042</v>
      </c>
      <c r="U601" s="142" t="s">
        <v>2120</v>
      </c>
      <c r="V601" s="142" t="s">
        <v>776</v>
      </c>
      <c r="W601" s="141">
        <f t="shared" si="19"/>
        <v>1</v>
      </c>
      <c r="X601" s="143"/>
      <c r="Y601" s="145"/>
      <c r="AA601"/>
    </row>
    <row r="602" spans="1:27" s="115" customFormat="1" ht="13.5" customHeight="1">
      <c r="A602" s="139">
        <v>577</v>
      </c>
      <c r="B602" s="140" t="s">
        <v>5106</v>
      </c>
      <c r="C602" s="141" t="s">
        <v>1429</v>
      </c>
      <c r="D602" s="142" t="s">
        <v>1430</v>
      </c>
      <c r="E602" s="141" t="s">
        <v>2105</v>
      </c>
      <c r="F602" s="142" t="s">
        <v>2116</v>
      </c>
      <c r="G602" s="141" t="s">
        <v>2117</v>
      </c>
      <c r="H602" s="142" t="s">
        <v>2122</v>
      </c>
      <c r="I602" s="141" t="s">
        <v>2123</v>
      </c>
      <c r="J602" s="142" t="s">
        <v>2122</v>
      </c>
      <c r="K602" s="142" t="s">
        <v>777</v>
      </c>
      <c r="L602" s="143">
        <f t="shared" si="18"/>
        <v>1</v>
      </c>
      <c r="M602" s="144">
        <v>33301</v>
      </c>
      <c r="N602" s="141" t="s">
        <v>1429</v>
      </c>
      <c r="O602" s="142" t="s">
        <v>1430</v>
      </c>
      <c r="P602" s="141" t="s">
        <v>2027</v>
      </c>
      <c r="Q602" s="142" t="s">
        <v>2116</v>
      </c>
      <c r="R602" s="141" t="s">
        <v>2048</v>
      </c>
      <c r="S602" s="142" t="s">
        <v>2122</v>
      </c>
      <c r="T602" s="141" t="s">
        <v>2049</v>
      </c>
      <c r="U602" s="142" t="s">
        <v>2122</v>
      </c>
      <c r="V602" s="142" t="s">
        <v>777</v>
      </c>
      <c r="W602" s="141">
        <f t="shared" si="19"/>
        <v>1</v>
      </c>
      <c r="X602" s="143"/>
      <c r="Y602" s="145"/>
      <c r="AA602"/>
    </row>
    <row r="603" spans="1:27" s="115" customFormat="1" ht="13.5" customHeight="1">
      <c r="A603" s="139">
        <v>578</v>
      </c>
      <c r="B603" s="140" t="s">
        <v>5107</v>
      </c>
      <c r="C603" s="141" t="s">
        <v>1429</v>
      </c>
      <c r="D603" s="142" t="s">
        <v>1430</v>
      </c>
      <c r="E603" s="141" t="s">
        <v>2105</v>
      </c>
      <c r="F603" s="142" t="s">
        <v>2116</v>
      </c>
      <c r="G603" s="141" t="s">
        <v>2117</v>
      </c>
      <c r="H603" s="142" t="s">
        <v>2122</v>
      </c>
      <c r="I603" s="141" t="s">
        <v>2123</v>
      </c>
      <c r="J603" s="142" t="s">
        <v>2122</v>
      </c>
      <c r="K603" s="142" t="s">
        <v>165</v>
      </c>
      <c r="L603" s="143">
        <f t="shared" si="18"/>
        <v>1</v>
      </c>
      <c r="M603" s="144">
        <v>33309</v>
      </c>
      <c r="N603" s="141" t="s">
        <v>1429</v>
      </c>
      <c r="O603" s="142" t="s">
        <v>1430</v>
      </c>
      <c r="P603" s="141" t="s">
        <v>2027</v>
      </c>
      <c r="Q603" s="142" t="s">
        <v>2116</v>
      </c>
      <c r="R603" s="141" t="s">
        <v>2048</v>
      </c>
      <c r="S603" s="142" t="s">
        <v>2122</v>
      </c>
      <c r="T603" s="141" t="s">
        <v>2049</v>
      </c>
      <c r="U603" s="142" t="s">
        <v>2122</v>
      </c>
      <c r="V603" s="142" t="s">
        <v>165</v>
      </c>
      <c r="W603" s="141">
        <f t="shared" si="19"/>
        <v>1</v>
      </c>
      <c r="X603" s="143"/>
      <c r="Y603" s="145"/>
      <c r="AA603"/>
    </row>
    <row r="604" spans="1:27" s="115" customFormat="1" ht="27" customHeight="1">
      <c r="A604" s="139">
        <v>579</v>
      </c>
      <c r="B604" s="140" t="s">
        <v>5108</v>
      </c>
      <c r="C604" s="141" t="s">
        <v>1429</v>
      </c>
      <c r="D604" s="142" t="s">
        <v>1430</v>
      </c>
      <c r="E604" s="141" t="s">
        <v>2105</v>
      </c>
      <c r="F604" s="142" t="s">
        <v>2116</v>
      </c>
      <c r="G604" s="141" t="s">
        <v>2117</v>
      </c>
      <c r="H604" s="142" t="s">
        <v>2122</v>
      </c>
      <c r="I604" s="141" t="s">
        <v>2123</v>
      </c>
      <c r="J604" s="142" t="s">
        <v>2122</v>
      </c>
      <c r="K604" s="142" t="s">
        <v>778</v>
      </c>
      <c r="L604" s="143">
        <f t="shared" si="18"/>
        <v>1</v>
      </c>
      <c r="M604" s="144">
        <v>33302</v>
      </c>
      <c r="N604" s="141" t="s">
        <v>1429</v>
      </c>
      <c r="O604" s="142" t="s">
        <v>1430</v>
      </c>
      <c r="P604" s="141" t="s">
        <v>2027</v>
      </c>
      <c r="Q604" s="142" t="s">
        <v>2116</v>
      </c>
      <c r="R604" s="141" t="s">
        <v>2048</v>
      </c>
      <c r="S604" s="142" t="s">
        <v>2122</v>
      </c>
      <c r="T604" s="141" t="s">
        <v>2049</v>
      </c>
      <c r="U604" s="142" t="s">
        <v>2122</v>
      </c>
      <c r="V604" s="142" t="s">
        <v>778</v>
      </c>
      <c r="W604" s="141">
        <f t="shared" si="19"/>
        <v>1</v>
      </c>
      <c r="X604" s="143"/>
      <c r="Y604" s="145"/>
      <c r="AA604"/>
    </row>
    <row r="605" spans="1:27" s="115" customFormat="1" ht="27" customHeight="1">
      <c r="A605" s="139">
        <v>580</v>
      </c>
      <c r="B605" s="140" t="s">
        <v>5109</v>
      </c>
      <c r="C605" s="141" t="s">
        <v>1429</v>
      </c>
      <c r="D605" s="142" t="s">
        <v>1430</v>
      </c>
      <c r="E605" s="141" t="s">
        <v>2105</v>
      </c>
      <c r="F605" s="142" t="s">
        <v>2116</v>
      </c>
      <c r="G605" s="141" t="s">
        <v>2117</v>
      </c>
      <c r="H605" s="142" t="s">
        <v>2122</v>
      </c>
      <c r="I605" s="141" t="s">
        <v>2123</v>
      </c>
      <c r="J605" s="142" t="s">
        <v>2122</v>
      </c>
      <c r="K605" s="142" t="s">
        <v>779</v>
      </c>
      <c r="L605" s="143">
        <f t="shared" si="18"/>
        <v>1</v>
      </c>
      <c r="M605" s="144">
        <v>33303</v>
      </c>
      <c r="N605" s="141" t="s">
        <v>1429</v>
      </c>
      <c r="O605" s="142" t="s">
        <v>1430</v>
      </c>
      <c r="P605" s="141" t="s">
        <v>2027</v>
      </c>
      <c r="Q605" s="142" t="s">
        <v>2116</v>
      </c>
      <c r="R605" s="141" t="s">
        <v>2048</v>
      </c>
      <c r="S605" s="142" t="s">
        <v>2122</v>
      </c>
      <c r="T605" s="141" t="s">
        <v>2049</v>
      </c>
      <c r="U605" s="142" t="s">
        <v>2122</v>
      </c>
      <c r="V605" s="142" t="s">
        <v>779</v>
      </c>
      <c r="W605" s="141">
        <f t="shared" si="19"/>
        <v>1</v>
      </c>
      <c r="X605" s="143"/>
      <c r="Y605" s="145"/>
      <c r="AA605"/>
    </row>
    <row r="606" spans="1:27" s="115" customFormat="1" ht="27" customHeight="1">
      <c r="A606" s="139">
        <v>581</v>
      </c>
      <c r="B606" s="140" t="s">
        <v>5110</v>
      </c>
      <c r="C606" s="141" t="s">
        <v>1429</v>
      </c>
      <c r="D606" s="142" t="s">
        <v>1430</v>
      </c>
      <c r="E606" s="141" t="s">
        <v>2105</v>
      </c>
      <c r="F606" s="142" t="s">
        <v>2116</v>
      </c>
      <c r="G606" s="141" t="s">
        <v>2117</v>
      </c>
      <c r="H606" s="142" t="s">
        <v>2124</v>
      </c>
      <c r="I606" s="141" t="s">
        <v>2125</v>
      </c>
      <c r="J606" s="142" t="s">
        <v>2124</v>
      </c>
      <c r="K606" s="142" t="s">
        <v>166</v>
      </c>
      <c r="L606" s="143">
        <f t="shared" si="18"/>
        <v>1</v>
      </c>
      <c r="M606" s="144">
        <v>33401</v>
      </c>
      <c r="N606" s="141" t="s">
        <v>1429</v>
      </c>
      <c r="O606" s="142" t="s">
        <v>1430</v>
      </c>
      <c r="P606" s="141" t="s">
        <v>2027</v>
      </c>
      <c r="Q606" s="142" t="s">
        <v>2116</v>
      </c>
      <c r="R606" s="141" t="s">
        <v>2126</v>
      </c>
      <c r="S606" s="142" t="s">
        <v>2124</v>
      </c>
      <c r="T606" s="141" t="s">
        <v>2127</v>
      </c>
      <c r="U606" s="142" t="s">
        <v>2124</v>
      </c>
      <c r="V606" s="142" t="s">
        <v>166</v>
      </c>
      <c r="W606" s="141">
        <f t="shared" si="19"/>
        <v>2</v>
      </c>
      <c r="X606" s="143">
        <v>2</v>
      </c>
      <c r="Y606" s="145" t="s">
        <v>2128</v>
      </c>
      <c r="AA606"/>
    </row>
    <row r="607" spans="1:27" s="115" customFormat="1" ht="27" customHeight="1">
      <c r="A607" s="139">
        <v>582</v>
      </c>
      <c r="B607" s="140" t="s">
        <v>5111</v>
      </c>
      <c r="C607" s="141" t="s">
        <v>1429</v>
      </c>
      <c r="D607" s="142" t="s">
        <v>1430</v>
      </c>
      <c r="E607" s="141" t="s">
        <v>2105</v>
      </c>
      <c r="F607" s="142" t="s">
        <v>2116</v>
      </c>
      <c r="G607" s="141" t="s">
        <v>2117</v>
      </c>
      <c r="H607" s="142" t="s">
        <v>2124</v>
      </c>
      <c r="I607" s="141" t="s">
        <v>2125</v>
      </c>
      <c r="J607" s="142" t="s">
        <v>2124</v>
      </c>
      <c r="K607" s="142" t="s">
        <v>166</v>
      </c>
      <c r="L607" s="143">
        <f t="shared" si="18"/>
        <v>1</v>
      </c>
      <c r="M607" s="144">
        <v>33401</v>
      </c>
      <c r="N607" s="141" t="s">
        <v>1429</v>
      </c>
      <c r="O607" s="142" t="s">
        <v>1430</v>
      </c>
      <c r="P607" s="141" t="s">
        <v>2027</v>
      </c>
      <c r="Q607" s="142" t="s">
        <v>2116</v>
      </c>
      <c r="R607" s="141" t="s">
        <v>2126</v>
      </c>
      <c r="S607" s="142" t="s">
        <v>2124</v>
      </c>
      <c r="T607" s="141" t="s">
        <v>2127</v>
      </c>
      <c r="U607" s="142" t="s">
        <v>2124</v>
      </c>
      <c r="V607" s="142" t="s">
        <v>166</v>
      </c>
      <c r="W607" s="141">
        <f t="shared" si="19"/>
        <v>2</v>
      </c>
      <c r="X607" s="143">
        <v>2</v>
      </c>
      <c r="Y607" s="145" t="s">
        <v>2129</v>
      </c>
      <c r="AA607"/>
    </row>
    <row r="608" spans="1:27" s="115" customFormat="1" ht="27" customHeight="1">
      <c r="A608" s="139">
        <v>583</v>
      </c>
      <c r="B608" s="140" t="s">
        <v>5112</v>
      </c>
      <c r="C608" s="141" t="s">
        <v>1429</v>
      </c>
      <c r="D608" s="142" t="s">
        <v>1430</v>
      </c>
      <c r="E608" s="141" t="s">
        <v>2105</v>
      </c>
      <c r="F608" s="142" t="s">
        <v>2116</v>
      </c>
      <c r="G608" s="141" t="s">
        <v>2117</v>
      </c>
      <c r="H608" s="142" t="s">
        <v>2124</v>
      </c>
      <c r="I608" s="141" t="s">
        <v>2125</v>
      </c>
      <c r="J608" s="142" t="s">
        <v>2124</v>
      </c>
      <c r="K608" s="142" t="s">
        <v>780</v>
      </c>
      <c r="L608" s="143">
        <f t="shared" si="18"/>
        <v>1</v>
      </c>
      <c r="M608" s="144">
        <v>33402</v>
      </c>
      <c r="N608" s="141" t="s">
        <v>1429</v>
      </c>
      <c r="O608" s="142" t="s">
        <v>1430</v>
      </c>
      <c r="P608" s="141" t="s">
        <v>2027</v>
      </c>
      <c r="Q608" s="142" t="s">
        <v>2116</v>
      </c>
      <c r="R608" s="141" t="s">
        <v>2126</v>
      </c>
      <c r="S608" s="142" t="s">
        <v>2124</v>
      </c>
      <c r="T608" s="141" t="s">
        <v>2127</v>
      </c>
      <c r="U608" s="142" t="s">
        <v>2124</v>
      </c>
      <c r="V608" s="142" t="s">
        <v>780</v>
      </c>
      <c r="W608" s="141">
        <f t="shared" si="19"/>
        <v>1</v>
      </c>
      <c r="X608" s="143"/>
      <c r="Y608" s="145"/>
      <c r="AA608"/>
    </row>
    <row r="609" spans="1:27" s="115" customFormat="1" ht="27" customHeight="1">
      <c r="A609" s="139">
        <v>584</v>
      </c>
      <c r="B609" s="140" t="s">
        <v>5113</v>
      </c>
      <c r="C609" s="141" t="s">
        <v>1429</v>
      </c>
      <c r="D609" s="142" t="s">
        <v>1430</v>
      </c>
      <c r="E609" s="141" t="s">
        <v>2105</v>
      </c>
      <c r="F609" s="142" t="s">
        <v>2116</v>
      </c>
      <c r="G609" s="141" t="s">
        <v>2117</v>
      </c>
      <c r="H609" s="142" t="s">
        <v>2124</v>
      </c>
      <c r="I609" s="141" t="s">
        <v>2125</v>
      </c>
      <c r="J609" s="142" t="s">
        <v>2124</v>
      </c>
      <c r="K609" s="142" t="s">
        <v>167</v>
      </c>
      <c r="L609" s="143">
        <f t="shared" si="18"/>
        <v>1</v>
      </c>
      <c r="M609" s="144">
        <v>33409</v>
      </c>
      <c r="N609" s="141" t="s">
        <v>1429</v>
      </c>
      <c r="O609" s="142" t="s">
        <v>1430</v>
      </c>
      <c r="P609" s="141" t="s">
        <v>2027</v>
      </c>
      <c r="Q609" s="142" t="s">
        <v>2116</v>
      </c>
      <c r="R609" s="141" t="s">
        <v>2126</v>
      </c>
      <c r="S609" s="142" t="s">
        <v>2124</v>
      </c>
      <c r="T609" s="141" t="s">
        <v>2127</v>
      </c>
      <c r="U609" s="142" t="s">
        <v>2124</v>
      </c>
      <c r="V609" s="142" t="s">
        <v>167</v>
      </c>
      <c r="W609" s="141">
        <f t="shared" si="19"/>
        <v>2</v>
      </c>
      <c r="X609" s="143">
        <v>1</v>
      </c>
      <c r="Y609" s="145"/>
      <c r="AA609"/>
    </row>
    <row r="610" spans="1:27" s="115" customFormat="1" ht="27" customHeight="1">
      <c r="A610" s="139">
        <v>585</v>
      </c>
      <c r="B610" s="140" t="s">
        <v>6058</v>
      </c>
      <c r="C610" s="141" t="s">
        <v>1429</v>
      </c>
      <c r="D610" s="142" t="s">
        <v>1430</v>
      </c>
      <c r="E610" s="141" t="s">
        <v>2105</v>
      </c>
      <c r="F610" s="142" t="s">
        <v>2116</v>
      </c>
      <c r="G610" s="141" t="s">
        <v>2117</v>
      </c>
      <c r="H610" s="142" t="s">
        <v>2124</v>
      </c>
      <c r="I610" s="141" t="s">
        <v>2125</v>
      </c>
      <c r="J610" s="142" t="s">
        <v>2124</v>
      </c>
      <c r="K610" s="142" t="s">
        <v>167</v>
      </c>
      <c r="L610" s="143">
        <f t="shared" si="18"/>
        <v>1</v>
      </c>
      <c r="M610" s="144">
        <v>33409</v>
      </c>
      <c r="N610" s="141" t="s">
        <v>1429</v>
      </c>
      <c r="O610" s="142" t="s">
        <v>1430</v>
      </c>
      <c r="P610" s="141" t="s">
        <v>2027</v>
      </c>
      <c r="Q610" s="142" t="s">
        <v>2116</v>
      </c>
      <c r="R610" s="141" t="s">
        <v>2126</v>
      </c>
      <c r="S610" s="142" t="s">
        <v>2124</v>
      </c>
      <c r="T610" s="141" t="s">
        <v>2127</v>
      </c>
      <c r="U610" s="142" t="s">
        <v>2124</v>
      </c>
      <c r="V610" s="142" t="s">
        <v>167</v>
      </c>
      <c r="W610" s="141">
        <f t="shared" si="19"/>
        <v>2</v>
      </c>
      <c r="X610" s="143"/>
      <c r="Y610" s="145" t="s">
        <v>2130</v>
      </c>
      <c r="AA610"/>
    </row>
    <row r="611" spans="1:27" s="115" customFormat="1" ht="27" customHeight="1">
      <c r="A611" s="139">
        <v>586</v>
      </c>
      <c r="B611" s="140" t="s">
        <v>5114</v>
      </c>
      <c r="C611" s="141" t="s">
        <v>1429</v>
      </c>
      <c r="D611" s="142" t="s">
        <v>1430</v>
      </c>
      <c r="E611" s="141" t="s">
        <v>2105</v>
      </c>
      <c r="F611" s="142" t="s">
        <v>2116</v>
      </c>
      <c r="G611" s="141" t="s">
        <v>2117</v>
      </c>
      <c r="H611" s="142" t="s">
        <v>2118</v>
      </c>
      <c r="I611" s="141" t="s">
        <v>2131</v>
      </c>
      <c r="J611" s="142" t="s">
        <v>781</v>
      </c>
      <c r="K611" s="142" t="s">
        <v>781</v>
      </c>
      <c r="L611" s="143">
        <f t="shared" si="18"/>
        <v>1</v>
      </c>
      <c r="M611" s="144">
        <v>33120</v>
      </c>
      <c r="N611" s="141" t="s">
        <v>1429</v>
      </c>
      <c r="O611" s="142" t="s">
        <v>1430</v>
      </c>
      <c r="P611" s="141" t="s">
        <v>2027</v>
      </c>
      <c r="Q611" s="142" t="s">
        <v>2116</v>
      </c>
      <c r="R611" s="141" t="s">
        <v>2029</v>
      </c>
      <c r="S611" s="142" t="s">
        <v>2118</v>
      </c>
      <c r="T611" s="141" t="s">
        <v>2036</v>
      </c>
      <c r="U611" s="142" t="s">
        <v>781</v>
      </c>
      <c r="V611" s="142" t="s">
        <v>781</v>
      </c>
      <c r="W611" s="141">
        <f t="shared" si="19"/>
        <v>1</v>
      </c>
      <c r="X611" s="143"/>
      <c r="Y611" s="145"/>
      <c r="AA611"/>
    </row>
    <row r="612" spans="1:27" s="115" customFormat="1" ht="27" customHeight="1">
      <c r="A612" s="139">
        <v>587</v>
      </c>
      <c r="B612" s="140" t="s">
        <v>5115</v>
      </c>
      <c r="C612" s="141" t="s">
        <v>1429</v>
      </c>
      <c r="D612" s="142" t="s">
        <v>1430</v>
      </c>
      <c r="E612" s="141" t="s">
        <v>2105</v>
      </c>
      <c r="F612" s="142" t="s">
        <v>2116</v>
      </c>
      <c r="G612" s="141" t="s">
        <v>2117</v>
      </c>
      <c r="H612" s="142" t="s">
        <v>2132</v>
      </c>
      <c r="I612" s="141" t="s">
        <v>2131</v>
      </c>
      <c r="J612" s="142" t="s">
        <v>2133</v>
      </c>
      <c r="K612" s="142" t="s">
        <v>782</v>
      </c>
      <c r="L612" s="143">
        <f t="shared" si="18"/>
        <v>1</v>
      </c>
      <c r="M612" s="144">
        <v>33931</v>
      </c>
      <c r="N612" s="141" t="s">
        <v>1429</v>
      </c>
      <c r="O612" s="142" t="s">
        <v>1430</v>
      </c>
      <c r="P612" s="141" t="s">
        <v>2027</v>
      </c>
      <c r="Q612" s="142" t="s">
        <v>2116</v>
      </c>
      <c r="R612" s="141" t="s">
        <v>2134</v>
      </c>
      <c r="S612" s="142" t="s">
        <v>2132</v>
      </c>
      <c r="T612" s="141" t="s">
        <v>2135</v>
      </c>
      <c r="U612" s="142" t="s">
        <v>2133</v>
      </c>
      <c r="V612" s="142" t="s">
        <v>782</v>
      </c>
      <c r="W612" s="141">
        <f t="shared" si="19"/>
        <v>1</v>
      </c>
      <c r="X612" s="143"/>
      <c r="Y612" s="145"/>
      <c r="AA612"/>
    </row>
    <row r="613" spans="1:27" s="115" customFormat="1" ht="27" customHeight="1">
      <c r="A613" s="139">
        <v>588</v>
      </c>
      <c r="B613" s="140" t="s">
        <v>5116</v>
      </c>
      <c r="C613" s="141" t="s">
        <v>1429</v>
      </c>
      <c r="D613" s="142" t="s">
        <v>1430</v>
      </c>
      <c r="E613" s="141" t="s">
        <v>2105</v>
      </c>
      <c r="F613" s="142" t="s">
        <v>2116</v>
      </c>
      <c r="G613" s="141" t="s">
        <v>2117</v>
      </c>
      <c r="H613" s="142" t="s">
        <v>2132</v>
      </c>
      <c r="I613" s="141" t="s">
        <v>2131</v>
      </c>
      <c r="J613" s="142" t="s">
        <v>168</v>
      </c>
      <c r="K613" s="142" t="s">
        <v>168</v>
      </c>
      <c r="L613" s="143">
        <f t="shared" si="18"/>
        <v>1</v>
      </c>
      <c r="M613" s="144">
        <v>33910</v>
      </c>
      <c r="N613" s="141" t="s">
        <v>1429</v>
      </c>
      <c r="O613" s="142" t="s">
        <v>1430</v>
      </c>
      <c r="P613" s="141" t="s">
        <v>2027</v>
      </c>
      <c r="Q613" s="142" t="s">
        <v>2116</v>
      </c>
      <c r="R613" s="141" t="s">
        <v>2134</v>
      </c>
      <c r="S613" s="142" t="s">
        <v>2132</v>
      </c>
      <c r="T613" s="141" t="s">
        <v>2136</v>
      </c>
      <c r="U613" s="142" t="s">
        <v>168</v>
      </c>
      <c r="V613" s="142" t="s">
        <v>168</v>
      </c>
      <c r="W613" s="141">
        <f t="shared" si="19"/>
        <v>1</v>
      </c>
      <c r="X613" s="143"/>
      <c r="Y613" s="145"/>
      <c r="AA613"/>
    </row>
    <row r="614" spans="1:27" s="115" customFormat="1" ht="27" customHeight="1">
      <c r="A614" s="139">
        <v>589</v>
      </c>
      <c r="B614" s="140" t="s">
        <v>5117</v>
      </c>
      <c r="C614" s="141" t="s">
        <v>1429</v>
      </c>
      <c r="D614" s="142" t="s">
        <v>1430</v>
      </c>
      <c r="E614" s="141" t="s">
        <v>2105</v>
      </c>
      <c r="F614" s="142" t="s">
        <v>2116</v>
      </c>
      <c r="G614" s="141" t="s">
        <v>2117</v>
      </c>
      <c r="H614" s="142" t="s">
        <v>2132</v>
      </c>
      <c r="I614" s="141" t="s">
        <v>2131</v>
      </c>
      <c r="J614" s="142" t="s">
        <v>2133</v>
      </c>
      <c r="K614" s="142" t="s">
        <v>783</v>
      </c>
      <c r="L614" s="143">
        <f t="shared" si="18"/>
        <v>1</v>
      </c>
      <c r="M614" s="144">
        <v>33933</v>
      </c>
      <c r="N614" s="141" t="s">
        <v>1429</v>
      </c>
      <c r="O614" s="142" t="s">
        <v>1430</v>
      </c>
      <c r="P614" s="141" t="s">
        <v>2027</v>
      </c>
      <c r="Q614" s="142" t="s">
        <v>2116</v>
      </c>
      <c r="R614" s="141" t="s">
        <v>2134</v>
      </c>
      <c r="S614" s="142" t="s">
        <v>2132</v>
      </c>
      <c r="T614" s="141" t="s">
        <v>2135</v>
      </c>
      <c r="U614" s="142" t="s">
        <v>2133</v>
      </c>
      <c r="V614" s="142" t="s">
        <v>783</v>
      </c>
      <c r="W614" s="141">
        <f t="shared" si="19"/>
        <v>1</v>
      </c>
      <c r="X614" s="143"/>
      <c r="Y614" s="145"/>
      <c r="AA614"/>
    </row>
    <row r="615" spans="1:27" s="115" customFormat="1" ht="27" customHeight="1">
      <c r="A615" s="139">
        <v>590</v>
      </c>
      <c r="B615" s="140" t="s">
        <v>5118</v>
      </c>
      <c r="C615" s="141" t="s">
        <v>1429</v>
      </c>
      <c r="D615" s="142" t="s">
        <v>1430</v>
      </c>
      <c r="E615" s="141" t="s">
        <v>2105</v>
      </c>
      <c r="F615" s="142" t="s">
        <v>2116</v>
      </c>
      <c r="G615" s="141" t="s">
        <v>2117</v>
      </c>
      <c r="H615" s="142" t="s">
        <v>2132</v>
      </c>
      <c r="I615" s="141" t="s">
        <v>2131</v>
      </c>
      <c r="J615" s="142" t="s">
        <v>2133</v>
      </c>
      <c r="K615" s="142" t="s">
        <v>784</v>
      </c>
      <c r="L615" s="143">
        <f t="shared" si="18"/>
        <v>1</v>
      </c>
      <c r="M615" s="144">
        <v>33932</v>
      </c>
      <c r="N615" s="141" t="s">
        <v>1429</v>
      </c>
      <c r="O615" s="142" t="s">
        <v>1430</v>
      </c>
      <c r="P615" s="141" t="s">
        <v>2027</v>
      </c>
      <c r="Q615" s="142" t="s">
        <v>2116</v>
      </c>
      <c r="R615" s="141" t="s">
        <v>2134</v>
      </c>
      <c r="S615" s="142" t="s">
        <v>2132</v>
      </c>
      <c r="T615" s="141" t="s">
        <v>2135</v>
      </c>
      <c r="U615" s="142" t="s">
        <v>2133</v>
      </c>
      <c r="V615" s="142" t="s">
        <v>784</v>
      </c>
      <c r="W615" s="141">
        <f t="shared" si="19"/>
        <v>1</v>
      </c>
      <c r="X615" s="143"/>
      <c r="Y615" s="145"/>
      <c r="AA615"/>
    </row>
    <row r="616" spans="1:27" s="115" customFormat="1" ht="27" customHeight="1">
      <c r="A616" s="139">
        <v>591</v>
      </c>
      <c r="B616" s="140" t="s">
        <v>5119</v>
      </c>
      <c r="C616" s="141" t="s">
        <v>1429</v>
      </c>
      <c r="D616" s="142" t="s">
        <v>1430</v>
      </c>
      <c r="E616" s="141" t="s">
        <v>2105</v>
      </c>
      <c r="F616" s="142" t="s">
        <v>2116</v>
      </c>
      <c r="G616" s="141" t="s">
        <v>2117</v>
      </c>
      <c r="H616" s="142" t="s">
        <v>2132</v>
      </c>
      <c r="I616" s="141" t="s">
        <v>2137</v>
      </c>
      <c r="J616" s="142" t="s">
        <v>169</v>
      </c>
      <c r="K616" s="142" t="s">
        <v>169</v>
      </c>
      <c r="L616" s="143">
        <f t="shared" si="18"/>
        <v>1</v>
      </c>
      <c r="M616" s="144">
        <v>33920</v>
      </c>
      <c r="N616" s="141" t="s">
        <v>1429</v>
      </c>
      <c r="O616" s="142" t="s">
        <v>1430</v>
      </c>
      <c r="P616" s="141" t="s">
        <v>2027</v>
      </c>
      <c r="Q616" s="142" t="s">
        <v>2116</v>
      </c>
      <c r="R616" s="141" t="s">
        <v>2134</v>
      </c>
      <c r="S616" s="142" t="s">
        <v>2132</v>
      </c>
      <c r="T616" s="141" t="s">
        <v>2138</v>
      </c>
      <c r="U616" s="142" t="s">
        <v>169</v>
      </c>
      <c r="V616" s="142" t="s">
        <v>169</v>
      </c>
      <c r="W616" s="141">
        <f t="shared" si="19"/>
        <v>1</v>
      </c>
      <c r="X616" s="143"/>
      <c r="Y616" s="145"/>
      <c r="AA616"/>
    </row>
    <row r="617" spans="1:27" s="115" customFormat="1" ht="27" customHeight="1">
      <c r="A617" s="139">
        <v>592</v>
      </c>
      <c r="B617" s="140" t="s">
        <v>5120</v>
      </c>
      <c r="C617" s="141" t="s">
        <v>1429</v>
      </c>
      <c r="D617" s="142" t="s">
        <v>1430</v>
      </c>
      <c r="E617" s="141" t="s">
        <v>2105</v>
      </c>
      <c r="F617" s="142" t="s">
        <v>2116</v>
      </c>
      <c r="G617" s="141" t="s">
        <v>2117</v>
      </c>
      <c r="H617" s="142" t="s">
        <v>2132</v>
      </c>
      <c r="I617" s="141" t="s">
        <v>2137</v>
      </c>
      <c r="J617" s="142" t="s">
        <v>2139</v>
      </c>
      <c r="K617" s="142" t="s">
        <v>785</v>
      </c>
      <c r="L617" s="143">
        <f t="shared" si="18"/>
        <v>1</v>
      </c>
      <c r="M617" s="144">
        <v>33993</v>
      </c>
      <c r="N617" s="141" t="s">
        <v>1429</v>
      </c>
      <c r="O617" s="142" t="s">
        <v>1430</v>
      </c>
      <c r="P617" s="141" t="s">
        <v>2027</v>
      </c>
      <c r="Q617" s="142" t="s">
        <v>2116</v>
      </c>
      <c r="R617" s="141" t="s">
        <v>2134</v>
      </c>
      <c r="S617" s="142" t="s">
        <v>2132</v>
      </c>
      <c r="T617" s="141" t="s">
        <v>2140</v>
      </c>
      <c r="U617" s="142" t="s">
        <v>2139</v>
      </c>
      <c r="V617" s="142" t="s">
        <v>785</v>
      </c>
      <c r="W617" s="141">
        <f t="shared" si="19"/>
        <v>1</v>
      </c>
      <c r="X617" s="143"/>
      <c r="Y617" s="145"/>
      <c r="AA617"/>
    </row>
    <row r="618" spans="1:27" s="115" customFormat="1" ht="27" customHeight="1">
      <c r="A618" s="139">
        <v>593</v>
      </c>
      <c r="B618" s="140" t="s">
        <v>5121</v>
      </c>
      <c r="C618" s="141" t="s">
        <v>1429</v>
      </c>
      <c r="D618" s="142" t="s">
        <v>1430</v>
      </c>
      <c r="E618" s="141" t="s">
        <v>2105</v>
      </c>
      <c r="F618" s="142" t="s">
        <v>2116</v>
      </c>
      <c r="G618" s="141" t="s">
        <v>2117</v>
      </c>
      <c r="H618" s="142" t="s">
        <v>2132</v>
      </c>
      <c r="I618" s="141" t="s">
        <v>2137</v>
      </c>
      <c r="J618" s="142" t="s">
        <v>2139</v>
      </c>
      <c r="K618" s="142" t="s">
        <v>786</v>
      </c>
      <c r="L618" s="143">
        <f t="shared" si="18"/>
        <v>1</v>
      </c>
      <c r="M618" s="144">
        <v>33999</v>
      </c>
      <c r="N618" s="141" t="s">
        <v>1429</v>
      </c>
      <c r="O618" s="142" t="s">
        <v>1430</v>
      </c>
      <c r="P618" s="141" t="s">
        <v>2027</v>
      </c>
      <c r="Q618" s="142" t="s">
        <v>2116</v>
      </c>
      <c r="R618" s="141" t="s">
        <v>2134</v>
      </c>
      <c r="S618" s="142" t="s">
        <v>2132</v>
      </c>
      <c r="T618" s="141" t="s">
        <v>2140</v>
      </c>
      <c r="U618" s="142" t="s">
        <v>2139</v>
      </c>
      <c r="V618" s="142" t="s">
        <v>786</v>
      </c>
      <c r="W618" s="141">
        <f t="shared" si="19"/>
        <v>3</v>
      </c>
      <c r="X618" s="143"/>
      <c r="Y618" s="145" t="s">
        <v>2141</v>
      </c>
      <c r="AA618"/>
    </row>
    <row r="619" spans="1:27" s="115" customFormat="1" ht="27" customHeight="1">
      <c r="A619" s="139">
        <v>594</v>
      </c>
      <c r="B619" s="140" t="s">
        <v>5122</v>
      </c>
      <c r="C619" s="141" t="s">
        <v>1429</v>
      </c>
      <c r="D619" s="142" t="s">
        <v>1430</v>
      </c>
      <c r="E619" s="141" t="s">
        <v>2105</v>
      </c>
      <c r="F619" s="142" t="s">
        <v>2116</v>
      </c>
      <c r="G619" s="141" t="s">
        <v>2117</v>
      </c>
      <c r="H619" s="142" t="s">
        <v>2132</v>
      </c>
      <c r="I619" s="141" t="s">
        <v>2137</v>
      </c>
      <c r="J619" s="142" t="s">
        <v>2139</v>
      </c>
      <c r="K619" s="142" t="s">
        <v>170</v>
      </c>
      <c r="L619" s="143">
        <f t="shared" si="18"/>
        <v>1</v>
      </c>
      <c r="M619" s="144">
        <v>33991</v>
      </c>
      <c r="N619" s="141" t="s">
        <v>1429</v>
      </c>
      <c r="O619" s="142" t="s">
        <v>1430</v>
      </c>
      <c r="P619" s="141" t="s">
        <v>2027</v>
      </c>
      <c r="Q619" s="142" t="s">
        <v>2116</v>
      </c>
      <c r="R619" s="141" t="s">
        <v>2134</v>
      </c>
      <c r="S619" s="142" t="s">
        <v>2132</v>
      </c>
      <c r="T619" s="141" t="s">
        <v>2140</v>
      </c>
      <c r="U619" s="142" t="s">
        <v>2139</v>
      </c>
      <c r="V619" s="142" t="s">
        <v>170</v>
      </c>
      <c r="W619" s="141">
        <f t="shared" si="19"/>
        <v>1</v>
      </c>
      <c r="X619" s="143"/>
      <c r="Y619" s="145"/>
      <c r="AA619"/>
    </row>
    <row r="620" spans="1:27" s="115" customFormat="1" ht="27" customHeight="1">
      <c r="A620" s="139">
        <v>595</v>
      </c>
      <c r="B620" s="140" t="s">
        <v>5123</v>
      </c>
      <c r="C620" s="141" t="s">
        <v>1429</v>
      </c>
      <c r="D620" s="142" t="s">
        <v>1430</v>
      </c>
      <c r="E620" s="141" t="s">
        <v>2105</v>
      </c>
      <c r="F620" s="142" t="s">
        <v>2116</v>
      </c>
      <c r="G620" s="141" t="s">
        <v>2117</v>
      </c>
      <c r="H620" s="142" t="s">
        <v>2132</v>
      </c>
      <c r="I620" s="141" t="s">
        <v>2137</v>
      </c>
      <c r="J620" s="142" t="s">
        <v>2139</v>
      </c>
      <c r="K620" s="142" t="s">
        <v>787</v>
      </c>
      <c r="L620" s="143">
        <f t="shared" si="18"/>
        <v>1</v>
      </c>
      <c r="M620" s="144">
        <v>33992</v>
      </c>
      <c r="N620" s="141" t="s">
        <v>1429</v>
      </c>
      <c r="O620" s="142" t="s">
        <v>1430</v>
      </c>
      <c r="P620" s="141" t="s">
        <v>2027</v>
      </c>
      <c r="Q620" s="142" t="s">
        <v>2116</v>
      </c>
      <c r="R620" s="141" t="s">
        <v>2134</v>
      </c>
      <c r="S620" s="142" t="s">
        <v>2132</v>
      </c>
      <c r="T620" s="141" t="s">
        <v>2140</v>
      </c>
      <c r="U620" s="142" t="s">
        <v>2139</v>
      </c>
      <c r="V620" s="142" t="s">
        <v>787</v>
      </c>
      <c r="W620" s="141">
        <f t="shared" si="19"/>
        <v>1</v>
      </c>
      <c r="X620" s="143"/>
      <c r="Y620" s="145"/>
      <c r="AA620"/>
    </row>
    <row r="621" spans="1:27" s="115" customFormat="1" ht="27" customHeight="1">
      <c r="A621" s="139">
        <v>596</v>
      </c>
      <c r="B621" s="140" t="s">
        <v>5124</v>
      </c>
      <c r="C621" s="141" t="s">
        <v>1429</v>
      </c>
      <c r="D621" s="142" t="s">
        <v>1430</v>
      </c>
      <c r="E621" s="141" t="s">
        <v>2105</v>
      </c>
      <c r="F621" s="142" t="s">
        <v>1691</v>
      </c>
      <c r="G621" s="141" t="s">
        <v>2117</v>
      </c>
      <c r="H621" s="142" t="s">
        <v>1722</v>
      </c>
      <c r="I621" s="141" t="s">
        <v>2137</v>
      </c>
      <c r="J621" s="142" t="s">
        <v>1749</v>
      </c>
      <c r="K621" s="142" t="s">
        <v>529</v>
      </c>
      <c r="L621" s="143">
        <f t="shared" si="18"/>
        <v>1</v>
      </c>
      <c r="M621" s="144">
        <v>20494</v>
      </c>
      <c r="N621" s="141" t="s">
        <v>1429</v>
      </c>
      <c r="O621" s="142" t="s">
        <v>1430</v>
      </c>
      <c r="P621" s="141" t="s">
        <v>1628</v>
      </c>
      <c r="Q621" s="142" t="s">
        <v>1694</v>
      </c>
      <c r="R621" s="141" t="s">
        <v>1725</v>
      </c>
      <c r="S621" s="142" t="s">
        <v>1722</v>
      </c>
      <c r="T621" s="141" t="s">
        <v>1750</v>
      </c>
      <c r="U621" s="142" t="s">
        <v>1749</v>
      </c>
      <c r="V621" s="142" t="s">
        <v>529</v>
      </c>
      <c r="W621" s="141">
        <f t="shared" si="19"/>
        <v>2</v>
      </c>
      <c r="X621" s="143"/>
      <c r="Y621" s="145" t="s">
        <v>2142</v>
      </c>
      <c r="AA621"/>
    </row>
    <row r="622" spans="1:27" s="115" customFormat="1" ht="27" customHeight="1">
      <c r="A622" s="139">
        <v>597</v>
      </c>
      <c r="B622" s="140" t="s">
        <v>5125</v>
      </c>
      <c r="C622" s="141" t="s">
        <v>1429</v>
      </c>
      <c r="D622" s="142" t="s">
        <v>1430</v>
      </c>
      <c r="E622" s="141" t="s">
        <v>2105</v>
      </c>
      <c r="F622" s="142" t="s">
        <v>2116</v>
      </c>
      <c r="G622" s="141" t="s">
        <v>2117</v>
      </c>
      <c r="H622" s="142" t="s">
        <v>2132</v>
      </c>
      <c r="I622" s="141" t="s">
        <v>2137</v>
      </c>
      <c r="J622" s="142" t="s">
        <v>2139</v>
      </c>
      <c r="K622" s="142" t="s">
        <v>786</v>
      </c>
      <c r="L622" s="143">
        <f t="shared" si="18"/>
        <v>1</v>
      </c>
      <c r="M622" s="144">
        <v>33999</v>
      </c>
      <c r="N622" s="141" t="s">
        <v>1429</v>
      </c>
      <c r="O622" s="142" t="s">
        <v>1430</v>
      </c>
      <c r="P622" s="141" t="s">
        <v>2027</v>
      </c>
      <c r="Q622" s="142" t="s">
        <v>2116</v>
      </c>
      <c r="R622" s="141" t="s">
        <v>2134</v>
      </c>
      <c r="S622" s="142" t="s">
        <v>2132</v>
      </c>
      <c r="T622" s="141" t="s">
        <v>2140</v>
      </c>
      <c r="U622" s="142" t="s">
        <v>2139</v>
      </c>
      <c r="V622" s="142" t="s">
        <v>786</v>
      </c>
      <c r="W622" s="141">
        <f t="shared" si="19"/>
        <v>3</v>
      </c>
      <c r="X622" s="143">
        <v>1</v>
      </c>
      <c r="Y622" s="145"/>
      <c r="AA622"/>
    </row>
    <row r="623" spans="1:27" s="115" customFormat="1" ht="27" customHeight="1">
      <c r="A623" s="139">
        <v>598</v>
      </c>
      <c r="B623" s="140" t="s">
        <v>5132</v>
      </c>
      <c r="C623" s="141" t="s">
        <v>1429</v>
      </c>
      <c r="D623" s="142" t="s">
        <v>1430</v>
      </c>
      <c r="E623" s="141" t="s">
        <v>2143</v>
      </c>
      <c r="F623" s="142" t="s">
        <v>2116</v>
      </c>
      <c r="G623" s="141" t="s">
        <v>2144</v>
      </c>
      <c r="H623" s="142" t="s">
        <v>2145</v>
      </c>
      <c r="I623" s="141" t="s">
        <v>2146</v>
      </c>
      <c r="J623" s="142" t="s">
        <v>1900</v>
      </c>
      <c r="K623" s="142" t="s">
        <v>623</v>
      </c>
      <c r="L623" s="143">
        <f t="shared" si="18"/>
        <v>1</v>
      </c>
      <c r="M623" s="144">
        <v>25924</v>
      </c>
      <c r="N623" s="141" t="s">
        <v>1429</v>
      </c>
      <c r="O623" s="142" t="s">
        <v>1430</v>
      </c>
      <c r="P623" s="141" t="s">
        <v>1761</v>
      </c>
      <c r="Q623" s="142" t="s">
        <v>1876</v>
      </c>
      <c r="R623" s="141" t="s">
        <v>1880</v>
      </c>
      <c r="S623" s="142" t="s">
        <v>1878</v>
      </c>
      <c r="T623" s="141" t="s">
        <v>1901</v>
      </c>
      <c r="U623" s="142" t="s">
        <v>1900</v>
      </c>
      <c r="V623" s="142" t="s">
        <v>623</v>
      </c>
      <c r="W623" s="141">
        <f t="shared" si="19"/>
        <v>2</v>
      </c>
      <c r="X623" s="143"/>
      <c r="Y623" s="145" t="s">
        <v>2147</v>
      </c>
      <c r="AA623"/>
    </row>
    <row r="624" spans="1:27" s="115" customFormat="1" ht="27" customHeight="1">
      <c r="A624" s="139">
        <v>599</v>
      </c>
      <c r="B624" s="140" t="s">
        <v>5133</v>
      </c>
      <c r="C624" s="141" t="s">
        <v>1429</v>
      </c>
      <c r="D624" s="142" t="s">
        <v>1430</v>
      </c>
      <c r="E624" s="141" t="s">
        <v>2143</v>
      </c>
      <c r="F624" s="142" t="s">
        <v>2116</v>
      </c>
      <c r="G624" s="141" t="s">
        <v>2144</v>
      </c>
      <c r="H624" s="142" t="s">
        <v>2145</v>
      </c>
      <c r="I624" s="141" t="s">
        <v>2146</v>
      </c>
      <c r="J624" s="142" t="s">
        <v>1900</v>
      </c>
      <c r="K624" s="142" t="s">
        <v>621</v>
      </c>
      <c r="L624" s="143">
        <f t="shared" si="18"/>
        <v>1</v>
      </c>
      <c r="M624" s="144">
        <v>25929</v>
      </c>
      <c r="N624" s="141" t="s">
        <v>1429</v>
      </c>
      <c r="O624" s="142" t="s">
        <v>1430</v>
      </c>
      <c r="P624" s="141" t="s">
        <v>1761</v>
      </c>
      <c r="Q624" s="142" t="s">
        <v>1876</v>
      </c>
      <c r="R624" s="141" t="s">
        <v>1880</v>
      </c>
      <c r="S624" s="142" t="s">
        <v>1878</v>
      </c>
      <c r="T624" s="141" t="s">
        <v>1901</v>
      </c>
      <c r="U624" s="142" t="s">
        <v>1900</v>
      </c>
      <c r="V624" s="142" t="s">
        <v>621</v>
      </c>
      <c r="W624" s="141">
        <f t="shared" si="19"/>
        <v>3</v>
      </c>
      <c r="X624" s="143"/>
      <c r="Y624" s="145" t="s">
        <v>2147</v>
      </c>
      <c r="AA624"/>
    </row>
    <row r="625" spans="1:27" s="115" customFormat="1" ht="27" customHeight="1">
      <c r="A625" s="139">
        <v>600</v>
      </c>
      <c r="B625" s="140" t="s">
        <v>5134</v>
      </c>
      <c r="C625" s="141" t="s">
        <v>1429</v>
      </c>
      <c r="D625" s="142" t="s">
        <v>1430</v>
      </c>
      <c r="E625" s="141" t="s">
        <v>2143</v>
      </c>
      <c r="F625" s="142" t="s">
        <v>2116</v>
      </c>
      <c r="G625" s="141" t="s">
        <v>2144</v>
      </c>
      <c r="H625" s="142" t="s">
        <v>2145</v>
      </c>
      <c r="I625" s="141" t="s">
        <v>2146</v>
      </c>
      <c r="J625" s="142" t="s">
        <v>1554</v>
      </c>
      <c r="K625" s="142" t="s">
        <v>749</v>
      </c>
      <c r="L625" s="143">
        <f t="shared" si="18"/>
        <v>1</v>
      </c>
      <c r="M625" s="144">
        <v>30399</v>
      </c>
      <c r="N625" s="141" t="s">
        <v>1429</v>
      </c>
      <c r="O625" s="142" t="s">
        <v>1430</v>
      </c>
      <c r="P625" s="141" t="s">
        <v>1555</v>
      </c>
      <c r="Q625" s="142" t="s">
        <v>1552</v>
      </c>
      <c r="R625" s="141" t="s">
        <v>1556</v>
      </c>
      <c r="S625" s="142" t="s">
        <v>1553</v>
      </c>
      <c r="T625" s="141" t="s">
        <v>1557</v>
      </c>
      <c r="U625" s="142" t="s">
        <v>1554</v>
      </c>
      <c r="V625" s="142" t="s">
        <v>749</v>
      </c>
      <c r="W625" s="141">
        <f t="shared" si="19"/>
        <v>2</v>
      </c>
      <c r="X625" s="143"/>
      <c r="Y625" s="145" t="s">
        <v>2147</v>
      </c>
      <c r="AA625"/>
    </row>
    <row r="626" spans="1:27" s="115" customFormat="1" ht="27" customHeight="1">
      <c r="A626" s="139">
        <v>601</v>
      </c>
      <c r="B626" s="140" t="s">
        <v>5135</v>
      </c>
      <c r="C626" s="141" t="s">
        <v>1429</v>
      </c>
      <c r="D626" s="142" t="s">
        <v>1430</v>
      </c>
      <c r="E626" s="141" t="s">
        <v>2143</v>
      </c>
      <c r="F626" s="142" t="s">
        <v>2116</v>
      </c>
      <c r="G626" s="141" t="s">
        <v>2144</v>
      </c>
      <c r="H626" s="142" t="s">
        <v>2145</v>
      </c>
      <c r="I626" s="141" t="s">
        <v>2146</v>
      </c>
      <c r="J626" s="142" t="s">
        <v>2139</v>
      </c>
      <c r="K626" s="142" t="s">
        <v>786</v>
      </c>
      <c r="L626" s="143">
        <f t="shared" si="18"/>
        <v>1</v>
      </c>
      <c r="M626" s="144">
        <v>33999</v>
      </c>
      <c r="N626" s="141" t="s">
        <v>1429</v>
      </c>
      <c r="O626" s="142" t="s">
        <v>1430</v>
      </c>
      <c r="P626" s="141" t="s">
        <v>2027</v>
      </c>
      <c r="Q626" s="142" t="s">
        <v>2116</v>
      </c>
      <c r="R626" s="141" t="s">
        <v>2134</v>
      </c>
      <c r="S626" s="142" t="s">
        <v>2132</v>
      </c>
      <c r="T626" s="141" t="s">
        <v>2140</v>
      </c>
      <c r="U626" s="142" t="s">
        <v>2139</v>
      </c>
      <c r="V626" s="142" t="s">
        <v>786</v>
      </c>
      <c r="W626" s="141">
        <f t="shared" si="19"/>
        <v>3</v>
      </c>
      <c r="X626" s="143"/>
      <c r="Y626" s="145" t="s">
        <v>2147</v>
      </c>
      <c r="AA626"/>
    </row>
    <row r="627" spans="1:27" s="115" customFormat="1" ht="27" customHeight="1">
      <c r="A627" s="139">
        <v>602</v>
      </c>
      <c r="B627" s="140" t="s">
        <v>5136</v>
      </c>
      <c r="C627" s="141" t="s">
        <v>1429</v>
      </c>
      <c r="D627" s="142" t="s">
        <v>1430</v>
      </c>
      <c r="E627" s="141" t="s">
        <v>2143</v>
      </c>
      <c r="F627" s="142" t="s">
        <v>2116</v>
      </c>
      <c r="G627" s="141" t="s">
        <v>2144</v>
      </c>
      <c r="H627" s="142" t="s">
        <v>2145</v>
      </c>
      <c r="I627" s="141" t="s">
        <v>2146</v>
      </c>
      <c r="J627" s="142" t="s">
        <v>2148</v>
      </c>
      <c r="K627" s="142" t="s">
        <v>289</v>
      </c>
      <c r="L627" s="143">
        <f t="shared" si="18"/>
        <v>1</v>
      </c>
      <c r="M627" s="144">
        <v>75994</v>
      </c>
      <c r="N627" s="141" t="s">
        <v>2149</v>
      </c>
      <c r="O627" s="142" t="s">
        <v>2150</v>
      </c>
      <c r="P627" s="141" t="s">
        <v>2151</v>
      </c>
      <c r="Q627" s="142" t="s">
        <v>2152</v>
      </c>
      <c r="R627" s="141" t="s">
        <v>2153</v>
      </c>
      <c r="S627" s="142" t="s">
        <v>2154</v>
      </c>
      <c r="T627" s="141" t="s">
        <v>2155</v>
      </c>
      <c r="U627" s="142" t="s">
        <v>2148</v>
      </c>
      <c r="V627" s="142" t="s">
        <v>289</v>
      </c>
      <c r="W627" s="141">
        <f t="shared" si="19"/>
        <v>2</v>
      </c>
      <c r="X627" s="143"/>
      <c r="Y627" s="145" t="s">
        <v>2147</v>
      </c>
      <c r="AA627"/>
    </row>
    <row r="628" spans="1:27" s="115" customFormat="1" ht="27" customHeight="1">
      <c r="A628" s="139">
        <v>603</v>
      </c>
      <c r="B628" s="140" t="s">
        <v>5137</v>
      </c>
      <c r="C628" s="141" t="s">
        <v>1429</v>
      </c>
      <c r="D628" s="142" t="s">
        <v>1430</v>
      </c>
      <c r="E628" s="141" t="s">
        <v>2143</v>
      </c>
      <c r="F628" s="142" t="s">
        <v>2116</v>
      </c>
      <c r="G628" s="141" t="s">
        <v>2144</v>
      </c>
      <c r="H628" s="142" t="s">
        <v>2145</v>
      </c>
      <c r="I628" s="141" t="s">
        <v>2146</v>
      </c>
      <c r="J628" s="142" t="s">
        <v>788</v>
      </c>
      <c r="K628" s="142" t="s">
        <v>788</v>
      </c>
      <c r="L628" s="143">
        <f t="shared" si="18"/>
        <v>1</v>
      </c>
      <c r="M628" s="144"/>
      <c r="N628" s="141"/>
      <c r="O628" s="142" t="s">
        <v>2156</v>
      </c>
      <c r="P628" s="141"/>
      <c r="Q628" s="142" t="s">
        <v>2156</v>
      </c>
      <c r="R628" s="141"/>
      <c r="S628" s="142" t="s">
        <v>2156</v>
      </c>
      <c r="T628" s="141"/>
      <c r="U628" s="142" t="s">
        <v>2156</v>
      </c>
      <c r="V628" s="142" t="s">
        <v>2156</v>
      </c>
      <c r="W628" s="141">
        <f t="shared" si="19"/>
        <v>0</v>
      </c>
      <c r="X628" s="143"/>
      <c r="Y628" s="145" t="s">
        <v>2147</v>
      </c>
      <c r="AA628"/>
    </row>
    <row r="629" spans="1:27" s="115" customFormat="1" ht="27" customHeight="1">
      <c r="A629" s="139">
        <v>604</v>
      </c>
      <c r="B629" s="140" t="s">
        <v>5921</v>
      </c>
      <c r="C629" s="141" t="s">
        <v>1429</v>
      </c>
      <c r="D629" s="142" t="s">
        <v>1430</v>
      </c>
      <c r="E629" s="141" t="s">
        <v>2157</v>
      </c>
      <c r="F629" s="142" t="s">
        <v>2158</v>
      </c>
      <c r="G629" s="141" t="s">
        <v>2159</v>
      </c>
      <c r="H629" s="142" t="s">
        <v>2158</v>
      </c>
      <c r="I629" s="141" t="s">
        <v>2160</v>
      </c>
      <c r="J629" s="142" t="s">
        <v>2161</v>
      </c>
      <c r="K629" s="142" t="s">
        <v>2162</v>
      </c>
      <c r="L629" s="143">
        <f t="shared" si="18"/>
        <v>1</v>
      </c>
      <c r="M629" s="144">
        <v>34019</v>
      </c>
      <c r="N629" s="141" t="s">
        <v>1429</v>
      </c>
      <c r="O629" s="142" t="s">
        <v>1430</v>
      </c>
      <c r="P629" s="141" t="s">
        <v>2052</v>
      </c>
      <c r="Q629" s="142" t="s">
        <v>2158</v>
      </c>
      <c r="R629" s="141" t="s">
        <v>2163</v>
      </c>
      <c r="S629" s="142" t="s">
        <v>2158</v>
      </c>
      <c r="T629" s="141" t="s">
        <v>2164</v>
      </c>
      <c r="U629" s="142" t="s">
        <v>2161</v>
      </c>
      <c r="V629" s="142" t="s">
        <v>2162</v>
      </c>
      <c r="W629" s="141">
        <f t="shared" si="19"/>
        <v>1</v>
      </c>
      <c r="X629" s="143"/>
      <c r="Y629" s="145"/>
      <c r="AA629"/>
    </row>
    <row r="630" spans="1:27" s="115" customFormat="1" ht="40.5" customHeight="1">
      <c r="A630" s="139">
        <v>605</v>
      </c>
      <c r="B630" s="140" t="s">
        <v>5922</v>
      </c>
      <c r="C630" s="141" t="s">
        <v>1429</v>
      </c>
      <c r="D630" s="142" t="s">
        <v>1430</v>
      </c>
      <c r="E630" s="141" t="s">
        <v>2157</v>
      </c>
      <c r="F630" s="142" t="s">
        <v>2158</v>
      </c>
      <c r="G630" s="141" t="s">
        <v>2159</v>
      </c>
      <c r="H630" s="142" t="s">
        <v>2158</v>
      </c>
      <c r="I630" s="141" t="s">
        <v>2160</v>
      </c>
      <c r="J630" s="142" t="s">
        <v>2165</v>
      </c>
      <c r="K630" s="142" t="s">
        <v>2165</v>
      </c>
      <c r="L630" s="143">
        <f t="shared" si="18"/>
        <v>1</v>
      </c>
      <c r="M630" s="144">
        <v>34020</v>
      </c>
      <c r="N630" s="141" t="s">
        <v>1429</v>
      </c>
      <c r="O630" s="142" t="s">
        <v>1430</v>
      </c>
      <c r="P630" s="141" t="s">
        <v>2052</v>
      </c>
      <c r="Q630" s="142" t="s">
        <v>2158</v>
      </c>
      <c r="R630" s="141" t="s">
        <v>2163</v>
      </c>
      <c r="S630" s="142" t="s">
        <v>2158</v>
      </c>
      <c r="T630" s="141" t="s">
        <v>2166</v>
      </c>
      <c r="U630" s="142" t="s">
        <v>2165</v>
      </c>
      <c r="V630" s="142" t="s">
        <v>2165</v>
      </c>
      <c r="W630" s="141">
        <f t="shared" si="19"/>
        <v>1</v>
      </c>
      <c r="X630" s="143"/>
      <c r="Y630" s="145"/>
      <c r="AA630"/>
    </row>
    <row r="631" spans="1:27" s="115" customFormat="1" ht="27" customHeight="1">
      <c r="A631" s="139">
        <v>606</v>
      </c>
      <c r="B631" s="140" t="s">
        <v>5925</v>
      </c>
      <c r="C631" s="141" t="s">
        <v>1429</v>
      </c>
      <c r="D631" s="142" t="s">
        <v>1430</v>
      </c>
      <c r="E631" s="141" t="s">
        <v>2157</v>
      </c>
      <c r="F631" s="142" t="s">
        <v>2158</v>
      </c>
      <c r="G631" s="141" t="s">
        <v>2159</v>
      </c>
      <c r="H631" s="142" t="s">
        <v>2158</v>
      </c>
      <c r="I631" s="141" t="s">
        <v>2160</v>
      </c>
      <c r="J631" s="142" t="s">
        <v>2161</v>
      </c>
      <c r="K631" s="142" t="s">
        <v>2167</v>
      </c>
      <c r="L631" s="143">
        <f t="shared" si="18"/>
        <v>1</v>
      </c>
      <c r="M631" s="144">
        <v>34011</v>
      </c>
      <c r="N631" s="141" t="s">
        <v>1429</v>
      </c>
      <c r="O631" s="142" t="s">
        <v>1430</v>
      </c>
      <c r="P631" s="141" t="s">
        <v>2052</v>
      </c>
      <c r="Q631" s="142" t="s">
        <v>2158</v>
      </c>
      <c r="R631" s="141" t="s">
        <v>2163</v>
      </c>
      <c r="S631" s="142" t="s">
        <v>2158</v>
      </c>
      <c r="T631" s="141" t="s">
        <v>2164</v>
      </c>
      <c r="U631" s="142" t="s">
        <v>2161</v>
      </c>
      <c r="V631" s="142" t="s">
        <v>2167</v>
      </c>
      <c r="W631" s="141">
        <f t="shared" si="19"/>
        <v>1</v>
      </c>
      <c r="X631" s="143"/>
      <c r="Y631" s="145"/>
      <c r="AA631"/>
    </row>
    <row r="632" spans="1:27" s="115" customFormat="1" ht="40.5" customHeight="1">
      <c r="A632" s="139">
        <v>607</v>
      </c>
      <c r="B632" s="140" t="s">
        <v>5138</v>
      </c>
      <c r="C632" s="141" t="s">
        <v>2168</v>
      </c>
      <c r="D632" s="142" t="s">
        <v>2169</v>
      </c>
      <c r="E632" s="141" t="s">
        <v>2170</v>
      </c>
      <c r="F632" s="142" t="s">
        <v>2169</v>
      </c>
      <c r="G632" s="141" t="s">
        <v>334</v>
      </c>
      <c r="H632" s="142" t="s">
        <v>2171</v>
      </c>
      <c r="I632" s="141" t="s">
        <v>2172</v>
      </c>
      <c r="J632" s="142" t="s">
        <v>2173</v>
      </c>
      <c r="K632" s="142" t="s">
        <v>789</v>
      </c>
      <c r="L632" s="143">
        <f t="shared" si="18"/>
        <v>1</v>
      </c>
      <c r="M632" s="144">
        <v>35114</v>
      </c>
      <c r="N632" s="141" t="s">
        <v>2168</v>
      </c>
      <c r="O632" s="142" t="s">
        <v>2169</v>
      </c>
      <c r="P632" s="141" t="s">
        <v>2076</v>
      </c>
      <c r="Q632" s="142" t="s">
        <v>2169</v>
      </c>
      <c r="R632" s="141" t="s">
        <v>2078</v>
      </c>
      <c r="S632" s="142" t="s">
        <v>2171</v>
      </c>
      <c r="T632" s="141" t="s">
        <v>2080</v>
      </c>
      <c r="U632" s="142" t="s">
        <v>2173</v>
      </c>
      <c r="V632" s="142" t="s">
        <v>789</v>
      </c>
      <c r="W632" s="141">
        <f t="shared" si="19"/>
        <v>1</v>
      </c>
      <c r="X632" s="143"/>
      <c r="Y632" s="145"/>
      <c r="AA632"/>
    </row>
    <row r="633" spans="1:27" s="115" customFormat="1" ht="40.5" customHeight="1">
      <c r="A633" s="139">
        <v>608</v>
      </c>
      <c r="B633" s="140" t="s">
        <v>5139</v>
      </c>
      <c r="C633" s="141" t="s">
        <v>2168</v>
      </c>
      <c r="D633" s="142" t="s">
        <v>2169</v>
      </c>
      <c r="E633" s="141" t="s">
        <v>2170</v>
      </c>
      <c r="F633" s="142" t="s">
        <v>2169</v>
      </c>
      <c r="G633" s="141" t="s">
        <v>334</v>
      </c>
      <c r="H633" s="142" t="s">
        <v>2171</v>
      </c>
      <c r="I633" s="141" t="s">
        <v>2172</v>
      </c>
      <c r="J633" s="142" t="s">
        <v>2173</v>
      </c>
      <c r="K633" s="142" t="s">
        <v>790</v>
      </c>
      <c r="L633" s="143">
        <f t="shared" si="18"/>
        <v>1</v>
      </c>
      <c r="M633" s="144" t="s">
        <v>2174</v>
      </c>
      <c r="N633" s="141" t="s">
        <v>2168</v>
      </c>
      <c r="O633" s="142" t="s">
        <v>2169</v>
      </c>
      <c r="P633" s="141" t="s">
        <v>2076</v>
      </c>
      <c r="Q633" s="142" t="s">
        <v>2169</v>
      </c>
      <c r="R633" s="141" t="s">
        <v>2078</v>
      </c>
      <c r="S633" s="142" t="s">
        <v>2171</v>
      </c>
      <c r="T633" s="141" t="s">
        <v>2080</v>
      </c>
      <c r="U633" s="142" t="s">
        <v>2173</v>
      </c>
      <c r="V633" s="142" t="s">
        <v>790</v>
      </c>
      <c r="W633" s="141">
        <f t="shared" si="19"/>
        <v>1</v>
      </c>
      <c r="X633" s="143"/>
      <c r="Y633" s="145"/>
      <c r="AA633"/>
    </row>
    <row r="634" spans="1:27" s="115" customFormat="1" ht="40.5" customHeight="1">
      <c r="A634" s="139">
        <v>609</v>
      </c>
      <c r="B634" s="140" t="s">
        <v>5140</v>
      </c>
      <c r="C634" s="141" t="s">
        <v>2168</v>
      </c>
      <c r="D634" s="142" t="s">
        <v>2169</v>
      </c>
      <c r="E634" s="141" t="s">
        <v>2170</v>
      </c>
      <c r="F634" s="142" t="s">
        <v>2169</v>
      </c>
      <c r="G634" s="141" t="s">
        <v>334</v>
      </c>
      <c r="H634" s="142" t="s">
        <v>2171</v>
      </c>
      <c r="I634" s="141" t="s">
        <v>2172</v>
      </c>
      <c r="J634" s="142" t="s">
        <v>2173</v>
      </c>
      <c r="K634" s="142" t="s">
        <v>791</v>
      </c>
      <c r="L634" s="143">
        <f t="shared" si="18"/>
        <v>1</v>
      </c>
      <c r="M634" s="144" t="s">
        <v>2175</v>
      </c>
      <c r="N634" s="141" t="s">
        <v>2168</v>
      </c>
      <c r="O634" s="142" t="s">
        <v>2169</v>
      </c>
      <c r="P634" s="141" t="s">
        <v>2076</v>
      </c>
      <c r="Q634" s="142" t="s">
        <v>2169</v>
      </c>
      <c r="R634" s="141" t="s">
        <v>2078</v>
      </c>
      <c r="S634" s="142" t="s">
        <v>2171</v>
      </c>
      <c r="T634" s="141" t="s">
        <v>2080</v>
      </c>
      <c r="U634" s="142" t="s">
        <v>2173</v>
      </c>
      <c r="V634" s="142" t="s">
        <v>791</v>
      </c>
      <c r="W634" s="141">
        <f t="shared" si="19"/>
        <v>1</v>
      </c>
      <c r="X634" s="143"/>
      <c r="Y634" s="145"/>
      <c r="AA634"/>
    </row>
    <row r="635" spans="1:27" s="115" customFormat="1" ht="40.5" customHeight="1">
      <c r="A635" s="139">
        <v>610</v>
      </c>
      <c r="B635" s="140" t="s">
        <v>5141</v>
      </c>
      <c r="C635" s="141" t="s">
        <v>2168</v>
      </c>
      <c r="D635" s="142" t="s">
        <v>2169</v>
      </c>
      <c r="E635" s="141" t="s">
        <v>2170</v>
      </c>
      <c r="F635" s="142" t="s">
        <v>2169</v>
      </c>
      <c r="G635" s="141" t="s">
        <v>334</v>
      </c>
      <c r="H635" s="142" t="s">
        <v>2171</v>
      </c>
      <c r="I635" s="141" t="s">
        <v>2172</v>
      </c>
      <c r="J635" s="142" t="s">
        <v>2173</v>
      </c>
      <c r="K635" s="142" t="s">
        <v>792</v>
      </c>
      <c r="L635" s="143">
        <f t="shared" si="18"/>
        <v>1</v>
      </c>
      <c r="M635" s="144">
        <v>35113</v>
      </c>
      <c r="N635" s="141" t="s">
        <v>2168</v>
      </c>
      <c r="O635" s="142" t="s">
        <v>2169</v>
      </c>
      <c r="P635" s="141" t="s">
        <v>2076</v>
      </c>
      <c r="Q635" s="142" t="s">
        <v>2169</v>
      </c>
      <c r="R635" s="141" t="s">
        <v>2078</v>
      </c>
      <c r="S635" s="142" t="s">
        <v>2171</v>
      </c>
      <c r="T635" s="141" t="s">
        <v>2080</v>
      </c>
      <c r="U635" s="142" t="s">
        <v>2173</v>
      </c>
      <c r="V635" s="142" t="s">
        <v>792</v>
      </c>
      <c r="W635" s="141">
        <f t="shared" si="19"/>
        <v>1</v>
      </c>
      <c r="X635" s="143"/>
      <c r="Y635" s="145"/>
      <c r="AA635"/>
    </row>
    <row r="636" spans="1:27" s="115" customFormat="1" ht="40.5" customHeight="1">
      <c r="A636" s="139">
        <v>611</v>
      </c>
      <c r="B636" s="140" t="s">
        <v>5142</v>
      </c>
      <c r="C636" s="141" t="s">
        <v>2168</v>
      </c>
      <c r="D636" s="142" t="s">
        <v>2169</v>
      </c>
      <c r="E636" s="141" t="s">
        <v>2170</v>
      </c>
      <c r="F636" s="142" t="s">
        <v>2169</v>
      </c>
      <c r="G636" s="141" t="s">
        <v>334</v>
      </c>
      <c r="H636" s="142" t="s">
        <v>2171</v>
      </c>
      <c r="I636" s="141" t="s">
        <v>2172</v>
      </c>
      <c r="J636" s="142" t="s">
        <v>2173</v>
      </c>
      <c r="K636" s="142" t="s">
        <v>793</v>
      </c>
      <c r="L636" s="143">
        <f t="shared" si="18"/>
        <v>1</v>
      </c>
      <c r="M636" s="144" t="s">
        <v>2176</v>
      </c>
      <c r="N636" s="141" t="s">
        <v>2168</v>
      </c>
      <c r="O636" s="142" t="s">
        <v>2169</v>
      </c>
      <c r="P636" s="141" t="s">
        <v>2076</v>
      </c>
      <c r="Q636" s="142" t="s">
        <v>2169</v>
      </c>
      <c r="R636" s="141" t="s">
        <v>2078</v>
      </c>
      <c r="S636" s="142" t="s">
        <v>2171</v>
      </c>
      <c r="T636" s="141" t="s">
        <v>2080</v>
      </c>
      <c r="U636" s="142" t="s">
        <v>2173</v>
      </c>
      <c r="V636" s="142" t="s">
        <v>793</v>
      </c>
      <c r="W636" s="141">
        <f t="shared" si="19"/>
        <v>1</v>
      </c>
      <c r="X636" s="143"/>
      <c r="Y636" s="145"/>
      <c r="AA636"/>
    </row>
    <row r="637" spans="1:27" s="115" customFormat="1" ht="40.5" customHeight="1">
      <c r="A637" s="139">
        <v>612</v>
      </c>
      <c r="B637" s="140" t="s">
        <v>5143</v>
      </c>
      <c r="C637" s="141" t="s">
        <v>2168</v>
      </c>
      <c r="D637" s="142" t="s">
        <v>2169</v>
      </c>
      <c r="E637" s="141" t="s">
        <v>2170</v>
      </c>
      <c r="F637" s="142" t="s">
        <v>2169</v>
      </c>
      <c r="G637" s="141" t="s">
        <v>334</v>
      </c>
      <c r="H637" s="142" t="s">
        <v>2171</v>
      </c>
      <c r="I637" s="141" t="s">
        <v>2172</v>
      </c>
      <c r="J637" s="142" t="s">
        <v>794</v>
      </c>
      <c r="K637" s="142" t="s">
        <v>794</v>
      </c>
      <c r="L637" s="143">
        <f t="shared" si="18"/>
        <v>1</v>
      </c>
      <c r="M637" s="144" t="s">
        <v>2177</v>
      </c>
      <c r="N637" s="141" t="s">
        <v>2168</v>
      </c>
      <c r="O637" s="142" t="s">
        <v>2169</v>
      </c>
      <c r="P637" s="141" t="s">
        <v>2076</v>
      </c>
      <c r="Q637" s="142" t="s">
        <v>2169</v>
      </c>
      <c r="R637" s="141" t="s">
        <v>2078</v>
      </c>
      <c r="S637" s="142" t="s">
        <v>2171</v>
      </c>
      <c r="T637" s="141" t="s">
        <v>2085</v>
      </c>
      <c r="U637" s="142" t="s">
        <v>794</v>
      </c>
      <c r="V637" s="142" t="s">
        <v>794</v>
      </c>
      <c r="W637" s="141">
        <f t="shared" si="19"/>
        <v>1</v>
      </c>
      <c r="X637" s="143"/>
      <c r="Y637" s="145"/>
      <c r="AA637"/>
    </row>
    <row r="638" spans="1:27" s="115" customFormat="1" ht="40.5" customHeight="1">
      <c r="A638" s="139">
        <v>613</v>
      </c>
      <c r="B638" s="140" t="s">
        <v>5144</v>
      </c>
      <c r="C638" s="141" t="s">
        <v>2168</v>
      </c>
      <c r="D638" s="142" t="s">
        <v>2169</v>
      </c>
      <c r="E638" s="141" t="s">
        <v>2170</v>
      </c>
      <c r="F638" s="142" t="s">
        <v>2169</v>
      </c>
      <c r="G638" s="141" t="s">
        <v>334</v>
      </c>
      <c r="H638" s="142" t="s">
        <v>2171</v>
      </c>
      <c r="I638" s="141" t="s">
        <v>2172</v>
      </c>
      <c r="J638" s="142" t="s">
        <v>795</v>
      </c>
      <c r="K638" s="142" t="s">
        <v>795</v>
      </c>
      <c r="L638" s="143">
        <f t="shared" si="18"/>
        <v>1</v>
      </c>
      <c r="M638" s="144" t="s">
        <v>2178</v>
      </c>
      <c r="N638" s="141" t="s">
        <v>2168</v>
      </c>
      <c r="O638" s="142" t="s">
        <v>2169</v>
      </c>
      <c r="P638" s="141" t="s">
        <v>2076</v>
      </c>
      <c r="Q638" s="142" t="s">
        <v>2169</v>
      </c>
      <c r="R638" s="141" t="s">
        <v>2078</v>
      </c>
      <c r="S638" s="142" t="s">
        <v>2171</v>
      </c>
      <c r="T638" s="141" t="s">
        <v>2179</v>
      </c>
      <c r="U638" s="142" t="s">
        <v>795</v>
      </c>
      <c r="V638" s="142" t="s">
        <v>795</v>
      </c>
      <c r="W638" s="141">
        <f t="shared" si="19"/>
        <v>1</v>
      </c>
      <c r="X638" s="143"/>
      <c r="Y638" s="145"/>
      <c r="AA638"/>
    </row>
    <row r="639" spans="1:27" s="115" customFormat="1" ht="40.5" customHeight="1">
      <c r="A639" s="139">
        <v>614</v>
      </c>
      <c r="B639" s="140" t="s">
        <v>5145</v>
      </c>
      <c r="C639" s="141" t="s">
        <v>2168</v>
      </c>
      <c r="D639" s="142" t="s">
        <v>2169</v>
      </c>
      <c r="E639" s="141" t="s">
        <v>2170</v>
      </c>
      <c r="F639" s="142" t="s">
        <v>2169</v>
      </c>
      <c r="G639" s="141" t="s">
        <v>2180</v>
      </c>
      <c r="H639" s="142" t="s">
        <v>796</v>
      </c>
      <c r="I639" s="141" t="s">
        <v>2181</v>
      </c>
      <c r="J639" s="142" t="s">
        <v>796</v>
      </c>
      <c r="K639" s="142" t="s">
        <v>796</v>
      </c>
      <c r="L639" s="143">
        <f t="shared" si="18"/>
        <v>1</v>
      </c>
      <c r="M639" s="144" t="s">
        <v>2182</v>
      </c>
      <c r="N639" s="141" t="s">
        <v>2168</v>
      </c>
      <c r="O639" s="142" t="s">
        <v>2169</v>
      </c>
      <c r="P639" s="141" t="s">
        <v>2076</v>
      </c>
      <c r="Q639" s="142" t="s">
        <v>2169</v>
      </c>
      <c r="R639" s="141" t="s">
        <v>2087</v>
      </c>
      <c r="S639" s="142" t="s">
        <v>796</v>
      </c>
      <c r="T639" s="141" t="s">
        <v>2089</v>
      </c>
      <c r="U639" s="142" t="s">
        <v>796</v>
      </c>
      <c r="V639" s="142" t="s">
        <v>796</v>
      </c>
      <c r="W639" s="141">
        <f t="shared" si="19"/>
        <v>1</v>
      </c>
      <c r="X639" s="143"/>
      <c r="Y639" s="145"/>
      <c r="AA639"/>
    </row>
    <row r="640" spans="1:27" s="115" customFormat="1" ht="40.5" customHeight="1">
      <c r="A640" s="139">
        <v>615</v>
      </c>
      <c r="B640" s="140" t="s">
        <v>5146</v>
      </c>
      <c r="C640" s="141" t="s">
        <v>2168</v>
      </c>
      <c r="D640" s="142" t="s">
        <v>2169</v>
      </c>
      <c r="E640" s="141" t="s">
        <v>2170</v>
      </c>
      <c r="F640" s="142" t="s">
        <v>2169</v>
      </c>
      <c r="G640" s="141" t="s">
        <v>2183</v>
      </c>
      <c r="H640" s="142" t="s">
        <v>2184</v>
      </c>
      <c r="I640" s="141" t="s">
        <v>2185</v>
      </c>
      <c r="J640" s="142" t="s">
        <v>2184</v>
      </c>
      <c r="K640" s="142" t="s">
        <v>2184</v>
      </c>
      <c r="L640" s="143">
        <f t="shared" si="18"/>
        <v>1</v>
      </c>
      <c r="M640" s="144" t="s">
        <v>2186</v>
      </c>
      <c r="N640" s="141" t="s">
        <v>2168</v>
      </c>
      <c r="O640" s="142" t="s">
        <v>2169</v>
      </c>
      <c r="P640" s="141" t="s">
        <v>2076</v>
      </c>
      <c r="Q640" s="142" t="s">
        <v>2169</v>
      </c>
      <c r="R640" s="141" t="s">
        <v>2090</v>
      </c>
      <c r="S640" s="142" t="s">
        <v>2184</v>
      </c>
      <c r="T640" s="141" t="s">
        <v>2092</v>
      </c>
      <c r="U640" s="142" t="s">
        <v>2184</v>
      </c>
      <c r="V640" s="142" t="s">
        <v>2184</v>
      </c>
      <c r="W640" s="141">
        <f t="shared" si="19"/>
        <v>1</v>
      </c>
      <c r="X640" s="143"/>
      <c r="Y640" s="145"/>
      <c r="AA640"/>
    </row>
    <row r="641" spans="1:27" s="115" customFormat="1" ht="40.5" customHeight="1">
      <c r="A641" s="139">
        <v>616</v>
      </c>
      <c r="B641" s="140" t="s">
        <v>5081</v>
      </c>
      <c r="C641" s="141" t="s">
        <v>2187</v>
      </c>
      <c r="D641" s="142" t="s">
        <v>2188</v>
      </c>
      <c r="E641" s="141" t="s">
        <v>2076</v>
      </c>
      <c r="F641" s="142" t="s">
        <v>2189</v>
      </c>
      <c r="G641" s="141" t="s">
        <v>2078</v>
      </c>
      <c r="H641" s="142" t="s">
        <v>2190</v>
      </c>
      <c r="I641" s="141" t="s">
        <v>2080</v>
      </c>
      <c r="J641" s="142" t="s">
        <v>2191</v>
      </c>
      <c r="K641" s="142" t="s">
        <v>797</v>
      </c>
      <c r="L641" s="143">
        <f t="shared" si="18"/>
        <v>1</v>
      </c>
      <c r="M641" s="144" t="s">
        <v>2192</v>
      </c>
      <c r="N641" s="141" t="s">
        <v>2187</v>
      </c>
      <c r="O641" s="142" t="s">
        <v>2188</v>
      </c>
      <c r="P641" s="141" t="s">
        <v>2143</v>
      </c>
      <c r="Q641" s="142" t="s">
        <v>2193</v>
      </c>
      <c r="R641" s="141" t="s">
        <v>2194</v>
      </c>
      <c r="S641" s="142" t="s">
        <v>2195</v>
      </c>
      <c r="T641" s="141" t="s">
        <v>2196</v>
      </c>
      <c r="U641" s="142" t="s">
        <v>2197</v>
      </c>
      <c r="V641" s="142" t="s">
        <v>797</v>
      </c>
      <c r="W641" s="141">
        <f t="shared" si="19"/>
        <v>3</v>
      </c>
      <c r="X641" s="143"/>
      <c r="Y641" s="145" t="s">
        <v>2198</v>
      </c>
      <c r="AA641"/>
    </row>
    <row r="642" spans="1:27" s="115" customFormat="1" ht="40.5" customHeight="1">
      <c r="A642" s="139">
        <v>617</v>
      </c>
      <c r="B642" s="140" t="s">
        <v>5126</v>
      </c>
      <c r="C642" s="141" t="s">
        <v>2187</v>
      </c>
      <c r="D642" s="142" t="s">
        <v>2188</v>
      </c>
      <c r="E642" s="141" t="s">
        <v>2199</v>
      </c>
      <c r="F642" s="142" t="s">
        <v>2193</v>
      </c>
      <c r="G642" s="141" t="s">
        <v>2200</v>
      </c>
      <c r="H642" s="142" t="s">
        <v>2190</v>
      </c>
      <c r="I642" s="141" t="s">
        <v>2201</v>
      </c>
      <c r="J642" s="142" t="s">
        <v>2191</v>
      </c>
      <c r="K642" s="142" t="s">
        <v>798</v>
      </c>
      <c r="L642" s="143">
        <f t="shared" si="18"/>
        <v>1</v>
      </c>
      <c r="M642" s="144" t="s">
        <v>2202</v>
      </c>
      <c r="N642" s="141" t="s">
        <v>2187</v>
      </c>
      <c r="O642" s="142" t="s">
        <v>2188</v>
      </c>
      <c r="P642" s="141" t="s">
        <v>2143</v>
      </c>
      <c r="Q642" s="142" t="s">
        <v>2193</v>
      </c>
      <c r="R642" s="141" t="s">
        <v>2194</v>
      </c>
      <c r="S642" s="142" t="s">
        <v>2195</v>
      </c>
      <c r="T642" s="141" t="s">
        <v>2196</v>
      </c>
      <c r="U642" s="142" t="s">
        <v>2191</v>
      </c>
      <c r="V642" s="142" t="s">
        <v>798</v>
      </c>
      <c r="W642" s="141">
        <f t="shared" si="19"/>
        <v>1</v>
      </c>
      <c r="X642" s="143"/>
      <c r="Y642" s="145"/>
      <c r="AA642"/>
    </row>
    <row r="643" spans="1:27" s="115" customFormat="1" ht="40.5" customHeight="1">
      <c r="A643" s="139">
        <v>618</v>
      </c>
      <c r="B643" s="140" t="s">
        <v>5127</v>
      </c>
      <c r="C643" s="141" t="s">
        <v>2187</v>
      </c>
      <c r="D643" s="142" t="s">
        <v>2188</v>
      </c>
      <c r="E643" s="141" t="s">
        <v>2199</v>
      </c>
      <c r="F643" s="142" t="s">
        <v>2193</v>
      </c>
      <c r="G643" s="141" t="s">
        <v>2200</v>
      </c>
      <c r="H643" s="142" t="s">
        <v>2195</v>
      </c>
      <c r="I643" s="141" t="s">
        <v>2201</v>
      </c>
      <c r="J643" s="142" t="s">
        <v>2191</v>
      </c>
      <c r="K643" s="142" t="s">
        <v>797</v>
      </c>
      <c r="L643" s="143">
        <f t="shared" si="18"/>
        <v>1</v>
      </c>
      <c r="M643" s="144" t="s">
        <v>2192</v>
      </c>
      <c r="N643" s="141" t="s">
        <v>2187</v>
      </c>
      <c r="O643" s="142" t="s">
        <v>2188</v>
      </c>
      <c r="P643" s="141" t="s">
        <v>2143</v>
      </c>
      <c r="Q643" s="142" t="s">
        <v>2193</v>
      </c>
      <c r="R643" s="141" t="s">
        <v>2194</v>
      </c>
      <c r="S643" s="142" t="s">
        <v>2195</v>
      </c>
      <c r="T643" s="141" t="s">
        <v>2196</v>
      </c>
      <c r="U643" s="142" t="s">
        <v>2191</v>
      </c>
      <c r="V643" s="142" t="s">
        <v>797</v>
      </c>
      <c r="W643" s="141">
        <f t="shared" si="19"/>
        <v>3</v>
      </c>
      <c r="X643" s="143">
        <v>1</v>
      </c>
      <c r="Y643" s="145"/>
      <c r="AA643"/>
    </row>
    <row r="644" spans="1:27" s="115" customFormat="1" ht="40.5" customHeight="1">
      <c r="A644" s="139">
        <v>619</v>
      </c>
      <c r="B644" s="140" t="s">
        <v>5128</v>
      </c>
      <c r="C644" s="141" t="s">
        <v>2187</v>
      </c>
      <c r="D644" s="142" t="s">
        <v>2188</v>
      </c>
      <c r="E644" s="141" t="s">
        <v>2199</v>
      </c>
      <c r="F644" s="142" t="s">
        <v>2193</v>
      </c>
      <c r="G644" s="141" t="s">
        <v>2203</v>
      </c>
      <c r="H644" s="142" t="s">
        <v>2195</v>
      </c>
      <c r="I644" s="141" t="s">
        <v>2204</v>
      </c>
      <c r="J644" s="142" t="s">
        <v>2205</v>
      </c>
      <c r="K644" s="142" t="s">
        <v>799</v>
      </c>
      <c r="L644" s="143">
        <f t="shared" si="18"/>
        <v>1</v>
      </c>
      <c r="M644" s="144" t="s">
        <v>2206</v>
      </c>
      <c r="N644" s="141" t="s">
        <v>2187</v>
      </c>
      <c r="O644" s="142" t="s">
        <v>2188</v>
      </c>
      <c r="P644" s="141" t="s">
        <v>2143</v>
      </c>
      <c r="Q644" s="142" t="s">
        <v>2193</v>
      </c>
      <c r="R644" s="141" t="s">
        <v>2194</v>
      </c>
      <c r="S644" s="142" t="s">
        <v>2195</v>
      </c>
      <c r="T644" s="141" t="s">
        <v>2207</v>
      </c>
      <c r="U644" s="142" t="s">
        <v>2205</v>
      </c>
      <c r="V644" s="142" t="s">
        <v>799</v>
      </c>
      <c r="W644" s="141">
        <f t="shared" si="19"/>
        <v>1</v>
      </c>
      <c r="X644" s="143"/>
      <c r="Y644" s="145"/>
      <c r="AA644"/>
    </row>
    <row r="645" spans="1:27" s="115" customFormat="1" ht="40.5" customHeight="1">
      <c r="A645" s="139">
        <v>620</v>
      </c>
      <c r="B645" s="140" t="s">
        <v>5129</v>
      </c>
      <c r="C645" s="141" t="s">
        <v>2187</v>
      </c>
      <c r="D645" s="142" t="s">
        <v>2188</v>
      </c>
      <c r="E645" s="141" t="s">
        <v>2199</v>
      </c>
      <c r="F645" s="142" t="s">
        <v>2193</v>
      </c>
      <c r="G645" s="141" t="s">
        <v>2203</v>
      </c>
      <c r="H645" s="142" t="s">
        <v>2195</v>
      </c>
      <c r="I645" s="141" t="s">
        <v>2204</v>
      </c>
      <c r="J645" s="142" t="s">
        <v>2205</v>
      </c>
      <c r="K645" s="142" t="s">
        <v>800</v>
      </c>
      <c r="L645" s="143">
        <f t="shared" ref="L645:L708" si="20">COUNTIF($B$5:$B$1752,B645)</f>
        <v>1</v>
      </c>
      <c r="M645" s="144" t="s">
        <v>2208</v>
      </c>
      <c r="N645" s="141" t="s">
        <v>2187</v>
      </c>
      <c r="O645" s="142" t="s">
        <v>2188</v>
      </c>
      <c r="P645" s="141" t="s">
        <v>2143</v>
      </c>
      <c r="Q645" s="142" t="s">
        <v>2193</v>
      </c>
      <c r="R645" s="141" t="s">
        <v>2194</v>
      </c>
      <c r="S645" s="142" t="s">
        <v>2195</v>
      </c>
      <c r="T645" s="141" t="s">
        <v>2207</v>
      </c>
      <c r="U645" s="142" t="s">
        <v>2205</v>
      </c>
      <c r="V645" s="142" t="s">
        <v>800</v>
      </c>
      <c r="W645" s="141">
        <f t="shared" ref="W645:W708" si="21">COUNTIF($M$5:$M$1756,M645)</f>
        <v>1</v>
      </c>
      <c r="X645" s="143"/>
      <c r="Y645" s="145"/>
      <c r="AA645"/>
    </row>
    <row r="646" spans="1:27" s="115" customFormat="1" ht="40.5" customHeight="1">
      <c r="A646" s="139">
        <v>621</v>
      </c>
      <c r="B646" s="140" t="s">
        <v>5130</v>
      </c>
      <c r="C646" s="141" t="s">
        <v>2187</v>
      </c>
      <c r="D646" s="142" t="s">
        <v>2188</v>
      </c>
      <c r="E646" s="141" t="s">
        <v>2199</v>
      </c>
      <c r="F646" s="142" t="s">
        <v>2209</v>
      </c>
      <c r="G646" s="141" t="s">
        <v>2203</v>
      </c>
      <c r="H646" s="142" t="s">
        <v>2209</v>
      </c>
      <c r="I646" s="141" t="s">
        <v>2204</v>
      </c>
      <c r="J646" s="142" t="s">
        <v>2209</v>
      </c>
      <c r="K646" s="142" t="s">
        <v>801</v>
      </c>
      <c r="L646" s="143">
        <f t="shared" si="20"/>
        <v>1</v>
      </c>
      <c r="M646" s="144" t="s">
        <v>2210</v>
      </c>
      <c r="N646" s="141" t="s">
        <v>2187</v>
      </c>
      <c r="O646" s="142" t="s">
        <v>2188</v>
      </c>
      <c r="P646" s="141" t="s">
        <v>2211</v>
      </c>
      <c r="Q646" s="142" t="s">
        <v>2209</v>
      </c>
      <c r="R646" s="141" t="s">
        <v>2212</v>
      </c>
      <c r="S646" s="142" t="s">
        <v>2209</v>
      </c>
      <c r="T646" s="141" t="s">
        <v>2213</v>
      </c>
      <c r="U646" s="142" t="s">
        <v>2209</v>
      </c>
      <c r="V646" s="142" t="s">
        <v>801</v>
      </c>
      <c r="W646" s="141">
        <f t="shared" si="21"/>
        <v>1</v>
      </c>
      <c r="X646" s="143"/>
      <c r="Y646" s="145"/>
      <c r="AA646"/>
    </row>
    <row r="647" spans="1:27" s="115" customFormat="1" ht="40.5" customHeight="1">
      <c r="A647" s="139">
        <v>622</v>
      </c>
      <c r="B647" s="140" t="s">
        <v>5131</v>
      </c>
      <c r="C647" s="141" t="s">
        <v>2187</v>
      </c>
      <c r="D647" s="142" t="s">
        <v>2188</v>
      </c>
      <c r="E647" s="141" t="s">
        <v>2199</v>
      </c>
      <c r="F647" s="142" t="s">
        <v>2209</v>
      </c>
      <c r="G647" s="141" t="s">
        <v>2203</v>
      </c>
      <c r="H647" s="142" t="s">
        <v>2209</v>
      </c>
      <c r="I647" s="141" t="s">
        <v>2204</v>
      </c>
      <c r="J647" s="142" t="s">
        <v>2209</v>
      </c>
      <c r="K647" s="142" t="s">
        <v>802</v>
      </c>
      <c r="L647" s="143">
        <f t="shared" si="20"/>
        <v>1</v>
      </c>
      <c r="M647" s="144" t="s">
        <v>2214</v>
      </c>
      <c r="N647" s="141" t="s">
        <v>2187</v>
      </c>
      <c r="O647" s="142" t="s">
        <v>2188</v>
      </c>
      <c r="P647" s="141" t="s">
        <v>2211</v>
      </c>
      <c r="Q647" s="142" t="s">
        <v>2209</v>
      </c>
      <c r="R647" s="141" t="s">
        <v>2212</v>
      </c>
      <c r="S647" s="142" t="s">
        <v>2209</v>
      </c>
      <c r="T647" s="141" t="s">
        <v>2213</v>
      </c>
      <c r="U647" s="142" t="s">
        <v>2209</v>
      </c>
      <c r="V647" s="142" t="s">
        <v>802</v>
      </c>
      <c r="W647" s="141">
        <f t="shared" si="21"/>
        <v>1</v>
      </c>
      <c r="X647" s="143"/>
      <c r="Y647" s="145"/>
      <c r="AA647"/>
    </row>
    <row r="648" spans="1:27" s="115" customFormat="1" ht="40.5" customHeight="1">
      <c r="A648" s="139">
        <v>623</v>
      </c>
      <c r="B648" s="140" t="s">
        <v>5147</v>
      </c>
      <c r="C648" s="141" t="s">
        <v>2187</v>
      </c>
      <c r="D648" s="142" t="s">
        <v>2188</v>
      </c>
      <c r="E648" s="141" t="s">
        <v>2215</v>
      </c>
      <c r="F648" s="142" t="s">
        <v>2216</v>
      </c>
      <c r="G648" s="141" t="s">
        <v>2217</v>
      </c>
      <c r="H648" s="142" t="s">
        <v>2216</v>
      </c>
      <c r="I648" s="141" t="s">
        <v>2218</v>
      </c>
      <c r="J648" s="142" t="s">
        <v>171</v>
      </c>
      <c r="K648" s="142" t="s">
        <v>171</v>
      </c>
      <c r="L648" s="143">
        <f t="shared" si="20"/>
        <v>1</v>
      </c>
      <c r="M648" s="144" t="s">
        <v>2219</v>
      </c>
      <c r="N648" s="141" t="s">
        <v>2187</v>
      </c>
      <c r="O648" s="142" t="s">
        <v>2188</v>
      </c>
      <c r="P648" s="141" t="s">
        <v>2105</v>
      </c>
      <c r="Q648" s="142" t="s">
        <v>2216</v>
      </c>
      <c r="R648" s="141" t="s">
        <v>2220</v>
      </c>
      <c r="S648" s="142" t="s">
        <v>2216</v>
      </c>
      <c r="T648" s="141" t="s">
        <v>2221</v>
      </c>
      <c r="U648" s="142" t="s">
        <v>171</v>
      </c>
      <c r="V648" s="142" t="s">
        <v>171</v>
      </c>
      <c r="W648" s="141">
        <f t="shared" si="21"/>
        <v>1</v>
      </c>
      <c r="X648" s="143"/>
      <c r="Y648" s="145"/>
      <c r="AA648"/>
    </row>
    <row r="649" spans="1:27" s="115" customFormat="1" ht="40.5" customHeight="1">
      <c r="A649" s="139">
        <v>624</v>
      </c>
      <c r="B649" s="140" t="s">
        <v>5148</v>
      </c>
      <c r="C649" s="141" t="s">
        <v>2187</v>
      </c>
      <c r="D649" s="142" t="s">
        <v>2188</v>
      </c>
      <c r="E649" s="141" t="s">
        <v>2215</v>
      </c>
      <c r="F649" s="142" t="s">
        <v>2216</v>
      </c>
      <c r="G649" s="141" t="s">
        <v>2217</v>
      </c>
      <c r="H649" s="142" t="s">
        <v>2216</v>
      </c>
      <c r="I649" s="141" t="s">
        <v>2218</v>
      </c>
      <c r="J649" s="142" t="s">
        <v>803</v>
      </c>
      <c r="K649" s="142" t="s">
        <v>803</v>
      </c>
      <c r="L649" s="143">
        <f t="shared" si="20"/>
        <v>1</v>
      </c>
      <c r="M649" s="144">
        <v>36020</v>
      </c>
      <c r="N649" s="141" t="s">
        <v>2187</v>
      </c>
      <c r="O649" s="142" t="s">
        <v>2188</v>
      </c>
      <c r="P649" s="141" t="s">
        <v>2105</v>
      </c>
      <c r="Q649" s="142" t="s">
        <v>2216</v>
      </c>
      <c r="R649" s="141" t="s">
        <v>2220</v>
      </c>
      <c r="S649" s="142" t="s">
        <v>2216</v>
      </c>
      <c r="T649" s="141" t="s">
        <v>2222</v>
      </c>
      <c r="U649" s="142" t="s">
        <v>803</v>
      </c>
      <c r="V649" s="142" t="s">
        <v>803</v>
      </c>
      <c r="W649" s="141">
        <f t="shared" si="21"/>
        <v>1</v>
      </c>
      <c r="X649" s="143"/>
      <c r="Y649" s="145"/>
      <c r="AA649"/>
    </row>
    <row r="650" spans="1:27" s="115" customFormat="1" ht="40.5" customHeight="1">
      <c r="A650" s="139">
        <v>625</v>
      </c>
      <c r="B650" s="140" t="s">
        <v>5794</v>
      </c>
      <c r="C650" s="141" t="s">
        <v>2187</v>
      </c>
      <c r="D650" s="142" t="s">
        <v>2188</v>
      </c>
      <c r="E650" s="141" t="s">
        <v>2223</v>
      </c>
      <c r="F650" s="142" t="s">
        <v>2224</v>
      </c>
      <c r="G650" s="141" t="s">
        <v>2225</v>
      </c>
      <c r="H650" s="142" t="s">
        <v>2224</v>
      </c>
      <c r="I650" s="141" t="s">
        <v>2226</v>
      </c>
      <c r="J650" s="142" t="s">
        <v>2227</v>
      </c>
      <c r="K650" s="142" t="s">
        <v>804</v>
      </c>
      <c r="L650" s="143">
        <f t="shared" si="20"/>
        <v>1</v>
      </c>
      <c r="M650" s="144" t="s">
        <v>2228</v>
      </c>
      <c r="N650" s="141" t="s">
        <v>2187</v>
      </c>
      <c r="O650" s="142" t="s">
        <v>2188</v>
      </c>
      <c r="P650" s="141" t="s">
        <v>2199</v>
      </c>
      <c r="Q650" s="142" t="s">
        <v>2224</v>
      </c>
      <c r="R650" s="141" t="s">
        <v>2229</v>
      </c>
      <c r="S650" s="142" t="s">
        <v>2224</v>
      </c>
      <c r="T650" s="141" t="s">
        <v>2230</v>
      </c>
      <c r="U650" s="142" t="s">
        <v>2227</v>
      </c>
      <c r="V650" s="142" t="s">
        <v>804</v>
      </c>
      <c r="W650" s="141">
        <f t="shared" si="21"/>
        <v>2</v>
      </c>
      <c r="X650" s="143"/>
      <c r="Y650" s="145" t="s">
        <v>2231</v>
      </c>
      <c r="AA650"/>
    </row>
    <row r="651" spans="1:27" s="115" customFormat="1" ht="40.5" customHeight="1">
      <c r="A651" s="139">
        <v>626</v>
      </c>
      <c r="B651" s="140" t="s">
        <v>5884</v>
      </c>
      <c r="C651" s="141" t="s">
        <v>2187</v>
      </c>
      <c r="D651" s="142" t="s">
        <v>2188</v>
      </c>
      <c r="E651" s="141" t="s">
        <v>2232</v>
      </c>
      <c r="F651" s="142" t="s">
        <v>2193</v>
      </c>
      <c r="G651" s="141" t="s">
        <v>2233</v>
      </c>
      <c r="H651" s="142" t="s">
        <v>2234</v>
      </c>
      <c r="I651" s="141" t="s">
        <v>2235</v>
      </c>
      <c r="J651" s="142" t="s">
        <v>805</v>
      </c>
      <c r="K651" s="142" t="s">
        <v>805</v>
      </c>
      <c r="L651" s="143">
        <f t="shared" si="20"/>
        <v>1</v>
      </c>
      <c r="M651" s="144" t="s">
        <v>2236</v>
      </c>
      <c r="N651" s="141" t="s">
        <v>2187</v>
      </c>
      <c r="O651" s="142" t="s">
        <v>2188</v>
      </c>
      <c r="P651" s="141" t="s">
        <v>2143</v>
      </c>
      <c r="Q651" s="142" t="s">
        <v>2193</v>
      </c>
      <c r="R651" s="141" t="s">
        <v>2144</v>
      </c>
      <c r="S651" s="142" t="s">
        <v>2234</v>
      </c>
      <c r="T651" s="141" t="s">
        <v>2237</v>
      </c>
      <c r="U651" s="142" t="s">
        <v>805</v>
      </c>
      <c r="V651" s="142" t="s">
        <v>805</v>
      </c>
      <c r="W651" s="141">
        <f t="shared" si="21"/>
        <v>1</v>
      </c>
      <c r="X651" s="143"/>
      <c r="Y651" s="145"/>
      <c r="AA651"/>
    </row>
    <row r="652" spans="1:27" s="115" customFormat="1" ht="40.5" customHeight="1">
      <c r="A652" s="139">
        <v>627</v>
      </c>
      <c r="B652" s="140" t="s">
        <v>5885</v>
      </c>
      <c r="C652" s="141" t="s">
        <v>2187</v>
      </c>
      <c r="D652" s="142" t="s">
        <v>2188</v>
      </c>
      <c r="E652" s="141" t="s">
        <v>2232</v>
      </c>
      <c r="F652" s="142" t="s">
        <v>2193</v>
      </c>
      <c r="G652" s="141" t="s">
        <v>2233</v>
      </c>
      <c r="H652" s="142" t="s">
        <v>2238</v>
      </c>
      <c r="I652" s="141" t="s">
        <v>2235</v>
      </c>
      <c r="J652" s="142" t="s">
        <v>806</v>
      </c>
      <c r="K652" s="142" t="s">
        <v>806</v>
      </c>
      <c r="L652" s="143">
        <f t="shared" si="20"/>
        <v>1</v>
      </c>
      <c r="M652" s="144" t="s">
        <v>2239</v>
      </c>
      <c r="N652" s="141" t="s">
        <v>2187</v>
      </c>
      <c r="O652" s="142" t="s">
        <v>2188</v>
      </c>
      <c r="P652" s="141" t="s">
        <v>2143</v>
      </c>
      <c r="Q652" s="142" t="s">
        <v>2193</v>
      </c>
      <c r="R652" s="141" t="s">
        <v>2240</v>
      </c>
      <c r="S652" s="142" t="s">
        <v>2238</v>
      </c>
      <c r="T652" s="141" t="s">
        <v>2241</v>
      </c>
      <c r="U652" s="142" t="s">
        <v>806</v>
      </c>
      <c r="V652" s="142" t="s">
        <v>806</v>
      </c>
      <c r="W652" s="141">
        <f t="shared" si="21"/>
        <v>1</v>
      </c>
      <c r="X652" s="143"/>
      <c r="Y652" s="145"/>
      <c r="AA652"/>
    </row>
    <row r="653" spans="1:27" s="115" customFormat="1" ht="40.5" customHeight="1">
      <c r="A653" s="139">
        <v>628</v>
      </c>
      <c r="B653" s="140" t="s">
        <v>5886</v>
      </c>
      <c r="C653" s="141" t="s">
        <v>2187</v>
      </c>
      <c r="D653" s="142" t="s">
        <v>2188</v>
      </c>
      <c r="E653" s="141" t="s">
        <v>2232</v>
      </c>
      <c r="F653" s="142" t="s">
        <v>2193</v>
      </c>
      <c r="G653" s="141" t="s">
        <v>2233</v>
      </c>
      <c r="H653" s="142" t="s">
        <v>2238</v>
      </c>
      <c r="I653" s="141" t="s">
        <v>2235</v>
      </c>
      <c r="J653" s="142" t="s">
        <v>807</v>
      </c>
      <c r="K653" s="142" t="s">
        <v>807</v>
      </c>
      <c r="L653" s="143">
        <f t="shared" si="20"/>
        <v>1</v>
      </c>
      <c r="M653" s="144" t="s">
        <v>2242</v>
      </c>
      <c r="N653" s="141" t="s">
        <v>2187</v>
      </c>
      <c r="O653" s="142" t="s">
        <v>2188</v>
      </c>
      <c r="P653" s="141" t="s">
        <v>2143</v>
      </c>
      <c r="Q653" s="142" t="s">
        <v>2193</v>
      </c>
      <c r="R653" s="141" t="s">
        <v>2240</v>
      </c>
      <c r="S653" s="142" t="s">
        <v>2238</v>
      </c>
      <c r="T653" s="141" t="s">
        <v>2243</v>
      </c>
      <c r="U653" s="142" t="s">
        <v>807</v>
      </c>
      <c r="V653" s="142" t="s">
        <v>807</v>
      </c>
      <c r="W653" s="141">
        <f t="shared" si="21"/>
        <v>1</v>
      </c>
      <c r="X653" s="143"/>
      <c r="Y653" s="145"/>
      <c r="AA653"/>
    </row>
    <row r="654" spans="1:27" s="115" customFormat="1" ht="40.5" customHeight="1">
      <c r="A654" s="139">
        <v>629</v>
      </c>
      <c r="B654" s="140" t="s">
        <v>5887</v>
      </c>
      <c r="C654" s="141" t="s">
        <v>2187</v>
      </c>
      <c r="D654" s="142" t="s">
        <v>2188</v>
      </c>
      <c r="E654" s="141" t="s">
        <v>2232</v>
      </c>
      <c r="F654" s="142" t="s">
        <v>2193</v>
      </c>
      <c r="G654" s="141" t="s">
        <v>2233</v>
      </c>
      <c r="H654" s="142" t="s">
        <v>2234</v>
      </c>
      <c r="I654" s="141" t="s">
        <v>2235</v>
      </c>
      <c r="J654" s="142" t="s">
        <v>808</v>
      </c>
      <c r="K654" s="142" t="s">
        <v>808</v>
      </c>
      <c r="L654" s="143">
        <f t="shared" si="20"/>
        <v>1</v>
      </c>
      <c r="M654" s="144" t="s">
        <v>2244</v>
      </c>
      <c r="N654" s="141" t="s">
        <v>2187</v>
      </c>
      <c r="O654" s="142" t="s">
        <v>2188</v>
      </c>
      <c r="P654" s="141" t="s">
        <v>2143</v>
      </c>
      <c r="Q654" s="142" t="s">
        <v>2193</v>
      </c>
      <c r="R654" s="141" t="s">
        <v>2144</v>
      </c>
      <c r="S654" s="142" t="s">
        <v>2234</v>
      </c>
      <c r="T654" s="141" t="s">
        <v>2245</v>
      </c>
      <c r="U654" s="142" t="s">
        <v>808</v>
      </c>
      <c r="V654" s="142" t="s">
        <v>808</v>
      </c>
      <c r="W654" s="141">
        <f t="shared" si="21"/>
        <v>1</v>
      </c>
      <c r="X654" s="143"/>
      <c r="Y654" s="145"/>
      <c r="AA654"/>
    </row>
    <row r="655" spans="1:27" s="115" customFormat="1" ht="40.5" customHeight="1">
      <c r="A655" s="139">
        <v>630</v>
      </c>
      <c r="B655" s="140" t="s">
        <v>5888</v>
      </c>
      <c r="C655" s="141" t="s">
        <v>2187</v>
      </c>
      <c r="D655" s="142" t="s">
        <v>2188</v>
      </c>
      <c r="E655" s="141" t="s">
        <v>2232</v>
      </c>
      <c r="F655" s="142" t="s">
        <v>2193</v>
      </c>
      <c r="G655" s="141" t="s">
        <v>2233</v>
      </c>
      <c r="H655" s="142" t="s">
        <v>2234</v>
      </c>
      <c r="I655" s="141" t="s">
        <v>2235</v>
      </c>
      <c r="J655" s="142" t="s">
        <v>809</v>
      </c>
      <c r="K655" s="142" t="s">
        <v>809</v>
      </c>
      <c r="L655" s="143">
        <f t="shared" si="20"/>
        <v>1</v>
      </c>
      <c r="M655" s="144" t="s">
        <v>2246</v>
      </c>
      <c r="N655" s="141" t="s">
        <v>2187</v>
      </c>
      <c r="O655" s="142" t="s">
        <v>2188</v>
      </c>
      <c r="P655" s="141" t="s">
        <v>2143</v>
      </c>
      <c r="Q655" s="142" t="s">
        <v>2193</v>
      </c>
      <c r="R655" s="141" t="s">
        <v>2144</v>
      </c>
      <c r="S655" s="142" t="s">
        <v>2234</v>
      </c>
      <c r="T655" s="141" t="s">
        <v>2247</v>
      </c>
      <c r="U655" s="142" t="s">
        <v>809</v>
      </c>
      <c r="V655" s="142" t="s">
        <v>809</v>
      </c>
      <c r="W655" s="141">
        <f t="shared" si="21"/>
        <v>1</v>
      </c>
      <c r="X655" s="143"/>
      <c r="Y655" s="145"/>
      <c r="AA655"/>
    </row>
    <row r="656" spans="1:27" s="115" customFormat="1" ht="40.5" customHeight="1">
      <c r="A656" s="139">
        <v>631</v>
      </c>
      <c r="B656" s="140" t="s">
        <v>5889</v>
      </c>
      <c r="C656" s="141" t="s">
        <v>2187</v>
      </c>
      <c r="D656" s="142" t="s">
        <v>2188</v>
      </c>
      <c r="E656" s="141" t="s">
        <v>2232</v>
      </c>
      <c r="F656" s="142" t="s">
        <v>2193</v>
      </c>
      <c r="G656" s="141" t="s">
        <v>2233</v>
      </c>
      <c r="H656" s="142" t="s">
        <v>2238</v>
      </c>
      <c r="I656" s="141" t="s">
        <v>2235</v>
      </c>
      <c r="J656" s="142" t="s">
        <v>810</v>
      </c>
      <c r="K656" s="142" t="s">
        <v>810</v>
      </c>
      <c r="L656" s="143">
        <f t="shared" si="20"/>
        <v>1</v>
      </c>
      <c r="M656" s="144" t="s">
        <v>2248</v>
      </c>
      <c r="N656" s="141" t="s">
        <v>2187</v>
      </c>
      <c r="O656" s="142" t="s">
        <v>2188</v>
      </c>
      <c r="P656" s="141" t="s">
        <v>2143</v>
      </c>
      <c r="Q656" s="142" t="s">
        <v>2193</v>
      </c>
      <c r="R656" s="141" t="s">
        <v>2240</v>
      </c>
      <c r="S656" s="142" t="s">
        <v>2238</v>
      </c>
      <c r="T656" s="141" t="s">
        <v>2249</v>
      </c>
      <c r="U656" s="142" t="s">
        <v>810</v>
      </c>
      <c r="V656" s="142" t="s">
        <v>810</v>
      </c>
      <c r="W656" s="141">
        <f t="shared" si="21"/>
        <v>1</v>
      </c>
      <c r="X656" s="143"/>
      <c r="Y656" s="145"/>
      <c r="AA656"/>
    </row>
    <row r="657" spans="1:27" s="115" customFormat="1" ht="40.5" customHeight="1">
      <c r="A657" s="139">
        <v>632</v>
      </c>
      <c r="B657" s="140" t="s">
        <v>5890</v>
      </c>
      <c r="C657" s="141" t="s">
        <v>2187</v>
      </c>
      <c r="D657" s="142" t="s">
        <v>2188</v>
      </c>
      <c r="E657" s="141" t="s">
        <v>2232</v>
      </c>
      <c r="F657" s="142" t="s">
        <v>2193</v>
      </c>
      <c r="G657" s="141" t="s">
        <v>2233</v>
      </c>
      <c r="H657" s="142" t="s">
        <v>2238</v>
      </c>
      <c r="I657" s="141" t="s">
        <v>2235</v>
      </c>
      <c r="J657" s="142" t="s">
        <v>811</v>
      </c>
      <c r="K657" s="142" t="s">
        <v>811</v>
      </c>
      <c r="L657" s="143">
        <f t="shared" si="20"/>
        <v>1</v>
      </c>
      <c r="M657" s="144" t="s">
        <v>2250</v>
      </c>
      <c r="N657" s="141" t="s">
        <v>2187</v>
      </c>
      <c r="O657" s="142" t="s">
        <v>2188</v>
      </c>
      <c r="P657" s="141" t="s">
        <v>2143</v>
      </c>
      <c r="Q657" s="142" t="s">
        <v>2193</v>
      </c>
      <c r="R657" s="141" t="s">
        <v>2240</v>
      </c>
      <c r="S657" s="142" t="s">
        <v>2238</v>
      </c>
      <c r="T657" s="141" t="s">
        <v>2251</v>
      </c>
      <c r="U657" s="142" t="s">
        <v>811</v>
      </c>
      <c r="V657" s="142" t="s">
        <v>811</v>
      </c>
      <c r="W657" s="141">
        <f t="shared" si="21"/>
        <v>1</v>
      </c>
      <c r="X657" s="143"/>
      <c r="Y657" s="145"/>
      <c r="AA657"/>
    </row>
    <row r="658" spans="1:27" s="115" customFormat="1" ht="40.5" customHeight="1">
      <c r="A658" s="139">
        <v>633</v>
      </c>
      <c r="B658" s="140" t="s">
        <v>5891</v>
      </c>
      <c r="C658" s="141" t="s">
        <v>2187</v>
      </c>
      <c r="D658" s="142" t="s">
        <v>2188</v>
      </c>
      <c r="E658" s="141" t="s">
        <v>2232</v>
      </c>
      <c r="F658" s="142" t="s">
        <v>2224</v>
      </c>
      <c r="G658" s="141" t="s">
        <v>2233</v>
      </c>
      <c r="H658" s="142" t="s">
        <v>2224</v>
      </c>
      <c r="I658" s="141" t="s">
        <v>2252</v>
      </c>
      <c r="J658" s="142" t="s">
        <v>2227</v>
      </c>
      <c r="K658" s="142" t="s">
        <v>804</v>
      </c>
      <c r="L658" s="143">
        <f t="shared" si="20"/>
        <v>1</v>
      </c>
      <c r="M658" s="144" t="s">
        <v>2228</v>
      </c>
      <c r="N658" s="141" t="s">
        <v>2187</v>
      </c>
      <c r="O658" s="142" t="s">
        <v>2188</v>
      </c>
      <c r="P658" s="141" t="s">
        <v>2199</v>
      </c>
      <c r="Q658" s="142" t="s">
        <v>2224</v>
      </c>
      <c r="R658" s="141" t="s">
        <v>2229</v>
      </c>
      <c r="S658" s="142" t="s">
        <v>2224</v>
      </c>
      <c r="T658" s="141" t="s">
        <v>2230</v>
      </c>
      <c r="U658" s="142" t="s">
        <v>2227</v>
      </c>
      <c r="V658" s="142" t="s">
        <v>804</v>
      </c>
      <c r="W658" s="141">
        <f t="shared" si="21"/>
        <v>2</v>
      </c>
      <c r="X658" s="143">
        <v>1</v>
      </c>
      <c r="Y658" s="145"/>
      <c r="AA658"/>
    </row>
    <row r="659" spans="1:27" s="115" customFormat="1" ht="40.5" customHeight="1">
      <c r="A659" s="139">
        <v>634</v>
      </c>
      <c r="B659" s="140" t="s">
        <v>5892</v>
      </c>
      <c r="C659" s="141" t="s">
        <v>2187</v>
      </c>
      <c r="D659" s="142" t="s">
        <v>2188</v>
      </c>
      <c r="E659" s="141" t="s">
        <v>2232</v>
      </c>
      <c r="F659" s="142" t="s">
        <v>2224</v>
      </c>
      <c r="G659" s="141" t="s">
        <v>2233</v>
      </c>
      <c r="H659" s="142" t="s">
        <v>2224</v>
      </c>
      <c r="I659" s="141" t="s">
        <v>2252</v>
      </c>
      <c r="J659" s="142" t="s">
        <v>2253</v>
      </c>
      <c r="K659" s="142" t="s">
        <v>812</v>
      </c>
      <c r="L659" s="143">
        <f t="shared" si="20"/>
        <v>1</v>
      </c>
      <c r="M659" s="144" t="s">
        <v>2254</v>
      </c>
      <c r="N659" s="141" t="s">
        <v>2187</v>
      </c>
      <c r="O659" s="142" t="s">
        <v>2188</v>
      </c>
      <c r="P659" s="141" t="s">
        <v>2199</v>
      </c>
      <c r="Q659" s="142" t="s">
        <v>2224</v>
      </c>
      <c r="R659" s="141" t="s">
        <v>2229</v>
      </c>
      <c r="S659" s="142" t="s">
        <v>2224</v>
      </c>
      <c r="T659" s="141" t="s">
        <v>2255</v>
      </c>
      <c r="U659" s="142" t="s">
        <v>2253</v>
      </c>
      <c r="V659" s="142" t="s">
        <v>812</v>
      </c>
      <c r="W659" s="141">
        <f t="shared" si="21"/>
        <v>1</v>
      </c>
      <c r="X659" s="143"/>
      <c r="Y659" s="145"/>
      <c r="AA659"/>
    </row>
    <row r="660" spans="1:27" s="115" customFormat="1" ht="40.5" customHeight="1">
      <c r="A660" s="139">
        <v>635</v>
      </c>
      <c r="B660" s="140" t="s">
        <v>5893</v>
      </c>
      <c r="C660" s="141" t="s">
        <v>2187</v>
      </c>
      <c r="D660" s="142" t="s">
        <v>2188</v>
      </c>
      <c r="E660" s="141" t="s">
        <v>2232</v>
      </c>
      <c r="F660" s="142" t="s">
        <v>2224</v>
      </c>
      <c r="G660" s="141" t="s">
        <v>2233</v>
      </c>
      <c r="H660" s="142" t="s">
        <v>2224</v>
      </c>
      <c r="I660" s="141" t="s">
        <v>2252</v>
      </c>
      <c r="J660" s="142" t="s">
        <v>2227</v>
      </c>
      <c r="K660" s="142" t="s">
        <v>813</v>
      </c>
      <c r="L660" s="143">
        <f t="shared" si="20"/>
        <v>1</v>
      </c>
      <c r="M660" s="144" t="s">
        <v>2256</v>
      </c>
      <c r="N660" s="141" t="s">
        <v>2187</v>
      </c>
      <c r="O660" s="142" t="s">
        <v>2188</v>
      </c>
      <c r="P660" s="141" t="s">
        <v>2199</v>
      </c>
      <c r="Q660" s="142" t="s">
        <v>2224</v>
      </c>
      <c r="R660" s="141" t="s">
        <v>2229</v>
      </c>
      <c r="S660" s="142" t="s">
        <v>2224</v>
      </c>
      <c r="T660" s="141" t="s">
        <v>2230</v>
      </c>
      <c r="U660" s="142" t="s">
        <v>2227</v>
      </c>
      <c r="V660" s="142" t="s">
        <v>813</v>
      </c>
      <c r="W660" s="141">
        <f t="shared" si="21"/>
        <v>1</v>
      </c>
      <c r="X660" s="143"/>
      <c r="Y660" s="145"/>
      <c r="AA660"/>
    </row>
    <row r="661" spans="1:27" s="115" customFormat="1" ht="40.5" customHeight="1">
      <c r="A661" s="139">
        <v>636</v>
      </c>
      <c r="B661" s="140" t="s">
        <v>5894</v>
      </c>
      <c r="C661" s="141" t="s">
        <v>2187</v>
      </c>
      <c r="D661" s="142" t="s">
        <v>2188</v>
      </c>
      <c r="E661" s="141" t="s">
        <v>2232</v>
      </c>
      <c r="F661" s="142" t="s">
        <v>2224</v>
      </c>
      <c r="G661" s="141" t="s">
        <v>2233</v>
      </c>
      <c r="H661" s="142" t="s">
        <v>2224</v>
      </c>
      <c r="I661" s="141" t="s">
        <v>2252</v>
      </c>
      <c r="J661" s="142" t="s">
        <v>2253</v>
      </c>
      <c r="K661" s="142" t="s">
        <v>814</v>
      </c>
      <c r="L661" s="143">
        <f t="shared" si="20"/>
        <v>1</v>
      </c>
      <c r="M661" s="144" t="s">
        <v>2257</v>
      </c>
      <c r="N661" s="141" t="s">
        <v>2187</v>
      </c>
      <c r="O661" s="142" t="s">
        <v>2188</v>
      </c>
      <c r="P661" s="141" t="s">
        <v>2199</v>
      </c>
      <c r="Q661" s="142" t="s">
        <v>2224</v>
      </c>
      <c r="R661" s="141" t="s">
        <v>2229</v>
      </c>
      <c r="S661" s="142" t="s">
        <v>2224</v>
      </c>
      <c r="T661" s="141" t="s">
        <v>2255</v>
      </c>
      <c r="U661" s="142" t="s">
        <v>2253</v>
      </c>
      <c r="V661" s="142" t="s">
        <v>814</v>
      </c>
      <c r="W661" s="141">
        <f t="shared" si="21"/>
        <v>1</v>
      </c>
      <c r="X661" s="143"/>
      <c r="Y661" s="145"/>
      <c r="AA661"/>
    </row>
    <row r="662" spans="1:27" s="115" customFormat="1" ht="40.5" customHeight="1">
      <c r="A662" s="139">
        <v>637</v>
      </c>
      <c r="B662" s="140" t="s">
        <v>5895</v>
      </c>
      <c r="C662" s="141" t="s">
        <v>2187</v>
      </c>
      <c r="D662" s="142" t="s">
        <v>2188</v>
      </c>
      <c r="E662" s="141" t="s">
        <v>2232</v>
      </c>
      <c r="F662" s="142" t="s">
        <v>2193</v>
      </c>
      <c r="G662" s="141" t="s">
        <v>2233</v>
      </c>
      <c r="H662" s="142" t="s">
        <v>2195</v>
      </c>
      <c r="I662" s="141" t="s">
        <v>2258</v>
      </c>
      <c r="J662" s="142" t="s">
        <v>2191</v>
      </c>
      <c r="K662" s="142" t="s">
        <v>797</v>
      </c>
      <c r="L662" s="143">
        <f t="shared" si="20"/>
        <v>1</v>
      </c>
      <c r="M662" s="144" t="s">
        <v>2192</v>
      </c>
      <c r="N662" s="141" t="s">
        <v>2187</v>
      </c>
      <c r="O662" s="142" t="s">
        <v>2188</v>
      </c>
      <c r="P662" s="141" t="s">
        <v>2143</v>
      </c>
      <c r="Q662" s="142" t="s">
        <v>2193</v>
      </c>
      <c r="R662" s="141" t="s">
        <v>2194</v>
      </c>
      <c r="S662" s="142" t="s">
        <v>2195</v>
      </c>
      <c r="T662" s="141" t="s">
        <v>2196</v>
      </c>
      <c r="U662" s="142" t="s">
        <v>2191</v>
      </c>
      <c r="V662" s="142" t="s">
        <v>797</v>
      </c>
      <c r="W662" s="141">
        <f t="shared" si="21"/>
        <v>3</v>
      </c>
      <c r="X662" s="143"/>
      <c r="Y662" s="145" t="s">
        <v>2259</v>
      </c>
      <c r="AA662"/>
    </row>
    <row r="663" spans="1:27" s="115" customFormat="1" ht="13.5" customHeight="1">
      <c r="A663" s="139">
        <v>638</v>
      </c>
      <c r="B663" s="140" t="s">
        <v>5149</v>
      </c>
      <c r="C663" s="141" t="s">
        <v>2260</v>
      </c>
      <c r="D663" s="142" t="s">
        <v>2261</v>
      </c>
      <c r="E663" s="141" t="s">
        <v>2262</v>
      </c>
      <c r="F663" s="142" t="s">
        <v>2263</v>
      </c>
      <c r="G663" s="141" t="s">
        <v>2264</v>
      </c>
      <c r="H663" s="142" t="s">
        <v>2265</v>
      </c>
      <c r="I663" s="141" t="s">
        <v>2266</v>
      </c>
      <c r="J663" s="142" t="s">
        <v>816</v>
      </c>
      <c r="K663" s="142" t="s">
        <v>815</v>
      </c>
      <c r="L663" s="143">
        <f t="shared" si="20"/>
        <v>1</v>
      </c>
      <c r="M663" s="144" t="s">
        <v>2267</v>
      </c>
      <c r="N663" s="141" t="s">
        <v>2260</v>
      </c>
      <c r="O663" s="142" t="s">
        <v>2268</v>
      </c>
      <c r="P663" s="141" t="s">
        <v>2215</v>
      </c>
      <c r="Q663" s="142" t="s">
        <v>2263</v>
      </c>
      <c r="R663" s="141" t="s">
        <v>2269</v>
      </c>
      <c r="S663" s="142" t="s">
        <v>2265</v>
      </c>
      <c r="T663" s="141" t="s">
        <v>2270</v>
      </c>
      <c r="U663" s="142" t="s">
        <v>816</v>
      </c>
      <c r="V663" s="142" t="s">
        <v>815</v>
      </c>
      <c r="W663" s="141">
        <f t="shared" si="21"/>
        <v>2</v>
      </c>
      <c r="X663" s="143">
        <v>1</v>
      </c>
      <c r="Y663" s="145"/>
      <c r="AA663"/>
    </row>
    <row r="664" spans="1:27" s="115" customFormat="1" ht="13.5" customHeight="1">
      <c r="A664" s="139">
        <v>639</v>
      </c>
      <c r="B664" s="140" t="s">
        <v>5150</v>
      </c>
      <c r="C664" s="141" t="s">
        <v>2260</v>
      </c>
      <c r="D664" s="142" t="s">
        <v>2261</v>
      </c>
      <c r="E664" s="141" t="s">
        <v>2262</v>
      </c>
      <c r="F664" s="142" t="s">
        <v>2263</v>
      </c>
      <c r="G664" s="141" t="s">
        <v>2264</v>
      </c>
      <c r="H664" s="142" t="s">
        <v>2265</v>
      </c>
      <c r="I664" s="141" t="s">
        <v>2266</v>
      </c>
      <c r="J664" s="142" t="s">
        <v>816</v>
      </c>
      <c r="K664" s="142" t="s">
        <v>2271</v>
      </c>
      <c r="L664" s="143">
        <f t="shared" si="20"/>
        <v>1</v>
      </c>
      <c r="M664" s="144" t="s">
        <v>2272</v>
      </c>
      <c r="N664" s="141" t="s">
        <v>2273</v>
      </c>
      <c r="O664" s="142" t="s">
        <v>2274</v>
      </c>
      <c r="P664" s="141" t="s">
        <v>2275</v>
      </c>
      <c r="Q664" s="142" t="s">
        <v>2274</v>
      </c>
      <c r="R664" s="141" t="s">
        <v>2276</v>
      </c>
      <c r="S664" s="142" t="s">
        <v>2277</v>
      </c>
      <c r="T664" s="141" t="s">
        <v>2278</v>
      </c>
      <c r="U664" s="142" t="s">
        <v>2279</v>
      </c>
      <c r="V664" s="142" t="s">
        <v>1106</v>
      </c>
      <c r="W664" s="141">
        <f t="shared" si="21"/>
        <v>4</v>
      </c>
      <c r="X664" s="143"/>
      <c r="Y664" s="145" t="s">
        <v>2280</v>
      </c>
      <c r="AA664"/>
    </row>
    <row r="665" spans="1:27" s="115" customFormat="1" ht="13.5" customHeight="1">
      <c r="A665" s="139">
        <v>640</v>
      </c>
      <c r="B665" s="140" t="s">
        <v>5151</v>
      </c>
      <c r="C665" s="141" t="s">
        <v>2260</v>
      </c>
      <c r="D665" s="142" t="s">
        <v>2261</v>
      </c>
      <c r="E665" s="141" t="s">
        <v>2262</v>
      </c>
      <c r="F665" s="142" t="s">
        <v>2263</v>
      </c>
      <c r="G665" s="141" t="s">
        <v>2264</v>
      </c>
      <c r="H665" s="142" t="s">
        <v>2265</v>
      </c>
      <c r="I665" s="141" t="s">
        <v>2266</v>
      </c>
      <c r="J665" s="142" t="s">
        <v>2271</v>
      </c>
      <c r="K665" s="142" t="s">
        <v>2271</v>
      </c>
      <c r="L665" s="143">
        <f t="shared" si="20"/>
        <v>1</v>
      </c>
      <c r="M665" s="144" t="s">
        <v>2272</v>
      </c>
      <c r="N665" s="141" t="s">
        <v>2273</v>
      </c>
      <c r="O665" s="142" t="s">
        <v>2274</v>
      </c>
      <c r="P665" s="141" t="s">
        <v>2275</v>
      </c>
      <c r="Q665" s="142" t="s">
        <v>2274</v>
      </c>
      <c r="R665" s="141" t="s">
        <v>2276</v>
      </c>
      <c r="S665" s="142" t="s">
        <v>2277</v>
      </c>
      <c r="T665" s="141" t="s">
        <v>2278</v>
      </c>
      <c r="U665" s="142" t="s">
        <v>2279</v>
      </c>
      <c r="V665" s="142" t="s">
        <v>1106</v>
      </c>
      <c r="W665" s="141">
        <f t="shared" si="21"/>
        <v>4</v>
      </c>
      <c r="X665" s="143"/>
      <c r="Y665" s="145" t="s">
        <v>2281</v>
      </c>
      <c r="AA665"/>
    </row>
    <row r="666" spans="1:27" s="115" customFormat="1" ht="13.5" customHeight="1">
      <c r="A666" s="139">
        <v>641</v>
      </c>
      <c r="B666" s="140" t="s">
        <v>5152</v>
      </c>
      <c r="C666" s="141" t="s">
        <v>2260</v>
      </c>
      <c r="D666" s="142" t="s">
        <v>2261</v>
      </c>
      <c r="E666" s="141" t="s">
        <v>2262</v>
      </c>
      <c r="F666" s="142" t="s">
        <v>2263</v>
      </c>
      <c r="G666" s="141" t="s">
        <v>2264</v>
      </c>
      <c r="H666" s="142" t="s">
        <v>2265</v>
      </c>
      <c r="I666" s="141" t="s">
        <v>2266</v>
      </c>
      <c r="J666" s="142" t="s">
        <v>2282</v>
      </c>
      <c r="K666" s="142" t="s">
        <v>817</v>
      </c>
      <c r="L666" s="143">
        <f t="shared" si="20"/>
        <v>1</v>
      </c>
      <c r="M666" s="144" t="s">
        <v>2283</v>
      </c>
      <c r="N666" s="141" t="s">
        <v>2260</v>
      </c>
      <c r="O666" s="142" t="s">
        <v>2268</v>
      </c>
      <c r="P666" s="141" t="s">
        <v>2215</v>
      </c>
      <c r="Q666" s="142" t="s">
        <v>2263</v>
      </c>
      <c r="R666" s="141" t="s">
        <v>2269</v>
      </c>
      <c r="S666" s="142" t="s">
        <v>2265</v>
      </c>
      <c r="T666" s="141" t="s">
        <v>2284</v>
      </c>
      <c r="U666" s="142" t="s">
        <v>2282</v>
      </c>
      <c r="V666" s="142" t="s">
        <v>817</v>
      </c>
      <c r="W666" s="141">
        <f t="shared" si="21"/>
        <v>1</v>
      </c>
      <c r="X666" s="143"/>
      <c r="Y666" s="145"/>
      <c r="AA666"/>
    </row>
    <row r="667" spans="1:27" s="115" customFormat="1" ht="13.5" customHeight="1">
      <c r="A667" s="139">
        <v>642</v>
      </c>
      <c r="B667" s="140" t="s">
        <v>5153</v>
      </c>
      <c r="C667" s="141" t="s">
        <v>2260</v>
      </c>
      <c r="D667" s="142" t="s">
        <v>2261</v>
      </c>
      <c r="E667" s="141" t="s">
        <v>2262</v>
      </c>
      <c r="F667" s="142" t="s">
        <v>2263</v>
      </c>
      <c r="G667" s="141" t="s">
        <v>2264</v>
      </c>
      <c r="H667" s="142" t="s">
        <v>2265</v>
      </c>
      <c r="I667" s="141" t="s">
        <v>2266</v>
      </c>
      <c r="J667" s="142" t="s">
        <v>816</v>
      </c>
      <c r="K667" s="142" t="s">
        <v>818</v>
      </c>
      <c r="L667" s="143">
        <f t="shared" si="20"/>
        <v>3</v>
      </c>
      <c r="M667" s="144">
        <v>41111</v>
      </c>
      <c r="N667" s="141" t="s">
        <v>2260</v>
      </c>
      <c r="O667" s="142" t="s">
        <v>2268</v>
      </c>
      <c r="P667" s="141" t="s">
        <v>2215</v>
      </c>
      <c r="Q667" s="142" t="s">
        <v>2263</v>
      </c>
      <c r="R667" s="141" t="s">
        <v>2269</v>
      </c>
      <c r="S667" s="142" t="s">
        <v>2265</v>
      </c>
      <c r="T667" s="141" t="s">
        <v>2270</v>
      </c>
      <c r="U667" s="142" t="s">
        <v>816</v>
      </c>
      <c r="V667" s="142" t="s">
        <v>818</v>
      </c>
      <c r="W667" s="141">
        <f t="shared" si="21"/>
        <v>2</v>
      </c>
      <c r="X667" s="143"/>
      <c r="Y667" s="145" t="s">
        <v>2285</v>
      </c>
      <c r="AA667"/>
    </row>
    <row r="668" spans="1:27" s="115" customFormat="1" ht="13.5" customHeight="1">
      <c r="A668" s="139">
        <v>642</v>
      </c>
      <c r="B668" s="140" t="s">
        <v>5153</v>
      </c>
      <c r="C668" s="141" t="s">
        <v>2260</v>
      </c>
      <c r="D668" s="142" t="s">
        <v>2261</v>
      </c>
      <c r="E668" s="141" t="s">
        <v>2262</v>
      </c>
      <c r="F668" s="142" t="s">
        <v>2263</v>
      </c>
      <c r="G668" s="141" t="s">
        <v>2264</v>
      </c>
      <c r="H668" s="142" t="s">
        <v>2265</v>
      </c>
      <c r="I668" s="141" t="s">
        <v>2266</v>
      </c>
      <c r="J668" s="142" t="s">
        <v>816</v>
      </c>
      <c r="K668" s="142" t="s">
        <v>815</v>
      </c>
      <c r="L668" s="143">
        <f t="shared" si="20"/>
        <v>3</v>
      </c>
      <c r="M668" s="144">
        <v>41112</v>
      </c>
      <c r="N668" s="141" t="s">
        <v>2260</v>
      </c>
      <c r="O668" s="142" t="s">
        <v>2268</v>
      </c>
      <c r="P668" s="141" t="s">
        <v>2215</v>
      </c>
      <c r="Q668" s="142" t="s">
        <v>2263</v>
      </c>
      <c r="R668" s="141" t="s">
        <v>2269</v>
      </c>
      <c r="S668" s="142" t="s">
        <v>2265</v>
      </c>
      <c r="T668" s="141" t="s">
        <v>2270</v>
      </c>
      <c r="U668" s="142" t="s">
        <v>816</v>
      </c>
      <c r="V668" s="142" t="s">
        <v>815</v>
      </c>
      <c r="W668" s="141">
        <f t="shared" si="21"/>
        <v>2</v>
      </c>
      <c r="X668" s="143"/>
      <c r="Y668" s="145" t="s">
        <v>2285</v>
      </c>
      <c r="AA668"/>
    </row>
    <row r="669" spans="1:27" s="115" customFormat="1" ht="27" customHeight="1">
      <c r="A669" s="139">
        <v>642</v>
      </c>
      <c r="B669" s="140" t="s">
        <v>5153</v>
      </c>
      <c r="C669" s="141" t="s">
        <v>2260</v>
      </c>
      <c r="D669" s="142" t="s">
        <v>2261</v>
      </c>
      <c r="E669" s="141" t="s">
        <v>2262</v>
      </c>
      <c r="F669" s="142" t="s">
        <v>2263</v>
      </c>
      <c r="G669" s="141" t="s">
        <v>2264</v>
      </c>
      <c r="H669" s="142" t="s">
        <v>2265</v>
      </c>
      <c r="I669" s="141" t="s">
        <v>2266</v>
      </c>
      <c r="J669" s="142" t="s">
        <v>816</v>
      </c>
      <c r="K669" s="142" t="s">
        <v>819</v>
      </c>
      <c r="L669" s="143">
        <f t="shared" si="20"/>
        <v>3</v>
      </c>
      <c r="M669" s="144">
        <v>41119</v>
      </c>
      <c r="N669" s="141" t="s">
        <v>2260</v>
      </c>
      <c r="O669" s="142" t="s">
        <v>2268</v>
      </c>
      <c r="P669" s="141" t="s">
        <v>2215</v>
      </c>
      <c r="Q669" s="142" t="s">
        <v>2263</v>
      </c>
      <c r="R669" s="141" t="s">
        <v>2269</v>
      </c>
      <c r="S669" s="142" t="s">
        <v>2265</v>
      </c>
      <c r="T669" s="141" t="s">
        <v>2270</v>
      </c>
      <c r="U669" s="142" t="s">
        <v>816</v>
      </c>
      <c r="V669" s="142" t="s">
        <v>819</v>
      </c>
      <c r="W669" s="141">
        <f t="shared" si="21"/>
        <v>2</v>
      </c>
      <c r="X669" s="143"/>
      <c r="Y669" s="145" t="s">
        <v>2285</v>
      </c>
      <c r="AA669"/>
    </row>
    <row r="670" spans="1:27" s="115" customFormat="1" ht="13.5" customHeight="1">
      <c r="A670" s="139">
        <v>643</v>
      </c>
      <c r="B670" s="140" t="s">
        <v>5154</v>
      </c>
      <c r="C670" s="141" t="s">
        <v>2260</v>
      </c>
      <c r="D670" s="142" t="s">
        <v>2261</v>
      </c>
      <c r="E670" s="141" t="s">
        <v>2262</v>
      </c>
      <c r="F670" s="142" t="s">
        <v>2263</v>
      </c>
      <c r="G670" s="141" t="s">
        <v>2264</v>
      </c>
      <c r="H670" s="142" t="s">
        <v>2265</v>
      </c>
      <c r="I670" s="141" t="s">
        <v>2266</v>
      </c>
      <c r="J670" s="142" t="s">
        <v>816</v>
      </c>
      <c r="K670" s="142" t="s">
        <v>818</v>
      </c>
      <c r="L670" s="143">
        <f t="shared" si="20"/>
        <v>1</v>
      </c>
      <c r="M670" s="144">
        <v>41111</v>
      </c>
      <c r="N670" s="141" t="s">
        <v>2260</v>
      </c>
      <c r="O670" s="142" t="s">
        <v>2268</v>
      </c>
      <c r="P670" s="141" t="s">
        <v>2215</v>
      </c>
      <c r="Q670" s="142" t="s">
        <v>2263</v>
      </c>
      <c r="R670" s="141" t="s">
        <v>2269</v>
      </c>
      <c r="S670" s="142" t="s">
        <v>2265</v>
      </c>
      <c r="T670" s="141" t="s">
        <v>2270</v>
      </c>
      <c r="U670" s="142" t="s">
        <v>816</v>
      </c>
      <c r="V670" s="142" t="s">
        <v>818</v>
      </c>
      <c r="W670" s="141">
        <f t="shared" si="21"/>
        <v>2</v>
      </c>
      <c r="X670" s="143">
        <v>1</v>
      </c>
      <c r="Y670" s="145"/>
      <c r="AA670"/>
    </row>
    <row r="671" spans="1:27" s="115" customFormat="1" ht="13.5" customHeight="1">
      <c r="A671" s="139">
        <v>644</v>
      </c>
      <c r="B671" s="140" t="s">
        <v>5155</v>
      </c>
      <c r="C671" s="141" t="s">
        <v>2260</v>
      </c>
      <c r="D671" s="142" t="s">
        <v>2261</v>
      </c>
      <c r="E671" s="141" t="s">
        <v>2262</v>
      </c>
      <c r="F671" s="142" t="s">
        <v>2263</v>
      </c>
      <c r="G671" s="141" t="s">
        <v>2264</v>
      </c>
      <c r="H671" s="142" t="s">
        <v>2265</v>
      </c>
      <c r="I671" s="141" t="s">
        <v>2266</v>
      </c>
      <c r="J671" s="142" t="s">
        <v>816</v>
      </c>
      <c r="K671" s="142" t="s">
        <v>819</v>
      </c>
      <c r="L671" s="143">
        <f t="shared" si="20"/>
        <v>1</v>
      </c>
      <c r="M671" s="144" t="s">
        <v>2286</v>
      </c>
      <c r="N671" s="141" t="s">
        <v>2260</v>
      </c>
      <c r="O671" s="142" t="s">
        <v>2268</v>
      </c>
      <c r="P671" s="141" t="s">
        <v>2215</v>
      </c>
      <c r="Q671" s="142" t="s">
        <v>2263</v>
      </c>
      <c r="R671" s="141" t="s">
        <v>2269</v>
      </c>
      <c r="S671" s="142" t="s">
        <v>2265</v>
      </c>
      <c r="T671" s="141" t="s">
        <v>2270</v>
      </c>
      <c r="U671" s="142" t="s">
        <v>816</v>
      </c>
      <c r="V671" s="142" t="s">
        <v>819</v>
      </c>
      <c r="W671" s="141">
        <f t="shared" si="21"/>
        <v>2</v>
      </c>
      <c r="X671" s="143">
        <v>1</v>
      </c>
      <c r="Y671" s="145"/>
      <c r="AA671"/>
    </row>
    <row r="672" spans="1:27" s="115" customFormat="1" ht="13.5" customHeight="1">
      <c r="A672" s="139">
        <v>645</v>
      </c>
      <c r="B672" s="140" t="s">
        <v>5156</v>
      </c>
      <c r="C672" s="141" t="s">
        <v>2260</v>
      </c>
      <c r="D672" s="142" t="s">
        <v>2261</v>
      </c>
      <c r="E672" s="141" t="s">
        <v>2262</v>
      </c>
      <c r="F672" s="142" t="s">
        <v>2263</v>
      </c>
      <c r="G672" s="141" t="s">
        <v>2264</v>
      </c>
      <c r="H672" s="142" t="s">
        <v>2265</v>
      </c>
      <c r="I672" s="141" t="s">
        <v>2266</v>
      </c>
      <c r="J672" s="142" t="s">
        <v>2282</v>
      </c>
      <c r="K672" s="142" t="s">
        <v>820</v>
      </c>
      <c r="L672" s="143">
        <f t="shared" si="20"/>
        <v>1</v>
      </c>
      <c r="M672" s="144" t="s">
        <v>2287</v>
      </c>
      <c r="N672" s="141" t="s">
        <v>2260</v>
      </c>
      <c r="O672" s="142" t="s">
        <v>2268</v>
      </c>
      <c r="P672" s="141" t="s">
        <v>2215</v>
      </c>
      <c r="Q672" s="142" t="s">
        <v>2263</v>
      </c>
      <c r="R672" s="141" t="s">
        <v>2269</v>
      </c>
      <c r="S672" s="142" t="s">
        <v>2265</v>
      </c>
      <c r="T672" s="141" t="s">
        <v>2284</v>
      </c>
      <c r="U672" s="142" t="s">
        <v>2282</v>
      </c>
      <c r="V672" s="142" t="s">
        <v>820</v>
      </c>
      <c r="W672" s="141">
        <f t="shared" si="21"/>
        <v>1</v>
      </c>
      <c r="X672" s="143"/>
      <c r="Y672" s="145"/>
      <c r="AA672"/>
    </row>
    <row r="673" spans="1:27" s="115" customFormat="1" ht="13.5" customHeight="1">
      <c r="A673" s="139">
        <v>646</v>
      </c>
      <c r="B673" s="140" t="s">
        <v>5157</v>
      </c>
      <c r="C673" s="141" t="s">
        <v>2260</v>
      </c>
      <c r="D673" s="142" t="s">
        <v>2261</v>
      </c>
      <c r="E673" s="141" t="s">
        <v>2262</v>
      </c>
      <c r="F673" s="142" t="s">
        <v>2263</v>
      </c>
      <c r="G673" s="141" t="s">
        <v>2264</v>
      </c>
      <c r="H673" s="142" t="s">
        <v>2265</v>
      </c>
      <c r="I673" s="141" t="s">
        <v>2266</v>
      </c>
      <c r="J673" s="142" t="s">
        <v>2282</v>
      </c>
      <c r="K673" s="142" t="s">
        <v>821</v>
      </c>
      <c r="L673" s="143">
        <f t="shared" si="20"/>
        <v>1</v>
      </c>
      <c r="M673" s="144" t="s">
        <v>2288</v>
      </c>
      <c r="N673" s="141" t="s">
        <v>2260</v>
      </c>
      <c r="O673" s="142" t="s">
        <v>2268</v>
      </c>
      <c r="P673" s="141" t="s">
        <v>2215</v>
      </c>
      <c r="Q673" s="142" t="s">
        <v>2263</v>
      </c>
      <c r="R673" s="141" t="s">
        <v>2269</v>
      </c>
      <c r="S673" s="142" t="s">
        <v>2265</v>
      </c>
      <c r="T673" s="141" t="s">
        <v>2284</v>
      </c>
      <c r="U673" s="142" t="s">
        <v>2282</v>
      </c>
      <c r="V673" s="142" t="s">
        <v>821</v>
      </c>
      <c r="W673" s="141">
        <f t="shared" si="21"/>
        <v>1</v>
      </c>
      <c r="X673" s="143"/>
      <c r="Y673" s="145"/>
      <c r="AA673"/>
    </row>
    <row r="674" spans="1:27" s="115" customFormat="1" ht="13.5" customHeight="1">
      <c r="A674" s="139">
        <v>647</v>
      </c>
      <c r="B674" s="140" t="s">
        <v>5158</v>
      </c>
      <c r="C674" s="141" t="s">
        <v>2260</v>
      </c>
      <c r="D674" s="142" t="s">
        <v>2261</v>
      </c>
      <c r="E674" s="141" t="s">
        <v>2262</v>
      </c>
      <c r="F674" s="142" t="s">
        <v>2263</v>
      </c>
      <c r="G674" s="141" t="s">
        <v>2264</v>
      </c>
      <c r="H674" s="142" t="s">
        <v>2289</v>
      </c>
      <c r="I674" s="141" t="s">
        <v>2290</v>
      </c>
      <c r="J674" s="142" t="s">
        <v>2291</v>
      </c>
      <c r="K674" s="142" t="s">
        <v>822</v>
      </c>
      <c r="L674" s="143">
        <f t="shared" si="20"/>
        <v>1</v>
      </c>
      <c r="M674" s="144" t="s">
        <v>2292</v>
      </c>
      <c r="N674" s="141" t="s">
        <v>2260</v>
      </c>
      <c r="O674" s="142" t="s">
        <v>2268</v>
      </c>
      <c r="P674" s="141" t="s">
        <v>2215</v>
      </c>
      <c r="Q674" s="142" t="s">
        <v>2263</v>
      </c>
      <c r="R674" s="141" t="s">
        <v>2293</v>
      </c>
      <c r="S674" s="142" t="s">
        <v>2289</v>
      </c>
      <c r="T674" s="141" t="s">
        <v>2294</v>
      </c>
      <c r="U674" s="142" t="s">
        <v>2291</v>
      </c>
      <c r="V674" s="142" t="s">
        <v>822</v>
      </c>
      <c r="W674" s="141">
        <f t="shared" si="21"/>
        <v>1</v>
      </c>
      <c r="X674" s="143"/>
      <c r="Y674" s="145"/>
      <c r="AA674"/>
    </row>
    <row r="675" spans="1:27" s="115" customFormat="1" ht="27" customHeight="1">
      <c r="A675" s="139">
        <v>648</v>
      </c>
      <c r="B675" s="140" t="s">
        <v>5159</v>
      </c>
      <c r="C675" s="141" t="s">
        <v>2260</v>
      </c>
      <c r="D675" s="142" t="s">
        <v>2261</v>
      </c>
      <c r="E675" s="141" t="s">
        <v>2262</v>
      </c>
      <c r="F675" s="142" t="s">
        <v>2263</v>
      </c>
      <c r="G675" s="141" t="s">
        <v>2264</v>
      </c>
      <c r="H675" s="142" t="s">
        <v>2289</v>
      </c>
      <c r="I675" s="141" t="s">
        <v>2290</v>
      </c>
      <c r="J675" s="142" t="s">
        <v>823</v>
      </c>
      <c r="K675" s="142" t="s">
        <v>823</v>
      </c>
      <c r="L675" s="143">
        <f t="shared" si="20"/>
        <v>1</v>
      </c>
      <c r="M675" s="144">
        <v>41210</v>
      </c>
      <c r="N675" s="141" t="s">
        <v>2260</v>
      </c>
      <c r="O675" s="142" t="s">
        <v>2268</v>
      </c>
      <c r="P675" s="141" t="s">
        <v>2215</v>
      </c>
      <c r="Q675" s="142" t="s">
        <v>2263</v>
      </c>
      <c r="R675" s="141" t="s">
        <v>2293</v>
      </c>
      <c r="S675" s="142" t="s">
        <v>2289</v>
      </c>
      <c r="T675" s="141" t="s">
        <v>2295</v>
      </c>
      <c r="U675" s="142" t="s">
        <v>823</v>
      </c>
      <c r="V675" s="142" t="s">
        <v>823</v>
      </c>
      <c r="W675" s="141">
        <f t="shared" si="21"/>
        <v>1</v>
      </c>
      <c r="X675" s="143"/>
      <c r="Y675" s="145"/>
      <c r="AA675"/>
    </row>
    <row r="676" spans="1:27" s="115" customFormat="1" ht="13.5" customHeight="1">
      <c r="A676" s="139">
        <v>649</v>
      </c>
      <c r="B676" s="140" t="s">
        <v>5160</v>
      </c>
      <c r="C676" s="141" t="s">
        <v>2260</v>
      </c>
      <c r="D676" s="142" t="s">
        <v>2261</v>
      </c>
      <c r="E676" s="141" t="s">
        <v>2262</v>
      </c>
      <c r="F676" s="142" t="s">
        <v>2263</v>
      </c>
      <c r="G676" s="141" t="s">
        <v>2264</v>
      </c>
      <c r="H676" s="142" t="s">
        <v>2289</v>
      </c>
      <c r="I676" s="141" t="s">
        <v>2290</v>
      </c>
      <c r="J676" s="142" t="s">
        <v>2291</v>
      </c>
      <c r="K676" s="142" t="s">
        <v>824</v>
      </c>
      <c r="L676" s="143">
        <f t="shared" si="20"/>
        <v>1</v>
      </c>
      <c r="M676" s="144" t="s">
        <v>2296</v>
      </c>
      <c r="N676" s="141" t="s">
        <v>2260</v>
      </c>
      <c r="O676" s="142" t="s">
        <v>2268</v>
      </c>
      <c r="P676" s="141" t="s">
        <v>2215</v>
      </c>
      <c r="Q676" s="142" t="s">
        <v>2263</v>
      </c>
      <c r="R676" s="141" t="s">
        <v>2293</v>
      </c>
      <c r="S676" s="142" t="s">
        <v>2289</v>
      </c>
      <c r="T676" s="141" t="s">
        <v>2294</v>
      </c>
      <c r="U676" s="142" t="s">
        <v>2291</v>
      </c>
      <c r="V676" s="142" t="s">
        <v>824</v>
      </c>
      <c r="W676" s="141">
        <f t="shared" si="21"/>
        <v>1</v>
      </c>
      <c r="X676" s="143"/>
      <c r="Y676" s="145"/>
      <c r="AA676"/>
    </row>
    <row r="677" spans="1:27" s="115" customFormat="1" ht="13.5" customHeight="1">
      <c r="A677" s="139">
        <v>650</v>
      </c>
      <c r="B677" s="140" t="s">
        <v>5161</v>
      </c>
      <c r="C677" s="141" t="s">
        <v>2260</v>
      </c>
      <c r="D677" s="142" t="s">
        <v>2261</v>
      </c>
      <c r="E677" s="141" t="s">
        <v>2262</v>
      </c>
      <c r="F677" s="142" t="s">
        <v>2263</v>
      </c>
      <c r="G677" s="141" t="s">
        <v>2264</v>
      </c>
      <c r="H677" s="142" t="s">
        <v>2289</v>
      </c>
      <c r="I677" s="141" t="s">
        <v>2290</v>
      </c>
      <c r="J677" s="142" t="s">
        <v>2291</v>
      </c>
      <c r="K677" s="142" t="s">
        <v>825</v>
      </c>
      <c r="L677" s="143">
        <f t="shared" si="20"/>
        <v>1</v>
      </c>
      <c r="M677" s="144" t="s">
        <v>2297</v>
      </c>
      <c r="N677" s="141" t="s">
        <v>2260</v>
      </c>
      <c r="O677" s="142" t="s">
        <v>2268</v>
      </c>
      <c r="P677" s="141" t="s">
        <v>2215</v>
      </c>
      <c r="Q677" s="142" t="s">
        <v>2263</v>
      </c>
      <c r="R677" s="141" t="s">
        <v>2293</v>
      </c>
      <c r="S677" s="142" t="s">
        <v>2289</v>
      </c>
      <c r="T677" s="141" t="s">
        <v>2294</v>
      </c>
      <c r="U677" s="142" t="s">
        <v>2291</v>
      </c>
      <c r="V677" s="142" t="s">
        <v>825</v>
      </c>
      <c r="W677" s="141">
        <f t="shared" si="21"/>
        <v>1</v>
      </c>
      <c r="X677" s="143"/>
      <c r="Y677" s="145"/>
      <c r="AA677"/>
    </row>
    <row r="678" spans="1:27" s="115" customFormat="1" ht="13.5" customHeight="1">
      <c r="A678" s="139">
        <v>651</v>
      </c>
      <c r="B678" s="140" t="s">
        <v>5162</v>
      </c>
      <c r="C678" s="141" t="s">
        <v>2260</v>
      </c>
      <c r="D678" s="142" t="s">
        <v>2261</v>
      </c>
      <c r="E678" s="141" t="s">
        <v>2262</v>
      </c>
      <c r="F678" s="142" t="s">
        <v>2263</v>
      </c>
      <c r="G678" s="141" t="s">
        <v>2264</v>
      </c>
      <c r="H678" s="142" t="s">
        <v>2289</v>
      </c>
      <c r="I678" s="141" t="s">
        <v>2290</v>
      </c>
      <c r="J678" s="142" t="s">
        <v>2291</v>
      </c>
      <c r="K678" s="142" t="s">
        <v>826</v>
      </c>
      <c r="L678" s="143">
        <f t="shared" si="20"/>
        <v>1</v>
      </c>
      <c r="M678" s="144" t="s">
        <v>2298</v>
      </c>
      <c r="N678" s="141" t="s">
        <v>2260</v>
      </c>
      <c r="O678" s="142" t="s">
        <v>2268</v>
      </c>
      <c r="P678" s="141" t="s">
        <v>2215</v>
      </c>
      <c r="Q678" s="142" t="s">
        <v>2263</v>
      </c>
      <c r="R678" s="141" t="s">
        <v>2293</v>
      </c>
      <c r="S678" s="142" t="s">
        <v>2289</v>
      </c>
      <c r="T678" s="141" t="s">
        <v>2294</v>
      </c>
      <c r="U678" s="142" t="s">
        <v>2291</v>
      </c>
      <c r="V678" s="142" t="s">
        <v>826</v>
      </c>
      <c r="W678" s="141">
        <f t="shared" si="21"/>
        <v>1</v>
      </c>
      <c r="X678" s="143"/>
      <c r="Y678" s="145"/>
      <c r="AA678"/>
    </row>
    <row r="679" spans="1:27" s="115" customFormat="1" ht="13.5" customHeight="1">
      <c r="A679" s="139">
        <v>652</v>
      </c>
      <c r="B679" s="140" t="s">
        <v>5163</v>
      </c>
      <c r="C679" s="141" t="s">
        <v>2260</v>
      </c>
      <c r="D679" s="142" t="s">
        <v>2261</v>
      </c>
      <c r="E679" s="141" t="s">
        <v>2262</v>
      </c>
      <c r="F679" s="142" t="s">
        <v>2263</v>
      </c>
      <c r="G679" s="141" t="s">
        <v>2264</v>
      </c>
      <c r="H679" s="142" t="s">
        <v>2289</v>
      </c>
      <c r="I679" s="141" t="s">
        <v>2290</v>
      </c>
      <c r="J679" s="142" t="s">
        <v>2291</v>
      </c>
      <c r="K679" s="142" t="s">
        <v>827</v>
      </c>
      <c r="L679" s="143">
        <f t="shared" si="20"/>
        <v>1</v>
      </c>
      <c r="M679" s="144" t="s">
        <v>2299</v>
      </c>
      <c r="N679" s="141" t="s">
        <v>2260</v>
      </c>
      <c r="O679" s="142" t="s">
        <v>2268</v>
      </c>
      <c r="P679" s="141" t="s">
        <v>2215</v>
      </c>
      <c r="Q679" s="142" t="s">
        <v>2263</v>
      </c>
      <c r="R679" s="141" t="s">
        <v>2293</v>
      </c>
      <c r="S679" s="142" t="s">
        <v>2289</v>
      </c>
      <c r="T679" s="141" t="s">
        <v>2294</v>
      </c>
      <c r="U679" s="142" t="s">
        <v>2291</v>
      </c>
      <c r="V679" s="142" t="s">
        <v>827</v>
      </c>
      <c r="W679" s="141">
        <f t="shared" si="21"/>
        <v>1</v>
      </c>
      <c r="X679" s="143"/>
      <c r="Y679" s="145"/>
      <c r="AA679"/>
    </row>
    <row r="680" spans="1:27" s="115" customFormat="1" ht="27" customHeight="1">
      <c r="A680" s="139">
        <v>653</v>
      </c>
      <c r="B680" s="140" t="s">
        <v>5164</v>
      </c>
      <c r="C680" s="141" t="s">
        <v>2260</v>
      </c>
      <c r="D680" s="142" t="s">
        <v>2261</v>
      </c>
      <c r="E680" s="141" t="s">
        <v>2262</v>
      </c>
      <c r="F680" s="142" t="s">
        <v>2263</v>
      </c>
      <c r="G680" s="141" t="s">
        <v>2264</v>
      </c>
      <c r="H680" s="142" t="s">
        <v>2289</v>
      </c>
      <c r="I680" s="141" t="s">
        <v>2300</v>
      </c>
      <c r="J680" s="142" t="s">
        <v>2291</v>
      </c>
      <c r="K680" s="142" t="s">
        <v>828</v>
      </c>
      <c r="L680" s="143">
        <f t="shared" si="20"/>
        <v>1</v>
      </c>
      <c r="M680" s="144" t="s">
        <v>2301</v>
      </c>
      <c r="N680" s="141" t="s">
        <v>2260</v>
      </c>
      <c r="O680" s="142" t="s">
        <v>2268</v>
      </c>
      <c r="P680" s="141" t="s">
        <v>2215</v>
      </c>
      <c r="Q680" s="142" t="s">
        <v>2263</v>
      </c>
      <c r="R680" s="141" t="s">
        <v>2293</v>
      </c>
      <c r="S680" s="142" t="s">
        <v>2289</v>
      </c>
      <c r="T680" s="141" t="s">
        <v>2294</v>
      </c>
      <c r="U680" s="142" t="s">
        <v>2291</v>
      </c>
      <c r="V680" s="142" t="s">
        <v>828</v>
      </c>
      <c r="W680" s="141">
        <f t="shared" si="21"/>
        <v>1</v>
      </c>
      <c r="X680" s="143"/>
      <c r="Y680" s="145"/>
      <c r="AA680"/>
    </row>
    <row r="681" spans="1:27" s="115" customFormat="1" ht="27" customHeight="1">
      <c r="A681" s="139">
        <v>654</v>
      </c>
      <c r="B681" s="140" t="s">
        <v>5165</v>
      </c>
      <c r="C681" s="141" t="s">
        <v>2260</v>
      </c>
      <c r="D681" s="142" t="s">
        <v>2261</v>
      </c>
      <c r="E681" s="141" t="s">
        <v>2262</v>
      </c>
      <c r="F681" s="142" t="s">
        <v>2263</v>
      </c>
      <c r="G681" s="141" t="s">
        <v>2264</v>
      </c>
      <c r="H681" s="142" t="s">
        <v>2289</v>
      </c>
      <c r="I681" s="141" t="s">
        <v>2302</v>
      </c>
      <c r="J681" s="142" t="s">
        <v>2291</v>
      </c>
      <c r="K681" s="142" t="s">
        <v>172</v>
      </c>
      <c r="L681" s="143">
        <f t="shared" si="20"/>
        <v>1</v>
      </c>
      <c r="M681" s="144" t="s">
        <v>2303</v>
      </c>
      <c r="N681" s="141" t="s">
        <v>2260</v>
      </c>
      <c r="O681" s="142" t="s">
        <v>2268</v>
      </c>
      <c r="P681" s="141" t="s">
        <v>2215</v>
      </c>
      <c r="Q681" s="142" t="s">
        <v>2263</v>
      </c>
      <c r="R681" s="141" t="s">
        <v>2293</v>
      </c>
      <c r="S681" s="142" t="s">
        <v>2289</v>
      </c>
      <c r="T681" s="141" t="s">
        <v>2294</v>
      </c>
      <c r="U681" s="142" t="s">
        <v>2291</v>
      </c>
      <c r="V681" s="142" t="s">
        <v>172</v>
      </c>
      <c r="W681" s="141">
        <f t="shared" si="21"/>
        <v>1</v>
      </c>
      <c r="X681" s="143"/>
      <c r="Y681" s="145"/>
      <c r="AA681"/>
    </row>
    <row r="682" spans="1:27" s="115" customFormat="1" ht="27" customHeight="1">
      <c r="A682" s="139">
        <v>655</v>
      </c>
      <c r="B682" s="140" t="s">
        <v>5166</v>
      </c>
      <c r="C682" s="141" t="s">
        <v>2260</v>
      </c>
      <c r="D682" s="142" t="s">
        <v>2261</v>
      </c>
      <c r="E682" s="141" t="s">
        <v>2262</v>
      </c>
      <c r="F682" s="142" t="s">
        <v>2304</v>
      </c>
      <c r="G682" s="141" t="s">
        <v>2305</v>
      </c>
      <c r="H682" s="142" t="s">
        <v>2306</v>
      </c>
      <c r="I682" s="141" t="s">
        <v>2307</v>
      </c>
      <c r="J682" s="142" t="s">
        <v>2308</v>
      </c>
      <c r="K682" s="142" t="s">
        <v>829</v>
      </c>
      <c r="L682" s="143">
        <f t="shared" si="20"/>
        <v>1</v>
      </c>
      <c r="M682" s="144" t="s">
        <v>2309</v>
      </c>
      <c r="N682" s="141" t="s">
        <v>2260</v>
      </c>
      <c r="O682" s="142" t="s">
        <v>2268</v>
      </c>
      <c r="P682" s="141" t="s">
        <v>2310</v>
      </c>
      <c r="Q682" s="142" t="s">
        <v>2304</v>
      </c>
      <c r="R682" s="141" t="s">
        <v>2311</v>
      </c>
      <c r="S682" s="142" t="s">
        <v>2306</v>
      </c>
      <c r="T682" s="141" t="s">
        <v>2312</v>
      </c>
      <c r="U682" s="142" t="s">
        <v>2308</v>
      </c>
      <c r="V682" s="142" t="s">
        <v>829</v>
      </c>
      <c r="W682" s="141">
        <f t="shared" si="21"/>
        <v>1</v>
      </c>
      <c r="X682" s="143"/>
      <c r="Y682" s="145"/>
      <c r="AA682"/>
    </row>
    <row r="683" spans="1:27" s="115" customFormat="1" ht="27" customHeight="1">
      <c r="A683" s="139">
        <v>656</v>
      </c>
      <c r="B683" s="140" t="s">
        <v>5167</v>
      </c>
      <c r="C683" s="141" t="s">
        <v>2260</v>
      </c>
      <c r="D683" s="142" t="s">
        <v>2261</v>
      </c>
      <c r="E683" s="141" t="s">
        <v>2262</v>
      </c>
      <c r="F683" s="142" t="s">
        <v>2304</v>
      </c>
      <c r="G683" s="141" t="s">
        <v>2305</v>
      </c>
      <c r="H683" s="142" t="s">
        <v>2306</v>
      </c>
      <c r="I683" s="141" t="s">
        <v>2307</v>
      </c>
      <c r="J683" s="142" t="s">
        <v>830</v>
      </c>
      <c r="K683" s="142" t="s">
        <v>830</v>
      </c>
      <c r="L683" s="143">
        <f t="shared" si="20"/>
        <v>1</v>
      </c>
      <c r="M683" s="144" t="s">
        <v>2313</v>
      </c>
      <c r="N683" s="141" t="s">
        <v>2260</v>
      </c>
      <c r="O683" s="142" t="s">
        <v>2268</v>
      </c>
      <c r="P683" s="141" t="s">
        <v>2310</v>
      </c>
      <c r="Q683" s="142" t="s">
        <v>2304</v>
      </c>
      <c r="R683" s="141" t="s">
        <v>2311</v>
      </c>
      <c r="S683" s="142" t="s">
        <v>2306</v>
      </c>
      <c r="T683" s="141" t="s">
        <v>2314</v>
      </c>
      <c r="U683" s="142" t="s">
        <v>830</v>
      </c>
      <c r="V683" s="142" t="s">
        <v>830</v>
      </c>
      <c r="W683" s="141">
        <f t="shared" si="21"/>
        <v>1</v>
      </c>
      <c r="X683" s="143"/>
      <c r="Y683" s="145"/>
      <c r="AA683"/>
    </row>
    <row r="684" spans="1:27" s="115" customFormat="1" ht="27" customHeight="1">
      <c r="A684" s="139">
        <v>657</v>
      </c>
      <c r="B684" s="140" t="s">
        <v>5168</v>
      </c>
      <c r="C684" s="141" t="s">
        <v>2260</v>
      </c>
      <c r="D684" s="142" t="s">
        <v>2261</v>
      </c>
      <c r="E684" s="141" t="s">
        <v>2262</v>
      </c>
      <c r="F684" s="142" t="s">
        <v>2304</v>
      </c>
      <c r="G684" s="141" t="s">
        <v>2305</v>
      </c>
      <c r="H684" s="142" t="s">
        <v>2315</v>
      </c>
      <c r="I684" s="141" t="s">
        <v>2307</v>
      </c>
      <c r="J684" s="142" t="s">
        <v>2316</v>
      </c>
      <c r="K684" s="142" t="s">
        <v>831</v>
      </c>
      <c r="L684" s="143">
        <f t="shared" si="20"/>
        <v>1</v>
      </c>
      <c r="M684" s="144" t="s">
        <v>2317</v>
      </c>
      <c r="N684" s="141" t="s">
        <v>2260</v>
      </c>
      <c r="O684" s="142" t="s">
        <v>2268</v>
      </c>
      <c r="P684" s="141" t="s">
        <v>2310</v>
      </c>
      <c r="Q684" s="142" t="s">
        <v>2304</v>
      </c>
      <c r="R684" s="141" t="s">
        <v>2318</v>
      </c>
      <c r="S684" s="142" t="s">
        <v>2315</v>
      </c>
      <c r="T684" s="141" t="s">
        <v>2319</v>
      </c>
      <c r="U684" s="142" t="s">
        <v>2316</v>
      </c>
      <c r="V684" s="142" t="s">
        <v>831</v>
      </c>
      <c r="W684" s="141">
        <f t="shared" si="21"/>
        <v>2</v>
      </c>
      <c r="X684" s="143">
        <v>2</v>
      </c>
      <c r="Y684" s="145" t="s">
        <v>2320</v>
      </c>
      <c r="AA684"/>
    </row>
    <row r="685" spans="1:27" s="115" customFormat="1" ht="27" customHeight="1">
      <c r="A685" s="139">
        <v>658</v>
      </c>
      <c r="B685" s="140" t="s">
        <v>5169</v>
      </c>
      <c r="C685" s="141" t="s">
        <v>2260</v>
      </c>
      <c r="D685" s="142" t="s">
        <v>2261</v>
      </c>
      <c r="E685" s="141" t="s">
        <v>2262</v>
      </c>
      <c r="F685" s="142" t="s">
        <v>2304</v>
      </c>
      <c r="G685" s="141" t="s">
        <v>2305</v>
      </c>
      <c r="H685" s="142" t="s">
        <v>2321</v>
      </c>
      <c r="I685" s="141" t="s">
        <v>2307</v>
      </c>
      <c r="J685" s="142" t="s">
        <v>2321</v>
      </c>
      <c r="K685" s="142" t="s">
        <v>832</v>
      </c>
      <c r="L685" s="143">
        <f t="shared" si="20"/>
        <v>1</v>
      </c>
      <c r="M685" s="144" t="s">
        <v>2322</v>
      </c>
      <c r="N685" s="141" t="s">
        <v>2260</v>
      </c>
      <c r="O685" s="142" t="s">
        <v>2268</v>
      </c>
      <c r="P685" s="141" t="s">
        <v>2310</v>
      </c>
      <c r="Q685" s="142" t="s">
        <v>2304</v>
      </c>
      <c r="R685" s="141" t="s">
        <v>2323</v>
      </c>
      <c r="S685" s="142" t="s">
        <v>2321</v>
      </c>
      <c r="T685" s="141" t="s">
        <v>2324</v>
      </c>
      <c r="U685" s="142" t="s">
        <v>2321</v>
      </c>
      <c r="V685" s="142" t="s">
        <v>832</v>
      </c>
      <c r="W685" s="141">
        <f t="shared" si="21"/>
        <v>2</v>
      </c>
      <c r="X685" s="143">
        <v>1</v>
      </c>
      <c r="Y685" s="145"/>
      <c r="AA685"/>
    </row>
    <row r="686" spans="1:27" s="115" customFormat="1" ht="27" customHeight="1">
      <c r="A686" s="139">
        <v>659</v>
      </c>
      <c r="B686" s="140" t="s">
        <v>5170</v>
      </c>
      <c r="C686" s="141" t="s">
        <v>2260</v>
      </c>
      <c r="D686" s="142" t="s">
        <v>2261</v>
      </c>
      <c r="E686" s="141" t="s">
        <v>2262</v>
      </c>
      <c r="F686" s="142" t="s">
        <v>2304</v>
      </c>
      <c r="G686" s="141" t="s">
        <v>2305</v>
      </c>
      <c r="H686" s="142" t="s">
        <v>2306</v>
      </c>
      <c r="I686" s="141" t="s">
        <v>2307</v>
      </c>
      <c r="J686" s="142" t="s">
        <v>2325</v>
      </c>
      <c r="K686" s="142" t="s">
        <v>833</v>
      </c>
      <c r="L686" s="143">
        <f t="shared" si="20"/>
        <v>1</v>
      </c>
      <c r="M686" s="144" t="s">
        <v>2326</v>
      </c>
      <c r="N686" s="141" t="s">
        <v>2260</v>
      </c>
      <c r="O686" s="142" t="s">
        <v>2268</v>
      </c>
      <c r="P686" s="141" t="s">
        <v>2310</v>
      </c>
      <c r="Q686" s="142" t="s">
        <v>2304</v>
      </c>
      <c r="R686" s="141" t="s">
        <v>2311</v>
      </c>
      <c r="S686" s="142" t="s">
        <v>2306</v>
      </c>
      <c r="T686" s="141" t="s">
        <v>2327</v>
      </c>
      <c r="U686" s="142" t="s">
        <v>2325</v>
      </c>
      <c r="V686" s="142" t="s">
        <v>833</v>
      </c>
      <c r="W686" s="141">
        <f t="shared" si="21"/>
        <v>3</v>
      </c>
      <c r="X686" s="143"/>
      <c r="Y686" s="145" t="s">
        <v>2328</v>
      </c>
      <c r="AA686"/>
    </row>
    <row r="687" spans="1:27" s="115" customFormat="1" ht="27" customHeight="1">
      <c r="A687" s="139">
        <v>660</v>
      </c>
      <c r="B687" s="140" t="s">
        <v>6059</v>
      </c>
      <c r="C687" s="141" t="s">
        <v>2260</v>
      </c>
      <c r="D687" s="142" t="s">
        <v>2261</v>
      </c>
      <c r="E687" s="141" t="s">
        <v>2262</v>
      </c>
      <c r="F687" s="142" t="s">
        <v>2304</v>
      </c>
      <c r="G687" s="141" t="s">
        <v>2305</v>
      </c>
      <c r="H687" s="142" t="s">
        <v>2306</v>
      </c>
      <c r="I687" s="141" t="s">
        <v>2307</v>
      </c>
      <c r="J687" s="142" t="s">
        <v>2325</v>
      </c>
      <c r="K687" s="142" t="s">
        <v>833</v>
      </c>
      <c r="L687" s="143">
        <f t="shared" si="20"/>
        <v>1</v>
      </c>
      <c r="M687" s="144" t="s">
        <v>2326</v>
      </c>
      <c r="N687" s="141" t="s">
        <v>2260</v>
      </c>
      <c r="O687" s="142" t="s">
        <v>2268</v>
      </c>
      <c r="P687" s="141" t="s">
        <v>2310</v>
      </c>
      <c r="Q687" s="142" t="s">
        <v>2304</v>
      </c>
      <c r="R687" s="141" t="s">
        <v>2311</v>
      </c>
      <c r="S687" s="142" t="s">
        <v>2306</v>
      </c>
      <c r="T687" s="141" t="s">
        <v>2327</v>
      </c>
      <c r="U687" s="142" t="s">
        <v>2325</v>
      </c>
      <c r="V687" s="142" t="s">
        <v>833</v>
      </c>
      <c r="W687" s="141">
        <f t="shared" si="21"/>
        <v>3</v>
      </c>
      <c r="X687" s="143"/>
      <c r="Y687" s="145" t="s">
        <v>2329</v>
      </c>
      <c r="AA687"/>
    </row>
    <row r="688" spans="1:27" s="115" customFormat="1" ht="27" customHeight="1">
      <c r="A688" s="139">
        <v>661</v>
      </c>
      <c r="B688" s="140" t="s">
        <v>5171</v>
      </c>
      <c r="C688" s="141" t="s">
        <v>2260</v>
      </c>
      <c r="D688" s="142" t="s">
        <v>2261</v>
      </c>
      <c r="E688" s="141" t="s">
        <v>2262</v>
      </c>
      <c r="F688" s="142" t="s">
        <v>2304</v>
      </c>
      <c r="G688" s="141" t="s">
        <v>2305</v>
      </c>
      <c r="H688" s="142" t="s">
        <v>2306</v>
      </c>
      <c r="I688" s="141" t="s">
        <v>2307</v>
      </c>
      <c r="J688" s="142" t="s">
        <v>2325</v>
      </c>
      <c r="K688" s="142" t="s">
        <v>833</v>
      </c>
      <c r="L688" s="143">
        <f t="shared" si="20"/>
        <v>1</v>
      </c>
      <c r="M688" s="144" t="s">
        <v>2326</v>
      </c>
      <c r="N688" s="141" t="s">
        <v>2260</v>
      </c>
      <c r="O688" s="142" t="s">
        <v>2268</v>
      </c>
      <c r="P688" s="141" t="s">
        <v>2310</v>
      </c>
      <c r="Q688" s="142" t="s">
        <v>2304</v>
      </c>
      <c r="R688" s="141" t="s">
        <v>2311</v>
      </c>
      <c r="S688" s="142" t="s">
        <v>2306</v>
      </c>
      <c r="T688" s="141" t="s">
        <v>2327</v>
      </c>
      <c r="U688" s="142" t="s">
        <v>2325</v>
      </c>
      <c r="V688" s="142" t="s">
        <v>833</v>
      </c>
      <c r="W688" s="141">
        <f t="shared" si="21"/>
        <v>3</v>
      </c>
      <c r="X688" s="143">
        <v>1</v>
      </c>
      <c r="Y688" s="145"/>
      <c r="AA688"/>
    </row>
    <row r="689" spans="1:27" s="115" customFormat="1" ht="27" customHeight="1">
      <c r="A689" s="139">
        <v>662</v>
      </c>
      <c r="B689" s="140" t="s">
        <v>5172</v>
      </c>
      <c r="C689" s="141" t="s">
        <v>2260</v>
      </c>
      <c r="D689" s="142" t="s">
        <v>2261</v>
      </c>
      <c r="E689" s="141" t="s">
        <v>2262</v>
      </c>
      <c r="F689" s="142" t="s">
        <v>2304</v>
      </c>
      <c r="G689" s="141" t="s">
        <v>2305</v>
      </c>
      <c r="H689" s="142" t="s">
        <v>2315</v>
      </c>
      <c r="I689" s="141" t="s">
        <v>2307</v>
      </c>
      <c r="J689" s="142" t="s">
        <v>2330</v>
      </c>
      <c r="K689" s="142" t="s">
        <v>834</v>
      </c>
      <c r="L689" s="143">
        <f t="shared" si="20"/>
        <v>1</v>
      </c>
      <c r="M689" s="144" t="s">
        <v>2331</v>
      </c>
      <c r="N689" s="141" t="s">
        <v>2260</v>
      </c>
      <c r="O689" s="142" t="s">
        <v>2268</v>
      </c>
      <c r="P689" s="141" t="s">
        <v>2310</v>
      </c>
      <c r="Q689" s="142" t="s">
        <v>2304</v>
      </c>
      <c r="R689" s="141" t="s">
        <v>2318</v>
      </c>
      <c r="S689" s="142" t="s">
        <v>2315</v>
      </c>
      <c r="T689" s="141" t="s">
        <v>2332</v>
      </c>
      <c r="U689" s="142" t="s">
        <v>2330</v>
      </c>
      <c r="V689" s="142" t="s">
        <v>834</v>
      </c>
      <c r="W689" s="141">
        <f t="shared" si="21"/>
        <v>1</v>
      </c>
      <c r="X689" s="143"/>
      <c r="Y689" s="145"/>
      <c r="AA689"/>
    </row>
    <row r="690" spans="1:27" s="115" customFormat="1" ht="27" customHeight="1">
      <c r="A690" s="139">
        <v>663</v>
      </c>
      <c r="B690" s="140" t="s">
        <v>5173</v>
      </c>
      <c r="C690" s="141" t="s">
        <v>2260</v>
      </c>
      <c r="D690" s="142" t="s">
        <v>2261</v>
      </c>
      <c r="E690" s="141" t="s">
        <v>2262</v>
      </c>
      <c r="F690" s="142" t="s">
        <v>2304</v>
      </c>
      <c r="G690" s="141" t="s">
        <v>2305</v>
      </c>
      <c r="H690" s="142" t="s">
        <v>2315</v>
      </c>
      <c r="I690" s="141" t="s">
        <v>2307</v>
      </c>
      <c r="J690" s="142" t="s">
        <v>2330</v>
      </c>
      <c r="K690" s="142" t="s">
        <v>835</v>
      </c>
      <c r="L690" s="143">
        <f t="shared" si="20"/>
        <v>1</v>
      </c>
      <c r="M690" s="144" t="s">
        <v>2333</v>
      </c>
      <c r="N690" s="141" t="s">
        <v>2260</v>
      </c>
      <c r="O690" s="142" t="s">
        <v>2268</v>
      </c>
      <c r="P690" s="141" t="s">
        <v>2310</v>
      </c>
      <c r="Q690" s="142" t="s">
        <v>2304</v>
      </c>
      <c r="R690" s="141" t="s">
        <v>2318</v>
      </c>
      <c r="S690" s="142" t="s">
        <v>2315</v>
      </c>
      <c r="T690" s="141" t="s">
        <v>2332</v>
      </c>
      <c r="U690" s="142" t="s">
        <v>2330</v>
      </c>
      <c r="V690" s="142" t="s">
        <v>835</v>
      </c>
      <c r="W690" s="141">
        <f t="shared" si="21"/>
        <v>1</v>
      </c>
      <c r="X690" s="143"/>
      <c r="Y690" s="145"/>
      <c r="AA690"/>
    </row>
    <row r="691" spans="1:27" s="115" customFormat="1" ht="27" customHeight="1">
      <c r="A691" s="139">
        <v>664</v>
      </c>
      <c r="B691" s="140" t="s">
        <v>5174</v>
      </c>
      <c r="C691" s="141" t="s">
        <v>2260</v>
      </c>
      <c r="D691" s="142" t="s">
        <v>2261</v>
      </c>
      <c r="E691" s="141" t="s">
        <v>2262</v>
      </c>
      <c r="F691" s="142" t="s">
        <v>2304</v>
      </c>
      <c r="G691" s="141" t="s">
        <v>2305</v>
      </c>
      <c r="H691" s="142" t="s">
        <v>2315</v>
      </c>
      <c r="I691" s="141" t="s">
        <v>2307</v>
      </c>
      <c r="J691" s="142" t="s">
        <v>2316</v>
      </c>
      <c r="K691" s="142" t="s">
        <v>836</v>
      </c>
      <c r="L691" s="143">
        <f t="shared" si="20"/>
        <v>1</v>
      </c>
      <c r="M691" s="144">
        <v>42121</v>
      </c>
      <c r="N691" s="141" t="s">
        <v>2260</v>
      </c>
      <c r="O691" s="142" t="s">
        <v>2268</v>
      </c>
      <c r="P691" s="141" t="s">
        <v>2310</v>
      </c>
      <c r="Q691" s="142" t="s">
        <v>2304</v>
      </c>
      <c r="R691" s="141" t="s">
        <v>2318</v>
      </c>
      <c r="S691" s="142" t="s">
        <v>2315</v>
      </c>
      <c r="T691" s="141" t="s">
        <v>2319</v>
      </c>
      <c r="U691" s="142" t="s">
        <v>2316</v>
      </c>
      <c r="V691" s="142" t="s">
        <v>836</v>
      </c>
      <c r="W691" s="141">
        <f t="shared" si="21"/>
        <v>1</v>
      </c>
      <c r="X691" s="143"/>
      <c r="Y691" s="145"/>
      <c r="AA691"/>
    </row>
    <row r="692" spans="1:27" s="115" customFormat="1" ht="27" customHeight="1">
      <c r="A692" s="139">
        <v>665</v>
      </c>
      <c r="B692" s="140" t="s">
        <v>5175</v>
      </c>
      <c r="C692" s="141" t="s">
        <v>2260</v>
      </c>
      <c r="D692" s="142" t="s">
        <v>2261</v>
      </c>
      <c r="E692" s="141" t="s">
        <v>2262</v>
      </c>
      <c r="F692" s="142" t="s">
        <v>2304</v>
      </c>
      <c r="G692" s="141" t="s">
        <v>2305</v>
      </c>
      <c r="H692" s="142" t="s">
        <v>837</v>
      </c>
      <c r="I692" s="141" t="s">
        <v>2307</v>
      </c>
      <c r="J692" s="142" t="s">
        <v>837</v>
      </c>
      <c r="K692" s="142" t="s">
        <v>837</v>
      </c>
      <c r="L692" s="143">
        <f t="shared" si="20"/>
        <v>1</v>
      </c>
      <c r="M692" s="144" t="s">
        <v>2334</v>
      </c>
      <c r="N692" s="141" t="s">
        <v>2260</v>
      </c>
      <c r="O692" s="142" t="s">
        <v>2268</v>
      </c>
      <c r="P692" s="141" t="s">
        <v>2310</v>
      </c>
      <c r="Q692" s="142" t="s">
        <v>2304</v>
      </c>
      <c r="R692" s="141" t="s">
        <v>2335</v>
      </c>
      <c r="S692" s="142" t="s">
        <v>837</v>
      </c>
      <c r="T692" s="141" t="s">
        <v>2336</v>
      </c>
      <c r="U692" s="142" t="s">
        <v>837</v>
      </c>
      <c r="V692" s="142" t="s">
        <v>837</v>
      </c>
      <c r="W692" s="141">
        <f t="shared" si="21"/>
        <v>1</v>
      </c>
      <c r="X692" s="143"/>
      <c r="Y692" s="145"/>
      <c r="AA692"/>
    </row>
    <row r="693" spans="1:27" s="115" customFormat="1" ht="27" customHeight="1">
      <c r="A693" s="139">
        <v>666</v>
      </c>
      <c r="B693" s="140" t="s">
        <v>5176</v>
      </c>
      <c r="C693" s="141" t="s">
        <v>2260</v>
      </c>
      <c r="D693" s="142" t="s">
        <v>2261</v>
      </c>
      <c r="E693" s="141" t="s">
        <v>2262</v>
      </c>
      <c r="F693" s="142" t="s">
        <v>2304</v>
      </c>
      <c r="G693" s="141" t="s">
        <v>2305</v>
      </c>
      <c r="H693" s="142" t="s">
        <v>2315</v>
      </c>
      <c r="I693" s="141" t="s">
        <v>2307</v>
      </c>
      <c r="J693" s="142" t="s">
        <v>2316</v>
      </c>
      <c r="K693" s="142" t="s">
        <v>831</v>
      </c>
      <c r="L693" s="143">
        <f t="shared" si="20"/>
        <v>1</v>
      </c>
      <c r="M693" s="144" t="s">
        <v>2317</v>
      </c>
      <c r="N693" s="141" t="s">
        <v>2260</v>
      </c>
      <c r="O693" s="142" t="s">
        <v>2268</v>
      </c>
      <c r="P693" s="141" t="s">
        <v>2310</v>
      </c>
      <c r="Q693" s="142" t="s">
        <v>2304</v>
      </c>
      <c r="R693" s="141" t="s">
        <v>2318</v>
      </c>
      <c r="S693" s="142" t="s">
        <v>2315</v>
      </c>
      <c r="T693" s="141" t="s">
        <v>2319</v>
      </c>
      <c r="U693" s="142" t="s">
        <v>2316</v>
      </c>
      <c r="V693" s="142" t="s">
        <v>831</v>
      </c>
      <c r="W693" s="141">
        <f t="shared" si="21"/>
        <v>2</v>
      </c>
      <c r="X693" s="143">
        <v>2</v>
      </c>
      <c r="Y693" s="145" t="s">
        <v>2337</v>
      </c>
      <c r="AA693"/>
    </row>
    <row r="694" spans="1:27" s="115" customFormat="1" ht="27" customHeight="1">
      <c r="A694" s="139">
        <v>667</v>
      </c>
      <c r="B694" s="140" t="s">
        <v>5177</v>
      </c>
      <c r="C694" s="141" t="s">
        <v>2260</v>
      </c>
      <c r="D694" s="142" t="s">
        <v>2261</v>
      </c>
      <c r="E694" s="141" t="s">
        <v>2262</v>
      </c>
      <c r="F694" s="142" t="s">
        <v>2304</v>
      </c>
      <c r="G694" s="141" t="s">
        <v>2305</v>
      </c>
      <c r="H694" s="142" t="s">
        <v>2315</v>
      </c>
      <c r="I694" s="141" t="s">
        <v>2307</v>
      </c>
      <c r="J694" s="142" t="s">
        <v>2316</v>
      </c>
      <c r="K694" s="142" t="s">
        <v>838</v>
      </c>
      <c r="L694" s="143">
        <f t="shared" si="20"/>
        <v>1</v>
      </c>
      <c r="M694" s="144" t="s">
        <v>2338</v>
      </c>
      <c r="N694" s="141" t="s">
        <v>2260</v>
      </c>
      <c r="O694" s="142" t="s">
        <v>2268</v>
      </c>
      <c r="P694" s="141" t="s">
        <v>2310</v>
      </c>
      <c r="Q694" s="142" t="s">
        <v>2304</v>
      </c>
      <c r="R694" s="141" t="s">
        <v>2318</v>
      </c>
      <c r="S694" s="142" t="s">
        <v>2315</v>
      </c>
      <c r="T694" s="141" t="s">
        <v>2319</v>
      </c>
      <c r="U694" s="142" t="s">
        <v>2316</v>
      </c>
      <c r="V694" s="142" t="s">
        <v>838</v>
      </c>
      <c r="W694" s="141">
        <f t="shared" si="21"/>
        <v>1</v>
      </c>
      <c r="X694" s="143"/>
      <c r="Y694" s="145"/>
      <c r="AA694"/>
    </row>
    <row r="695" spans="1:27" s="115" customFormat="1" ht="13.5" customHeight="1">
      <c r="A695" s="139">
        <v>668</v>
      </c>
      <c r="B695" s="140" t="s">
        <v>5178</v>
      </c>
      <c r="C695" s="141" t="s">
        <v>2260</v>
      </c>
      <c r="D695" s="142" t="s">
        <v>2261</v>
      </c>
      <c r="E695" s="141" t="s">
        <v>2262</v>
      </c>
      <c r="F695" s="142" t="s">
        <v>2304</v>
      </c>
      <c r="G695" s="141" t="s">
        <v>2305</v>
      </c>
      <c r="H695" s="142" t="s">
        <v>2315</v>
      </c>
      <c r="I695" s="141" t="s">
        <v>2307</v>
      </c>
      <c r="J695" s="142" t="s">
        <v>2330</v>
      </c>
      <c r="K695" s="142" t="s">
        <v>839</v>
      </c>
      <c r="L695" s="143">
        <f t="shared" si="20"/>
        <v>1</v>
      </c>
      <c r="M695" s="144" t="s">
        <v>2339</v>
      </c>
      <c r="N695" s="141" t="s">
        <v>2260</v>
      </c>
      <c r="O695" s="142" t="s">
        <v>2268</v>
      </c>
      <c r="P695" s="141" t="s">
        <v>2310</v>
      </c>
      <c r="Q695" s="142" t="s">
        <v>2304</v>
      </c>
      <c r="R695" s="141" t="s">
        <v>2318</v>
      </c>
      <c r="S695" s="142" t="s">
        <v>2315</v>
      </c>
      <c r="T695" s="141" t="s">
        <v>2332</v>
      </c>
      <c r="U695" s="142" t="s">
        <v>2330</v>
      </c>
      <c r="V695" s="142" t="s">
        <v>839</v>
      </c>
      <c r="W695" s="141">
        <f t="shared" si="21"/>
        <v>1</v>
      </c>
      <c r="X695" s="143"/>
      <c r="Y695" s="145"/>
      <c r="AA695"/>
    </row>
    <row r="696" spans="1:27" s="115" customFormat="1" ht="13.5" customHeight="1">
      <c r="A696" s="139">
        <v>669</v>
      </c>
      <c r="B696" s="140" t="s">
        <v>5179</v>
      </c>
      <c r="C696" s="141" t="s">
        <v>2260</v>
      </c>
      <c r="D696" s="142" t="s">
        <v>2261</v>
      </c>
      <c r="E696" s="141" t="s">
        <v>2262</v>
      </c>
      <c r="F696" s="142" t="s">
        <v>2304</v>
      </c>
      <c r="G696" s="141" t="s">
        <v>2305</v>
      </c>
      <c r="H696" s="142" t="s">
        <v>2321</v>
      </c>
      <c r="I696" s="141" t="s">
        <v>2307</v>
      </c>
      <c r="J696" s="142" t="s">
        <v>2321</v>
      </c>
      <c r="K696" s="142" t="s">
        <v>840</v>
      </c>
      <c r="L696" s="143">
        <f t="shared" si="20"/>
        <v>1</v>
      </c>
      <c r="M696" s="144" t="s">
        <v>2340</v>
      </c>
      <c r="N696" s="141" t="s">
        <v>2260</v>
      </c>
      <c r="O696" s="142" t="s">
        <v>2268</v>
      </c>
      <c r="P696" s="141" t="s">
        <v>2310</v>
      </c>
      <c r="Q696" s="142" t="s">
        <v>2304</v>
      </c>
      <c r="R696" s="141" t="s">
        <v>2323</v>
      </c>
      <c r="S696" s="142" t="s">
        <v>2321</v>
      </c>
      <c r="T696" s="141" t="s">
        <v>2324</v>
      </c>
      <c r="U696" s="142" t="s">
        <v>2321</v>
      </c>
      <c r="V696" s="142" t="s">
        <v>840</v>
      </c>
      <c r="W696" s="141">
        <f t="shared" si="21"/>
        <v>1</v>
      </c>
      <c r="X696" s="143"/>
      <c r="Y696" s="145"/>
      <c r="AA696"/>
    </row>
    <row r="697" spans="1:27" s="115" customFormat="1" ht="13.5" customHeight="1">
      <c r="A697" s="139">
        <v>670</v>
      </c>
      <c r="B697" s="140" t="s">
        <v>5180</v>
      </c>
      <c r="C697" s="141" t="s">
        <v>2260</v>
      </c>
      <c r="D697" s="142" t="s">
        <v>2261</v>
      </c>
      <c r="E697" s="141" t="s">
        <v>2262</v>
      </c>
      <c r="F697" s="142" t="s">
        <v>2304</v>
      </c>
      <c r="G697" s="141" t="s">
        <v>2305</v>
      </c>
      <c r="H697" s="142" t="s">
        <v>2321</v>
      </c>
      <c r="I697" s="141" t="s">
        <v>2307</v>
      </c>
      <c r="J697" s="142" t="s">
        <v>2321</v>
      </c>
      <c r="K697" s="142" t="s">
        <v>841</v>
      </c>
      <c r="L697" s="143">
        <f t="shared" si="20"/>
        <v>1</v>
      </c>
      <c r="M697" s="144" t="s">
        <v>2341</v>
      </c>
      <c r="N697" s="141" t="s">
        <v>2260</v>
      </c>
      <c r="O697" s="142" t="s">
        <v>2268</v>
      </c>
      <c r="P697" s="141" t="s">
        <v>2310</v>
      </c>
      <c r="Q697" s="142" t="s">
        <v>2304</v>
      </c>
      <c r="R697" s="141" t="s">
        <v>2323</v>
      </c>
      <c r="S697" s="142" t="s">
        <v>2321</v>
      </c>
      <c r="T697" s="141" t="s">
        <v>2324</v>
      </c>
      <c r="U697" s="142" t="s">
        <v>2321</v>
      </c>
      <c r="V697" s="142" t="s">
        <v>841</v>
      </c>
      <c r="W697" s="141">
        <f t="shared" si="21"/>
        <v>1</v>
      </c>
      <c r="X697" s="143"/>
      <c r="Y697" s="145"/>
      <c r="AA697"/>
    </row>
    <row r="698" spans="1:27" s="115" customFormat="1" ht="13.5" customHeight="1">
      <c r="A698" s="139">
        <v>671</v>
      </c>
      <c r="B698" s="140" t="s">
        <v>5181</v>
      </c>
      <c r="C698" s="141" t="s">
        <v>2260</v>
      </c>
      <c r="D698" s="142" t="s">
        <v>2261</v>
      </c>
      <c r="E698" s="141" t="s">
        <v>2262</v>
      </c>
      <c r="F698" s="142" t="s">
        <v>2304</v>
      </c>
      <c r="G698" s="141" t="s">
        <v>2305</v>
      </c>
      <c r="H698" s="142" t="s">
        <v>2315</v>
      </c>
      <c r="I698" s="141" t="s">
        <v>2307</v>
      </c>
      <c r="J698" s="142" t="s">
        <v>842</v>
      </c>
      <c r="K698" s="142" t="s">
        <v>842</v>
      </c>
      <c r="L698" s="143">
        <f t="shared" si="20"/>
        <v>1</v>
      </c>
      <c r="M698" s="144" t="s">
        <v>2342</v>
      </c>
      <c r="N698" s="141" t="s">
        <v>2260</v>
      </c>
      <c r="O698" s="142" t="s">
        <v>2268</v>
      </c>
      <c r="P698" s="141" t="s">
        <v>2310</v>
      </c>
      <c r="Q698" s="142" t="s">
        <v>2304</v>
      </c>
      <c r="R698" s="141" t="s">
        <v>2318</v>
      </c>
      <c r="S698" s="142" t="s">
        <v>2315</v>
      </c>
      <c r="T698" s="141" t="s">
        <v>2343</v>
      </c>
      <c r="U698" s="142" t="s">
        <v>842</v>
      </c>
      <c r="V698" s="142" t="s">
        <v>842</v>
      </c>
      <c r="W698" s="141">
        <f t="shared" si="21"/>
        <v>1</v>
      </c>
      <c r="X698" s="143"/>
      <c r="Y698" s="145"/>
      <c r="AA698"/>
    </row>
    <row r="699" spans="1:27" s="115" customFormat="1" ht="13.5" customHeight="1">
      <c r="A699" s="139">
        <v>672</v>
      </c>
      <c r="B699" s="140" t="s">
        <v>5182</v>
      </c>
      <c r="C699" s="141" t="s">
        <v>2260</v>
      </c>
      <c r="D699" s="142" t="s">
        <v>2261</v>
      </c>
      <c r="E699" s="141" t="s">
        <v>2262</v>
      </c>
      <c r="F699" s="142" t="s">
        <v>2304</v>
      </c>
      <c r="G699" s="141" t="s">
        <v>2305</v>
      </c>
      <c r="H699" s="142" t="s">
        <v>2315</v>
      </c>
      <c r="I699" s="141" t="s">
        <v>2307</v>
      </c>
      <c r="J699" s="142" t="s">
        <v>2330</v>
      </c>
      <c r="K699" s="142" t="s">
        <v>843</v>
      </c>
      <c r="L699" s="143">
        <f t="shared" si="20"/>
        <v>1</v>
      </c>
      <c r="M699" s="144" t="s">
        <v>2344</v>
      </c>
      <c r="N699" s="141" t="s">
        <v>2260</v>
      </c>
      <c r="O699" s="142" t="s">
        <v>2268</v>
      </c>
      <c r="P699" s="141" t="s">
        <v>2310</v>
      </c>
      <c r="Q699" s="142" t="s">
        <v>2304</v>
      </c>
      <c r="R699" s="141" t="s">
        <v>2318</v>
      </c>
      <c r="S699" s="142" t="s">
        <v>2315</v>
      </c>
      <c r="T699" s="141" t="s">
        <v>2332</v>
      </c>
      <c r="U699" s="142" t="s">
        <v>2330</v>
      </c>
      <c r="V699" s="142" t="s">
        <v>843</v>
      </c>
      <c r="W699" s="141">
        <f t="shared" si="21"/>
        <v>1</v>
      </c>
      <c r="X699" s="143"/>
      <c r="Y699" s="145"/>
      <c r="AA699"/>
    </row>
    <row r="700" spans="1:27" s="115" customFormat="1" ht="13.5" customHeight="1">
      <c r="A700" s="139">
        <v>673</v>
      </c>
      <c r="B700" s="140" t="s">
        <v>5183</v>
      </c>
      <c r="C700" s="141" t="s">
        <v>2260</v>
      </c>
      <c r="D700" s="142" t="s">
        <v>2261</v>
      </c>
      <c r="E700" s="141" t="s">
        <v>2262</v>
      </c>
      <c r="F700" s="142" t="s">
        <v>2304</v>
      </c>
      <c r="G700" s="141" t="s">
        <v>2305</v>
      </c>
      <c r="H700" s="142" t="s">
        <v>2315</v>
      </c>
      <c r="I700" s="141" t="s">
        <v>2307</v>
      </c>
      <c r="J700" s="142" t="s">
        <v>2330</v>
      </c>
      <c r="K700" s="142" t="s">
        <v>844</v>
      </c>
      <c r="L700" s="143">
        <f t="shared" si="20"/>
        <v>1</v>
      </c>
      <c r="M700" s="144" t="s">
        <v>2345</v>
      </c>
      <c r="N700" s="141" t="s">
        <v>2260</v>
      </c>
      <c r="O700" s="142" t="s">
        <v>2268</v>
      </c>
      <c r="P700" s="141" t="s">
        <v>2310</v>
      </c>
      <c r="Q700" s="142" t="s">
        <v>2304</v>
      </c>
      <c r="R700" s="141" t="s">
        <v>2318</v>
      </c>
      <c r="S700" s="142" t="s">
        <v>2315</v>
      </c>
      <c r="T700" s="141" t="s">
        <v>2332</v>
      </c>
      <c r="U700" s="142" t="s">
        <v>2330</v>
      </c>
      <c r="V700" s="142" t="s">
        <v>844</v>
      </c>
      <c r="W700" s="141">
        <f t="shared" si="21"/>
        <v>1</v>
      </c>
      <c r="X700" s="143"/>
      <c r="Y700" s="145"/>
      <c r="AA700"/>
    </row>
    <row r="701" spans="1:27" s="115" customFormat="1" ht="13.5" customHeight="1">
      <c r="A701" s="139">
        <v>674</v>
      </c>
      <c r="B701" s="140" t="s">
        <v>5184</v>
      </c>
      <c r="C701" s="141" t="s">
        <v>2260</v>
      </c>
      <c r="D701" s="142" t="s">
        <v>2261</v>
      </c>
      <c r="E701" s="141" t="s">
        <v>2262</v>
      </c>
      <c r="F701" s="142" t="s">
        <v>2304</v>
      </c>
      <c r="G701" s="141" t="s">
        <v>2305</v>
      </c>
      <c r="H701" s="142" t="s">
        <v>2315</v>
      </c>
      <c r="I701" s="141" t="s">
        <v>2307</v>
      </c>
      <c r="J701" s="142" t="s">
        <v>2330</v>
      </c>
      <c r="K701" s="142" t="s">
        <v>845</v>
      </c>
      <c r="L701" s="143">
        <f t="shared" si="20"/>
        <v>1</v>
      </c>
      <c r="M701" s="144" t="s">
        <v>2346</v>
      </c>
      <c r="N701" s="141" t="s">
        <v>2260</v>
      </c>
      <c r="O701" s="142" t="s">
        <v>2268</v>
      </c>
      <c r="P701" s="141" t="s">
        <v>2310</v>
      </c>
      <c r="Q701" s="142" t="s">
        <v>2304</v>
      </c>
      <c r="R701" s="141" t="s">
        <v>2318</v>
      </c>
      <c r="S701" s="142" t="s">
        <v>2315</v>
      </c>
      <c r="T701" s="141" t="s">
        <v>2332</v>
      </c>
      <c r="U701" s="142" t="s">
        <v>2330</v>
      </c>
      <c r="V701" s="142" t="s">
        <v>845</v>
      </c>
      <c r="W701" s="141">
        <f t="shared" si="21"/>
        <v>1</v>
      </c>
      <c r="X701" s="143"/>
      <c r="Y701" s="145"/>
      <c r="AA701"/>
    </row>
    <row r="702" spans="1:27" s="115" customFormat="1" ht="13.5" customHeight="1">
      <c r="A702" s="139">
        <v>675</v>
      </c>
      <c r="B702" s="140" t="s">
        <v>5185</v>
      </c>
      <c r="C702" s="141" t="s">
        <v>2260</v>
      </c>
      <c r="D702" s="142" t="s">
        <v>2261</v>
      </c>
      <c r="E702" s="141" t="s">
        <v>2262</v>
      </c>
      <c r="F702" s="142" t="s">
        <v>2304</v>
      </c>
      <c r="G702" s="141" t="s">
        <v>2305</v>
      </c>
      <c r="H702" s="142" t="s">
        <v>2306</v>
      </c>
      <c r="I702" s="141" t="s">
        <v>2307</v>
      </c>
      <c r="J702" s="142" t="s">
        <v>2308</v>
      </c>
      <c r="K702" s="142" t="s">
        <v>846</v>
      </c>
      <c r="L702" s="143">
        <f t="shared" si="20"/>
        <v>1</v>
      </c>
      <c r="M702" s="144" t="s">
        <v>2347</v>
      </c>
      <c r="N702" s="141" t="s">
        <v>2260</v>
      </c>
      <c r="O702" s="142" t="s">
        <v>2268</v>
      </c>
      <c r="P702" s="141" t="s">
        <v>2310</v>
      </c>
      <c r="Q702" s="142" t="s">
        <v>2304</v>
      </c>
      <c r="R702" s="141" t="s">
        <v>2311</v>
      </c>
      <c r="S702" s="142" t="s">
        <v>2306</v>
      </c>
      <c r="T702" s="141" t="s">
        <v>2312</v>
      </c>
      <c r="U702" s="142" t="s">
        <v>2308</v>
      </c>
      <c r="V702" s="142" t="s">
        <v>846</v>
      </c>
      <c r="W702" s="141">
        <f t="shared" si="21"/>
        <v>1</v>
      </c>
      <c r="X702" s="143"/>
      <c r="Y702" s="145"/>
      <c r="AA702"/>
    </row>
    <row r="703" spans="1:27" s="115" customFormat="1" ht="13.5" customHeight="1">
      <c r="A703" s="139">
        <v>676</v>
      </c>
      <c r="B703" s="140" t="s">
        <v>5186</v>
      </c>
      <c r="C703" s="141" t="s">
        <v>2260</v>
      </c>
      <c r="D703" s="142" t="s">
        <v>2261</v>
      </c>
      <c r="E703" s="141" t="s">
        <v>2262</v>
      </c>
      <c r="F703" s="142" t="s">
        <v>2304</v>
      </c>
      <c r="G703" s="141" t="s">
        <v>2305</v>
      </c>
      <c r="H703" s="142" t="s">
        <v>2315</v>
      </c>
      <c r="I703" s="141" t="s">
        <v>2307</v>
      </c>
      <c r="J703" s="142" t="s">
        <v>2330</v>
      </c>
      <c r="K703" s="142" t="s">
        <v>847</v>
      </c>
      <c r="L703" s="143">
        <f t="shared" si="20"/>
        <v>1</v>
      </c>
      <c r="M703" s="144" t="s">
        <v>2348</v>
      </c>
      <c r="N703" s="141" t="s">
        <v>2260</v>
      </c>
      <c r="O703" s="142" t="s">
        <v>2268</v>
      </c>
      <c r="P703" s="141" t="s">
        <v>2310</v>
      </c>
      <c r="Q703" s="142" t="s">
        <v>2304</v>
      </c>
      <c r="R703" s="141" t="s">
        <v>2318</v>
      </c>
      <c r="S703" s="142" t="s">
        <v>2315</v>
      </c>
      <c r="T703" s="141" t="s">
        <v>2332</v>
      </c>
      <c r="U703" s="142" t="s">
        <v>2330</v>
      </c>
      <c r="V703" s="142" t="s">
        <v>847</v>
      </c>
      <c r="W703" s="141">
        <f t="shared" si="21"/>
        <v>1</v>
      </c>
      <c r="X703" s="143"/>
      <c r="Y703" s="145"/>
      <c r="AA703"/>
    </row>
    <row r="704" spans="1:27" s="115" customFormat="1" ht="13.5" customHeight="1">
      <c r="A704" s="139">
        <v>677</v>
      </c>
      <c r="B704" s="140" t="s">
        <v>5187</v>
      </c>
      <c r="C704" s="141" t="s">
        <v>2260</v>
      </c>
      <c r="D704" s="142" t="s">
        <v>2261</v>
      </c>
      <c r="E704" s="141" t="s">
        <v>2262</v>
      </c>
      <c r="F704" s="142" t="s">
        <v>2304</v>
      </c>
      <c r="G704" s="141" t="s">
        <v>2305</v>
      </c>
      <c r="H704" s="142" t="s">
        <v>2315</v>
      </c>
      <c r="I704" s="141" t="s">
        <v>2307</v>
      </c>
      <c r="J704" s="142" t="s">
        <v>2330</v>
      </c>
      <c r="K704" s="142" t="s">
        <v>848</v>
      </c>
      <c r="L704" s="143">
        <f t="shared" si="20"/>
        <v>1</v>
      </c>
      <c r="M704" s="144" t="s">
        <v>2349</v>
      </c>
      <c r="N704" s="141" t="s">
        <v>2260</v>
      </c>
      <c r="O704" s="142" t="s">
        <v>2268</v>
      </c>
      <c r="P704" s="141" t="s">
        <v>2310</v>
      </c>
      <c r="Q704" s="142" t="s">
        <v>2304</v>
      </c>
      <c r="R704" s="141" t="s">
        <v>2318</v>
      </c>
      <c r="S704" s="142" t="s">
        <v>2315</v>
      </c>
      <c r="T704" s="141" t="s">
        <v>2332</v>
      </c>
      <c r="U704" s="142" t="s">
        <v>2330</v>
      </c>
      <c r="V704" s="142" t="s">
        <v>848</v>
      </c>
      <c r="W704" s="141">
        <f t="shared" si="21"/>
        <v>1</v>
      </c>
      <c r="X704" s="143"/>
      <c r="Y704" s="145"/>
      <c r="AA704"/>
    </row>
    <row r="705" spans="1:27" s="115" customFormat="1" ht="27" customHeight="1">
      <c r="A705" s="139">
        <v>678</v>
      </c>
      <c r="B705" s="140" t="s">
        <v>5188</v>
      </c>
      <c r="C705" s="141" t="s">
        <v>2260</v>
      </c>
      <c r="D705" s="142" t="s">
        <v>2261</v>
      </c>
      <c r="E705" s="141" t="s">
        <v>2262</v>
      </c>
      <c r="F705" s="142" t="s">
        <v>2304</v>
      </c>
      <c r="G705" s="141" t="s">
        <v>2305</v>
      </c>
      <c r="H705" s="142" t="s">
        <v>2321</v>
      </c>
      <c r="I705" s="141" t="s">
        <v>2307</v>
      </c>
      <c r="J705" s="142" t="s">
        <v>2321</v>
      </c>
      <c r="K705" s="142" t="s">
        <v>849</v>
      </c>
      <c r="L705" s="143">
        <f t="shared" si="20"/>
        <v>1</v>
      </c>
      <c r="M705" s="144" t="s">
        <v>2350</v>
      </c>
      <c r="N705" s="141" t="s">
        <v>2260</v>
      </c>
      <c r="O705" s="142" t="s">
        <v>2268</v>
      </c>
      <c r="P705" s="141" t="s">
        <v>2310</v>
      </c>
      <c r="Q705" s="142" t="s">
        <v>2304</v>
      </c>
      <c r="R705" s="141" t="s">
        <v>2323</v>
      </c>
      <c r="S705" s="142" t="s">
        <v>2321</v>
      </c>
      <c r="T705" s="141" t="s">
        <v>2324</v>
      </c>
      <c r="U705" s="142" t="s">
        <v>2321</v>
      </c>
      <c r="V705" s="142" t="s">
        <v>849</v>
      </c>
      <c r="W705" s="141">
        <f t="shared" si="21"/>
        <v>1</v>
      </c>
      <c r="X705" s="143"/>
      <c r="Y705" s="145"/>
      <c r="AA705"/>
    </row>
    <row r="706" spans="1:27" s="115" customFormat="1" ht="27" customHeight="1">
      <c r="A706" s="139">
        <v>679</v>
      </c>
      <c r="B706" s="140" t="s">
        <v>5189</v>
      </c>
      <c r="C706" s="141" t="s">
        <v>2260</v>
      </c>
      <c r="D706" s="142" t="s">
        <v>2261</v>
      </c>
      <c r="E706" s="141" t="s">
        <v>2262</v>
      </c>
      <c r="F706" s="142" t="s">
        <v>2304</v>
      </c>
      <c r="G706" s="141" t="s">
        <v>2305</v>
      </c>
      <c r="H706" s="142" t="s">
        <v>2351</v>
      </c>
      <c r="I706" s="141" t="s">
        <v>2307</v>
      </c>
      <c r="J706" s="142" t="s">
        <v>2352</v>
      </c>
      <c r="K706" s="142" t="s">
        <v>850</v>
      </c>
      <c r="L706" s="143">
        <f t="shared" si="20"/>
        <v>1</v>
      </c>
      <c r="M706" s="144" t="s">
        <v>2353</v>
      </c>
      <c r="N706" s="141" t="s">
        <v>2260</v>
      </c>
      <c r="O706" s="142" t="s">
        <v>2268</v>
      </c>
      <c r="P706" s="141" t="s">
        <v>2310</v>
      </c>
      <c r="Q706" s="142" t="s">
        <v>2304</v>
      </c>
      <c r="R706" s="141" t="s">
        <v>2354</v>
      </c>
      <c r="S706" s="142" t="s">
        <v>2351</v>
      </c>
      <c r="T706" s="141" t="s">
        <v>2355</v>
      </c>
      <c r="U706" s="142" t="s">
        <v>2352</v>
      </c>
      <c r="V706" s="142" t="s">
        <v>850</v>
      </c>
      <c r="W706" s="141">
        <f t="shared" si="21"/>
        <v>1</v>
      </c>
      <c r="X706" s="143"/>
      <c r="Y706" s="145"/>
      <c r="AA706"/>
    </row>
    <row r="707" spans="1:27" s="115" customFormat="1" ht="27" customHeight="1">
      <c r="A707" s="139">
        <v>680</v>
      </c>
      <c r="B707" s="140" t="s">
        <v>5190</v>
      </c>
      <c r="C707" s="141" t="s">
        <v>2260</v>
      </c>
      <c r="D707" s="142" t="s">
        <v>2261</v>
      </c>
      <c r="E707" s="141" t="s">
        <v>2262</v>
      </c>
      <c r="F707" s="142" t="s">
        <v>2304</v>
      </c>
      <c r="G707" s="141" t="s">
        <v>2305</v>
      </c>
      <c r="H707" s="142" t="s">
        <v>2351</v>
      </c>
      <c r="I707" s="141" t="s">
        <v>2307</v>
      </c>
      <c r="J707" s="142" t="s">
        <v>2352</v>
      </c>
      <c r="K707" s="142" t="s">
        <v>851</v>
      </c>
      <c r="L707" s="143">
        <f t="shared" si="20"/>
        <v>1</v>
      </c>
      <c r="M707" s="144" t="s">
        <v>2356</v>
      </c>
      <c r="N707" s="141" t="s">
        <v>2260</v>
      </c>
      <c r="O707" s="142" t="s">
        <v>2268</v>
      </c>
      <c r="P707" s="141" t="s">
        <v>2310</v>
      </c>
      <c r="Q707" s="142" t="s">
        <v>2304</v>
      </c>
      <c r="R707" s="141" t="s">
        <v>2354</v>
      </c>
      <c r="S707" s="142" t="s">
        <v>2351</v>
      </c>
      <c r="T707" s="141" t="s">
        <v>2355</v>
      </c>
      <c r="U707" s="142" t="s">
        <v>2352</v>
      </c>
      <c r="V707" s="142" t="s">
        <v>851</v>
      </c>
      <c r="W707" s="141">
        <f t="shared" si="21"/>
        <v>1</v>
      </c>
      <c r="X707" s="143"/>
      <c r="Y707" s="145"/>
      <c r="AA707"/>
    </row>
    <row r="708" spans="1:27" s="115" customFormat="1" ht="27" customHeight="1">
      <c r="A708" s="139">
        <v>681</v>
      </c>
      <c r="B708" s="140" t="s">
        <v>5191</v>
      </c>
      <c r="C708" s="141" t="s">
        <v>2260</v>
      </c>
      <c r="D708" s="142" t="s">
        <v>2261</v>
      </c>
      <c r="E708" s="141" t="s">
        <v>2262</v>
      </c>
      <c r="F708" s="142" t="s">
        <v>2304</v>
      </c>
      <c r="G708" s="141" t="s">
        <v>2305</v>
      </c>
      <c r="H708" s="142" t="s">
        <v>2351</v>
      </c>
      <c r="I708" s="141" t="s">
        <v>2307</v>
      </c>
      <c r="J708" s="142" t="s">
        <v>2357</v>
      </c>
      <c r="K708" s="142" t="s">
        <v>852</v>
      </c>
      <c r="L708" s="143">
        <f t="shared" si="20"/>
        <v>1</v>
      </c>
      <c r="M708" s="144" t="s">
        <v>2358</v>
      </c>
      <c r="N708" s="141" t="s">
        <v>2260</v>
      </c>
      <c r="O708" s="142" t="s">
        <v>2268</v>
      </c>
      <c r="P708" s="141" t="s">
        <v>2310</v>
      </c>
      <c r="Q708" s="142" t="s">
        <v>2304</v>
      </c>
      <c r="R708" s="141" t="s">
        <v>2354</v>
      </c>
      <c r="S708" s="142" t="s">
        <v>2351</v>
      </c>
      <c r="T708" s="141" t="s">
        <v>2359</v>
      </c>
      <c r="U708" s="142" t="s">
        <v>2357</v>
      </c>
      <c r="V708" s="142" t="s">
        <v>852</v>
      </c>
      <c r="W708" s="141">
        <f t="shared" si="21"/>
        <v>1</v>
      </c>
      <c r="X708" s="143"/>
      <c r="Y708" s="145"/>
      <c r="AA708"/>
    </row>
    <row r="709" spans="1:27" s="115" customFormat="1" ht="27" customHeight="1">
      <c r="A709" s="139">
        <v>682</v>
      </c>
      <c r="B709" s="140" t="s">
        <v>5192</v>
      </c>
      <c r="C709" s="141" t="s">
        <v>2260</v>
      </c>
      <c r="D709" s="142" t="s">
        <v>2261</v>
      </c>
      <c r="E709" s="141" t="s">
        <v>2262</v>
      </c>
      <c r="F709" s="142" t="s">
        <v>2304</v>
      </c>
      <c r="G709" s="141" t="s">
        <v>2305</v>
      </c>
      <c r="H709" s="142" t="s">
        <v>2351</v>
      </c>
      <c r="I709" s="141" t="s">
        <v>2307</v>
      </c>
      <c r="J709" s="142" t="s">
        <v>2357</v>
      </c>
      <c r="K709" s="142" t="s">
        <v>853</v>
      </c>
      <c r="L709" s="143">
        <f t="shared" ref="L709:L772" si="22">COUNTIF($B$5:$B$1752,B709)</f>
        <v>1</v>
      </c>
      <c r="M709" s="144" t="s">
        <v>2360</v>
      </c>
      <c r="N709" s="141" t="s">
        <v>2260</v>
      </c>
      <c r="O709" s="142" t="s">
        <v>2268</v>
      </c>
      <c r="P709" s="141" t="s">
        <v>2310</v>
      </c>
      <c r="Q709" s="142" t="s">
        <v>2304</v>
      </c>
      <c r="R709" s="141" t="s">
        <v>2354</v>
      </c>
      <c r="S709" s="142" t="s">
        <v>2351</v>
      </c>
      <c r="T709" s="141" t="s">
        <v>2359</v>
      </c>
      <c r="U709" s="142" t="s">
        <v>2357</v>
      </c>
      <c r="V709" s="142" t="s">
        <v>853</v>
      </c>
      <c r="W709" s="141">
        <f t="shared" ref="W709:W772" si="23">COUNTIF($M$5:$M$1756,M709)</f>
        <v>1</v>
      </c>
      <c r="X709" s="143"/>
      <c r="Y709" s="145"/>
      <c r="AA709"/>
    </row>
    <row r="710" spans="1:27" s="115" customFormat="1" ht="27" customHeight="1">
      <c r="A710" s="139">
        <v>683</v>
      </c>
      <c r="B710" s="140" t="s">
        <v>5193</v>
      </c>
      <c r="C710" s="141" t="s">
        <v>2260</v>
      </c>
      <c r="D710" s="142" t="s">
        <v>2261</v>
      </c>
      <c r="E710" s="141" t="s">
        <v>2262</v>
      </c>
      <c r="F710" s="142" t="s">
        <v>2304</v>
      </c>
      <c r="G710" s="141" t="s">
        <v>2305</v>
      </c>
      <c r="H710" s="142" t="s">
        <v>2306</v>
      </c>
      <c r="I710" s="141" t="s">
        <v>2307</v>
      </c>
      <c r="J710" s="142" t="s">
        <v>2325</v>
      </c>
      <c r="K710" s="142" t="s">
        <v>854</v>
      </c>
      <c r="L710" s="143">
        <f t="shared" si="22"/>
        <v>1</v>
      </c>
      <c r="M710" s="144" t="s">
        <v>2361</v>
      </c>
      <c r="N710" s="141" t="s">
        <v>2260</v>
      </c>
      <c r="O710" s="142" t="s">
        <v>2268</v>
      </c>
      <c r="P710" s="141" t="s">
        <v>2310</v>
      </c>
      <c r="Q710" s="142" t="s">
        <v>2304</v>
      </c>
      <c r="R710" s="141" t="s">
        <v>2311</v>
      </c>
      <c r="S710" s="142" t="s">
        <v>2306</v>
      </c>
      <c r="T710" s="141" t="s">
        <v>2327</v>
      </c>
      <c r="U710" s="142" t="s">
        <v>2325</v>
      </c>
      <c r="V710" s="142" t="s">
        <v>854</v>
      </c>
      <c r="W710" s="141">
        <f t="shared" si="23"/>
        <v>1</v>
      </c>
      <c r="X710" s="143"/>
      <c r="Y710" s="145"/>
      <c r="AA710"/>
    </row>
    <row r="711" spans="1:27" s="115" customFormat="1" ht="27" customHeight="1">
      <c r="A711" s="139">
        <v>684</v>
      </c>
      <c r="B711" s="140" t="s">
        <v>5194</v>
      </c>
      <c r="C711" s="141" t="s">
        <v>2260</v>
      </c>
      <c r="D711" s="142" t="s">
        <v>2261</v>
      </c>
      <c r="E711" s="141" t="s">
        <v>2262</v>
      </c>
      <c r="F711" s="142" t="s">
        <v>2304</v>
      </c>
      <c r="G711" s="141" t="s">
        <v>2305</v>
      </c>
      <c r="H711" s="142" t="s">
        <v>2315</v>
      </c>
      <c r="I711" s="141" t="s">
        <v>2307</v>
      </c>
      <c r="J711" s="142" t="s">
        <v>2316</v>
      </c>
      <c r="K711" s="142" t="s">
        <v>855</v>
      </c>
      <c r="L711" s="143">
        <f t="shared" si="22"/>
        <v>1</v>
      </c>
      <c r="M711" s="144" t="s">
        <v>2362</v>
      </c>
      <c r="N711" s="141" t="s">
        <v>2260</v>
      </c>
      <c r="O711" s="142" t="s">
        <v>2268</v>
      </c>
      <c r="P711" s="141" t="s">
        <v>2310</v>
      </c>
      <c r="Q711" s="142" t="s">
        <v>2304</v>
      </c>
      <c r="R711" s="141" t="s">
        <v>2318</v>
      </c>
      <c r="S711" s="142" t="s">
        <v>2315</v>
      </c>
      <c r="T711" s="141" t="s">
        <v>2319</v>
      </c>
      <c r="U711" s="142" t="s">
        <v>2316</v>
      </c>
      <c r="V711" s="142" t="s">
        <v>855</v>
      </c>
      <c r="W711" s="141">
        <f t="shared" si="23"/>
        <v>1</v>
      </c>
      <c r="X711" s="143"/>
      <c r="Y711" s="145"/>
      <c r="AA711"/>
    </row>
    <row r="712" spans="1:27" s="115" customFormat="1" ht="27" customHeight="1">
      <c r="A712" s="139">
        <v>685</v>
      </c>
      <c r="B712" s="140" t="s">
        <v>5195</v>
      </c>
      <c r="C712" s="141" t="s">
        <v>2260</v>
      </c>
      <c r="D712" s="142" t="s">
        <v>2261</v>
      </c>
      <c r="E712" s="141" t="s">
        <v>2262</v>
      </c>
      <c r="F712" s="142" t="s">
        <v>2304</v>
      </c>
      <c r="G712" s="141" t="s">
        <v>2305</v>
      </c>
      <c r="H712" s="142" t="s">
        <v>2315</v>
      </c>
      <c r="I712" s="141" t="s">
        <v>2307</v>
      </c>
      <c r="J712" s="142" t="s">
        <v>2330</v>
      </c>
      <c r="K712" s="142" t="s">
        <v>856</v>
      </c>
      <c r="L712" s="143">
        <f t="shared" si="22"/>
        <v>1</v>
      </c>
      <c r="M712" s="144" t="s">
        <v>2363</v>
      </c>
      <c r="N712" s="141" t="s">
        <v>2260</v>
      </c>
      <c r="O712" s="142" t="s">
        <v>2268</v>
      </c>
      <c r="P712" s="141" t="s">
        <v>2310</v>
      </c>
      <c r="Q712" s="142" t="s">
        <v>2304</v>
      </c>
      <c r="R712" s="141" t="s">
        <v>2318</v>
      </c>
      <c r="S712" s="142" t="s">
        <v>2315</v>
      </c>
      <c r="T712" s="141" t="s">
        <v>2332</v>
      </c>
      <c r="U712" s="142" t="s">
        <v>2330</v>
      </c>
      <c r="V712" s="142" t="s">
        <v>856</v>
      </c>
      <c r="W712" s="141">
        <f t="shared" si="23"/>
        <v>1</v>
      </c>
      <c r="X712" s="143"/>
      <c r="Y712" s="145"/>
      <c r="AA712"/>
    </row>
    <row r="713" spans="1:27" s="115" customFormat="1" ht="27" customHeight="1">
      <c r="A713" s="139">
        <v>686</v>
      </c>
      <c r="B713" s="140" t="s">
        <v>5196</v>
      </c>
      <c r="C713" s="141" t="s">
        <v>2260</v>
      </c>
      <c r="D713" s="142" t="s">
        <v>2261</v>
      </c>
      <c r="E713" s="141" t="s">
        <v>2262</v>
      </c>
      <c r="F713" s="142" t="s">
        <v>2304</v>
      </c>
      <c r="G713" s="141" t="s">
        <v>2305</v>
      </c>
      <c r="H713" s="142" t="s">
        <v>2321</v>
      </c>
      <c r="I713" s="141" t="s">
        <v>2307</v>
      </c>
      <c r="J713" s="142" t="s">
        <v>2321</v>
      </c>
      <c r="K713" s="142" t="s">
        <v>832</v>
      </c>
      <c r="L713" s="143">
        <f t="shared" si="22"/>
        <v>1</v>
      </c>
      <c r="M713" s="144" t="s">
        <v>2322</v>
      </c>
      <c r="N713" s="141" t="s">
        <v>2260</v>
      </c>
      <c r="O713" s="142" t="s">
        <v>2268</v>
      </c>
      <c r="P713" s="141" t="s">
        <v>2310</v>
      </c>
      <c r="Q713" s="142" t="s">
        <v>2304</v>
      </c>
      <c r="R713" s="141" t="s">
        <v>2323</v>
      </c>
      <c r="S713" s="142" t="s">
        <v>2321</v>
      </c>
      <c r="T713" s="141" t="s">
        <v>2324</v>
      </c>
      <c r="U713" s="142" t="s">
        <v>2321</v>
      </c>
      <c r="V713" s="142" t="s">
        <v>832</v>
      </c>
      <c r="W713" s="141">
        <f t="shared" si="23"/>
        <v>2</v>
      </c>
      <c r="X713" s="143"/>
      <c r="Y713" s="145" t="s">
        <v>2364</v>
      </c>
      <c r="AA713"/>
    </row>
    <row r="714" spans="1:27" s="115" customFormat="1" ht="13.5" customHeight="1">
      <c r="A714" s="139">
        <v>687</v>
      </c>
      <c r="B714" s="140" t="s">
        <v>5197</v>
      </c>
      <c r="C714" s="141" t="s">
        <v>2260</v>
      </c>
      <c r="D714" s="142" t="s">
        <v>2261</v>
      </c>
      <c r="E714" s="141" t="s">
        <v>2262</v>
      </c>
      <c r="F714" s="142" t="s">
        <v>2304</v>
      </c>
      <c r="G714" s="141" t="s">
        <v>2305</v>
      </c>
      <c r="H714" s="142" t="s">
        <v>2306</v>
      </c>
      <c r="I714" s="141" t="s">
        <v>2365</v>
      </c>
      <c r="J714" s="142" t="s">
        <v>2308</v>
      </c>
      <c r="K714" s="142" t="s">
        <v>857</v>
      </c>
      <c r="L714" s="143">
        <f t="shared" si="22"/>
        <v>1</v>
      </c>
      <c r="M714" s="144" t="s">
        <v>2366</v>
      </c>
      <c r="N714" s="141" t="s">
        <v>2260</v>
      </c>
      <c r="O714" s="142" t="s">
        <v>2268</v>
      </c>
      <c r="P714" s="141" t="s">
        <v>2310</v>
      </c>
      <c r="Q714" s="142" t="s">
        <v>2304</v>
      </c>
      <c r="R714" s="141" t="s">
        <v>2311</v>
      </c>
      <c r="S714" s="142" t="s">
        <v>2306</v>
      </c>
      <c r="T714" s="141" t="s">
        <v>2312</v>
      </c>
      <c r="U714" s="142" t="s">
        <v>2308</v>
      </c>
      <c r="V714" s="142" t="s">
        <v>857</v>
      </c>
      <c r="W714" s="141">
        <f t="shared" si="23"/>
        <v>1</v>
      </c>
      <c r="X714" s="143"/>
      <c r="Y714" s="145"/>
      <c r="AA714"/>
    </row>
    <row r="715" spans="1:27" s="115" customFormat="1" ht="27" customHeight="1">
      <c r="A715" s="139">
        <v>688</v>
      </c>
      <c r="B715" s="140" t="s">
        <v>5198</v>
      </c>
      <c r="C715" s="141" t="s">
        <v>2260</v>
      </c>
      <c r="D715" s="142" t="s">
        <v>2261</v>
      </c>
      <c r="E715" s="141" t="s">
        <v>2262</v>
      </c>
      <c r="F715" s="142" t="s">
        <v>2304</v>
      </c>
      <c r="G715" s="141" t="s">
        <v>2305</v>
      </c>
      <c r="H715" s="142" t="s">
        <v>2321</v>
      </c>
      <c r="I715" s="141" t="s">
        <v>2365</v>
      </c>
      <c r="J715" s="142" t="s">
        <v>2321</v>
      </c>
      <c r="K715" s="142" t="s">
        <v>858</v>
      </c>
      <c r="L715" s="143">
        <f t="shared" si="22"/>
        <v>1</v>
      </c>
      <c r="M715" s="144" t="s">
        <v>2367</v>
      </c>
      <c r="N715" s="141" t="s">
        <v>2260</v>
      </c>
      <c r="O715" s="142" t="s">
        <v>2268</v>
      </c>
      <c r="P715" s="141" t="s">
        <v>2310</v>
      </c>
      <c r="Q715" s="142" t="s">
        <v>2304</v>
      </c>
      <c r="R715" s="141" t="s">
        <v>2323</v>
      </c>
      <c r="S715" s="142" t="s">
        <v>2321</v>
      </c>
      <c r="T715" s="141" t="s">
        <v>2324</v>
      </c>
      <c r="U715" s="142" t="s">
        <v>2321</v>
      </c>
      <c r="V715" s="142" t="s">
        <v>858</v>
      </c>
      <c r="W715" s="141">
        <f t="shared" si="23"/>
        <v>1</v>
      </c>
      <c r="X715" s="143"/>
      <c r="Y715" s="145"/>
      <c r="AA715"/>
    </row>
    <row r="716" spans="1:27" s="115" customFormat="1" ht="27" customHeight="1">
      <c r="A716" s="139">
        <v>689</v>
      </c>
      <c r="B716" s="140" t="s">
        <v>5199</v>
      </c>
      <c r="C716" s="141" t="s">
        <v>2260</v>
      </c>
      <c r="D716" s="142" t="s">
        <v>2261</v>
      </c>
      <c r="E716" s="141" t="s">
        <v>2262</v>
      </c>
      <c r="F716" s="142" t="s">
        <v>2304</v>
      </c>
      <c r="G716" s="141" t="s">
        <v>2368</v>
      </c>
      <c r="H716" s="142" t="s">
        <v>173</v>
      </c>
      <c r="I716" s="141" t="s">
        <v>2369</v>
      </c>
      <c r="J716" s="142" t="s">
        <v>173</v>
      </c>
      <c r="K716" s="142" t="s">
        <v>173</v>
      </c>
      <c r="L716" s="143">
        <f t="shared" si="22"/>
        <v>1</v>
      </c>
      <c r="M716" s="144" t="s">
        <v>2370</v>
      </c>
      <c r="N716" s="141" t="s">
        <v>2260</v>
      </c>
      <c r="O716" s="142" t="s">
        <v>2268</v>
      </c>
      <c r="P716" s="141" t="s">
        <v>2310</v>
      </c>
      <c r="Q716" s="142" t="s">
        <v>2304</v>
      </c>
      <c r="R716" s="141" t="s">
        <v>2371</v>
      </c>
      <c r="S716" s="142" t="s">
        <v>173</v>
      </c>
      <c r="T716" s="141" t="s">
        <v>2372</v>
      </c>
      <c r="U716" s="142" t="s">
        <v>173</v>
      </c>
      <c r="V716" s="142" t="s">
        <v>173</v>
      </c>
      <c r="W716" s="141">
        <f t="shared" si="23"/>
        <v>1</v>
      </c>
      <c r="X716" s="143"/>
      <c r="Y716" s="145"/>
      <c r="AA716"/>
    </row>
    <row r="717" spans="1:27" s="115" customFormat="1" ht="27" customHeight="1">
      <c r="A717" s="139">
        <v>690</v>
      </c>
      <c r="B717" s="140" t="s">
        <v>5200</v>
      </c>
      <c r="C717" s="141" t="s">
        <v>2373</v>
      </c>
      <c r="D717" s="142" t="s">
        <v>2374</v>
      </c>
      <c r="E717" s="141" t="s">
        <v>2375</v>
      </c>
      <c r="F717" s="142" t="s">
        <v>2376</v>
      </c>
      <c r="G717" s="141" t="s">
        <v>2377</v>
      </c>
      <c r="H717" s="142" t="s">
        <v>2378</v>
      </c>
      <c r="I717" s="141" t="s">
        <v>2379</v>
      </c>
      <c r="J717" s="142" t="s">
        <v>174</v>
      </c>
      <c r="K717" s="142" t="s">
        <v>174</v>
      </c>
      <c r="L717" s="143">
        <f t="shared" si="22"/>
        <v>1</v>
      </c>
      <c r="M717" s="144">
        <v>45110</v>
      </c>
      <c r="N717" s="141" t="s">
        <v>2373</v>
      </c>
      <c r="O717" s="142" t="s">
        <v>2374</v>
      </c>
      <c r="P717" s="141" t="s">
        <v>2262</v>
      </c>
      <c r="Q717" s="142" t="s">
        <v>2376</v>
      </c>
      <c r="R717" s="141" t="s">
        <v>2264</v>
      </c>
      <c r="S717" s="142" t="s">
        <v>2378</v>
      </c>
      <c r="T717" s="141" t="s">
        <v>2266</v>
      </c>
      <c r="U717" s="142" t="s">
        <v>174</v>
      </c>
      <c r="V717" s="142" t="s">
        <v>174</v>
      </c>
      <c r="W717" s="141">
        <f t="shared" si="23"/>
        <v>4</v>
      </c>
      <c r="X717" s="143">
        <v>2</v>
      </c>
      <c r="Y717" s="145" t="s">
        <v>2380</v>
      </c>
      <c r="AA717"/>
    </row>
    <row r="718" spans="1:27" s="115" customFormat="1" ht="27" customHeight="1">
      <c r="A718" s="139">
        <v>691</v>
      </c>
      <c r="B718" s="140" t="s">
        <v>5201</v>
      </c>
      <c r="C718" s="141" t="s">
        <v>2373</v>
      </c>
      <c r="D718" s="142" t="s">
        <v>2374</v>
      </c>
      <c r="E718" s="141" t="s">
        <v>2375</v>
      </c>
      <c r="F718" s="142" t="s">
        <v>2376</v>
      </c>
      <c r="G718" s="141" t="s">
        <v>2377</v>
      </c>
      <c r="H718" s="142" t="s">
        <v>2378</v>
      </c>
      <c r="I718" s="141" t="s">
        <v>2379</v>
      </c>
      <c r="J718" s="142" t="s">
        <v>175</v>
      </c>
      <c r="K718" s="142" t="s">
        <v>175</v>
      </c>
      <c r="L718" s="143">
        <f t="shared" si="22"/>
        <v>1</v>
      </c>
      <c r="M718" s="144" t="s">
        <v>2381</v>
      </c>
      <c r="N718" s="141" t="s">
        <v>2373</v>
      </c>
      <c r="O718" s="142" t="s">
        <v>2374</v>
      </c>
      <c r="P718" s="141" t="s">
        <v>2262</v>
      </c>
      <c r="Q718" s="142" t="s">
        <v>2376</v>
      </c>
      <c r="R718" s="141" t="s">
        <v>2264</v>
      </c>
      <c r="S718" s="142" t="s">
        <v>2378</v>
      </c>
      <c r="T718" s="141" t="s">
        <v>2290</v>
      </c>
      <c r="U718" s="142" t="s">
        <v>175</v>
      </c>
      <c r="V718" s="142" t="s">
        <v>175</v>
      </c>
      <c r="W718" s="141">
        <f t="shared" si="23"/>
        <v>3</v>
      </c>
      <c r="X718" s="143">
        <v>2</v>
      </c>
      <c r="Y718" s="145" t="s">
        <v>2380</v>
      </c>
      <c r="AA718"/>
    </row>
    <row r="719" spans="1:27" s="115" customFormat="1" ht="27" customHeight="1">
      <c r="A719" s="139">
        <v>692</v>
      </c>
      <c r="B719" s="140" t="s">
        <v>5202</v>
      </c>
      <c r="C719" s="141" t="s">
        <v>2373</v>
      </c>
      <c r="D719" s="142" t="s">
        <v>2374</v>
      </c>
      <c r="E719" s="141" t="s">
        <v>2375</v>
      </c>
      <c r="F719" s="142" t="s">
        <v>2376</v>
      </c>
      <c r="G719" s="141" t="s">
        <v>2377</v>
      </c>
      <c r="H719" s="142" t="s">
        <v>2378</v>
      </c>
      <c r="I719" s="141" t="s">
        <v>2382</v>
      </c>
      <c r="J719" s="142" t="s">
        <v>174</v>
      </c>
      <c r="K719" s="142" t="s">
        <v>174</v>
      </c>
      <c r="L719" s="143">
        <f t="shared" si="22"/>
        <v>1</v>
      </c>
      <c r="M719" s="144" t="s">
        <v>2383</v>
      </c>
      <c r="N719" s="141" t="s">
        <v>2373</v>
      </c>
      <c r="O719" s="142" t="s">
        <v>2374</v>
      </c>
      <c r="P719" s="141" t="s">
        <v>2262</v>
      </c>
      <c r="Q719" s="142" t="s">
        <v>2376</v>
      </c>
      <c r="R719" s="141" t="s">
        <v>2264</v>
      </c>
      <c r="S719" s="142" t="s">
        <v>2378</v>
      </c>
      <c r="T719" s="141" t="s">
        <v>2266</v>
      </c>
      <c r="U719" s="142" t="s">
        <v>174</v>
      </c>
      <c r="V719" s="142" t="s">
        <v>174</v>
      </c>
      <c r="W719" s="141">
        <f t="shared" si="23"/>
        <v>4</v>
      </c>
      <c r="X719" s="143">
        <v>2</v>
      </c>
      <c r="Y719" s="145" t="s">
        <v>2384</v>
      </c>
      <c r="AA719"/>
    </row>
    <row r="720" spans="1:27" s="115" customFormat="1" ht="27" customHeight="1">
      <c r="A720" s="139">
        <v>693</v>
      </c>
      <c r="B720" s="140" t="s">
        <v>5203</v>
      </c>
      <c r="C720" s="141" t="s">
        <v>2373</v>
      </c>
      <c r="D720" s="142" t="s">
        <v>2374</v>
      </c>
      <c r="E720" s="141" t="s">
        <v>2375</v>
      </c>
      <c r="F720" s="142" t="s">
        <v>2376</v>
      </c>
      <c r="G720" s="141" t="s">
        <v>2377</v>
      </c>
      <c r="H720" s="142" t="s">
        <v>2378</v>
      </c>
      <c r="I720" s="141" t="s">
        <v>2382</v>
      </c>
      <c r="J720" s="142" t="s">
        <v>175</v>
      </c>
      <c r="K720" s="142" t="s">
        <v>175</v>
      </c>
      <c r="L720" s="143">
        <f t="shared" si="22"/>
        <v>1</v>
      </c>
      <c r="M720" s="144" t="s">
        <v>2381</v>
      </c>
      <c r="N720" s="141" t="s">
        <v>2373</v>
      </c>
      <c r="O720" s="142" t="s">
        <v>2374</v>
      </c>
      <c r="P720" s="141" t="s">
        <v>2262</v>
      </c>
      <c r="Q720" s="142" t="s">
        <v>2376</v>
      </c>
      <c r="R720" s="141" t="s">
        <v>2264</v>
      </c>
      <c r="S720" s="142" t="s">
        <v>2378</v>
      </c>
      <c r="T720" s="141" t="s">
        <v>2290</v>
      </c>
      <c r="U720" s="142" t="s">
        <v>175</v>
      </c>
      <c r="V720" s="142" t="s">
        <v>175</v>
      </c>
      <c r="W720" s="141">
        <f t="shared" si="23"/>
        <v>3</v>
      </c>
      <c r="X720" s="143">
        <v>2</v>
      </c>
      <c r="Y720" s="145" t="s">
        <v>2384</v>
      </c>
      <c r="AA720"/>
    </row>
    <row r="721" spans="1:27" s="115" customFormat="1" ht="27" customHeight="1">
      <c r="A721" s="139">
        <v>694</v>
      </c>
      <c r="B721" s="140" t="s">
        <v>5204</v>
      </c>
      <c r="C721" s="141" t="s">
        <v>2373</v>
      </c>
      <c r="D721" s="142" t="s">
        <v>2374</v>
      </c>
      <c r="E721" s="141" t="s">
        <v>2375</v>
      </c>
      <c r="F721" s="142" t="s">
        <v>2376</v>
      </c>
      <c r="G721" s="141" t="s">
        <v>2377</v>
      </c>
      <c r="H721" s="142" t="s">
        <v>2378</v>
      </c>
      <c r="I721" s="141" t="s">
        <v>2385</v>
      </c>
      <c r="J721" s="142" t="s">
        <v>174</v>
      </c>
      <c r="K721" s="142" t="s">
        <v>174</v>
      </c>
      <c r="L721" s="143">
        <f t="shared" si="22"/>
        <v>1</v>
      </c>
      <c r="M721" s="144" t="s">
        <v>2383</v>
      </c>
      <c r="N721" s="141" t="s">
        <v>2373</v>
      </c>
      <c r="O721" s="142" t="s">
        <v>2374</v>
      </c>
      <c r="P721" s="141" t="s">
        <v>2262</v>
      </c>
      <c r="Q721" s="142" t="s">
        <v>2376</v>
      </c>
      <c r="R721" s="141" t="s">
        <v>2264</v>
      </c>
      <c r="S721" s="142" t="s">
        <v>2378</v>
      </c>
      <c r="T721" s="141" t="s">
        <v>2266</v>
      </c>
      <c r="U721" s="142" t="s">
        <v>174</v>
      </c>
      <c r="V721" s="142" t="s">
        <v>174</v>
      </c>
      <c r="W721" s="141">
        <f t="shared" si="23"/>
        <v>4</v>
      </c>
      <c r="X721" s="143"/>
      <c r="Y721" s="145" t="s">
        <v>2386</v>
      </c>
      <c r="AA721"/>
    </row>
    <row r="722" spans="1:27" s="115" customFormat="1" ht="27" customHeight="1">
      <c r="A722" s="139">
        <v>695</v>
      </c>
      <c r="B722" s="140" t="s">
        <v>5205</v>
      </c>
      <c r="C722" s="141" t="s">
        <v>2373</v>
      </c>
      <c r="D722" s="142" t="s">
        <v>2374</v>
      </c>
      <c r="E722" s="141" t="s">
        <v>2375</v>
      </c>
      <c r="F722" s="142" t="s">
        <v>2376</v>
      </c>
      <c r="G722" s="141" t="s">
        <v>2377</v>
      </c>
      <c r="H722" s="142" t="s">
        <v>2378</v>
      </c>
      <c r="I722" s="141" t="s">
        <v>2385</v>
      </c>
      <c r="J722" s="142" t="s">
        <v>174</v>
      </c>
      <c r="K722" s="142" t="s">
        <v>174</v>
      </c>
      <c r="L722" s="143">
        <f t="shared" si="22"/>
        <v>1</v>
      </c>
      <c r="M722" s="144" t="s">
        <v>2383</v>
      </c>
      <c r="N722" s="141" t="s">
        <v>2373</v>
      </c>
      <c r="O722" s="142" t="s">
        <v>2374</v>
      </c>
      <c r="P722" s="141" t="s">
        <v>2262</v>
      </c>
      <c r="Q722" s="142" t="s">
        <v>2376</v>
      </c>
      <c r="R722" s="141" t="s">
        <v>2264</v>
      </c>
      <c r="S722" s="142" t="s">
        <v>2378</v>
      </c>
      <c r="T722" s="141" t="s">
        <v>2266</v>
      </c>
      <c r="U722" s="142" t="s">
        <v>174</v>
      </c>
      <c r="V722" s="142" t="s">
        <v>174</v>
      </c>
      <c r="W722" s="141">
        <f t="shared" si="23"/>
        <v>4</v>
      </c>
      <c r="X722" s="143"/>
      <c r="Y722" s="145" t="s">
        <v>2387</v>
      </c>
      <c r="AA722"/>
    </row>
    <row r="723" spans="1:27" s="115" customFormat="1" ht="27" customHeight="1">
      <c r="A723" s="139">
        <v>696</v>
      </c>
      <c r="B723" s="140" t="s">
        <v>5206</v>
      </c>
      <c r="C723" s="141" t="s">
        <v>2373</v>
      </c>
      <c r="D723" s="142" t="s">
        <v>2374</v>
      </c>
      <c r="E723" s="141" t="s">
        <v>2375</v>
      </c>
      <c r="F723" s="142" t="s">
        <v>2376</v>
      </c>
      <c r="G723" s="141" t="s">
        <v>2377</v>
      </c>
      <c r="H723" s="142" t="s">
        <v>2378</v>
      </c>
      <c r="I723" s="141" t="s">
        <v>2385</v>
      </c>
      <c r="J723" s="142" t="s">
        <v>175</v>
      </c>
      <c r="K723" s="142" t="s">
        <v>175</v>
      </c>
      <c r="L723" s="143">
        <f t="shared" si="22"/>
        <v>1</v>
      </c>
      <c r="M723" s="144" t="s">
        <v>2381</v>
      </c>
      <c r="N723" s="141" t="s">
        <v>2373</v>
      </c>
      <c r="O723" s="142" t="s">
        <v>2374</v>
      </c>
      <c r="P723" s="141" t="s">
        <v>2262</v>
      </c>
      <c r="Q723" s="142" t="s">
        <v>2376</v>
      </c>
      <c r="R723" s="141" t="s">
        <v>2264</v>
      </c>
      <c r="S723" s="142" t="s">
        <v>2378</v>
      </c>
      <c r="T723" s="141" t="s">
        <v>2290</v>
      </c>
      <c r="U723" s="142" t="s">
        <v>175</v>
      </c>
      <c r="V723" s="142" t="s">
        <v>175</v>
      </c>
      <c r="W723" s="141">
        <f t="shared" si="23"/>
        <v>3</v>
      </c>
      <c r="X723" s="143"/>
      <c r="Y723" s="145" t="s">
        <v>2387</v>
      </c>
      <c r="AA723"/>
    </row>
    <row r="724" spans="1:27" s="115" customFormat="1" ht="27" customHeight="1">
      <c r="A724" s="139">
        <v>697</v>
      </c>
      <c r="B724" s="140" t="s">
        <v>5207</v>
      </c>
      <c r="C724" s="141" t="s">
        <v>2373</v>
      </c>
      <c r="D724" s="142" t="s">
        <v>2374</v>
      </c>
      <c r="E724" s="141" t="s">
        <v>2375</v>
      </c>
      <c r="F724" s="142" t="s">
        <v>2376</v>
      </c>
      <c r="G724" s="141" t="s">
        <v>2388</v>
      </c>
      <c r="H724" s="142" t="s">
        <v>2389</v>
      </c>
      <c r="I724" s="141" t="s">
        <v>2390</v>
      </c>
      <c r="J724" s="142" t="s">
        <v>2391</v>
      </c>
      <c r="K724" s="142" t="s">
        <v>859</v>
      </c>
      <c r="L724" s="143">
        <f t="shared" si="22"/>
        <v>1</v>
      </c>
      <c r="M724" s="144" t="s">
        <v>2392</v>
      </c>
      <c r="N724" s="141" t="s">
        <v>2373</v>
      </c>
      <c r="O724" s="142" t="s">
        <v>2374</v>
      </c>
      <c r="P724" s="141" t="s">
        <v>2262</v>
      </c>
      <c r="Q724" s="142" t="s">
        <v>2376</v>
      </c>
      <c r="R724" s="141" t="s">
        <v>2305</v>
      </c>
      <c r="S724" s="142" t="s">
        <v>2389</v>
      </c>
      <c r="T724" s="141" t="s">
        <v>2307</v>
      </c>
      <c r="U724" s="142" t="s">
        <v>2391</v>
      </c>
      <c r="V724" s="142" t="s">
        <v>859</v>
      </c>
      <c r="W724" s="141">
        <f t="shared" si="23"/>
        <v>2</v>
      </c>
      <c r="X724" s="143">
        <v>2</v>
      </c>
      <c r="Y724" s="145" t="s">
        <v>2380</v>
      </c>
      <c r="AA724"/>
    </row>
    <row r="725" spans="1:27" s="115" customFormat="1" ht="27" customHeight="1">
      <c r="A725" s="139">
        <v>698</v>
      </c>
      <c r="B725" s="140" t="s">
        <v>5208</v>
      </c>
      <c r="C725" s="141" t="s">
        <v>2373</v>
      </c>
      <c r="D725" s="142" t="s">
        <v>2374</v>
      </c>
      <c r="E725" s="141" t="s">
        <v>2375</v>
      </c>
      <c r="F725" s="142" t="s">
        <v>2376</v>
      </c>
      <c r="G725" s="141" t="s">
        <v>2388</v>
      </c>
      <c r="H725" s="142" t="s">
        <v>2389</v>
      </c>
      <c r="I725" s="141" t="s">
        <v>2390</v>
      </c>
      <c r="J725" s="142" t="s">
        <v>2391</v>
      </c>
      <c r="K725" s="142" t="s">
        <v>859</v>
      </c>
      <c r="L725" s="143">
        <f t="shared" si="22"/>
        <v>1</v>
      </c>
      <c r="M725" s="144" t="s">
        <v>2392</v>
      </c>
      <c r="N725" s="141" t="s">
        <v>2373</v>
      </c>
      <c r="O725" s="142" t="s">
        <v>2374</v>
      </c>
      <c r="P725" s="141" t="s">
        <v>2262</v>
      </c>
      <c r="Q725" s="142" t="s">
        <v>2376</v>
      </c>
      <c r="R725" s="141" t="s">
        <v>2305</v>
      </c>
      <c r="S725" s="142" t="s">
        <v>2389</v>
      </c>
      <c r="T725" s="141" t="s">
        <v>2307</v>
      </c>
      <c r="U725" s="142" t="s">
        <v>2391</v>
      </c>
      <c r="V725" s="142" t="s">
        <v>859</v>
      </c>
      <c r="W725" s="141">
        <f t="shared" si="23"/>
        <v>2</v>
      </c>
      <c r="X725" s="143">
        <v>2</v>
      </c>
      <c r="Y725" s="145" t="s">
        <v>2384</v>
      </c>
      <c r="AA725"/>
    </row>
    <row r="726" spans="1:27" s="115" customFormat="1" ht="27" customHeight="1">
      <c r="A726" s="139">
        <v>699</v>
      </c>
      <c r="B726" s="140" t="s">
        <v>5209</v>
      </c>
      <c r="C726" s="141" t="s">
        <v>2373</v>
      </c>
      <c r="D726" s="142" t="s">
        <v>2374</v>
      </c>
      <c r="E726" s="141" t="s">
        <v>2375</v>
      </c>
      <c r="F726" s="142" t="s">
        <v>2376</v>
      </c>
      <c r="G726" s="141" t="s">
        <v>2388</v>
      </c>
      <c r="H726" s="142" t="s">
        <v>2389</v>
      </c>
      <c r="I726" s="141" t="s">
        <v>2390</v>
      </c>
      <c r="J726" s="142" t="s">
        <v>860</v>
      </c>
      <c r="K726" s="142" t="s">
        <v>860</v>
      </c>
      <c r="L726" s="143">
        <f t="shared" si="22"/>
        <v>1</v>
      </c>
      <c r="M726" s="144" t="s">
        <v>2393</v>
      </c>
      <c r="N726" s="141" t="s">
        <v>2373</v>
      </c>
      <c r="O726" s="142" t="s">
        <v>2374</v>
      </c>
      <c r="P726" s="141" t="s">
        <v>2262</v>
      </c>
      <c r="Q726" s="142" t="s">
        <v>2376</v>
      </c>
      <c r="R726" s="141" t="s">
        <v>2305</v>
      </c>
      <c r="S726" s="142" t="s">
        <v>2389</v>
      </c>
      <c r="T726" s="141" t="s">
        <v>2365</v>
      </c>
      <c r="U726" s="142" t="s">
        <v>860</v>
      </c>
      <c r="V726" s="142" t="s">
        <v>860</v>
      </c>
      <c r="W726" s="141">
        <f t="shared" si="23"/>
        <v>2</v>
      </c>
      <c r="X726" s="143">
        <v>2</v>
      </c>
      <c r="Y726" s="145" t="s">
        <v>2380</v>
      </c>
      <c r="AA726"/>
    </row>
    <row r="727" spans="1:27" s="115" customFormat="1" ht="27" customHeight="1">
      <c r="A727" s="139">
        <v>700</v>
      </c>
      <c r="B727" s="140" t="s">
        <v>5210</v>
      </c>
      <c r="C727" s="141" t="s">
        <v>2373</v>
      </c>
      <c r="D727" s="142" t="s">
        <v>2374</v>
      </c>
      <c r="E727" s="141" t="s">
        <v>2375</v>
      </c>
      <c r="F727" s="142" t="s">
        <v>2376</v>
      </c>
      <c r="G727" s="141" t="s">
        <v>2388</v>
      </c>
      <c r="H727" s="142" t="s">
        <v>2389</v>
      </c>
      <c r="I727" s="141" t="s">
        <v>2390</v>
      </c>
      <c r="J727" s="142" t="s">
        <v>860</v>
      </c>
      <c r="K727" s="142" t="s">
        <v>860</v>
      </c>
      <c r="L727" s="143">
        <f t="shared" si="22"/>
        <v>1</v>
      </c>
      <c r="M727" s="144" t="s">
        <v>2393</v>
      </c>
      <c r="N727" s="141" t="s">
        <v>2373</v>
      </c>
      <c r="O727" s="142" t="s">
        <v>2374</v>
      </c>
      <c r="P727" s="141" t="s">
        <v>2262</v>
      </c>
      <c r="Q727" s="142" t="s">
        <v>2376</v>
      </c>
      <c r="R727" s="141" t="s">
        <v>2305</v>
      </c>
      <c r="S727" s="142" t="s">
        <v>2389</v>
      </c>
      <c r="T727" s="141" t="s">
        <v>2365</v>
      </c>
      <c r="U727" s="142" t="s">
        <v>860</v>
      </c>
      <c r="V727" s="142" t="s">
        <v>860</v>
      </c>
      <c r="W727" s="141">
        <f t="shared" si="23"/>
        <v>2</v>
      </c>
      <c r="X727" s="143">
        <v>2</v>
      </c>
      <c r="Y727" s="145" t="s">
        <v>2384</v>
      </c>
      <c r="AA727"/>
    </row>
    <row r="728" spans="1:27" s="115" customFormat="1" ht="27" customHeight="1">
      <c r="A728" s="139">
        <v>701</v>
      </c>
      <c r="B728" s="140" t="s">
        <v>5211</v>
      </c>
      <c r="C728" s="141" t="s">
        <v>2373</v>
      </c>
      <c r="D728" s="142" t="s">
        <v>2374</v>
      </c>
      <c r="E728" s="141" t="s">
        <v>2375</v>
      </c>
      <c r="F728" s="142" t="s">
        <v>2376</v>
      </c>
      <c r="G728" s="141" t="s">
        <v>2388</v>
      </c>
      <c r="H728" s="142" t="s">
        <v>2389</v>
      </c>
      <c r="I728" s="141" t="s">
        <v>2390</v>
      </c>
      <c r="J728" s="142" t="s">
        <v>2391</v>
      </c>
      <c r="K728" s="142" t="s">
        <v>861</v>
      </c>
      <c r="L728" s="143">
        <f t="shared" si="22"/>
        <v>1</v>
      </c>
      <c r="M728" s="144" t="s">
        <v>2394</v>
      </c>
      <c r="N728" s="141" t="s">
        <v>2373</v>
      </c>
      <c r="O728" s="142" t="s">
        <v>2374</v>
      </c>
      <c r="P728" s="141" t="s">
        <v>2262</v>
      </c>
      <c r="Q728" s="142" t="s">
        <v>2376</v>
      </c>
      <c r="R728" s="141" t="s">
        <v>2305</v>
      </c>
      <c r="S728" s="142" t="s">
        <v>2389</v>
      </c>
      <c r="T728" s="141" t="s">
        <v>2307</v>
      </c>
      <c r="U728" s="142" t="s">
        <v>2391</v>
      </c>
      <c r="V728" s="142" t="s">
        <v>861</v>
      </c>
      <c r="W728" s="141">
        <f t="shared" si="23"/>
        <v>3</v>
      </c>
      <c r="X728" s="143"/>
      <c r="Y728" s="145" t="s">
        <v>2395</v>
      </c>
      <c r="AA728"/>
    </row>
    <row r="729" spans="1:27" s="115" customFormat="1" ht="27" customHeight="1">
      <c r="A729" s="139">
        <v>702</v>
      </c>
      <c r="B729" s="140" t="s">
        <v>5212</v>
      </c>
      <c r="C729" s="141" t="s">
        <v>2373</v>
      </c>
      <c r="D729" s="142" t="s">
        <v>2374</v>
      </c>
      <c r="E729" s="141" t="s">
        <v>2375</v>
      </c>
      <c r="F729" s="142" t="s">
        <v>2376</v>
      </c>
      <c r="G729" s="141" t="s">
        <v>2388</v>
      </c>
      <c r="H729" s="142" t="s">
        <v>2389</v>
      </c>
      <c r="I729" s="141" t="s">
        <v>2390</v>
      </c>
      <c r="J729" s="142" t="s">
        <v>2391</v>
      </c>
      <c r="K729" s="142" t="s">
        <v>862</v>
      </c>
      <c r="L729" s="143">
        <f t="shared" si="22"/>
        <v>1</v>
      </c>
      <c r="M729" s="144">
        <v>45212</v>
      </c>
      <c r="N729" s="141" t="s">
        <v>2373</v>
      </c>
      <c r="O729" s="142" t="s">
        <v>2374</v>
      </c>
      <c r="P729" s="141" t="s">
        <v>2262</v>
      </c>
      <c r="Q729" s="142" t="s">
        <v>2376</v>
      </c>
      <c r="R729" s="141" t="s">
        <v>2305</v>
      </c>
      <c r="S729" s="142" t="s">
        <v>2389</v>
      </c>
      <c r="T729" s="141" t="s">
        <v>2307</v>
      </c>
      <c r="U729" s="142" t="s">
        <v>2391</v>
      </c>
      <c r="V729" s="142" t="s">
        <v>862</v>
      </c>
      <c r="W729" s="141">
        <f t="shared" si="23"/>
        <v>2</v>
      </c>
      <c r="X729" s="143">
        <v>2</v>
      </c>
      <c r="Y729" s="145" t="s">
        <v>2380</v>
      </c>
      <c r="AA729"/>
    </row>
    <row r="730" spans="1:27" s="115" customFormat="1" ht="27" customHeight="1">
      <c r="A730" s="139">
        <v>703</v>
      </c>
      <c r="B730" s="140" t="s">
        <v>5213</v>
      </c>
      <c r="C730" s="141" t="s">
        <v>2373</v>
      </c>
      <c r="D730" s="142" t="s">
        <v>2374</v>
      </c>
      <c r="E730" s="141" t="s">
        <v>2375</v>
      </c>
      <c r="F730" s="142" t="s">
        <v>2376</v>
      </c>
      <c r="G730" s="141" t="s">
        <v>2388</v>
      </c>
      <c r="H730" s="142" t="s">
        <v>2389</v>
      </c>
      <c r="I730" s="141" t="s">
        <v>2390</v>
      </c>
      <c r="J730" s="142" t="s">
        <v>2391</v>
      </c>
      <c r="K730" s="142" t="s">
        <v>863</v>
      </c>
      <c r="L730" s="143">
        <f t="shared" si="22"/>
        <v>1</v>
      </c>
      <c r="M730" s="144" t="s">
        <v>2396</v>
      </c>
      <c r="N730" s="141" t="s">
        <v>2373</v>
      </c>
      <c r="O730" s="142" t="s">
        <v>2374</v>
      </c>
      <c r="P730" s="141" t="s">
        <v>2262</v>
      </c>
      <c r="Q730" s="142" t="s">
        <v>2376</v>
      </c>
      <c r="R730" s="141" t="s">
        <v>2305</v>
      </c>
      <c r="S730" s="142" t="s">
        <v>2389</v>
      </c>
      <c r="T730" s="141" t="s">
        <v>2307</v>
      </c>
      <c r="U730" s="142" t="s">
        <v>2391</v>
      </c>
      <c r="V730" s="142" t="s">
        <v>863</v>
      </c>
      <c r="W730" s="141">
        <f t="shared" si="23"/>
        <v>2</v>
      </c>
      <c r="X730" s="143">
        <v>2</v>
      </c>
      <c r="Y730" s="145" t="s">
        <v>2380</v>
      </c>
      <c r="AA730"/>
    </row>
    <row r="731" spans="1:27" s="115" customFormat="1" ht="27" customHeight="1">
      <c r="A731" s="139">
        <v>704</v>
      </c>
      <c r="B731" s="140" t="s">
        <v>5214</v>
      </c>
      <c r="C731" s="141" t="s">
        <v>2373</v>
      </c>
      <c r="D731" s="142" t="s">
        <v>2374</v>
      </c>
      <c r="E731" s="141" t="s">
        <v>2375</v>
      </c>
      <c r="F731" s="142" t="s">
        <v>2376</v>
      </c>
      <c r="G731" s="141" t="s">
        <v>2388</v>
      </c>
      <c r="H731" s="142" t="s">
        <v>2389</v>
      </c>
      <c r="I731" s="141" t="s">
        <v>2390</v>
      </c>
      <c r="J731" s="142" t="s">
        <v>2391</v>
      </c>
      <c r="K731" s="142" t="s">
        <v>861</v>
      </c>
      <c r="L731" s="143">
        <f t="shared" si="22"/>
        <v>1</v>
      </c>
      <c r="M731" s="144" t="s">
        <v>2394</v>
      </c>
      <c r="N731" s="141" t="s">
        <v>2373</v>
      </c>
      <c r="O731" s="142" t="s">
        <v>2374</v>
      </c>
      <c r="P731" s="141" t="s">
        <v>2262</v>
      </c>
      <c r="Q731" s="142" t="s">
        <v>2376</v>
      </c>
      <c r="R731" s="141" t="s">
        <v>2305</v>
      </c>
      <c r="S731" s="142" t="s">
        <v>2389</v>
      </c>
      <c r="T731" s="141" t="s">
        <v>2307</v>
      </c>
      <c r="U731" s="142" t="s">
        <v>2391</v>
      </c>
      <c r="V731" s="142" t="s">
        <v>861</v>
      </c>
      <c r="W731" s="141">
        <f t="shared" si="23"/>
        <v>3</v>
      </c>
      <c r="X731" s="143">
        <v>2</v>
      </c>
      <c r="Y731" s="145" t="s">
        <v>2380</v>
      </c>
      <c r="AA731"/>
    </row>
    <row r="732" spans="1:27" s="115" customFormat="1" ht="27" customHeight="1">
      <c r="A732" s="139">
        <v>705</v>
      </c>
      <c r="B732" s="140" t="s">
        <v>5215</v>
      </c>
      <c r="C732" s="141" t="s">
        <v>2373</v>
      </c>
      <c r="D732" s="142" t="s">
        <v>2374</v>
      </c>
      <c r="E732" s="141" t="s">
        <v>2375</v>
      </c>
      <c r="F732" s="142" t="s">
        <v>2376</v>
      </c>
      <c r="G732" s="141" t="s">
        <v>2388</v>
      </c>
      <c r="H732" s="142" t="s">
        <v>2389</v>
      </c>
      <c r="I732" s="141" t="s">
        <v>2390</v>
      </c>
      <c r="J732" s="142" t="s">
        <v>2391</v>
      </c>
      <c r="K732" s="142" t="s">
        <v>862</v>
      </c>
      <c r="L732" s="143">
        <f t="shared" si="22"/>
        <v>1</v>
      </c>
      <c r="M732" s="144">
        <v>45212</v>
      </c>
      <c r="N732" s="141" t="s">
        <v>2373</v>
      </c>
      <c r="O732" s="142" t="s">
        <v>2374</v>
      </c>
      <c r="P732" s="141" t="s">
        <v>2262</v>
      </c>
      <c r="Q732" s="142" t="s">
        <v>2376</v>
      </c>
      <c r="R732" s="141" t="s">
        <v>2305</v>
      </c>
      <c r="S732" s="142" t="s">
        <v>2389</v>
      </c>
      <c r="T732" s="141" t="s">
        <v>2307</v>
      </c>
      <c r="U732" s="142" t="s">
        <v>2391</v>
      </c>
      <c r="V732" s="142" t="s">
        <v>862</v>
      </c>
      <c r="W732" s="141">
        <f t="shared" si="23"/>
        <v>2</v>
      </c>
      <c r="X732" s="143">
        <v>2</v>
      </c>
      <c r="Y732" s="145" t="s">
        <v>2384</v>
      </c>
      <c r="AA732"/>
    </row>
    <row r="733" spans="1:27" s="115" customFormat="1" ht="27" customHeight="1">
      <c r="A733" s="139">
        <v>706</v>
      </c>
      <c r="B733" s="140" t="s">
        <v>5216</v>
      </c>
      <c r="C733" s="141" t="s">
        <v>2373</v>
      </c>
      <c r="D733" s="142" t="s">
        <v>2374</v>
      </c>
      <c r="E733" s="141" t="s">
        <v>2375</v>
      </c>
      <c r="F733" s="142" t="s">
        <v>2376</v>
      </c>
      <c r="G733" s="141" t="s">
        <v>2388</v>
      </c>
      <c r="H733" s="142" t="s">
        <v>2389</v>
      </c>
      <c r="I733" s="141" t="s">
        <v>2390</v>
      </c>
      <c r="J733" s="142" t="s">
        <v>2391</v>
      </c>
      <c r="K733" s="142" t="s">
        <v>863</v>
      </c>
      <c r="L733" s="143">
        <f t="shared" si="22"/>
        <v>1</v>
      </c>
      <c r="M733" s="144" t="s">
        <v>2396</v>
      </c>
      <c r="N733" s="141" t="s">
        <v>2373</v>
      </c>
      <c r="O733" s="142" t="s">
        <v>2374</v>
      </c>
      <c r="P733" s="141" t="s">
        <v>2262</v>
      </c>
      <c r="Q733" s="142" t="s">
        <v>2376</v>
      </c>
      <c r="R733" s="141" t="s">
        <v>2305</v>
      </c>
      <c r="S733" s="142" t="s">
        <v>2389</v>
      </c>
      <c r="T733" s="141" t="s">
        <v>2307</v>
      </c>
      <c r="U733" s="142" t="s">
        <v>2391</v>
      </c>
      <c r="V733" s="142" t="s">
        <v>863</v>
      </c>
      <c r="W733" s="141">
        <f t="shared" si="23"/>
        <v>2</v>
      </c>
      <c r="X733" s="143">
        <v>2</v>
      </c>
      <c r="Y733" s="145" t="s">
        <v>2384</v>
      </c>
      <c r="AA733"/>
    </row>
    <row r="734" spans="1:27" s="115" customFormat="1" ht="27" customHeight="1">
      <c r="A734" s="139">
        <v>707</v>
      </c>
      <c r="B734" s="140" t="s">
        <v>5217</v>
      </c>
      <c r="C734" s="141" t="s">
        <v>2373</v>
      </c>
      <c r="D734" s="142" t="s">
        <v>2374</v>
      </c>
      <c r="E734" s="141" t="s">
        <v>2375</v>
      </c>
      <c r="F734" s="142" t="s">
        <v>2376</v>
      </c>
      <c r="G734" s="141" t="s">
        <v>2388</v>
      </c>
      <c r="H734" s="142" t="s">
        <v>2389</v>
      </c>
      <c r="I734" s="141" t="s">
        <v>2390</v>
      </c>
      <c r="J734" s="142" t="s">
        <v>2391</v>
      </c>
      <c r="K734" s="142" t="s">
        <v>861</v>
      </c>
      <c r="L734" s="143">
        <f t="shared" si="22"/>
        <v>1</v>
      </c>
      <c r="M734" s="144" t="s">
        <v>2394</v>
      </c>
      <c r="N734" s="141" t="s">
        <v>2373</v>
      </c>
      <c r="O734" s="142" t="s">
        <v>2374</v>
      </c>
      <c r="P734" s="141" t="s">
        <v>2262</v>
      </c>
      <c r="Q734" s="142" t="s">
        <v>2376</v>
      </c>
      <c r="R734" s="141" t="s">
        <v>2305</v>
      </c>
      <c r="S734" s="142" t="s">
        <v>2389</v>
      </c>
      <c r="T734" s="141" t="s">
        <v>2307</v>
      </c>
      <c r="U734" s="142" t="s">
        <v>2391</v>
      </c>
      <c r="V734" s="142" t="s">
        <v>861</v>
      </c>
      <c r="W734" s="141">
        <f t="shared" si="23"/>
        <v>3</v>
      </c>
      <c r="X734" s="143">
        <v>2</v>
      </c>
      <c r="Y734" s="145" t="s">
        <v>2384</v>
      </c>
      <c r="AA734"/>
    </row>
    <row r="735" spans="1:27" s="115" customFormat="1" ht="27" customHeight="1">
      <c r="A735" s="139">
        <v>708</v>
      </c>
      <c r="B735" s="140" t="s">
        <v>5218</v>
      </c>
      <c r="C735" s="141" t="s">
        <v>2373</v>
      </c>
      <c r="D735" s="142" t="s">
        <v>2374</v>
      </c>
      <c r="E735" s="141" t="s">
        <v>2375</v>
      </c>
      <c r="F735" s="142" t="s">
        <v>2376</v>
      </c>
      <c r="G735" s="141" t="s">
        <v>2397</v>
      </c>
      <c r="H735" s="142" t="s">
        <v>2398</v>
      </c>
      <c r="I735" s="141" t="s">
        <v>2399</v>
      </c>
      <c r="J735" s="142" t="s">
        <v>2398</v>
      </c>
      <c r="K735" s="142" t="s">
        <v>176</v>
      </c>
      <c r="L735" s="143">
        <f t="shared" si="22"/>
        <v>1</v>
      </c>
      <c r="M735" s="144" t="s">
        <v>2400</v>
      </c>
      <c r="N735" s="141" t="s">
        <v>2373</v>
      </c>
      <c r="O735" s="142" t="s">
        <v>2374</v>
      </c>
      <c r="P735" s="141" t="s">
        <v>2262</v>
      </c>
      <c r="Q735" s="142" t="s">
        <v>2376</v>
      </c>
      <c r="R735" s="141" t="s">
        <v>2368</v>
      </c>
      <c r="S735" s="142" t="s">
        <v>2398</v>
      </c>
      <c r="T735" s="141" t="s">
        <v>2369</v>
      </c>
      <c r="U735" s="142" t="s">
        <v>2398</v>
      </c>
      <c r="V735" s="142" t="s">
        <v>176</v>
      </c>
      <c r="W735" s="141">
        <f t="shared" si="23"/>
        <v>1</v>
      </c>
      <c r="X735" s="143"/>
      <c r="Y735" s="145"/>
      <c r="AA735"/>
    </row>
    <row r="736" spans="1:27" s="115" customFormat="1" ht="27" customHeight="1">
      <c r="A736" s="139">
        <v>709</v>
      </c>
      <c r="B736" s="140" t="s">
        <v>5219</v>
      </c>
      <c r="C736" s="141" t="s">
        <v>2373</v>
      </c>
      <c r="D736" s="142" t="s">
        <v>2374</v>
      </c>
      <c r="E736" s="141" t="s">
        <v>2375</v>
      </c>
      <c r="F736" s="142" t="s">
        <v>2376</v>
      </c>
      <c r="G736" s="141" t="s">
        <v>2397</v>
      </c>
      <c r="H736" s="142" t="s">
        <v>2398</v>
      </c>
      <c r="I736" s="141" t="s">
        <v>2399</v>
      </c>
      <c r="J736" s="142" t="s">
        <v>2398</v>
      </c>
      <c r="K736" s="142" t="s">
        <v>177</v>
      </c>
      <c r="L736" s="143">
        <f t="shared" si="22"/>
        <v>1</v>
      </c>
      <c r="M736" s="144" t="s">
        <v>2401</v>
      </c>
      <c r="N736" s="141" t="s">
        <v>2373</v>
      </c>
      <c r="O736" s="142" t="s">
        <v>2374</v>
      </c>
      <c r="P736" s="141" t="s">
        <v>2262</v>
      </c>
      <c r="Q736" s="142" t="s">
        <v>2376</v>
      </c>
      <c r="R736" s="141" t="s">
        <v>2368</v>
      </c>
      <c r="S736" s="142" t="s">
        <v>2398</v>
      </c>
      <c r="T736" s="141" t="s">
        <v>2369</v>
      </c>
      <c r="U736" s="142" t="s">
        <v>2398</v>
      </c>
      <c r="V736" s="142" t="s">
        <v>177</v>
      </c>
      <c r="W736" s="141">
        <f t="shared" si="23"/>
        <v>1</v>
      </c>
      <c r="X736" s="143"/>
      <c r="Y736" s="145"/>
      <c r="AA736"/>
    </row>
    <row r="737" spans="1:27" s="115" customFormat="1" ht="13.5" customHeight="1">
      <c r="A737" s="139">
        <v>710</v>
      </c>
      <c r="B737" s="140" t="s">
        <v>5220</v>
      </c>
      <c r="C737" s="141" t="s">
        <v>2373</v>
      </c>
      <c r="D737" s="142" t="s">
        <v>2374</v>
      </c>
      <c r="E737" s="141" t="s">
        <v>2375</v>
      </c>
      <c r="F737" s="142" t="s">
        <v>2402</v>
      </c>
      <c r="G737" s="141" t="s">
        <v>2403</v>
      </c>
      <c r="H737" s="142" t="s">
        <v>2404</v>
      </c>
      <c r="I737" s="141" t="s">
        <v>2405</v>
      </c>
      <c r="J737" s="142" t="s">
        <v>2406</v>
      </c>
      <c r="K737" s="142" t="s">
        <v>864</v>
      </c>
      <c r="L737" s="143">
        <f t="shared" si="22"/>
        <v>1</v>
      </c>
      <c r="M737" s="144" t="s">
        <v>2407</v>
      </c>
      <c r="N737" s="141" t="s">
        <v>2373</v>
      </c>
      <c r="O737" s="142" t="s">
        <v>2374</v>
      </c>
      <c r="P737" s="141" t="s">
        <v>2408</v>
      </c>
      <c r="Q737" s="142" t="s">
        <v>2402</v>
      </c>
      <c r="R737" s="141" t="s">
        <v>2409</v>
      </c>
      <c r="S737" s="142" t="s">
        <v>2404</v>
      </c>
      <c r="T737" s="141" t="s">
        <v>2410</v>
      </c>
      <c r="U737" s="142" t="s">
        <v>2406</v>
      </c>
      <c r="V737" s="142" t="s">
        <v>864</v>
      </c>
      <c r="W737" s="141">
        <f t="shared" si="23"/>
        <v>1</v>
      </c>
      <c r="X737" s="143"/>
      <c r="Y737" s="145"/>
      <c r="AA737"/>
    </row>
    <row r="738" spans="1:27" s="115" customFormat="1" ht="27" customHeight="1">
      <c r="A738" s="139">
        <v>711</v>
      </c>
      <c r="B738" s="140" t="s">
        <v>5221</v>
      </c>
      <c r="C738" s="141" t="s">
        <v>2373</v>
      </c>
      <c r="D738" s="142" t="s">
        <v>2374</v>
      </c>
      <c r="E738" s="141" t="s">
        <v>2375</v>
      </c>
      <c r="F738" s="142" t="s">
        <v>2402</v>
      </c>
      <c r="G738" s="141" t="s">
        <v>2403</v>
      </c>
      <c r="H738" s="142" t="s">
        <v>2404</v>
      </c>
      <c r="I738" s="141" t="s">
        <v>2405</v>
      </c>
      <c r="J738" s="142" t="s">
        <v>2406</v>
      </c>
      <c r="K738" s="142" t="s">
        <v>865</v>
      </c>
      <c r="L738" s="143">
        <f t="shared" si="22"/>
        <v>1</v>
      </c>
      <c r="M738" s="144" t="s">
        <v>2411</v>
      </c>
      <c r="N738" s="141" t="s">
        <v>2373</v>
      </c>
      <c r="O738" s="142" t="s">
        <v>2374</v>
      </c>
      <c r="P738" s="141" t="s">
        <v>2408</v>
      </c>
      <c r="Q738" s="142" t="s">
        <v>2402</v>
      </c>
      <c r="R738" s="141" t="s">
        <v>2409</v>
      </c>
      <c r="S738" s="142" t="s">
        <v>2404</v>
      </c>
      <c r="T738" s="141" t="s">
        <v>2410</v>
      </c>
      <c r="U738" s="142" t="s">
        <v>2406</v>
      </c>
      <c r="V738" s="142" t="s">
        <v>865</v>
      </c>
      <c r="W738" s="141">
        <f t="shared" si="23"/>
        <v>1</v>
      </c>
      <c r="X738" s="143"/>
      <c r="Y738" s="145"/>
      <c r="AA738"/>
    </row>
    <row r="739" spans="1:27" s="115" customFormat="1" ht="13.5" customHeight="1">
      <c r="A739" s="139">
        <v>712</v>
      </c>
      <c r="B739" s="140" t="s">
        <v>5222</v>
      </c>
      <c r="C739" s="141" t="s">
        <v>2373</v>
      </c>
      <c r="D739" s="142" t="s">
        <v>2374</v>
      </c>
      <c r="E739" s="141" t="s">
        <v>2412</v>
      </c>
      <c r="F739" s="142" t="s">
        <v>2413</v>
      </c>
      <c r="G739" s="141" t="s">
        <v>2414</v>
      </c>
      <c r="H739" s="142" t="s">
        <v>2415</v>
      </c>
      <c r="I739" s="141" t="s">
        <v>2416</v>
      </c>
      <c r="J739" s="142" t="s">
        <v>2415</v>
      </c>
      <c r="K739" s="142" t="s">
        <v>866</v>
      </c>
      <c r="L739" s="143">
        <f t="shared" si="22"/>
        <v>1</v>
      </c>
      <c r="M739" s="144" t="s">
        <v>2417</v>
      </c>
      <c r="N739" s="141" t="s">
        <v>2373</v>
      </c>
      <c r="O739" s="142" t="s">
        <v>2374</v>
      </c>
      <c r="P739" s="141" t="s">
        <v>2418</v>
      </c>
      <c r="Q739" s="142" t="s">
        <v>2413</v>
      </c>
      <c r="R739" s="141" t="s">
        <v>2419</v>
      </c>
      <c r="S739" s="142" t="s">
        <v>2415</v>
      </c>
      <c r="T739" s="141" t="s">
        <v>2420</v>
      </c>
      <c r="U739" s="142" t="s">
        <v>2415</v>
      </c>
      <c r="V739" s="142" t="s">
        <v>866</v>
      </c>
      <c r="W739" s="141">
        <f t="shared" si="23"/>
        <v>3</v>
      </c>
      <c r="X739" s="143">
        <v>1</v>
      </c>
      <c r="Y739" s="145"/>
      <c r="AA739"/>
    </row>
    <row r="740" spans="1:27" s="115" customFormat="1" ht="13.5" customHeight="1">
      <c r="A740" s="139">
        <v>713</v>
      </c>
      <c r="B740" s="140" t="s">
        <v>5223</v>
      </c>
      <c r="C740" s="141" t="s">
        <v>2373</v>
      </c>
      <c r="D740" s="142" t="s">
        <v>2374</v>
      </c>
      <c r="E740" s="141" t="s">
        <v>2412</v>
      </c>
      <c r="F740" s="142" t="s">
        <v>2413</v>
      </c>
      <c r="G740" s="141" t="s">
        <v>2414</v>
      </c>
      <c r="H740" s="142" t="s">
        <v>2415</v>
      </c>
      <c r="I740" s="141" t="s">
        <v>2416</v>
      </c>
      <c r="J740" s="142" t="s">
        <v>2415</v>
      </c>
      <c r="K740" s="142" t="s">
        <v>866</v>
      </c>
      <c r="L740" s="143">
        <f t="shared" si="22"/>
        <v>1</v>
      </c>
      <c r="M740" s="144">
        <v>46101</v>
      </c>
      <c r="N740" s="141" t="s">
        <v>2373</v>
      </c>
      <c r="O740" s="142" t="s">
        <v>2374</v>
      </c>
      <c r="P740" s="141" t="s">
        <v>2418</v>
      </c>
      <c r="Q740" s="142" t="s">
        <v>2413</v>
      </c>
      <c r="R740" s="141" t="s">
        <v>2419</v>
      </c>
      <c r="S740" s="142" t="s">
        <v>2415</v>
      </c>
      <c r="T740" s="141" t="s">
        <v>2420</v>
      </c>
      <c r="U740" s="142" t="s">
        <v>2415</v>
      </c>
      <c r="V740" s="142" t="s">
        <v>866</v>
      </c>
      <c r="W740" s="141">
        <f t="shared" si="23"/>
        <v>3</v>
      </c>
      <c r="X740" s="143"/>
      <c r="Y740" s="145" t="s">
        <v>2421</v>
      </c>
      <c r="AA740"/>
    </row>
    <row r="741" spans="1:27" s="115" customFormat="1" ht="13.5" customHeight="1">
      <c r="A741" s="139">
        <v>714</v>
      </c>
      <c r="B741" s="140" t="s">
        <v>5224</v>
      </c>
      <c r="C741" s="141" t="s">
        <v>2373</v>
      </c>
      <c r="D741" s="142" t="s">
        <v>2374</v>
      </c>
      <c r="E741" s="141" t="s">
        <v>2412</v>
      </c>
      <c r="F741" s="142" t="s">
        <v>2413</v>
      </c>
      <c r="G741" s="141" t="s">
        <v>2414</v>
      </c>
      <c r="H741" s="142" t="s">
        <v>2415</v>
      </c>
      <c r="I741" s="141" t="s">
        <v>2416</v>
      </c>
      <c r="J741" s="142" t="s">
        <v>2415</v>
      </c>
      <c r="K741" s="142" t="s">
        <v>867</v>
      </c>
      <c r="L741" s="143">
        <f t="shared" si="22"/>
        <v>1</v>
      </c>
      <c r="M741" s="144" t="s">
        <v>2422</v>
      </c>
      <c r="N741" s="141" t="s">
        <v>2373</v>
      </c>
      <c r="O741" s="142" t="s">
        <v>2374</v>
      </c>
      <c r="P741" s="141" t="s">
        <v>2418</v>
      </c>
      <c r="Q741" s="142" t="s">
        <v>2413</v>
      </c>
      <c r="R741" s="141" t="s">
        <v>2419</v>
      </c>
      <c r="S741" s="142" t="s">
        <v>2415</v>
      </c>
      <c r="T741" s="141" t="s">
        <v>2420</v>
      </c>
      <c r="U741" s="142" t="s">
        <v>2415</v>
      </c>
      <c r="V741" s="142" t="s">
        <v>867</v>
      </c>
      <c r="W741" s="141">
        <f t="shared" si="23"/>
        <v>7</v>
      </c>
      <c r="X741" s="143"/>
      <c r="Y741" s="145" t="s">
        <v>2423</v>
      </c>
      <c r="AA741"/>
    </row>
    <row r="742" spans="1:27" s="115" customFormat="1" ht="27" customHeight="1">
      <c r="A742" s="139">
        <v>715</v>
      </c>
      <c r="B742" s="140" t="s">
        <v>5225</v>
      </c>
      <c r="C742" s="141" t="s">
        <v>2373</v>
      </c>
      <c r="D742" s="142" t="s">
        <v>2374</v>
      </c>
      <c r="E742" s="141" t="s">
        <v>2412</v>
      </c>
      <c r="F742" s="142" t="s">
        <v>2413</v>
      </c>
      <c r="G742" s="141" t="s">
        <v>2414</v>
      </c>
      <c r="H742" s="142" t="s">
        <v>2415</v>
      </c>
      <c r="I742" s="141" t="s">
        <v>2416</v>
      </c>
      <c r="J742" s="142" t="s">
        <v>2415</v>
      </c>
      <c r="K742" s="142" t="s">
        <v>867</v>
      </c>
      <c r="L742" s="143">
        <f t="shared" si="22"/>
        <v>1</v>
      </c>
      <c r="M742" s="144" t="s">
        <v>2422</v>
      </c>
      <c r="N742" s="141" t="s">
        <v>2373</v>
      </c>
      <c r="O742" s="142" t="s">
        <v>2374</v>
      </c>
      <c r="P742" s="141" t="s">
        <v>2418</v>
      </c>
      <c r="Q742" s="142" t="s">
        <v>2413</v>
      </c>
      <c r="R742" s="141" t="s">
        <v>2419</v>
      </c>
      <c r="S742" s="142" t="s">
        <v>2415</v>
      </c>
      <c r="T742" s="141" t="s">
        <v>2420</v>
      </c>
      <c r="U742" s="142" t="s">
        <v>2415</v>
      </c>
      <c r="V742" s="142" t="s">
        <v>867</v>
      </c>
      <c r="W742" s="141">
        <f t="shared" si="23"/>
        <v>7</v>
      </c>
      <c r="X742" s="143"/>
      <c r="Y742" s="145" t="s">
        <v>2424</v>
      </c>
      <c r="AA742"/>
    </row>
    <row r="743" spans="1:27" s="115" customFormat="1" ht="27" customHeight="1">
      <c r="A743" s="139">
        <v>716</v>
      </c>
      <c r="B743" s="140" t="s">
        <v>5226</v>
      </c>
      <c r="C743" s="141" t="s">
        <v>2373</v>
      </c>
      <c r="D743" s="142" t="s">
        <v>2374</v>
      </c>
      <c r="E743" s="141" t="s">
        <v>2412</v>
      </c>
      <c r="F743" s="142" t="s">
        <v>2413</v>
      </c>
      <c r="G743" s="141" t="s">
        <v>2414</v>
      </c>
      <c r="H743" s="142" t="s">
        <v>2415</v>
      </c>
      <c r="I743" s="141" t="s">
        <v>2416</v>
      </c>
      <c r="J743" s="142" t="s">
        <v>2415</v>
      </c>
      <c r="K743" s="148" t="s">
        <v>2425</v>
      </c>
      <c r="L743" s="143">
        <f t="shared" si="22"/>
        <v>6</v>
      </c>
      <c r="M743" s="144">
        <v>46103</v>
      </c>
      <c r="N743" s="149" t="s">
        <v>2373</v>
      </c>
      <c r="O743" s="148" t="s">
        <v>2374</v>
      </c>
      <c r="P743" s="149" t="s">
        <v>2418</v>
      </c>
      <c r="Q743" s="148" t="s">
        <v>2413</v>
      </c>
      <c r="R743" s="149" t="s">
        <v>2419</v>
      </c>
      <c r="S743" s="148" t="s">
        <v>2415</v>
      </c>
      <c r="T743" s="149" t="s">
        <v>2420</v>
      </c>
      <c r="U743" s="148" t="s">
        <v>2415</v>
      </c>
      <c r="V743" s="148" t="s">
        <v>2425</v>
      </c>
      <c r="W743" s="141">
        <f t="shared" si="23"/>
        <v>6</v>
      </c>
      <c r="X743" s="143">
        <v>1</v>
      </c>
      <c r="Y743" s="145"/>
    </row>
    <row r="744" spans="1:27" s="115" customFormat="1" ht="13.5" customHeight="1">
      <c r="A744" s="139">
        <v>716</v>
      </c>
      <c r="B744" s="140" t="s">
        <v>5226</v>
      </c>
      <c r="C744" s="141" t="s">
        <v>2373</v>
      </c>
      <c r="D744" s="142" t="s">
        <v>2374</v>
      </c>
      <c r="E744" s="141" t="s">
        <v>2412</v>
      </c>
      <c r="F744" s="142" t="s">
        <v>2413</v>
      </c>
      <c r="G744" s="141" t="s">
        <v>2414</v>
      </c>
      <c r="H744" s="142" t="s">
        <v>2415</v>
      </c>
      <c r="I744" s="141" t="s">
        <v>2416</v>
      </c>
      <c r="J744" s="142" t="s">
        <v>2415</v>
      </c>
      <c r="K744" s="148" t="s">
        <v>2426</v>
      </c>
      <c r="L744" s="143">
        <f t="shared" si="22"/>
        <v>6</v>
      </c>
      <c r="M744" s="144">
        <v>46104</v>
      </c>
      <c r="N744" s="149" t="s">
        <v>2373</v>
      </c>
      <c r="O744" s="148" t="s">
        <v>2374</v>
      </c>
      <c r="P744" s="149" t="s">
        <v>2418</v>
      </c>
      <c r="Q744" s="148" t="s">
        <v>2413</v>
      </c>
      <c r="R744" s="149" t="s">
        <v>2419</v>
      </c>
      <c r="S744" s="148" t="s">
        <v>2415</v>
      </c>
      <c r="T744" s="149" t="s">
        <v>2420</v>
      </c>
      <c r="U744" s="148" t="s">
        <v>2415</v>
      </c>
      <c r="V744" s="148" t="s">
        <v>2427</v>
      </c>
      <c r="W744" s="141">
        <f t="shared" si="23"/>
        <v>6</v>
      </c>
      <c r="X744" s="143">
        <v>1</v>
      </c>
      <c r="Y744" s="145"/>
    </row>
    <row r="745" spans="1:27" s="115" customFormat="1" ht="27" customHeight="1">
      <c r="A745" s="139">
        <v>716</v>
      </c>
      <c r="B745" s="140" t="s">
        <v>5226</v>
      </c>
      <c r="C745" s="141" t="s">
        <v>2373</v>
      </c>
      <c r="D745" s="142" t="s">
        <v>2374</v>
      </c>
      <c r="E745" s="141" t="s">
        <v>2412</v>
      </c>
      <c r="F745" s="142" t="s">
        <v>2413</v>
      </c>
      <c r="G745" s="141" t="s">
        <v>2414</v>
      </c>
      <c r="H745" s="142" t="s">
        <v>2415</v>
      </c>
      <c r="I745" s="141" t="s">
        <v>2416</v>
      </c>
      <c r="J745" s="142" t="s">
        <v>2415</v>
      </c>
      <c r="K745" s="148" t="s">
        <v>2428</v>
      </c>
      <c r="L745" s="143">
        <f t="shared" si="22"/>
        <v>6</v>
      </c>
      <c r="M745" s="144">
        <v>46105</v>
      </c>
      <c r="N745" s="149" t="s">
        <v>2373</v>
      </c>
      <c r="O745" s="148" t="s">
        <v>2374</v>
      </c>
      <c r="P745" s="149" t="s">
        <v>2418</v>
      </c>
      <c r="Q745" s="148" t="s">
        <v>2413</v>
      </c>
      <c r="R745" s="149" t="s">
        <v>2419</v>
      </c>
      <c r="S745" s="148" t="s">
        <v>2415</v>
      </c>
      <c r="T745" s="149" t="s">
        <v>2420</v>
      </c>
      <c r="U745" s="148" t="s">
        <v>2415</v>
      </c>
      <c r="V745" s="148" t="s">
        <v>2429</v>
      </c>
      <c r="W745" s="141">
        <f t="shared" si="23"/>
        <v>6</v>
      </c>
      <c r="X745" s="143">
        <v>1</v>
      </c>
      <c r="Y745" s="145"/>
    </row>
    <row r="746" spans="1:27" s="115" customFormat="1" ht="13.5" customHeight="1">
      <c r="A746" s="139">
        <v>716</v>
      </c>
      <c r="B746" s="140" t="s">
        <v>5226</v>
      </c>
      <c r="C746" s="141" t="s">
        <v>2373</v>
      </c>
      <c r="D746" s="142" t="s">
        <v>2374</v>
      </c>
      <c r="E746" s="141" t="s">
        <v>2412</v>
      </c>
      <c r="F746" s="142" t="s">
        <v>2413</v>
      </c>
      <c r="G746" s="141" t="s">
        <v>2414</v>
      </c>
      <c r="H746" s="142" t="s">
        <v>2415</v>
      </c>
      <c r="I746" s="141" t="s">
        <v>2416</v>
      </c>
      <c r="J746" s="142" t="s">
        <v>2415</v>
      </c>
      <c r="K746" s="148" t="s">
        <v>2430</v>
      </c>
      <c r="L746" s="143">
        <f t="shared" si="22"/>
        <v>6</v>
      </c>
      <c r="M746" s="144">
        <v>46106</v>
      </c>
      <c r="N746" s="149" t="s">
        <v>2373</v>
      </c>
      <c r="O746" s="148" t="s">
        <v>2374</v>
      </c>
      <c r="P746" s="149" t="s">
        <v>2418</v>
      </c>
      <c r="Q746" s="148" t="s">
        <v>2413</v>
      </c>
      <c r="R746" s="149" t="s">
        <v>2419</v>
      </c>
      <c r="S746" s="148" t="s">
        <v>2415</v>
      </c>
      <c r="T746" s="149" t="s">
        <v>2420</v>
      </c>
      <c r="U746" s="148" t="s">
        <v>2415</v>
      </c>
      <c r="V746" s="148" t="s">
        <v>2431</v>
      </c>
      <c r="W746" s="141">
        <f t="shared" si="23"/>
        <v>6</v>
      </c>
      <c r="X746" s="143">
        <v>1</v>
      </c>
      <c r="Y746" s="145"/>
    </row>
    <row r="747" spans="1:27" s="115" customFormat="1" ht="13.5" customHeight="1">
      <c r="A747" s="139">
        <v>716</v>
      </c>
      <c r="B747" s="140" t="s">
        <v>5226</v>
      </c>
      <c r="C747" s="141" t="s">
        <v>2373</v>
      </c>
      <c r="D747" s="142" t="s">
        <v>2374</v>
      </c>
      <c r="E747" s="141" t="s">
        <v>2412</v>
      </c>
      <c r="F747" s="142" t="s">
        <v>2413</v>
      </c>
      <c r="G747" s="141" t="s">
        <v>2414</v>
      </c>
      <c r="H747" s="142" t="s">
        <v>2415</v>
      </c>
      <c r="I747" s="141" t="s">
        <v>2416</v>
      </c>
      <c r="J747" s="142" t="s">
        <v>2415</v>
      </c>
      <c r="K747" s="148" t="s">
        <v>2432</v>
      </c>
      <c r="L747" s="143">
        <f t="shared" si="22"/>
        <v>6</v>
      </c>
      <c r="M747" s="144">
        <v>46107</v>
      </c>
      <c r="N747" s="149" t="s">
        <v>2373</v>
      </c>
      <c r="O747" s="148" t="s">
        <v>2374</v>
      </c>
      <c r="P747" s="149" t="s">
        <v>2418</v>
      </c>
      <c r="Q747" s="148" t="s">
        <v>2413</v>
      </c>
      <c r="R747" s="149" t="s">
        <v>2419</v>
      </c>
      <c r="S747" s="148" t="s">
        <v>2415</v>
      </c>
      <c r="T747" s="149" t="s">
        <v>2420</v>
      </c>
      <c r="U747" s="148" t="s">
        <v>2415</v>
      </c>
      <c r="V747" s="148" t="s">
        <v>2433</v>
      </c>
      <c r="W747" s="141">
        <f t="shared" si="23"/>
        <v>3</v>
      </c>
      <c r="X747" s="143">
        <v>1</v>
      </c>
      <c r="Y747" s="145"/>
    </row>
    <row r="748" spans="1:27" s="115" customFormat="1" ht="13.5" customHeight="1">
      <c r="A748" s="139">
        <v>716</v>
      </c>
      <c r="B748" s="140" t="s">
        <v>5226</v>
      </c>
      <c r="C748" s="141" t="s">
        <v>2373</v>
      </c>
      <c r="D748" s="142" t="s">
        <v>2374</v>
      </c>
      <c r="E748" s="141" t="s">
        <v>2412</v>
      </c>
      <c r="F748" s="142" t="s">
        <v>2413</v>
      </c>
      <c r="G748" s="141" t="s">
        <v>2414</v>
      </c>
      <c r="H748" s="142" t="s">
        <v>2415</v>
      </c>
      <c r="I748" s="141" t="s">
        <v>2416</v>
      </c>
      <c r="J748" s="142" t="s">
        <v>2415</v>
      </c>
      <c r="K748" s="148" t="s">
        <v>2434</v>
      </c>
      <c r="L748" s="143">
        <f t="shared" si="22"/>
        <v>6</v>
      </c>
      <c r="M748" s="144">
        <v>46109</v>
      </c>
      <c r="N748" s="149" t="s">
        <v>2373</v>
      </c>
      <c r="O748" s="148" t="s">
        <v>2374</v>
      </c>
      <c r="P748" s="149" t="s">
        <v>2418</v>
      </c>
      <c r="Q748" s="148" t="s">
        <v>2413</v>
      </c>
      <c r="R748" s="149" t="s">
        <v>2419</v>
      </c>
      <c r="S748" s="148" t="s">
        <v>2415</v>
      </c>
      <c r="T748" s="149" t="s">
        <v>2420</v>
      </c>
      <c r="U748" s="148" t="s">
        <v>2415</v>
      </c>
      <c r="V748" s="148" t="s">
        <v>2435</v>
      </c>
      <c r="W748" s="141">
        <f t="shared" si="23"/>
        <v>5</v>
      </c>
      <c r="X748" s="143">
        <v>1</v>
      </c>
      <c r="Y748" s="145"/>
    </row>
    <row r="749" spans="1:27" s="115" customFormat="1" ht="13.5" customHeight="1">
      <c r="A749" s="139">
        <v>717</v>
      </c>
      <c r="B749" s="140" t="s">
        <v>5227</v>
      </c>
      <c r="C749" s="141" t="s">
        <v>2373</v>
      </c>
      <c r="D749" s="142" t="s">
        <v>2374</v>
      </c>
      <c r="E749" s="141" t="s">
        <v>2412</v>
      </c>
      <c r="F749" s="142" t="s">
        <v>2413</v>
      </c>
      <c r="G749" s="141" t="s">
        <v>2414</v>
      </c>
      <c r="H749" s="142" t="s">
        <v>2415</v>
      </c>
      <c r="I749" s="141" t="s">
        <v>2416</v>
      </c>
      <c r="J749" s="142" t="s">
        <v>2415</v>
      </c>
      <c r="K749" s="148" t="s">
        <v>2425</v>
      </c>
      <c r="L749" s="143">
        <f t="shared" si="22"/>
        <v>5</v>
      </c>
      <c r="M749" s="144">
        <v>46103</v>
      </c>
      <c r="N749" s="149" t="s">
        <v>2373</v>
      </c>
      <c r="O749" s="148" t="s">
        <v>2374</v>
      </c>
      <c r="P749" s="149" t="s">
        <v>2418</v>
      </c>
      <c r="Q749" s="148" t="s">
        <v>2413</v>
      </c>
      <c r="R749" s="149" t="s">
        <v>2419</v>
      </c>
      <c r="S749" s="148" t="s">
        <v>2415</v>
      </c>
      <c r="T749" s="149" t="s">
        <v>2420</v>
      </c>
      <c r="U749" s="148" t="s">
        <v>2415</v>
      </c>
      <c r="V749" s="148" t="s">
        <v>2425</v>
      </c>
      <c r="W749" s="141">
        <f t="shared" si="23"/>
        <v>6</v>
      </c>
      <c r="X749" s="143"/>
      <c r="Y749" s="145" t="s">
        <v>2436</v>
      </c>
    </row>
    <row r="750" spans="1:27" s="115" customFormat="1" ht="13.5" customHeight="1">
      <c r="A750" s="139">
        <v>717</v>
      </c>
      <c r="B750" s="140" t="s">
        <v>5227</v>
      </c>
      <c r="C750" s="141" t="s">
        <v>2373</v>
      </c>
      <c r="D750" s="142" t="s">
        <v>2374</v>
      </c>
      <c r="E750" s="141" t="s">
        <v>2412</v>
      </c>
      <c r="F750" s="142" t="s">
        <v>2413</v>
      </c>
      <c r="G750" s="141" t="s">
        <v>2414</v>
      </c>
      <c r="H750" s="142" t="s">
        <v>2415</v>
      </c>
      <c r="I750" s="141" t="s">
        <v>2416</v>
      </c>
      <c r="J750" s="142" t="s">
        <v>2415</v>
      </c>
      <c r="K750" s="148" t="s">
        <v>2426</v>
      </c>
      <c r="L750" s="143">
        <f t="shared" si="22"/>
        <v>5</v>
      </c>
      <c r="M750" s="144">
        <v>46104</v>
      </c>
      <c r="N750" s="149" t="s">
        <v>2373</v>
      </c>
      <c r="O750" s="148" t="s">
        <v>2374</v>
      </c>
      <c r="P750" s="149" t="s">
        <v>2418</v>
      </c>
      <c r="Q750" s="148" t="s">
        <v>2413</v>
      </c>
      <c r="R750" s="149" t="s">
        <v>2419</v>
      </c>
      <c r="S750" s="148" t="s">
        <v>2415</v>
      </c>
      <c r="T750" s="149" t="s">
        <v>2420</v>
      </c>
      <c r="U750" s="148" t="s">
        <v>2415</v>
      </c>
      <c r="V750" s="148" t="s">
        <v>2427</v>
      </c>
      <c r="W750" s="141">
        <f t="shared" si="23"/>
        <v>6</v>
      </c>
      <c r="X750" s="143"/>
      <c r="Y750" s="145" t="s">
        <v>2436</v>
      </c>
    </row>
    <row r="751" spans="1:27" s="115" customFormat="1" ht="27" customHeight="1">
      <c r="A751" s="139">
        <v>717</v>
      </c>
      <c r="B751" s="140" t="s">
        <v>5227</v>
      </c>
      <c r="C751" s="141" t="s">
        <v>2373</v>
      </c>
      <c r="D751" s="142" t="s">
        <v>2374</v>
      </c>
      <c r="E751" s="141" t="s">
        <v>2412</v>
      </c>
      <c r="F751" s="142" t="s">
        <v>2413</v>
      </c>
      <c r="G751" s="141" t="s">
        <v>2414</v>
      </c>
      <c r="H751" s="142" t="s">
        <v>2415</v>
      </c>
      <c r="I751" s="141" t="s">
        <v>2416</v>
      </c>
      <c r="J751" s="142" t="s">
        <v>2415</v>
      </c>
      <c r="K751" s="148" t="s">
        <v>2428</v>
      </c>
      <c r="L751" s="143">
        <f t="shared" si="22"/>
        <v>5</v>
      </c>
      <c r="M751" s="144">
        <v>46105</v>
      </c>
      <c r="N751" s="149" t="s">
        <v>2373</v>
      </c>
      <c r="O751" s="148" t="s">
        <v>2374</v>
      </c>
      <c r="P751" s="149" t="s">
        <v>2418</v>
      </c>
      <c r="Q751" s="148" t="s">
        <v>2413</v>
      </c>
      <c r="R751" s="149" t="s">
        <v>2419</v>
      </c>
      <c r="S751" s="148" t="s">
        <v>2415</v>
      </c>
      <c r="T751" s="149" t="s">
        <v>2420</v>
      </c>
      <c r="U751" s="148" t="s">
        <v>2415</v>
      </c>
      <c r="V751" s="148" t="s">
        <v>2429</v>
      </c>
      <c r="W751" s="141">
        <f t="shared" si="23"/>
        <v>6</v>
      </c>
      <c r="X751" s="143"/>
      <c r="Y751" s="145" t="s">
        <v>2436</v>
      </c>
    </row>
    <row r="752" spans="1:27" s="115" customFormat="1" ht="13.5" customHeight="1">
      <c r="A752" s="139">
        <v>717</v>
      </c>
      <c r="B752" s="140" t="s">
        <v>5227</v>
      </c>
      <c r="C752" s="141" t="s">
        <v>2373</v>
      </c>
      <c r="D752" s="142" t="s">
        <v>2374</v>
      </c>
      <c r="E752" s="141" t="s">
        <v>2412</v>
      </c>
      <c r="F752" s="142" t="s">
        <v>2413</v>
      </c>
      <c r="G752" s="141" t="s">
        <v>2414</v>
      </c>
      <c r="H752" s="142" t="s">
        <v>2415</v>
      </c>
      <c r="I752" s="141" t="s">
        <v>2416</v>
      </c>
      <c r="J752" s="142" t="s">
        <v>2415</v>
      </c>
      <c r="K752" s="148" t="s">
        <v>2430</v>
      </c>
      <c r="L752" s="143">
        <f t="shared" si="22"/>
        <v>5</v>
      </c>
      <c r="M752" s="144">
        <v>46106</v>
      </c>
      <c r="N752" s="149" t="s">
        <v>2373</v>
      </c>
      <c r="O752" s="148" t="s">
        <v>2374</v>
      </c>
      <c r="P752" s="149" t="s">
        <v>2418</v>
      </c>
      <c r="Q752" s="148" t="s">
        <v>2413</v>
      </c>
      <c r="R752" s="149" t="s">
        <v>2419</v>
      </c>
      <c r="S752" s="148" t="s">
        <v>2415</v>
      </c>
      <c r="T752" s="149" t="s">
        <v>2420</v>
      </c>
      <c r="U752" s="148" t="s">
        <v>2415</v>
      </c>
      <c r="V752" s="148" t="s">
        <v>2431</v>
      </c>
      <c r="W752" s="141">
        <f t="shared" si="23"/>
        <v>6</v>
      </c>
      <c r="X752" s="143"/>
      <c r="Y752" s="145" t="s">
        <v>2436</v>
      </c>
    </row>
    <row r="753" spans="1:27" s="115" customFormat="1" ht="13.5" customHeight="1">
      <c r="A753" s="139">
        <v>717</v>
      </c>
      <c r="B753" s="140" t="s">
        <v>5227</v>
      </c>
      <c r="C753" s="141" t="s">
        <v>2373</v>
      </c>
      <c r="D753" s="142" t="s">
        <v>2374</v>
      </c>
      <c r="E753" s="141" t="s">
        <v>2412</v>
      </c>
      <c r="F753" s="142" t="s">
        <v>2413</v>
      </c>
      <c r="G753" s="141" t="s">
        <v>2414</v>
      </c>
      <c r="H753" s="142" t="s">
        <v>2415</v>
      </c>
      <c r="I753" s="141" t="s">
        <v>2416</v>
      </c>
      <c r="J753" s="142" t="s">
        <v>2415</v>
      </c>
      <c r="K753" s="148" t="s">
        <v>2434</v>
      </c>
      <c r="L753" s="143">
        <f t="shared" si="22"/>
        <v>5</v>
      </c>
      <c r="M753" s="144">
        <v>46109</v>
      </c>
      <c r="N753" s="149" t="s">
        <v>2373</v>
      </c>
      <c r="O753" s="148" t="s">
        <v>2374</v>
      </c>
      <c r="P753" s="149" t="s">
        <v>2418</v>
      </c>
      <c r="Q753" s="148" t="s">
        <v>2413</v>
      </c>
      <c r="R753" s="149" t="s">
        <v>2419</v>
      </c>
      <c r="S753" s="148" t="s">
        <v>2415</v>
      </c>
      <c r="T753" s="149" t="s">
        <v>2420</v>
      </c>
      <c r="U753" s="148" t="s">
        <v>2415</v>
      </c>
      <c r="V753" s="148" t="s">
        <v>2435</v>
      </c>
      <c r="W753" s="141">
        <f t="shared" si="23"/>
        <v>5</v>
      </c>
      <c r="X753" s="143"/>
      <c r="Y753" s="145" t="s">
        <v>2436</v>
      </c>
    </row>
    <row r="754" spans="1:27" s="115" customFormat="1" ht="13.5" customHeight="1">
      <c r="A754" s="139">
        <v>718</v>
      </c>
      <c r="B754" s="140" t="s">
        <v>5228</v>
      </c>
      <c r="C754" s="141" t="s">
        <v>2373</v>
      </c>
      <c r="D754" s="142" t="s">
        <v>2374</v>
      </c>
      <c r="E754" s="141" t="s">
        <v>2412</v>
      </c>
      <c r="F754" s="142" t="s">
        <v>2413</v>
      </c>
      <c r="G754" s="141" t="s">
        <v>2414</v>
      </c>
      <c r="H754" s="142" t="s">
        <v>2415</v>
      </c>
      <c r="I754" s="141" t="s">
        <v>2416</v>
      </c>
      <c r="J754" s="142" t="s">
        <v>2415</v>
      </c>
      <c r="K754" s="148" t="s">
        <v>2425</v>
      </c>
      <c r="L754" s="143">
        <f t="shared" si="22"/>
        <v>5</v>
      </c>
      <c r="M754" s="144">
        <v>46103</v>
      </c>
      <c r="N754" s="149" t="s">
        <v>2373</v>
      </c>
      <c r="O754" s="148" t="s">
        <v>2374</v>
      </c>
      <c r="P754" s="149" t="s">
        <v>2418</v>
      </c>
      <c r="Q754" s="148" t="s">
        <v>2413</v>
      </c>
      <c r="R754" s="149" t="s">
        <v>2419</v>
      </c>
      <c r="S754" s="148" t="s">
        <v>2415</v>
      </c>
      <c r="T754" s="149" t="s">
        <v>2420</v>
      </c>
      <c r="U754" s="148" t="s">
        <v>2415</v>
      </c>
      <c r="V754" s="148" t="s">
        <v>2425</v>
      </c>
      <c r="W754" s="141">
        <f t="shared" si="23"/>
        <v>6</v>
      </c>
      <c r="X754" s="143"/>
      <c r="Y754" s="145" t="s">
        <v>2437</v>
      </c>
      <c r="AA754"/>
    </row>
    <row r="755" spans="1:27" s="115" customFormat="1" ht="13.5" customHeight="1">
      <c r="A755" s="139">
        <v>718</v>
      </c>
      <c r="B755" s="140" t="s">
        <v>5228</v>
      </c>
      <c r="C755" s="141" t="s">
        <v>2373</v>
      </c>
      <c r="D755" s="142" t="s">
        <v>2374</v>
      </c>
      <c r="E755" s="141" t="s">
        <v>2412</v>
      </c>
      <c r="F755" s="142" t="s">
        <v>2413</v>
      </c>
      <c r="G755" s="141" t="s">
        <v>2414</v>
      </c>
      <c r="H755" s="142" t="s">
        <v>2415</v>
      </c>
      <c r="I755" s="141" t="s">
        <v>2416</v>
      </c>
      <c r="J755" s="142" t="s">
        <v>2415</v>
      </c>
      <c r="K755" s="148" t="s">
        <v>2427</v>
      </c>
      <c r="L755" s="143">
        <f t="shared" si="22"/>
        <v>5</v>
      </c>
      <c r="M755" s="144">
        <v>46104</v>
      </c>
      <c r="N755" s="149" t="s">
        <v>2373</v>
      </c>
      <c r="O755" s="148" t="s">
        <v>2374</v>
      </c>
      <c r="P755" s="149" t="s">
        <v>2418</v>
      </c>
      <c r="Q755" s="148" t="s">
        <v>2413</v>
      </c>
      <c r="R755" s="149" t="s">
        <v>2419</v>
      </c>
      <c r="S755" s="148" t="s">
        <v>2415</v>
      </c>
      <c r="T755" s="149" t="s">
        <v>2420</v>
      </c>
      <c r="U755" s="148" t="s">
        <v>2415</v>
      </c>
      <c r="V755" s="148" t="s">
        <v>2427</v>
      </c>
      <c r="W755" s="141">
        <f t="shared" si="23"/>
        <v>6</v>
      </c>
      <c r="X755" s="143"/>
      <c r="Y755" s="145" t="s">
        <v>2437</v>
      </c>
      <c r="AA755"/>
    </row>
    <row r="756" spans="1:27" s="115" customFormat="1" ht="27" customHeight="1">
      <c r="A756" s="139">
        <v>718</v>
      </c>
      <c r="B756" s="140" t="s">
        <v>5228</v>
      </c>
      <c r="C756" s="141" t="s">
        <v>2373</v>
      </c>
      <c r="D756" s="142" t="s">
        <v>2374</v>
      </c>
      <c r="E756" s="141" t="s">
        <v>2412</v>
      </c>
      <c r="F756" s="142" t="s">
        <v>2413</v>
      </c>
      <c r="G756" s="141" t="s">
        <v>2414</v>
      </c>
      <c r="H756" s="142" t="s">
        <v>2415</v>
      </c>
      <c r="I756" s="141" t="s">
        <v>2416</v>
      </c>
      <c r="J756" s="142" t="s">
        <v>2415</v>
      </c>
      <c r="K756" s="148" t="s">
        <v>2429</v>
      </c>
      <c r="L756" s="143">
        <f t="shared" si="22"/>
        <v>5</v>
      </c>
      <c r="M756" s="144">
        <v>46105</v>
      </c>
      <c r="N756" s="149" t="s">
        <v>2373</v>
      </c>
      <c r="O756" s="148" t="s">
        <v>2374</v>
      </c>
      <c r="P756" s="149" t="s">
        <v>2418</v>
      </c>
      <c r="Q756" s="148" t="s">
        <v>2413</v>
      </c>
      <c r="R756" s="149" t="s">
        <v>2419</v>
      </c>
      <c r="S756" s="148" t="s">
        <v>2415</v>
      </c>
      <c r="T756" s="149" t="s">
        <v>2420</v>
      </c>
      <c r="U756" s="148" t="s">
        <v>2415</v>
      </c>
      <c r="V756" s="148" t="s">
        <v>2429</v>
      </c>
      <c r="W756" s="141">
        <f t="shared" si="23"/>
        <v>6</v>
      </c>
      <c r="X756" s="143"/>
      <c r="Y756" s="145" t="s">
        <v>2437</v>
      </c>
      <c r="AA756"/>
    </row>
    <row r="757" spans="1:27" s="115" customFormat="1" ht="13.5" customHeight="1">
      <c r="A757" s="139">
        <v>718</v>
      </c>
      <c r="B757" s="140" t="s">
        <v>5228</v>
      </c>
      <c r="C757" s="141" t="s">
        <v>2373</v>
      </c>
      <c r="D757" s="142" t="s">
        <v>2374</v>
      </c>
      <c r="E757" s="141" t="s">
        <v>2412</v>
      </c>
      <c r="F757" s="142" t="s">
        <v>2413</v>
      </c>
      <c r="G757" s="141" t="s">
        <v>2414</v>
      </c>
      <c r="H757" s="142" t="s">
        <v>2415</v>
      </c>
      <c r="I757" s="141" t="s">
        <v>2416</v>
      </c>
      <c r="J757" s="142" t="s">
        <v>2415</v>
      </c>
      <c r="K757" s="148" t="s">
        <v>2431</v>
      </c>
      <c r="L757" s="143">
        <f t="shared" si="22"/>
        <v>5</v>
      </c>
      <c r="M757" s="144">
        <v>46106</v>
      </c>
      <c r="N757" s="149" t="s">
        <v>2373</v>
      </c>
      <c r="O757" s="148" t="s">
        <v>2374</v>
      </c>
      <c r="P757" s="149" t="s">
        <v>2418</v>
      </c>
      <c r="Q757" s="148" t="s">
        <v>2413</v>
      </c>
      <c r="R757" s="149" t="s">
        <v>2419</v>
      </c>
      <c r="S757" s="148" t="s">
        <v>2415</v>
      </c>
      <c r="T757" s="149" t="s">
        <v>2420</v>
      </c>
      <c r="U757" s="148" t="s">
        <v>2415</v>
      </c>
      <c r="V757" s="148" t="s">
        <v>2431</v>
      </c>
      <c r="W757" s="141">
        <f t="shared" si="23"/>
        <v>6</v>
      </c>
      <c r="X757" s="143"/>
      <c r="Y757" s="145" t="s">
        <v>2437</v>
      </c>
      <c r="AA757"/>
    </row>
    <row r="758" spans="1:27" s="115" customFormat="1" ht="13.5" customHeight="1">
      <c r="A758" s="139">
        <v>718</v>
      </c>
      <c r="B758" s="140" t="s">
        <v>5228</v>
      </c>
      <c r="C758" s="141" t="s">
        <v>2373</v>
      </c>
      <c r="D758" s="142" t="s">
        <v>2374</v>
      </c>
      <c r="E758" s="141" t="s">
        <v>2412</v>
      </c>
      <c r="F758" s="142" t="s">
        <v>2413</v>
      </c>
      <c r="G758" s="141" t="s">
        <v>2414</v>
      </c>
      <c r="H758" s="142" t="s">
        <v>2415</v>
      </c>
      <c r="I758" s="141" t="s">
        <v>2416</v>
      </c>
      <c r="J758" s="142" t="s">
        <v>2415</v>
      </c>
      <c r="K758" s="148" t="s">
        <v>2433</v>
      </c>
      <c r="L758" s="143">
        <f t="shared" si="22"/>
        <v>5</v>
      </c>
      <c r="M758" s="144">
        <v>46107</v>
      </c>
      <c r="N758" s="149" t="s">
        <v>2373</v>
      </c>
      <c r="O758" s="148" t="s">
        <v>2374</v>
      </c>
      <c r="P758" s="149" t="s">
        <v>2418</v>
      </c>
      <c r="Q758" s="148" t="s">
        <v>2413</v>
      </c>
      <c r="R758" s="149" t="s">
        <v>2419</v>
      </c>
      <c r="S758" s="148" t="s">
        <v>2415</v>
      </c>
      <c r="T758" s="149" t="s">
        <v>2420</v>
      </c>
      <c r="U758" s="148" t="s">
        <v>2415</v>
      </c>
      <c r="V758" s="148" t="s">
        <v>2433</v>
      </c>
      <c r="W758" s="141">
        <f t="shared" si="23"/>
        <v>3</v>
      </c>
      <c r="X758" s="143"/>
      <c r="Y758" s="145" t="s">
        <v>2437</v>
      </c>
      <c r="AA758"/>
    </row>
    <row r="759" spans="1:27" s="115" customFormat="1" ht="13.5" customHeight="1">
      <c r="A759" s="139">
        <v>719</v>
      </c>
      <c r="B759" s="140" t="s">
        <v>5229</v>
      </c>
      <c r="C759" s="141" t="s">
        <v>2373</v>
      </c>
      <c r="D759" s="142" t="s">
        <v>2374</v>
      </c>
      <c r="E759" s="141" t="s">
        <v>2412</v>
      </c>
      <c r="F759" s="142" t="s">
        <v>2413</v>
      </c>
      <c r="G759" s="141" t="s">
        <v>2414</v>
      </c>
      <c r="H759" s="142" t="s">
        <v>2415</v>
      </c>
      <c r="I759" s="141" t="s">
        <v>2416</v>
      </c>
      <c r="J759" s="142" t="s">
        <v>2415</v>
      </c>
      <c r="K759" s="142" t="s">
        <v>867</v>
      </c>
      <c r="L759" s="143">
        <f t="shared" si="22"/>
        <v>1</v>
      </c>
      <c r="M759" s="144" t="s">
        <v>2422</v>
      </c>
      <c r="N759" s="141" t="s">
        <v>2373</v>
      </c>
      <c r="O759" s="142" t="s">
        <v>2374</v>
      </c>
      <c r="P759" s="141" t="s">
        <v>2418</v>
      </c>
      <c r="Q759" s="142" t="s">
        <v>2413</v>
      </c>
      <c r="R759" s="141" t="s">
        <v>2419</v>
      </c>
      <c r="S759" s="142" t="s">
        <v>2415</v>
      </c>
      <c r="T759" s="141" t="s">
        <v>2420</v>
      </c>
      <c r="U759" s="142" t="s">
        <v>2415</v>
      </c>
      <c r="V759" s="142" t="s">
        <v>867</v>
      </c>
      <c r="W759" s="141">
        <f t="shared" si="23"/>
        <v>7</v>
      </c>
      <c r="X759" s="143"/>
      <c r="Y759" s="145" t="s">
        <v>2423</v>
      </c>
      <c r="AA759"/>
    </row>
    <row r="760" spans="1:27" s="115" customFormat="1" ht="13.5" customHeight="1">
      <c r="A760" s="139">
        <v>720</v>
      </c>
      <c r="B760" s="140" t="s">
        <v>5230</v>
      </c>
      <c r="C760" s="141" t="s">
        <v>2373</v>
      </c>
      <c r="D760" s="142" t="s">
        <v>2374</v>
      </c>
      <c r="E760" s="141" t="s">
        <v>2412</v>
      </c>
      <c r="F760" s="142" t="s">
        <v>2413</v>
      </c>
      <c r="G760" s="141" t="s">
        <v>2414</v>
      </c>
      <c r="H760" s="142" t="s">
        <v>2415</v>
      </c>
      <c r="I760" s="141" t="s">
        <v>2416</v>
      </c>
      <c r="J760" s="142" t="s">
        <v>2415</v>
      </c>
      <c r="K760" s="148" t="s">
        <v>2425</v>
      </c>
      <c r="L760" s="143">
        <f t="shared" si="22"/>
        <v>5</v>
      </c>
      <c r="M760" s="144">
        <v>46103</v>
      </c>
      <c r="N760" s="149" t="s">
        <v>2373</v>
      </c>
      <c r="O760" s="148" t="s">
        <v>2374</v>
      </c>
      <c r="P760" s="149" t="s">
        <v>2418</v>
      </c>
      <c r="Q760" s="148" t="s">
        <v>2413</v>
      </c>
      <c r="R760" s="149" t="s">
        <v>2419</v>
      </c>
      <c r="S760" s="148" t="s">
        <v>2415</v>
      </c>
      <c r="T760" s="149" t="s">
        <v>2420</v>
      </c>
      <c r="U760" s="148" t="s">
        <v>2415</v>
      </c>
      <c r="V760" s="148" t="s">
        <v>2425</v>
      </c>
      <c r="W760" s="141">
        <f t="shared" si="23"/>
        <v>6</v>
      </c>
      <c r="X760" s="143"/>
      <c r="Y760" s="145" t="s">
        <v>2438</v>
      </c>
      <c r="AA760"/>
    </row>
    <row r="761" spans="1:27" s="115" customFormat="1" ht="27" customHeight="1">
      <c r="A761" s="139">
        <v>720</v>
      </c>
      <c r="B761" s="140" t="s">
        <v>5230</v>
      </c>
      <c r="C761" s="141" t="s">
        <v>2373</v>
      </c>
      <c r="D761" s="142" t="s">
        <v>2374</v>
      </c>
      <c r="E761" s="141" t="s">
        <v>2412</v>
      </c>
      <c r="F761" s="142" t="s">
        <v>2413</v>
      </c>
      <c r="G761" s="141" t="s">
        <v>2414</v>
      </c>
      <c r="H761" s="142" t="s">
        <v>2415</v>
      </c>
      <c r="I761" s="141" t="s">
        <v>2416</v>
      </c>
      <c r="J761" s="142" t="s">
        <v>2415</v>
      </c>
      <c r="K761" s="148" t="s">
        <v>2427</v>
      </c>
      <c r="L761" s="143">
        <f t="shared" si="22"/>
        <v>5</v>
      </c>
      <c r="M761" s="144">
        <v>46104</v>
      </c>
      <c r="N761" s="149" t="s">
        <v>2373</v>
      </c>
      <c r="O761" s="148" t="s">
        <v>2374</v>
      </c>
      <c r="P761" s="149" t="s">
        <v>2418</v>
      </c>
      <c r="Q761" s="148" t="s">
        <v>2413</v>
      </c>
      <c r="R761" s="149" t="s">
        <v>2419</v>
      </c>
      <c r="S761" s="148" t="s">
        <v>2415</v>
      </c>
      <c r="T761" s="149" t="s">
        <v>2420</v>
      </c>
      <c r="U761" s="148" t="s">
        <v>2415</v>
      </c>
      <c r="V761" s="148" t="s">
        <v>2427</v>
      </c>
      <c r="W761" s="141">
        <f t="shared" si="23"/>
        <v>6</v>
      </c>
      <c r="X761" s="143"/>
      <c r="Y761" s="145" t="s">
        <v>2438</v>
      </c>
      <c r="AA761"/>
    </row>
    <row r="762" spans="1:27" s="115" customFormat="1" ht="13.5" customHeight="1">
      <c r="A762" s="139">
        <v>720</v>
      </c>
      <c r="B762" s="140" t="s">
        <v>5230</v>
      </c>
      <c r="C762" s="141" t="s">
        <v>2373</v>
      </c>
      <c r="D762" s="142" t="s">
        <v>2374</v>
      </c>
      <c r="E762" s="141" t="s">
        <v>2412</v>
      </c>
      <c r="F762" s="142" t="s">
        <v>2413</v>
      </c>
      <c r="G762" s="141" t="s">
        <v>2414</v>
      </c>
      <c r="H762" s="142" t="s">
        <v>2415</v>
      </c>
      <c r="I762" s="141" t="s">
        <v>2416</v>
      </c>
      <c r="J762" s="142" t="s">
        <v>2415</v>
      </c>
      <c r="K762" s="148" t="s">
        <v>2429</v>
      </c>
      <c r="L762" s="143">
        <f t="shared" si="22"/>
        <v>5</v>
      </c>
      <c r="M762" s="144">
        <v>46105</v>
      </c>
      <c r="N762" s="149" t="s">
        <v>2373</v>
      </c>
      <c r="O762" s="148" t="s">
        <v>2374</v>
      </c>
      <c r="P762" s="149" t="s">
        <v>2418</v>
      </c>
      <c r="Q762" s="148" t="s">
        <v>2413</v>
      </c>
      <c r="R762" s="149" t="s">
        <v>2419</v>
      </c>
      <c r="S762" s="148" t="s">
        <v>2415</v>
      </c>
      <c r="T762" s="149" t="s">
        <v>2420</v>
      </c>
      <c r="U762" s="148" t="s">
        <v>2415</v>
      </c>
      <c r="V762" s="148" t="s">
        <v>2429</v>
      </c>
      <c r="W762" s="141">
        <f t="shared" si="23"/>
        <v>6</v>
      </c>
      <c r="X762" s="143"/>
      <c r="Y762" s="145" t="s">
        <v>2438</v>
      </c>
      <c r="AA762"/>
    </row>
    <row r="763" spans="1:27" s="115" customFormat="1" ht="13.5" customHeight="1">
      <c r="A763" s="139">
        <v>720</v>
      </c>
      <c r="B763" s="140" t="s">
        <v>5230</v>
      </c>
      <c r="C763" s="141" t="s">
        <v>2373</v>
      </c>
      <c r="D763" s="142" t="s">
        <v>2374</v>
      </c>
      <c r="E763" s="141" t="s">
        <v>2412</v>
      </c>
      <c r="F763" s="142" t="s">
        <v>2413</v>
      </c>
      <c r="G763" s="141" t="s">
        <v>2414</v>
      </c>
      <c r="H763" s="142" t="s">
        <v>2415</v>
      </c>
      <c r="I763" s="141" t="s">
        <v>2416</v>
      </c>
      <c r="J763" s="142" t="s">
        <v>2415</v>
      </c>
      <c r="K763" s="148" t="s">
        <v>2431</v>
      </c>
      <c r="L763" s="143">
        <f t="shared" si="22"/>
        <v>5</v>
      </c>
      <c r="M763" s="144">
        <v>46106</v>
      </c>
      <c r="N763" s="149" t="s">
        <v>2373</v>
      </c>
      <c r="O763" s="148" t="s">
        <v>2374</v>
      </c>
      <c r="P763" s="149" t="s">
        <v>2418</v>
      </c>
      <c r="Q763" s="148" t="s">
        <v>2413</v>
      </c>
      <c r="R763" s="149" t="s">
        <v>2419</v>
      </c>
      <c r="S763" s="148" t="s">
        <v>2415</v>
      </c>
      <c r="T763" s="149" t="s">
        <v>2420</v>
      </c>
      <c r="U763" s="148" t="s">
        <v>2415</v>
      </c>
      <c r="V763" s="148" t="s">
        <v>2431</v>
      </c>
      <c r="W763" s="141">
        <f t="shared" si="23"/>
        <v>6</v>
      </c>
      <c r="X763" s="143"/>
      <c r="Y763" s="145" t="s">
        <v>2438</v>
      </c>
      <c r="AA763"/>
    </row>
    <row r="764" spans="1:27" s="115" customFormat="1" ht="13.5" customHeight="1">
      <c r="A764" s="139">
        <v>720</v>
      </c>
      <c r="B764" s="140" t="s">
        <v>5230</v>
      </c>
      <c r="C764" s="141" t="s">
        <v>2373</v>
      </c>
      <c r="D764" s="142" t="s">
        <v>2374</v>
      </c>
      <c r="E764" s="141" t="s">
        <v>2412</v>
      </c>
      <c r="F764" s="142" t="s">
        <v>2413</v>
      </c>
      <c r="G764" s="141" t="s">
        <v>2414</v>
      </c>
      <c r="H764" s="142" t="s">
        <v>2415</v>
      </c>
      <c r="I764" s="141" t="s">
        <v>2416</v>
      </c>
      <c r="J764" s="142" t="s">
        <v>2415</v>
      </c>
      <c r="K764" s="148" t="s">
        <v>2435</v>
      </c>
      <c r="L764" s="143">
        <f t="shared" si="22"/>
        <v>5</v>
      </c>
      <c r="M764" s="144">
        <v>46109</v>
      </c>
      <c r="N764" s="149" t="s">
        <v>2373</v>
      </c>
      <c r="O764" s="148" t="s">
        <v>2374</v>
      </c>
      <c r="P764" s="149" t="s">
        <v>2418</v>
      </c>
      <c r="Q764" s="148" t="s">
        <v>2413</v>
      </c>
      <c r="R764" s="149" t="s">
        <v>2419</v>
      </c>
      <c r="S764" s="148" t="s">
        <v>2415</v>
      </c>
      <c r="T764" s="149" t="s">
        <v>2420</v>
      </c>
      <c r="U764" s="148" t="s">
        <v>2415</v>
      </c>
      <c r="V764" s="148" t="s">
        <v>2435</v>
      </c>
      <c r="W764" s="141">
        <f t="shared" si="23"/>
        <v>5</v>
      </c>
      <c r="X764" s="143"/>
      <c r="Y764" s="145" t="s">
        <v>2438</v>
      </c>
      <c r="AA764"/>
    </row>
    <row r="765" spans="1:27" s="115" customFormat="1" ht="13.5" customHeight="1">
      <c r="A765" s="139">
        <v>721</v>
      </c>
      <c r="B765" s="140" t="s">
        <v>5231</v>
      </c>
      <c r="C765" s="141" t="s">
        <v>2373</v>
      </c>
      <c r="D765" s="142" t="s">
        <v>2374</v>
      </c>
      <c r="E765" s="141" t="s">
        <v>2412</v>
      </c>
      <c r="F765" s="142" t="s">
        <v>2413</v>
      </c>
      <c r="G765" s="141" t="s">
        <v>2414</v>
      </c>
      <c r="H765" s="142" t="s">
        <v>2415</v>
      </c>
      <c r="I765" s="141" t="s">
        <v>2416</v>
      </c>
      <c r="J765" s="142" t="s">
        <v>2415</v>
      </c>
      <c r="K765" s="142" t="s">
        <v>867</v>
      </c>
      <c r="L765" s="143">
        <f t="shared" si="22"/>
        <v>1</v>
      </c>
      <c r="M765" s="144" t="s">
        <v>2422</v>
      </c>
      <c r="N765" s="141" t="s">
        <v>2373</v>
      </c>
      <c r="O765" s="142" t="s">
        <v>2374</v>
      </c>
      <c r="P765" s="141" t="s">
        <v>2418</v>
      </c>
      <c r="Q765" s="142" t="s">
        <v>2413</v>
      </c>
      <c r="R765" s="141" t="s">
        <v>2419</v>
      </c>
      <c r="S765" s="142" t="s">
        <v>2415</v>
      </c>
      <c r="T765" s="141" t="s">
        <v>2420</v>
      </c>
      <c r="U765" s="142" t="s">
        <v>2415</v>
      </c>
      <c r="V765" s="142" t="s">
        <v>867</v>
      </c>
      <c r="W765" s="141">
        <f t="shared" si="23"/>
        <v>7</v>
      </c>
      <c r="X765" s="143"/>
      <c r="Y765" s="145" t="s">
        <v>2439</v>
      </c>
      <c r="AA765"/>
    </row>
    <row r="766" spans="1:27" s="115" customFormat="1" ht="27" customHeight="1">
      <c r="A766" s="139">
        <v>722</v>
      </c>
      <c r="B766" s="140" t="s">
        <v>5232</v>
      </c>
      <c r="C766" s="141" t="s">
        <v>2373</v>
      </c>
      <c r="D766" s="142" t="s">
        <v>2374</v>
      </c>
      <c r="E766" s="141" t="s">
        <v>2412</v>
      </c>
      <c r="F766" s="142" t="s">
        <v>2413</v>
      </c>
      <c r="G766" s="141" t="s">
        <v>2414</v>
      </c>
      <c r="H766" s="142" t="s">
        <v>2415</v>
      </c>
      <c r="I766" s="141" t="s">
        <v>2416</v>
      </c>
      <c r="J766" s="142" t="s">
        <v>2415</v>
      </c>
      <c r="K766" s="142" t="s">
        <v>867</v>
      </c>
      <c r="L766" s="143">
        <f t="shared" si="22"/>
        <v>1</v>
      </c>
      <c r="M766" s="144" t="s">
        <v>2422</v>
      </c>
      <c r="N766" s="141" t="s">
        <v>2373</v>
      </c>
      <c r="O766" s="142" t="s">
        <v>2374</v>
      </c>
      <c r="P766" s="141" t="s">
        <v>2418</v>
      </c>
      <c r="Q766" s="142" t="s">
        <v>2413</v>
      </c>
      <c r="R766" s="141" t="s">
        <v>2419</v>
      </c>
      <c r="S766" s="142" t="s">
        <v>2415</v>
      </c>
      <c r="T766" s="141" t="s">
        <v>2420</v>
      </c>
      <c r="U766" s="142" t="s">
        <v>2415</v>
      </c>
      <c r="V766" s="142" t="s">
        <v>867</v>
      </c>
      <c r="W766" s="141">
        <f t="shared" si="23"/>
        <v>7</v>
      </c>
      <c r="X766" s="143">
        <v>1</v>
      </c>
      <c r="Y766" s="145"/>
      <c r="AA766"/>
    </row>
    <row r="767" spans="1:27" s="115" customFormat="1" ht="13.5" customHeight="1">
      <c r="A767" s="139">
        <v>723</v>
      </c>
      <c r="B767" s="140" t="s">
        <v>5233</v>
      </c>
      <c r="C767" s="141" t="s">
        <v>2373</v>
      </c>
      <c r="D767" s="142" t="s">
        <v>2374</v>
      </c>
      <c r="E767" s="141" t="s">
        <v>2412</v>
      </c>
      <c r="F767" s="142" t="s">
        <v>2413</v>
      </c>
      <c r="G767" s="141" t="s">
        <v>2414</v>
      </c>
      <c r="H767" s="142" t="s">
        <v>2415</v>
      </c>
      <c r="I767" s="141" t="s">
        <v>2416</v>
      </c>
      <c r="J767" s="142" t="s">
        <v>2415</v>
      </c>
      <c r="K767" s="142" t="s">
        <v>867</v>
      </c>
      <c r="L767" s="143">
        <f t="shared" si="22"/>
        <v>1</v>
      </c>
      <c r="M767" s="144">
        <v>46102</v>
      </c>
      <c r="N767" s="141" t="s">
        <v>2373</v>
      </c>
      <c r="O767" s="142" t="s">
        <v>2374</v>
      </c>
      <c r="P767" s="141" t="s">
        <v>2418</v>
      </c>
      <c r="Q767" s="142" t="s">
        <v>2413</v>
      </c>
      <c r="R767" s="141" t="s">
        <v>2419</v>
      </c>
      <c r="S767" s="142" t="s">
        <v>2415</v>
      </c>
      <c r="T767" s="141" t="s">
        <v>2420</v>
      </c>
      <c r="U767" s="142" t="s">
        <v>2415</v>
      </c>
      <c r="V767" s="142" t="s">
        <v>867</v>
      </c>
      <c r="W767" s="141">
        <f t="shared" si="23"/>
        <v>7</v>
      </c>
      <c r="X767" s="143"/>
      <c r="Y767" s="145" t="s">
        <v>2440</v>
      </c>
      <c r="AA767"/>
    </row>
    <row r="768" spans="1:27" s="115" customFormat="1" ht="13.5" customHeight="1">
      <c r="A768" s="139">
        <v>724</v>
      </c>
      <c r="B768" s="140" t="s">
        <v>5234</v>
      </c>
      <c r="C768" s="141" t="s">
        <v>2373</v>
      </c>
      <c r="D768" s="142" t="s">
        <v>2374</v>
      </c>
      <c r="E768" s="141" t="s">
        <v>2412</v>
      </c>
      <c r="F768" s="142" t="s">
        <v>2413</v>
      </c>
      <c r="G768" s="141" t="s">
        <v>2441</v>
      </c>
      <c r="H768" s="142" t="s">
        <v>2442</v>
      </c>
      <c r="I768" s="141" t="s">
        <v>2443</v>
      </c>
      <c r="J768" s="142" t="s">
        <v>2442</v>
      </c>
      <c r="K768" s="142" t="s">
        <v>868</v>
      </c>
      <c r="L768" s="143">
        <f t="shared" si="22"/>
        <v>1</v>
      </c>
      <c r="M768" s="144" t="s">
        <v>2444</v>
      </c>
      <c r="N768" s="141" t="s">
        <v>2373</v>
      </c>
      <c r="O768" s="142" t="s">
        <v>2374</v>
      </c>
      <c r="P768" s="141" t="s">
        <v>2418</v>
      </c>
      <c r="Q768" s="142" t="s">
        <v>2413</v>
      </c>
      <c r="R768" s="141" t="s">
        <v>2445</v>
      </c>
      <c r="S768" s="142" t="s">
        <v>2442</v>
      </c>
      <c r="T768" s="141" t="s">
        <v>2446</v>
      </c>
      <c r="U768" s="142" t="s">
        <v>2442</v>
      </c>
      <c r="V768" s="142" t="s">
        <v>868</v>
      </c>
      <c r="W768" s="141">
        <f t="shared" si="23"/>
        <v>3</v>
      </c>
      <c r="X768" s="143">
        <v>2</v>
      </c>
      <c r="Y768" s="145" t="s">
        <v>2447</v>
      </c>
      <c r="AA768"/>
    </row>
    <row r="769" spans="1:27" s="115" customFormat="1" ht="27" customHeight="1">
      <c r="A769" s="139">
        <v>725</v>
      </c>
      <c r="B769" s="140" t="s">
        <v>5235</v>
      </c>
      <c r="C769" s="141" t="s">
        <v>2373</v>
      </c>
      <c r="D769" s="142" t="s">
        <v>2374</v>
      </c>
      <c r="E769" s="141" t="s">
        <v>2412</v>
      </c>
      <c r="F769" s="142" t="s">
        <v>2413</v>
      </c>
      <c r="G769" s="141" t="s">
        <v>2441</v>
      </c>
      <c r="H769" s="142" t="s">
        <v>2442</v>
      </c>
      <c r="I769" s="141" t="s">
        <v>2443</v>
      </c>
      <c r="J769" s="142" t="s">
        <v>2442</v>
      </c>
      <c r="K769" s="142" t="s">
        <v>868</v>
      </c>
      <c r="L769" s="143">
        <f t="shared" si="22"/>
        <v>1</v>
      </c>
      <c r="M769" s="144" t="s">
        <v>2444</v>
      </c>
      <c r="N769" s="141" t="s">
        <v>2373</v>
      </c>
      <c r="O769" s="142" t="s">
        <v>2374</v>
      </c>
      <c r="P769" s="141" t="s">
        <v>2418</v>
      </c>
      <c r="Q769" s="142" t="s">
        <v>2413</v>
      </c>
      <c r="R769" s="141" t="s">
        <v>2445</v>
      </c>
      <c r="S769" s="142" t="s">
        <v>2442</v>
      </c>
      <c r="T769" s="141" t="s">
        <v>2446</v>
      </c>
      <c r="U769" s="142" t="s">
        <v>2442</v>
      </c>
      <c r="V769" s="142" t="s">
        <v>868</v>
      </c>
      <c r="W769" s="141">
        <f t="shared" si="23"/>
        <v>3</v>
      </c>
      <c r="X769" s="143"/>
      <c r="Y769" s="145" t="s">
        <v>2448</v>
      </c>
      <c r="AA769"/>
    </row>
    <row r="770" spans="1:27" s="115" customFormat="1" ht="27" customHeight="1">
      <c r="A770" s="139">
        <v>726</v>
      </c>
      <c r="B770" s="140" t="s">
        <v>5236</v>
      </c>
      <c r="C770" s="141" t="s">
        <v>2373</v>
      </c>
      <c r="D770" s="142" t="s">
        <v>2374</v>
      </c>
      <c r="E770" s="141" t="s">
        <v>2412</v>
      </c>
      <c r="F770" s="142" t="s">
        <v>2413</v>
      </c>
      <c r="G770" s="141" t="s">
        <v>2441</v>
      </c>
      <c r="H770" s="142" t="s">
        <v>2442</v>
      </c>
      <c r="I770" s="141" t="s">
        <v>2443</v>
      </c>
      <c r="J770" s="142" t="s">
        <v>2442</v>
      </c>
      <c r="K770" s="142" t="s">
        <v>178</v>
      </c>
      <c r="L770" s="143">
        <f t="shared" si="22"/>
        <v>1</v>
      </c>
      <c r="M770" s="144" t="s">
        <v>2449</v>
      </c>
      <c r="N770" s="141" t="s">
        <v>2373</v>
      </c>
      <c r="O770" s="142" t="s">
        <v>2374</v>
      </c>
      <c r="P770" s="141" t="s">
        <v>2418</v>
      </c>
      <c r="Q770" s="142" t="s">
        <v>2413</v>
      </c>
      <c r="R770" s="141" t="s">
        <v>2445</v>
      </c>
      <c r="S770" s="142" t="s">
        <v>2442</v>
      </c>
      <c r="T770" s="141" t="s">
        <v>2446</v>
      </c>
      <c r="U770" s="142" t="s">
        <v>2442</v>
      </c>
      <c r="V770" s="142" t="s">
        <v>178</v>
      </c>
      <c r="W770" s="141">
        <f t="shared" si="23"/>
        <v>2</v>
      </c>
      <c r="X770" s="143">
        <v>2</v>
      </c>
      <c r="Y770" s="145" t="s">
        <v>2450</v>
      </c>
      <c r="AA770"/>
    </row>
    <row r="771" spans="1:27" s="115" customFormat="1" ht="27" customHeight="1">
      <c r="A771" s="139">
        <v>727</v>
      </c>
      <c r="B771" s="140" t="s">
        <v>5237</v>
      </c>
      <c r="C771" s="141" t="s">
        <v>2373</v>
      </c>
      <c r="D771" s="142" t="s">
        <v>2374</v>
      </c>
      <c r="E771" s="141" t="s">
        <v>2412</v>
      </c>
      <c r="F771" s="142" t="s">
        <v>2413</v>
      </c>
      <c r="G771" s="141" t="s">
        <v>2441</v>
      </c>
      <c r="H771" s="142" t="s">
        <v>2451</v>
      </c>
      <c r="I771" s="141" t="s">
        <v>2443</v>
      </c>
      <c r="J771" s="142" t="s">
        <v>2452</v>
      </c>
      <c r="K771" s="142" t="s">
        <v>182</v>
      </c>
      <c r="L771" s="143">
        <f t="shared" si="22"/>
        <v>1</v>
      </c>
      <c r="M771" s="144" t="s">
        <v>2453</v>
      </c>
      <c r="N771" s="141" t="s">
        <v>2373</v>
      </c>
      <c r="O771" s="142" t="s">
        <v>2374</v>
      </c>
      <c r="P771" s="141" t="s">
        <v>2418</v>
      </c>
      <c r="Q771" s="142" t="s">
        <v>2413</v>
      </c>
      <c r="R771" s="141" t="s">
        <v>2454</v>
      </c>
      <c r="S771" s="142" t="s">
        <v>2451</v>
      </c>
      <c r="T771" s="141" t="s">
        <v>2455</v>
      </c>
      <c r="U771" s="142" t="s">
        <v>2452</v>
      </c>
      <c r="V771" s="142" t="s">
        <v>182</v>
      </c>
      <c r="W771" s="141">
        <f t="shared" si="23"/>
        <v>8</v>
      </c>
      <c r="X771" s="143">
        <v>2</v>
      </c>
      <c r="Y771" s="145" t="s">
        <v>2456</v>
      </c>
      <c r="AA771"/>
    </row>
    <row r="772" spans="1:27" s="115" customFormat="1" ht="27" customHeight="1">
      <c r="A772" s="139">
        <v>728</v>
      </c>
      <c r="B772" s="140" t="s">
        <v>5238</v>
      </c>
      <c r="C772" s="141" t="s">
        <v>2373</v>
      </c>
      <c r="D772" s="142" t="s">
        <v>2374</v>
      </c>
      <c r="E772" s="141" t="s">
        <v>2412</v>
      </c>
      <c r="F772" s="142" t="s">
        <v>2413</v>
      </c>
      <c r="G772" s="141" t="s">
        <v>2441</v>
      </c>
      <c r="H772" s="142" t="s">
        <v>2442</v>
      </c>
      <c r="I772" s="141" t="s">
        <v>2443</v>
      </c>
      <c r="J772" s="142" t="s">
        <v>2442</v>
      </c>
      <c r="K772" s="142" t="s">
        <v>868</v>
      </c>
      <c r="L772" s="143">
        <f t="shared" si="22"/>
        <v>1</v>
      </c>
      <c r="M772" s="144" t="s">
        <v>2444</v>
      </c>
      <c r="N772" s="141" t="s">
        <v>2373</v>
      </c>
      <c r="O772" s="142" t="s">
        <v>2374</v>
      </c>
      <c r="P772" s="141" t="s">
        <v>2418</v>
      </c>
      <c r="Q772" s="142" t="s">
        <v>2413</v>
      </c>
      <c r="R772" s="141" t="s">
        <v>2445</v>
      </c>
      <c r="S772" s="142" t="s">
        <v>2442</v>
      </c>
      <c r="T772" s="141" t="s">
        <v>2446</v>
      </c>
      <c r="U772" s="142" t="s">
        <v>2442</v>
      </c>
      <c r="V772" s="142" t="s">
        <v>868</v>
      </c>
      <c r="W772" s="141">
        <f t="shared" si="23"/>
        <v>3</v>
      </c>
      <c r="X772" s="143">
        <v>2</v>
      </c>
      <c r="Y772" s="145" t="s">
        <v>2457</v>
      </c>
      <c r="AA772"/>
    </row>
    <row r="773" spans="1:27" s="115" customFormat="1" ht="27" customHeight="1">
      <c r="A773" s="139">
        <v>729</v>
      </c>
      <c r="B773" s="140" t="s">
        <v>5239</v>
      </c>
      <c r="C773" s="141" t="s">
        <v>2373</v>
      </c>
      <c r="D773" s="142" t="s">
        <v>2374</v>
      </c>
      <c r="E773" s="141" t="s">
        <v>2412</v>
      </c>
      <c r="F773" s="142" t="s">
        <v>2413</v>
      </c>
      <c r="G773" s="141" t="s">
        <v>2441</v>
      </c>
      <c r="H773" s="142" t="s">
        <v>2442</v>
      </c>
      <c r="I773" s="141" t="s">
        <v>2443</v>
      </c>
      <c r="J773" s="142" t="s">
        <v>2442</v>
      </c>
      <c r="K773" s="142" t="s">
        <v>179</v>
      </c>
      <c r="L773" s="143">
        <f t="shared" ref="L773:L836" si="24">COUNTIF($B$5:$B$1752,B773)</f>
        <v>1</v>
      </c>
      <c r="M773" s="144" t="s">
        <v>2458</v>
      </c>
      <c r="N773" s="141" t="s">
        <v>2373</v>
      </c>
      <c r="O773" s="142" t="s">
        <v>2374</v>
      </c>
      <c r="P773" s="141" t="s">
        <v>2418</v>
      </c>
      <c r="Q773" s="142" t="s">
        <v>2413</v>
      </c>
      <c r="R773" s="141" t="s">
        <v>2445</v>
      </c>
      <c r="S773" s="142" t="s">
        <v>2442</v>
      </c>
      <c r="T773" s="141" t="s">
        <v>2446</v>
      </c>
      <c r="U773" s="142" t="s">
        <v>2442</v>
      </c>
      <c r="V773" s="142" t="s">
        <v>179</v>
      </c>
      <c r="W773" s="141">
        <f t="shared" ref="W773:W836" si="25">COUNTIF($M$5:$M$1756,M773)</f>
        <v>1</v>
      </c>
      <c r="X773" s="143"/>
      <c r="Y773" s="145"/>
      <c r="AA773"/>
    </row>
    <row r="774" spans="1:27" s="115" customFormat="1" ht="27" customHeight="1">
      <c r="A774" s="139">
        <v>730</v>
      </c>
      <c r="B774" s="140" t="s">
        <v>5240</v>
      </c>
      <c r="C774" s="141" t="s">
        <v>2373</v>
      </c>
      <c r="D774" s="142" t="s">
        <v>2374</v>
      </c>
      <c r="E774" s="141" t="s">
        <v>2412</v>
      </c>
      <c r="F774" s="142" t="s">
        <v>2413</v>
      </c>
      <c r="G774" s="141" t="s">
        <v>2441</v>
      </c>
      <c r="H774" s="142" t="s">
        <v>2442</v>
      </c>
      <c r="I774" s="141" t="s">
        <v>2443</v>
      </c>
      <c r="J774" s="142" t="s">
        <v>2442</v>
      </c>
      <c r="K774" s="142" t="s">
        <v>869</v>
      </c>
      <c r="L774" s="143">
        <f t="shared" si="24"/>
        <v>1</v>
      </c>
      <c r="M774" s="144" t="s">
        <v>2459</v>
      </c>
      <c r="N774" s="141" t="s">
        <v>2373</v>
      </c>
      <c r="O774" s="142" t="s">
        <v>2374</v>
      </c>
      <c r="P774" s="141" t="s">
        <v>2418</v>
      </c>
      <c r="Q774" s="142" t="s">
        <v>2413</v>
      </c>
      <c r="R774" s="141" t="s">
        <v>2445</v>
      </c>
      <c r="S774" s="142" t="s">
        <v>2442</v>
      </c>
      <c r="T774" s="141" t="s">
        <v>2446</v>
      </c>
      <c r="U774" s="142" t="s">
        <v>2442</v>
      </c>
      <c r="V774" s="142" t="s">
        <v>869</v>
      </c>
      <c r="W774" s="141">
        <f t="shared" si="25"/>
        <v>3</v>
      </c>
      <c r="X774" s="143">
        <v>2</v>
      </c>
      <c r="Y774" s="145" t="s">
        <v>2460</v>
      </c>
      <c r="AA774"/>
    </row>
    <row r="775" spans="1:27" s="115" customFormat="1" ht="27" customHeight="1">
      <c r="A775" s="139">
        <v>731</v>
      </c>
      <c r="B775" s="140" t="s">
        <v>5241</v>
      </c>
      <c r="C775" s="141" t="s">
        <v>2373</v>
      </c>
      <c r="D775" s="142" t="s">
        <v>2374</v>
      </c>
      <c r="E775" s="141" t="s">
        <v>2412</v>
      </c>
      <c r="F775" s="142" t="s">
        <v>2413</v>
      </c>
      <c r="G775" s="141" t="s">
        <v>2441</v>
      </c>
      <c r="H775" s="142" t="s">
        <v>2442</v>
      </c>
      <c r="I775" s="141" t="s">
        <v>2443</v>
      </c>
      <c r="J775" s="142" t="s">
        <v>2442</v>
      </c>
      <c r="K775" s="142" t="s">
        <v>869</v>
      </c>
      <c r="L775" s="143">
        <f t="shared" si="24"/>
        <v>1</v>
      </c>
      <c r="M775" s="144" t="s">
        <v>2459</v>
      </c>
      <c r="N775" s="141" t="s">
        <v>2373</v>
      </c>
      <c r="O775" s="142" t="s">
        <v>2374</v>
      </c>
      <c r="P775" s="141" t="s">
        <v>2418</v>
      </c>
      <c r="Q775" s="142" t="s">
        <v>2413</v>
      </c>
      <c r="R775" s="141" t="s">
        <v>2445</v>
      </c>
      <c r="S775" s="142" t="s">
        <v>2442</v>
      </c>
      <c r="T775" s="141" t="s">
        <v>2446</v>
      </c>
      <c r="U775" s="142" t="s">
        <v>2442</v>
      </c>
      <c r="V775" s="142" t="s">
        <v>869</v>
      </c>
      <c r="W775" s="141">
        <f t="shared" si="25"/>
        <v>3</v>
      </c>
      <c r="X775" s="143">
        <v>2</v>
      </c>
      <c r="Y775" s="145" t="s">
        <v>2461</v>
      </c>
      <c r="AA775"/>
    </row>
    <row r="776" spans="1:27" s="115" customFormat="1" ht="27" customHeight="1">
      <c r="A776" s="139">
        <v>732</v>
      </c>
      <c r="B776" s="140" t="s">
        <v>5242</v>
      </c>
      <c r="C776" s="141" t="s">
        <v>2373</v>
      </c>
      <c r="D776" s="142" t="s">
        <v>2374</v>
      </c>
      <c r="E776" s="141" t="s">
        <v>2412</v>
      </c>
      <c r="F776" s="142" t="s">
        <v>2413</v>
      </c>
      <c r="G776" s="141" t="s">
        <v>2441</v>
      </c>
      <c r="H776" s="142" t="s">
        <v>2442</v>
      </c>
      <c r="I776" s="141" t="s">
        <v>2443</v>
      </c>
      <c r="J776" s="142" t="s">
        <v>2442</v>
      </c>
      <c r="K776" s="142" t="s">
        <v>869</v>
      </c>
      <c r="L776" s="143">
        <f t="shared" si="24"/>
        <v>1</v>
      </c>
      <c r="M776" s="144" t="s">
        <v>2459</v>
      </c>
      <c r="N776" s="141" t="s">
        <v>2373</v>
      </c>
      <c r="O776" s="142" t="s">
        <v>2374</v>
      </c>
      <c r="P776" s="141" t="s">
        <v>2418</v>
      </c>
      <c r="Q776" s="142" t="s">
        <v>2413</v>
      </c>
      <c r="R776" s="141" t="s">
        <v>2445</v>
      </c>
      <c r="S776" s="142" t="s">
        <v>2442</v>
      </c>
      <c r="T776" s="141" t="s">
        <v>2446</v>
      </c>
      <c r="U776" s="142" t="s">
        <v>2442</v>
      </c>
      <c r="V776" s="142" t="s">
        <v>869</v>
      </c>
      <c r="W776" s="141">
        <f t="shared" si="25"/>
        <v>3</v>
      </c>
      <c r="X776" s="143"/>
      <c r="Y776" s="145" t="s">
        <v>2462</v>
      </c>
      <c r="AA776"/>
    </row>
    <row r="777" spans="1:27" s="115" customFormat="1" ht="27" customHeight="1">
      <c r="A777" s="139">
        <v>733</v>
      </c>
      <c r="B777" s="140" t="s">
        <v>5243</v>
      </c>
      <c r="C777" s="141" t="s">
        <v>2373</v>
      </c>
      <c r="D777" s="142" t="s">
        <v>2374</v>
      </c>
      <c r="E777" s="141" t="s">
        <v>2412</v>
      </c>
      <c r="F777" s="142" t="s">
        <v>2413</v>
      </c>
      <c r="G777" s="141" t="s">
        <v>2441</v>
      </c>
      <c r="H777" s="142" t="s">
        <v>2442</v>
      </c>
      <c r="I777" s="141" t="s">
        <v>2443</v>
      </c>
      <c r="J777" s="142" t="s">
        <v>2442</v>
      </c>
      <c r="K777" s="142" t="s">
        <v>178</v>
      </c>
      <c r="L777" s="143">
        <f t="shared" si="24"/>
        <v>1</v>
      </c>
      <c r="M777" s="144" t="s">
        <v>2449</v>
      </c>
      <c r="N777" s="141" t="s">
        <v>2373</v>
      </c>
      <c r="O777" s="142" t="s">
        <v>2374</v>
      </c>
      <c r="P777" s="141" t="s">
        <v>2418</v>
      </c>
      <c r="Q777" s="142" t="s">
        <v>2413</v>
      </c>
      <c r="R777" s="141" t="s">
        <v>2445</v>
      </c>
      <c r="S777" s="142" t="s">
        <v>2442</v>
      </c>
      <c r="T777" s="141" t="s">
        <v>2446</v>
      </c>
      <c r="U777" s="142" t="s">
        <v>2442</v>
      </c>
      <c r="V777" s="142" t="s">
        <v>178</v>
      </c>
      <c r="W777" s="141">
        <f t="shared" si="25"/>
        <v>2</v>
      </c>
      <c r="X777" s="143">
        <v>2</v>
      </c>
      <c r="Y777" s="145" t="s">
        <v>2463</v>
      </c>
      <c r="AA777"/>
    </row>
    <row r="778" spans="1:27" s="115" customFormat="1" ht="27" customHeight="1">
      <c r="A778" s="139">
        <v>734</v>
      </c>
      <c r="B778" s="140" t="s">
        <v>5244</v>
      </c>
      <c r="C778" s="141" t="s">
        <v>2373</v>
      </c>
      <c r="D778" s="142" t="s">
        <v>2374</v>
      </c>
      <c r="E778" s="141" t="s">
        <v>2412</v>
      </c>
      <c r="F778" s="142" t="s">
        <v>2413</v>
      </c>
      <c r="G778" s="141" t="s">
        <v>2441</v>
      </c>
      <c r="H778" s="142" t="s">
        <v>2442</v>
      </c>
      <c r="I778" s="141" t="s">
        <v>2443</v>
      </c>
      <c r="J778" s="142" t="s">
        <v>2442</v>
      </c>
      <c r="K778" s="142" t="s">
        <v>870</v>
      </c>
      <c r="L778" s="143">
        <f t="shared" si="24"/>
        <v>1</v>
      </c>
      <c r="M778" s="144" t="s">
        <v>2464</v>
      </c>
      <c r="N778" s="141" t="s">
        <v>2373</v>
      </c>
      <c r="O778" s="142" t="s">
        <v>2374</v>
      </c>
      <c r="P778" s="141" t="s">
        <v>2418</v>
      </c>
      <c r="Q778" s="142" t="s">
        <v>2413</v>
      </c>
      <c r="R778" s="141" t="s">
        <v>2445</v>
      </c>
      <c r="S778" s="142" t="s">
        <v>2442</v>
      </c>
      <c r="T778" s="141" t="s">
        <v>2446</v>
      </c>
      <c r="U778" s="142" t="s">
        <v>2442</v>
      </c>
      <c r="V778" s="142" t="s">
        <v>870</v>
      </c>
      <c r="W778" s="141">
        <f t="shared" si="25"/>
        <v>2</v>
      </c>
      <c r="X778" s="143">
        <v>1</v>
      </c>
      <c r="Y778" s="145"/>
      <c r="AA778"/>
    </row>
    <row r="779" spans="1:27" s="115" customFormat="1" ht="27" customHeight="1">
      <c r="A779" s="139">
        <v>735</v>
      </c>
      <c r="B779" s="140" t="s">
        <v>5245</v>
      </c>
      <c r="C779" s="141" t="s">
        <v>2373</v>
      </c>
      <c r="D779" s="142" t="s">
        <v>2374</v>
      </c>
      <c r="E779" s="141" t="s">
        <v>2412</v>
      </c>
      <c r="F779" s="142" t="s">
        <v>2413</v>
      </c>
      <c r="G779" s="141" t="s">
        <v>2441</v>
      </c>
      <c r="H779" s="142" t="s">
        <v>2442</v>
      </c>
      <c r="I779" s="141" t="s">
        <v>2443</v>
      </c>
      <c r="J779" s="142" t="s">
        <v>2442</v>
      </c>
      <c r="K779" s="142" t="s">
        <v>871</v>
      </c>
      <c r="L779" s="143">
        <f t="shared" si="24"/>
        <v>1</v>
      </c>
      <c r="M779" s="144" t="s">
        <v>2465</v>
      </c>
      <c r="N779" s="141" t="s">
        <v>2373</v>
      </c>
      <c r="O779" s="142" t="s">
        <v>2374</v>
      </c>
      <c r="P779" s="141" t="s">
        <v>2418</v>
      </c>
      <c r="Q779" s="142" t="s">
        <v>2413</v>
      </c>
      <c r="R779" s="141" t="s">
        <v>2445</v>
      </c>
      <c r="S779" s="142" t="s">
        <v>2442</v>
      </c>
      <c r="T779" s="141" t="s">
        <v>2446</v>
      </c>
      <c r="U779" s="142" t="s">
        <v>2442</v>
      </c>
      <c r="V779" s="142" t="s">
        <v>871</v>
      </c>
      <c r="W779" s="141">
        <f t="shared" si="25"/>
        <v>3</v>
      </c>
      <c r="X779" s="143">
        <v>1</v>
      </c>
      <c r="Y779" s="145"/>
      <c r="AA779"/>
    </row>
    <row r="780" spans="1:27" s="115" customFormat="1" ht="27" customHeight="1">
      <c r="A780" s="139">
        <v>736</v>
      </c>
      <c r="B780" s="140" t="s">
        <v>5246</v>
      </c>
      <c r="C780" s="141" t="s">
        <v>2373</v>
      </c>
      <c r="D780" s="142" t="s">
        <v>2374</v>
      </c>
      <c r="E780" s="141" t="s">
        <v>2412</v>
      </c>
      <c r="F780" s="142" t="s">
        <v>2413</v>
      </c>
      <c r="G780" s="141" t="s">
        <v>2441</v>
      </c>
      <c r="H780" s="142" t="s">
        <v>2442</v>
      </c>
      <c r="I780" s="141" t="s">
        <v>2443</v>
      </c>
      <c r="J780" s="142" t="s">
        <v>2442</v>
      </c>
      <c r="K780" s="142" t="s">
        <v>870</v>
      </c>
      <c r="L780" s="143">
        <f t="shared" si="24"/>
        <v>1</v>
      </c>
      <c r="M780" s="144" t="s">
        <v>2464</v>
      </c>
      <c r="N780" s="141" t="s">
        <v>2373</v>
      </c>
      <c r="O780" s="142" t="s">
        <v>2374</v>
      </c>
      <c r="P780" s="141" t="s">
        <v>2418</v>
      </c>
      <c r="Q780" s="142" t="s">
        <v>2413</v>
      </c>
      <c r="R780" s="141" t="s">
        <v>2445</v>
      </c>
      <c r="S780" s="142" t="s">
        <v>2442</v>
      </c>
      <c r="T780" s="141" t="s">
        <v>2446</v>
      </c>
      <c r="U780" s="142" t="s">
        <v>2442</v>
      </c>
      <c r="V780" s="142" t="s">
        <v>870</v>
      </c>
      <c r="W780" s="141">
        <f t="shared" si="25"/>
        <v>2</v>
      </c>
      <c r="X780" s="143"/>
      <c r="Y780" s="145" t="s">
        <v>2466</v>
      </c>
      <c r="AA780"/>
    </row>
    <row r="781" spans="1:27" s="115" customFormat="1" ht="27" customHeight="1">
      <c r="A781" s="139">
        <v>737</v>
      </c>
      <c r="B781" s="140" t="s">
        <v>5247</v>
      </c>
      <c r="C781" s="141" t="s">
        <v>2373</v>
      </c>
      <c r="D781" s="142" t="s">
        <v>2374</v>
      </c>
      <c r="E781" s="141" t="s">
        <v>2412</v>
      </c>
      <c r="F781" s="142" t="s">
        <v>2413</v>
      </c>
      <c r="G781" s="141" t="s">
        <v>2441</v>
      </c>
      <c r="H781" s="142" t="s">
        <v>2451</v>
      </c>
      <c r="I781" s="141" t="s">
        <v>2467</v>
      </c>
      <c r="J781" s="142" t="s">
        <v>2468</v>
      </c>
      <c r="K781" s="142" t="s">
        <v>872</v>
      </c>
      <c r="L781" s="143">
        <f t="shared" si="24"/>
        <v>1</v>
      </c>
      <c r="M781" s="144" t="s">
        <v>2469</v>
      </c>
      <c r="N781" s="141" t="s">
        <v>2373</v>
      </c>
      <c r="O781" s="142" t="s">
        <v>2374</v>
      </c>
      <c r="P781" s="141" t="s">
        <v>2418</v>
      </c>
      <c r="Q781" s="142" t="s">
        <v>2413</v>
      </c>
      <c r="R781" s="141" t="s">
        <v>2454</v>
      </c>
      <c r="S781" s="142" t="s">
        <v>2451</v>
      </c>
      <c r="T781" s="141" t="s">
        <v>2470</v>
      </c>
      <c r="U781" s="142" t="s">
        <v>2468</v>
      </c>
      <c r="V781" s="142" t="s">
        <v>872</v>
      </c>
      <c r="W781" s="141">
        <f t="shared" si="25"/>
        <v>2</v>
      </c>
      <c r="X781" s="143">
        <v>1</v>
      </c>
      <c r="Y781" s="145"/>
      <c r="AA781"/>
    </row>
    <row r="782" spans="1:27" s="115" customFormat="1" ht="27" customHeight="1">
      <c r="A782" s="139">
        <v>738</v>
      </c>
      <c r="B782" s="140" t="s">
        <v>5248</v>
      </c>
      <c r="C782" s="141" t="s">
        <v>2373</v>
      </c>
      <c r="D782" s="142" t="s">
        <v>2374</v>
      </c>
      <c r="E782" s="141" t="s">
        <v>2412</v>
      </c>
      <c r="F782" s="142" t="s">
        <v>2413</v>
      </c>
      <c r="G782" s="141" t="s">
        <v>2441</v>
      </c>
      <c r="H782" s="142" t="s">
        <v>2451</v>
      </c>
      <c r="I782" s="141" t="s">
        <v>2467</v>
      </c>
      <c r="J782" s="142" t="s">
        <v>2468</v>
      </c>
      <c r="K782" s="142" t="s">
        <v>873</v>
      </c>
      <c r="L782" s="143">
        <f t="shared" si="24"/>
        <v>1</v>
      </c>
      <c r="M782" s="144" t="s">
        <v>2471</v>
      </c>
      <c r="N782" s="141" t="s">
        <v>2373</v>
      </c>
      <c r="O782" s="142" t="s">
        <v>2374</v>
      </c>
      <c r="P782" s="141" t="s">
        <v>2418</v>
      </c>
      <c r="Q782" s="142" t="s">
        <v>2413</v>
      </c>
      <c r="R782" s="141" t="s">
        <v>2454</v>
      </c>
      <c r="S782" s="142" t="s">
        <v>2451</v>
      </c>
      <c r="T782" s="141" t="s">
        <v>2470</v>
      </c>
      <c r="U782" s="142" t="s">
        <v>2468</v>
      </c>
      <c r="V782" s="142" t="s">
        <v>873</v>
      </c>
      <c r="W782" s="141">
        <f t="shared" si="25"/>
        <v>2</v>
      </c>
      <c r="X782" s="143">
        <v>1</v>
      </c>
      <c r="Y782" s="145"/>
      <c r="AA782"/>
    </row>
    <row r="783" spans="1:27" s="115" customFormat="1" ht="27" customHeight="1">
      <c r="A783" s="139">
        <v>739</v>
      </c>
      <c r="B783" s="140" t="s">
        <v>5249</v>
      </c>
      <c r="C783" s="141" t="s">
        <v>2373</v>
      </c>
      <c r="D783" s="142" t="s">
        <v>2374</v>
      </c>
      <c r="E783" s="141" t="s">
        <v>2412</v>
      </c>
      <c r="F783" s="142" t="s">
        <v>2413</v>
      </c>
      <c r="G783" s="141" t="s">
        <v>2441</v>
      </c>
      <c r="H783" s="142" t="s">
        <v>2451</v>
      </c>
      <c r="I783" s="141" t="s">
        <v>2467</v>
      </c>
      <c r="J783" s="142" t="s">
        <v>2468</v>
      </c>
      <c r="K783" s="142" t="s">
        <v>872</v>
      </c>
      <c r="L783" s="143">
        <f t="shared" si="24"/>
        <v>1</v>
      </c>
      <c r="M783" s="144" t="s">
        <v>2469</v>
      </c>
      <c r="N783" s="141" t="s">
        <v>2373</v>
      </c>
      <c r="O783" s="142" t="s">
        <v>2374</v>
      </c>
      <c r="P783" s="141" t="s">
        <v>2418</v>
      </c>
      <c r="Q783" s="142" t="s">
        <v>2413</v>
      </c>
      <c r="R783" s="141" t="s">
        <v>2454</v>
      </c>
      <c r="S783" s="142" t="s">
        <v>2451</v>
      </c>
      <c r="T783" s="141" t="s">
        <v>2470</v>
      </c>
      <c r="U783" s="142" t="s">
        <v>2468</v>
      </c>
      <c r="V783" s="142" t="s">
        <v>872</v>
      </c>
      <c r="W783" s="141">
        <f t="shared" si="25"/>
        <v>2</v>
      </c>
      <c r="X783" s="143"/>
      <c r="Y783" s="145" t="s">
        <v>2472</v>
      </c>
      <c r="AA783"/>
    </row>
    <row r="784" spans="1:27" s="115" customFormat="1" ht="27" customHeight="1">
      <c r="A784" s="139">
        <v>740</v>
      </c>
      <c r="B784" s="140" t="s">
        <v>5250</v>
      </c>
      <c r="C784" s="141" t="s">
        <v>2373</v>
      </c>
      <c r="D784" s="142" t="s">
        <v>2374</v>
      </c>
      <c r="E784" s="141" t="s">
        <v>2412</v>
      </c>
      <c r="F784" s="142" t="s">
        <v>2413</v>
      </c>
      <c r="G784" s="141" t="s">
        <v>2441</v>
      </c>
      <c r="H784" s="142" t="s">
        <v>2451</v>
      </c>
      <c r="I784" s="141" t="s">
        <v>2467</v>
      </c>
      <c r="J784" s="142" t="s">
        <v>2468</v>
      </c>
      <c r="K784" s="142" t="s">
        <v>873</v>
      </c>
      <c r="L784" s="143">
        <f t="shared" si="24"/>
        <v>1</v>
      </c>
      <c r="M784" s="144" t="s">
        <v>2471</v>
      </c>
      <c r="N784" s="141" t="s">
        <v>2373</v>
      </c>
      <c r="O784" s="142" t="s">
        <v>2374</v>
      </c>
      <c r="P784" s="141" t="s">
        <v>2418</v>
      </c>
      <c r="Q784" s="142" t="s">
        <v>2413</v>
      </c>
      <c r="R784" s="141" t="s">
        <v>2454</v>
      </c>
      <c r="S784" s="142" t="s">
        <v>2451</v>
      </c>
      <c r="T784" s="141" t="s">
        <v>2470</v>
      </c>
      <c r="U784" s="142" t="s">
        <v>2468</v>
      </c>
      <c r="V784" s="142" t="s">
        <v>873</v>
      </c>
      <c r="W784" s="141">
        <f t="shared" si="25"/>
        <v>2</v>
      </c>
      <c r="X784" s="143"/>
      <c r="Y784" s="145" t="s">
        <v>2473</v>
      </c>
      <c r="AA784"/>
    </row>
    <row r="785" spans="1:27" s="115" customFormat="1" ht="27" customHeight="1">
      <c r="A785" s="139">
        <v>741</v>
      </c>
      <c r="B785" s="140" t="s">
        <v>5251</v>
      </c>
      <c r="C785" s="141" t="s">
        <v>2373</v>
      </c>
      <c r="D785" s="142" t="s">
        <v>2374</v>
      </c>
      <c r="E785" s="141" t="s">
        <v>2412</v>
      </c>
      <c r="F785" s="142" t="s">
        <v>2413</v>
      </c>
      <c r="G785" s="141" t="s">
        <v>2441</v>
      </c>
      <c r="H785" s="142" t="s">
        <v>2442</v>
      </c>
      <c r="I785" s="141" t="s">
        <v>2467</v>
      </c>
      <c r="J785" s="142" t="s">
        <v>2442</v>
      </c>
      <c r="K785" s="142" t="s">
        <v>871</v>
      </c>
      <c r="L785" s="143">
        <f t="shared" si="24"/>
        <v>1</v>
      </c>
      <c r="M785" s="144" t="s">
        <v>2465</v>
      </c>
      <c r="N785" s="141" t="s">
        <v>2373</v>
      </c>
      <c r="O785" s="142" t="s">
        <v>2374</v>
      </c>
      <c r="P785" s="141" t="s">
        <v>2418</v>
      </c>
      <c r="Q785" s="142" t="s">
        <v>2413</v>
      </c>
      <c r="R785" s="141" t="s">
        <v>2445</v>
      </c>
      <c r="S785" s="142" t="s">
        <v>2442</v>
      </c>
      <c r="T785" s="141" t="s">
        <v>2446</v>
      </c>
      <c r="U785" s="142" t="s">
        <v>2442</v>
      </c>
      <c r="V785" s="142" t="s">
        <v>871</v>
      </c>
      <c r="W785" s="141">
        <f t="shared" si="25"/>
        <v>3</v>
      </c>
      <c r="X785" s="143"/>
      <c r="Y785" s="145" t="s">
        <v>2474</v>
      </c>
      <c r="AA785"/>
    </row>
    <row r="786" spans="1:27" s="115" customFormat="1" ht="27" customHeight="1">
      <c r="A786" s="139">
        <v>742</v>
      </c>
      <c r="B786" s="140" t="s">
        <v>5252</v>
      </c>
      <c r="C786" s="141" t="s">
        <v>2373</v>
      </c>
      <c r="D786" s="142" t="s">
        <v>2374</v>
      </c>
      <c r="E786" s="141" t="s">
        <v>2412</v>
      </c>
      <c r="F786" s="142" t="s">
        <v>2413</v>
      </c>
      <c r="G786" s="141" t="s">
        <v>2441</v>
      </c>
      <c r="H786" s="142" t="s">
        <v>2442</v>
      </c>
      <c r="I786" s="141" t="s">
        <v>2467</v>
      </c>
      <c r="J786" s="142" t="s">
        <v>2442</v>
      </c>
      <c r="K786" s="142" t="s">
        <v>871</v>
      </c>
      <c r="L786" s="143">
        <f t="shared" si="24"/>
        <v>1</v>
      </c>
      <c r="M786" s="144" t="s">
        <v>2465</v>
      </c>
      <c r="N786" s="141" t="s">
        <v>2373</v>
      </c>
      <c r="O786" s="142" t="s">
        <v>2374</v>
      </c>
      <c r="P786" s="141" t="s">
        <v>2418</v>
      </c>
      <c r="Q786" s="142" t="s">
        <v>2413</v>
      </c>
      <c r="R786" s="141" t="s">
        <v>2445</v>
      </c>
      <c r="S786" s="142" t="s">
        <v>2442</v>
      </c>
      <c r="T786" s="141" t="s">
        <v>2446</v>
      </c>
      <c r="U786" s="142" t="s">
        <v>2442</v>
      </c>
      <c r="V786" s="142" t="s">
        <v>871</v>
      </c>
      <c r="W786" s="141">
        <f t="shared" si="25"/>
        <v>3</v>
      </c>
      <c r="X786" s="143"/>
      <c r="Y786" s="145" t="s">
        <v>2475</v>
      </c>
      <c r="AA786"/>
    </row>
    <row r="787" spans="1:27" s="115" customFormat="1" ht="27" customHeight="1">
      <c r="A787" s="139">
        <v>743</v>
      </c>
      <c r="B787" s="140" t="s">
        <v>5253</v>
      </c>
      <c r="C787" s="141" t="s">
        <v>2373</v>
      </c>
      <c r="D787" s="142" t="s">
        <v>2374</v>
      </c>
      <c r="E787" s="141" t="s">
        <v>2412</v>
      </c>
      <c r="F787" s="142" t="s">
        <v>2413</v>
      </c>
      <c r="G787" s="141" t="s">
        <v>2441</v>
      </c>
      <c r="H787" s="142" t="s">
        <v>2451</v>
      </c>
      <c r="I787" s="141" t="s">
        <v>2467</v>
      </c>
      <c r="J787" s="142" t="s">
        <v>2468</v>
      </c>
      <c r="K787" s="142" t="s">
        <v>180</v>
      </c>
      <c r="L787" s="143">
        <f t="shared" si="24"/>
        <v>1</v>
      </c>
      <c r="M787" s="144">
        <v>46313</v>
      </c>
      <c r="N787" s="141" t="s">
        <v>2373</v>
      </c>
      <c r="O787" s="142" t="s">
        <v>2374</v>
      </c>
      <c r="P787" s="141" t="s">
        <v>2418</v>
      </c>
      <c r="Q787" s="142" t="s">
        <v>2413</v>
      </c>
      <c r="R787" s="141" t="s">
        <v>2454</v>
      </c>
      <c r="S787" s="142" t="s">
        <v>2451</v>
      </c>
      <c r="T787" s="141" t="s">
        <v>2470</v>
      </c>
      <c r="U787" s="142" t="s">
        <v>2468</v>
      </c>
      <c r="V787" s="142" t="s">
        <v>180</v>
      </c>
      <c r="W787" s="141">
        <f t="shared" si="25"/>
        <v>2</v>
      </c>
      <c r="X787" s="143">
        <v>1</v>
      </c>
      <c r="Y787" s="145"/>
      <c r="AA787"/>
    </row>
    <row r="788" spans="1:27" s="115" customFormat="1" ht="27" customHeight="1">
      <c r="A788" s="139">
        <v>744</v>
      </c>
      <c r="B788" s="140" t="s">
        <v>5254</v>
      </c>
      <c r="C788" s="141" t="s">
        <v>2373</v>
      </c>
      <c r="D788" s="142" t="s">
        <v>2374</v>
      </c>
      <c r="E788" s="141" t="s">
        <v>2412</v>
      </c>
      <c r="F788" s="142" t="s">
        <v>2413</v>
      </c>
      <c r="G788" s="141" t="s">
        <v>2441</v>
      </c>
      <c r="H788" s="142" t="s">
        <v>2451</v>
      </c>
      <c r="I788" s="141" t="s">
        <v>2467</v>
      </c>
      <c r="J788" s="142" t="s">
        <v>2468</v>
      </c>
      <c r="K788" s="142" t="s">
        <v>180</v>
      </c>
      <c r="L788" s="143">
        <f t="shared" si="24"/>
        <v>1</v>
      </c>
      <c r="M788" s="144" t="s">
        <v>2476</v>
      </c>
      <c r="N788" s="141" t="s">
        <v>2373</v>
      </c>
      <c r="O788" s="142" t="s">
        <v>2374</v>
      </c>
      <c r="P788" s="141" t="s">
        <v>2418</v>
      </c>
      <c r="Q788" s="142" t="s">
        <v>2413</v>
      </c>
      <c r="R788" s="141" t="s">
        <v>2454</v>
      </c>
      <c r="S788" s="142" t="s">
        <v>2451</v>
      </c>
      <c r="T788" s="141" t="s">
        <v>2470</v>
      </c>
      <c r="U788" s="142" t="s">
        <v>2468</v>
      </c>
      <c r="V788" s="142" t="s">
        <v>180</v>
      </c>
      <c r="W788" s="141">
        <f t="shared" si="25"/>
        <v>2</v>
      </c>
      <c r="X788" s="143"/>
      <c r="Y788" s="145" t="s">
        <v>2477</v>
      </c>
      <c r="AA788"/>
    </row>
    <row r="789" spans="1:27" s="115" customFormat="1" ht="27" customHeight="1">
      <c r="A789" s="139">
        <v>745</v>
      </c>
      <c r="B789" s="140" t="s">
        <v>5255</v>
      </c>
      <c r="C789" s="141" t="s">
        <v>2373</v>
      </c>
      <c r="D789" s="142" t="s">
        <v>2374</v>
      </c>
      <c r="E789" s="141" t="s">
        <v>2412</v>
      </c>
      <c r="F789" s="142" t="s">
        <v>2413</v>
      </c>
      <c r="G789" s="141" t="s">
        <v>2441</v>
      </c>
      <c r="H789" s="142" t="s">
        <v>2451</v>
      </c>
      <c r="I789" s="141" t="s">
        <v>2467</v>
      </c>
      <c r="J789" s="142" t="s">
        <v>2468</v>
      </c>
      <c r="K789" s="142" t="s">
        <v>874</v>
      </c>
      <c r="L789" s="143">
        <f t="shared" si="24"/>
        <v>1</v>
      </c>
      <c r="M789" s="144" t="s">
        <v>2478</v>
      </c>
      <c r="N789" s="141" t="s">
        <v>2373</v>
      </c>
      <c r="O789" s="142" t="s">
        <v>2374</v>
      </c>
      <c r="P789" s="141" t="s">
        <v>2418</v>
      </c>
      <c r="Q789" s="142" t="s">
        <v>2413</v>
      </c>
      <c r="R789" s="141" t="s">
        <v>2454</v>
      </c>
      <c r="S789" s="142" t="s">
        <v>2451</v>
      </c>
      <c r="T789" s="141" t="s">
        <v>2470</v>
      </c>
      <c r="U789" s="142" t="s">
        <v>2468</v>
      </c>
      <c r="V789" s="142" t="s">
        <v>874</v>
      </c>
      <c r="W789" s="141">
        <f t="shared" si="25"/>
        <v>4</v>
      </c>
      <c r="X789" s="143">
        <v>2</v>
      </c>
      <c r="Y789" s="145" t="s">
        <v>2479</v>
      </c>
      <c r="AA789"/>
    </row>
    <row r="790" spans="1:27" s="115" customFormat="1" ht="27" customHeight="1">
      <c r="A790" s="139">
        <v>746</v>
      </c>
      <c r="B790" s="140" t="s">
        <v>5256</v>
      </c>
      <c r="C790" s="141" t="s">
        <v>2373</v>
      </c>
      <c r="D790" s="142" t="s">
        <v>2374</v>
      </c>
      <c r="E790" s="141" t="s">
        <v>2412</v>
      </c>
      <c r="F790" s="142" t="s">
        <v>2413</v>
      </c>
      <c r="G790" s="141" t="s">
        <v>2441</v>
      </c>
      <c r="H790" s="142" t="s">
        <v>2451</v>
      </c>
      <c r="I790" s="141" t="s">
        <v>2467</v>
      </c>
      <c r="J790" s="142" t="s">
        <v>2468</v>
      </c>
      <c r="K790" s="142" t="s">
        <v>874</v>
      </c>
      <c r="L790" s="143">
        <f t="shared" si="24"/>
        <v>1</v>
      </c>
      <c r="M790" s="144" t="s">
        <v>2478</v>
      </c>
      <c r="N790" s="141" t="s">
        <v>2373</v>
      </c>
      <c r="O790" s="142" t="s">
        <v>2374</v>
      </c>
      <c r="P790" s="141" t="s">
        <v>2418</v>
      </c>
      <c r="Q790" s="142" t="s">
        <v>2413</v>
      </c>
      <c r="R790" s="141" t="s">
        <v>2454</v>
      </c>
      <c r="S790" s="142" t="s">
        <v>2451</v>
      </c>
      <c r="T790" s="141" t="s">
        <v>2470</v>
      </c>
      <c r="U790" s="142" t="s">
        <v>2468</v>
      </c>
      <c r="V790" s="142" t="s">
        <v>874</v>
      </c>
      <c r="W790" s="141">
        <f t="shared" si="25"/>
        <v>4</v>
      </c>
      <c r="X790" s="143">
        <v>2</v>
      </c>
      <c r="Y790" s="145" t="s">
        <v>2480</v>
      </c>
      <c r="AA790"/>
    </row>
    <row r="791" spans="1:27" s="115" customFormat="1" ht="27" customHeight="1">
      <c r="A791" s="139">
        <v>747</v>
      </c>
      <c r="B791" s="140" t="s">
        <v>5257</v>
      </c>
      <c r="C791" s="141" t="s">
        <v>2373</v>
      </c>
      <c r="D791" s="142" t="s">
        <v>2374</v>
      </c>
      <c r="E791" s="141" t="s">
        <v>2412</v>
      </c>
      <c r="F791" s="142" t="s">
        <v>2413</v>
      </c>
      <c r="G791" s="141" t="s">
        <v>2441</v>
      </c>
      <c r="H791" s="142" t="s">
        <v>2451</v>
      </c>
      <c r="I791" s="141" t="s">
        <v>2467</v>
      </c>
      <c r="J791" s="142" t="s">
        <v>2468</v>
      </c>
      <c r="K791" s="142" t="s">
        <v>875</v>
      </c>
      <c r="L791" s="143">
        <f t="shared" si="24"/>
        <v>1</v>
      </c>
      <c r="M791" s="144" t="s">
        <v>2481</v>
      </c>
      <c r="N791" s="141" t="s">
        <v>2373</v>
      </c>
      <c r="O791" s="142" t="s">
        <v>2374</v>
      </c>
      <c r="P791" s="141" t="s">
        <v>2418</v>
      </c>
      <c r="Q791" s="142" t="s">
        <v>2413</v>
      </c>
      <c r="R791" s="141" t="s">
        <v>2454</v>
      </c>
      <c r="S791" s="142" t="s">
        <v>2451</v>
      </c>
      <c r="T791" s="141" t="s">
        <v>2470</v>
      </c>
      <c r="U791" s="142" t="s">
        <v>2468</v>
      </c>
      <c r="V791" s="142" t="s">
        <v>875</v>
      </c>
      <c r="W791" s="141">
        <f t="shared" si="25"/>
        <v>2</v>
      </c>
      <c r="X791" s="143">
        <v>1</v>
      </c>
      <c r="Y791" s="145"/>
      <c r="AA791"/>
    </row>
    <row r="792" spans="1:27" s="115" customFormat="1" ht="27" customHeight="1">
      <c r="A792" s="139">
        <v>748</v>
      </c>
      <c r="B792" s="140" t="s">
        <v>5258</v>
      </c>
      <c r="C792" s="141" t="s">
        <v>2373</v>
      </c>
      <c r="D792" s="142" t="s">
        <v>2374</v>
      </c>
      <c r="E792" s="141" t="s">
        <v>2412</v>
      </c>
      <c r="F792" s="142" t="s">
        <v>2413</v>
      </c>
      <c r="G792" s="141" t="s">
        <v>2441</v>
      </c>
      <c r="H792" s="142" t="s">
        <v>2451</v>
      </c>
      <c r="I792" s="141" t="s">
        <v>2467</v>
      </c>
      <c r="J792" s="142" t="s">
        <v>2468</v>
      </c>
      <c r="K792" s="142" t="s">
        <v>874</v>
      </c>
      <c r="L792" s="143">
        <f t="shared" si="24"/>
        <v>1</v>
      </c>
      <c r="M792" s="144" t="s">
        <v>2478</v>
      </c>
      <c r="N792" s="141" t="s">
        <v>2373</v>
      </c>
      <c r="O792" s="142" t="s">
        <v>2374</v>
      </c>
      <c r="P792" s="141" t="s">
        <v>2418</v>
      </c>
      <c r="Q792" s="142" t="s">
        <v>2413</v>
      </c>
      <c r="R792" s="141" t="s">
        <v>2454</v>
      </c>
      <c r="S792" s="142" t="s">
        <v>2451</v>
      </c>
      <c r="T792" s="141" t="s">
        <v>2470</v>
      </c>
      <c r="U792" s="142" t="s">
        <v>2468</v>
      </c>
      <c r="V792" s="142" t="s">
        <v>874</v>
      </c>
      <c r="W792" s="141">
        <f t="shared" si="25"/>
        <v>4</v>
      </c>
      <c r="X792" s="143"/>
      <c r="Y792" s="145" t="s">
        <v>2482</v>
      </c>
      <c r="AA792"/>
    </row>
    <row r="793" spans="1:27" s="115" customFormat="1" ht="27" customHeight="1">
      <c r="A793" s="139">
        <v>749</v>
      </c>
      <c r="B793" s="140" t="s">
        <v>5259</v>
      </c>
      <c r="C793" s="141" t="s">
        <v>2373</v>
      </c>
      <c r="D793" s="142" t="s">
        <v>2374</v>
      </c>
      <c r="E793" s="141" t="s">
        <v>2412</v>
      </c>
      <c r="F793" s="142" t="s">
        <v>2413</v>
      </c>
      <c r="G793" s="141" t="s">
        <v>2441</v>
      </c>
      <c r="H793" s="142" t="s">
        <v>2451</v>
      </c>
      <c r="I793" s="141" t="s">
        <v>2467</v>
      </c>
      <c r="J793" s="142" t="s">
        <v>2468</v>
      </c>
      <c r="K793" s="142" t="s">
        <v>874</v>
      </c>
      <c r="L793" s="143">
        <f t="shared" si="24"/>
        <v>1</v>
      </c>
      <c r="M793" s="144" t="s">
        <v>2478</v>
      </c>
      <c r="N793" s="141" t="s">
        <v>2373</v>
      </c>
      <c r="O793" s="142" t="s">
        <v>2374</v>
      </c>
      <c r="P793" s="141" t="s">
        <v>2418</v>
      </c>
      <c r="Q793" s="142" t="s">
        <v>2413</v>
      </c>
      <c r="R793" s="141" t="s">
        <v>2454</v>
      </c>
      <c r="S793" s="142" t="s">
        <v>2451</v>
      </c>
      <c r="T793" s="141" t="s">
        <v>2470</v>
      </c>
      <c r="U793" s="142" t="s">
        <v>2468</v>
      </c>
      <c r="V793" s="142" t="s">
        <v>874</v>
      </c>
      <c r="W793" s="141">
        <f t="shared" si="25"/>
        <v>4</v>
      </c>
      <c r="X793" s="143"/>
      <c r="Y793" s="145" t="s">
        <v>2483</v>
      </c>
      <c r="AA793"/>
    </row>
    <row r="794" spans="1:27" s="115" customFormat="1" ht="27" customHeight="1">
      <c r="A794" s="139">
        <v>750</v>
      </c>
      <c r="B794" s="140" t="s">
        <v>5260</v>
      </c>
      <c r="C794" s="141" t="s">
        <v>2373</v>
      </c>
      <c r="D794" s="142" t="s">
        <v>2374</v>
      </c>
      <c r="E794" s="141" t="s">
        <v>2412</v>
      </c>
      <c r="F794" s="142" t="s">
        <v>2413</v>
      </c>
      <c r="G794" s="141" t="s">
        <v>2441</v>
      </c>
      <c r="H794" s="142" t="s">
        <v>2451</v>
      </c>
      <c r="I794" s="141" t="s">
        <v>2467</v>
      </c>
      <c r="J794" s="142" t="s">
        <v>2468</v>
      </c>
      <c r="K794" s="142" t="s">
        <v>875</v>
      </c>
      <c r="L794" s="143">
        <f t="shared" si="24"/>
        <v>1</v>
      </c>
      <c r="M794" s="144" t="s">
        <v>2481</v>
      </c>
      <c r="N794" s="141" t="s">
        <v>2373</v>
      </c>
      <c r="O794" s="142" t="s">
        <v>2374</v>
      </c>
      <c r="P794" s="141" t="s">
        <v>2418</v>
      </c>
      <c r="Q794" s="142" t="s">
        <v>2413</v>
      </c>
      <c r="R794" s="141" t="s">
        <v>2454</v>
      </c>
      <c r="S794" s="142" t="s">
        <v>2451</v>
      </c>
      <c r="T794" s="141" t="s">
        <v>2470</v>
      </c>
      <c r="U794" s="142" t="s">
        <v>2468</v>
      </c>
      <c r="V794" s="142" t="s">
        <v>875</v>
      </c>
      <c r="W794" s="141">
        <f t="shared" si="25"/>
        <v>2</v>
      </c>
      <c r="X794" s="143"/>
      <c r="Y794" s="145" t="s">
        <v>2484</v>
      </c>
      <c r="AA794"/>
    </row>
    <row r="795" spans="1:27" s="115" customFormat="1" ht="27" customHeight="1">
      <c r="A795" s="139">
        <v>751</v>
      </c>
      <c r="B795" s="140" t="s">
        <v>5261</v>
      </c>
      <c r="C795" s="141" t="s">
        <v>2373</v>
      </c>
      <c r="D795" s="142" t="s">
        <v>2374</v>
      </c>
      <c r="E795" s="141" t="s">
        <v>2412</v>
      </c>
      <c r="F795" s="142" t="s">
        <v>2413</v>
      </c>
      <c r="G795" s="141" t="s">
        <v>2441</v>
      </c>
      <c r="H795" s="142" t="s">
        <v>2451</v>
      </c>
      <c r="I795" s="141" t="s">
        <v>2467</v>
      </c>
      <c r="J795" s="142" t="s">
        <v>2452</v>
      </c>
      <c r="K795" s="142" t="s">
        <v>876</v>
      </c>
      <c r="L795" s="143">
        <f t="shared" si="24"/>
        <v>1</v>
      </c>
      <c r="M795" s="144">
        <v>46323</v>
      </c>
      <c r="N795" s="141" t="s">
        <v>2373</v>
      </c>
      <c r="O795" s="142" t="s">
        <v>2374</v>
      </c>
      <c r="P795" s="141" t="s">
        <v>2418</v>
      </c>
      <c r="Q795" s="142" t="s">
        <v>2413</v>
      </c>
      <c r="R795" s="141" t="s">
        <v>2454</v>
      </c>
      <c r="S795" s="142" t="s">
        <v>2451</v>
      </c>
      <c r="T795" s="141" t="s">
        <v>2455</v>
      </c>
      <c r="U795" s="142" t="s">
        <v>2452</v>
      </c>
      <c r="V795" s="142" t="s">
        <v>876</v>
      </c>
      <c r="W795" s="141">
        <f t="shared" si="25"/>
        <v>4</v>
      </c>
      <c r="X795" s="143">
        <v>2</v>
      </c>
      <c r="Y795" s="145" t="s">
        <v>1474</v>
      </c>
      <c r="AA795"/>
    </row>
    <row r="796" spans="1:27" s="115" customFormat="1" ht="27" customHeight="1">
      <c r="A796" s="139">
        <v>752</v>
      </c>
      <c r="B796" s="140" t="s">
        <v>5262</v>
      </c>
      <c r="C796" s="141" t="s">
        <v>2373</v>
      </c>
      <c r="D796" s="142" t="s">
        <v>2374</v>
      </c>
      <c r="E796" s="141" t="s">
        <v>2412</v>
      </c>
      <c r="F796" s="142" t="s">
        <v>2413</v>
      </c>
      <c r="G796" s="141" t="s">
        <v>2441</v>
      </c>
      <c r="H796" s="142" t="s">
        <v>2451</v>
      </c>
      <c r="I796" s="141" t="s">
        <v>2467</v>
      </c>
      <c r="J796" s="142" t="s">
        <v>2452</v>
      </c>
      <c r="K796" s="142" t="s">
        <v>876</v>
      </c>
      <c r="L796" s="143">
        <f t="shared" si="24"/>
        <v>1</v>
      </c>
      <c r="M796" s="144" t="s">
        <v>2485</v>
      </c>
      <c r="N796" s="141" t="s">
        <v>2373</v>
      </c>
      <c r="O796" s="142" t="s">
        <v>2374</v>
      </c>
      <c r="P796" s="141" t="s">
        <v>2418</v>
      </c>
      <c r="Q796" s="142" t="s">
        <v>2413</v>
      </c>
      <c r="R796" s="141" t="s">
        <v>2454</v>
      </c>
      <c r="S796" s="142" t="s">
        <v>2451</v>
      </c>
      <c r="T796" s="141" t="s">
        <v>2455</v>
      </c>
      <c r="U796" s="142" t="s">
        <v>2452</v>
      </c>
      <c r="V796" s="142" t="s">
        <v>876</v>
      </c>
      <c r="W796" s="141">
        <f t="shared" si="25"/>
        <v>4</v>
      </c>
      <c r="X796" s="143">
        <v>2</v>
      </c>
      <c r="Y796" s="145" t="s">
        <v>2486</v>
      </c>
      <c r="AA796"/>
    </row>
    <row r="797" spans="1:27" s="115" customFormat="1" ht="27" customHeight="1">
      <c r="A797" s="139">
        <v>753</v>
      </c>
      <c r="B797" s="140" t="s">
        <v>5263</v>
      </c>
      <c r="C797" s="141" t="s">
        <v>2373</v>
      </c>
      <c r="D797" s="142" t="s">
        <v>2374</v>
      </c>
      <c r="E797" s="141" t="s">
        <v>2412</v>
      </c>
      <c r="F797" s="142" t="s">
        <v>2413</v>
      </c>
      <c r="G797" s="141" t="s">
        <v>2441</v>
      </c>
      <c r="H797" s="142" t="s">
        <v>2451</v>
      </c>
      <c r="I797" s="141" t="s">
        <v>2467</v>
      </c>
      <c r="J797" s="142" t="s">
        <v>2452</v>
      </c>
      <c r="K797" s="142" t="s">
        <v>876</v>
      </c>
      <c r="L797" s="143">
        <f t="shared" si="24"/>
        <v>1</v>
      </c>
      <c r="M797" s="144" t="s">
        <v>2485</v>
      </c>
      <c r="N797" s="141" t="s">
        <v>2373</v>
      </c>
      <c r="O797" s="142" t="s">
        <v>2374</v>
      </c>
      <c r="P797" s="141" t="s">
        <v>2418</v>
      </c>
      <c r="Q797" s="142" t="s">
        <v>2413</v>
      </c>
      <c r="R797" s="141" t="s">
        <v>2454</v>
      </c>
      <c r="S797" s="142" t="s">
        <v>2451</v>
      </c>
      <c r="T797" s="141" t="s">
        <v>2455</v>
      </c>
      <c r="U797" s="142" t="s">
        <v>2452</v>
      </c>
      <c r="V797" s="142" t="s">
        <v>876</v>
      </c>
      <c r="W797" s="141">
        <f t="shared" si="25"/>
        <v>4</v>
      </c>
      <c r="X797" s="143">
        <v>2</v>
      </c>
      <c r="Y797" s="145" t="s">
        <v>2487</v>
      </c>
      <c r="AA797"/>
    </row>
    <row r="798" spans="1:27" s="115" customFormat="1" ht="27" customHeight="1">
      <c r="A798" s="139">
        <v>754</v>
      </c>
      <c r="B798" s="140" t="s">
        <v>5264</v>
      </c>
      <c r="C798" s="141" t="s">
        <v>2373</v>
      </c>
      <c r="D798" s="142" t="s">
        <v>2374</v>
      </c>
      <c r="E798" s="141" t="s">
        <v>2412</v>
      </c>
      <c r="F798" s="142" t="s">
        <v>2413</v>
      </c>
      <c r="G798" s="141" t="s">
        <v>2441</v>
      </c>
      <c r="H798" s="142" t="s">
        <v>2451</v>
      </c>
      <c r="I798" s="141" t="s">
        <v>2467</v>
      </c>
      <c r="J798" s="142" t="s">
        <v>2452</v>
      </c>
      <c r="K798" s="142" t="s">
        <v>876</v>
      </c>
      <c r="L798" s="143">
        <f t="shared" si="24"/>
        <v>1</v>
      </c>
      <c r="M798" s="144" t="s">
        <v>2485</v>
      </c>
      <c r="N798" s="141" t="s">
        <v>2373</v>
      </c>
      <c r="O798" s="142" t="s">
        <v>2374</v>
      </c>
      <c r="P798" s="141" t="s">
        <v>2418</v>
      </c>
      <c r="Q798" s="142" t="s">
        <v>2413</v>
      </c>
      <c r="R798" s="141" t="s">
        <v>2454</v>
      </c>
      <c r="S798" s="142" t="s">
        <v>2451</v>
      </c>
      <c r="T798" s="141" t="s">
        <v>2455</v>
      </c>
      <c r="U798" s="142" t="s">
        <v>2452</v>
      </c>
      <c r="V798" s="142" t="s">
        <v>876</v>
      </c>
      <c r="W798" s="141">
        <f t="shared" si="25"/>
        <v>4</v>
      </c>
      <c r="X798" s="143">
        <v>2</v>
      </c>
      <c r="Y798" s="145" t="s">
        <v>2488</v>
      </c>
      <c r="AA798"/>
    </row>
    <row r="799" spans="1:27" s="115" customFormat="1" ht="27" customHeight="1">
      <c r="A799" s="139">
        <v>755</v>
      </c>
      <c r="B799" s="140" t="s">
        <v>5265</v>
      </c>
      <c r="C799" s="141" t="s">
        <v>2373</v>
      </c>
      <c r="D799" s="142" t="s">
        <v>2374</v>
      </c>
      <c r="E799" s="141" t="s">
        <v>2412</v>
      </c>
      <c r="F799" s="142" t="s">
        <v>2413</v>
      </c>
      <c r="G799" s="141" t="s">
        <v>2441</v>
      </c>
      <c r="H799" s="142" t="s">
        <v>2451</v>
      </c>
      <c r="I799" s="141" t="s">
        <v>2467</v>
      </c>
      <c r="J799" s="142" t="s">
        <v>2452</v>
      </c>
      <c r="K799" s="142" t="s">
        <v>877</v>
      </c>
      <c r="L799" s="143">
        <f t="shared" si="24"/>
        <v>1</v>
      </c>
      <c r="M799" s="144">
        <v>46324</v>
      </c>
      <c r="N799" s="141" t="s">
        <v>2373</v>
      </c>
      <c r="O799" s="142" t="s">
        <v>2374</v>
      </c>
      <c r="P799" s="141" t="s">
        <v>2418</v>
      </c>
      <c r="Q799" s="142" t="s">
        <v>2413</v>
      </c>
      <c r="R799" s="141" t="s">
        <v>2454</v>
      </c>
      <c r="S799" s="142" t="s">
        <v>2451</v>
      </c>
      <c r="T799" s="141" t="s">
        <v>2455</v>
      </c>
      <c r="U799" s="142" t="s">
        <v>2452</v>
      </c>
      <c r="V799" s="142" t="s">
        <v>877</v>
      </c>
      <c r="W799" s="141">
        <f t="shared" si="25"/>
        <v>6</v>
      </c>
      <c r="X799" s="143"/>
      <c r="Y799" s="145" t="s">
        <v>2489</v>
      </c>
      <c r="AA799"/>
    </row>
    <row r="800" spans="1:27" s="115" customFormat="1" ht="27" customHeight="1">
      <c r="A800" s="139">
        <v>756</v>
      </c>
      <c r="B800" s="140" t="s">
        <v>5266</v>
      </c>
      <c r="C800" s="141" t="s">
        <v>2373</v>
      </c>
      <c r="D800" s="142" t="s">
        <v>2374</v>
      </c>
      <c r="E800" s="141" t="s">
        <v>2412</v>
      </c>
      <c r="F800" s="142" t="s">
        <v>2413</v>
      </c>
      <c r="G800" s="141" t="s">
        <v>2441</v>
      </c>
      <c r="H800" s="142" t="s">
        <v>2451</v>
      </c>
      <c r="I800" s="141" t="s">
        <v>2467</v>
      </c>
      <c r="J800" s="142" t="s">
        <v>2490</v>
      </c>
      <c r="K800" s="142" t="s">
        <v>181</v>
      </c>
      <c r="L800" s="143">
        <f t="shared" si="24"/>
        <v>1</v>
      </c>
      <c r="M800" s="144" t="s">
        <v>2491</v>
      </c>
      <c r="N800" s="141" t="s">
        <v>2373</v>
      </c>
      <c r="O800" s="142" t="s">
        <v>2374</v>
      </c>
      <c r="P800" s="141" t="s">
        <v>2418</v>
      </c>
      <c r="Q800" s="142" t="s">
        <v>2413</v>
      </c>
      <c r="R800" s="141" t="s">
        <v>2454</v>
      </c>
      <c r="S800" s="142" t="s">
        <v>2451</v>
      </c>
      <c r="T800" s="141" t="s">
        <v>2492</v>
      </c>
      <c r="U800" s="142" t="s">
        <v>2490</v>
      </c>
      <c r="V800" s="142" t="s">
        <v>181</v>
      </c>
      <c r="W800" s="141">
        <f t="shared" si="25"/>
        <v>2</v>
      </c>
      <c r="X800" s="143"/>
      <c r="Y800" s="145" t="s">
        <v>2493</v>
      </c>
      <c r="AA800"/>
    </row>
    <row r="801" spans="1:27" s="115" customFormat="1" ht="27" customHeight="1">
      <c r="A801" s="139">
        <v>757</v>
      </c>
      <c r="B801" s="140" t="s">
        <v>5267</v>
      </c>
      <c r="C801" s="141" t="s">
        <v>2373</v>
      </c>
      <c r="D801" s="142" t="s">
        <v>2374</v>
      </c>
      <c r="E801" s="141" t="s">
        <v>2412</v>
      </c>
      <c r="F801" s="142" t="s">
        <v>2413</v>
      </c>
      <c r="G801" s="141" t="s">
        <v>2441</v>
      </c>
      <c r="H801" s="142" t="s">
        <v>2451</v>
      </c>
      <c r="I801" s="141" t="s">
        <v>2467</v>
      </c>
      <c r="J801" s="142" t="s">
        <v>2490</v>
      </c>
      <c r="K801" s="142" t="s">
        <v>181</v>
      </c>
      <c r="L801" s="143">
        <f t="shared" si="24"/>
        <v>1</v>
      </c>
      <c r="M801" s="144" t="s">
        <v>2491</v>
      </c>
      <c r="N801" s="141" t="s">
        <v>2373</v>
      </c>
      <c r="O801" s="142" t="s">
        <v>2374</v>
      </c>
      <c r="P801" s="141" t="s">
        <v>2418</v>
      </c>
      <c r="Q801" s="142" t="s">
        <v>2413</v>
      </c>
      <c r="R801" s="141" t="s">
        <v>2454</v>
      </c>
      <c r="S801" s="142" t="s">
        <v>2451</v>
      </c>
      <c r="T801" s="141" t="s">
        <v>2492</v>
      </c>
      <c r="U801" s="142" t="s">
        <v>2490</v>
      </c>
      <c r="V801" s="142" t="s">
        <v>181</v>
      </c>
      <c r="W801" s="141">
        <f t="shared" si="25"/>
        <v>2</v>
      </c>
      <c r="X801" s="143">
        <v>1</v>
      </c>
      <c r="Y801" s="145"/>
      <c r="AA801"/>
    </row>
    <row r="802" spans="1:27" s="115" customFormat="1" ht="27" customHeight="1">
      <c r="A802" s="139">
        <v>758</v>
      </c>
      <c r="B802" s="140" t="s">
        <v>5268</v>
      </c>
      <c r="C802" s="141" t="s">
        <v>2373</v>
      </c>
      <c r="D802" s="142" t="s">
        <v>2374</v>
      </c>
      <c r="E802" s="141" t="s">
        <v>2412</v>
      </c>
      <c r="F802" s="142" t="s">
        <v>2413</v>
      </c>
      <c r="G802" s="141" t="s">
        <v>2441</v>
      </c>
      <c r="H802" s="142" t="s">
        <v>2451</v>
      </c>
      <c r="I802" s="141" t="s">
        <v>2467</v>
      </c>
      <c r="J802" s="142" t="s">
        <v>2490</v>
      </c>
      <c r="K802" s="142" t="s">
        <v>878</v>
      </c>
      <c r="L802" s="143">
        <f t="shared" si="24"/>
        <v>1</v>
      </c>
      <c r="M802" s="144" t="s">
        <v>2494</v>
      </c>
      <c r="N802" s="141" t="s">
        <v>2373</v>
      </c>
      <c r="O802" s="142" t="s">
        <v>2374</v>
      </c>
      <c r="P802" s="141" t="s">
        <v>2418</v>
      </c>
      <c r="Q802" s="142" t="s">
        <v>2413</v>
      </c>
      <c r="R802" s="141" t="s">
        <v>2454</v>
      </c>
      <c r="S802" s="142" t="s">
        <v>2451</v>
      </c>
      <c r="T802" s="141" t="s">
        <v>2492</v>
      </c>
      <c r="U802" s="142" t="s">
        <v>2490</v>
      </c>
      <c r="V802" s="142" t="s">
        <v>878</v>
      </c>
      <c r="W802" s="141">
        <f t="shared" si="25"/>
        <v>1</v>
      </c>
      <c r="X802" s="143"/>
      <c r="Y802" s="145"/>
      <c r="AA802"/>
    </row>
    <row r="803" spans="1:27" s="115" customFormat="1" ht="27" customHeight="1">
      <c r="A803" s="139">
        <v>759</v>
      </c>
      <c r="B803" s="140" t="s">
        <v>5269</v>
      </c>
      <c r="C803" s="141" t="s">
        <v>2373</v>
      </c>
      <c r="D803" s="142" t="s">
        <v>2374</v>
      </c>
      <c r="E803" s="141" t="s">
        <v>2412</v>
      </c>
      <c r="F803" s="142" t="s">
        <v>2413</v>
      </c>
      <c r="G803" s="141" t="s">
        <v>2441</v>
      </c>
      <c r="H803" s="142" t="s">
        <v>2451</v>
      </c>
      <c r="I803" s="141" t="s">
        <v>2467</v>
      </c>
      <c r="J803" s="142" t="s">
        <v>2452</v>
      </c>
      <c r="K803" s="142" t="s">
        <v>879</v>
      </c>
      <c r="L803" s="143">
        <f t="shared" si="24"/>
        <v>1</v>
      </c>
      <c r="M803" s="144" t="s">
        <v>2495</v>
      </c>
      <c r="N803" s="141" t="s">
        <v>2373</v>
      </c>
      <c r="O803" s="142" t="s">
        <v>2374</v>
      </c>
      <c r="P803" s="141" t="s">
        <v>2418</v>
      </c>
      <c r="Q803" s="142" t="s">
        <v>2413</v>
      </c>
      <c r="R803" s="141" t="s">
        <v>2454</v>
      </c>
      <c r="S803" s="142" t="s">
        <v>2451</v>
      </c>
      <c r="T803" s="141" t="s">
        <v>2455</v>
      </c>
      <c r="U803" s="142" t="s">
        <v>2452</v>
      </c>
      <c r="V803" s="142" t="s">
        <v>879</v>
      </c>
      <c r="W803" s="141">
        <f t="shared" si="25"/>
        <v>1</v>
      </c>
      <c r="X803" s="143"/>
      <c r="Y803" s="145"/>
      <c r="AA803"/>
    </row>
    <row r="804" spans="1:27" s="115" customFormat="1" ht="27" customHeight="1">
      <c r="A804" s="139">
        <v>760</v>
      </c>
      <c r="B804" s="140" t="s">
        <v>5270</v>
      </c>
      <c r="C804" s="141" t="s">
        <v>2373</v>
      </c>
      <c r="D804" s="142" t="s">
        <v>2374</v>
      </c>
      <c r="E804" s="141" t="s">
        <v>2412</v>
      </c>
      <c r="F804" s="142" t="s">
        <v>2413</v>
      </c>
      <c r="G804" s="141" t="s">
        <v>2441</v>
      </c>
      <c r="H804" s="142" t="s">
        <v>2451</v>
      </c>
      <c r="I804" s="141" t="s">
        <v>2467</v>
      </c>
      <c r="J804" s="142" t="s">
        <v>2452</v>
      </c>
      <c r="K804" s="142" t="s">
        <v>880</v>
      </c>
      <c r="L804" s="143">
        <f t="shared" si="24"/>
        <v>1</v>
      </c>
      <c r="M804" s="144" t="s">
        <v>2496</v>
      </c>
      <c r="N804" s="141" t="s">
        <v>2373</v>
      </c>
      <c r="O804" s="142" t="s">
        <v>2374</v>
      </c>
      <c r="P804" s="141" t="s">
        <v>2418</v>
      </c>
      <c r="Q804" s="142" t="s">
        <v>2413</v>
      </c>
      <c r="R804" s="141" t="s">
        <v>2454</v>
      </c>
      <c r="S804" s="142" t="s">
        <v>2451</v>
      </c>
      <c r="T804" s="141" t="s">
        <v>2455</v>
      </c>
      <c r="U804" s="142" t="s">
        <v>2452</v>
      </c>
      <c r="V804" s="142" t="s">
        <v>880</v>
      </c>
      <c r="W804" s="141">
        <f t="shared" si="25"/>
        <v>1</v>
      </c>
      <c r="X804" s="143"/>
      <c r="Y804" s="145"/>
      <c r="AA804"/>
    </row>
    <row r="805" spans="1:27" s="115" customFormat="1" ht="27" customHeight="1">
      <c r="A805" s="139">
        <v>761</v>
      </c>
      <c r="B805" s="140" t="s">
        <v>5271</v>
      </c>
      <c r="C805" s="141" t="s">
        <v>2373</v>
      </c>
      <c r="D805" s="142" t="s">
        <v>2374</v>
      </c>
      <c r="E805" s="141" t="s">
        <v>2412</v>
      </c>
      <c r="F805" s="142" t="s">
        <v>2413</v>
      </c>
      <c r="G805" s="141" t="s">
        <v>2441</v>
      </c>
      <c r="H805" s="142" t="s">
        <v>2451</v>
      </c>
      <c r="I805" s="141" t="s">
        <v>2467</v>
      </c>
      <c r="J805" s="142" t="s">
        <v>2452</v>
      </c>
      <c r="K805" s="142" t="s">
        <v>881</v>
      </c>
      <c r="L805" s="143">
        <f t="shared" si="24"/>
        <v>1</v>
      </c>
      <c r="M805" s="144" t="s">
        <v>2497</v>
      </c>
      <c r="N805" s="141" t="s">
        <v>2373</v>
      </c>
      <c r="O805" s="142" t="s">
        <v>2374</v>
      </c>
      <c r="P805" s="141" t="s">
        <v>2418</v>
      </c>
      <c r="Q805" s="142" t="s">
        <v>2413</v>
      </c>
      <c r="R805" s="141" t="s">
        <v>2454</v>
      </c>
      <c r="S805" s="142" t="s">
        <v>2451</v>
      </c>
      <c r="T805" s="141" t="s">
        <v>2455</v>
      </c>
      <c r="U805" s="142" t="s">
        <v>2452</v>
      </c>
      <c r="V805" s="142" t="s">
        <v>881</v>
      </c>
      <c r="W805" s="141">
        <f t="shared" si="25"/>
        <v>1</v>
      </c>
      <c r="X805" s="143"/>
      <c r="Y805" s="145"/>
      <c r="AA805"/>
    </row>
    <row r="806" spans="1:27" s="115" customFormat="1" ht="27" customHeight="1">
      <c r="A806" s="139">
        <v>762</v>
      </c>
      <c r="B806" s="140" t="s">
        <v>5272</v>
      </c>
      <c r="C806" s="141" t="s">
        <v>2373</v>
      </c>
      <c r="D806" s="142" t="s">
        <v>2374</v>
      </c>
      <c r="E806" s="141" t="s">
        <v>2412</v>
      </c>
      <c r="F806" s="142" t="s">
        <v>2413</v>
      </c>
      <c r="G806" s="141" t="s">
        <v>2441</v>
      </c>
      <c r="H806" s="142" t="s">
        <v>2451</v>
      </c>
      <c r="I806" s="141" t="s">
        <v>2467</v>
      </c>
      <c r="J806" s="142" t="s">
        <v>2452</v>
      </c>
      <c r="K806" s="142" t="s">
        <v>182</v>
      </c>
      <c r="L806" s="143">
        <f t="shared" si="24"/>
        <v>1</v>
      </c>
      <c r="M806" s="144" t="s">
        <v>2453</v>
      </c>
      <c r="N806" s="141" t="s">
        <v>2373</v>
      </c>
      <c r="O806" s="142" t="s">
        <v>2374</v>
      </c>
      <c r="P806" s="141" t="s">
        <v>2418</v>
      </c>
      <c r="Q806" s="142" t="s">
        <v>2413</v>
      </c>
      <c r="R806" s="141" t="s">
        <v>2454</v>
      </c>
      <c r="S806" s="142" t="s">
        <v>2451</v>
      </c>
      <c r="T806" s="141" t="s">
        <v>2455</v>
      </c>
      <c r="U806" s="142" t="s">
        <v>2452</v>
      </c>
      <c r="V806" s="142" t="s">
        <v>182</v>
      </c>
      <c r="W806" s="141">
        <f t="shared" si="25"/>
        <v>8</v>
      </c>
      <c r="X806" s="143"/>
      <c r="Y806" s="145" t="s">
        <v>2498</v>
      </c>
      <c r="AA806"/>
    </row>
    <row r="807" spans="1:27" s="115" customFormat="1" ht="27" customHeight="1">
      <c r="A807" s="139">
        <v>763</v>
      </c>
      <c r="B807" s="140" t="s">
        <v>5273</v>
      </c>
      <c r="C807" s="141" t="s">
        <v>2373</v>
      </c>
      <c r="D807" s="142" t="s">
        <v>2374</v>
      </c>
      <c r="E807" s="141" t="s">
        <v>2412</v>
      </c>
      <c r="F807" s="142" t="s">
        <v>2413</v>
      </c>
      <c r="G807" s="141" t="s">
        <v>2441</v>
      </c>
      <c r="H807" s="142" t="s">
        <v>2451</v>
      </c>
      <c r="I807" s="141" t="s">
        <v>2467</v>
      </c>
      <c r="J807" s="142" t="s">
        <v>2452</v>
      </c>
      <c r="K807" s="142" t="s">
        <v>182</v>
      </c>
      <c r="L807" s="143">
        <f t="shared" si="24"/>
        <v>1</v>
      </c>
      <c r="M807" s="144" t="s">
        <v>2453</v>
      </c>
      <c r="N807" s="141" t="s">
        <v>2373</v>
      </c>
      <c r="O807" s="142" t="s">
        <v>2374</v>
      </c>
      <c r="P807" s="141" t="s">
        <v>2418</v>
      </c>
      <c r="Q807" s="142" t="s">
        <v>2413</v>
      </c>
      <c r="R807" s="141" t="s">
        <v>2454</v>
      </c>
      <c r="S807" s="142" t="s">
        <v>2451</v>
      </c>
      <c r="T807" s="141" t="s">
        <v>2455</v>
      </c>
      <c r="U807" s="142" t="s">
        <v>2452</v>
      </c>
      <c r="V807" s="142" t="s">
        <v>182</v>
      </c>
      <c r="W807" s="141">
        <f t="shared" si="25"/>
        <v>8</v>
      </c>
      <c r="X807" s="143">
        <v>2</v>
      </c>
      <c r="Y807" s="145" t="s">
        <v>2499</v>
      </c>
      <c r="AA807"/>
    </row>
    <row r="808" spans="1:27" s="115" customFormat="1" ht="27" customHeight="1">
      <c r="A808" s="139">
        <v>764</v>
      </c>
      <c r="B808" s="140" t="s">
        <v>5274</v>
      </c>
      <c r="C808" s="141" t="s">
        <v>2373</v>
      </c>
      <c r="D808" s="142" t="s">
        <v>2374</v>
      </c>
      <c r="E808" s="141" t="s">
        <v>2412</v>
      </c>
      <c r="F808" s="142" t="s">
        <v>2413</v>
      </c>
      <c r="G808" s="141" t="s">
        <v>2441</v>
      </c>
      <c r="H808" s="142" t="s">
        <v>2451</v>
      </c>
      <c r="I808" s="141" t="s">
        <v>2467</v>
      </c>
      <c r="J808" s="142" t="s">
        <v>2452</v>
      </c>
      <c r="K808" s="142" t="s">
        <v>182</v>
      </c>
      <c r="L808" s="143">
        <f t="shared" si="24"/>
        <v>1</v>
      </c>
      <c r="M808" s="144" t="s">
        <v>2453</v>
      </c>
      <c r="N808" s="141" t="s">
        <v>2373</v>
      </c>
      <c r="O808" s="142" t="s">
        <v>2374</v>
      </c>
      <c r="P808" s="141" t="s">
        <v>2418</v>
      </c>
      <c r="Q808" s="142" t="s">
        <v>2413</v>
      </c>
      <c r="R808" s="141" t="s">
        <v>2454</v>
      </c>
      <c r="S808" s="142" t="s">
        <v>2451</v>
      </c>
      <c r="T808" s="141" t="s">
        <v>2455</v>
      </c>
      <c r="U808" s="142" t="s">
        <v>2452</v>
      </c>
      <c r="V808" s="142" t="s">
        <v>182</v>
      </c>
      <c r="W808" s="141">
        <f t="shared" si="25"/>
        <v>8</v>
      </c>
      <c r="X808" s="143">
        <v>2</v>
      </c>
      <c r="Y808" s="145" t="s">
        <v>2500</v>
      </c>
      <c r="AA808"/>
    </row>
    <row r="809" spans="1:27" s="115" customFormat="1" ht="27" customHeight="1">
      <c r="A809" s="139">
        <v>765</v>
      </c>
      <c r="B809" s="140" t="s">
        <v>5275</v>
      </c>
      <c r="C809" s="141" t="s">
        <v>2373</v>
      </c>
      <c r="D809" s="142" t="s">
        <v>2374</v>
      </c>
      <c r="E809" s="141" t="s">
        <v>2412</v>
      </c>
      <c r="F809" s="142" t="s">
        <v>2413</v>
      </c>
      <c r="G809" s="141" t="s">
        <v>2441</v>
      </c>
      <c r="H809" s="142" t="s">
        <v>2451</v>
      </c>
      <c r="I809" s="141" t="s">
        <v>2467</v>
      </c>
      <c r="J809" s="142" t="s">
        <v>2468</v>
      </c>
      <c r="K809" s="142" t="s">
        <v>882</v>
      </c>
      <c r="L809" s="143">
        <f t="shared" si="24"/>
        <v>1</v>
      </c>
      <c r="M809" s="144" t="s">
        <v>2501</v>
      </c>
      <c r="N809" s="141" t="s">
        <v>2373</v>
      </c>
      <c r="O809" s="142" t="s">
        <v>2374</v>
      </c>
      <c r="P809" s="141" t="s">
        <v>2418</v>
      </c>
      <c r="Q809" s="142" t="s">
        <v>2413</v>
      </c>
      <c r="R809" s="141" t="s">
        <v>2454</v>
      </c>
      <c r="S809" s="142" t="s">
        <v>2451</v>
      </c>
      <c r="T809" s="141" t="s">
        <v>2470</v>
      </c>
      <c r="U809" s="142" t="s">
        <v>2468</v>
      </c>
      <c r="V809" s="142" t="s">
        <v>882</v>
      </c>
      <c r="W809" s="141">
        <f t="shared" si="25"/>
        <v>1</v>
      </c>
      <c r="X809" s="143"/>
      <c r="Y809" s="145"/>
      <c r="AA809"/>
    </row>
    <row r="810" spans="1:27" s="115" customFormat="1" ht="27" customHeight="1">
      <c r="A810" s="139">
        <v>766</v>
      </c>
      <c r="B810" s="140" t="s">
        <v>5276</v>
      </c>
      <c r="C810" s="141" t="s">
        <v>2373</v>
      </c>
      <c r="D810" s="142" t="s">
        <v>2374</v>
      </c>
      <c r="E810" s="141" t="s">
        <v>2412</v>
      </c>
      <c r="F810" s="142" t="s">
        <v>2413</v>
      </c>
      <c r="G810" s="141" t="s">
        <v>2441</v>
      </c>
      <c r="H810" s="142" t="s">
        <v>2451</v>
      </c>
      <c r="I810" s="141" t="s">
        <v>2467</v>
      </c>
      <c r="J810" s="142" t="s">
        <v>2452</v>
      </c>
      <c r="K810" s="142" t="s">
        <v>877</v>
      </c>
      <c r="L810" s="143">
        <f t="shared" si="24"/>
        <v>1</v>
      </c>
      <c r="M810" s="144" t="s">
        <v>2502</v>
      </c>
      <c r="N810" s="141" t="s">
        <v>2373</v>
      </c>
      <c r="O810" s="142" t="s">
        <v>2374</v>
      </c>
      <c r="P810" s="141" t="s">
        <v>2418</v>
      </c>
      <c r="Q810" s="142" t="s">
        <v>2413</v>
      </c>
      <c r="R810" s="141" t="s">
        <v>2454</v>
      </c>
      <c r="S810" s="142" t="s">
        <v>2451</v>
      </c>
      <c r="T810" s="141" t="s">
        <v>2455</v>
      </c>
      <c r="U810" s="142" t="s">
        <v>2452</v>
      </c>
      <c r="V810" s="142" t="s">
        <v>877</v>
      </c>
      <c r="W810" s="141">
        <f t="shared" si="25"/>
        <v>6</v>
      </c>
      <c r="X810" s="143">
        <v>2</v>
      </c>
      <c r="Y810" s="145" t="s">
        <v>2503</v>
      </c>
      <c r="AA810"/>
    </row>
    <row r="811" spans="1:27" s="115" customFormat="1" ht="27" customHeight="1">
      <c r="A811" s="139">
        <v>767</v>
      </c>
      <c r="B811" s="140" t="s">
        <v>5277</v>
      </c>
      <c r="C811" s="141" t="s">
        <v>2373</v>
      </c>
      <c r="D811" s="142" t="s">
        <v>2374</v>
      </c>
      <c r="E811" s="141" t="s">
        <v>2412</v>
      </c>
      <c r="F811" s="142" t="s">
        <v>2413</v>
      </c>
      <c r="G811" s="141" t="s">
        <v>2441</v>
      </c>
      <c r="H811" s="142" t="s">
        <v>2451</v>
      </c>
      <c r="I811" s="141" t="s">
        <v>2467</v>
      </c>
      <c r="J811" s="142" t="s">
        <v>2452</v>
      </c>
      <c r="K811" s="142" t="s">
        <v>877</v>
      </c>
      <c r="L811" s="143">
        <f t="shared" si="24"/>
        <v>1</v>
      </c>
      <c r="M811" s="144" t="s">
        <v>2502</v>
      </c>
      <c r="N811" s="141" t="s">
        <v>2373</v>
      </c>
      <c r="O811" s="142" t="s">
        <v>2374</v>
      </c>
      <c r="P811" s="141" t="s">
        <v>2418</v>
      </c>
      <c r="Q811" s="142" t="s">
        <v>2413</v>
      </c>
      <c r="R811" s="141" t="s">
        <v>2454</v>
      </c>
      <c r="S811" s="142" t="s">
        <v>2451</v>
      </c>
      <c r="T811" s="141" t="s">
        <v>2455</v>
      </c>
      <c r="U811" s="142" t="s">
        <v>2452</v>
      </c>
      <c r="V811" s="142" t="s">
        <v>877</v>
      </c>
      <c r="W811" s="141">
        <f t="shared" si="25"/>
        <v>6</v>
      </c>
      <c r="X811" s="143">
        <v>2</v>
      </c>
      <c r="Y811" s="145" t="s">
        <v>2504</v>
      </c>
      <c r="AA811"/>
    </row>
    <row r="812" spans="1:27" s="115" customFormat="1" ht="27" customHeight="1">
      <c r="A812" s="139">
        <v>768</v>
      </c>
      <c r="B812" s="140" t="s">
        <v>5278</v>
      </c>
      <c r="C812" s="141" t="s">
        <v>2373</v>
      </c>
      <c r="D812" s="142" t="s">
        <v>2374</v>
      </c>
      <c r="E812" s="141" t="s">
        <v>2412</v>
      </c>
      <c r="F812" s="142" t="s">
        <v>2413</v>
      </c>
      <c r="G812" s="141" t="s">
        <v>2441</v>
      </c>
      <c r="H812" s="142" t="s">
        <v>2451</v>
      </c>
      <c r="I812" s="141" t="s">
        <v>2467</v>
      </c>
      <c r="J812" s="142" t="s">
        <v>2452</v>
      </c>
      <c r="K812" s="142" t="s">
        <v>182</v>
      </c>
      <c r="L812" s="143">
        <f t="shared" si="24"/>
        <v>1</v>
      </c>
      <c r="M812" s="144" t="s">
        <v>2453</v>
      </c>
      <c r="N812" s="141" t="s">
        <v>2373</v>
      </c>
      <c r="O812" s="142" t="s">
        <v>2374</v>
      </c>
      <c r="P812" s="141" t="s">
        <v>2418</v>
      </c>
      <c r="Q812" s="142" t="s">
        <v>2413</v>
      </c>
      <c r="R812" s="141" t="s">
        <v>2454</v>
      </c>
      <c r="S812" s="142" t="s">
        <v>2451</v>
      </c>
      <c r="T812" s="141" t="s">
        <v>2455</v>
      </c>
      <c r="U812" s="142" t="s">
        <v>2452</v>
      </c>
      <c r="V812" s="142" t="s">
        <v>182</v>
      </c>
      <c r="W812" s="141">
        <f t="shared" si="25"/>
        <v>8</v>
      </c>
      <c r="X812" s="143">
        <v>2</v>
      </c>
      <c r="Y812" s="145" t="s">
        <v>2505</v>
      </c>
      <c r="AA812"/>
    </row>
    <row r="813" spans="1:27" s="115" customFormat="1" ht="27" customHeight="1">
      <c r="A813" s="139">
        <v>769</v>
      </c>
      <c r="B813" s="140" t="s">
        <v>5279</v>
      </c>
      <c r="C813" s="141" t="s">
        <v>2373</v>
      </c>
      <c r="D813" s="142" t="s">
        <v>2374</v>
      </c>
      <c r="E813" s="141" t="s">
        <v>2412</v>
      </c>
      <c r="F813" s="142" t="s">
        <v>2413</v>
      </c>
      <c r="G813" s="141" t="s">
        <v>2441</v>
      </c>
      <c r="H813" s="142" t="s">
        <v>2451</v>
      </c>
      <c r="I813" s="141" t="s">
        <v>2467</v>
      </c>
      <c r="J813" s="142" t="s">
        <v>2452</v>
      </c>
      <c r="K813" s="142" t="s">
        <v>877</v>
      </c>
      <c r="L813" s="143">
        <f t="shared" si="24"/>
        <v>1</v>
      </c>
      <c r="M813" s="144" t="s">
        <v>2502</v>
      </c>
      <c r="N813" s="141" t="s">
        <v>2373</v>
      </c>
      <c r="O813" s="142" t="s">
        <v>2374</v>
      </c>
      <c r="P813" s="141" t="s">
        <v>2418</v>
      </c>
      <c r="Q813" s="142" t="s">
        <v>2413</v>
      </c>
      <c r="R813" s="141" t="s">
        <v>2454</v>
      </c>
      <c r="S813" s="142" t="s">
        <v>2451</v>
      </c>
      <c r="T813" s="141" t="s">
        <v>2455</v>
      </c>
      <c r="U813" s="142" t="s">
        <v>2452</v>
      </c>
      <c r="V813" s="142" t="s">
        <v>877</v>
      </c>
      <c r="W813" s="141">
        <f t="shared" si="25"/>
        <v>6</v>
      </c>
      <c r="X813" s="143">
        <v>2</v>
      </c>
      <c r="Y813" s="145" t="s">
        <v>2506</v>
      </c>
      <c r="AA813"/>
    </row>
    <row r="814" spans="1:27" s="115" customFormat="1" ht="27" customHeight="1">
      <c r="A814" s="139">
        <v>770</v>
      </c>
      <c r="B814" s="140" t="s">
        <v>5280</v>
      </c>
      <c r="C814" s="141" t="s">
        <v>2373</v>
      </c>
      <c r="D814" s="142" t="s">
        <v>2374</v>
      </c>
      <c r="E814" s="141" t="s">
        <v>2412</v>
      </c>
      <c r="F814" s="142" t="s">
        <v>2413</v>
      </c>
      <c r="G814" s="141" t="s">
        <v>2441</v>
      </c>
      <c r="H814" s="142" t="s">
        <v>2451</v>
      </c>
      <c r="I814" s="141" t="s">
        <v>2467</v>
      </c>
      <c r="J814" s="142" t="s">
        <v>2490</v>
      </c>
      <c r="K814" s="142" t="s">
        <v>183</v>
      </c>
      <c r="L814" s="143">
        <f t="shared" si="24"/>
        <v>1</v>
      </c>
      <c r="M814" s="144" t="s">
        <v>2507</v>
      </c>
      <c r="N814" s="141" t="s">
        <v>2373</v>
      </c>
      <c r="O814" s="142" t="s">
        <v>2374</v>
      </c>
      <c r="P814" s="141" t="s">
        <v>2418</v>
      </c>
      <c r="Q814" s="142" t="s">
        <v>2413</v>
      </c>
      <c r="R814" s="141" t="s">
        <v>2454</v>
      </c>
      <c r="S814" s="142" t="s">
        <v>2451</v>
      </c>
      <c r="T814" s="141" t="s">
        <v>2492</v>
      </c>
      <c r="U814" s="142" t="s">
        <v>2490</v>
      </c>
      <c r="V814" s="142" t="s">
        <v>183</v>
      </c>
      <c r="W814" s="141">
        <f t="shared" si="25"/>
        <v>1</v>
      </c>
      <c r="X814" s="143"/>
      <c r="Y814" s="145"/>
      <c r="AA814"/>
    </row>
    <row r="815" spans="1:27" s="115" customFormat="1" ht="27" customHeight="1">
      <c r="A815" s="139">
        <v>771</v>
      </c>
      <c r="B815" s="140" t="s">
        <v>5281</v>
      </c>
      <c r="C815" s="141" t="s">
        <v>2373</v>
      </c>
      <c r="D815" s="142" t="s">
        <v>2374</v>
      </c>
      <c r="E815" s="141" t="s">
        <v>2412</v>
      </c>
      <c r="F815" s="142" t="s">
        <v>2413</v>
      </c>
      <c r="G815" s="141" t="s">
        <v>2441</v>
      </c>
      <c r="H815" s="142" t="s">
        <v>2451</v>
      </c>
      <c r="I815" s="141" t="s">
        <v>2467</v>
      </c>
      <c r="J815" s="142" t="s">
        <v>2452</v>
      </c>
      <c r="K815" s="142" t="s">
        <v>182</v>
      </c>
      <c r="L815" s="143">
        <f t="shared" si="24"/>
        <v>1</v>
      </c>
      <c r="M815" s="144" t="s">
        <v>2453</v>
      </c>
      <c r="N815" s="141" t="s">
        <v>2373</v>
      </c>
      <c r="O815" s="142" t="s">
        <v>2374</v>
      </c>
      <c r="P815" s="141" t="s">
        <v>2418</v>
      </c>
      <c r="Q815" s="142" t="s">
        <v>2413</v>
      </c>
      <c r="R815" s="141" t="s">
        <v>2454</v>
      </c>
      <c r="S815" s="142" t="s">
        <v>2451</v>
      </c>
      <c r="T815" s="141" t="s">
        <v>2455</v>
      </c>
      <c r="U815" s="142" t="s">
        <v>2452</v>
      </c>
      <c r="V815" s="142" t="s">
        <v>182</v>
      </c>
      <c r="W815" s="141">
        <f t="shared" si="25"/>
        <v>8</v>
      </c>
      <c r="X815" s="143">
        <v>2</v>
      </c>
      <c r="Y815" s="145" t="s">
        <v>2508</v>
      </c>
      <c r="AA815"/>
    </row>
    <row r="816" spans="1:27" s="115" customFormat="1" ht="27" customHeight="1">
      <c r="A816" s="139">
        <v>772</v>
      </c>
      <c r="B816" s="140" t="s">
        <v>5282</v>
      </c>
      <c r="C816" s="141" t="s">
        <v>2373</v>
      </c>
      <c r="D816" s="142" t="s">
        <v>2374</v>
      </c>
      <c r="E816" s="141" t="s">
        <v>2412</v>
      </c>
      <c r="F816" s="142" t="s">
        <v>2413</v>
      </c>
      <c r="G816" s="141" t="s">
        <v>2441</v>
      </c>
      <c r="H816" s="142" t="s">
        <v>2451</v>
      </c>
      <c r="I816" s="141" t="s">
        <v>2467</v>
      </c>
      <c r="J816" s="142" t="s">
        <v>2452</v>
      </c>
      <c r="K816" s="142" t="s">
        <v>182</v>
      </c>
      <c r="L816" s="143">
        <f t="shared" si="24"/>
        <v>1</v>
      </c>
      <c r="M816" s="144" t="s">
        <v>2453</v>
      </c>
      <c r="N816" s="141" t="s">
        <v>2373</v>
      </c>
      <c r="O816" s="142" t="s">
        <v>2374</v>
      </c>
      <c r="P816" s="141" t="s">
        <v>2418</v>
      </c>
      <c r="Q816" s="142" t="s">
        <v>2413</v>
      </c>
      <c r="R816" s="141" t="s">
        <v>2454</v>
      </c>
      <c r="S816" s="142" t="s">
        <v>2451</v>
      </c>
      <c r="T816" s="141" t="s">
        <v>2455</v>
      </c>
      <c r="U816" s="142" t="s">
        <v>2452</v>
      </c>
      <c r="V816" s="142" t="s">
        <v>182</v>
      </c>
      <c r="W816" s="141">
        <f t="shared" si="25"/>
        <v>8</v>
      </c>
      <c r="X816" s="143"/>
      <c r="Y816" s="145" t="s">
        <v>2509</v>
      </c>
      <c r="AA816"/>
    </row>
    <row r="817" spans="1:27" s="115" customFormat="1" ht="27" customHeight="1">
      <c r="A817" s="139">
        <v>773</v>
      </c>
      <c r="B817" s="140" t="s">
        <v>5283</v>
      </c>
      <c r="C817" s="141" t="s">
        <v>2373</v>
      </c>
      <c r="D817" s="142" t="s">
        <v>2374</v>
      </c>
      <c r="E817" s="141" t="s">
        <v>2412</v>
      </c>
      <c r="F817" s="142" t="s">
        <v>2413</v>
      </c>
      <c r="G817" s="141" t="s">
        <v>2441</v>
      </c>
      <c r="H817" s="142" t="s">
        <v>2451</v>
      </c>
      <c r="I817" s="141" t="s">
        <v>2467</v>
      </c>
      <c r="J817" s="142" t="s">
        <v>2452</v>
      </c>
      <c r="K817" s="142" t="s">
        <v>883</v>
      </c>
      <c r="L817" s="143">
        <f t="shared" si="24"/>
        <v>1</v>
      </c>
      <c r="M817" s="144" t="s">
        <v>2510</v>
      </c>
      <c r="N817" s="141" t="s">
        <v>2373</v>
      </c>
      <c r="O817" s="142" t="s">
        <v>2374</v>
      </c>
      <c r="P817" s="141" t="s">
        <v>2418</v>
      </c>
      <c r="Q817" s="142" t="s">
        <v>2413</v>
      </c>
      <c r="R817" s="141" t="s">
        <v>2454</v>
      </c>
      <c r="S817" s="142" t="s">
        <v>2451</v>
      </c>
      <c r="T817" s="141" t="s">
        <v>2455</v>
      </c>
      <c r="U817" s="142" t="s">
        <v>2452</v>
      </c>
      <c r="V817" s="142" t="s">
        <v>883</v>
      </c>
      <c r="W817" s="141">
        <f t="shared" si="25"/>
        <v>1</v>
      </c>
      <c r="X817" s="143"/>
      <c r="Y817" s="145"/>
      <c r="AA817"/>
    </row>
    <row r="818" spans="1:27" s="115" customFormat="1" ht="27" customHeight="1">
      <c r="A818" s="139">
        <v>774</v>
      </c>
      <c r="B818" s="140" t="s">
        <v>5284</v>
      </c>
      <c r="C818" s="141" t="s">
        <v>2373</v>
      </c>
      <c r="D818" s="142" t="s">
        <v>2374</v>
      </c>
      <c r="E818" s="141" t="s">
        <v>2412</v>
      </c>
      <c r="F818" s="142" t="s">
        <v>2413</v>
      </c>
      <c r="G818" s="141" t="s">
        <v>2441</v>
      </c>
      <c r="H818" s="142" t="s">
        <v>2451</v>
      </c>
      <c r="I818" s="141" t="s">
        <v>2467</v>
      </c>
      <c r="J818" s="142" t="s">
        <v>2452</v>
      </c>
      <c r="K818" s="142" t="s">
        <v>877</v>
      </c>
      <c r="L818" s="143">
        <f t="shared" si="24"/>
        <v>1</v>
      </c>
      <c r="M818" s="144" t="s">
        <v>2502</v>
      </c>
      <c r="N818" s="141" t="s">
        <v>2373</v>
      </c>
      <c r="O818" s="142" t="s">
        <v>2374</v>
      </c>
      <c r="P818" s="141" t="s">
        <v>2418</v>
      </c>
      <c r="Q818" s="142" t="s">
        <v>2413</v>
      </c>
      <c r="R818" s="141" t="s">
        <v>2454</v>
      </c>
      <c r="S818" s="142" t="s">
        <v>2451</v>
      </c>
      <c r="T818" s="141" t="s">
        <v>2455</v>
      </c>
      <c r="U818" s="142" t="s">
        <v>2452</v>
      </c>
      <c r="V818" s="142" t="s">
        <v>877</v>
      </c>
      <c r="W818" s="141">
        <f t="shared" si="25"/>
        <v>6</v>
      </c>
      <c r="X818" s="143"/>
      <c r="Y818" s="145" t="s">
        <v>2511</v>
      </c>
      <c r="AA818"/>
    </row>
    <row r="819" spans="1:27" s="115" customFormat="1" ht="27" customHeight="1">
      <c r="A819" s="139">
        <v>775</v>
      </c>
      <c r="B819" s="140" t="s">
        <v>5286</v>
      </c>
      <c r="C819" s="141" t="s">
        <v>2373</v>
      </c>
      <c r="D819" s="142" t="s">
        <v>2374</v>
      </c>
      <c r="E819" s="141" t="s">
        <v>2412</v>
      </c>
      <c r="F819" s="142" t="s">
        <v>2413</v>
      </c>
      <c r="G819" s="141" t="s">
        <v>2441</v>
      </c>
      <c r="H819" s="142" t="s">
        <v>2451</v>
      </c>
      <c r="I819" s="141" t="s">
        <v>2467</v>
      </c>
      <c r="J819" s="142" t="s">
        <v>2452</v>
      </c>
      <c r="K819" s="142" t="s">
        <v>877</v>
      </c>
      <c r="L819" s="143">
        <f t="shared" si="24"/>
        <v>1</v>
      </c>
      <c r="M819" s="144" t="s">
        <v>2502</v>
      </c>
      <c r="N819" s="141" t="s">
        <v>2373</v>
      </c>
      <c r="O819" s="142" t="s">
        <v>2374</v>
      </c>
      <c r="P819" s="141" t="s">
        <v>2418</v>
      </c>
      <c r="Q819" s="142" t="s">
        <v>2413</v>
      </c>
      <c r="R819" s="141" t="s">
        <v>2454</v>
      </c>
      <c r="S819" s="142" t="s">
        <v>2451</v>
      </c>
      <c r="T819" s="141" t="s">
        <v>2455</v>
      </c>
      <c r="U819" s="142" t="s">
        <v>2452</v>
      </c>
      <c r="V819" s="142" t="s">
        <v>877</v>
      </c>
      <c r="W819" s="141">
        <f t="shared" si="25"/>
        <v>6</v>
      </c>
      <c r="X819" s="143"/>
      <c r="Y819" s="145" t="s">
        <v>2512</v>
      </c>
      <c r="AA819"/>
    </row>
    <row r="820" spans="1:27" s="115" customFormat="1" ht="27" customHeight="1">
      <c r="A820" s="139">
        <v>776</v>
      </c>
      <c r="B820" s="140" t="s">
        <v>5287</v>
      </c>
      <c r="C820" s="141" t="s">
        <v>2373</v>
      </c>
      <c r="D820" s="142" t="s">
        <v>2374</v>
      </c>
      <c r="E820" s="141" t="s">
        <v>2412</v>
      </c>
      <c r="F820" s="142" t="s">
        <v>2413</v>
      </c>
      <c r="G820" s="141" t="s">
        <v>2441</v>
      </c>
      <c r="H820" s="142" t="s">
        <v>2451</v>
      </c>
      <c r="I820" s="141" t="s">
        <v>2467</v>
      </c>
      <c r="J820" s="142" t="s">
        <v>2452</v>
      </c>
      <c r="K820" s="142" t="s">
        <v>182</v>
      </c>
      <c r="L820" s="143">
        <f t="shared" si="24"/>
        <v>1</v>
      </c>
      <c r="M820" s="144" t="s">
        <v>2453</v>
      </c>
      <c r="N820" s="141" t="s">
        <v>2373</v>
      </c>
      <c r="O820" s="142" t="s">
        <v>2374</v>
      </c>
      <c r="P820" s="141" t="s">
        <v>2418</v>
      </c>
      <c r="Q820" s="142" t="s">
        <v>2413</v>
      </c>
      <c r="R820" s="141" t="s">
        <v>2454</v>
      </c>
      <c r="S820" s="142" t="s">
        <v>2451</v>
      </c>
      <c r="T820" s="141" t="s">
        <v>2455</v>
      </c>
      <c r="U820" s="142" t="s">
        <v>2452</v>
      </c>
      <c r="V820" s="142" t="s">
        <v>182</v>
      </c>
      <c r="W820" s="141">
        <f t="shared" si="25"/>
        <v>8</v>
      </c>
      <c r="X820" s="143"/>
      <c r="Y820" s="145" t="s">
        <v>2513</v>
      </c>
      <c r="AA820"/>
    </row>
    <row r="821" spans="1:27" s="115" customFormat="1" ht="27" customHeight="1">
      <c r="A821" s="139">
        <v>777</v>
      </c>
      <c r="B821" s="140" t="s">
        <v>5288</v>
      </c>
      <c r="C821" s="141" t="s">
        <v>2373</v>
      </c>
      <c r="D821" s="142" t="s">
        <v>2374</v>
      </c>
      <c r="E821" s="141" t="s">
        <v>2412</v>
      </c>
      <c r="F821" s="142" t="s">
        <v>2413</v>
      </c>
      <c r="G821" s="141" t="s">
        <v>2514</v>
      </c>
      <c r="H821" s="142" t="s">
        <v>2515</v>
      </c>
      <c r="I821" s="141" t="s">
        <v>2516</v>
      </c>
      <c r="J821" s="142" t="s">
        <v>2517</v>
      </c>
      <c r="K821" s="142" t="s">
        <v>884</v>
      </c>
      <c r="L821" s="143">
        <f t="shared" si="24"/>
        <v>1</v>
      </c>
      <c r="M821" s="144" t="s">
        <v>2518</v>
      </c>
      <c r="N821" s="141" t="s">
        <v>2373</v>
      </c>
      <c r="O821" s="142" t="s">
        <v>2374</v>
      </c>
      <c r="P821" s="141" t="s">
        <v>2418</v>
      </c>
      <c r="Q821" s="142" t="s">
        <v>2413</v>
      </c>
      <c r="R821" s="141" t="s">
        <v>2519</v>
      </c>
      <c r="S821" s="142" t="s">
        <v>2515</v>
      </c>
      <c r="T821" s="141" t="s">
        <v>2520</v>
      </c>
      <c r="U821" s="142" t="s">
        <v>2517</v>
      </c>
      <c r="V821" s="142" t="s">
        <v>884</v>
      </c>
      <c r="W821" s="141">
        <f t="shared" si="25"/>
        <v>1</v>
      </c>
      <c r="X821" s="143"/>
      <c r="Y821" s="145"/>
      <c r="AA821"/>
    </row>
    <row r="822" spans="1:27" s="115" customFormat="1" ht="27" customHeight="1">
      <c r="A822" s="139">
        <v>778</v>
      </c>
      <c r="B822" s="140" t="s">
        <v>5289</v>
      </c>
      <c r="C822" s="141" t="s">
        <v>2373</v>
      </c>
      <c r="D822" s="142" t="s">
        <v>2374</v>
      </c>
      <c r="E822" s="141" t="s">
        <v>2412</v>
      </c>
      <c r="F822" s="142" t="s">
        <v>2413</v>
      </c>
      <c r="G822" s="141" t="s">
        <v>2514</v>
      </c>
      <c r="H822" s="142" t="s">
        <v>2515</v>
      </c>
      <c r="I822" s="141" t="s">
        <v>2516</v>
      </c>
      <c r="J822" s="142" t="s">
        <v>2517</v>
      </c>
      <c r="K822" s="142" t="s">
        <v>184</v>
      </c>
      <c r="L822" s="143">
        <f t="shared" si="24"/>
        <v>1</v>
      </c>
      <c r="M822" s="144" t="s">
        <v>2521</v>
      </c>
      <c r="N822" s="141" t="s">
        <v>2373</v>
      </c>
      <c r="O822" s="142" t="s">
        <v>2374</v>
      </c>
      <c r="P822" s="141" t="s">
        <v>2418</v>
      </c>
      <c r="Q822" s="142" t="s">
        <v>2413</v>
      </c>
      <c r="R822" s="141" t="s">
        <v>2519</v>
      </c>
      <c r="S822" s="142" t="s">
        <v>2515</v>
      </c>
      <c r="T822" s="141" t="s">
        <v>2520</v>
      </c>
      <c r="U822" s="142" t="s">
        <v>2517</v>
      </c>
      <c r="V822" s="142" t="s">
        <v>184</v>
      </c>
      <c r="W822" s="141">
        <f t="shared" si="25"/>
        <v>2</v>
      </c>
      <c r="X822" s="143">
        <v>2</v>
      </c>
      <c r="Y822" s="145" t="s">
        <v>2522</v>
      </c>
      <c r="AA822"/>
    </row>
    <row r="823" spans="1:27" s="115" customFormat="1" ht="27" customHeight="1">
      <c r="A823" s="139">
        <v>779</v>
      </c>
      <c r="B823" s="140" t="s">
        <v>5290</v>
      </c>
      <c r="C823" s="141" t="s">
        <v>2373</v>
      </c>
      <c r="D823" s="142" t="s">
        <v>2374</v>
      </c>
      <c r="E823" s="141" t="s">
        <v>2412</v>
      </c>
      <c r="F823" s="142" t="s">
        <v>2413</v>
      </c>
      <c r="G823" s="141" t="s">
        <v>2514</v>
      </c>
      <c r="H823" s="142" t="s">
        <v>2515</v>
      </c>
      <c r="I823" s="141" t="s">
        <v>2516</v>
      </c>
      <c r="J823" s="142" t="s">
        <v>2517</v>
      </c>
      <c r="K823" s="142" t="s">
        <v>184</v>
      </c>
      <c r="L823" s="143">
        <f t="shared" si="24"/>
        <v>1</v>
      </c>
      <c r="M823" s="144" t="s">
        <v>2521</v>
      </c>
      <c r="N823" s="141" t="s">
        <v>2373</v>
      </c>
      <c r="O823" s="142" t="s">
        <v>2374</v>
      </c>
      <c r="P823" s="141" t="s">
        <v>2418</v>
      </c>
      <c r="Q823" s="142" t="s">
        <v>2413</v>
      </c>
      <c r="R823" s="141" t="s">
        <v>2519</v>
      </c>
      <c r="S823" s="142" t="s">
        <v>2515</v>
      </c>
      <c r="T823" s="141" t="s">
        <v>2520</v>
      </c>
      <c r="U823" s="142" t="s">
        <v>2517</v>
      </c>
      <c r="V823" s="142" t="s">
        <v>184</v>
      </c>
      <c r="W823" s="141">
        <f t="shared" si="25"/>
        <v>2</v>
      </c>
      <c r="X823" s="143">
        <v>2</v>
      </c>
      <c r="Y823" s="145" t="s">
        <v>2523</v>
      </c>
      <c r="AA823"/>
    </row>
    <row r="824" spans="1:27" s="115" customFormat="1" ht="27" customHeight="1">
      <c r="A824" s="139">
        <v>780</v>
      </c>
      <c r="B824" s="140" t="s">
        <v>5291</v>
      </c>
      <c r="C824" s="141" t="s">
        <v>2373</v>
      </c>
      <c r="D824" s="142" t="s">
        <v>2374</v>
      </c>
      <c r="E824" s="141" t="s">
        <v>2412</v>
      </c>
      <c r="F824" s="142" t="s">
        <v>2413</v>
      </c>
      <c r="G824" s="141" t="s">
        <v>2514</v>
      </c>
      <c r="H824" s="142" t="s">
        <v>2515</v>
      </c>
      <c r="I824" s="141" t="s">
        <v>2516</v>
      </c>
      <c r="J824" s="142" t="s">
        <v>2517</v>
      </c>
      <c r="K824" s="142" t="s">
        <v>885</v>
      </c>
      <c r="L824" s="143">
        <f t="shared" si="24"/>
        <v>1</v>
      </c>
      <c r="M824" s="144" t="s">
        <v>2524</v>
      </c>
      <c r="N824" s="141" t="s">
        <v>2373</v>
      </c>
      <c r="O824" s="142" t="s">
        <v>2374</v>
      </c>
      <c r="P824" s="141" t="s">
        <v>2418</v>
      </c>
      <c r="Q824" s="142" t="s">
        <v>2413</v>
      </c>
      <c r="R824" s="141" t="s">
        <v>2519</v>
      </c>
      <c r="S824" s="142" t="s">
        <v>2515</v>
      </c>
      <c r="T824" s="141" t="s">
        <v>2520</v>
      </c>
      <c r="U824" s="142" t="s">
        <v>2517</v>
      </c>
      <c r="V824" s="142" t="s">
        <v>885</v>
      </c>
      <c r="W824" s="141">
        <f t="shared" si="25"/>
        <v>2</v>
      </c>
      <c r="X824" s="143">
        <v>1</v>
      </c>
      <c r="Y824" s="145"/>
      <c r="AA824"/>
    </row>
    <row r="825" spans="1:27" s="115" customFormat="1" ht="27" customHeight="1">
      <c r="A825" s="139">
        <v>781</v>
      </c>
      <c r="B825" s="140" t="s">
        <v>5292</v>
      </c>
      <c r="C825" s="141" t="s">
        <v>2373</v>
      </c>
      <c r="D825" s="142" t="s">
        <v>2374</v>
      </c>
      <c r="E825" s="141" t="s">
        <v>2412</v>
      </c>
      <c r="F825" s="142" t="s">
        <v>2413</v>
      </c>
      <c r="G825" s="141" t="s">
        <v>2514</v>
      </c>
      <c r="H825" s="142" t="s">
        <v>2515</v>
      </c>
      <c r="I825" s="141" t="s">
        <v>2516</v>
      </c>
      <c r="J825" s="142" t="s">
        <v>2517</v>
      </c>
      <c r="K825" s="142" t="s">
        <v>886</v>
      </c>
      <c r="L825" s="143">
        <f t="shared" si="24"/>
        <v>1</v>
      </c>
      <c r="M825" s="144">
        <v>46413</v>
      </c>
      <c r="N825" s="141" t="s">
        <v>2373</v>
      </c>
      <c r="O825" s="142" t="s">
        <v>2374</v>
      </c>
      <c r="P825" s="141" t="s">
        <v>2418</v>
      </c>
      <c r="Q825" s="142" t="s">
        <v>2413</v>
      </c>
      <c r="R825" s="141" t="s">
        <v>2519</v>
      </c>
      <c r="S825" s="142" t="s">
        <v>2515</v>
      </c>
      <c r="T825" s="141" t="s">
        <v>2520</v>
      </c>
      <c r="U825" s="142" t="s">
        <v>2517</v>
      </c>
      <c r="V825" s="142" t="s">
        <v>886</v>
      </c>
      <c r="W825" s="141">
        <f t="shared" si="25"/>
        <v>2</v>
      </c>
      <c r="X825" s="143">
        <v>2</v>
      </c>
      <c r="Y825" s="145" t="s">
        <v>2525</v>
      </c>
      <c r="AA825"/>
    </row>
    <row r="826" spans="1:27" s="115" customFormat="1" ht="27" customHeight="1">
      <c r="A826" s="139">
        <v>782</v>
      </c>
      <c r="B826" s="140" t="s">
        <v>5293</v>
      </c>
      <c r="C826" s="141" t="s">
        <v>2373</v>
      </c>
      <c r="D826" s="142" t="s">
        <v>2374</v>
      </c>
      <c r="E826" s="141" t="s">
        <v>2412</v>
      </c>
      <c r="F826" s="142" t="s">
        <v>2413</v>
      </c>
      <c r="G826" s="141" t="s">
        <v>2514</v>
      </c>
      <c r="H826" s="142" t="s">
        <v>2515</v>
      </c>
      <c r="I826" s="141" t="s">
        <v>2516</v>
      </c>
      <c r="J826" s="142" t="s">
        <v>2517</v>
      </c>
      <c r="K826" s="142" t="s">
        <v>886</v>
      </c>
      <c r="L826" s="143">
        <f t="shared" si="24"/>
        <v>1</v>
      </c>
      <c r="M826" s="144" t="s">
        <v>2526</v>
      </c>
      <c r="N826" s="141" t="s">
        <v>2373</v>
      </c>
      <c r="O826" s="142" t="s">
        <v>2374</v>
      </c>
      <c r="P826" s="141" t="s">
        <v>2418</v>
      </c>
      <c r="Q826" s="142" t="s">
        <v>2413</v>
      </c>
      <c r="R826" s="141" t="s">
        <v>2519</v>
      </c>
      <c r="S826" s="142" t="s">
        <v>2515</v>
      </c>
      <c r="T826" s="141" t="s">
        <v>2520</v>
      </c>
      <c r="U826" s="142" t="s">
        <v>2517</v>
      </c>
      <c r="V826" s="142" t="s">
        <v>886</v>
      </c>
      <c r="W826" s="141">
        <f t="shared" si="25"/>
        <v>2</v>
      </c>
      <c r="X826" s="143">
        <v>2</v>
      </c>
      <c r="Y826" s="145" t="s">
        <v>2527</v>
      </c>
      <c r="AA826"/>
    </row>
    <row r="827" spans="1:27" s="115" customFormat="1" ht="27" customHeight="1">
      <c r="A827" s="139">
        <v>783</v>
      </c>
      <c r="B827" s="140" t="s">
        <v>5294</v>
      </c>
      <c r="C827" s="141" t="s">
        <v>2373</v>
      </c>
      <c r="D827" s="142" t="s">
        <v>2374</v>
      </c>
      <c r="E827" s="141" t="s">
        <v>2412</v>
      </c>
      <c r="F827" s="142" t="s">
        <v>2413</v>
      </c>
      <c r="G827" s="141" t="s">
        <v>2514</v>
      </c>
      <c r="H827" s="142" t="s">
        <v>2515</v>
      </c>
      <c r="I827" s="141" t="s">
        <v>2516</v>
      </c>
      <c r="J827" s="142" t="s">
        <v>2517</v>
      </c>
      <c r="K827" s="142" t="s">
        <v>887</v>
      </c>
      <c r="L827" s="143">
        <f t="shared" si="24"/>
        <v>1</v>
      </c>
      <c r="M827" s="144" t="s">
        <v>2528</v>
      </c>
      <c r="N827" s="141" t="s">
        <v>2373</v>
      </c>
      <c r="O827" s="142" t="s">
        <v>2374</v>
      </c>
      <c r="P827" s="141" t="s">
        <v>2418</v>
      </c>
      <c r="Q827" s="142" t="s">
        <v>2413</v>
      </c>
      <c r="R827" s="141" t="s">
        <v>2519</v>
      </c>
      <c r="S827" s="142" t="s">
        <v>2515</v>
      </c>
      <c r="T827" s="141" t="s">
        <v>2520</v>
      </c>
      <c r="U827" s="142" t="s">
        <v>2517</v>
      </c>
      <c r="V827" s="142" t="s">
        <v>887</v>
      </c>
      <c r="W827" s="141">
        <f t="shared" si="25"/>
        <v>1</v>
      </c>
      <c r="X827" s="143"/>
      <c r="Y827" s="145"/>
      <c r="AA827"/>
    </row>
    <row r="828" spans="1:27" s="115" customFormat="1" ht="27" customHeight="1">
      <c r="A828" s="139">
        <v>784</v>
      </c>
      <c r="B828" s="140" t="s">
        <v>5295</v>
      </c>
      <c r="C828" s="141" t="s">
        <v>2373</v>
      </c>
      <c r="D828" s="142" t="s">
        <v>2374</v>
      </c>
      <c r="E828" s="141" t="s">
        <v>2412</v>
      </c>
      <c r="F828" s="142" t="s">
        <v>2413</v>
      </c>
      <c r="G828" s="141" t="s">
        <v>2514</v>
      </c>
      <c r="H828" s="142" t="s">
        <v>2515</v>
      </c>
      <c r="I828" s="141" t="s">
        <v>2516</v>
      </c>
      <c r="J828" s="142" t="s">
        <v>2517</v>
      </c>
      <c r="K828" s="142" t="s">
        <v>888</v>
      </c>
      <c r="L828" s="143">
        <f t="shared" si="24"/>
        <v>1</v>
      </c>
      <c r="M828" s="144" t="s">
        <v>2529</v>
      </c>
      <c r="N828" s="141" t="s">
        <v>2373</v>
      </c>
      <c r="O828" s="142" t="s">
        <v>2374</v>
      </c>
      <c r="P828" s="141" t="s">
        <v>2418</v>
      </c>
      <c r="Q828" s="142" t="s">
        <v>2413</v>
      </c>
      <c r="R828" s="141" t="s">
        <v>2519</v>
      </c>
      <c r="S828" s="142" t="s">
        <v>2515</v>
      </c>
      <c r="T828" s="141" t="s">
        <v>2520</v>
      </c>
      <c r="U828" s="142" t="s">
        <v>2517</v>
      </c>
      <c r="V828" s="142" t="s">
        <v>888</v>
      </c>
      <c r="W828" s="141">
        <f t="shared" si="25"/>
        <v>1</v>
      </c>
      <c r="X828" s="143"/>
      <c r="Y828" s="145"/>
      <c r="AA828"/>
    </row>
    <row r="829" spans="1:27" s="115" customFormat="1" ht="27" customHeight="1">
      <c r="A829" s="139">
        <v>785</v>
      </c>
      <c r="B829" s="140" t="s">
        <v>5296</v>
      </c>
      <c r="C829" s="141" t="s">
        <v>2373</v>
      </c>
      <c r="D829" s="142" t="s">
        <v>2374</v>
      </c>
      <c r="E829" s="141" t="s">
        <v>2412</v>
      </c>
      <c r="F829" s="142" t="s">
        <v>2413</v>
      </c>
      <c r="G829" s="141" t="s">
        <v>2514</v>
      </c>
      <c r="H829" s="142" t="s">
        <v>2515</v>
      </c>
      <c r="I829" s="141" t="s">
        <v>2516</v>
      </c>
      <c r="J829" s="142" t="s">
        <v>185</v>
      </c>
      <c r="K829" s="142" t="s">
        <v>185</v>
      </c>
      <c r="L829" s="143">
        <f t="shared" si="24"/>
        <v>1</v>
      </c>
      <c r="M829" s="144" t="s">
        <v>2530</v>
      </c>
      <c r="N829" s="141" t="s">
        <v>2373</v>
      </c>
      <c r="O829" s="142" t="s">
        <v>2374</v>
      </c>
      <c r="P829" s="141" t="s">
        <v>2418</v>
      </c>
      <c r="Q829" s="142" t="s">
        <v>2413</v>
      </c>
      <c r="R829" s="141" t="s">
        <v>2519</v>
      </c>
      <c r="S829" s="142" t="s">
        <v>2515</v>
      </c>
      <c r="T829" s="141" t="s">
        <v>2531</v>
      </c>
      <c r="U829" s="142" t="s">
        <v>185</v>
      </c>
      <c r="V829" s="142" t="s">
        <v>185</v>
      </c>
      <c r="W829" s="141">
        <f t="shared" si="25"/>
        <v>1</v>
      </c>
      <c r="X829" s="143"/>
      <c r="Y829" s="145"/>
      <c r="AA829"/>
    </row>
    <row r="830" spans="1:27" s="115" customFormat="1" ht="27" customHeight="1">
      <c r="A830" s="139">
        <v>786</v>
      </c>
      <c r="B830" s="140" t="s">
        <v>5297</v>
      </c>
      <c r="C830" s="141" t="s">
        <v>2373</v>
      </c>
      <c r="D830" s="142" t="s">
        <v>2374</v>
      </c>
      <c r="E830" s="141" t="s">
        <v>2412</v>
      </c>
      <c r="F830" s="142" t="s">
        <v>2413</v>
      </c>
      <c r="G830" s="141" t="s">
        <v>2514</v>
      </c>
      <c r="H830" s="142" t="s">
        <v>2515</v>
      </c>
      <c r="I830" s="141" t="s">
        <v>2516</v>
      </c>
      <c r="J830" s="142" t="s">
        <v>2517</v>
      </c>
      <c r="K830" s="142" t="s">
        <v>889</v>
      </c>
      <c r="L830" s="143">
        <f t="shared" si="24"/>
        <v>1</v>
      </c>
      <c r="M830" s="144" t="s">
        <v>2532</v>
      </c>
      <c r="N830" s="141" t="s">
        <v>2373</v>
      </c>
      <c r="O830" s="142" t="s">
        <v>2374</v>
      </c>
      <c r="P830" s="141" t="s">
        <v>2418</v>
      </c>
      <c r="Q830" s="142" t="s">
        <v>2413</v>
      </c>
      <c r="R830" s="141" t="s">
        <v>2519</v>
      </c>
      <c r="S830" s="142" t="s">
        <v>2515</v>
      </c>
      <c r="T830" s="141" t="s">
        <v>2520</v>
      </c>
      <c r="U830" s="142" t="s">
        <v>2517</v>
      </c>
      <c r="V830" s="142" t="s">
        <v>889</v>
      </c>
      <c r="W830" s="141">
        <f t="shared" si="25"/>
        <v>1</v>
      </c>
      <c r="X830" s="143"/>
      <c r="Y830" s="145"/>
      <c r="AA830"/>
    </row>
    <row r="831" spans="1:27" s="115" customFormat="1" ht="27" customHeight="1">
      <c r="A831" s="139">
        <v>787</v>
      </c>
      <c r="B831" s="140" t="s">
        <v>5298</v>
      </c>
      <c r="C831" s="141" t="s">
        <v>2373</v>
      </c>
      <c r="D831" s="142" t="s">
        <v>2374</v>
      </c>
      <c r="E831" s="141" t="s">
        <v>2412</v>
      </c>
      <c r="F831" s="142" t="s">
        <v>2413</v>
      </c>
      <c r="G831" s="141" t="s">
        <v>2514</v>
      </c>
      <c r="H831" s="142" t="s">
        <v>2515</v>
      </c>
      <c r="I831" s="141" t="s">
        <v>2516</v>
      </c>
      <c r="J831" s="142" t="s">
        <v>2517</v>
      </c>
      <c r="K831" s="142" t="s">
        <v>890</v>
      </c>
      <c r="L831" s="143">
        <f t="shared" si="24"/>
        <v>1</v>
      </c>
      <c r="M831" s="144" t="s">
        <v>2533</v>
      </c>
      <c r="N831" s="141" t="s">
        <v>2373</v>
      </c>
      <c r="O831" s="142" t="s">
        <v>2374</v>
      </c>
      <c r="P831" s="141" t="s">
        <v>2418</v>
      </c>
      <c r="Q831" s="142" t="s">
        <v>2413</v>
      </c>
      <c r="R831" s="141" t="s">
        <v>2519</v>
      </c>
      <c r="S831" s="142" t="s">
        <v>2515</v>
      </c>
      <c r="T831" s="141" t="s">
        <v>2520</v>
      </c>
      <c r="U831" s="142" t="s">
        <v>2517</v>
      </c>
      <c r="V831" s="142" t="s">
        <v>890</v>
      </c>
      <c r="W831" s="141">
        <f t="shared" si="25"/>
        <v>3</v>
      </c>
      <c r="X831" s="143">
        <v>2</v>
      </c>
      <c r="Y831" s="145" t="s">
        <v>2534</v>
      </c>
      <c r="AA831"/>
    </row>
    <row r="832" spans="1:27" s="115" customFormat="1" ht="27" customHeight="1">
      <c r="A832" s="139">
        <v>788</v>
      </c>
      <c r="B832" s="140" t="s">
        <v>5299</v>
      </c>
      <c r="C832" s="141" t="s">
        <v>2373</v>
      </c>
      <c r="D832" s="142" t="s">
        <v>2374</v>
      </c>
      <c r="E832" s="141" t="s">
        <v>2412</v>
      </c>
      <c r="F832" s="142" t="s">
        <v>2413</v>
      </c>
      <c r="G832" s="141" t="s">
        <v>2514</v>
      </c>
      <c r="H832" s="142" t="s">
        <v>2515</v>
      </c>
      <c r="I832" s="141" t="s">
        <v>2535</v>
      </c>
      <c r="J832" s="142" t="s">
        <v>2536</v>
      </c>
      <c r="K832" s="142" t="s">
        <v>891</v>
      </c>
      <c r="L832" s="143">
        <f t="shared" si="24"/>
        <v>1</v>
      </c>
      <c r="M832" s="144" t="s">
        <v>2537</v>
      </c>
      <c r="N832" s="141" t="s">
        <v>2373</v>
      </c>
      <c r="O832" s="142" t="s">
        <v>2374</v>
      </c>
      <c r="P832" s="141" t="s">
        <v>2418</v>
      </c>
      <c r="Q832" s="142" t="s">
        <v>2413</v>
      </c>
      <c r="R832" s="141" t="s">
        <v>2519</v>
      </c>
      <c r="S832" s="142" t="s">
        <v>2515</v>
      </c>
      <c r="T832" s="141" t="s">
        <v>2538</v>
      </c>
      <c r="U832" s="142" t="s">
        <v>2536</v>
      </c>
      <c r="V832" s="142" t="s">
        <v>891</v>
      </c>
      <c r="W832" s="141">
        <f t="shared" si="25"/>
        <v>2</v>
      </c>
      <c r="X832" s="143">
        <v>1</v>
      </c>
      <c r="Y832" s="145"/>
      <c r="AA832"/>
    </row>
    <row r="833" spans="1:27" s="115" customFormat="1" ht="27" customHeight="1">
      <c r="A833" s="139">
        <v>789</v>
      </c>
      <c r="B833" s="140" t="s">
        <v>6060</v>
      </c>
      <c r="C833" s="141" t="s">
        <v>2373</v>
      </c>
      <c r="D833" s="142" t="s">
        <v>2374</v>
      </c>
      <c r="E833" s="141" t="s">
        <v>2412</v>
      </c>
      <c r="F833" s="142" t="s">
        <v>2413</v>
      </c>
      <c r="G833" s="141" t="s">
        <v>2514</v>
      </c>
      <c r="H833" s="142" t="s">
        <v>2539</v>
      </c>
      <c r="I833" s="141" t="s">
        <v>2535</v>
      </c>
      <c r="J833" s="142" t="s">
        <v>2540</v>
      </c>
      <c r="K833" s="142" t="s">
        <v>186</v>
      </c>
      <c r="L833" s="143">
        <f t="shared" si="24"/>
        <v>1</v>
      </c>
      <c r="M833" s="144" t="s">
        <v>2541</v>
      </c>
      <c r="N833" s="141" t="s">
        <v>2373</v>
      </c>
      <c r="O833" s="142" t="s">
        <v>2374</v>
      </c>
      <c r="P833" s="141" t="s">
        <v>2418</v>
      </c>
      <c r="Q833" s="142" t="s">
        <v>2413</v>
      </c>
      <c r="R833" s="141" t="s">
        <v>2542</v>
      </c>
      <c r="S833" s="142" t="s">
        <v>2539</v>
      </c>
      <c r="T833" s="141" t="s">
        <v>2543</v>
      </c>
      <c r="U833" s="142" t="s">
        <v>2540</v>
      </c>
      <c r="V833" s="142" t="s">
        <v>186</v>
      </c>
      <c r="W833" s="141">
        <f t="shared" si="25"/>
        <v>2</v>
      </c>
      <c r="X833" s="143">
        <v>1</v>
      </c>
      <c r="Y833" s="145"/>
      <c r="AA833"/>
    </row>
    <row r="834" spans="1:27" s="115" customFormat="1" ht="27" customHeight="1">
      <c r="A834" s="139">
        <v>790</v>
      </c>
      <c r="B834" s="140" t="s">
        <v>5300</v>
      </c>
      <c r="C834" s="141" t="s">
        <v>2373</v>
      </c>
      <c r="D834" s="142" t="s">
        <v>2374</v>
      </c>
      <c r="E834" s="141" t="s">
        <v>2412</v>
      </c>
      <c r="F834" s="142" t="s">
        <v>2413</v>
      </c>
      <c r="G834" s="141" t="s">
        <v>2514</v>
      </c>
      <c r="H834" s="142" t="s">
        <v>2515</v>
      </c>
      <c r="I834" s="141" t="s">
        <v>2535</v>
      </c>
      <c r="J834" s="142" t="s">
        <v>2536</v>
      </c>
      <c r="K834" s="142" t="s">
        <v>892</v>
      </c>
      <c r="L834" s="143">
        <f t="shared" si="24"/>
        <v>1</v>
      </c>
      <c r="M834" s="144" t="s">
        <v>2544</v>
      </c>
      <c r="N834" s="141" t="s">
        <v>2373</v>
      </c>
      <c r="O834" s="142" t="s">
        <v>2374</v>
      </c>
      <c r="P834" s="141" t="s">
        <v>2418</v>
      </c>
      <c r="Q834" s="142" t="s">
        <v>2413</v>
      </c>
      <c r="R834" s="141" t="s">
        <v>2519</v>
      </c>
      <c r="S834" s="142" t="s">
        <v>2515</v>
      </c>
      <c r="T834" s="141" t="s">
        <v>2538</v>
      </c>
      <c r="U834" s="142" t="s">
        <v>2536</v>
      </c>
      <c r="V834" s="142" t="s">
        <v>892</v>
      </c>
      <c r="W834" s="141">
        <f t="shared" si="25"/>
        <v>4</v>
      </c>
      <c r="X834" s="143">
        <v>2</v>
      </c>
      <c r="Y834" s="145" t="s">
        <v>2545</v>
      </c>
      <c r="AA834"/>
    </row>
    <row r="835" spans="1:27" s="115" customFormat="1" ht="13.5" customHeight="1">
      <c r="A835" s="139">
        <v>791</v>
      </c>
      <c r="B835" s="140" t="s">
        <v>5301</v>
      </c>
      <c r="C835" s="141" t="s">
        <v>2373</v>
      </c>
      <c r="D835" s="142" t="s">
        <v>2374</v>
      </c>
      <c r="E835" s="141" t="s">
        <v>2412</v>
      </c>
      <c r="F835" s="142" t="s">
        <v>2413</v>
      </c>
      <c r="G835" s="141" t="s">
        <v>2514</v>
      </c>
      <c r="H835" s="142" t="s">
        <v>2539</v>
      </c>
      <c r="I835" s="141" t="s">
        <v>2535</v>
      </c>
      <c r="J835" s="142" t="s">
        <v>2546</v>
      </c>
      <c r="K835" s="142" t="s">
        <v>893</v>
      </c>
      <c r="L835" s="143">
        <f t="shared" si="24"/>
        <v>1</v>
      </c>
      <c r="M835" s="144" t="s">
        <v>2547</v>
      </c>
      <c r="N835" s="141" t="s">
        <v>2373</v>
      </c>
      <c r="O835" s="142" t="s">
        <v>2374</v>
      </c>
      <c r="P835" s="141" t="s">
        <v>2418</v>
      </c>
      <c r="Q835" s="142" t="s">
        <v>2413</v>
      </c>
      <c r="R835" s="141" t="s">
        <v>2542</v>
      </c>
      <c r="S835" s="142" t="s">
        <v>2539</v>
      </c>
      <c r="T835" s="141" t="s">
        <v>2548</v>
      </c>
      <c r="U835" s="142" t="s">
        <v>2546</v>
      </c>
      <c r="V835" s="142" t="s">
        <v>893</v>
      </c>
      <c r="W835" s="141">
        <f t="shared" si="25"/>
        <v>3</v>
      </c>
      <c r="X835" s="143"/>
      <c r="Y835" s="145" t="s">
        <v>2549</v>
      </c>
      <c r="AA835"/>
    </row>
    <row r="836" spans="1:27" s="115" customFormat="1" ht="27" customHeight="1">
      <c r="A836" s="139">
        <v>792</v>
      </c>
      <c r="B836" s="140" t="s">
        <v>5302</v>
      </c>
      <c r="C836" s="141" t="s">
        <v>2373</v>
      </c>
      <c r="D836" s="142" t="s">
        <v>2374</v>
      </c>
      <c r="E836" s="141" t="s">
        <v>2412</v>
      </c>
      <c r="F836" s="142" t="s">
        <v>2413</v>
      </c>
      <c r="G836" s="141" t="s">
        <v>2514</v>
      </c>
      <c r="H836" s="142" t="s">
        <v>2515</v>
      </c>
      <c r="I836" s="141" t="s">
        <v>2535</v>
      </c>
      <c r="J836" s="142" t="s">
        <v>2536</v>
      </c>
      <c r="K836" s="142" t="s">
        <v>894</v>
      </c>
      <c r="L836" s="143">
        <f t="shared" si="24"/>
        <v>1</v>
      </c>
      <c r="M836" s="144" t="s">
        <v>2550</v>
      </c>
      <c r="N836" s="141" t="s">
        <v>2373</v>
      </c>
      <c r="O836" s="142" t="s">
        <v>2374</v>
      </c>
      <c r="P836" s="141" t="s">
        <v>2418</v>
      </c>
      <c r="Q836" s="142" t="s">
        <v>2413</v>
      </c>
      <c r="R836" s="141" t="s">
        <v>2519</v>
      </c>
      <c r="S836" s="142" t="s">
        <v>2515</v>
      </c>
      <c r="T836" s="141" t="s">
        <v>2538</v>
      </c>
      <c r="U836" s="142" t="s">
        <v>2536</v>
      </c>
      <c r="V836" s="142" t="s">
        <v>894</v>
      </c>
      <c r="W836" s="141">
        <f t="shared" si="25"/>
        <v>1</v>
      </c>
      <c r="X836" s="143"/>
      <c r="Y836" s="145"/>
      <c r="AA836"/>
    </row>
    <row r="837" spans="1:27" s="115" customFormat="1" ht="27" customHeight="1">
      <c r="A837" s="139">
        <v>793</v>
      </c>
      <c r="B837" s="140" t="s">
        <v>5303</v>
      </c>
      <c r="C837" s="141" t="s">
        <v>2373</v>
      </c>
      <c r="D837" s="142" t="s">
        <v>2374</v>
      </c>
      <c r="E837" s="141" t="s">
        <v>2412</v>
      </c>
      <c r="F837" s="142" t="s">
        <v>2413</v>
      </c>
      <c r="G837" s="141" t="s">
        <v>2514</v>
      </c>
      <c r="H837" s="142" t="s">
        <v>2515</v>
      </c>
      <c r="I837" s="141" t="s">
        <v>2535</v>
      </c>
      <c r="J837" s="142" t="s">
        <v>2551</v>
      </c>
      <c r="K837" s="142" t="s">
        <v>895</v>
      </c>
      <c r="L837" s="143">
        <f t="shared" ref="L837:L900" si="26">COUNTIF($B$5:$B$1752,B837)</f>
        <v>1</v>
      </c>
      <c r="M837" s="144" t="s">
        <v>2552</v>
      </c>
      <c r="N837" s="141" t="s">
        <v>2373</v>
      </c>
      <c r="O837" s="142" t="s">
        <v>2374</v>
      </c>
      <c r="P837" s="141" t="s">
        <v>2418</v>
      </c>
      <c r="Q837" s="142" t="s">
        <v>2413</v>
      </c>
      <c r="R837" s="141" t="s">
        <v>2519</v>
      </c>
      <c r="S837" s="142" t="s">
        <v>2515</v>
      </c>
      <c r="T837" s="141" t="s">
        <v>2553</v>
      </c>
      <c r="U837" s="142" t="s">
        <v>2551</v>
      </c>
      <c r="V837" s="142" t="s">
        <v>895</v>
      </c>
      <c r="W837" s="141">
        <f t="shared" ref="W837:W900" si="27">COUNTIF($M$5:$M$1756,M837)</f>
        <v>1</v>
      </c>
      <c r="X837" s="143"/>
      <c r="Y837" s="145"/>
      <c r="AA837"/>
    </row>
    <row r="838" spans="1:27" s="115" customFormat="1" ht="27" customHeight="1">
      <c r="A838" s="139">
        <v>794</v>
      </c>
      <c r="B838" s="140" t="s">
        <v>5304</v>
      </c>
      <c r="C838" s="141" t="s">
        <v>2373</v>
      </c>
      <c r="D838" s="142" t="s">
        <v>2374</v>
      </c>
      <c r="E838" s="141" t="s">
        <v>2412</v>
      </c>
      <c r="F838" s="142" t="s">
        <v>2413</v>
      </c>
      <c r="G838" s="141" t="s">
        <v>2514</v>
      </c>
      <c r="H838" s="142" t="s">
        <v>2515</v>
      </c>
      <c r="I838" s="141" t="s">
        <v>2535</v>
      </c>
      <c r="J838" s="142" t="s">
        <v>2551</v>
      </c>
      <c r="K838" s="142" t="s">
        <v>896</v>
      </c>
      <c r="L838" s="143">
        <f t="shared" si="26"/>
        <v>1</v>
      </c>
      <c r="M838" s="144" t="s">
        <v>2554</v>
      </c>
      <c r="N838" s="141" t="s">
        <v>2373</v>
      </c>
      <c r="O838" s="142" t="s">
        <v>2374</v>
      </c>
      <c r="P838" s="141" t="s">
        <v>2418</v>
      </c>
      <c r="Q838" s="142" t="s">
        <v>2413</v>
      </c>
      <c r="R838" s="141" t="s">
        <v>2519</v>
      </c>
      <c r="S838" s="142" t="s">
        <v>2515</v>
      </c>
      <c r="T838" s="141" t="s">
        <v>2553</v>
      </c>
      <c r="U838" s="142" t="s">
        <v>2551</v>
      </c>
      <c r="V838" s="142" t="s">
        <v>896</v>
      </c>
      <c r="W838" s="141">
        <f t="shared" si="27"/>
        <v>1</v>
      </c>
      <c r="X838" s="143"/>
      <c r="Y838" s="145"/>
      <c r="AA838"/>
    </row>
    <row r="839" spans="1:27" s="115" customFormat="1" ht="27" customHeight="1">
      <c r="A839" s="139">
        <v>795</v>
      </c>
      <c r="B839" s="140" t="s">
        <v>5305</v>
      </c>
      <c r="C839" s="141" t="s">
        <v>2373</v>
      </c>
      <c r="D839" s="142" t="s">
        <v>2374</v>
      </c>
      <c r="E839" s="141" t="s">
        <v>2412</v>
      </c>
      <c r="F839" s="142" t="s">
        <v>2413</v>
      </c>
      <c r="G839" s="141" t="s">
        <v>2514</v>
      </c>
      <c r="H839" s="142" t="s">
        <v>2515</v>
      </c>
      <c r="I839" s="141" t="s">
        <v>2535</v>
      </c>
      <c r="J839" s="142" t="s">
        <v>2517</v>
      </c>
      <c r="K839" s="142" t="s">
        <v>885</v>
      </c>
      <c r="L839" s="143">
        <f t="shared" si="26"/>
        <v>1</v>
      </c>
      <c r="M839" s="144" t="s">
        <v>2524</v>
      </c>
      <c r="N839" s="141" t="s">
        <v>2373</v>
      </c>
      <c r="O839" s="142" t="s">
        <v>2374</v>
      </c>
      <c r="P839" s="141" t="s">
        <v>2418</v>
      </c>
      <c r="Q839" s="142" t="s">
        <v>2413</v>
      </c>
      <c r="R839" s="141" t="s">
        <v>2519</v>
      </c>
      <c r="S839" s="142" t="s">
        <v>2515</v>
      </c>
      <c r="T839" s="141" t="s">
        <v>2520</v>
      </c>
      <c r="U839" s="142" t="s">
        <v>2517</v>
      </c>
      <c r="V839" s="142" t="s">
        <v>885</v>
      </c>
      <c r="W839" s="141">
        <f t="shared" si="27"/>
        <v>2</v>
      </c>
      <c r="X839" s="143"/>
      <c r="Y839" s="145" t="s">
        <v>2555</v>
      </c>
      <c r="AA839"/>
    </row>
    <row r="840" spans="1:27" s="115" customFormat="1" ht="27" customHeight="1">
      <c r="A840" s="139">
        <v>796</v>
      </c>
      <c r="B840" s="140" t="s">
        <v>5306</v>
      </c>
      <c r="C840" s="141" t="s">
        <v>2373</v>
      </c>
      <c r="D840" s="142" t="s">
        <v>2374</v>
      </c>
      <c r="E840" s="141" t="s">
        <v>2412</v>
      </c>
      <c r="F840" s="142" t="s">
        <v>2413</v>
      </c>
      <c r="G840" s="141" t="s">
        <v>2514</v>
      </c>
      <c r="H840" s="142" t="s">
        <v>2556</v>
      </c>
      <c r="I840" s="141" t="s">
        <v>2535</v>
      </c>
      <c r="J840" s="142" t="s">
        <v>2557</v>
      </c>
      <c r="K840" s="142" t="s">
        <v>187</v>
      </c>
      <c r="L840" s="143">
        <f t="shared" si="26"/>
        <v>1</v>
      </c>
      <c r="M840" s="144" t="s">
        <v>2558</v>
      </c>
      <c r="N840" s="141" t="s">
        <v>2373</v>
      </c>
      <c r="O840" s="142" t="s">
        <v>2374</v>
      </c>
      <c r="P840" s="141" t="s">
        <v>2418</v>
      </c>
      <c r="Q840" s="142" t="s">
        <v>2413</v>
      </c>
      <c r="R840" s="141" t="s">
        <v>2559</v>
      </c>
      <c r="S840" s="142" t="s">
        <v>2556</v>
      </c>
      <c r="T840" s="141" t="s">
        <v>2560</v>
      </c>
      <c r="U840" s="142" t="s">
        <v>2557</v>
      </c>
      <c r="V840" s="142" t="s">
        <v>187</v>
      </c>
      <c r="W840" s="141">
        <f t="shared" si="27"/>
        <v>1</v>
      </c>
      <c r="X840" s="143"/>
      <c r="Y840" s="145"/>
      <c r="AA840"/>
    </row>
    <row r="841" spans="1:27" s="115" customFormat="1" ht="27" customHeight="1">
      <c r="A841" s="139">
        <v>797</v>
      </c>
      <c r="B841" s="140" t="s">
        <v>5307</v>
      </c>
      <c r="C841" s="141" t="s">
        <v>2373</v>
      </c>
      <c r="D841" s="142" t="s">
        <v>2374</v>
      </c>
      <c r="E841" s="141" t="s">
        <v>2412</v>
      </c>
      <c r="F841" s="142" t="s">
        <v>2413</v>
      </c>
      <c r="G841" s="141" t="s">
        <v>2514</v>
      </c>
      <c r="H841" s="142" t="s">
        <v>2515</v>
      </c>
      <c r="I841" s="141" t="s">
        <v>2535</v>
      </c>
      <c r="J841" s="142" t="s">
        <v>2536</v>
      </c>
      <c r="K841" s="142" t="s">
        <v>892</v>
      </c>
      <c r="L841" s="143">
        <f t="shared" si="26"/>
        <v>1</v>
      </c>
      <c r="M841" s="144" t="s">
        <v>2544</v>
      </c>
      <c r="N841" s="141" t="s">
        <v>2373</v>
      </c>
      <c r="O841" s="142" t="s">
        <v>2374</v>
      </c>
      <c r="P841" s="141" t="s">
        <v>2418</v>
      </c>
      <c r="Q841" s="142" t="s">
        <v>2413</v>
      </c>
      <c r="R841" s="141" t="s">
        <v>2519</v>
      </c>
      <c r="S841" s="142" t="s">
        <v>2515</v>
      </c>
      <c r="T841" s="141" t="s">
        <v>2538</v>
      </c>
      <c r="U841" s="142" t="s">
        <v>2536</v>
      </c>
      <c r="V841" s="142" t="s">
        <v>892</v>
      </c>
      <c r="W841" s="141">
        <f t="shared" si="27"/>
        <v>4</v>
      </c>
      <c r="X841" s="143">
        <v>2</v>
      </c>
      <c r="Y841" s="145" t="s">
        <v>2561</v>
      </c>
      <c r="AA841"/>
    </row>
    <row r="842" spans="1:27" s="115" customFormat="1" ht="27" customHeight="1">
      <c r="A842" s="139">
        <v>798</v>
      </c>
      <c r="B842" s="140" t="s">
        <v>5308</v>
      </c>
      <c r="C842" s="141" t="s">
        <v>2373</v>
      </c>
      <c r="D842" s="142" t="s">
        <v>2374</v>
      </c>
      <c r="E842" s="141" t="s">
        <v>2412</v>
      </c>
      <c r="F842" s="142" t="s">
        <v>2413</v>
      </c>
      <c r="G842" s="141" t="s">
        <v>2514</v>
      </c>
      <c r="H842" s="142" t="s">
        <v>2515</v>
      </c>
      <c r="I842" s="141" t="s">
        <v>2535</v>
      </c>
      <c r="J842" s="142" t="s">
        <v>2536</v>
      </c>
      <c r="K842" s="142" t="s">
        <v>892</v>
      </c>
      <c r="L842" s="143">
        <f t="shared" si="26"/>
        <v>1</v>
      </c>
      <c r="M842" s="144" t="s">
        <v>2544</v>
      </c>
      <c r="N842" s="141" t="s">
        <v>2373</v>
      </c>
      <c r="O842" s="142" t="s">
        <v>2374</v>
      </c>
      <c r="P842" s="141" t="s">
        <v>2418</v>
      </c>
      <c r="Q842" s="142" t="s">
        <v>2413</v>
      </c>
      <c r="R842" s="141" t="s">
        <v>2519</v>
      </c>
      <c r="S842" s="142" t="s">
        <v>2515</v>
      </c>
      <c r="T842" s="141" t="s">
        <v>2538</v>
      </c>
      <c r="U842" s="142" t="s">
        <v>2536</v>
      </c>
      <c r="V842" s="142" t="s">
        <v>892</v>
      </c>
      <c r="W842" s="141">
        <f t="shared" si="27"/>
        <v>4</v>
      </c>
      <c r="X842" s="143">
        <v>2</v>
      </c>
      <c r="Y842" s="145" t="s">
        <v>2562</v>
      </c>
      <c r="AA842"/>
    </row>
    <row r="843" spans="1:27" s="115" customFormat="1" ht="27" customHeight="1">
      <c r="A843" s="139">
        <v>799</v>
      </c>
      <c r="B843" s="140" t="s">
        <v>5309</v>
      </c>
      <c r="C843" s="141" t="s">
        <v>2373</v>
      </c>
      <c r="D843" s="142" t="s">
        <v>2374</v>
      </c>
      <c r="E843" s="141" t="s">
        <v>2412</v>
      </c>
      <c r="F843" s="142" t="s">
        <v>2413</v>
      </c>
      <c r="G843" s="141" t="s">
        <v>2514</v>
      </c>
      <c r="H843" s="142" t="s">
        <v>2515</v>
      </c>
      <c r="I843" s="141" t="s">
        <v>2535</v>
      </c>
      <c r="J843" s="142" t="s">
        <v>2536</v>
      </c>
      <c r="K843" s="142" t="s">
        <v>891</v>
      </c>
      <c r="L843" s="143">
        <f t="shared" si="26"/>
        <v>1</v>
      </c>
      <c r="M843" s="144" t="s">
        <v>2537</v>
      </c>
      <c r="N843" s="141" t="s">
        <v>2373</v>
      </c>
      <c r="O843" s="142" t="s">
        <v>2374</v>
      </c>
      <c r="P843" s="141" t="s">
        <v>2418</v>
      </c>
      <c r="Q843" s="142" t="s">
        <v>2413</v>
      </c>
      <c r="R843" s="141" t="s">
        <v>2519</v>
      </c>
      <c r="S843" s="142" t="s">
        <v>2515</v>
      </c>
      <c r="T843" s="141" t="s">
        <v>2538</v>
      </c>
      <c r="U843" s="142" t="s">
        <v>2536</v>
      </c>
      <c r="V843" s="142" t="s">
        <v>891</v>
      </c>
      <c r="W843" s="141">
        <f t="shared" si="27"/>
        <v>2</v>
      </c>
      <c r="X843" s="143"/>
      <c r="Y843" s="145" t="s">
        <v>2563</v>
      </c>
      <c r="AA843"/>
    </row>
    <row r="844" spans="1:27" s="115" customFormat="1" ht="13.5" customHeight="1">
      <c r="A844" s="139">
        <v>800</v>
      </c>
      <c r="B844" s="140" t="s">
        <v>5310</v>
      </c>
      <c r="C844" s="141" t="s">
        <v>2373</v>
      </c>
      <c r="D844" s="142" t="s">
        <v>2374</v>
      </c>
      <c r="E844" s="141" t="s">
        <v>2412</v>
      </c>
      <c r="F844" s="142" t="s">
        <v>2413</v>
      </c>
      <c r="G844" s="141" t="s">
        <v>2514</v>
      </c>
      <c r="H844" s="142" t="s">
        <v>2539</v>
      </c>
      <c r="I844" s="141" t="s">
        <v>2535</v>
      </c>
      <c r="J844" s="142" t="s">
        <v>2540</v>
      </c>
      <c r="K844" s="142" t="s">
        <v>186</v>
      </c>
      <c r="L844" s="143">
        <f t="shared" si="26"/>
        <v>1</v>
      </c>
      <c r="M844" s="144" t="s">
        <v>2541</v>
      </c>
      <c r="N844" s="141" t="s">
        <v>2373</v>
      </c>
      <c r="O844" s="142" t="s">
        <v>2374</v>
      </c>
      <c r="P844" s="141" t="s">
        <v>2418</v>
      </c>
      <c r="Q844" s="142" t="s">
        <v>2413</v>
      </c>
      <c r="R844" s="141" t="s">
        <v>2542</v>
      </c>
      <c r="S844" s="142" t="s">
        <v>2539</v>
      </c>
      <c r="T844" s="141" t="s">
        <v>2543</v>
      </c>
      <c r="U844" s="142" t="s">
        <v>2540</v>
      </c>
      <c r="V844" s="142" t="s">
        <v>186</v>
      </c>
      <c r="W844" s="141">
        <f t="shared" si="27"/>
        <v>2</v>
      </c>
      <c r="X844" s="143"/>
      <c r="Y844" s="145" t="s">
        <v>2564</v>
      </c>
      <c r="AA844"/>
    </row>
    <row r="845" spans="1:27" s="115" customFormat="1" ht="13.5" customHeight="1">
      <c r="A845" s="139">
        <v>801</v>
      </c>
      <c r="B845" s="140" t="s">
        <v>5311</v>
      </c>
      <c r="C845" s="141" t="s">
        <v>2373</v>
      </c>
      <c r="D845" s="142" t="s">
        <v>2374</v>
      </c>
      <c r="E845" s="141" t="s">
        <v>2412</v>
      </c>
      <c r="F845" s="142" t="s">
        <v>2413</v>
      </c>
      <c r="G845" s="141" t="s">
        <v>2514</v>
      </c>
      <c r="H845" s="142" t="s">
        <v>2515</v>
      </c>
      <c r="I845" s="141" t="s">
        <v>2535</v>
      </c>
      <c r="J845" s="142" t="s">
        <v>2536</v>
      </c>
      <c r="K845" s="142" t="s">
        <v>892</v>
      </c>
      <c r="L845" s="143">
        <f t="shared" si="26"/>
        <v>1</v>
      </c>
      <c r="M845" s="144" t="s">
        <v>2544</v>
      </c>
      <c r="N845" s="141" t="s">
        <v>2373</v>
      </c>
      <c r="O845" s="142" t="s">
        <v>2374</v>
      </c>
      <c r="P845" s="141" t="s">
        <v>2418</v>
      </c>
      <c r="Q845" s="142" t="s">
        <v>2413</v>
      </c>
      <c r="R845" s="141" t="s">
        <v>2519</v>
      </c>
      <c r="S845" s="142" t="s">
        <v>2515</v>
      </c>
      <c r="T845" s="141" t="s">
        <v>2538</v>
      </c>
      <c r="U845" s="142" t="s">
        <v>2536</v>
      </c>
      <c r="V845" s="142" t="s">
        <v>892</v>
      </c>
      <c r="W845" s="141">
        <f t="shared" si="27"/>
        <v>4</v>
      </c>
      <c r="X845" s="143"/>
      <c r="Y845" s="145" t="s">
        <v>2565</v>
      </c>
      <c r="AA845"/>
    </row>
    <row r="846" spans="1:27" s="115" customFormat="1" ht="13.5" customHeight="1">
      <c r="A846" s="139">
        <v>802</v>
      </c>
      <c r="B846" s="140" t="s">
        <v>5312</v>
      </c>
      <c r="C846" s="141" t="s">
        <v>2373</v>
      </c>
      <c r="D846" s="142" t="s">
        <v>2374</v>
      </c>
      <c r="E846" s="141" t="s">
        <v>2412</v>
      </c>
      <c r="F846" s="142" t="s">
        <v>2413</v>
      </c>
      <c r="G846" s="141" t="s">
        <v>2514</v>
      </c>
      <c r="H846" s="142" t="s">
        <v>2515</v>
      </c>
      <c r="I846" s="141" t="s">
        <v>2535</v>
      </c>
      <c r="J846" s="142" t="s">
        <v>2536</v>
      </c>
      <c r="K846" s="142" t="s">
        <v>897</v>
      </c>
      <c r="L846" s="143">
        <f t="shared" si="26"/>
        <v>1</v>
      </c>
      <c r="M846" s="144" t="s">
        <v>2566</v>
      </c>
      <c r="N846" s="141" t="s">
        <v>2373</v>
      </c>
      <c r="O846" s="142" t="s">
        <v>2374</v>
      </c>
      <c r="P846" s="141" t="s">
        <v>2418</v>
      </c>
      <c r="Q846" s="142" t="s">
        <v>2413</v>
      </c>
      <c r="R846" s="141" t="s">
        <v>2519</v>
      </c>
      <c r="S846" s="142" t="s">
        <v>2515</v>
      </c>
      <c r="T846" s="141" t="s">
        <v>2538</v>
      </c>
      <c r="U846" s="142" t="s">
        <v>2536</v>
      </c>
      <c r="V846" s="142" t="s">
        <v>897</v>
      </c>
      <c r="W846" s="141">
        <f t="shared" si="27"/>
        <v>1</v>
      </c>
      <c r="X846" s="143"/>
      <c r="Y846" s="145"/>
      <c r="AA846"/>
    </row>
    <row r="847" spans="1:27" s="115" customFormat="1" ht="13.5" customHeight="1">
      <c r="A847" s="139">
        <v>803</v>
      </c>
      <c r="B847" s="140" t="s">
        <v>5313</v>
      </c>
      <c r="C847" s="141" t="s">
        <v>2373</v>
      </c>
      <c r="D847" s="142" t="s">
        <v>2374</v>
      </c>
      <c r="E847" s="141" t="s">
        <v>2412</v>
      </c>
      <c r="F847" s="142" t="s">
        <v>2413</v>
      </c>
      <c r="G847" s="141" t="s">
        <v>2514</v>
      </c>
      <c r="H847" s="142" t="s">
        <v>2515</v>
      </c>
      <c r="I847" s="141" t="s">
        <v>2535</v>
      </c>
      <c r="J847" s="142" t="s">
        <v>2551</v>
      </c>
      <c r="K847" s="142" t="s">
        <v>192</v>
      </c>
      <c r="L847" s="143">
        <f t="shared" si="26"/>
        <v>1</v>
      </c>
      <c r="M847" s="144" t="s">
        <v>2567</v>
      </c>
      <c r="N847" s="141" t="s">
        <v>2373</v>
      </c>
      <c r="O847" s="142" t="s">
        <v>2374</v>
      </c>
      <c r="P847" s="141" t="s">
        <v>2418</v>
      </c>
      <c r="Q847" s="142" t="s">
        <v>2413</v>
      </c>
      <c r="R847" s="141" t="s">
        <v>2519</v>
      </c>
      <c r="S847" s="142" t="s">
        <v>2515</v>
      </c>
      <c r="T847" s="141" t="s">
        <v>2553</v>
      </c>
      <c r="U847" s="142" t="s">
        <v>2551</v>
      </c>
      <c r="V847" s="142" t="s">
        <v>192</v>
      </c>
      <c r="W847" s="141">
        <f t="shared" si="27"/>
        <v>3</v>
      </c>
      <c r="X847" s="143"/>
      <c r="Y847" s="145" t="s">
        <v>2568</v>
      </c>
      <c r="AA847"/>
    </row>
    <row r="848" spans="1:27" s="115" customFormat="1" ht="13.5" customHeight="1">
      <c r="A848" s="139">
        <v>804</v>
      </c>
      <c r="B848" s="140" t="s">
        <v>5314</v>
      </c>
      <c r="C848" s="141" t="s">
        <v>2373</v>
      </c>
      <c r="D848" s="142" t="s">
        <v>2374</v>
      </c>
      <c r="E848" s="141" t="s">
        <v>2412</v>
      </c>
      <c r="F848" s="142" t="s">
        <v>2413</v>
      </c>
      <c r="G848" s="141" t="s">
        <v>2514</v>
      </c>
      <c r="H848" s="142" t="s">
        <v>2569</v>
      </c>
      <c r="I848" s="141" t="s">
        <v>2535</v>
      </c>
      <c r="J848" s="142" t="s">
        <v>2570</v>
      </c>
      <c r="K848" s="142" t="s">
        <v>898</v>
      </c>
      <c r="L848" s="143">
        <f t="shared" si="26"/>
        <v>1</v>
      </c>
      <c r="M848" s="144" t="s">
        <v>2571</v>
      </c>
      <c r="N848" s="141" t="s">
        <v>2373</v>
      </c>
      <c r="O848" s="142" t="s">
        <v>2374</v>
      </c>
      <c r="P848" s="141" t="s">
        <v>2418</v>
      </c>
      <c r="Q848" s="142" t="s">
        <v>2413</v>
      </c>
      <c r="R848" s="141" t="s">
        <v>2572</v>
      </c>
      <c r="S848" s="142" t="s">
        <v>2569</v>
      </c>
      <c r="T848" s="141" t="s">
        <v>2573</v>
      </c>
      <c r="U848" s="142" t="s">
        <v>2570</v>
      </c>
      <c r="V848" s="142" t="s">
        <v>898</v>
      </c>
      <c r="W848" s="141">
        <f t="shared" si="27"/>
        <v>5</v>
      </c>
      <c r="X848" s="143"/>
      <c r="Y848" s="145" t="s">
        <v>2574</v>
      </c>
      <c r="AA848"/>
    </row>
    <row r="849" spans="1:27" s="115" customFormat="1" ht="27" customHeight="1">
      <c r="A849" s="139">
        <v>805</v>
      </c>
      <c r="B849" s="140" t="s">
        <v>5315</v>
      </c>
      <c r="C849" s="141" t="s">
        <v>2373</v>
      </c>
      <c r="D849" s="142" t="s">
        <v>2374</v>
      </c>
      <c r="E849" s="141" t="s">
        <v>2412</v>
      </c>
      <c r="F849" s="142" t="s">
        <v>2413</v>
      </c>
      <c r="G849" s="141" t="s">
        <v>2514</v>
      </c>
      <c r="H849" s="142" t="s">
        <v>2515</v>
      </c>
      <c r="I849" s="141" t="s">
        <v>2575</v>
      </c>
      <c r="J849" s="142" t="s">
        <v>2576</v>
      </c>
      <c r="K849" s="142" t="s">
        <v>188</v>
      </c>
      <c r="L849" s="143">
        <f t="shared" si="26"/>
        <v>1</v>
      </c>
      <c r="M849" s="144" t="s">
        <v>2577</v>
      </c>
      <c r="N849" s="141" t="s">
        <v>2373</v>
      </c>
      <c r="O849" s="142" t="s">
        <v>2374</v>
      </c>
      <c r="P849" s="141" t="s">
        <v>2418</v>
      </c>
      <c r="Q849" s="142" t="s">
        <v>2413</v>
      </c>
      <c r="R849" s="141" t="s">
        <v>2519</v>
      </c>
      <c r="S849" s="142" t="s">
        <v>2515</v>
      </c>
      <c r="T849" s="141" t="s">
        <v>2578</v>
      </c>
      <c r="U849" s="142" t="s">
        <v>2576</v>
      </c>
      <c r="V849" s="142" t="s">
        <v>188</v>
      </c>
      <c r="W849" s="141">
        <f t="shared" si="27"/>
        <v>2</v>
      </c>
      <c r="X849" s="143">
        <v>1</v>
      </c>
      <c r="Y849" s="145"/>
      <c r="AA849"/>
    </row>
    <row r="850" spans="1:27" s="115" customFormat="1" ht="27" customHeight="1">
      <c r="A850" s="139">
        <v>806</v>
      </c>
      <c r="B850" s="140" t="s">
        <v>5316</v>
      </c>
      <c r="C850" s="141" t="s">
        <v>2373</v>
      </c>
      <c r="D850" s="142" t="s">
        <v>2374</v>
      </c>
      <c r="E850" s="141" t="s">
        <v>2412</v>
      </c>
      <c r="F850" s="142" t="s">
        <v>2413</v>
      </c>
      <c r="G850" s="141" t="s">
        <v>2514</v>
      </c>
      <c r="H850" s="142" t="s">
        <v>2515</v>
      </c>
      <c r="I850" s="141" t="s">
        <v>2575</v>
      </c>
      <c r="J850" s="142" t="s">
        <v>2576</v>
      </c>
      <c r="K850" s="142" t="s">
        <v>188</v>
      </c>
      <c r="L850" s="143">
        <f t="shared" si="26"/>
        <v>1</v>
      </c>
      <c r="M850" s="144" t="s">
        <v>2577</v>
      </c>
      <c r="N850" s="141" t="s">
        <v>2373</v>
      </c>
      <c r="O850" s="142" t="s">
        <v>2374</v>
      </c>
      <c r="P850" s="141" t="s">
        <v>2418</v>
      </c>
      <c r="Q850" s="142" t="s">
        <v>2413</v>
      </c>
      <c r="R850" s="141" t="s">
        <v>2519</v>
      </c>
      <c r="S850" s="142" t="s">
        <v>2515</v>
      </c>
      <c r="T850" s="141" t="s">
        <v>2578</v>
      </c>
      <c r="U850" s="142" t="s">
        <v>2576</v>
      </c>
      <c r="V850" s="142" t="s">
        <v>188</v>
      </c>
      <c r="W850" s="141">
        <f t="shared" si="27"/>
        <v>2</v>
      </c>
      <c r="X850" s="143"/>
      <c r="Y850" s="145" t="s">
        <v>2579</v>
      </c>
      <c r="AA850"/>
    </row>
    <row r="851" spans="1:27" s="115" customFormat="1" ht="27" customHeight="1">
      <c r="A851" s="139">
        <v>807</v>
      </c>
      <c r="B851" s="140" t="s">
        <v>5317</v>
      </c>
      <c r="C851" s="141" t="s">
        <v>2373</v>
      </c>
      <c r="D851" s="142" t="s">
        <v>2374</v>
      </c>
      <c r="E851" s="141" t="s">
        <v>2412</v>
      </c>
      <c r="F851" s="142" t="s">
        <v>2413</v>
      </c>
      <c r="G851" s="141" t="s">
        <v>2514</v>
      </c>
      <c r="H851" s="142" t="s">
        <v>2515</v>
      </c>
      <c r="I851" s="141" t="s">
        <v>2575</v>
      </c>
      <c r="J851" s="142" t="s">
        <v>2576</v>
      </c>
      <c r="K851" s="142" t="s">
        <v>189</v>
      </c>
      <c r="L851" s="143">
        <f t="shared" si="26"/>
        <v>1</v>
      </c>
      <c r="M851" s="144" t="s">
        <v>2580</v>
      </c>
      <c r="N851" s="141" t="s">
        <v>2373</v>
      </c>
      <c r="O851" s="142" t="s">
        <v>2374</v>
      </c>
      <c r="P851" s="141" t="s">
        <v>2418</v>
      </c>
      <c r="Q851" s="142" t="s">
        <v>2413</v>
      </c>
      <c r="R851" s="141" t="s">
        <v>2519</v>
      </c>
      <c r="S851" s="142" t="s">
        <v>2515</v>
      </c>
      <c r="T851" s="141" t="s">
        <v>2578</v>
      </c>
      <c r="U851" s="142" t="s">
        <v>2576</v>
      </c>
      <c r="V851" s="142" t="s">
        <v>189</v>
      </c>
      <c r="W851" s="141">
        <f t="shared" si="27"/>
        <v>1</v>
      </c>
      <c r="X851" s="143"/>
      <c r="Y851" s="145"/>
      <c r="AA851"/>
    </row>
    <row r="852" spans="1:27" s="115" customFormat="1" ht="27" customHeight="1">
      <c r="A852" s="139">
        <v>808</v>
      </c>
      <c r="B852" s="140" t="s">
        <v>5318</v>
      </c>
      <c r="C852" s="141" t="s">
        <v>2373</v>
      </c>
      <c r="D852" s="142" t="s">
        <v>2374</v>
      </c>
      <c r="E852" s="141" t="s">
        <v>2412</v>
      </c>
      <c r="F852" s="142" t="s">
        <v>2413</v>
      </c>
      <c r="G852" s="141" t="s">
        <v>2514</v>
      </c>
      <c r="H852" s="142" t="s">
        <v>2515</v>
      </c>
      <c r="I852" s="141" t="s">
        <v>2575</v>
      </c>
      <c r="J852" s="142" t="s">
        <v>2576</v>
      </c>
      <c r="K852" s="142" t="s">
        <v>899</v>
      </c>
      <c r="L852" s="143">
        <f t="shared" si="26"/>
        <v>1</v>
      </c>
      <c r="M852" s="144" t="s">
        <v>2581</v>
      </c>
      <c r="N852" s="141" t="s">
        <v>2373</v>
      </c>
      <c r="O852" s="142" t="s">
        <v>2374</v>
      </c>
      <c r="P852" s="141" t="s">
        <v>2418</v>
      </c>
      <c r="Q852" s="142" t="s">
        <v>2413</v>
      </c>
      <c r="R852" s="141" t="s">
        <v>2519</v>
      </c>
      <c r="S852" s="142" t="s">
        <v>2515</v>
      </c>
      <c r="T852" s="141" t="s">
        <v>2578</v>
      </c>
      <c r="U852" s="142" t="s">
        <v>2576</v>
      </c>
      <c r="V852" s="142" t="s">
        <v>899</v>
      </c>
      <c r="W852" s="141">
        <f t="shared" si="27"/>
        <v>1</v>
      </c>
      <c r="X852" s="143"/>
      <c r="Y852" s="145"/>
      <c r="AA852"/>
    </row>
    <row r="853" spans="1:27" s="115" customFormat="1" ht="27" customHeight="1">
      <c r="A853" s="139">
        <v>809</v>
      </c>
      <c r="B853" s="140" t="s">
        <v>5319</v>
      </c>
      <c r="C853" s="141" t="s">
        <v>2373</v>
      </c>
      <c r="D853" s="142" t="s">
        <v>2374</v>
      </c>
      <c r="E853" s="141" t="s">
        <v>2412</v>
      </c>
      <c r="F853" s="142" t="s">
        <v>2413</v>
      </c>
      <c r="G853" s="141" t="s">
        <v>2514</v>
      </c>
      <c r="H853" s="142" t="s">
        <v>2515</v>
      </c>
      <c r="I853" s="141" t="s">
        <v>2575</v>
      </c>
      <c r="J853" s="142" t="s">
        <v>2576</v>
      </c>
      <c r="K853" s="142" t="s">
        <v>190</v>
      </c>
      <c r="L853" s="143">
        <f t="shared" si="26"/>
        <v>1</v>
      </c>
      <c r="M853" s="144" t="s">
        <v>2582</v>
      </c>
      <c r="N853" s="141" t="s">
        <v>2373</v>
      </c>
      <c r="O853" s="142" t="s">
        <v>2374</v>
      </c>
      <c r="P853" s="141" t="s">
        <v>2418</v>
      </c>
      <c r="Q853" s="142" t="s">
        <v>2413</v>
      </c>
      <c r="R853" s="141" t="s">
        <v>2519</v>
      </c>
      <c r="S853" s="142" t="s">
        <v>2515</v>
      </c>
      <c r="T853" s="141" t="s">
        <v>2578</v>
      </c>
      <c r="U853" s="142" t="s">
        <v>2576</v>
      </c>
      <c r="V853" s="142" t="s">
        <v>190</v>
      </c>
      <c r="W853" s="141">
        <f t="shared" si="27"/>
        <v>1</v>
      </c>
      <c r="X853" s="143"/>
      <c r="Y853" s="145"/>
      <c r="AA853"/>
    </row>
    <row r="854" spans="1:27" s="115" customFormat="1" ht="27" customHeight="1">
      <c r="A854" s="139">
        <v>810</v>
      </c>
      <c r="B854" s="140" t="s">
        <v>5320</v>
      </c>
      <c r="C854" s="141" t="s">
        <v>2373</v>
      </c>
      <c r="D854" s="142" t="s">
        <v>2374</v>
      </c>
      <c r="E854" s="141" t="s">
        <v>2412</v>
      </c>
      <c r="F854" s="142" t="s">
        <v>2413</v>
      </c>
      <c r="G854" s="141" t="s">
        <v>2514</v>
      </c>
      <c r="H854" s="142" t="s">
        <v>2515</v>
      </c>
      <c r="I854" s="141" t="s">
        <v>2583</v>
      </c>
      <c r="J854" s="142" t="s">
        <v>2584</v>
      </c>
      <c r="K854" s="142" t="s">
        <v>900</v>
      </c>
      <c r="L854" s="143">
        <f t="shared" si="26"/>
        <v>1</v>
      </c>
      <c r="M854" s="144" t="s">
        <v>2585</v>
      </c>
      <c r="N854" s="141" t="s">
        <v>2373</v>
      </c>
      <c r="O854" s="142" t="s">
        <v>2374</v>
      </c>
      <c r="P854" s="141" t="s">
        <v>2418</v>
      </c>
      <c r="Q854" s="142" t="s">
        <v>2413</v>
      </c>
      <c r="R854" s="141" t="s">
        <v>2519</v>
      </c>
      <c r="S854" s="142" t="s">
        <v>2515</v>
      </c>
      <c r="T854" s="141" t="s">
        <v>2586</v>
      </c>
      <c r="U854" s="142" t="s">
        <v>2584</v>
      </c>
      <c r="V854" s="142" t="s">
        <v>900</v>
      </c>
      <c r="W854" s="141">
        <f t="shared" si="27"/>
        <v>1</v>
      </c>
      <c r="X854" s="143"/>
      <c r="Y854" s="145"/>
      <c r="AA854"/>
    </row>
    <row r="855" spans="1:27" s="115" customFormat="1" ht="27" customHeight="1">
      <c r="A855" s="139">
        <v>811</v>
      </c>
      <c r="B855" s="140" t="s">
        <v>5321</v>
      </c>
      <c r="C855" s="141" t="s">
        <v>2373</v>
      </c>
      <c r="D855" s="142" t="s">
        <v>2374</v>
      </c>
      <c r="E855" s="141" t="s">
        <v>2412</v>
      </c>
      <c r="F855" s="142" t="s">
        <v>2413</v>
      </c>
      <c r="G855" s="141" t="s">
        <v>2514</v>
      </c>
      <c r="H855" s="142" t="s">
        <v>2569</v>
      </c>
      <c r="I855" s="141" t="s">
        <v>2583</v>
      </c>
      <c r="J855" s="142" t="s">
        <v>901</v>
      </c>
      <c r="K855" s="142" t="s">
        <v>901</v>
      </c>
      <c r="L855" s="143">
        <f t="shared" si="26"/>
        <v>1</v>
      </c>
      <c r="M855" s="144" t="s">
        <v>2587</v>
      </c>
      <c r="N855" s="146" t="s">
        <v>2373</v>
      </c>
      <c r="O855" s="147" t="s">
        <v>2374</v>
      </c>
      <c r="P855" s="146" t="s">
        <v>2418</v>
      </c>
      <c r="Q855" s="147" t="s">
        <v>2413</v>
      </c>
      <c r="R855" s="146" t="s">
        <v>2572</v>
      </c>
      <c r="S855" s="147" t="s">
        <v>2569</v>
      </c>
      <c r="T855" s="146" t="s">
        <v>2588</v>
      </c>
      <c r="U855" s="147" t="s">
        <v>901</v>
      </c>
      <c r="V855" s="147" t="s">
        <v>901</v>
      </c>
      <c r="W855" s="141">
        <f t="shared" si="27"/>
        <v>1</v>
      </c>
      <c r="X855" s="143"/>
      <c r="Y855" s="145"/>
      <c r="AA855"/>
    </row>
    <row r="856" spans="1:27" s="115" customFormat="1" ht="27" customHeight="1">
      <c r="A856" s="139">
        <v>812</v>
      </c>
      <c r="B856" s="140" t="s">
        <v>5322</v>
      </c>
      <c r="C856" s="141" t="s">
        <v>2373</v>
      </c>
      <c r="D856" s="142" t="s">
        <v>2374</v>
      </c>
      <c r="E856" s="141" t="s">
        <v>2412</v>
      </c>
      <c r="F856" s="142" t="s">
        <v>2413</v>
      </c>
      <c r="G856" s="141" t="s">
        <v>2514</v>
      </c>
      <c r="H856" s="142" t="s">
        <v>2569</v>
      </c>
      <c r="I856" s="141" t="s">
        <v>2583</v>
      </c>
      <c r="J856" s="142" t="s">
        <v>2570</v>
      </c>
      <c r="K856" s="142" t="s">
        <v>898</v>
      </c>
      <c r="L856" s="143">
        <f t="shared" si="26"/>
        <v>1</v>
      </c>
      <c r="M856" s="144" t="s">
        <v>2571</v>
      </c>
      <c r="N856" s="141" t="s">
        <v>2373</v>
      </c>
      <c r="O856" s="142" t="s">
        <v>2374</v>
      </c>
      <c r="P856" s="141" t="s">
        <v>2418</v>
      </c>
      <c r="Q856" s="142" t="s">
        <v>2413</v>
      </c>
      <c r="R856" s="141" t="s">
        <v>2572</v>
      </c>
      <c r="S856" s="142" t="s">
        <v>2569</v>
      </c>
      <c r="T856" s="141" t="s">
        <v>2573</v>
      </c>
      <c r="U856" s="142" t="s">
        <v>2570</v>
      </c>
      <c r="V856" s="142" t="s">
        <v>898</v>
      </c>
      <c r="W856" s="141">
        <f t="shared" si="27"/>
        <v>5</v>
      </c>
      <c r="X856" s="143"/>
      <c r="Y856" s="145" t="s">
        <v>2589</v>
      </c>
      <c r="AA856"/>
    </row>
    <row r="857" spans="1:27" s="115" customFormat="1" ht="27" customHeight="1">
      <c r="A857" s="139">
        <v>813</v>
      </c>
      <c r="B857" s="140" t="s">
        <v>5323</v>
      </c>
      <c r="C857" s="141" t="s">
        <v>2373</v>
      </c>
      <c r="D857" s="142" t="s">
        <v>2374</v>
      </c>
      <c r="E857" s="141" t="s">
        <v>2412</v>
      </c>
      <c r="F857" s="142" t="s">
        <v>2413</v>
      </c>
      <c r="G857" s="141" t="s">
        <v>2514</v>
      </c>
      <c r="H857" s="142" t="s">
        <v>2515</v>
      </c>
      <c r="I857" s="141" t="s">
        <v>2583</v>
      </c>
      <c r="J857" s="142" t="s">
        <v>2584</v>
      </c>
      <c r="K857" s="142" t="s">
        <v>902</v>
      </c>
      <c r="L857" s="143">
        <f t="shared" si="26"/>
        <v>1</v>
      </c>
      <c r="M857" s="144" t="s">
        <v>2590</v>
      </c>
      <c r="N857" s="141" t="s">
        <v>2373</v>
      </c>
      <c r="O857" s="142" t="s">
        <v>2374</v>
      </c>
      <c r="P857" s="141" t="s">
        <v>2418</v>
      </c>
      <c r="Q857" s="142" t="s">
        <v>2413</v>
      </c>
      <c r="R857" s="141" t="s">
        <v>2519</v>
      </c>
      <c r="S857" s="142" t="s">
        <v>2515</v>
      </c>
      <c r="T857" s="141" t="s">
        <v>2586</v>
      </c>
      <c r="U857" s="142" t="s">
        <v>2584</v>
      </c>
      <c r="V857" s="142" t="s">
        <v>902</v>
      </c>
      <c r="W857" s="141">
        <f t="shared" si="27"/>
        <v>1</v>
      </c>
      <c r="X857" s="143"/>
      <c r="Y857" s="145"/>
      <c r="AA857"/>
    </row>
    <row r="858" spans="1:27" s="115" customFormat="1" ht="27" customHeight="1">
      <c r="A858" s="139">
        <v>814</v>
      </c>
      <c r="B858" s="140" t="s">
        <v>5324</v>
      </c>
      <c r="C858" s="141" t="s">
        <v>2373</v>
      </c>
      <c r="D858" s="142" t="s">
        <v>2374</v>
      </c>
      <c r="E858" s="141" t="s">
        <v>2412</v>
      </c>
      <c r="F858" s="142" t="s">
        <v>2413</v>
      </c>
      <c r="G858" s="141" t="s">
        <v>2514</v>
      </c>
      <c r="H858" s="142" t="s">
        <v>2515</v>
      </c>
      <c r="I858" s="141" t="s">
        <v>2583</v>
      </c>
      <c r="J858" s="142" t="s">
        <v>2584</v>
      </c>
      <c r="K858" s="142" t="s">
        <v>903</v>
      </c>
      <c r="L858" s="143">
        <f t="shared" si="26"/>
        <v>1</v>
      </c>
      <c r="M858" s="144" t="s">
        <v>2591</v>
      </c>
      <c r="N858" s="141" t="s">
        <v>2373</v>
      </c>
      <c r="O858" s="142" t="s">
        <v>2374</v>
      </c>
      <c r="P858" s="141" t="s">
        <v>2418</v>
      </c>
      <c r="Q858" s="142" t="s">
        <v>2413</v>
      </c>
      <c r="R858" s="141" t="s">
        <v>2519</v>
      </c>
      <c r="S858" s="142" t="s">
        <v>2515</v>
      </c>
      <c r="T858" s="141" t="s">
        <v>2586</v>
      </c>
      <c r="U858" s="142" t="s">
        <v>2584</v>
      </c>
      <c r="V858" s="142" t="s">
        <v>903</v>
      </c>
      <c r="W858" s="141">
        <f t="shared" si="27"/>
        <v>1</v>
      </c>
      <c r="X858" s="143"/>
      <c r="Y858" s="145"/>
      <c r="AA858"/>
    </row>
    <row r="859" spans="1:27" s="115" customFormat="1" ht="27" customHeight="1">
      <c r="A859" s="139">
        <v>815</v>
      </c>
      <c r="B859" s="140" t="s">
        <v>5325</v>
      </c>
      <c r="C859" s="141" t="s">
        <v>2373</v>
      </c>
      <c r="D859" s="142" t="s">
        <v>2374</v>
      </c>
      <c r="E859" s="141" t="s">
        <v>2412</v>
      </c>
      <c r="F859" s="142" t="s">
        <v>2413</v>
      </c>
      <c r="G859" s="141" t="s">
        <v>2514</v>
      </c>
      <c r="H859" s="142" t="s">
        <v>2515</v>
      </c>
      <c r="I859" s="141" t="s">
        <v>2592</v>
      </c>
      <c r="J859" s="142" t="s">
        <v>2593</v>
      </c>
      <c r="K859" s="142" t="s">
        <v>904</v>
      </c>
      <c r="L859" s="143">
        <f t="shared" si="26"/>
        <v>1</v>
      </c>
      <c r="M859" s="144" t="s">
        <v>2594</v>
      </c>
      <c r="N859" s="141" t="s">
        <v>2373</v>
      </c>
      <c r="O859" s="142" t="s">
        <v>2374</v>
      </c>
      <c r="P859" s="141" t="s">
        <v>2418</v>
      </c>
      <c r="Q859" s="142" t="s">
        <v>2413</v>
      </c>
      <c r="R859" s="141" t="s">
        <v>2519</v>
      </c>
      <c r="S859" s="142" t="s">
        <v>2515</v>
      </c>
      <c r="T859" s="141" t="s">
        <v>2595</v>
      </c>
      <c r="U859" s="142" t="s">
        <v>2593</v>
      </c>
      <c r="V859" s="142" t="s">
        <v>904</v>
      </c>
      <c r="W859" s="141">
        <f t="shared" si="27"/>
        <v>3</v>
      </c>
      <c r="X859" s="143">
        <v>2</v>
      </c>
      <c r="Y859" s="145" t="s">
        <v>2596</v>
      </c>
      <c r="AA859"/>
    </row>
    <row r="860" spans="1:27" s="115" customFormat="1" ht="27" customHeight="1">
      <c r="A860" s="139">
        <v>816</v>
      </c>
      <c r="B860" s="140" t="s">
        <v>5326</v>
      </c>
      <c r="C860" s="141" t="s">
        <v>2373</v>
      </c>
      <c r="D860" s="142" t="s">
        <v>2374</v>
      </c>
      <c r="E860" s="141" t="s">
        <v>2412</v>
      </c>
      <c r="F860" s="142" t="s">
        <v>2413</v>
      </c>
      <c r="G860" s="141" t="s">
        <v>2514</v>
      </c>
      <c r="H860" s="142" t="s">
        <v>2515</v>
      </c>
      <c r="I860" s="141" t="s">
        <v>2592</v>
      </c>
      <c r="J860" s="142" t="s">
        <v>2593</v>
      </c>
      <c r="K860" s="142" t="s">
        <v>904</v>
      </c>
      <c r="L860" s="143">
        <f t="shared" si="26"/>
        <v>1</v>
      </c>
      <c r="M860" s="144" t="s">
        <v>2594</v>
      </c>
      <c r="N860" s="141" t="s">
        <v>2373</v>
      </c>
      <c r="O860" s="142" t="s">
        <v>2374</v>
      </c>
      <c r="P860" s="141" t="s">
        <v>2418</v>
      </c>
      <c r="Q860" s="142" t="s">
        <v>2413</v>
      </c>
      <c r="R860" s="141" t="s">
        <v>2519</v>
      </c>
      <c r="S860" s="142" t="s">
        <v>2515</v>
      </c>
      <c r="T860" s="141" t="s">
        <v>2595</v>
      </c>
      <c r="U860" s="142" t="s">
        <v>2593</v>
      </c>
      <c r="V860" s="142" t="s">
        <v>904</v>
      </c>
      <c r="W860" s="141">
        <f t="shared" si="27"/>
        <v>3</v>
      </c>
      <c r="X860" s="143"/>
      <c r="Y860" s="145" t="s">
        <v>2597</v>
      </c>
      <c r="AA860"/>
    </row>
    <row r="861" spans="1:27" s="115" customFormat="1" ht="27" customHeight="1">
      <c r="A861" s="139">
        <v>817</v>
      </c>
      <c r="B861" s="140" t="s">
        <v>5327</v>
      </c>
      <c r="C861" s="141" t="s">
        <v>2373</v>
      </c>
      <c r="D861" s="142" t="s">
        <v>2374</v>
      </c>
      <c r="E861" s="141" t="s">
        <v>2412</v>
      </c>
      <c r="F861" s="142" t="s">
        <v>2413</v>
      </c>
      <c r="G861" s="141" t="s">
        <v>2514</v>
      </c>
      <c r="H861" s="142" t="s">
        <v>2515</v>
      </c>
      <c r="I861" s="141" t="s">
        <v>2592</v>
      </c>
      <c r="J861" s="142" t="s">
        <v>2593</v>
      </c>
      <c r="K861" s="142" t="s">
        <v>904</v>
      </c>
      <c r="L861" s="143">
        <f t="shared" si="26"/>
        <v>1</v>
      </c>
      <c r="M861" s="144" t="s">
        <v>2594</v>
      </c>
      <c r="N861" s="141" t="s">
        <v>2373</v>
      </c>
      <c r="O861" s="142" t="s">
        <v>2374</v>
      </c>
      <c r="P861" s="141" t="s">
        <v>2418</v>
      </c>
      <c r="Q861" s="142" t="s">
        <v>2413</v>
      </c>
      <c r="R861" s="141" t="s">
        <v>2519</v>
      </c>
      <c r="S861" s="142" t="s">
        <v>2515</v>
      </c>
      <c r="T861" s="141" t="s">
        <v>2595</v>
      </c>
      <c r="U861" s="142" t="s">
        <v>2593</v>
      </c>
      <c r="V861" s="142" t="s">
        <v>904</v>
      </c>
      <c r="W861" s="141">
        <f t="shared" si="27"/>
        <v>3</v>
      </c>
      <c r="X861" s="143">
        <v>2</v>
      </c>
      <c r="Y861" s="145" t="s">
        <v>2598</v>
      </c>
      <c r="AA861"/>
    </row>
    <row r="862" spans="1:27" s="115" customFormat="1" ht="27" customHeight="1">
      <c r="A862" s="139">
        <v>818</v>
      </c>
      <c r="B862" s="140" t="s">
        <v>5328</v>
      </c>
      <c r="C862" s="141" t="s">
        <v>2373</v>
      </c>
      <c r="D862" s="142" t="s">
        <v>2374</v>
      </c>
      <c r="E862" s="141" t="s">
        <v>2412</v>
      </c>
      <c r="F862" s="142" t="s">
        <v>2413</v>
      </c>
      <c r="G862" s="141" t="s">
        <v>2514</v>
      </c>
      <c r="H862" s="142" t="s">
        <v>2515</v>
      </c>
      <c r="I862" s="141" t="s">
        <v>2592</v>
      </c>
      <c r="J862" s="142" t="s">
        <v>2517</v>
      </c>
      <c r="K862" s="142" t="s">
        <v>890</v>
      </c>
      <c r="L862" s="143">
        <f t="shared" si="26"/>
        <v>1</v>
      </c>
      <c r="M862" s="144" t="s">
        <v>2533</v>
      </c>
      <c r="N862" s="141" t="s">
        <v>2373</v>
      </c>
      <c r="O862" s="142" t="s">
        <v>2374</v>
      </c>
      <c r="P862" s="141" t="s">
        <v>2418</v>
      </c>
      <c r="Q862" s="142" t="s">
        <v>2413</v>
      </c>
      <c r="R862" s="141" t="s">
        <v>2519</v>
      </c>
      <c r="S862" s="142" t="s">
        <v>2515</v>
      </c>
      <c r="T862" s="141" t="s">
        <v>2520</v>
      </c>
      <c r="U862" s="142" t="s">
        <v>2517</v>
      </c>
      <c r="V862" s="142" t="s">
        <v>890</v>
      </c>
      <c r="W862" s="141">
        <f t="shared" si="27"/>
        <v>3</v>
      </c>
      <c r="X862" s="143">
        <v>2</v>
      </c>
      <c r="Y862" s="145" t="s">
        <v>2599</v>
      </c>
      <c r="AA862"/>
    </row>
    <row r="863" spans="1:27" s="115" customFormat="1" ht="27" customHeight="1">
      <c r="A863" s="139">
        <v>819</v>
      </c>
      <c r="B863" s="140" t="s">
        <v>5329</v>
      </c>
      <c r="C863" s="141" t="s">
        <v>2373</v>
      </c>
      <c r="D863" s="142" t="s">
        <v>2374</v>
      </c>
      <c r="E863" s="141" t="s">
        <v>2412</v>
      </c>
      <c r="F863" s="142" t="s">
        <v>2413</v>
      </c>
      <c r="G863" s="141" t="s">
        <v>2514</v>
      </c>
      <c r="H863" s="142" t="s">
        <v>2515</v>
      </c>
      <c r="I863" s="141" t="s">
        <v>2592</v>
      </c>
      <c r="J863" s="142" t="s">
        <v>2551</v>
      </c>
      <c r="K863" s="142" t="s">
        <v>905</v>
      </c>
      <c r="L863" s="143">
        <f t="shared" si="26"/>
        <v>1</v>
      </c>
      <c r="M863" s="144" t="s">
        <v>2600</v>
      </c>
      <c r="N863" s="141" t="s">
        <v>2373</v>
      </c>
      <c r="O863" s="142" t="s">
        <v>2374</v>
      </c>
      <c r="P863" s="141" t="s">
        <v>2418</v>
      </c>
      <c r="Q863" s="142" t="s">
        <v>2413</v>
      </c>
      <c r="R863" s="141" t="s">
        <v>2519</v>
      </c>
      <c r="S863" s="142" t="s">
        <v>2515</v>
      </c>
      <c r="T863" s="141" t="s">
        <v>2553</v>
      </c>
      <c r="U863" s="142" t="s">
        <v>2551</v>
      </c>
      <c r="V863" s="142" t="s">
        <v>905</v>
      </c>
      <c r="W863" s="141">
        <f t="shared" si="27"/>
        <v>3</v>
      </c>
      <c r="X863" s="143">
        <v>1</v>
      </c>
      <c r="Y863" s="145"/>
      <c r="AA863"/>
    </row>
    <row r="864" spans="1:27" s="115" customFormat="1" ht="27" customHeight="1">
      <c r="A864" s="139">
        <v>820</v>
      </c>
      <c r="B864" s="140" t="s">
        <v>5330</v>
      </c>
      <c r="C864" s="141" t="s">
        <v>2373</v>
      </c>
      <c r="D864" s="142" t="s">
        <v>2374</v>
      </c>
      <c r="E864" s="141" t="s">
        <v>2412</v>
      </c>
      <c r="F864" s="142" t="s">
        <v>2413</v>
      </c>
      <c r="G864" s="141" t="s">
        <v>2514</v>
      </c>
      <c r="H864" s="142" t="s">
        <v>2515</v>
      </c>
      <c r="I864" s="141" t="s">
        <v>2592</v>
      </c>
      <c r="J864" s="142" t="s">
        <v>2593</v>
      </c>
      <c r="K864" s="142" t="s">
        <v>906</v>
      </c>
      <c r="L864" s="143">
        <f t="shared" si="26"/>
        <v>1</v>
      </c>
      <c r="M864" s="144" t="s">
        <v>2601</v>
      </c>
      <c r="N864" s="141" t="s">
        <v>2373</v>
      </c>
      <c r="O864" s="142" t="s">
        <v>2374</v>
      </c>
      <c r="P864" s="141" t="s">
        <v>2418</v>
      </c>
      <c r="Q864" s="142" t="s">
        <v>2413</v>
      </c>
      <c r="R864" s="141" t="s">
        <v>2519</v>
      </c>
      <c r="S864" s="142" t="s">
        <v>2515</v>
      </c>
      <c r="T864" s="141" t="s">
        <v>2595</v>
      </c>
      <c r="U864" s="142" t="s">
        <v>2593</v>
      </c>
      <c r="V864" s="142" t="s">
        <v>906</v>
      </c>
      <c r="W864" s="141">
        <f t="shared" si="27"/>
        <v>3</v>
      </c>
      <c r="X864" s="143">
        <v>2</v>
      </c>
      <c r="Y864" s="145" t="s">
        <v>2602</v>
      </c>
      <c r="AA864"/>
    </row>
    <row r="865" spans="1:27" s="115" customFormat="1" ht="27" customHeight="1">
      <c r="A865" s="139">
        <v>821</v>
      </c>
      <c r="B865" s="140" t="s">
        <v>5331</v>
      </c>
      <c r="C865" s="141" t="s">
        <v>2373</v>
      </c>
      <c r="D865" s="142" t="s">
        <v>2374</v>
      </c>
      <c r="E865" s="141" t="s">
        <v>2412</v>
      </c>
      <c r="F865" s="142" t="s">
        <v>2413</v>
      </c>
      <c r="G865" s="141" t="s">
        <v>2514</v>
      </c>
      <c r="H865" s="142" t="s">
        <v>2515</v>
      </c>
      <c r="I865" s="141" t="s">
        <v>2592</v>
      </c>
      <c r="J865" s="142" t="s">
        <v>2593</v>
      </c>
      <c r="K865" s="142" t="s">
        <v>906</v>
      </c>
      <c r="L865" s="143">
        <f t="shared" si="26"/>
        <v>1</v>
      </c>
      <c r="M865" s="144" t="s">
        <v>2601</v>
      </c>
      <c r="N865" s="141" t="s">
        <v>2373</v>
      </c>
      <c r="O865" s="142" t="s">
        <v>2374</v>
      </c>
      <c r="P865" s="141" t="s">
        <v>2418</v>
      </c>
      <c r="Q865" s="142" t="s">
        <v>2413</v>
      </c>
      <c r="R865" s="141" t="s">
        <v>2519</v>
      </c>
      <c r="S865" s="142" t="s">
        <v>2515</v>
      </c>
      <c r="T865" s="141" t="s">
        <v>2595</v>
      </c>
      <c r="U865" s="142" t="s">
        <v>2593</v>
      </c>
      <c r="V865" s="142" t="s">
        <v>906</v>
      </c>
      <c r="W865" s="141">
        <f t="shared" si="27"/>
        <v>3</v>
      </c>
      <c r="X865" s="143"/>
      <c r="Y865" s="145" t="s">
        <v>2603</v>
      </c>
      <c r="AA865"/>
    </row>
    <row r="866" spans="1:27" s="115" customFormat="1" ht="27" customHeight="1">
      <c r="A866" s="139">
        <v>822</v>
      </c>
      <c r="B866" s="140" t="s">
        <v>5332</v>
      </c>
      <c r="C866" s="141" t="s">
        <v>2373</v>
      </c>
      <c r="D866" s="142" t="s">
        <v>2374</v>
      </c>
      <c r="E866" s="141" t="s">
        <v>2412</v>
      </c>
      <c r="F866" s="142" t="s">
        <v>2413</v>
      </c>
      <c r="G866" s="141" t="s">
        <v>2514</v>
      </c>
      <c r="H866" s="142" t="s">
        <v>2515</v>
      </c>
      <c r="I866" s="141" t="s">
        <v>2592</v>
      </c>
      <c r="J866" s="142" t="s">
        <v>2593</v>
      </c>
      <c r="K866" s="142" t="s">
        <v>906</v>
      </c>
      <c r="L866" s="143">
        <f t="shared" si="26"/>
        <v>1</v>
      </c>
      <c r="M866" s="144" t="s">
        <v>2601</v>
      </c>
      <c r="N866" s="141" t="s">
        <v>2373</v>
      </c>
      <c r="O866" s="142" t="s">
        <v>2374</v>
      </c>
      <c r="P866" s="141" t="s">
        <v>2418</v>
      </c>
      <c r="Q866" s="142" t="s">
        <v>2413</v>
      </c>
      <c r="R866" s="141" t="s">
        <v>2519</v>
      </c>
      <c r="S866" s="142" t="s">
        <v>2515</v>
      </c>
      <c r="T866" s="141" t="s">
        <v>2595</v>
      </c>
      <c r="U866" s="142" t="s">
        <v>2593</v>
      </c>
      <c r="V866" s="142" t="s">
        <v>906</v>
      </c>
      <c r="W866" s="141">
        <f t="shared" si="27"/>
        <v>3</v>
      </c>
      <c r="X866" s="143">
        <v>2</v>
      </c>
      <c r="Y866" s="145" t="s">
        <v>2604</v>
      </c>
      <c r="AA866"/>
    </row>
    <row r="867" spans="1:27" s="115" customFormat="1" ht="27" customHeight="1">
      <c r="A867" s="139">
        <v>823</v>
      </c>
      <c r="B867" s="140" t="s">
        <v>5333</v>
      </c>
      <c r="C867" s="141" t="s">
        <v>2373</v>
      </c>
      <c r="D867" s="142" t="s">
        <v>2374</v>
      </c>
      <c r="E867" s="141" t="s">
        <v>2412</v>
      </c>
      <c r="F867" s="142" t="s">
        <v>2413</v>
      </c>
      <c r="G867" s="141" t="s">
        <v>2514</v>
      </c>
      <c r="H867" s="142" t="s">
        <v>2515</v>
      </c>
      <c r="I867" s="141" t="s">
        <v>2592</v>
      </c>
      <c r="J867" s="142" t="s">
        <v>2551</v>
      </c>
      <c r="K867" s="142" t="s">
        <v>191</v>
      </c>
      <c r="L867" s="143">
        <f t="shared" si="26"/>
        <v>1</v>
      </c>
      <c r="M867" s="144" t="s">
        <v>2605</v>
      </c>
      <c r="N867" s="141" t="s">
        <v>2373</v>
      </c>
      <c r="O867" s="142" t="s">
        <v>2374</v>
      </c>
      <c r="P867" s="141" t="s">
        <v>2418</v>
      </c>
      <c r="Q867" s="142" t="s">
        <v>2413</v>
      </c>
      <c r="R867" s="141" t="s">
        <v>2519</v>
      </c>
      <c r="S867" s="142" t="s">
        <v>2515</v>
      </c>
      <c r="T867" s="141" t="s">
        <v>2553</v>
      </c>
      <c r="U867" s="142" t="s">
        <v>2551</v>
      </c>
      <c r="V867" s="142" t="s">
        <v>191</v>
      </c>
      <c r="W867" s="141">
        <f t="shared" si="27"/>
        <v>2</v>
      </c>
      <c r="X867" s="143">
        <v>1</v>
      </c>
      <c r="Y867" s="145"/>
      <c r="AA867"/>
    </row>
    <row r="868" spans="1:27" s="115" customFormat="1" ht="27" customHeight="1">
      <c r="A868" s="139">
        <v>824</v>
      </c>
      <c r="B868" s="140" t="s">
        <v>5334</v>
      </c>
      <c r="C868" s="141" t="s">
        <v>2373</v>
      </c>
      <c r="D868" s="142" t="s">
        <v>2374</v>
      </c>
      <c r="E868" s="141" t="s">
        <v>2412</v>
      </c>
      <c r="F868" s="142" t="s">
        <v>2413</v>
      </c>
      <c r="G868" s="141" t="s">
        <v>2514</v>
      </c>
      <c r="H868" s="142" t="s">
        <v>2515</v>
      </c>
      <c r="I868" s="141" t="s">
        <v>2592</v>
      </c>
      <c r="J868" s="142" t="s">
        <v>2551</v>
      </c>
      <c r="K868" s="142" t="s">
        <v>191</v>
      </c>
      <c r="L868" s="143">
        <f t="shared" si="26"/>
        <v>1</v>
      </c>
      <c r="M868" s="144" t="s">
        <v>2605</v>
      </c>
      <c r="N868" s="141" t="s">
        <v>2373</v>
      </c>
      <c r="O868" s="142" t="s">
        <v>2374</v>
      </c>
      <c r="P868" s="141" t="s">
        <v>2418</v>
      </c>
      <c r="Q868" s="142" t="s">
        <v>2413</v>
      </c>
      <c r="R868" s="141" t="s">
        <v>2519</v>
      </c>
      <c r="S868" s="142" t="s">
        <v>2515</v>
      </c>
      <c r="T868" s="141" t="s">
        <v>2553</v>
      </c>
      <c r="U868" s="142" t="s">
        <v>2551</v>
      </c>
      <c r="V868" s="142" t="s">
        <v>191</v>
      </c>
      <c r="W868" s="141">
        <f t="shared" si="27"/>
        <v>2</v>
      </c>
      <c r="X868" s="143"/>
      <c r="Y868" s="145" t="s">
        <v>2606</v>
      </c>
      <c r="AA868"/>
    </row>
    <row r="869" spans="1:27" s="115" customFormat="1" ht="27" customHeight="1">
      <c r="A869" s="139">
        <v>825</v>
      </c>
      <c r="B869" s="140" t="s">
        <v>5335</v>
      </c>
      <c r="C869" s="141" t="s">
        <v>2373</v>
      </c>
      <c r="D869" s="142" t="s">
        <v>2374</v>
      </c>
      <c r="E869" s="141" t="s">
        <v>2412</v>
      </c>
      <c r="F869" s="142" t="s">
        <v>2413</v>
      </c>
      <c r="G869" s="141" t="s">
        <v>2514</v>
      </c>
      <c r="H869" s="142" t="s">
        <v>2515</v>
      </c>
      <c r="I869" s="141" t="s">
        <v>2592</v>
      </c>
      <c r="J869" s="142" t="s">
        <v>2551</v>
      </c>
      <c r="K869" s="142" t="s">
        <v>905</v>
      </c>
      <c r="L869" s="143">
        <f t="shared" si="26"/>
        <v>1</v>
      </c>
      <c r="M869" s="144" t="s">
        <v>2600</v>
      </c>
      <c r="N869" s="141" t="s">
        <v>2373</v>
      </c>
      <c r="O869" s="142" t="s">
        <v>2374</v>
      </c>
      <c r="P869" s="141" t="s">
        <v>2418</v>
      </c>
      <c r="Q869" s="142" t="s">
        <v>2413</v>
      </c>
      <c r="R869" s="141" t="s">
        <v>2519</v>
      </c>
      <c r="S869" s="142" t="s">
        <v>2515</v>
      </c>
      <c r="T869" s="141" t="s">
        <v>2553</v>
      </c>
      <c r="U869" s="142" t="s">
        <v>2551</v>
      </c>
      <c r="V869" s="142" t="s">
        <v>905</v>
      </c>
      <c r="W869" s="141">
        <f t="shared" si="27"/>
        <v>3</v>
      </c>
      <c r="X869" s="143"/>
      <c r="Y869" s="145" t="s">
        <v>2607</v>
      </c>
      <c r="AA869"/>
    </row>
    <row r="870" spans="1:27" s="115" customFormat="1" ht="27" customHeight="1">
      <c r="A870" s="139">
        <v>826</v>
      </c>
      <c r="B870" s="140" t="s">
        <v>5336</v>
      </c>
      <c r="C870" s="141" t="s">
        <v>2373</v>
      </c>
      <c r="D870" s="142" t="s">
        <v>2374</v>
      </c>
      <c r="E870" s="141" t="s">
        <v>2412</v>
      </c>
      <c r="F870" s="142" t="s">
        <v>2413</v>
      </c>
      <c r="G870" s="141" t="s">
        <v>2514</v>
      </c>
      <c r="H870" s="142" t="s">
        <v>2515</v>
      </c>
      <c r="I870" s="141" t="s">
        <v>2592</v>
      </c>
      <c r="J870" s="142" t="s">
        <v>2593</v>
      </c>
      <c r="K870" s="142" t="s">
        <v>907</v>
      </c>
      <c r="L870" s="143">
        <f t="shared" si="26"/>
        <v>1</v>
      </c>
      <c r="M870" s="144" t="s">
        <v>2608</v>
      </c>
      <c r="N870" s="141" t="s">
        <v>2373</v>
      </c>
      <c r="O870" s="142" t="s">
        <v>2374</v>
      </c>
      <c r="P870" s="141" t="s">
        <v>2418</v>
      </c>
      <c r="Q870" s="142" t="s">
        <v>2413</v>
      </c>
      <c r="R870" s="141" t="s">
        <v>2519</v>
      </c>
      <c r="S870" s="142" t="s">
        <v>2515</v>
      </c>
      <c r="T870" s="141" t="s">
        <v>2595</v>
      </c>
      <c r="U870" s="142" t="s">
        <v>2593</v>
      </c>
      <c r="V870" s="142" t="s">
        <v>907</v>
      </c>
      <c r="W870" s="141">
        <f t="shared" si="27"/>
        <v>1</v>
      </c>
      <c r="X870" s="143"/>
      <c r="Y870" s="145"/>
      <c r="AA870"/>
    </row>
    <row r="871" spans="1:27" s="115" customFormat="1" ht="27" customHeight="1">
      <c r="A871" s="139">
        <v>827</v>
      </c>
      <c r="B871" s="140" t="s">
        <v>5337</v>
      </c>
      <c r="C871" s="141" t="s">
        <v>2373</v>
      </c>
      <c r="D871" s="142" t="s">
        <v>2374</v>
      </c>
      <c r="E871" s="141" t="s">
        <v>2412</v>
      </c>
      <c r="F871" s="142" t="s">
        <v>2413</v>
      </c>
      <c r="G871" s="141" t="s">
        <v>2514</v>
      </c>
      <c r="H871" s="142" t="s">
        <v>2515</v>
      </c>
      <c r="I871" s="141" t="s">
        <v>2592</v>
      </c>
      <c r="J871" s="142" t="s">
        <v>2551</v>
      </c>
      <c r="K871" s="142" t="s">
        <v>192</v>
      </c>
      <c r="L871" s="143">
        <f t="shared" si="26"/>
        <v>1</v>
      </c>
      <c r="M871" s="144" t="s">
        <v>2567</v>
      </c>
      <c r="N871" s="141" t="s">
        <v>2373</v>
      </c>
      <c r="O871" s="142" t="s">
        <v>2374</v>
      </c>
      <c r="P871" s="141" t="s">
        <v>2418</v>
      </c>
      <c r="Q871" s="142" t="s">
        <v>2413</v>
      </c>
      <c r="R871" s="141" t="s">
        <v>2519</v>
      </c>
      <c r="S871" s="142" t="s">
        <v>2515</v>
      </c>
      <c r="T871" s="141" t="s">
        <v>2553</v>
      </c>
      <c r="U871" s="142" t="s">
        <v>2551</v>
      </c>
      <c r="V871" s="142" t="s">
        <v>192</v>
      </c>
      <c r="W871" s="141">
        <f t="shared" si="27"/>
        <v>3</v>
      </c>
      <c r="X871" s="143">
        <v>1</v>
      </c>
      <c r="Y871" s="145"/>
      <c r="AA871"/>
    </row>
    <row r="872" spans="1:27" s="115" customFormat="1" ht="27" customHeight="1">
      <c r="A872" s="139">
        <v>828</v>
      </c>
      <c r="B872" s="140" t="s">
        <v>5338</v>
      </c>
      <c r="C872" s="141" t="s">
        <v>2373</v>
      </c>
      <c r="D872" s="142" t="s">
        <v>2374</v>
      </c>
      <c r="E872" s="141" t="s">
        <v>2412</v>
      </c>
      <c r="F872" s="142" t="s">
        <v>2413</v>
      </c>
      <c r="G872" s="141" t="s">
        <v>2514</v>
      </c>
      <c r="H872" s="142" t="s">
        <v>2515</v>
      </c>
      <c r="I872" s="141" t="s">
        <v>2592</v>
      </c>
      <c r="J872" s="142" t="s">
        <v>2517</v>
      </c>
      <c r="K872" s="142" t="s">
        <v>890</v>
      </c>
      <c r="L872" s="143">
        <f t="shared" si="26"/>
        <v>1</v>
      </c>
      <c r="M872" s="144" t="s">
        <v>2533</v>
      </c>
      <c r="N872" s="141" t="s">
        <v>2373</v>
      </c>
      <c r="O872" s="142" t="s">
        <v>2374</v>
      </c>
      <c r="P872" s="141" t="s">
        <v>2418</v>
      </c>
      <c r="Q872" s="142" t="s">
        <v>2413</v>
      </c>
      <c r="R872" s="141" t="s">
        <v>2519</v>
      </c>
      <c r="S872" s="142" t="s">
        <v>2515</v>
      </c>
      <c r="T872" s="141" t="s">
        <v>2520</v>
      </c>
      <c r="U872" s="142" t="s">
        <v>2517</v>
      </c>
      <c r="V872" s="142" t="s">
        <v>890</v>
      </c>
      <c r="W872" s="141">
        <f t="shared" si="27"/>
        <v>3</v>
      </c>
      <c r="X872" s="143"/>
      <c r="Y872" s="145" t="s">
        <v>2609</v>
      </c>
      <c r="AA872"/>
    </row>
    <row r="873" spans="1:27" s="115" customFormat="1" ht="27" customHeight="1">
      <c r="A873" s="139">
        <v>829</v>
      </c>
      <c r="B873" s="140" t="s">
        <v>5339</v>
      </c>
      <c r="C873" s="141" t="s">
        <v>2373</v>
      </c>
      <c r="D873" s="142" t="s">
        <v>2374</v>
      </c>
      <c r="E873" s="141" t="s">
        <v>2412</v>
      </c>
      <c r="F873" s="142" t="s">
        <v>2413</v>
      </c>
      <c r="G873" s="141" t="s">
        <v>2514</v>
      </c>
      <c r="H873" s="142" t="s">
        <v>2515</v>
      </c>
      <c r="I873" s="141" t="s">
        <v>2592</v>
      </c>
      <c r="J873" s="142" t="s">
        <v>2593</v>
      </c>
      <c r="K873" s="142" t="s">
        <v>908</v>
      </c>
      <c r="L873" s="143">
        <f t="shared" si="26"/>
        <v>1</v>
      </c>
      <c r="M873" s="144" t="s">
        <v>2610</v>
      </c>
      <c r="N873" s="141" t="s">
        <v>2373</v>
      </c>
      <c r="O873" s="142" t="s">
        <v>2374</v>
      </c>
      <c r="P873" s="141" t="s">
        <v>2418</v>
      </c>
      <c r="Q873" s="142" t="s">
        <v>2413</v>
      </c>
      <c r="R873" s="141" t="s">
        <v>2519</v>
      </c>
      <c r="S873" s="142" t="s">
        <v>2515</v>
      </c>
      <c r="T873" s="141" t="s">
        <v>2595</v>
      </c>
      <c r="U873" s="142" t="s">
        <v>2593</v>
      </c>
      <c r="V873" s="142" t="s">
        <v>908</v>
      </c>
      <c r="W873" s="141">
        <f t="shared" si="27"/>
        <v>1</v>
      </c>
      <c r="X873" s="143"/>
      <c r="Y873" s="145"/>
      <c r="AA873"/>
    </row>
    <row r="874" spans="1:27" s="115" customFormat="1" ht="27" customHeight="1">
      <c r="A874" s="139">
        <v>830</v>
      </c>
      <c r="B874" s="140" t="s">
        <v>5340</v>
      </c>
      <c r="C874" s="141" t="s">
        <v>2373</v>
      </c>
      <c r="D874" s="142" t="s">
        <v>2374</v>
      </c>
      <c r="E874" s="141" t="s">
        <v>2412</v>
      </c>
      <c r="F874" s="142" t="s">
        <v>2413</v>
      </c>
      <c r="G874" s="141" t="s">
        <v>2611</v>
      </c>
      <c r="H874" s="142" t="s">
        <v>2569</v>
      </c>
      <c r="I874" s="141" t="s">
        <v>2612</v>
      </c>
      <c r="J874" s="142" t="s">
        <v>2613</v>
      </c>
      <c r="K874" s="142" t="s">
        <v>909</v>
      </c>
      <c r="L874" s="143">
        <f t="shared" si="26"/>
        <v>1</v>
      </c>
      <c r="M874" s="144" t="s">
        <v>2614</v>
      </c>
      <c r="N874" s="141" t="s">
        <v>2373</v>
      </c>
      <c r="O874" s="142" t="s">
        <v>2374</v>
      </c>
      <c r="P874" s="141" t="s">
        <v>2418</v>
      </c>
      <c r="Q874" s="142" t="s">
        <v>2413</v>
      </c>
      <c r="R874" s="141" t="s">
        <v>2572</v>
      </c>
      <c r="S874" s="142" t="s">
        <v>2569</v>
      </c>
      <c r="T874" s="141" t="s">
        <v>2615</v>
      </c>
      <c r="U874" s="142" t="s">
        <v>2613</v>
      </c>
      <c r="V874" s="142" t="s">
        <v>909</v>
      </c>
      <c r="W874" s="141">
        <f t="shared" si="27"/>
        <v>2</v>
      </c>
      <c r="X874" s="143"/>
      <c r="Y874" s="145" t="s">
        <v>2616</v>
      </c>
      <c r="AA874"/>
    </row>
    <row r="875" spans="1:27" s="115" customFormat="1" ht="27" customHeight="1">
      <c r="A875" s="139">
        <v>831</v>
      </c>
      <c r="B875" s="140" t="s">
        <v>5341</v>
      </c>
      <c r="C875" s="141" t="s">
        <v>2373</v>
      </c>
      <c r="D875" s="142" t="s">
        <v>2374</v>
      </c>
      <c r="E875" s="141" t="s">
        <v>2412</v>
      </c>
      <c r="F875" s="142" t="s">
        <v>2413</v>
      </c>
      <c r="G875" s="141" t="s">
        <v>2611</v>
      </c>
      <c r="H875" s="142" t="s">
        <v>2569</v>
      </c>
      <c r="I875" s="141" t="s">
        <v>2612</v>
      </c>
      <c r="J875" s="142" t="s">
        <v>2613</v>
      </c>
      <c r="K875" s="142" t="s">
        <v>909</v>
      </c>
      <c r="L875" s="143">
        <f t="shared" si="26"/>
        <v>1</v>
      </c>
      <c r="M875" s="144" t="s">
        <v>2614</v>
      </c>
      <c r="N875" s="141" t="s">
        <v>2373</v>
      </c>
      <c r="O875" s="142" t="s">
        <v>2374</v>
      </c>
      <c r="P875" s="141" t="s">
        <v>2418</v>
      </c>
      <c r="Q875" s="142" t="s">
        <v>2413</v>
      </c>
      <c r="R875" s="141" t="s">
        <v>2572</v>
      </c>
      <c r="S875" s="142" t="s">
        <v>2569</v>
      </c>
      <c r="T875" s="141" t="s">
        <v>2615</v>
      </c>
      <c r="U875" s="142" t="s">
        <v>2613</v>
      </c>
      <c r="V875" s="142" t="s">
        <v>909</v>
      </c>
      <c r="W875" s="141">
        <f t="shared" si="27"/>
        <v>2</v>
      </c>
      <c r="X875" s="143">
        <v>1</v>
      </c>
      <c r="Y875" s="145"/>
      <c r="AA875"/>
    </row>
    <row r="876" spans="1:27" s="115" customFormat="1" ht="27" customHeight="1">
      <c r="A876" s="139">
        <v>832</v>
      </c>
      <c r="B876" s="140" t="s">
        <v>5342</v>
      </c>
      <c r="C876" s="141" t="s">
        <v>2373</v>
      </c>
      <c r="D876" s="142" t="s">
        <v>2374</v>
      </c>
      <c r="E876" s="141" t="s">
        <v>2412</v>
      </c>
      <c r="F876" s="142" t="s">
        <v>2413</v>
      </c>
      <c r="G876" s="141" t="s">
        <v>2611</v>
      </c>
      <c r="H876" s="142" t="s">
        <v>2569</v>
      </c>
      <c r="I876" s="141" t="s">
        <v>2612</v>
      </c>
      <c r="J876" s="142" t="s">
        <v>2613</v>
      </c>
      <c r="K876" s="142" t="s">
        <v>910</v>
      </c>
      <c r="L876" s="143">
        <f t="shared" si="26"/>
        <v>1</v>
      </c>
      <c r="M876" s="144" t="s">
        <v>2617</v>
      </c>
      <c r="N876" s="141" t="s">
        <v>2373</v>
      </c>
      <c r="O876" s="142" t="s">
        <v>2374</v>
      </c>
      <c r="P876" s="141" t="s">
        <v>2418</v>
      </c>
      <c r="Q876" s="142" t="s">
        <v>2413</v>
      </c>
      <c r="R876" s="141" t="s">
        <v>2572</v>
      </c>
      <c r="S876" s="142" t="s">
        <v>2569</v>
      </c>
      <c r="T876" s="141" t="s">
        <v>2615</v>
      </c>
      <c r="U876" s="142" t="s">
        <v>2613</v>
      </c>
      <c r="V876" s="142" t="s">
        <v>910</v>
      </c>
      <c r="W876" s="141">
        <f t="shared" si="27"/>
        <v>1</v>
      </c>
      <c r="X876" s="143"/>
      <c r="Y876" s="145"/>
      <c r="AA876"/>
    </row>
    <row r="877" spans="1:27" s="115" customFormat="1" ht="27" customHeight="1">
      <c r="A877" s="139">
        <v>833</v>
      </c>
      <c r="B877" s="140" t="s">
        <v>5343</v>
      </c>
      <c r="C877" s="141" t="s">
        <v>2373</v>
      </c>
      <c r="D877" s="142" t="s">
        <v>2374</v>
      </c>
      <c r="E877" s="141" t="s">
        <v>2412</v>
      </c>
      <c r="F877" s="142" t="s">
        <v>2413</v>
      </c>
      <c r="G877" s="141" t="s">
        <v>2611</v>
      </c>
      <c r="H877" s="142" t="s">
        <v>2569</v>
      </c>
      <c r="I877" s="141" t="s">
        <v>2612</v>
      </c>
      <c r="J877" s="142" t="s">
        <v>2570</v>
      </c>
      <c r="K877" s="142" t="s">
        <v>898</v>
      </c>
      <c r="L877" s="143">
        <f t="shared" si="26"/>
        <v>1</v>
      </c>
      <c r="M877" s="144" t="s">
        <v>2571</v>
      </c>
      <c r="N877" s="141" t="s">
        <v>2373</v>
      </c>
      <c r="O877" s="142" t="s">
        <v>2374</v>
      </c>
      <c r="P877" s="141" t="s">
        <v>2418</v>
      </c>
      <c r="Q877" s="142" t="s">
        <v>2413</v>
      </c>
      <c r="R877" s="141" t="s">
        <v>2572</v>
      </c>
      <c r="S877" s="142" t="s">
        <v>2569</v>
      </c>
      <c r="T877" s="141" t="s">
        <v>2573</v>
      </c>
      <c r="U877" s="142" t="s">
        <v>2570</v>
      </c>
      <c r="V877" s="142" t="s">
        <v>898</v>
      </c>
      <c r="W877" s="141">
        <f t="shared" si="27"/>
        <v>5</v>
      </c>
      <c r="X877" s="143"/>
      <c r="Y877" s="145" t="s">
        <v>2618</v>
      </c>
      <c r="AA877"/>
    </row>
    <row r="878" spans="1:27" s="115" customFormat="1" ht="27" customHeight="1">
      <c r="A878" s="139">
        <v>834</v>
      </c>
      <c r="B878" s="140" t="s">
        <v>5344</v>
      </c>
      <c r="C878" s="141" t="s">
        <v>2373</v>
      </c>
      <c r="D878" s="142" t="s">
        <v>2374</v>
      </c>
      <c r="E878" s="141" t="s">
        <v>2412</v>
      </c>
      <c r="F878" s="142" t="s">
        <v>2413</v>
      </c>
      <c r="G878" s="141" t="s">
        <v>2611</v>
      </c>
      <c r="H878" s="142" t="s">
        <v>2569</v>
      </c>
      <c r="I878" s="141" t="s">
        <v>2612</v>
      </c>
      <c r="J878" s="142" t="s">
        <v>2613</v>
      </c>
      <c r="K878" s="142" t="s">
        <v>911</v>
      </c>
      <c r="L878" s="143">
        <f t="shared" si="26"/>
        <v>1</v>
      </c>
      <c r="M878" s="144" t="s">
        <v>2619</v>
      </c>
      <c r="N878" s="141" t="s">
        <v>2373</v>
      </c>
      <c r="O878" s="142" t="s">
        <v>2374</v>
      </c>
      <c r="P878" s="141" t="s">
        <v>2418</v>
      </c>
      <c r="Q878" s="142" t="s">
        <v>2413</v>
      </c>
      <c r="R878" s="141" t="s">
        <v>2572</v>
      </c>
      <c r="S878" s="142" t="s">
        <v>2569</v>
      </c>
      <c r="T878" s="141" t="s">
        <v>2615</v>
      </c>
      <c r="U878" s="142" t="s">
        <v>2613</v>
      </c>
      <c r="V878" s="142" t="s">
        <v>911</v>
      </c>
      <c r="W878" s="141">
        <f t="shared" si="27"/>
        <v>1</v>
      </c>
      <c r="X878" s="143"/>
      <c r="Y878" s="145"/>
      <c r="AA878"/>
    </row>
    <row r="879" spans="1:27" s="115" customFormat="1" ht="27" customHeight="1">
      <c r="A879" s="139">
        <v>835</v>
      </c>
      <c r="B879" s="140" t="s">
        <v>5345</v>
      </c>
      <c r="C879" s="141" t="s">
        <v>2373</v>
      </c>
      <c r="D879" s="142" t="s">
        <v>2374</v>
      </c>
      <c r="E879" s="141" t="s">
        <v>2412</v>
      </c>
      <c r="F879" s="142" t="s">
        <v>2413</v>
      </c>
      <c r="G879" s="141" t="s">
        <v>2611</v>
      </c>
      <c r="H879" s="142" t="s">
        <v>2569</v>
      </c>
      <c r="I879" s="141" t="s">
        <v>2620</v>
      </c>
      <c r="J879" s="142" t="s">
        <v>2621</v>
      </c>
      <c r="K879" s="142" t="s">
        <v>193</v>
      </c>
      <c r="L879" s="143">
        <f t="shared" si="26"/>
        <v>1</v>
      </c>
      <c r="M879" s="144">
        <v>46721</v>
      </c>
      <c r="N879" s="141" t="s">
        <v>2373</v>
      </c>
      <c r="O879" s="142" t="s">
        <v>2374</v>
      </c>
      <c r="P879" s="141" t="s">
        <v>2418</v>
      </c>
      <c r="Q879" s="142" t="s">
        <v>2413</v>
      </c>
      <c r="R879" s="141" t="s">
        <v>2572</v>
      </c>
      <c r="S879" s="142" t="s">
        <v>2569</v>
      </c>
      <c r="T879" s="141" t="s">
        <v>2622</v>
      </c>
      <c r="U879" s="142" t="s">
        <v>2621</v>
      </c>
      <c r="V879" s="142" t="s">
        <v>193</v>
      </c>
      <c r="W879" s="141">
        <f t="shared" si="27"/>
        <v>7</v>
      </c>
      <c r="X879" s="143">
        <v>2</v>
      </c>
      <c r="Y879" s="145" t="s">
        <v>2623</v>
      </c>
      <c r="AA879"/>
    </row>
    <row r="880" spans="1:27" s="115" customFormat="1" ht="27" customHeight="1">
      <c r="A880" s="139">
        <v>836</v>
      </c>
      <c r="B880" s="140" t="s">
        <v>6061</v>
      </c>
      <c r="C880" s="141" t="s">
        <v>2373</v>
      </c>
      <c r="D880" s="142" t="s">
        <v>2374</v>
      </c>
      <c r="E880" s="141" t="s">
        <v>2412</v>
      </c>
      <c r="F880" s="142" t="s">
        <v>2413</v>
      </c>
      <c r="G880" s="141" t="s">
        <v>2611</v>
      </c>
      <c r="H880" s="142" t="s">
        <v>2569</v>
      </c>
      <c r="I880" s="141" t="s">
        <v>2620</v>
      </c>
      <c r="J880" s="142" t="s">
        <v>2621</v>
      </c>
      <c r="K880" s="142" t="s">
        <v>193</v>
      </c>
      <c r="L880" s="143">
        <f t="shared" si="26"/>
        <v>1</v>
      </c>
      <c r="M880" s="144" t="s">
        <v>2624</v>
      </c>
      <c r="N880" s="141" t="s">
        <v>2373</v>
      </c>
      <c r="O880" s="142" t="s">
        <v>2374</v>
      </c>
      <c r="P880" s="141" t="s">
        <v>2418</v>
      </c>
      <c r="Q880" s="142" t="s">
        <v>2413</v>
      </c>
      <c r="R880" s="141" t="s">
        <v>2572</v>
      </c>
      <c r="S880" s="142" t="s">
        <v>2569</v>
      </c>
      <c r="T880" s="141" t="s">
        <v>2622</v>
      </c>
      <c r="U880" s="142" t="s">
        <v>2621</v>
      </c>
      <c r="V880" s="142" t="s">
        <v>193</v>
      </c>
      <c r="W880" s="141">
        <f t="shared" si="27"/>
        <v>7</v>
      </c>
      <c r="X880" s="143">
        <v>2</v>
      </c>
      <c r="Y880" s="145" t="s">
        <v>2625</v>
      </c>
      <c r="AA880"/>
    </row>
    <row r="881" spans="1:27" s="115" customFormat="1" ht="27" customHeight="1">
      <c r="A881" s="139">
        <v>837</v>
      </c>
      <c r="B881" s="140" t="s">
        <v>5346</v>
      </c>
      <c r="C881" s="141" t="s">
        <v>2373</v>
      </c>
      <c r="D881" s="142" t="s">
        <v>2374</v>
      </c>
      <c r="E881" s="141" t="s">
        <v>2412</v>
      </c>
      <c r="F881" s="142" t="s">
        <v>2413</v>
      </c>
      <c r="G881" s="141" t="s">
        <v>2611</v>
      </c>
      <c r="H881" s="142" t="s">
        <v>2569</v>
      </c>
      <c r="I881" s="141" t="s">
        <v>2620</v>
      </c>
      <c r="J881" s="142" t="s">
        <v>2621</v>
      </c>
      <c r="K881" s="142" t="s">
        <v>193</v>
      </c>
      <c r="L881" s="143">
        <f t="shared" si="26"/>
        <v>1</v>
      </c>
      <c r="M881" s="144" t="s">
        <v>2624</v>
      </c>
      <c r="N881" s="141" t="s">
        <v>2373</v>
      </c>
      <c r="O881" s="142" t="s">
        <v>2374</v>
      </c>
      <c r="P881" s="141" t="s">
        <v>2418</v>
      </c>
      <c r="Q881" s="142" t="s">
        <v>2413</v>
      </c>
      <c r="R881" s="141" t="s">
        <v>2572</v>
      </c>
      <c r="S881" s="142" t="s">
        <v>2569</v>
      </c>
      <c r="T881" s="141" t="s">
        <v>2622</v>
      </c>
      <c r="U881" s="142" t="s">
        <v>2621</v>
      </c>
      <c r="V881" s="142" t="s">
        <v>193</v>
      </c>
      <c r="W881" s="141">
        <f t="shared" si="27"/>
        <v>7</v>
      </c>
      <c r="X881" s="143"/>
      <c r="Y881" s="145" t="s">
        <v>2626</v>
      </c>
      <c r="AA881"/>
    </row>
    <row r="882" spans="1:27" s="115" customFormat="1" ht="27" customHeight="1">
      <c r="A882" s="139">
        <v>838</v>
      </c>
      <c r="B882" s="140" t="s">
        <v>5347</v>
      </c>
      <c r="C882" s="141" t="s">
        <v>2373</v>
      </c>
      <c r="D882" s="142" t="s">
        <v>2374</v>
      </c>
      <c r="E882" s="141" t="s">
        <v>2412</v>
      </c>
      <c r="F882" s="142" t="s">
        <v>2413</v>
      </c>
      <c r="G882" s="141" t="s">
        <v>2611</v>
      </c>
      <c r="H882" s="142" t="s">
        <v>2569</v>
      </c>
      <c r="I882" s="141" t="s">
        <v>2620</v>
      </c>
      <c r="J882" s="142" t="s">
        <v>2621</v>
      </c>
      <c r="K882" s="142" t="s">
        <v>193</v>
      </c>
      <c r="L882" s="143">
        <f t="shared" si="26"/>
        <v>1</v>
      </c>
      <c r="M882" s="144" t="s">
        <v>2624</v>
      </c>
      <c r="N882" s="141" t="s">
        <v>2373</v>
      </c>
      <c r="O882" s="142" t="s">
        <v>2374</v>
      </c>
      <c r="P882" s="141" t="s">
        <v>2418</v>
      </c>
      <c r="Q882" s="142" t="s">
        <v>2413</v>
      </c>
      <c r="R882" s="141" t="s">
        <v>2572</v>
      </c>
      <c r="S882" s="142" t="s">
        <v>2569</v>
      </c>
      <c r="T882" s="141" t="s">
        <v>2622</v>
      </c>
      <c r="U882" s="142" t="s">
        <v>2621</v>
      </c>
      <c r="V882" s="142" t="s">
        <v>193</v>
      </c>
      <c r="W882" s="141">
        <f t="shared" si="27"/>
        <v>7</v>
      </c>
      <c r="X882" s="143">
        <v>2</v>
      </c>
      <c r="Y882" s="145" t="s">
        <v>2627</v>
      </c>
      <c r="AA882"/>
    </row>
    <row r="883" spans="1:27" s="115" customFormat="1" ht="27" customHeight="1">
      <c r="A883" s="139">
        <v>839</v>
      </c>
      <c r="B883" s="140" t="s">
        <v>5348</v>
      </c>
      <c r="C883" s="141" t="s">
        <v>2373</v>
      </c>
      <c r="D883" s="142" t="s">
        <v>2374</v>
      </c>
      <c r="E883" s="141" t="s">
        <v>2412</v>
      </c>
      <c r="F883" s="142" t="s">
        <v>2413</v>
      </c>
      <c r="G883" s="141" t="s">
        <v>2611</v>
      </c>
      <c r="H883" s="142" t="s">
        <v>2569</v>
      </c>
      <c r="I883" s="141" t="s">
        <v>2620</v>
      </c>
      <c r="J883" s="142" t="s">
        <v>2621</v>
      </c>
      <c r="K883" s="142" t="s">
        <v>193</v>
      </c>
      <c r="L883" s="143">
        <f t="shared" si="26"/>
        <v>1</v>
      </c>
      <c r="M883" s="144" t="s">
        <v>2624</v>
      </c>
      <c r="N883" s="141" t="s">
        <v>2373</v>
      </c>
      <c r="O883" s="142" t="s">
        <v>2374</v>
      </c>
      <c r="P883" s="141" t="s">
        <v>2418</v>
      </c>
      <c r="Q883" s="142" t="s">
        <v>2413</v>
      </c>
      <c r="R883" s="141" t="s">
        <v>2572</v>
      </c>
      <c r="S883" s="142" t="s">
        <v>2569</v>
      </c>
      <c r="T883" s="141" t="s">
        <v>2622</v>
      </c>
      <c r="U883" s="142" t="s">
        <v>2621</v>
      </c>
      <c r="V883" s="142" t="s">
        <v>193</v>
      </c>
      <c r="W883" s="141">
        <f t="shared" si="27"/>
        <v>7</v>
      </c>
      <c r="X883" s="143">
        <v>2</v>
      </c>
      <c r="Y883" s="145" t="s">
        <v>2628</v>
      </c>
      <c r="AA883"/>
    </row>
    <row r="884" spans="1:27" s="115" customFormat="1" ht="27" customHeight="1">
      <c r="A884" s="139">
        <v>840</v>
      </c>
      <c r="B884" s="140" t="s">
        <v>5349</v>
      </c>
      <c r="C884" s="141" t="s">
        <v>2373</v>
      </c>
      <c r="D884" s="142" t="s">
        <v>2374</v>
      </c>
      <c r="E884" s="141" t="s">
        <v>2412</v>
      </c>
      <c r="F884" s="142" t="s">
        <v>2413</v>
      </c>
      <c r="G884" s="141" t="s">
        <v>2611</v>
      </c>
      <c r="H884" s="142" t="s">
        <v>2569</v>
      </c>
      <c r="I884" s="141" t="s">
        <v>2620</v>
      </c>
      <c r="J884" s="142" t="s">
        <v>2621</v>
      </c>
      <c r="K884" s="142" t="s">
        <v>194</v>
      </c>
      <c r="L884" s="143">
        <f t="shared" si="26"/>
        <v>1</v>
      </c>
      <c r="M884" s="144" t="s">
        <v>2629</v>
      </c>
      <c r="N884" s="141" t="s">
        <v>2373</v>
      </c>
      <c r="O884" s="142" t="s">
        <v>2374</v>
      </c>
      <c r="P884" s="141" t="s">
        <v>2418</v>
      </c>
      <c r="Q884" s="142" t="s">
        <v>2413</v>
      </c>
      <c r="R884" s="141" t="s">
        <v>2572</v>
      </c>
      <c r="S884" s="142" t="s">
        <v>2569</v>
      </c>
      <c r="T884" s="141" t="s">
        <v>2622</v>
      </c>
      <c r="U884" s="142" t="s">
        <v>2621</v>
      </c>
      <c r="V884" s="142" t="s">
        <v>194</v>
      </c>
      <c r="W884" s="141">
        <f t="shared" si="27"/>
        <v>1</v>
      </c>
      <c r="X884" s="143"/>
      <c r="Y884" s="145"/>
      <c r="AA884"/>
    </row>
    <row r="885" spans="1:27" s="115" customFormat="1" ht="27" customHeight="1">
      <c r="A885" s="139">
        <v>841</v>
      </c>
      <c r="B885" s="140" t="s">
        <v>5350</v>
      </c>
      <c r="C885" s="141" t="s">
        <v>2373</v>
      </c>
      <c r="D885" s="142" t="s">
        <v>2374</v>
      </c>
      <c r="E885" s="141" t="s">
        <v>2412</v>
      </c>
      <c r="F885" s="142" t="s">
        <v>2413</v>
      </c>
      <c r="G885" s="141" t="s">
        <v>2611</v>
      </c>
      <c r="H885" s="142" t="s">
        <v>2569</v>
      </c>
      <c r="I885" s="141" t="s">
        <v>2620</v>
      </c>
      <c r="J885" s="142" t="s">
        <v>2621</v>
      </c>
      <c r="K885" s="142" t="s">
        <v>193</v>
      </c>
      <c r="L885" s="143">
        <f t="shared" si="26"/>
        <v>1</v>
      </c>
      <c r="M885" s="144" t="s">
        <v>2624</v>
      </c>
      <c r="N885" s="141" t="s">
        <v>2373</v>
      </c>
      <c r="O885" s="142" t="s">
        <v>2374</v>
      </c>
      <c r="P885" s="141" t="s">
        <v>2418</v>
      </c>
      <c r="Q885" s="142" t="s">
        <v>2413</v>
      </c>
      <c r="R885" s="141" t="s">
        <v>2572</v>
      </c>
      <c r="S885" s="142" t="s">
        <v>2569</v>
      </c>
      <c r="T885" s="141" t="s">
        <v>2622</v>
      </c>
      <c r="U885" s="142" t="s">
        <v>2621</v>
      </c>
      <c r="V885" s="142" t="s">
        <v>193</v>
      </c>
      <c r="W885" s="141">
        <f t="shared" si="27"/>
        <v>7</v>
      </c>
      <c r="X885" s="143"/>
      <c r="Y885" s="145" t="s">
        <v>2630</v>
      </c>
      <c r="AA885"/>
    </row>
    <row r="886" spans="1:27" s="115" customFormat="1" ht="27" customHeight="1">
      <c r="A886" s="139">
        <v>842</v>
      </c>
      <c r="B886" s="140" t="s">
        <v>6062</v>
      </c>
      <c r="C886" s="141" t="s">
        <v>2373</v>
      </c>
      <c r="D886" s="142" t="s">
        <v>2374</v>
      </c>
      <c r="E886" s="141" t="s">
        <v>2412</v>
      </c>
      <c r="F886" s="142" t="s">
        <v>2413</v>
      </c>
      <c r="G886" s="141" t="s">
        <v>2611</v>
      </c>
      <c r="H886" s="142" t="s">
        <v>2569</v>
      </c>
      <c r="I886" s="141" t="s">
        <v>2620</v>
      </c>
      <c r="J886" s="142" t="s">
        <v>2621</v>
      </c>
      <c r="K886" s="142" t="s">
        <v>193</v>
      </c>
      <c r="L886" s="143">
        <f t="shared" si="26"/>
        <v>1</v>
      </c>
      <c r="M886" s="144" t="s">
        <v>2624</v>
      </c>
      <c r="N886" s="141" t="s">
        <v>2373</v>
      </c>
      <c r="O886" s="142" t="s">
        <v>2374</v>
      </c>
      <c r="P886" s="141" t="s">
        <v>2418</v>
      </c>
      <c r="Q886" s="142" t="s">
        <v>2413</v>
      </c>
      <c r="R886" s="141" t="s">
        <v>2572</v>
      </c>
      <c r="S886" s="142" t="s">
        <v>2569</v>
      </c>
      <c r="T886" s="141" t="s">
        <v>2622</v>
      </c>
      <c r="U886" s="142" t="s">
        <v>2621</v>
      </c>
      <c r="V886" s="142" t="s">
        <v>193</v>
      </c>
      <c r="W886" s="141">
        <f t="shared" si="27"/>
        <v>7</v>
      </c>
      <c r="X886" s="143">
        <v>2</v>
      </c>
      <c r="Y886" s="145" t="s">
        <v>2631</v>
      </c>
      <c r="AA886"/>
    </row>
    <row r="887" spans="1:27" s="115" customFormat="1" ht="27" customHeight="1">
      <c r="A887" s="139">
        <v>843</v>
      </c>
      <c r="B887" s="140" t="s">
        <v>5351</v>
      </c>
      <c r="C887" s="141" t="s">
        <v>2373</v>
      </c>
      <c r="D887" s="142" t="s">
        <v>2374</v>
      </c>
      <c r="E887" s="141" t="s">
        <v>2412</v>
      </c>
      <c r="F887" s="142" t="s">
        <v>2413</v>
      </c>
      <c r="G887" s="141" t="s">
        <v>2611</v>
      </c>
      <c r="H887" s="142" t="s">
        <v>2556</v>
      </c>
      <c r="I887" s="141" t="s">
        <v>2632</v>
      </c>
      <c r="J887" s="142" t="s">
        <v>2633</v>
      </c>
      <c r="K887" s="142" t="s">
        <v>912</v>
      </c>
      <c r="L887" s="143">
        <f t="shared" si="26"/>
        <v>1</v>
      </c>
      <c r="M887" s="144" t="s">
        <v>2634</v>
      </c>
      <c r="N887" s="141" t="s">
        <v>2373</v>
      </c>
      <c r="O887" s="142" t="s">
        <v>2374</v>
      </c>
      <c r="P887" s="141" t="s">
        <v>2418</v>
      </c>
      <c r="Q887" s="142" t="s">
        <v>2413</v>
      </c>
      <c r="R887" s="141" t="s">
        <v>2559</v>
      </c>
      <c r="S887" s="142" t="s">
        <v>2556</v>
      </c>
      <c r="T887" s="141" t="s">
        <v>2635</v>
      </c>
      <c r="U887" s="142" t="s">
        <v>2633</v>
      </c>
      <c r="V887" s="142" t="s">
        <v>912</v>
      </c>
      <c r="W887" s="141">
        <f t="shared" si="27"/>
        <v>1</v>
      </c>
      <c r="X887" s="143"/>
      <c r="Y887" s="145"/>
      <c r="AA887"/>
    </row>
    <row r="888" spans="1:27" s="115" customFormat="1" ht="27" customHeight="1">
      <c r="A888" s="139">
        <v>844</v>
      </c>
      <c r="B888" s="140" t="s">
        <v>5352</v>
      </c>
      <c r="C888" s="141" t="s">
        <v>2373</v>
      </c>
      <c r="D888" s="142" t="s">
        <v>2374</v>
      </c>
      <c r="E888" s="141" t="s">
        <v>2412</v>
      </c>
      <c r="F888" s="142" t="s">
        <v>2413</v>
      </c>
      <c r="G888" s="141" t="s">
        <v>2611</v>
      </c>
      <c r="H888" s="142" t="s">
        <v>2556</v>
      </c>
      <c r="I888" s="141" t="s">
        <v>2632</v>
      </c>
      <c r="J888" s="142" t="s">
        <v>2633</v>
      </c>
      <c r="K888" s="142" t="s">
        <v>195</v>
      </c>
      <c r="L888" s="143">
        <f t="shared" si="26"/>
        <v>1</v>
      </c>
      <c r="M888" s="144" t="s">
        <v>2636</v>
      </c>
      <c r="N888" s="141" t="s">
        <v>2373</v>
      </c>
      <c r="O888" s="142" t="s">
        <v>2374</v>
      </c>
      <c r="P888" s="141" t="s">
        <v>2418</v>
      </c>
      <c r="Q888" s="142" t="s">
        <v>2413</v>
      </c>
      <c r="R888" s="141" t="s">
        <v>2559</v>
      </c>
      <c r="S888" s="142" t="s">
        <v>2556</v>
      </c>
      <c r="T888" s="141" t="s">
        <v>2635</v>
      </c>
      <c r="U888" s="142" t="s">
        <v>2633</v>
      </c>
      <c r="V888" s="142" t="s">
        <v>195</v>
      </c>
      <c r="W888" s="141">
        <f t="shared" si="27"/>
        <v>3</v>
      </c>
      <c r="X888" s="143">
        <v>2</v>
      </c>
      <c r="Y888" s="145" t="s">
        <v>2637</v>
      </c>
      <c r="AA888"/>
    </row>
    <row r="889" spans="1:27" s="115" customFormat="1" ht="27" customHeight="1">
      <c r="A889" s="139">
        <v>845</v>
      </c>
      <c r="B889" s="140" t="s">
        <v>5353</v>
      </c>
      <c r="C889" s="141" t="s">
        <v>2373</v>
      </c>
      <c r="D889" s="142" t="s">
        <v>2374</v>
      </c>
      <c r="E889" s="141" t="s">
        <v>2412</v>
      </c>
      <c r="F889" s="142" t="s">
        <v>2413</v>
      </c>
      <c r="G889" s="141" t="s">
        <v>2611</v>
      </c>
      <c r="H889" s="142" t="s">
        <v>2556</v>
      </c>
      <c r="I889" s="141" t="s">
        <v>2632</v>
      </c>
      <c r="J889" s="142" t="s">
        <v>2633</v>
      </c>
      <c r="K889" s="142" t="s">
        <v>913</v>
      </c>
      <c r="L889" s="143">
        <f t="shared" si="26"/>
        <v>1</v>
      </c>
      <c r="M889" s="144" t="s">
        <v>2638</v>
      </c>
      <c r="N889" s="141" t="s">
        <v>2373</v>
      </c>
      <c r="O889" s="142" t="s">
        <v>2374</v>
      </c>
      <c r="P889" s="141" t="s">
        <v>2418</v>
      </c>
      <c r="Q889" s="142" t="s">
        <v>2413</v>
      </c>
      <c r="R889" s="141" t="s">
        <v>2559</v>
      </c>
      <c r="S889" s="142" t="s">
        <v>2556</v>
      </c>
      <c r="T889" s="141" t="s">
        <v>2635</v>
      </c>
      <c r="U889" s="142" t="s">
        <v>2633</v>
      </c>
      <c r="V889" s="142" t="s">
        <v>913</v>
      </c>
      <c r="W889" s="141">
        <f t="shared" si="27"/>
        <v>1</v>
      </c>
      <c r="X889" s="143"/>
      <c r="Y889" s="145"/>
      <c r="AA889"/>
    </row>
    <row r="890" spans="1:27" s="115" customFormat="1" ht="27" customHeight="1">
      <c r="A890" s="139">
        <v>846</v>
      </c>
      <c r="B890" s="140" t="s">
        <v>5354</v>
      </c>
      <c r="C890" s="141" t="s">
        <v>2373</v>
      </c>
      <c r="D890" s="142" t="s">
        <v>2374</v>
      </c>
      <c r="E890" s="141" t="s">
        <v>2412</v>
      </c>
      <c r="F890" s="142" t="s">
        <v>2413</v>
      </c>
      <c r="G890" s="141" t="s">
        <v>2611</v>
      </c>
      <c r="H890" s="142" t="s">
        <v>2556</v>
      </c>
      <c r="I890" s="141" t="s">
        <v>2632</v>
      </c>
      <c r="J890" s="142" t="s">
        <v>2633</v>
      </c>
      <c r="K890" s="142" t="s">
        <v>195</v>
      </c>
      <c r="L890" s="143">
        <f t="shared" si="26"/>
        <v>1</v>
      </c>
      <c r="M890" s="144" t="s">
        <v>2636</v>
      </c>
      <c r="N890" s="141" t="s">
        <v>2373</v>
      </c>
      <c r="O890" s="142" t="s">
        <v>2374</v>
      </c>
      <c r="P890" s="141" t="s">
        <v>2418</v>
      </c>
      <c r="Q890" s="142" t="s">
        <v>2413</v>
      </c>
      <c r="R890" s="141" t="s">
        <v>2559</v>
      </c>
      <c r="S890" s="142" t="s">
        <v>2556</v>
      </c>
      <c r="T890" s="141" t="s">
        <v>2635</v>
      </c>
      <c r="U890" s="142" t="s">
        <v>2633</v>
      </c>
      <c r="V890" s="142" t="s">
        <v>195</v>
      </c>
      <c r="W890" s="141">
        <f t="shared" si="27"/>
        <v>3</v>
      </c>
      <c r="X890" s="143">
        <v>2</v>
      </c>
      <c r="Y890" s="145" t="s">
        <v>2639</v>
      </c>
      <c r="AA890"/>
    </row>
    <row r="891" spans="1:27" s="115" customFormat="1" ht="27" customHeight="1">
      <c r="A891" s="139">
        <v>847</v>
      </c>
      <c r="B891" s="140" t="s">
        <v>5355</v>
      </c>
      <c r="C891" s="141" t="s">
        <v>2373</v>
      </c>
      <c r="D891" s="142" t="s">
        <v>2374</v>
      </c>
      <c r="E891" s="141" t="s">
        <v>2412</v>
      </c>
      <c r="F891" s="142" t="s">
        <v>2413</v>
      </c>
      <c r="G891" s="141" t="s">
        <v>2611</v>
      </c>
      <c r="H891" s="142" t="s">
        <v>2556</v>
      </c>
      <c r="I891" s="141" t="s">
        <v>2632</v>
      </c>
      <c r="J891" s="142" t="s">
        <v>2557</v>
      </c>
      <c r="K891" s="142" t="s">
        <v>914</v>
      </c>
      <c r="L891" s="143">
        <f t="shared" si="26"/>
        <v>1</v>
      </c>
      <c r="M891" s="144" t="s">
        <v>2640</v>
      </c>
      <c r="N891" s="141" t="s">
        <v>2373</v>
      </c>
      <c r="O891" s="142" t="s">
        <v>2374</v>
      </c>
      <c r="P891" s="141" t="s">
        <v>2418</v>
      </c>
      <c r="Q891" s="142" t="s">
        <v>2413</v>
      </c>
      <c r="R891" s="141" t="s">
        <v>2559</v>
      </c>
      <c r="S891" s="142" t="s">
        <v>2556</v>
      </c>
      <c r="T891" s="141" t="s">
        <v>2560</v>
      </c>
      <c r="U891" s="142" t="s">
        <v>2557</v>
      </c>
      <c r="V891" s="142" t="s">
        <v>914</v>
      </c>
      <c r="W891" s="141">
        <f t="shared" si="27"/>
        <v>1</v>
      </c>
      <c r="X891" s="143"/>
      <c r="Y891" s="145"/>
      <c r="AA891"/>
    </row>
    <row r="892" spans="1:27" s="115" customFormat="1" ht="27" customHeight="1">
      <c r="A892" s="139">
        <v>848</v>
      </c>
      <c r="B892" s="140" t="s">
        <v>5356</v>
      </c>
      <c r="C892" s="141" t="s">
        <v>2373</v>
      </c>
      <c r="D892" s="142" t="s">
        <v>2374</v>
      </c>
      <c r="E892" s="141" t="s">
        <v>2412</v>
      </c>
      <c r="F892" s="142" t="s">
        <v>2413</v>
      </c>
      <c r="G892" s="141" t="s">
        <v>2611</v>
      </c>
      <c r="H892" s="142" t="s">
        <v>2556</v>
      </c>
      <c r="I892" s="141" t="s">
        <v>2632</v>
      </c>
      <c r="J892" s="142" t="s">
        <v>2641</v>
      </c>
      <c r="K892" s="142" t="s">
        <v>915</v>
      </c>
      <c r="L892" s="143">
        <f t="shared" si="26"/>
        <v>1</v>
      </c>
      <c r="M892" s="144" t="s">
        <v>2642</v>
      </c>
      <c r="N892" s="141" t="s">
        <v>2373</v>
      </c>
      <c r="O892" s="142" t="s">
        <v>2374</v>
      </c>
      <c r="P892" s="141" t="s">
        <v>2418</v>
      </c>
      <c r="Q892" s="142" t="s">
        <v>2413</v>
      </c>
      <c r="R892" s="141" t="s">
        <v>2559</v>
      </c>
      <c r="S892" s="142" t="s">
        <v>2556</v>
      </c>
      <c r="T892" s="141" t="s">
        <v>2643</v>
      </c>
      <c r="U892" s="142" t="s">
        <v>2641</v>
      </c>
      <c r="V892" s="142" t="s">
        <v>915</v>
      </c>
      <c r="W892" s="141">
        <f t="shared" si="27"/>
        <v>1</v>
      </c>
      <c r="X892" s="143"/>
      <c r="Y892" s="145"/>
      <c r="AA892"/>
    </row>
    <row r="893" spans="1:27" s="115" customFormat="1" ht="27" customHeight="1">
      <c r="A893" s="139">
        <v>849</v>
      </c>
      <c r="B893" s="140" t="s">
        <v>5357</v>
      </c>
      <c r="C893" s="141" t="s">
        <v>2373</v>
      </c>
      <c r="D893" s="142" t="s">
        <v>2374</v>
      </c>
      <c r="E893" s="141" t="s">
        <v>2412</v>
      </c>
      <c r="F893" s="142" t="s">
        <v>2413</v>
      </c>
      <c r="G893" s="141" t="s">
        <v>2611</v>
      </c>
      <c r="H893" s="142" t="s">
        <v>2556</v>
      </c>
      <c r="I893" s="141" t="s">
        <v>2632</v>
      </c>
      <c r="J893" s="142" t="s">
        <v>2641</v>
      </c>
      <c r="K893" s="142" t="s">
        <v>916</v>
      </c>
      <c r="L893" s="143">
        <f t="shared" si="26"/>
        <v>1</v>
      </c>
      <c r="M893" s="144" t="s">
        <v>2644</v>
      </c>
      <c r="N893" s="141" t="s">
        <v>2373</v>
      </c>
      <c r="O893" s="142" t="s">
        <v>2374</v>
      </c>
      <c r="P893" s="141" t="s">
        <v>2418</v>
      </c>
      <c r="Q893" s="142" t="s">
        <v>2413</v>
      </c>
      <c r="R893" s="141" t="s">
        <v>2559</v>
      </c>
      <c r="S893" s="142" t="s">
        <v>2556</v>
      </c>
      <c r="T893" s="141" t="s">
        <v>2643</v>
      </c>
      <c r="U893" s="142" t="s">
        <v>2641</v>
      </c>
      <c r="V893" s="142" t="s">
        <v>916</v>
      </c>
      <c r="W893" s="141">
        <f t="shared" si="27"/>
        <v>1</v>
      </c>
      <c r="X893" s="143"/>
      <c r="Y893" s="145"/>
      <c r="AA893"/>
    </row>
    <row r="894" spans="1:27" s="115" customFormat="1" ht="27" customHeight="1">
      <c r="A894" s="139">
        <v>850</v>
      </c>
      <c r="B894" s="140" t="s">
        <v>5358</v>
      </c>
      <c r="C894" s="141" t="s">
        <v>2373</v>
      </c>
      <c r="D894" s="142" t="s">
        <v>2374</v>
      </c>
      <c r="E894" s="141" t="s">
        <v>2412</v>
      </c>
      <c r="F894" s="142" t="s">
        <v>2413</v>
      </c>
      <c r="G894" s="141" t="s">
        <v>2611</v>
      </c>
      <c r="H894" s="142" t="s">
        <v>2556</v>
      </c>
      <c r="I894" s="141" t="s">
        <v>2632</v>
      </c>
      <c r="J894" s="142" t="s">
        <v>2557</v>
      </c>
      <c r="K894" s="142" t="s">
        <v>917</v>
      </c>
      <c r="L894" s="143">
        <f t="shared" si="26"/>
        <v>1</v>
      </c>
      <c r="M894" s="144" t="s">
        <v>2645</v>
      </c>
      <c r="N894" s="141" t="s">
        <v>2373</v>
      </c>
      <c r="O894" s="142" t="s">
        <v>2374</v>
      </c>
      <c r="P894" s="141" t="s">
        <v>2418</v>
      </c>
      <c r="Q894" s="142" t="s">
        <v>2413</v>
      </c>
      <c r="R894" s="141" t="s">
        <v>2559</v>
      </c>
      <c r="S894" s="142" t="s">
        <v>2556</v>
      </c>
      <c r="T894" s="141" t="s">
        <v>2560</v>
      </c>
      <c r="U894" s="142" t="s">
        <v>2557</v>
      </c>
      <c r="V894" s="142" t="s">
        <v>917</v>
      </c>
      <c r="W894" s="141">
        <f t="shared" si="27"/>
        <v>3</v>
      </c>
      <c r="X894" s="143"/>
      <c r="Y894" s="145" t="s">
        <v>2646</v>
      </c>
      <c r="AA894"/>
    </row>
    <row r="895" spans="1:27" s="115" customFormat="1" ht="27" customHeight="1">
      <c r="A895" s="139">
        <v>851</v>
      </c>
      <c r="B895" s="140" t="s">
        <v>5359</v>
      </c>
      <c r="C895" s="141" t="s">
        <v>2373</v>
      </c>
      <c r="D895" s="142" t="s">
        <v>2374</v>
      </c>
      <c r="E895" s="141" t="s">
        <v>2412</v>
      </c>
      <c r="F895" s="142" t="s">
        <v>2413</v>
      </c>
      <c r="G895" s="141" t="s">
        <v>2611</v>
      </c>
      <c r="H895" s="142" t="s">
        <v>2556</v>
      </c>
      <c r="I895" s="141" t="s">
        <v>2632</v>
      </c>
      <c r="J895" s="142" t="s">
        <v>2633</v>
      </c>
      <c r="K895" s="142" t="s">
        <v>195</v>
      </c>
      <c r="L895" s="143">
        <f t="shared" si="26"/>
        <v>1</v>
      </c>
      <c r="M895" s="144" t="s">
        <v>2636</v>
      </c>
      <c r="N895" s="141" t="s">
        <v>2373</v>
      </c>
      <c r="O895" s="142" t="s">
        <v>2374</v>
      </c>
      <c r="P895" s="141" t="s">
        <v>2418</v>
      </c>
      <c r="Q895" s="142" t="s">
        <v>2413</v>
      </c>
      <c r="R895" s="141" t="s">
        <v>2559</v>
      </c>
      <c r="S895" s="142" t="s">
        <v>2556</v>
      </c>
      <c r="T895" s="141" t="s">
        <v>2635</v>
      </c>
      <c r="U895" s="142" t="s">
        <v>2633</v>
      </c>
      <c r="V895" s="142" t="s">
        <v>195</v>
      </c>
      <c r="W895" s="141">
        <f t="shared" si="27"/>
        <v>3</v>
      </c>
      <c r="X895" s="143">
        <v>2</v>
      </c>
      <c r="Y895" s="145" t="s">
        <v>2647</v>
      </c>
      <c r="AA895"/>
    </row>
    <row r="896" spans="1:27" s="115" customFormat="1" ht="27" customHeight="1">
      <c r="A896" s="139">
        <v>852</v>
      </c>
      <c r="B896" s="140" t="s">
        <v>5360</v>
      </c>
      <c r="C896" s="141" t="s">
        <v>2373</v>
      </c>
      <c r="D896" s="142" t="s">
        <v>2374</v>
      </c>
      <c r="E896" s="141" t="s">
        <v>2412</v>
      </c>
      <c r="F896" s="142" t="s">
        <v>2413</v>
      </c>
      <c r="G896" s="141" t="s">
        <v>2611</v>
      </c>
      <c r="H896" s="142" t="s">
        <v>2556</v>
      </c>
      <c r="I896" s="141" t="s">
        <v>2632</v>
      </c>
      <c r="J896" s="142" t="s">
        <v>2557</v>
      </c>
      <c r="K896" s="142" t="s">
        <v>917</v>
      </c>
      <c r="L896" s="143">
        <f t="shared" si="26"/>
        <v>1</v>
      </c>
      <c r="M896" s="144" t="s">
        <v>2645</v>
      </c>
      <c r="N896" s="141" t="s">
        <v>2373</v>
      </c>
      <c r="O896" s="142" t="s">
        <v>2374</v>
      </c>
      <c r="P896" s="141" t="s">
        <v>2418</v>
      </c>
      <c r="Q896" s="142" t="s">
        <v>2413</v>
      </c>
      <c r="R896" s="141" t="s">
        <v>2559</v>
      </c>
      <c r="S896" s="142" t="s">
        <v>2556</v>
      </c>
      <c r="T896" s="141" t="s">
        <v>2560</v>
      </c>
      <c r="U896" s="142" t="s">
        <v>2557</v>
      </c>
      <c r="V896" s="142" t="s">
        <v>917</v>
      </c>
      <c r="W896" s="141">
        <f t="shared" si="27"/>
        <v>3</v>
      </c>
      <c r="X896" s="143"/>
      <c r="Y896" s="145" t="s">
        <v>2648</v>
      </c>
      <c r="AA896"/>
    </row>
    <row r="897" spans="1:27" s="115" customFormat="1" ht="27" customHeight="1">
      <c r="A897" s="139">
        <v>853</v>
      </c>
      <c r="B897" s="140" t="s">
        <v>5361</v>
      </c>
      <c r="C897" s="141" t="s">
        <v>2373</v>
      </c>
      <c r="D897" s="142" t="s">
        <v>2374</v>
      </c>
      <c r="E897" s="141" t="s">
        <v>2412</v>
      </c>
      <c r="F897" s="142" t="s">
        <v>2413</v>
      </c>
      <c r="G897" s="141" t="s">
        <v>2611</v>
      </c>
      <c r="H897" s="142" t="s">
        <v>2556</v>
      </c>
      <c r="I897" s="141" t="s">
        <v>2632</v>
      </c>
      <c r="J897" s="142" t="s">
        <v>2557</v>
      </c>
      <c r="K897" s="142" t="s">
        <v>917</v>
      </c>
      <c r="L897" s="143">
        <f t="shared" si="26"/>
        <v>1</v>
      </c>
      <c r="M897" s="144" t="s">
        <v>2645</v>
      </c>
      <c r="N897" s="141" t="s">
        <v>2373</v>
      </c>
      <c r="O897" s="142" t="s">
        <v>2374</v>
      </c>
      <c r="P897" s="141" t="s">
        <v>2418</v>
      </c>
      <c r="Q897" s="142" t="s">
        <v>2413</v>
      </c>
      <c r="R897" s="141" t="s">
        <v>2559</v>
      </c>
      <c r="S897" s="142" t="s">
        <v>2556</v>
      </c>
      <c r="T897" s="141" t="s">
        <v>2560</v>
      </c>
      <c r="U897" s="142" t="s">
        <v>2557</v>
      </c>
      <c r="V897" s="142" t="s">
        <v>917</v>
      </c>
      <c r="W897" s="141">
        <f t="shared" si="27"/>
        <v>3</v>
      </c>
      <c r="X897" s="143">
        <v>1</v>
      </c>
      <c r="Y897" s="145"/>
      <c r="AA897"/>
    </row>
    <row r="898" spans="1:27" s="115" customFormat="1" ht="27" customHeight="1">
      <c r="A898" s="139">
        <v>854</v>
      </c>
      <c r="B898" s="140" t="s">
        <v>5362</v>
      </c>
      <c r="C898" s="141" t="s">
        <v>2373</v>
      </c>
      <c r="D898" s="142" t="s">
        <v>2374</v>
      </c>
      <c r="E898" s="141" t="s">
        <v>2412</v>
      </c>
      <c r="F898" s="142" t="s">
        <v>2413</v>
      </c>
      <c r="G898" s="141" t="s">
        <v>2611</v>
      </c>
      <c r="H898" s="142" t="s">
        <v>2569</v>
      </c>
      <c r="I898" s="141" t="s">
        <v>2649</v>
      </c>
      <c r="J898" s="142" t="s">
        <v>2650</v>
      </c>
      <c r="K898" s="142" t="s">
        <v>918</v>
      </c>
      <c r="L898" s="143">
        <f t="shared" si="26"/>
        <v>1</v>
      </c>
      <c r="M898" s="144" t="s">
        <v>2651</v>
      </c>
      <c r="N898" s="141" t="s">
        <v>2373</v>
      </c>
      <c r="O898" s="142" t="s">
        <v>2374</v>
      </c>
      <c r="P898" s="141" t="s">
        <v>2418</v>
      </c>
      <c r="Q898" s="142" t="s">
        <v>2413</v>
      </c>
      <c r="R898" s="141" t="s">
        <v>2572</v>
      </c>
      <c r="S898" s="142" t="s">
        <v>2569</v>
      </c>
      <c r="T898" s="141" t="s">
        <v>2652</v>
      </c>
      <c r="U898" s="142" t="s">
        <v>2650</v>
      </c>
      <c r="V898" s="142" t="s">
        <v>918</v>
      </c>
      <c r="W898" s="141">
        <f t="shared" si="27"/>
        <v>3</v>
      </c>
      <c r="X898" s="143"/>
      <c r="Y898" s="145" t="s">
        <v>2653</v>
      </c>
      <c r="AA898"/>
    </row>
    <row r="899" spans="1:27" s="115" customFormat="1" ht="27" customHeight="1">
      <c r="A899" s="139">
        <v>855</v>
      </c>
      <c r="B899" s="140" t="s">
        <v>5363</v>
      </c>
      <c r="C899" s="141" t="s">
        <v>2373</v>
      </c>
      <c r="D899" s="142" t="s">
        <v>2374</v>
      </c>
      <c r="E899" s="141" t="s">
        <v>2412</v>
      </c>
      <c r="F899" s="142" t="s">
        <v>2413</v>
      </c>
      <c r="G899" s="141" t="s">
        <v>2611</v>
      </c>
      <c r="H899" s="142" t="s">
        <v>2569</v>
      </c>
      <c r="I899" s="141" t="s">
        <v>2649</v>
      </c>
      <c r="J899" s="142" t="s">
        <v>2650</v>
      </c>
      <c r="K899" s="142" t="s">
        <v>918</v>
      </c>
      <c r="L899" s="143">
        <f t="shared" si="26"/>
        <v>1</v>
      </c>
      <c r="M899" s="144" t="s">
        <v>2651</v>
      </c>
      <c r="N899" s="141" t="s">
        <v>2373</v>
      </c>
      <c r="O899" s="142" t="s">
        <v>2374</v>
      </c>
      <c r="P899" s="141" t="s">
        <v>2418</v>
      </c>
      <c r="Q899" s="142" t="s">
        <v>2413</v>
      </c>
      <c r="R899" s="141" t="s">
        <v>2572</v>
      </c>
      <c r="S899" s="142" t="s">
        <v>2569</v>
      </c>
      <c r="T899" s="141" t="s">
        <v>2652</v>
      </c>
      <c r="U899" s="142" t="s">
        <v>2650</v>
      </c>
      <c r="V899" s="142" t="s">
        <v>918</v>
      </c>
      <c r="W899" s="141">
        <f t="shared" si="27"/>
        <v>3</v>
      </c>
      <c r="X899" s="143"/>
      <c r="Y899" s="145" t="s">
        <v>2654</v>
      </c>
      <c r="AA899"/>
    </row>
    <row r="900" spans="1:27" s="115" customFormat="1" ht="27" customHeight="1">
      <c r="A900" s="139">
        <v>856</v>
      </c>
      <c r="B900" s="140" t="s">
        <v>5364</v>
      </c>
      <c r="C900" s="141" t="s">
        <v>2373</v>
      </c>
      <c r="D900" s="142" t="s">
        <v>2374</v>
      </c>
      <c r="E900" s="141" t="s">
        <v>2412</v>
      </c>
      <c r="F900" s="142" t="s">
        <v>2413</v>
      </c>
      <c r="G900" s="141" t="s">
        <v>2611</v>
      </c>
      <c r="H900" s="142" t="s">
        <v>2569</v>
      </c>
      <c r="I900" s="141" t="s">
        <v>2649</v>
      </c>
      <c r="J900" s="142" t="s">
        <v>2650</v>
      </c>
      <c r="K900" s="142" t="s">
        <v>919</v>
      </c>
      <c r="L900" s="143">
        <f t="shared" si="26"/>
        <v>1</v>
      </c>
      <c r="M900" s="144" t="s">
        <v>2655</v>
      </c>
      <c r="N900" s="141" t="s">
        <v>2373</v>
      </c>
      <c r="O900" s="142" t="s">
        <v>2374</v>
      </c>
      <c r="P900" s="141" t="s">
        <v>2418</v>
      </c>
      <c r="Q900" s="142" t="s">
        <v>2413</v>
      </c>
      <c r="R900" s="141" t="s">
        <v>2572</v>
      </c>
      <c r="S900" s="142" t="s">
        <v>2569</v>
      </c>
      <c r="T900" s="141" t="s">
        <v>2652</v>
      </c>
      <c r="U900" s="142" t="s">
        <v>2650</v>
      </c>
      <c r="V900" s="142" t="s">
        <v>919</v>
      </c>
      <c r="W900" s="141">
        <f t="shared" si="27"/>
        <v>2</v>
      </c>
      <c r="X900" s="143"/>
      <c r="Y900" s="145" t="s">
        <v>2656</v>
      </c>
      <c r="AA900"/>
    </row>
    <row r="901" spans="1:27" s="115" customFormat="1" ht="27" customHeight="1">
      <c r="A901" s="139">
        <v>857</v>
      </c>
      <c r="B901" s="140" t="s">
        <v>5365</v>
      </c>
      <c r="C901" s="141" t="s">
        <v>2373</v>
      </c>
      <c r="D901" s="142" t="s">
        <v>2374</v>
      </c>
      <c r="E901" s="141" t="s">
        <v>2412</v>
      </c>
      <c r="F901" s="142" t="s">
        <v>2413</v>
      </c>
      <c r="G901" s="141" t="s">
        <v>2611</v>
      </c>
      <c r="H901" s="142" t="s">
        <v>2569</v>
      </c>
      <c r="I901" s="141" t="s">
        <v>2649</v>
      </c>
      <c r="J901" s="142" t="s">
        <v>2650</v>
      </c>
      <c r="K901" s="142" t="s">
        <v>918</v>
      </c>
      <c r="L901" s="143">
        <f t="shared" ref="L901:L964" si="28">COUNTIF($B$5:$B$1752,B901)</f>
        <v>1</v>
      </c>
      <c r="M901" s="144" t="s">
        <v>2651</v>
      </c>
      <c r="N901" s="141" t="s">
        <v>2373</v>
      </c>
      <c r="O901" s="142" t="s">
        <v>2374</v>
      </c>
      <c r="P901" s="141" t="s">
        <v>2418</v>
      </c>
      <c r="Q901" s="142" t="s">
        <v>2413</v>
      </c>
      <c r="R901" s="141" t="s">
        <v>2572</v>
      </c>
      <c r="S901" s="142" t="s">
        <v>2569</v>
      </c>
      <c r="T901" s="141" t="s">
        <v>2652</v>
      </c>
      <c r="U901" s="142" t="s">
        <v>2650</v>
      </c>
      <c r="V901" s="142" t="s">
        <v>918</v>
      </c>
      <c r="W901" s="141">
        <f t="shared" ref="W901:W964" si="29">COUNTIF($M$5:$M$1756,M901)</f>
        <v>3</v>
      </c>
      <c r="X901" s="143">
        <v>1</v>
      </c>
      <c r="Y901" s="145"/>
      <c r="AA901"/>
    </row>
    <row r="902" spans="1:27" s="115" customFormat="1" ht="27" customHeight="1">
      <c r="A902" s="139">
        <v>858</v>
      </c>
      <c r="B902" s="140" t="s">
        <v>5366</v>
      </c>
      <c r="C902" s="141" t="s">
        <v>2373</v>
      </c>
      <c r="D902" s="142" t="s">
        <v>2374</v>
      </c>
      <c r="E902" s="141" t="s">
        <v>2412</v>
      </c>
      <c r="F902" s="142" t="s">
        <v>2413</v>
      </c>
      <c r="G902" s="141" t="s">
        <v>2611</v>
      </c>
      <c r="H902" s="142" t="s">
        <v>2569</v>
      </c>
      <c r="I902" s="141" t="s">
        <v>2649</v>
      </c>
      <c r="J902" s="142" t="s">
        <v>2650</v>
      </c>
      <c r="K902" s="142" t="s">
        <v>196</v>
      </c>
      <c r="L902" s="143">
        <f t="shared" si="28"/>
        <v>1</v>
      </c>
      <c r="M902" s="144" t="s">
        <v>2657</v>
      </c>
      <c r="N902" s="141" t="s">
        <v>2373</v>
      </c>
      <c r="O902" s="142" t="s">
        <v>2374</v>
      </c>
      <c r="P902" s="141" t="s">
        <v>2418</v>
      </c>
      <c r="Q902" s="142" t="s">
        <v>2413</v>
      </c>
      <c r="R902" s="141" t="s">
        <v>2572</v>
      </c>
      <c r="S902" s="142" t="s">
        <v>2569</v>
      </c>
      <c r="T902" s="141" t="s">
        <v>2652</v>
      </c>
      <c r="U902" s="142" t="s">
        <v>2650</v>
      </c>
      <c r="V902" s="142" t="s">
        <v>196</v>
      </c>
      <c r="W902" s="141">
        <f t="shared" si="29"/>
        <v>1</v>
      </c>
      <c r="X902" s="143"/>
      <c r="Y902" s="145"/>
      <c r="AA902"/>
    </row>
    <row r="903" spans="1:27" s="115" customFormat="1" ht="13.5" customHeight="1">
      <c r="A903" s="139">
        <v>859</v>
      </c>
      <c r="B903" s="140" t="s">
        <v>5367</v>
      </c>
      <c r="C903" s="141" t="s">
        <v>2373</v>
      </c>
      <c r="D903" s="142" t="s">
        <v>2374</v>
      </c>
      <c r="E903" s="141" t="s">
        <v>2412</v>
      </c>
      <c r="F903" s="142" t="s">
        <v>2413</v>
      </c>
      <c r="G903" s="141" t="s">
        <v>2611</v>
      </c>
      <c r="H903" s="142" t="s">
        <v>2569</v>
      </c>
      <c r="I903" s="141" t="s">
        <v>2649</v>
      </c>
      <c r="J903" s="142" t="s">
        <v>2650</v>
      </c>
      <c r="K903" s="142" t="s">
        <v>197</v>
      </c>
      <c r="L903" s="143">
        <f t="shared" si="28"/>
        <v>1</v>
      </c>
      <c r="M903" s="144" t="s">
        <v>2658</v>
      </c>
      <c r="N903" s="141" t="s">
        <v>2373</v>
      </c>
      <c r="O903" s="142" t="s">
        <v>2374</v>
      </c>
      <c r="P903" s="141" t="s">
        <v>2418</v>
      </c>
      <c r="Q903" s="142" t="s">
        <v>2413</v>
      </c>
      <c r="R903" s="141" t="s">
        <v>2572</v>
      </c>
      <c r="S903" s="142" t="s">
        <v>2569</v>
      </c>
      <c r="T903" s="141" t="s">
        <v>2652</v>
      </c>
      <c r="U903" s="142" t="s">
        <v>2650</v>
      </c>
      <c r="V903" s="142" t="s">
        <v>197</v>
      </c>
      <c r="W903" s="141">
        <f t="shared" si="29"/>
        <v>2</v>
      </c>
      <c r="X903" s="143">
        <v>2</v>
      </c>
      <c r="Y903" s="145" t="s">
        <v>2659</v>
      </c>
      <c r="AA903"/>
    </row>
    <row r="904" spans="1:27" s="115" customFormat="1" ht="13.5" customHeight="1">
      <c r="A904" s="139">
        <v>860</v>
      </c>
      <c r="B904" s="140" t="s">
        <v>5368</v>
      </c>
      <c r="C904" s="141" t="s">
        <v>2373</v>
      </c>
      <c r="D904" s="142" t="s">
        <v>2374</v>
      </c>
      <c r="E904" s="141" t="s">
        <v>2412</v>
      </c>
      <c r="F904" s="142" t="s">
        <v>2413</v>
      </c>
      <c r="G904" s="141" t="s">
        <v>2611</v>
      </c>
      <c r="H904" s="142" t="s">
        <v>2569</v>
      </c>
      <c r="I904" s="141" t="s">
        <v>2649</v>
      </c>
      <c r="J904" s="142" t="s">
        <v>2650</v>
      </c>
      <c r="K904" s="142" t="s">
        <v>197</v>
      </c>
      <c r="L904" s="143">
        <f t="shared" si="28"/>
        <v>1</v>
      </c>
      <c r="M904" s="144" t="s">
        <v>2658</v>
      </c>
      <c r="N904" s="141" t="s">
        <v>2373</v>
      </c>
      <c r="O904" s="142" t="s">
        <v>2374</v>
      </c>
      <c r="P904" s="141" t="s">
        <v>2418</v>
      </c>
      <c r="Q904" s="142" t="s">
        <v>2413</v>
      </c>
      <c r="R904" s="141" t="s">
        <v>2572</v>
      </c>
      <c r="S904" s="142" t="s">
        <v>2569</v>
      </c>
      <c r="T904" s="141" t="s">
        <v>2652</v>
      </c>
      <c r="U904" s="142" t="s">
        <v>2650</v>
      </c>
      <c r="V904" s="142" t="s">
        <v>197</v>
      </c>
      <c r="W904" s="141">
        <f t="shared" si="29"/>
        <v>2</v>
      </c>
      <c r="X904" s="143">
        <v>2</v>
      </c>
      <c r="Y904" s="145" t="s">
        <v>2660</v>
      </c>
      <c r="AA904"/>
    </row>
    <row r="905" spans="1:27" s="115" customFormat="1" ht="13.5" customHeight="1">
      <c r="A905" s="139">
        <v>861</v>
      </c>
      <c r="B905" s="140" t="s">
        <v>5369</v>
      </c>
      <c r="C905" s="141" t="s">
        <v>2373</v>
      </c>
      <c r="D905" s="142" t="s">
        <v>2374</v>
      </c>
      <c r="E905" s="141" t="s">
        <v>2412</v>
      </c>
      <c r="F905" s="142" t="s">
        <v>2413</v>
      </c>
      <c r="G905" s="141" t="s">
        <v>2611</v>
      </c>
      <c r="H905" s="142" t="s">
        <v>2569</v>
      </c>
      <c r="I905" s="141" t="s">
        <v>2649</v>
      </c>
      <c r="J905" s="142" t="s">
        <v>2650</v>
      </c>
      <c r="K905" s="142" t="s">
        <v>919</v>
      </c>
      <c r="L905" s="143">
        <f t="shared" si="28"/>
        <v>1</v>
      </c>
      <c r="M905" s="144" t="s">
        <v>2655</v>
      </c>
      <c r="N905" s="141" t="s">
        <v>2373</v>
      </c>
      <c r="O905" s="142" t="s">
        <v>2374</v>
      </c>
      <c r="P905" s="141" t="s">
        <v>2418</v>
      </c>
      <c r="Q905" s="142" t="s">
        <v>2413</v>
      </c>
      <c r="R905" s="141" t="s">
        <v>2572</v>
      </c>
      <c r="S905" s="142" t="s">
        <v>2569</v>
      </c>
      <c r="T905" s="141" t="s">
        <v>2652</v>
      </c>
      <c r="U905" s="142" t="s">
        <v>2650</v>
      </c>
      <c r="V905" s="142" t="s">
        <v>919</v>
      </c>
      <c r="W905" s="141">
        <f t="shared" si="29"/>
        <v>2</v>
      </c>
      <c r="X905" s="143">
        <v>1</v>
      </c>
      <c r="Y905" s="145"/>
      <c r="AA905"/>
    </row>
    <row r="906" spans="1:27" s="115" customFormat="1" ht="13.5" customHeight="1">
      <c r="A906" s="139">
        <v>862</v>
      </c>
      <c r="B906" s="140" t="s">
        <v>5370</v>
      </c>
      <c r="C906" s="141" t="s">
        <v>2373</v>
      </c>
      <c r="D906" s="142" t="s">
        <v>2374</v>
      </c>
      <c r="E906" s="141" t="s">
        <v>2412</v>
      </c>
      <c r="F906" s="142" t="s">
        <v>2413</v>
      </c>
      <c r="G906" s="141" t="s">
        <v>2611</v>
      </c>
      <c r="H906" s="142" t="s">
        <v>2569</v>
      </c>
      <c r="I906" s="141" t="s">
        <v>2649</v>
      </c>
      <c r="J906" s="142" t="s">
        <v>2661</v>
      </c>
      <c r="K906" s="142" t="s">
        <v>920</v>
      </c>
      <c r="L906" s="143">
        <f t="shared" si="28"/>
        <v>1</v>
      </c>
      <c r="M906" s="144" t="s">
        <v>2662</v>
      </c>
      <c r="N906" s="141" t="s">
        <v>2373</v>
      </c>
      <c r="O906" s="142" t="s">
        <v>2374</v>
      </c>
      <c r="P906" s="141" t="s">
        <v>2418</v>
      </c>
      <c r="Q906" s="142" t="s">
        <v>2413</v>
      </c>
      <c r="R906" s="141" t="s">
        <v>2572</v>
      </c>
      <c r="S906" s="142" t="s">
        <v>2569</v>
      </c>
      <c r="T906" s="141" t="s">
        <v>2663</v>
      </c>
      <c r="U906" s="142" t="s">
        <v>2661</v>
      </c>
      <c r="V906" s="142" t="s">
        <v>920</v>
      </c>
      <c r="W906" s="141">
        <f t="shared" si="29"/>
        <v>1</v>
      </c>
      <c r="X906" s="143"/>
      <c r="Y906" s="145"/>
      <c r="AA906"/>
    </row>
    <row r="907" spans="1:27" s="115" customFormat="1" ht="13.5" customHeight="1">
      <c r="A907" s="139">
        <v>863</v>
      </c>
      <c r="B907" s="140" t="s">
        <v>5371</v>
      </c>
      <c r="C907" s="141" t="s">
        <v>2373</v>
      </c>
      <c r="D907" s="142" t="s">
        <v>2374</v>
      </c>
      <c r="E907" s="141" t="s">
        <v>2412</v>
      </c>
      <c r="F907" s="142" t="s">
        <v>2413</v>
      </c>
      <c r="G907" s="141" t="s">
        <v>2611</v>
      </c>
      <c r="H907" s="142" t="s">
        <v>2569</v>
      </c>
      <c r="I907" s="141" t="s">
        <v>2649</v>
      </c>
      <c r="J907" s="142" t="s">
        <v>2661</v>
      </c>
      <c r="K907" s="142" t="s">
        <v>198</v>
      </c>
      <c r="L907" s="143">
        <f t="shared" si="28"/>
        <v>1</v>
      </c>
      <c r="M907" s="144" t="s">
        <v>2664</v>
      </c>
      <c r="N907" s="141" t="s">
        <v>2373</v>
      </c>
      <c r="O907" s="142" t="s">
        <v>2374</v>
      </c>
      <c r="P907" s="141" t="s">
        <v>2418</v>
      </c>
      <c r="Q907" s="142" t="s">
        <v>2413</v>
      </c>
      <c r="R907" s="141" t="s">
        <v>2572</v>
      </c>
      <c r="S907" s="142" t="s">
        <v>2569</v>
      </c>
      <c r="T907" s="141" t="s">
        <v>2663</v>
      </c>
      <c r="U907" s="142" t="s">
        <v>2661</v>
      </c>
      <c r="V907" s="142" t="s">
        <v>198</v>
      </c>
      <c r="W907" s="141">
        <f t="shared" si="29"/>
        <v>1</v>
      </c>
      <c r="X907" s="143"/>
      <c r="Y907" s="145"/>
      <c r="AA907"/>
    </row>
    <row r="908" spans="1:27" s="115" customFormat="1" ht="13.5" customHeight="1">
      <c r="A908" s="139">
        <v>864</v>
      </c>
      <c r="B908" s="140" t="s">
        <v>5372</v>
      </c>
      <c r="C908" s="141" t="s">
        <v>2373</v>
      </c>
      <c r="D908" s="142" t="s">
        <v>2374</v>
      </c>
      <c r="E908" s="141" t="s">
        <v>2412</v>
      </c>
      <c r="F908" s="142" t="s">
        <v>2413</v>
      </c>
      <c r="G908" s="141" t="s">
        <v>2611</v>
      </c>
      <c r="H908" s="142" t="s">
        <v>2569</v>
      </c>
      <c r="I908" s="141" t="s">
        <v>2649</v>
      </c>
      <c r="J908" s="142" t="s">
        <v>2570</v>
      </c>
      <c r="K908" s="142" t="s">
        <v>199</v>
      </c>
      <c r="L908" s="143">
        <f t="shared" si="28"/>
        <v>1</v>
      </c>
      <c r="M908" s="144" t="s">
        <v>2665</v>
      </c>
      <c r="N908" s="141" t="s">
        <v>2373</v>
      </c>
      <c r="O908" s="142" t="s">
        <v>2374</v>
      </c>
      <c r="P908" s="141" t="s">
        <v>2418</v>
      </c>
      <c r="Q908" s="142" t="s">
        <v>2413</v>
      </c>
      <c r="R908" s="141" t="s">
        <v>2572</v>
      </c>
      <c r="S908" s="142" t="s">
        <v>2569</v>
      </c>
      <c r="T908" s="141" t="s">
        <v>2573</v>
      </c>
      <c r="U908" s="142" t="s">
        <v>2570</v>
      </c>
      <c r="V908" s="142" t="s">
        <v>199</v>
      </c>
      <c r="W908" s="141">
        <f t="shared" si="29"/>
        <v>2</v>
      </c>
      <c r="X908" s="143">
        <v>1</v>
      </c>
      <c r="Y908" s="145"/>
      <c r="AA908"/>
    </row>
    <row r="909" spans="1:27" s="115" customFormat="1" ht="13.5" customHeight="1">
      <c r="A909" s="139">
        <v>865</v>
      </c>
      <c r="B909" s="140" t="s">
        <v>5373</v>
      </c>
      <c r="C909" s="141" t="s">
        <v>2373</v>
      </c>
      <c r="D909" s="142" t="s">
        <v>2374</v>
      </c>
      <c r="E909" s="141" t="s">
        <v>2412</v>
      </c>
      <c r="F909" s="142" t="s">
        <v>2413</v>
      </c>
      <c r="G909" s="141" t="s">
        <v>2611</v>
      </c>
      <c r="H909" s="142" t="s">
        <v>2569</v>
      </c>
      <c r="I909" s="141" t="s">
        <v>2649</v>
      </c>
      <c r="J909" s="142" t="s">
        <v>2570</v>
      </c>
      <c r="K909" s="142" t="s">
        <v>898</v>
      </c>
      <c r="L909" s="143">
        <f t="shared" si="28"/>
        <v>1</v>
      </c>
      <c r="M909" s="144" t="s">
        <v>2571</v>
      </c>
      <c r="N909" s="141" t="s">
        <v>2373</v>
      </c>
      <c r="O909" s="142" t="s">
        <v>2374</v>
      </c>
      <c r="P909" s="141" t="s">
        <v>2418</v>
      </c>
      <c r="Q909" s="142" t="s">
        <v>2413</v>
      </c>
      <c r="R909" s="141" t="s">
        <v>2572</v>
      </c>
      <c r="S909" s="142" t="s">
        <v>2569</v>
      </c>
      <c r="T909" s="141" t="s">
        <v>2573</v>
      </c>
      <c r="U909" s="142" t="s">
        <v>2570</v>
      </c>
      <c r="V909" s="142" t="s">
        <v>898</v>
      </c>
      <c r="W909" s="141">
        <f t="shared" si="29"/>
        <v>5</v>
      </c>
      <c r="X909" s="143"/>
      <c r="Y909" s="145" t="s">
        <v>2666</v>
      </c>
      <c r="AA909"/>
    </row>
    <row r="910" spans="1:27" s="115" customFormat="1" ht="13.5" customHeight="1">
      <c r="A910" s="139">
        <v>866</v>
      </c>
      <c r="B910" s="140" t="s">
        <v>5374</v>
      </c>
      <c r="C910" s="141" t="s">
        <v>2373</v>
      </c>
      <c r="D910" s="142" t="s">
        <v>2374</v>
      </c>
      <c r="E910" s="141" t="s">
        <v>2412</v>
      </c>
      <c r="F910" s="142" t="s">
        <v>2413</v>
      </c>
      <c r="G910" s="141" t="s">
        <v>2667</v>
      </c>
      <c r="H910" s="142" t="s">
        <v>2539</v>
      </c>
      <c r="I910" s="141" t="s">
        <v>2668</v>
      </c>
      <c r="J910" s="142" t="s">
        <v>2546</v>
      </c>
      <c r="K910" s="142" t="s">
        <v>893</v>
      </c>
      <c r="L910" s="143">
        <f t="shared" si="28"/>
        <v>1</v>
      </c>
      <c r="M910" s="144" t="s">
        <v>2547</v>
      </c>
      <c r="N910" s="141" t="s">
        <v>2373</v>
      </c>
      <c r="O910" s="142" t="s">
        <v>2374</v>
      </c>
      <c r="P910" s="141" t="s">
        <v>2418</v>
      </c>
      <c r="Q910" s="142" t="s">
        <v>2413</v>
      </c>
      <c r="R910" s="141" t="s">
        <v>2542</v>
      </c>
      <c r="S910" s="142" t="s">
        <v>2539</v>
      </c>
      <c r="T910" s="141" t="s">
        <v>2548</v>
      </c>
      <c r="U910" s="142" t="s">
        <v>2546</v>
      </c>
      <c r="V910" s="142" t="s">
        <v>893</v>
      </c>
      <c r="W910" s="141">
        <f t="shared" si="29"/>
        <v>3</v>
      </c>
      <c r="X910" s="143">
        <v>1</v>
      </c>
      <c r="Y910" s="145"/>
      <c r="AA910"/>
    </row>
    <row r="911" spans="1:27" s="115" customFormat="1" ht="13.5" customHeight="1">
      <c r="A911" s="139">
        <v>867</v>
      </c>
      <c r="B911" s="140" t="s">
        <v>5375</v>
      </c>
      <c r="C911" s="141" t="s">
        <v>2373</v>
      </c>
      <c r="D911" s="142" t="s">
        <v>2374</v>
      </c>
      <c r="E911" s="141" t="s">
        <v>2412</v>
      </c>
      <c r="F911" s="142" t="s">
        <v>2413</v>
      </c>
      <c r="G911" s="141" t="s">
        <v>2667</v>
      </c>
      <c r="H911" s="142" t="s">
        <v>2539</v>
      </c>
      <c r="I911" s="141" t="s">
        <v>2668</v>
      </c>
      <c r="J911" s="142" t="s">
        <v>2669</v>
      </c>
      <c r="K911" s="142" t="s">
        <v>921</v>
      </c>
      <c r="L911" s="143">
        <f t="shared" si="28"/>
        <v>1</v>
      </c>
      <c r="M911" s="144" t="s">
        <v>2670</v>
      </c>
      <c r="N911" s="141" t="s">
        <v>2373</v>
      </c>
      <c r="O911" s="142" t="s">
        <v>2374</v>
      </c>
      <c r="P911" s="141" t="s">
        <v>2418</v>
      </c>
      <c r="Q911" s="142" t="s">
        <v>2413</v>
      </c>
      <c r="R911" s="141" t="s">
        <v>2542</v>
      </c>
      <c r="S911" s="142" t="s">
        <v>2539</v>
      </c>
      <c r="T911" s="141" t="s">
        <v>2671</v>
      </c>
      <c r="U911" s="142" t="s">
        <v>2669</v>
      </c>
      <c r="V911" s="142" t="s">
        <v>921</v>
      </c>
      <c r="W911" s="141">
        <f t="shared" si="29"/>
        <v>1</v>
      </c>
      <c r="X911" s="143"/>
      <c r="Y911" s="145"/>
      <c r="AA911"/>
    </row>
    <row r="912" spans="1:27" s="115" customFormat="1" ht="13.5" customHeight="1">
      <c r="A912" s="139">
        <v>868</v>
      </c>
      <c r="B912" s="140" t="s">
        <v>5376</v>
      </c>
      <c r="C912" s="141" t="s">
        <v>2373</v>
      </c>
      <c r="D912" s="142" t="s">
        <v>2374</v>
      </c>
      <c r="E912" s="141" t="s">
        <v>2412</v>
      </c>
      <c r="F912" s="142" t="s">
        <v>2413</v>
      </c>
      <c r="G912" s="141" t="s">
        <v>2667</v>
      </c>
      <c r="H912" s="142" t="s">
        <v>2539</v>
      </c>
      <c r="I912" s="141" t="s">
        <v>2668</v>
      </c>
      <c r="J912" s="142" t="s">
        <v>2669</v>
      </c>
      <c r="K912" s="142" t="s">
        <v>922</v>
      </c>
      <c r="L912" s="143">
        <f t="shared" si="28"/>
        <v>1</v>
      </c>
      <c r="M912" s="144" t="s">
        <v>2672</v>
      </c>
      <c r="N912" s="141" t="s">
        <v>2373</v>
      </c>
      <c r="O912" s="142" t="s">
        <v>2374</v>
      </c>
      <c r="P912" s="141" t="s">
        <v>2418</v>
      </c>
      <c r="Q912" s="142" t="s">
        <v>2413</v>
      </c>
      <c r="R912" s="141" t="s">
        <v>2542</v>
      </c>
      <c r="S912" s="142" t="s">
        <v>2539</v>
      </c>
      <c r="T912" s="141" t="s">
        <v>2671</v>
      </c>
      <c r="U912" s="142" t="s">
        <v>2669</v>
      </c>
      <c r="V912" s="142" t="s">
        <v>922</v>
      </c>
      <c r="W912" s="141">
        <f t="shared" si="29"/>
        <v>1</v>
      </c>
      <c r="X912" s="143"/>
      <c r="Y912" s="145"/>
      <c r="AA912"/>
    </row>
    <row r="913" spans="1:27" s="115" customFormat="1" ht="13.5" customHeight="1">
      <c r="A913" s="139">
        <v>869</v>
      </c>
      <c r="B913" s="140" t="s">
        <v>5377</v>
      </c>
      <c r="C913" s="141" t="s">
        <v>2373</v>
      </c>
      <c r="D913" s="142" t="s">
        <v>2374</v>
      </c>
      <c r="E913" s="141" t="s">
        <v>2412</v>
      </c>
      <c r="F913" s="142" t="s">
        <v>2413</v>
      </c>
      <c r="G913" s="141" t="s">
        <v>2667</v>
      </c>
      <c r="H913" s="142" t="s">
        <v>2539</v>
      </c>
      <c r="I913" s="141" t="s">
        <v>2668</v>
      </c>
      <c r="J913" s="142" t="s">
        <v>2546</v>
      </c>
      <c r="K913" s="142" t="s">
        <v>893</v>
      </c>
      <c r="L913" s="143">
        <f t="shared" si="28"/>
        <v>1</v>
      </c>
      <c r="M913" s="144" t="s">
        <v>2547</v>
      </c>
      <c r="N913" s="141" t="s">
        <v>2373</v>
      </c>
      <c r="O913" s="142" t="s">
        <v>2374</v>
      </c>
      <c r="P913" s="141" t="s">
        <v>2418</v>
      </c>
      <c r="Q913" s="142" t="s">
        <v>2413</v>
      </c>
      <c r="R913" s="141" t="s">
        <v>2542</v>
      </c>
      <c r="S913" s="142" t="s">
        <v>2539</v>
      </c>
      <c r="T913" s="141" t="s">
        <v>2548</v>
      </c>
      <c r="U913" s="142" t="s">
        <v>2546</v>
      </c>
      <c r="V913" s="142" t="s">
        <v>893</v>
      </c>
      <c r="W913" s="141">
        <f t="shared" si="29"/>
        <v>3</v>
      </c>
      <c r="X913" s="143"/>
      <c r="Y913" s="145" t="s">
        <v>2673</v>
      </c>
      <c r="AA913"/>
    </row>
    <row r="914" spans="1:27" s="115" customFormat="1" ht="13.5" customHeight="1">
      <c r="A914" s="139">
        <v>870</v>
      </c>
      <c r="B914" s="140" t="s">
        <v>5378</v>
      </c>
      <c r="C914" s="141" t="s">
        <v>2373</v>
      </c>
      <c r="D914" s="142" t="s">
        <v>2374</v>
      </c>
      <c r="E914" s="141" t="s">
        <v>2412</v>
      </c>
      <c r="F914" s="142" t="s">
        <v>2413</v>
      </c>
      <c r="G914" s="141" t="s">
        <v>2667</v>
      </c>
      <c r="H914" s="142" t="s">
        <v>2539</v>
      </c>
      <c r="I914" s="141" t="s">
        <v>2668</v>
      </c>
      <c r="J914" s="142" t="s">
        <v>2669</v>
      </c>
      <c r="K914" s="142" t="s">
        <v>923</v>
      </c>
      <c r="L914" s="143">
        <f t="shared" si="28"/>
        <v>1</v>
      </c>
      <c r="M914" s="144" t="s">
        <v>2674</v>
      </c>
      <c r="N914" s="141" t="s">
        <v>2373</v>
      </c>
      <c r="O914" s="142" t="s">
        <v>2374</v>
      </c>
      <c r="P914" s="141" t="s">
        <v>2418</v>
      </c>
      <c r="Q914" s="142" t="s">
        <v>2413</v>
      </c>
      <c r="R914" s="141" t="s">
        <v>2542</v>
      </c>
      <c r="S914" s="142" t="s">
        <v>2539</v>
      </c>
      <c r="T914" s="141" t="s">
        <v>2671</v>
      </c>
      <c r="U914" s="142" t="s">
        <v>2669</v>
      </c>
      <c r="V914" s="142" t="s">
        <v>923</v>
      </c>
      <c r="W914" s="141">
        <f t="shared" si="29"/>
        <v>1</v>
      </c>
      <c r="X914" s="143"/>
      <c r="Y914" s="145"/>
      <c r="AA914"/>
    </row>
    <row r="915" spans="1:27" s="115" customFormat="1" ht="13.5" customHeight="1">
      <c r="A915" s="139">
        <v>871</v>
      </c>
      <c r="B915" s="140" t="s">
        <v>5379</v>
      </c>
      <c r="C915" s="141" t="s">
        <v>2373</v>
      </c>
      <c r="D915" s="142" t="s">
        <v>2374</v>
      </c>
      <c r="E915" s="141" t="s">
        <v>2412</v>
      </c>
      <c r="F915" s="142" t="s">
        <v>2413</v>
      </c>
      <c r="G915" s="141" t="s">
        <v>2667</v>
      </c>
      <c r="H915" s="142" t="s">
        <v>2539</v>
      </c>
      <c r="I915" s="141" t="s">
        <v>2668</v>
      </c>
      <c r="J915" s="142" t="s">
        <v>200</v>
      </c>
      <c r="K915" s="142" t="s">
        <v>200</v>
      </c>
      <c r="L915" s="143">
        <f t="shared" si="28"/>
        <v>1</v>
      </c>
      <c r="M915" s="144" t="s">
        <v>2675</v>
      </c>
      <c r="N915" s="141" t="s">
        <v>2373</v>
      </c>
      <c r="O915" s="142" t="s">
        <v>2374</v>
      </c>
      <c r="P915" s="141" t="s">
        <v>2418</v>
      </c>
      <c r="Q915" s="142" t="s">
        <v>2413</v>
      </c>
      <c r="R915" s="141" t="s">
        <v>2542</v>
      </c>
      <c r="S915" s="142" t="s">
        <v>2539</v>
      </c>
      <c r="T915" s="141" t="s">
        <v>2676</v>
      </c>
      <c r="U915" s="142" t="s">
        <v>200</v>
      </c>
      <c r="V915" s="142" t="s">
        <v>200</v>
      </c>
      <c r="W915" s="141">
        <f t="shared" si="29"/>
        <v>1</v>
      </c>
      <c r="X915" s="143"/>
      <c r="Y915" s="145"/>
      <c r="AA915"/>
    </row>
    <row r="916" spans="1:27" s="115" customFormat="1" ht="13.5" customHeight="1">
      <c r="A916" s="139">
        <v>872</v>
      </c>
      <c r="B916" s="140" t="s">
        <v>5380</v>
      </c>
      <c r="C916" s="141" t="s">
        <v>2373</v>
      </c>
      <c r="D916" s="142" t="s">
        <v>2374</v>
      </c>
      <c r="E916" s="141" t="s">
        <v>2412</v>
      </c>
      <c r="F916" s="142" t="s">
        <v>2413</v>
      </c>
      <c r="G916" s="141" t="s">
        <v>2667</v>
      </c>
      <c r="H916" s="142" t="s">
        <v>2539</v>
      </c>
      <c r="I916" s="141" t="s">
        <v>2668</v>
      </c>
      <c r="J916" s="142" t="s">
        <v>2546</v>
      </c>
      <c r="K916" s="142" t="s">
        <v>201</v>
      </c>
      <c r="L916" s="143">
        <f t="shared" si="28"/>
        <v>1</v>
      </c>
      <c r="M916" s="144" t="s">
        <v>2677</v>
      </c>
      <c r="N916" s="141" t="s">
        <v>2373</v>
      </c>
      <c r="O916" s="142" t="s">
        <v>2374</v>
      </c>
      <c r="P916" s="141" t="s">
        <v>2418</v>
      </c>
      <c r="Q916" s="142" t="s">
        <v>2413</v>
      </c>
      <c r="R916" s="141" t="s">
        <v>2542</v>
      </c>
      <c r="S916" s="142" t="s">
        <v>2539</v>
      </c>
      <c r="T916" s="141" t="s">
        <v>2548</v>
      </c>
      <c r="U916" s="142" t="s">
        <v>2546</v>
      </c>
      <c r="V916" s="142" t="s">
        <v>201</v>
      </c>
      <c r="W916" s="141">
        <f t="shared" si="29"/>
        <v>1</v>
      </c>
      <c r="X916" s="143"/>
      <c r="Y916" s="145"/>
      <c r="AA916"/>
    </row>
    <row r="917" spans="1:27" s="115" customFormat="1" ht="13.5" customHeight="1">
      <c r="A917" s="139">
        <v>873</v>
      </c>
      <c r="B917" s="140" t="s">
        <v>5381</v>
      </c>
      <c r="C917" s="141" t="s">
        <v>2373</v>
      </c>
      <c r="D917" s="142" t="s">
        <v>2374</v>
      </c>
      <c r="E917" s="141" t="s">
        <v>2412</v>
      </c>
      <c r="F917" s="142" t="s">
        <v>2413</v>
      </c>
      <c r="G917" s="141" t="s">
        <v>2667</v>
      </c>
      <c r="H917" s="142" t="s">
        <v>2539</v>
      </c>
      <c r="I917" s="141" t="s">
        <v>2668</v>
      </c>
      <c r="J917" s="142" t="s">
        <v>2540</v>
      </c>
      <c r="K917" s="142" t="s">
        <v>924</v>
      </c>
      <c r="L917" s="143">
        <f t="shared" si="28"/>
        <v>1</v>
      </c>
      <c r="M917" s="144" t="s">
        <v>2678</v>
      </c>
      <c r="N917" s="141" t="s">
        <v>2373</v>
      </c>
      <c r="O917" s="142" t="s">
        <v>2374</v>
      </c>
      <c r="P917" s="141" t="s">
        <v>2418</v>
      </c>
      <c r="Q917" s="142" t="s">
        <v>2413</v>
      </c>
      <c r="R917" s="141" t="s">
        <v>2542</v>
      </c>
      <c r="S917" s="142" t="s">
        <v>2539</v>
      </c>
      <c r="T917" s="141" t="s">
        <v>2543</v>
      </c>
      <c r="U917" s="142" t="s">
        <v>2540</v>
      </c>
      <c r="V917" s="142" t="s">
        <v>924</v>
      </c>
      <c r="W917" s="141">
        <f t="shared" si="29"/>
        <v>1</v>
      </c>
      <c r="X917" s="143"/>
      <c r="Y917" s="145"/>
      <c r="AA917"/>
    </row>
    <row r="918" spans="1:27" s="115" customFormat="1" ht="13.5" customHeight="1">
      <c r="A918" s="139">
        <v>874</v>
      </c>
      <c r="B918" s="140" t="s">
        <v>5382</v>
      </c>
      <c r="C918" s="141" t="s">
        <v>2373</v>
      </c>
      <c r="D918" s="142" t="s">
        <v>2374</v>
      </c>
      <c r="E918" s="141" t="s">
        <v>2412</v>
      </c>
      <c r="F918" s="142" t="s">
        <v>2413</v>
      </c>
      <c r="G918" s="141" t="s">
        <v>2667</v>
      </c>
      <c r="H918" s="142" t="s">
        <v>2539</v>
      </c>
      <c r="I918" s="141" t="s">
        <v>2668</v>
      </c>
      <c r="J918" s="142" t="s">
        <v>2546</v>
      </c>
      <c r="K918" s="142" t="s">
        <v>925</v>
      </c>
      <c r="L918" s="143">
        <f t="shared" si="28"/>
        <v>1</v>
      </c>
      <c r="M918" s="144" t="s">
        <v>2679</v>
      </c>
      <c r="N918" s="141" t="s">
        <v>2373</v>
      </c>
      <c r="O918" s="142" t="s">
        <v>2374</v>
      </c>
      <c r="P918" s="141" t="s">
        <v>2418</v>
      </c>
      <c r="Q918" s="142" t="s">
        <v>2413</v>
      </c>
      <c r="R918" s="141" t="s">
        <v>2542</v>
      </c>
      <c r="S918" s="142" t="s">
        <v>2539</v>
      </c>
      <c r="T918" s="141" t="s">
        <v>2548</v>
      </c>
      <c r="U918" s="142" t="s">
        <v>2546</v>
      </c>
      <c r="V918" s="142" t="s">
        <v>925</v>
      </c>
      <c r="W918" s="141">
        <f t="shared" si="29"/>
        <v>1</v>
      </c>
      <c r="X918" s="143"/>
      <c r="Y918" s="145"/>
      <c r="AA918"/>
    </row>
    <row r="919" spans="1:27" s="115" customFormat="1" ht="13.5" customHeight="1">
      <c r="A919" s="139">
        <v>875</v>
      </c>
      <c r="B919" s="140" t="s">
        <v>5383</v>
      </c>
      <c r="C919" s="141" t="s">
        <v>2373</v>
      </c>
      <c r="D919" s="142" t="s">
        <v>2374</v>
      </c>
      <c r="E919" s="141" t="s">
        <v>2412</v>
      </c>
      <c r="F919" s="142" t="s">
        <v>2413</v>
      </c>
      <c r="G919" s="141" t="s">
        <v>2667</v>
      </c>
      <c r="H919" s="142" t="s">
        <v>2539</v>
      </c>
      <c r="I919" s="141" t="s">
        <v>2668</v>
      </c>
      <c r="J919" s="142" t="s">
        <v>2546</v>
      </c>
      <c r="K919" s="142" t="s">
        <v>926</v>
      </c>
      <c r="L919" s="143">
        <f t="shared" si="28"/>
        <v>1</v>
      </c>
      <c r="M919" s="144" t="s">
        <v>2680</v>
      </c>
      <c r="N919" s="141" t="s">
        <v>2373</v>
      </c>
      <c r="O919" s="142" t="s">
        <v>2374</v>
      </c>
      <c r="P919" s="141" t="s">
        <v>2418</v>
      </c>
      <c r="Q919" s="142" t="s">
        <v>2413</v>
      </c>
      <c r="R919" s="141" t="s">
        <v>2542</v>
      </c>
      <c r="S919" s="142" t="s">
        <v>2539</v>
      </c>
      <c r="T919" s="141" t="s">
        <v>2548</v>
      </c>
      <c r="U919" s="142" t="s">
        <v>2546</v>
      </c>
      <c r="V919" s="142" t="s">
        <v>926</v>
      </c>
      <c r="W919" s="141">
        <f t="shared" si="29"/>
        <v>1</v>
      </c>
      <c r="X919" s="143"/>
      <c r="Y919" s="145"/>
      <c r="AA919"/>
    </row>
    <row r="920" spans="1:27" s="115" customFormat="1" ht="13.5" customHeight="1">
      <c r="A920" s="139">
        <v>876</v>
      </c>
      <c r="B920" s="140" t="s">
        <v>5384</v>
      </c>
      <c r="C920" s="141" t="s">
        <v>2373</v>
      </c>
      <c r="D920" s="142" t="s">
        <v>2374</v>
      </c>
      <c r="E920" s="141" t="s">
        <v>2412</v>
      </c>
      <c r="F920" s="142" t="s">
        <v>2413</v>
      </c>
      <c r="G920" s="141" t="s">
        <v>2667</v>
      </c>
      <c r="H920" s="142" t="s">
        <v>2539</v>
      </c>
      <c r="I920" s="141" t="s">
        <v>2668</v>
      </c>
      <c r="J920" s="142" t="s">
        <v>2546</v>
      </c>
      <c r="K920" s="142" t="s">
        <v>927</v>
      </c>
      <c r="L920" s="143">
        <f t="shared" si="28"/>
        <v>1</v>
      </c>
      <c r="M920" s="144" t="s">
        <v>2681</v>
      </c>
      <c r="N920" s="141" t="s">
        <v>2373</v>
      </c>
      <c r="O920" s="142" t="s">
        <v>2374</v>
      </c>
      <c r="P920" s="141" t="s">
        <v>2418</v>
      </c>
      <c r="Q920" s="142" t="s">
        <v>2413</v>
      </c>
      <c r="R920" s="141" t="s">
        <v>2542</v>
      </c>
      <c r="S920" s="142" t="s">
        <v>2539</v>
      </c>
      <c r="T920" s="141" t="s">
        <v>2548</v>
      </c>
      <c r="U920" s="142" t="s">
        <v>2546</v>
      </c>
      <c r="V920" s="142" t="s">
        <v>927</v>
      </c>
      <c r="W920" s="141">
        <f t="shared" si="29"/>
        <v>1</v>
      </c>
      <c r="X920" s="143"/>
      <c r="Y920" s="145"/>
      <c r="AA920"/>
    </row>
    <row r="921" spans="1:27" s="115" customFormat="1" ht="13.5" customHeight="1">
      <c r="A921" s="139">
        <v>877</v>
      </c>
      <c r="B921" s="140" t="s">
        <v>5385</v>
      </c>
      <c r="C921" s="141" t="s">
        <v>2373</v>
      </c>
      <c r="D921" s="142" t="s">
        <v>2374</v>
      </c>
      <c r="E921" s="141" t="s">
        <v>2412</v>
      </c>
      <c r="F921" s="142" t="s">
        <v>2413</v>
      </c>
      <c r="G921" s="141" t="s">
        <v>2667</v>
      </c>
      <c r="H921" s="142" t="s">
        <v>2539</v>
      </c>
      <c r="I921" s="141" t="s">
        <v>2668</v>
      </c>
      <c r="J921" s="142" t="s">
        <v>2546</v>
      </c>
      <c r="K921" s="142" t="s">
        <v>928</v>
      </c>
      <c r="L921" s="143">
        <f t="shared" si="28"/>
        <v>1</v>
      </c>
      <c r="M921" s="144" t="s">
        <v>2682</v>
      </c>
      <c r="N921" s="141" t="s">
        <v>2373</v>
      </c>
      <c r="O921" s="142" t="s">
        <v>2374</v>
      </c>
      <c r="P921" s="141" t="s">
        <v>2418</v>
      </c>
      <c r="Q921" s="142" t="s">
        <v>2413</v>
      </c>
      <c r="R921" s="141" t="s">
        <v>2542</v>
      </c>
      <c r="S921" s="142" t="s">
        <v>2539</v>
      </c>
      <c r="T921" s="141" t="s">
        <v>2548</v>
      </c>
      <c r="U921" s="142" t="s">
        <v>2546</v>
      </c>
      <c r="V921" s="142" t="s">
        <v>928</v>
      </c>
      <c r="W921" s="141">
        <f t="shared" si="29"/>
        <v>1</v>
      </c>
      <c r="X921" s="143"/>
      <c r="Y921" s="145"/>
      <c r="AA921"/>
    </row>
    <row r="922" spans="1:27" s="115" customFormat="1" ht="27" customHeight="1">
      <c r="A922" s="139">
        <v>878</v>
      </c>
      <c r="B922" s="140" t="s">
        <v>5386</v>
      </c>
      <c r="C922" s="141" t="s">
        <v>2373</v>
      </c>
      <c r="D922" s="142" t="s">
        <v>2374</v>
      </c>
      <c r="E922" s="141" t="s">
        <v>2412</v>
      </c>
      <c r="F922" s="142" t="s">
        <v>2413</v>
      </c>
      <c r="G922" s="141" t="s">
        <v>2667</v>
      </c>
      <c r="H922" s="142" t="s">
        <v>2539</v>
      </c>
      <c r="I922" s="141" t="s">
        <v>2668</v>
      </c>
      <c r="J922" s="142" t="s">
        <v>2669</v>
      </c>
      <c r="K922" s="142" t="s">
        <v>929</v>
      </c>
      <c r="L922" s="143">
        <f t="shared" si="28"/>
        <v>1</v>
      </c>
      <c r="M922" s="144" t="s">
        <v>2683</v>
      </c>
      <c r="N922" s="141" t="s">
        <v>2373</v>
      </c>
      <c r="O922" s="142" t="s">
        <v>2374</v>
      </c>
      <c r="P922" s="141" t="s">
        <v>2418</v>
      </c>
      <c r="Q922" s="142" t="s">
        <v>2413</v>
      </c>
      <c r="R922" s="141" t="s">
        <v>2542</v>
      </c>
      <c r="S922" s="142" t="s">
        <v>2539</v>
      </c>
      <c r="T922" s="141" t="s">
        <v>2671</v>
      </c>
      <c r="U922" s="142" t="s">
        <v>2669</v>
      </c>
      <c r="V922" s="142" t="s">
        <v>929</v>
      </c>
      <c r="W922" s="141">
        <f t="shared" si="29"/>
        <v>1</v>
      </c>
      <c r="X922" s="143"/>
      <c r="Y922" s="145"/>
      <c r="AA922"/>
    </row>
    <row r="923" spans="1:27" s="115" customFormat="1" ht="27" customHeight="1">
      <c r="A923" s="139">
        <v>879</v>
      </c>
      <c r="B923" s="140" t="s">
        <v>5387</v>
      </c>
      <c r="C923" s="141" t="s">
        <v>2373</v>
      </c>
      <c r="D923" s="142" t="s">
        <v>2374</v>
      </c>
      <c r="E923" s="141" t="s">
        <v>2412</v>
      </c>
      <c r="F923" s="142" t="s">
        <v>2413</v>
      </c>
      <c r="G923" s="141" t="s">
        <v>2667</v>
      </c>
      <c r="H923" s="142" t="s">
        <v>2515</v>
      </c>
      <c r="I923" s="141" t="s">
        <v>2668</v>
      </c>
      <c r="J923" s="142" t="s">
        <v>2551</v>
      </c>
      <c r="K923" s="142" t="s">
        <v>192</v>
      </c>
      <c r="L923" s="143">
        <f t="shared" si="28"/>
        <v>1</v>
      </c>
      <c r="M923" s="144" t="s">
        <v>2567</v>
      </c>
      <c r="N923" s="141" t="s">
        <v>2373</v>
      </c>
      <c r="O923" s="142" t="s">
        <v>2374</v>
      </c>
      <c r="P923" s="141" t="s">
        <v>2418</v>
      </c>
      <c r="Q923" s="142" t="s">
        <v>2413</v>
      </c>
      <c r="R923" s="141" t="s">
        <v>2519</v>
      </c>
      <c r="S923" s="142" t="s">
        <v>2515</v>
      </c>
      <c r="T923" s="141" t="s">
        <v>2553</v>
      </c>
      <c r="U923" s="142" t="s">
        <v>2551</v>
      </c>
      <c r="V923" s="142" t="s">
        <v>192</v>
      </c>
      <c r="W923" s="141">
        <f t="shared" si="29"/>
        <v>3</v>
      </c>
      <c r="X923" s="143"/>
      <c r="Y923" s="145" t="s">
        <v>2684</v>
      </c>
      <c r="AA923"/>
    </row>
    <row r="924" spans="1:27" s="115" customFormat="1" ht="27" customHeight="1">
      <c r="A924" s="139">
        <v>880</v>
      </c>
      <c r="B924" s="140" t="s">
        <v>5388</v>
      </c>
      <c r="C924" s="141" t="s">
        <v>2373</v>
      </c>
      <c r="D924" s="142" t="s">
        <v>2374</v>
      </c>
      <c r="E924" s="141" t="s">
        <v>2412</v>
      </c>
      <c r="F924" s="142" t="s">
        <v>2413</v>
      </c>
      <c r="G924" s="141" t="s">
        <v>2667</v>
      </c>
      <c r="H924" s="142" t="s">
        <v>2539</v>
      </c>
      <c r="I924" s="141" t="s">
        <v>2668</v>
      </c>
      <c r="J924" s="142" t="s">
        <v>2546</v>
      </c>
      <c r="K924" s="142" t="s">
        <v>930</v>
      </c>
      <c r="L924" s="143">
        <f t="shared" si="28"/>
        <v>1</v>
      </c>
      <c r="M924" s="144" t="s">
        <v>2685</v>
      </c>
      <c r="N924" s="141" t="s">
        <v>2373</v>
      </c>
      <c r="O924" s="142" t="s">
        <v>2374</v>
      </c>
      <c r="P924" s="141" t="s">
        <v>2418</v>
      </c>
      <c r="Q924" s="142" t="s">
        <v>2413</v>
      </c>
      <c r="R924" s="141" t="s">
        <v>2542</v>
      </c>
      <c r="S924" s="142" t="s">
        <v>2539</v>
      </c>
      <c r="T924" s="141" t="s">
        <v>2548</v>
      </c>
      <c r="U924" s="142" t="s">
        <v>2546</v>
      </c>
      <c r="V924" s="142" t="s">
        <v>930</v>
      </c>
      <c r="W924" s="141">
        <f t="shared" si="29"/>
        <v>1</v>
      </c>
      <c r="X924" s="143"/>
      <c r="Y924" s="145"/>
      <c r="AA924"/>
    </row>
    <row r="925" spans="1:27" s="115" customFormat="1" ht="27" customHeight="1">
      <c r="A925" s="139">
        <v>881</v>
      </c>
      <c r="B925" s="140" t="s">
        <v>5389</v>
      </c>
      <c r="C925" s="141" t="s">
        <v>2373</v>
      </c>
      <c r="D925" s="142" t="s">
        <v>2374</v>
      </c>
      <c r="E925" s="141" t="s">
        <v>2412</v>
      </c>
      <c r="F925" s="142" t="s">
        <v>2413</v>
      </c>
      <c r="G925" s="141" t="s">
        <v>2686</v>
      </c>
      <c r="H925" s="142" t="s">
        <v>202</v>
      </c>
      <c r="I925" s="141" t="s">
        <v>2687</v>
      </c>
      <c r="J925" s="142" t="s">
        <v>202</v>
      </c>
      <c r="K925" s="142" t="s">
        <v>202</v>
      </c>
      <c r="L925" s="143">
        <f t="shared" si="28"/>
        <v>1</v>
      </c>
      <c r="M925" s="144" t="s">
        <v>2688</v>
      </c>
      <c r="N925" s="141" t="s">
        <v>2373</v>
      </c>
      <c r="O925" s="142" t="s">
        <v>2374</v>
      </c>
      <c r="P925" s="141" t="s">
        <v>2418</v>
      </c>
      <c r="Q925" s="142" t="s">
        <v>2413</v>
      </c>
      <c r="R925" s="141" t="s">
        <v>2689</v>
      </c>
      <c r="S925" s="142" t="s">
        <v>202</v>
      </c>
      <c r="T925" s="141" t="s">
        <v>2690</v>
      </c>
      <c r="U925" s="142" t="s">
        <v>202</v>
      </c>
      <c r="V925" s="142" t="s">
        <v>202</v>
      </c>
      <c r="W925" s="141">
        <f t="shared" si="29"/>
        <v>4</v>
      </c>
      <c r="X925" s="143"/>
      <c r="Y925" s="145" t="s">
        <v>2691</v>
      </c>
      <c r="AA925"/>
    </row>
    <row r="926" spans="1:27" s="115" customFormat="1" ht="27" customHeight="1">
      <c r="A926" s="139">
        <v>882</v>
      </c>
      <c r="B926" s="140" t="s">
        <v>5390</v>
      </c>
      <c r="C926" s="141" t="s">
        <v>2373</v>
      </c>
      <c r="D926" s="142" t="s">
        <v>2374</v>
      </c>
      <c r="E926" s="141" t="s">
        <v>2412</v>
      </c>
      <c r="F926" s="142" t="s">
        <v>2413</v>
      </c>
      <c r="G926" s="141" t="s">
        <v>2686</v>
      </c>
      <c r="H926" s="142" t="s">
        <v>202</v>
      </c>
      <c r="I926" s="141" t="s">
        <v>2687</v>
      </c>
      <c r="J926" s="142" t="s">
        <v>202</v>
      </c>
      <c r="K926" s="142" t="s">
        <v>202</v>
      </c>
      <c r="L926" s="143">
        <f t="shared" si="28"/>
        <v>1</v>
      </c>
      <c r="M926" s="144" t="s">
        <v>2688</v>
      </c>
      <c r="N926" s="141" t="s">
        <v>2373</v>
      </c>
      <c r="O926" s="142" t="s">
        <v>2374</v>
      </c>
      <c r="P926" s="141" t="s">
        <v>2418</v>
      </c>
      <c r="Q926" s="142" t="s">
        <v>2413</v>
      </c>
      <c r="R926" s="141" t="s">
        <v>2689</v>
      </c>
      <c r="S926" s="142" t="s">
        <v>202</v>
      </c>
      <c r="T926" s="141" t="s">
        <v>2690</v>
      </c>
      <c r="U926" s="142" t="s">
        <v>202</v>
      </c>
      <c r="V926" s="142" t="s">
        <v>202</v>
      </c>
      <c r="W926" s="141">
        <f t="shared" si="29"/>
        <v>4</v>
      </c>
      <c r="X926" s="143"/>
      <c r="Y926" s="145" t="s">
        <v>2692</v>
      </c>
      <c r="AA926"/>
    </row>
    <row r="927" spans="1:27" s="115" customFormat="1" ht="27" customHeight="1">
      <c r="A927" s="139">
        <v>883</v>
      </c>
      <c r="B927" s="140" t="s">
        <v>5391</v>
      </c>
      <c r="C927" s="141" t="s">
        <v>2373</v>
      </c>
      <c r="D927" s="142" t="s">
        <v>2374</v>
      </c>
      <c r="E927" s="141" t="s">
        <v>2412</v>
      </c>
      <c r="F927" s="142" t="s">
        <v>2413</v>
      </c>
      <c r="G927" s="141" t="s">
        <v>2686</v>
      </c>
      <c r="H927" s="142" t="s">
        <v>202</v>
      </c>
      <c r="I927" s="141" t="s">
        <v>2687</v>
      </c>
      <c r="J927" s="142" t="s">
        <v>202</v>
      </c>
      <c r="K927" s="142" t="s">
        <v>202</v>
      </c>
      <c r="L927" s="143">
        <f t="shared" si="28"/>
        <v>1</v>
      </c>
      <c r="M927" s="144" t="s">
        <v>2688</v>
      </c>
      <c r="N927" s="141" t="s">
        <v>2373</v>
      </c>
      <c r="O927" s="142" t="s">
        <v>2374</v>
      </c>
      <c r="P927" s="141" t="s">
        <v>2418</v>
      </c>
      <c r="Q927" s="142" t="s">
        <v>2413</v>
      </c>
      <c r="R927" s="141" t="s">
        <v>2689</v>
      </c>
      <c r="S927" s="142" t="s">
        <v>202</v>
      </c>
      <c r="T927" s="141" t="s">
        <v>2690</v>
      </c>
      <c r="U927" s="142" t="s">
        <v>202</v>
      </c>
      <c r="V927" s="142" t="s">
        <v>202</v>
      </c>
      <c r="W927" s="141">
        <f t="shared" si="29"/>
        <v>4</v>
      </c>
      <c r="X927" s="143"/>
      <c r="Y927" s="145" t="s">
        <v>2693</v>
      </c>
      <c r="AA927"/>
    </row>
    <row r="928" spans="1:27" s="115" customFormat="1" ht="27" customHeight="1">
      <c r="A928" s="139">
        <v>884</v>
      </c>
      <c r="B928" s="140" t="s">
        <v>5392</v>
      </c>
      <c r="C928" s="141" t="s">
        <v>2373</v>
      </c>
      <c r="D928" s="142" t="s">
        <v>2374</v>
      </c>
      <c r="E928" s="141" t="s">
        <v>2412</v>
      </c>
      <c r="F928" s="142" t="s">
        <v>2413</v>
      </c>
      <c r="G928" s="141" t="s">
        <v>2686</v>
      </c>
      <c r="H928" s="142" t="s">
        <v>202</v>
      </c>
      <c r="I928" s="141" t="s">
        <v>2694</v>
      </c>
      <c r="J928" s="142" t="s">
        <v>202</v>
      </c>
      <c r="K928" s="142" t="s">
        <v>202</v>
      </c>
      <c r="L928" s="143">
        <f t="shared" si="28"/>
        <v>1</v>
      </c>
      <c r="M928" s="144" t="s">
        <v>2688</v>
      </c>
      <c r="N928" s="141" t="s">
        <v>2373</v>
      </c>
      <c r="O928" s="142" t="s">
        <v>2374</v>
      </c>
      <c r="P928" s="141" t="s">
        <v>2418</v>
      </c>
      <c r="Q928" s="142" t="s">
        <v>2413</v>
      </c>
      <c r="R928" s="141" t="s">
        <v>2689</v>
      </c>
      <c r="S928" s="142" t="s">
        <v>202</v>
      </c>
      <c r="T928" s="141" t="s">
        <v>2690</v>
      </c>
      <c r="U928" s="142" t="s">
        <v>202</v>
      </c>
      <c r="V928" s="142" t="s">
        <v>202</v>
      </c>
      <c r="W928" s="141">
        <f t="shared" si="29"/>
        <v>4</v>
      </c>
      <c r="X928" s="143">
        <v>1</v>
      </c>
      <c r="Y928" s="145"/>
      <c r="AA928"/>
    </row>
    <row r="929" spans="1:27" s="115" customFormat="1" ht="13.5" customHeight="1">
      <c r="A929" s="139">
        <v>885</v>
      </c>
      <c r="B929" s="140" t="s">
        <v>5393</v>
      </c>
      <c r="C929" s="141" t="s">
        <v>2373</v>
      </c>
      <c r="D929" s="142" t="s">
        <v>2374</v>
      </c>
      <c r="E929" s="141" t="s">
        <v>2412</v>
      </c>
      <c r="F929" s="142" t="s">
        <v>2413</v>
      </c>
      <c r="G929" s="141" t="s">
        <v>2686</v>
      </c>
      <c r="H929" s="142" t="s">
        <v>2515</v>
      </c>
      <c r="I929" s="141" t="s">
        <v>2694</v>
      </c>
      <c r="J929" s="142" t="s">
        <v>2551</v>
      </c>
      <c r="K929" s="142" t="s">
        <v>905</v>
      </c>
      <c r="L929" s="143">
        <f t="shared" si="28"/>
        <v>1</v>
      </c>
      <c r="M929" s="144" t="s">
        <v>2600</v>
      </c>
      <c r="N929" s="141" t="s">
        <v>2373</v>
      </c>
      <c r="O929" s="142" t="s">
        <v>2374</v>
      </c>
      <c r="P929" s="141" t="s">
        <v>2418</v>
      </c>
      <c r="Q929" s="142" t="s">
        <v>2413</v>
      </c>
      <c r="R929" s="141" t="s">
        <v>2519</v>
      </c>
      <c r="S929" s="142" t="s">
        <v>2515</v>
      </c>
      <c r="T929" s="141" t="s">
        <v>2553</v>
      </c>
      <c r="U929" s="142" t="s">
        <v>2551</v>
      </c>
      <c r="V929" s="142" t="s">
        <v>905</v>
      </c>
      <c r="W929" s="141">
        <f t="shared" si="29"/>
        <v>3</v>
      </c>
      <c r="X929" s="143"/>
      <c r="Y929" s="145" t="s">
        <v>2695</v>
      </c>
      <c r="AA929"/>
    </row>
    <row r="930" spans="1:27" s="115" customFormat="1" ht="27" customHeight="1">
      <c r="A930" s="139">
        <v>886</v>
      </c>
      <c r="B930" s="140" t="s">
        <v>5394</v>
      </c>
      <c r="C930" s="141" t="s">
        <v>2373</v>
      </c>
      <c r="D930" s="142" t="s">
        <v>2374</v>
      </c>
      <c r="E930" s="141" t="s">
        <v>2412</v>
      </c>
      <c r="F930" s="142" t="s">
        <v>2413</v>
      </c>
      <c r="G930" s="141" t="s">
        <v>2686</v>
      </c>
      <c r="H930" s="142" t="s">
        <v>2569</v>
      </c>
      <c r="I930" s="141" t="s">
        <v>2694</v>
      </c>
      <c r="J930" s="142" t="s">
        <v>2570</v>
      </c>
      <c r="K930" s="142" t="s">
        <v>898</v>
      </c>
      <c r="L930" s="143">
        <f t="shared" si="28"/>
        <v>1</v>
      </c>
      <c r="M930" s="144" t="s">
        <v>2571</v>
      </c>
      <c r="N930" s="141" t="s">
        <v>2373</v>
      </c>
      <c r="O930" s="142" t="s">
        <v>2374</v>
      </c>
      <c r="P930" s="141" t="s">
        <v>2418</v>
      </c>
      <c r="Q930" s="142" t="s">
        <v>2413</v>
      </c>
      <c r="R930" s="141" t="s">
        <v>2572</v>
      </c>
      <c r="S930" s="142" t="s">
        <v>2569</v>
      </c>
      <c r="T930" s="141" t="s">
        <v>2573</v>
      </c>
      <c r="U930" s="142" t="s">
        <v>2570</v>
      </c>
      <c r="V930" s="142" t="s">
        <v>898</v>
      </c>
      <c r="W930" s="141">
        <f t="shared" si="29"/>
        <v>5</v>
      </c>
      <c r="X930" s="143">
        <v>1</v>
      </c>
      <c r="Y930" s="145"/>
      <c r="AA930"/>
    </row>
    <row r="931" spans="1:27" s="115" customFormat="1" ht="13.5" customHeight="1">
      <c r="A931" s="139">
        <v>887</v>
      </c>
      <c r="B931" s="140" t="s">
        <v>5395</v>
      </c>
      <c r="C931" s="141" t="s">
        <v>2373</v>
      </c>
      <c r="D931" s="142" t="s">
        <v>2374</v>
      </c>
      <c r="E931" s="141" t="s">
        <v>2696</v>
      </c>
      <c r="F931" s="142" t="s">
        <v>2402</v>
      </c>
      <c r="G931" s="141" t="s">
        <v>2697</v>
      </c>
      <c r="H931" s="142" t="s">
        <v>2698</v>
      </c>
      <c r="I931" s="141" t="s">
        <v>2699</v>
      </c>
      <c r="J931" s="142" t="s">
        <v>2700</v>
      </c>
      <c r="K931" s="142" t="s">
        <v>931</v>
      </c>
      <c r="L931" s="143">
        <f t="shared" si="28"/>
        <v>1</v>
      </c>
      <c r="M931" s="144" t="s">
        <v>2701</v>
      </c>
      <c r="N931" s="141" t="s">
        <v>2373</v>
      </c>
      <c r="O931" s="142" t="s">
        <v>2374</v>
      </c>
      <c r="P931" s="141" t="s">
        <v>2408</v>
      </c>
      <c r="Q931" s="142" t="s">
        <v>2402</v>
      </c>
      <c r="R931" s="141" t="s">
        <v>2702</v>
      </c>
      <c r="S931" s="142" t="s">
        <v>2698</v>
      </c>
      <c r="T931" s="141" t="s">
        <v>2703</v>
      </c>
      <c r="U931" s="142" t="s">
        <v>2700</v>
      </c>
      <c r="V931" s="142" t="s">
        <v>931</v>
      </c>
      <c r="W931" s="141">
        <f t="shared" si="29"/>
        <v>1</v>
      </c>
      <c r="X931" s="143"/>
      <c r="Y931" s="145"/>
      <c r="AA931"/>
    </row>
    <row r="932" spans="1:27" s="115" customFormat="1" ht="13.5" customHeight="1">
      <c r="A932" s="139">
        <v>888</v>
      </c>
      <c r="B932" s="140" t="s">
        <v>5396</v>
      </c>
      <c r="C932" s="141" t="s">
        <v>2373</v>
      </c>
      <c r="D932" s="142" t="s">
        <v>2374</v>
      </c>
      <c r="E932" s="141" t="s">
        <v>2696</v>
      </c>
      <c r="F932" s="142" t="s">
        <v>2402</v>
      </c>
      <c r="G932" s="141" t="s">
        <v>2697</v>
      </c>
      <c r="H932" s="142" t="s">
        <v>2698</v>
      </c>
      <c r="I932" s="141" t="s">
        <v>2704</v>
      </c>
      <c r="J932" s="142" t="s">
        <v>2705</v>
      </c>
      <c r="K932" s="142" t="s">
        <v>203</v>
      </c>
      <c r="L932" s="143">
        <f t="shared" si="28"/>
        <v>1</v>
      </c>
      <c r="M932" s="144" t="s">
        <v>2706</v>
      </c>
      <c r="N932" s="141" t="s">
        <v>2373</v>
      </c>
      <c r="O932" s="142" t="s">
        <v>2374</v>
      </c>
      <c r="P932" s="141" t="s">
        <v>2408</v>
      </c>
      <c r="Q932" s="142" t="s">
        <v>2402</v>
      </c>
      <c r="R932" s="141" t="s">
        <v>2702</v>
      </c>
      <c r="S932" s="142" t="s">
        <v>2698</v>
      </c>
      <c r="T932" s="141" t="s">
        <v>2707</v>
      </c>
      <c r="U932" s="142" t="s">
        <v>2705</v>
      </c>
      <c r="V932" s="142" t="s">
        <v>203</v>
      </c>
      <c r="W932" s="141">
        <f t="shared" si="29"/>
        <v>1</v>
      </c>
      <c r="X932" s="143"/>
      <c r="Y932" s="145"/>
      <c r="AA932"/>
    </row>
    <row r="933" spans="1:27" s="115" customFormat="1" ht="13.5" customHeight="1">
      <c r="A933" s="139">
        <v>889</v>
      </c>
      <c r="B933" s="140" t="s">
        <v>5397</v>
      </c>
      <c r="C933" s="141" t="s">
        <v>2373</v>
      </c>
      <c r="D933" s="142" t="s">
        <v>2374</v>
      </c>
      <c r="E933" s="141" t="s">
        <v>2696</v>
      </c>
      <c r="F933" s="142" t="s">
        <v>2402</v>
      </c>
      <c r="G933" s="141" t="s">
        <v>2697</v>
      </c>
      <c r="H933" s="142" t="s">
        <v>2698</v>
      </c>
      <c r="I933" s="141" t="s">
        <v>2704</v>
      </c>
      <c r="J933" s="142" t="s">
        <v>2705</v>
      </c>
      <c r="K933" s="142" t="s">
        <v>204</v>
      </c>
      <c r="L933" s="143">
        <f t="shared" si="28"/>
        <v>1</v>
      </c>
      <c r="M933" s="144" t="s">
        <v>2708</v>
      </c>
      <c r="N933" s="141" t="s">
        <v>2373</v>
      </c>
      <c r="O933" s="142" t="s">
        <v>2374</v>
      </c>
      <c r="P933" s="141" t="s">
        <v>2408</v>
      </c>
      <c r="Q933" s="142" t="s">
        <v>2402</v>
      </c>
      <c r="R933" s="141" t="s">
        <v>2702</v>
      </c>
      <c r="S933" s="142" t="s">
        <v>2698</v>
      </c>
      <c r="T933" s="141" t="s">
        <v>2707</v>
      </c>
      <c r="U933" s="142" t="s">
        <v>2705</v>
      </c>
      <c r="V933" s="142" t="s">
        <v>204</v>
      </c>
      <c r="W933" s="141">
        <f t="shared" si="29"/>
        <v>1</v>
      </c>
      <c r="X933" s="143"/>
      <c r="Y933" s="145"/>
      <c r="AA933"/>
    </row>
    <row r="934" spans="1:27" s="115" customFormat="1" ht="13.5" customHeight="1">
      <c r="A934" s="139">
        <v>890</v>
      </c>
      <c r="B934" s="140" t="s">
        <v>5398</v>
      </c>
      <c r="C934" s="141" t="s">
        <v>2373</v>
      </c>
      <c r="D934" s="142" t="s">
        <v>2374</v>
      </c>
      <c r="E934" s="141" t="s">
        <v>2696</v>
      </c>
      <c r="F934" s="142" t="s">
        <v>2402</v>
      </c>
      <c r="G934" s="141" t="s">
        <v>2697</v>
      </c>
      <c r="H934" s="142" t="s">
        <v>2698</v>
      </c>
      <c r="I934" s="141" t="s">
        <v>2704</v>
      </c>
      <c r="J934" s="142" t="s">
        <v>2705</v>
      </c>
      <c r="K934" s="142" t="s">
        <v>932</v>
      </c>
      <c r="L934" s="143">
        <f t="shared" si="28"/>
        <v>1</v>
      </c>
      <c r="M934" s="144" t="s">
        <v>2709</v>
      </c>
      <c r="N934" s="141" t="s">
        <v>2373</v>
      </c>
      <c r="O934" s="142" t="s">
        <v>2374</v>
      </c>
      <c r="P934" s="141" t="s">
        <v>2408</v>
      </c>
      <c r="Q934" s="142" t="s">
        <v>2402</v>
      </c>
      <c r="R934" s="141" t="s">
        <v>2702</v>
      </c>
      <c r="S934" s="142" t="s">
        <v>2698</v>
      </c>
      <c r="T934" s="141" t="s">
        <v>2707</v>
      </c>
      <c r="U934" s="142" t="s">
        <v>2705</v>
      </c>
      <c r="V934" s="142" t="s">
        <v>932</v>
      </c>
      <c r="W934" s="141">
        <f t="shared" si="29"/>
        <v>1</v>
      </c>
      <c r="X934" s="143"/>
      <c r="Y934" s="145"/>
      <c r="AA934"/>
    </row>
    <row r="935" spans="1:27" s="115" customFormat="1" ht="13.5" customHeight="1">
      <c r="A935" s="139">
        <v>891</v>
      </c>
      <c r="B935" s="140" t="s">
        <v>5399</v>
      </c>
      <c r="C935" s="141" t="s">
        <v>2373</v>
      </c>
      <c r="D935" s="142" t="s">
        <v>2374</v>
      </c>
      <c r="E935" s="141" t="s">
        <v>2696</v>
      </c>
      <c r="F935" s="142" t="s">
        <v>2402</v>
      </c>
      <c r="G935" s="141" t="s">
        <v>2697</v>
      </c>
      <c r="H935" s="142" t="s">
        <v>2698</v>
      </c>
      <c r="I935" s="141" t="s">
        <v>2704</v>
      </c>
      <c r="J935" s="142" t="s">
        <v>933</v>
      </c>
      <c r="K935" s="142" t="s">
        <v>933</v>
      </c>
      <c r="L935" s="143">
        <f t="shared" si="28"/>
        <v>1</v>
      </c>
      <c r="M935" s="144" t="s">
        <v>2710</v>
      </c>
      <c r="N935" s="141" t="s">
        <v>2373</v>
      </c>
      <c r="O935" s="142" t="s">
        <v>2374</v>
      </c>
      <c r="P935" s="141" t="s">
        <v>2408</v>
      </c>
      <c r="Q935" s="142" t="s">
        <v>2402</v>
      </c>
      <c r="R935" s="141" t="s">
        <v>2702</v>
      </c>
      <c r="S935" s="142" t="s">
        <v>2698</v>
      </c>
      <c r="T935" s="141" t="s">
        <v>2711</v>
      </c>
      <c r="U935" s="142" t="s">
        <v>933</v>
      </c>
      <c r="V935" s="142" t="s">
        <v>933</v>
      </c>
      <c r="W935" s="141">
        <f t="shared" si="29"/>
        <v>1</v>
      </c>
      <c r="X935" s="143"/>
      <c r="Y935" s="145"/>
      <c r="AA935"/>
    </row>
    <row r="936" spans="1:27" s="115" customFormat="1" ht="13.5" customHeight="1">
      <c r="A936" s="139">
        <v>892</v>
      </c>
      <c r="B936" s="140" t="s">
        <v>5400</v>
      </c>
      <c r="C936" s="141" t="s">
        <v>2373</v>
      </c>
      <c r="D936" s="142" t="s">
        <v>2374</v>
      </c>
      <c r="E936" s="141" t="s">
        <v>2696</v>
      </c>
      <c r="F936" s="142" t="s">
        <v>2402</v>
      </c>
      <c r="G936" s="141" t="s">
        <v>2697</v>
      </c>
      <c r="H936" s="142" t="s">
        <v>2698</v>
      </c>
      <c r="I936" s="141" t="s">
        <v>2704</v>
      </c>
      <c r="J936" s="142" t="s">
        <v>934</v>
      </c>
      <c r="K936" s="142" t="s">
        <v>934</v>
      </c>
      <c r="L936" s="143">
        <f t="shared" si="28"/>
        <v>1</v>
      </c>
      <c r="M936" s="144" t="s">
        <v>2712</v>
      </c>
      <c r="N936" s="141" t="s">
        <v>2373</v>
      </c>
      <c r="O936" s="142" t="s">
        <v>2374</v>
      </c>
      <c r="P936" s="141" t="s">
        <v>2408</v>
      </c>
      <c r="Q936" s="142" t="s">
        <v>2402</v>
      </c>
      <c r="R936" s="141" t="s">
        <v>2702</v>
      </c>
      <c r="S936" s="142" t="s">
        <v>2698</v>
      </c>
      <c r="T936" s="141" t="s">
        <v>2713</v>
      </c>
      <c r="U936" s="142" t="s">
        <v>934</v>
      </c>
      <c r="V936" s="142" t="s">
        <v>934</v>
      </c>
      <c r="W936" s="141">
        <f t="shared" si="29"/>
        <v>1</v>
      </c>
      <c r="X936" s="143"/>
      <c r="Y936" s="145"/>
      <c r="AA936"/>
    </row>
    <row r="937" spans="1:27" s="115" customFormat="1" ht="13.5" customHeight="1">
      <c r="A937" s="139">
        <v>893</v>
      </c>
      <c r="B937" s="140" t="s">
        <v>5401</v>
      </c>
      <c r="C937" s="141" t="s">
        <v>2373</v>
      </c>
      <c r="D937" s="142" t="s">
        <v>2374</v>
      </c>
      <c r="E937" s="141" t="s">
        <v>2696</v>
      </c>
      <c r="F937" s="142" t="s">
        <v>2402</v>
      </c>
      <c r="G937" s="141" t="s">
        <v>2697</v>
      </c>
      <c r="H937" s="142" t="s">
        <v>2698</v>
      </c>
      <c r="I937" s="141" t="s">
        <v>2704</v>
      </c>
      <c r="J937" s="142" t="s">
        <v>2700</v>
      </c>
      <c r="K937" s="142" t="s">
        <v>205</v>
      </c>
      <c r="L937" s="143">
        <f t="shared" si="28"/>
        <v>1</v>
      </c>
      <c r="M937" s="144" t="s">
        <v>2714</v>
      </c>
      <c r="N937" s="141" t="s">
        <v>2373</v>
      </c>
      <c r="O937" s="142" t="s">
        <v>2374</v>
      </c>
      <c r="P937" s="141" t="s">
        <v>2408</v>
      </c>
      <c r="Q937" s="142" t="s">
        <v>2402</v>
      </c>
      <c r="R937" s="141" t="s">
        <v>2702</v>
      </c>
      <c r="S937" s="142" t="s">
        <v>2698</v>
      </c>
      <c r="T937" s="141" t="s">
        <v>2703</v>
      </c>
      <c r="U937" s="142" t="s">
        <v>2700</v>
      </c>
      <c r="V937" s="142" t="s">
        <v>205</v>
      </c>
      <c r="W937" s="141">
        <f t="shared" si="29"/>
        <v>1</v>
      </c>
      <c r="X937" s="143"/>
      <c r="Y937" s="145"/>
      <c r="AA937"/>
    </row>
    <row r="938" spans="1:27" s="115" customFormat="1" ht="13.5" customHeight="1">
      <c r="A938" s="139">
        <v>894</v>
      </c>
      <c r="B938" s="140" t="s">
        <v>5402</v>
      </c>
      <c r="C938" s="141" t="s">
        <v>2373</v>
      </c>
      <c r="D938" s="142" t="s">
        <v>2374</v>
      </c>
      <c r="E938" s="141" t="s">
        <v>2696</v>
      </c>
      <c r="F938" s="142" t="s">
        <v>2402</v>
      </c>
      <c r="G938" s="141" t="s">
        <v>2715</v>
      </c>
      <c r="H938" s="142" t="s">
        <v>2716</v>
      </c>
      <c r="I938" s="141" t="s">
        <v>2717</v>
      </c>
      <c r="J938" s="142" t="s">
        <v>2718</v>
      </c>
      <c r="K938" s="142" t="s">
        <v>935</v>
      </c>
      <c r="L938" s="143">
        <f t="shared" si="28"/>
        <v>1</v>
      </c>
      <c r="M938" s="144" t="s">
        <v>2719</v>
      </c>
      <c r="N938" s="141" t="s">
        <v>2373</v>
      </c>
      <c r="O938" s="142" t="s">
        <v>2374</v>
      </c>
      <c r="P938" s="141" t="s">
        <v>2408</v>
      </c>
      <c r="Q938" s="142" t="s">
        <v>2402</v>
      </c>
      <c r="R938" s="141" t="s">
        <v>2720</v>
      </c>
      <c r="S938" s="142" t="s">
        <v>2716</v>
      </c>
      <c r="T938" s="141" t="s">
        <v>2721</v>
      </c>
      <c r="U938" s="142" t="s">
        <v>2718</v>
      </c>
      <c r="V938" s="142" t="s">
        <v>935</v>
      </c>
      <c r="W938" s="141">
        <f t="shared" si="29"/>
        <v>2</v>
      </c>
      <c r="X938" s="143">
        <v>1</v>
      </c>
      <c r="Y938" s="145"/>
      <c r="AA938"/>
    </row>
    <row r="939" spans="1:27" s="115" customFormat="1" ht="13.5" customHeight="1">
      <c r="A939" s="139">
        <v>895</v>
      </c>
      <c r="B939" s="140" t="s">
        <v>5403</v>
      </c>
      <c r="C939" s="141" t="s">
        <v>2373</v>
      </c>
      <c r="D939" s="142" t="s">
        <v>2374</v>
      </c>
      <c r="E939" s="141" t="s">
        <v>2696</v>
      </c>
      <c r="F939" s="142" t="s">
        <v>2402</v>
      </c>
      <c r="G939" s="141" t="s">
        <v>2715</v>
      </c>
      <c r="H939" s="142" t="s">
        <v>2716</v>
      </c>
      <c r="I939" s="141" t="s">
        <v>2717</v>
      </c>
      <c r="J939" s="142" t="s">
        <v>2718</v>
      </c>
      <c r="K939" s="142" t="s">
        <v>935</v>
      </c>
      <c r="L939" s="143">
        <f t="shared" si="28"/>
        <v>1</v>
      </c>
      <c r="M939" s="144" t="s">
        <v>2719</v>
      </c>
      <c r="N939" s="141" t="s">
        <v>2373</v>
      </c>
      <c r="O939" s="142" t="s">
        <v>2374</v>
      </c>
      <c r="P939" s="141" t="s">
        <v>2408</v>
      </c>
      <c r="Q939" s="142" t="s">
        <v>2402</v>
      </c>
      <c r="R939" s="141" t="s">
        <v>2720</v>
      </c>
      <c r="S939" s="142" t="s">
        <v>2716</v>
      </c>
      <c r="T939" s="141" t="s">
        <v>2721</v>
      </c>
      <c r="U939" s="142" t="s">
        <v>2718</v>
      </c>
      <c r="V939" s="142" t="s">
        <v>935</v>
      </c>
      <c r="W939" s="141">
        <f t="shared" si="29"/>
        <v>2</v>
      </c>
      <c r="X939" s="143"/>
      <c r="Y939" s="145" t="s">
        <v>2722</v>
      </c>
      <c r="AA939"/>
    </row>
    <row r="940" spans="1:27" s="115" customFormat="1" ht="13.5" customHeight="1">
      <c r="A940" s="139">
        <v>896</v>
      </c>
      <c r="B940" s="140" t="s">
        <v>5404</v>
      </c>
      <c r="C940" s="141" t="s">
        <v>2373</v>
      </c>
      <c r="D940" s="142" t="s">
        <v>2374</v>
      </c>
      <c r="E940" s="141" t="s">
        <v>2696</v>
      </c>
      <c r="F940" s="142" t="s">
        <v>2402</v>
      </c>
      <c r="G940" s="141" t="s">
        <v>2715</v>
      </c>
      <c r="H940" s="142" t="s">
        <v>2716</v>
      </c>
      <c r="I940" s="141" t="s">
        <v>2717</v>
      </c>
      <c r="J940" s="142" t="s">
        <v>2718</v>
      </c>
      <c r="K940" s="142" t="s">
        <v>936</v>
      </c>
      <c r="L940" s="143">
        <f t="shared" si="28"/>
        <v>1</v>
      </c>
      <c r="M940" s="144" t="s">
        <v>2723</v>
      </c>
      <c r="N940" s="141" t="s">
        <v>2373</v>
      </c>
      <c r="O940" s="142" t="s">
        <v>2374</v>
      </c>
      <c r="P940" s="141" t="s">
        <v>2408</v>
      </c>
      <c r="Q940" s="142" t="s">
        <v>2402</v>
      </c>
      <c r="R940" s="141" t="s">
        <v>2720</v>
      </c>
      <c r="S940" s="142" t="s">
        <v>2716</v>
      </c>
      <c r="T940" s="141" t="s">
        <v>2721</v>
      </c>
      <c r="U940" s="142" t="s">
        <v>2718</v>
      </c>
      <c r="V940" s="142" t="s">
        <v>936</v>
      </c>
      <c r="W940" s="141">
        <f t="shared" si="29"/>
        <v>1</v>
      </c>
      <c r="X940" s="143"/>
      <c r="Y940" s="145"/>
      <c r="AA940"/>
    </row>
    <row r="941" spans="1:27" s="115" customFormat="1" ht="27" customHeight="1">
      <c r="A941" s="139">
        <v>897</v>
      </c>
      <c r="B941" s="140" t="s">
        <v>6063</v>
      </c>
      <c r="C941" s="141" t="s">
        <v>2373</v>
      </c>
      <c r="D941" s="142" t="s">
        <v>2374</v>
      </c>
      <c r="E941" s="141" t="s">
        <v>2696</v>
      </c>
      <c r="F941" s="142" t="s">
        <v>2402</v>
      </c>
      <c r="G941" s="141" t="s">
        <v>2715</v>
      </c>
      <c r="H941" s="142" t="s">
        <v>2716</v>
      </c>
      <c r="I941" s="141" t="s">
        <v>2717</v>
      </c>
      <c r="J941" s="142" t="s">
        <v>2718</v>
      </c>
      <c r="K941" s="142" t="s">
        <v>937</v>
      </c>
      <c r="L941" s="143">
        <f t="shared" si="28"/>
        <v>1</v>
      </c>
      <c r="M941" s="144" t="s">
        <v>2724</v>
      </c>
      <c r="N941" s="141" t="s">
        <v>2373</v>
      </c>
      <c r="O941" s="142" t="s">
        <v>2374</v>
      </c>
      <c r="P941" s="141" t="s">
        <v>2408</v>
      </c>
      <c r="Q941" s="142" t="s">
        <v>2402</v>
      </c>
      <c r="R941" s="141" t="s">
        <v>2720</v>
      </c>
      <c r="S941" s="142" t="s">
        <v>2716</v>
      </c>
      <c r="T941" s="141" t="s">
        <v>2721</v>
      </c>
      <c r="U941" s="142" t="s">
        <v>2718</v>
      </c>
      <c r="V941" s="142" t="s">
        <v>937</v>
      </c>
      <c r="W941" s="141">
        <f t="shared" si="29"/>
        <v>1</v>
      </c>
      <c r="X941" s="143"/>
      <c r="Y941" s="145"/>
      <c r="AA941"/>
    </row>
    <row r="942" spans="1:27" s="115" customFormat="1" ht="27" customHeight="1">
      <c r="A942" s="139">
        <v>898</v>
      </c>
      <c r="B942" s="140" t="s">
        <v>6064</v>
      </c>
      <c r="C942" s="141" t="s">
        <v>2373</v>
      </c>
      <c r="D942" s="142" t="s">
        <v>2374</v>
      </c>
      <c r="E942" s="141" t="s">
        <v>2696</v>
      </c>
      <c r="F942" s="142" t="s">
        <v>2402</v>
      </c>
      <c r="G942" s="141" t="s">
        <v>2715</v>
      </c>
      <c r="H942" s="142" t="s">
        <v>2716</v>
      </c>
      <c r="I942" s="141" t="s">
        <v>2717</v>
      </c>
      <c r="J942" s="142" t="s">
        <v>2718</v>
      </c>
      <c r="K942" s="142" t="s">
        <v>938</v>
      </c>
      <c r="L942" s="143">
        <f t="shared" si="28"/>
        <v>1</v>
      </c>
      <c r="M942" s="144" t="s">
        <v>2725</v>
      </c>
      <c r="N942" s="141" t="s">
        <v>2373</v>
      </c>
      <c r="O942" s="142" t="s">
        <v>2374</v>
      </c>
      <c r="P942" s="141" t="s">
        <v>2408</v>
      </c>
      <c r="Q942" s="142" t="s">
        <v>2402</v>
      </c>
      <c r="R942" s="141" t="s">
        <v>2720</v>
      </c>
      <c r="S942" s="142" t="s">
        <v>2716</v>
      </c>
      <c r="T942" s="141" t="s">
        <v>2721</v>
      </c>
      <c r="U942" s="142" t="s">
        <v>2718</v>
      </c>
      <c r="V942" s="142" t="s">
        <v>938</v>
      </c>
      <c r="W942" s="141">
        <f t="shared" si="29"/>
        <v>1</v>
      </c>
      <c r="X942" s="143"/>
      <c r="Y942" s="145"/>
      <c r="AA942"/>
    </row>
    <row r="943" spans="1:27" s="115" customFormat="1" ht="27" customHeight="1">
      <c r="A943" s="139">
        <v>899</v>
      </c>
      <c r="B943" s="140" t="s">
        <v>5405</v>
      </c>
      <c r="C943" s="141" t="s">
        <v>2373</v>
      </c>
      <c r="D943" s="142" t="s">
        <v>2374</v>
      </c>
      <c r="E943" s="141" t="s">
        <v>2696</v>
      </c>
      <c r="F943" s="142" t="s">
        <v>2402</v>
      </c>
      <c r="G943" s="141" t="s">
        <v>2715</v>
      </c>
      <c r="H943" s="142" t="s">
        <v>2716</v>
      </c>
      <c r="I943" s="141" t="s">
        <v>2717</v>
      </c>
      <c r="J943" s="142" t="s">
        <v>2718</v>
      </c>
      <c r="K943" s="142" t="s">
        <v>939</v>
      </c>
      <c r="L943" s="143">
        <f t="shared" si="28"/>
        <v>1</v>
      </c>
      <c r="M943" s="144" t="s">
        <v>2726</v>
      </c>
      <c r="N943" s="141" t="s">
        <v>2373</v>
      </c>
      <c r="O943" s="142" t="s">
        <v>2374</v>
      </c>
      <c r="P943" s="141" t="s">
        <v>2408</v>
      </c>
      <c r="Q943" s="142" t="s">
        <v>2402</v>
      </c>
      <c r="R943" s="141" t="s">
        <v>2720</v>
      </c>
      <c r="S943" s="142" t="s">
        <v>2716</v>
      </c>
      <c r="T943" s="141" t="s">
        <v>2721</v>
      </c>
      <c r="U943" s="142" t="s">
        <v>2718</v>
      </c>
      <c r="V943" s="142" t="s">
        <v>939</v>
      </c>
      <c r="W943" s="141">
        <f t="shared" si="29"/>
        <v>2</v>
      </c>
      <c r="X943" s="143">
        <v>2</v>
      </c>
      <c r="Y943" s="145" t="s">
        <v>2727</v>
      </c>
      <c r="AA943"/>
    </row>
    <row r="944" spans="1:27" s="115" customFormat="1" ht="27" customHeight="1">
      <c r="A944" s="139">
        <v>900</v>
      </c>
      <c r="B944" s="140" t="s">
        <v>5406</v>
      </c>
      <c r="C944" s="141" t="s">
        <v>2373</v>
      </c>
      <c r="D944" s="142" t="s">
        <v>2374</v>
      </c>
      <c r="E944" s="141" t="s">
        <v>2696</v>
      </c>
      <c r="F944" s="142" t="s">
        <v>2402</v>
      </c>
      <c r="G944" s="141" t="s">
        <v>2715</v>
      </c>
      <c r="H944" s="142" t="s">
        <v>2716</v>
      </c>
      <c r="I944" s="141" t="s">
        <v>2717</v>
      </c>
      <c r="J944" s="142" t="s">
        <v>2718</v>
      </c>
      <c r="K944" s="142" t="s">
        <v>939</v>
      </c>
      <c r="L944" s="143">
        <f t="shared" si="28"/>
        <v>1</v>
      </c>
      <c r="M944" s="144" t="s">
        <v>2726</v>
      </c>
      <c r="N944" s="141" t="s">
        <v>2373</v>
      </c>
      <c r="O944" s="142" t="s">
        <v>2374</v>
      </c>
      <c r="P944" s="141" t="s">
        <v>2408</v>
      </c>
      <c r="Q944" s="142" t="s">
        <v>2402</v>
      </c>
      <c r="R944" s="141" t="s">
        <v>2720</v>
      </c>
      <c r="S944" s="142" t="s">
        <v>2716</v>
      </c>
      <c r="T944" s="141" t="s">
        <v>2721</v>
      </c>
      <c r="U944" s="142" t="s">
        <v>2718</v>
      </c>
      <c r="V944" s="142" t="s">
        <v>939</v>
      </c>
      <c r="W944" s="141">
        <f t="shared" si="29"/>
        <v>2</v>
      </c>
      <c r="X944" s="143">
        <v>2</v>
      </c>
      <c r="Y944" s="145" t="s">
        <v>2728</v>
      </c>
      <c r="AA944"/>
    </row>
    <row r="945" spans="1:27" s="115" customFormat="1" ht="27" customHeight="1">
      <c r="A945" s="139">
        <v>901</v>
      </c>
      <c r="B945" s="140" t="s">
        <v>5407</v>
      </c>
      <c r="C945" s="141" t="s">
        <v>2373</v>
      </c>
      <c r="D945" s="142" t="s">
        <v>2374</v>
      </c>
      <c r="E945" s="141" t="s">
        <v>2696</v>
      </c>
      <c r="F945" s="142" t="s">
        <v>2402</v>
      </c>
      <c r="G945" s="141" t="s">
        <v>2715</v>
      </c>
      <c r="H945" s="142" t="s">
        <v>2716</v>
      </c>
      <c r="I945" s="141" t="s">
        <v>2717</v>
      </c>
      <c r="J945" s="142" t="s">
        <v>2718</v>
      </c>
      <c r="K945" s="142" t="s">
        <v>940</v>
      </c>
      <c r="L945" s="143">
        <f t="shared" si="28"/>
        <v>1</v>
      </c>
      <c r="M945" s="144" t="s">
        <v>2729</v>
      </c>
      <c r="N945" s="141" t="s">
        <v>2373</v>
      </c>
      <c r="O945" s="142" t="s">
        <v>2374</v>
      </c>
      <c r="P945" s="141" t="s">
        <v>2408</v>
      </c>
      <c r="Q945" s="142" t="s">
        <v>2402</v>
      </c>
      <c r="R945" s="141" t="s">
        <v>2720</v>
      </c>
      <c r="S945" s="142" t="s">
        <v>2716</v>
      </c>
      <c r="T945" s="141" t="s">
        <v>2721</v>
      </c>
      <c r="U945" s="142" t="s">
        <v>2718</v>
      </c>
      <c r="V945" s="142" t="s">
        <v>940</v>
      </c>
      <c r="W945" s="141">
        <f t="shared" si="29"/>
        <v>2</v>
      </c>
      <c r="X945" s="143">
        <v>1</v>
      </c>
      <c r="Y945" s="145"/>
      <c r="AA945"/>
    </row>
    <row r="946" spans="1:27" s="115" customFormat="1" ht="27" customHeight="1">
      <c r="A946" s="139">
        <v>902</v>
      </c>
      <c r="B946" s="140" t="s">
        <v>5408</v>
      </c>
      <c r="C946" s="141" t="s">
        <v>2373</v>
      </c>
      <c r="D946" s="142" t="s">
        <v>2374</v>
      </c>
      <c r="E946" s="141" t="s">
        <v>2696</v>
      </c>
      <c r="F946" s="142" t="s">
        <v>2402</v>
      </c>
      <c r="G946" s="141" t="s">
        <v>2715</v>
      </c>
      <c r="H946" s="142" t="s">
        <v>2716</v>
      </c>
      <c r="I946" s="141" t="s">
        <v>2717</v>
      </c>
      <c r="J946" s="142" t="s">
        <v>2718</v>
      </c>
      <c r="K946" s="142" t="s">
        <v>940</v>
      </c>
      <c r="L946" s="143">
        <f t="shared" si="28"/>
        <v>1</v>
      </c>
      <c r="M946" s="144" t="s">
        <v>2729</v>
      </c>
      <c r="N946" s="141" t="s">
        <v>2373</v>
      </c>
      <c r="O946" s="142" t="s">
        <v>2374</v>
      </c>
      <c r="P946" s="141" t="s">
        <v>2408</v>
      </c>
      <c r="Q946" s="142" t="s">
        <v>2402</v>
      </c>
      <c r="R946" s="141" t="s">
        <v>2720</v>
      </c>
      <c r="S946" s="142" t="s">
        <v>2716</v>
      </c>
      <c r="T946" s="141" t="s">
        <v>2721</v>
      </c>
      <c r="U946" s="142" t="s">
        <v>2718</v>
      </c>
      <c r="V946" s="142" t="s">
        <v>940</v>
      </c>
      <c r="W946" s="141">
        <f t="shared" si="29"/>
        <v>2</v>
      </c>
      <c r="X946" s="143"/>
      <c r="Y946" s="145" t="s">
        <v>2730</v>
      </c>
      <c r="AA946"/>
    </row>
    <row r="947" spans="1:27" s="115" customFormat="1" ht="27" customHeight="1">
      <c r="A947" s="139">
        <v>903</v>
      </c>
      <c r="B947" s="140" t="s">
        <v>5409</v>
      </c>
      <c r="C947" s="141" t="s">
        <v>2373</v>
      </c>
      <c r="D947" s="142" t="s">
        <v>2374</v>
      </c>
      <c r="E947" s="141" t="s">
        <v>2696</v>
      </c>
      <c r="F947" s="142" t="s">
        <v>2402</v>
      </c>
      <c r="G947" s="141" t="s">
        <v>2715</v>
      </c>
      <c r="H947" s="142" t="s">
        <v>2716</v>
      </c>
      <c r="I947" s="141" t="s">
        <v>2717</v>
      </c>
      <c r="J947" s="142" t="s">
        <v>2718</v>
      </c>
      <c r="K947" s="142" t="s">
        <v>207</v>
      </c>
      <c r="L947" s="143">
        <f t="shared" si="28"/>
        <v>1</v>
      </c>
      <c r="M947" s="144" t="s">
        <v>2731</v>
      </c>
      <c r="N947" s="141" t="s">
        <v>2373</v>
      </c>
      <c r="O947" s="142" t="s">
        <v>2374</v>
      </c>
      <c r="P947" s="141" t="s">
        <v>2408</v>
      </c>
      <c r="Q947" s="142" t="s">
        <v>2402</v>
      </c>
      <c r="R947" s="141" t="s">
        <v>2720</v>
      </c>
      <c r="S947" s="142" t="s">
        <v>2716</v>
      </c>
      <c r="T947" s="141" t="s">
        <v>2721</v>
      </c>
      <c r="U947" s="142" t="s">
        <v>2718</v>
      </c>
      <c r="V947" s="142" t="s">
        <v>207</v>
      </c>
      <c r="W947" s="141">
        <f t="shared" si="29"/>
        <v>2</v>
      </c>
      <c r="X947" s="143"/>
      <c r="Y947" s="145" t="s">
        <v>2732</v>
      </c>
      <c r="AA947"/>
    </row>
    <row r="948" spans="1:27" s="115" customFormat="1" ht="27" customHeight="1">
      <c r="A948" s="139">
        <v>904</v>
      </c>
      <c r="B948" s="140" t="s">
        <v>5410</v>
      </c>
      <c r="C948" s="141" t="s">
        <v>2373</v>
      </c>
      <c r="D948" s="142" t="s">
        <v>2374</v>
      </c>
      <c r="E948" s="141" t="s">
        <v>2696</v>
      </c>
      <c r="F948" s="142" t="s">
        <v>2402</v>
      </c>
      <c r="G948" s="141" t="s">
        <v>2715</v>
      </c>
      <c r="H948" s="142" t="s">
        <v>2733</v>
      </c>
      <c r="I948" s="141" t="s">
        <v>2717</v>
      </c>
      <c r="J948" s="142" t="s">
        <v>2700</v>
      </c>
      <c r="K948" s="142" t="s">
        <v>941</v>
      </c>
      <c r="L948" s="143">
        <f t="shared" si="28"/>
        <v>1</v>
      </c>
      <c r="M948" s="144" t="s">
        <v>2734</v>
      </c>
      <c r="N948" s="141" t="s">
        <v>2373</v>
      </c>
      <c r="O948" s="142" t="s">
        <v>2374</v>
      </c>
      <c r="P948" s="141" t="s">
        <v>2408</v>
      </c>
      <c r="Q948" s="142" t="s">
        <v>2402</v>
      </c>
      <c r="R948" s="141" t="s">
        <v>2702</v>
      </c>
      <c r="S948" s="142" t="s">
        <v>2698</v>
      </c>
      <c r="T948" s="141" t="s">
        <v>2703</v>
      </c>
      <c r="U948" s="142" t="s">
        <v>2700</v>
      </c>
      <c r="V948" s="142" t="s">
        <v>941</v>
      </c>
      <c r="W948" s="141">
        <f t="shared" si="29"/>
        <v>1</v>
      </c>
      <c r="X948" s="143"/>
      <c r="Y948" s="145"/>
      <c r="AA948"/>
    </row>
    <row r="949" spans="1:27" s="115" customFormat="1" ht="27" customHeight="1">
      <c r="A949" s="139">
        <v>905</v>
      </c>
      <c r="B949" s="140" t="s">
        <v>5411</v>
      </c>
      <c r="C949" s="141" t="s">
        <v>2373</v>
      </c>
      <c r="D949" s="142" t="s">
        <v>2374</v>
      </c>
      <c r="E949" s="141" t="s">
        <v>2696</v>
      </c>
      <c r="F949" s="142" t="s">
        <v>2402</v>
      </c>
      <c r="G949" s="141" t="s">
        <v>2715</v>
      </c>
      <c r="H949" s="142" t="s">
        <v>2716</v>
      </c>
      <c r="I949" s="141" t="s">
        <v>2717</v>
      </c>
      <c r="J949" s="142" t="s">
        <v>2735</v>
      </c>
      <c r="K949" s="142" t="s">
        <v>206</v>
      </c>
      <c r="L949" s="143">
        <f t="shared" si="28"/>
        <v>1</v>
      </c>
      <c r="M949" s="144" t="s">
        <v>2736</v>
      </c>
      <c r="N949" s="141" t="s">
        <v>2373</v>
      </c>
      <c r="O949" s="142" t="s">
        <v>2374</v>
      </c>
      <c r="P949" s="141" t="s">
        <v>2408</v>
      </c>
      <c r="Q949" s="142" t="s">
        <v>2402</v>
      </c>
      <c r="R949" s="141" t="s">
        <v>2720</v>
      </c>
      <c r="S949" s="142" t="s">
        <v>2716</v>
      </c>
      <c r="T949" s="141" t="s">
        <v>2737</v>
      </c>
      <c r="U949" s="142" t="s">
        <v>2735</v>
      </c>
      <c r="V949" s="142" t="s">
        <v>206</v>
      </c>
      <c r="W949" s="141">
        <f t="shared" si="29"/>
        <v>1</v>
      </c>
      <c r="X949" s="143"/>
      <c r="Y949" s="145"/>
      <c r="AA949"/>
    </row>
    <row r="950" spans="1:27" s="115" customFormat="1" ht="27" customHeight="1">
      <c r="A950" s="139">
        <v>906</v>
      </c>
      <c r="B950" s="140" t="s">
        <v>5412</v>
      </c>
      <c r="C950" s="141" t="s">
        <v>2373</v>
      </c>
      <c r="D950" s="142" t="s">
        <v>2374</v>
      </c>
      <c r="E950" s="141" t="s">
        <v>2696</v>
      </c>
      <c r="F950" s="142" t="s">
        <v>2402</v>
      </c>
      <c r="G950" s="141" t="s">
        <v>2715</v>
      </c>
      <c r="H950" s="142" t="s">
        <v>2738</v>
      </c>
      <c r="I950" s="141" t="s">
        <v>2717</v>
      </c>
      <c r="J950" s="142" t="s">
        <v>2739</v>
      </c>
      <c r="K950" s="142" t="s">
        <v>942</v>
      </c>
      <c r="L950" s="143">
        <f t="shared" si="28"/>
        <v>1</v>
      </c>
      <c r="M950" s="144" t="s">
        <v>2740</v>
      </c>
      <c r="N950" s="141" t="s">
        <v>2373</v>
      </c>
      <c r="O950" s="142" t="s">
        <v>2374</v>
      </c>
      <c r="P950" s="141" t="s">
        <v>2408</v>
      </c>
      <c r="Q950" s="142" t="s">
        <v>2402</v>
      </c>
      <c r="R950" s="141" t="s">
        <v>2741</v>
      </c>
      <c r="S950" s="142" t="s">
        <v>2742</v>
      </c>
      <c r="T950" s="141" t="s">
        <v>2743</v>
      </c>
      <c r="U950" s="142" t="s">
        <v>2739</v>
      </c>
      <c r="V950" s="142" t="s">
        <v>942</v>
      </c>
      <c r="W950" s="141">
        <f t="shared" si="29"/>
        <v>5</v>
      </c>
      <c r="X950" s="143"/>
      <c r="Y950" s="145" t="s">
        <v>2744</v>
      </c>
      <c r="AA950"/>
    </row>
    <row r="951" spans="1:27" s="115" customFormat="1" ht="27" customHeight="1">
      <c r="A951" s="139">
        <v>907</v>
      </c>
      <c r="B951" s="140" t="s">
        <v>5414</v>
      </c>
      <c r="C951" s="141" t="s">
        <v>2373</v>
      </c>
      <c r="D951" s="142" t="s">
        <v>2374</v>
      </c>
      <c r="E951" s="141" t="s">
        <v>2696</v>
      </c>
      <c r="F951" s="142" t="s">
        <v>2402</v>
      </c>
      <c r="G951" s="141" t="s">
        <v>2715</v>
      </c>
      <c r="H951" s="142" t="s">
        <v>2716</v>
      </c>
      <c r="I951" s="141" t="s">
        <v>2717</v>
      </c>
      <c r="J951" s="142" t="s">
        <v>2718</v>
      </c>
      <c r="K951" s="142" t="s">
        <v>943</v>
      </c>
      <c r="L951" s="143">
        <f t="shared" si="28"/>
        <v>1</v>
      </c>
      <c r="M951" s="144" t="s">
        <v>2745</v>
      </c>
      <c r="N951" s="141" t="s">
        <v>2373</v>
      </c>
      <c r="O951" s="142" t="s">
        <v>2374</v>
      </c>
      <c r="P951" s="141" t="s">
        <v>2408</v>
      </c>
      <c r="Q951" s="142" t="s">
        <v>2402</v>
      </c>
      <c r="R951" s="141" t="s">
        <v>2720</v>
      </c>
      <c r="S951" s="142" t="s">
        <v>2716</v>
      </c>
      <c r="T951" s="141" t="s">
        <v>2721</v>
      </c>
      <c r="U951" s="142" t="s">
        <v>2718</v>
      </c>
      <c r="V951" s="142" t="s">
        <v>943</v>
      </c>
      <c r="W951" s="141">
        <f t="shared" si="29"/>
        <v>2</v>
      </c>
      <c r="X951" s="143"/>
      <c r="Y951" s="145" t="s">
        <v>2746</v>
      </c>
      <c r="AA951"/>
    </row>
    <row r="952" spans="1:27" s="115" customFormat="1" ht="27" customHeight="1">
      <c r="A952" s="139">
        <v>908</v>
      </c>
      <c r="B952" s="140" t="s">
        <v>5415</v>
      </c>
      <c r="C952" s="141" t="s">
        <v>2373</v>
      </c>
      <c r="D952" s="142" t="s">
        <v>2374</v>
      </c>
      <c r="E952" s="141" t="s">
        <v>2696</v>
      </c>
      <c r="F952" s="142" t="s">
        <v>2402</v>
      </c>
      <c r="G952" s="141" t="s">
        <v>2715</v>
      </c>
      <c r="H952" s="142" t="s">
        <v>2747</v>
      </c>
      <c r="I952" s="141" t="s">
        <v>2717</v>
      </c>
      <c r="J952" s="142" t="s">
        <v>2748</v>
      </c>
      <c r="K952" s="142" t="s">
        <v>944</v>
      </c>
      <c r="L952" s="143">
        <f t="shared" si="28"/>
        <v>1</v>
      </c>
      <c r="M952" s="144" t="s">
        <v>2749</v>
      </c>
      <c r="N952" s="141" t="s">
        <v>2373</v>
      </c>
      <c r="O952" s="142" t="s">
        <v>2374</v>
      </c>
      <c r="P952" s="141" t="s">
        <v>2408</v>
      </c>
      <c r="Q952" s="142" t="s">
        <v>2402</v>
      </c>
      <c r="R952" s="141" t="s">
        <v>2750</v>
      </c>
      <c r="S952" s="142" t="s">
        <v>2751</v>
      </c>
      <c r="T952" s="141" t="s">
        <v>2752</v>
      </c>
      <c r="U952" s="142" t="s">
        <v>2748</v>
      </c>
      <c r="V952" s="142" t="s">
        <v>944</v>
      </c>
      <c r="W952" s="141">
        <f t="shared" si="29"/>
        <v>9</v>
      </c>
      <c r="X952" s="143"/>
      <c r="Y952" s="145" t="s">
        <v>2509</v>
      </c>
      <c r="AA952"/>
    </row>
    <row r="953" spans="1:27" s="115" customFormat="1" ht="27" customHeight="1">
      <c r="A953" s="139">
        <v>909</v>
      </c>
      <c r="B953" s="140" t="s">
        <v>5416</v>
      </c>
      <c r="C953" s="141" t="s">
        <v>2373</v>
      </c>
      <c r="D953" s="142" t="s">
        <v>2374</v>
      </c>
      <c r="E953" s="141" t="s">
        <v>2696</v>
      </c>
      <c r="F953" s="142" t="s">
        <v>2402</v>
      </c>
      <c r="G953" s="141" t="s">
        <v>2715</v>
      </c>
      <c r="H953" s="142" t="s">
        <v>2753</v>
      </c>
      <c r="I953" s="141" t="s">
        <v>2717</v>
      </c>
      <c r="J953" s="142" t="s">
        <v>2735</v>
      </c>
      <c r="K953" s="142" t="s">
        <v>208</v>
      </c>
      <c r="L953" s="143">
        <f t="shared" si="28"/>
        <v>1</v>
      </c>
      <c r="M953" s="144" t="s">
        <v>2754</v>
      </c>
      <c r="N953" s="141" t="s">
        <v>2373</v>
      </c>
      <c r="O953" s="142" t="s">
        <v>2374</v>
      </c>
      <c r="P953" s="141" t="s">
        <v>2408</v>
      </c>
      <c r="Q953" s="142" t="s">
        <v>2402</v>
      </c>
      <c r="R953" s="141" t="s">
        <v>2720</v>
      </c>
      <c r="S953" s="142" t="s">
        <v>208</v>
      </c>
      <c r="T953" s="141" t="s">
        <v>2737</v>
      </c>
      <c r="U953" s="142" t="s">
        <v>2735</v>
      </c>
      <c r="V953" s="142" t="s">
        <v>208</v>
      </c>
      <c r="W953" s="141">
        <f t="shared" si="29"/>
        <v>5</v>
      </c>
      <c r="X953" s="143"/>
      <c r="Y953" s="145" t="s">
        <v>2755</v>
      </c>
      <c r="AA953"/>
    </row>
    <row r="954" spans="1:27" s="115" customFormat="1" ht="27" customHeight="1">
      <c r="A954" s="139">
        <v>910</v>
      </c>
      <c r="B954" s="140" t="s">
        <v>5417</v>
      </c>
      <c r="C954" s="141" t="s">
        <v>2373</v>
      </c>
      <c r="D954" s="142" t="s">
        <v>2374</v>
      </c>
      <c r="E954" s="141" t="s">
        <v>2696</v>
      </c>
      <c r="F954" s="142" t="s">
        <v>2402</v>
      </c>
      <c r="G954" s="141" t="s">
        <v>2715</v>
      </c>
      <c r="H954" s="142" t="s">
        <v>208</v>
      </c>
      <c r="I954" s="141" t="s">
        <v>2717</v>
      </c>
      <c r="J954" s="142" t="s">
        <v>2735</v>
      </c>
      <c r="K954" s="142" t="s">
        <v>208</v>
      </c>
      <c r="L954" s="143">
        <f t="shared" si="28"/>
        <v>1</v>
      </c>
      <c r="M954" s="144" t="s">
        <v>2754</v>
      </c>
      <c r="N954" s="141" t="s">
        <v>2373</v>
      </c>
      <c r="O954" s="142" t="s">
        <v>2374</v>
      </c>
      <c r="P954" s="141" t="s">
        <v>2408</v>
      </c>
      <c r="Q954" s="142" t="s">
        <v>2402</v>
      </c>
      <c r="R954" s="141" t="s">
        <v>2720</v>
      </c>
      <c r="S954" s="142" t="s">
        <v>208</v>
      </c>
      <c r="T954" s="141" t="s">
        <v>2737</v>
      </c>
      <c r="U954" s="142" t="s">
        <v>2735</v>
      </c>
      <c r="V954" s="142" t="s">
        <v>208</v>
      </c>
      <c r="W954" s="141">
        <f t="shared" si="29"/>
        <v>5</v>
      </c>
      <c r="X954" s="143"/>
      <c r="Y954" s="145" t="s">
        <v>2756</v>
      </c>
      <c r="AA954"/>
    </row>
    <row r="955" spans="1:27" s="115" customFormat="1" ht="13.5" customHeight="1">
      <c r="A955" s="139">
        <v>911</v>
      </c>
      <c r="B955" s="140" t="s">
        <v>5418</v>
      </c>
      <c r="C955" s="141" t="s">
        <v>2373</v>
      </c>
      <c r="D955" s="142" t="s">
        <v>2374</v>
      </c>
      <c r="E955" s="141" t="s">
        <v>2696</v>
      </c>
      <c r="F955" s="142" t="s">
        <v>2402</v>
      </c>
      <c r="G955" s="141" t="s">
        <v>2715</v>
      </c>
      <c r="H955" s="142" t="s">
        <v>208</v>
      </c>
      <c r="I955" s="141" t="s">
        <v>2717</v>
      </c>
      <c r="J955" s="142" t="s">
        <v>2735</v>
      </c>
      <c r="K955" s="142" t="s">
        <v>208</v>
      </c>
      <c r="L955" s="143">
        <f t="shared" si="28"/>
        <v>1</v>
      </c>
      <c r="M955" s="144" t="s">
        <v>2754</v>
      </c>
      <c r="N955" s="141" t="s">
        <v>2373</v>
      </c>
      <c r="O955" s="142" t="s">
        <v>2374</v>
      </c>
      <c r="P955" s="141" t="s">
        <v>2408</v>
      </c>
      <c r="Q955" s="142" t="s">
        <v>2402</v>
      </c>
      <c r="R955" s="141" t="s">
        <v>2720</v>
      </c>
      <c r="S955" s="142" t="s">
        <v>208</v>
      </c>
      <c r="T955" s="141" t="s">
        <v>2737</v>
      </c>
      <c r="U955" s="142" t="s">
        <v>2735</v>
      </c>
      <c r="V955" s="142" t="s">
        <v>208</v>
      </c>
      <c r="W955" s="141">
        <f t="shared" si="29"/>
        <v>5</v>
      </c>
      <c r="X955" s="143">
        <v>1</v>
      </c>
      <c r="Y955" s="145"/>
      <c r="AA955"/>
    </row>
    <row r="956" spans="1:27" s="115" customFormat="1" ht="13.5" customHeight="1">
      <c r="A956" s="139">
        <v>912</v>
      </c>
      <c r="B956" s="140" t="s">
        <v>5419</v>
      </c>
      <c r="C956" s="141" t="s">
        <v>2373</v>
      </c>
      <c r="D956" s="142" t="s">
        <v>2374</v>
      </c>
      <c r="E956" s="141" t="s">
        <v>2696</v>
      </c>
      <c r="F956" s="142" t="s">
        <v>2402</v>
      </c>
      <c r="G956" s="141" t="s">
        <v>2715</v>
      </c>
      <c r="H956" s="142" t="s">
        <v>2716</v>
      </c>
      <c r="I956" s="141" t="s">
        <v>2717</v>
      </c>
      <c r="J956" s="142" t="s">
        <v>2718</v>
      </c>
      <c r="K956" s="142" t="s">
        <v>207</v>
      </c>
      <c r="L956" s="143">
        <f t="shared" si="28"/>
        <v>1</v>
      </c>
      <c r="M956" s="144" t="s">
        <v>2731</v>
      </c>
      <c r="N956" s="141" t="s">
        <v>2373</v>
      </c>
      <c r="O956" s="142" t="s">
        <v>2374</v>
      </c>
      <c r="P956" s="141" t="s">
        <v>2408</v>
      </c>
      <c r="Q956" s="142" t="s">
        <v>2402</v>
      </c>
      <c r="R956" s="141" t="s">
        <v>2720</v>
      </c>
      <c r="S956" s="142" t="s">
        <v>2716</v>
      </c>
      <c r="T956" s="141" t="s">
        <v>2721</v>
      </c>
      <c r="U956" s="142" t="s">
        <v>2718</v>
      </c>
      <c r="V956" s="142" t="s">
        <v>207</v>
      </c>
      <c r="W956" s="141">
        <f t="shared" si="29"/>
        <v>2</v>
      </c>
      <c r="X956" s="143">
        <v>1</v>
      </c>
      <c r="Y956" s="145"/>
      <c r="AA956"/>
    </row>
    <row r="957" spans="1:27" s="115" customFormat="1" ht="12.75" customHeight="1">
      <c r="A957" s="139">
        <v>913</v>
      </c>
      <c r="B957" s="140" t="s">
        <v>5420</v>
      </c>
      <c r="C957" s="141" t="s">
        <v>2373</v>
      </c>
      <c r="D957" s="142" t="s">
        <v>2374</v>
      </c>
      <c r="E957" s="141" t="s">
        <v>2696</v>
      </c>
      <c r="F957" s="142" t="s">
        <v>2402</v>
      </c>
      <c r="G957" s="141" t="s">
        <v>2715</v>
      </c>
      <c r="H957" s="142" t="s">
        <v>208</v>
      </c>
      <c r="I957" s="141" t="s">
        <v>2717</v>
      </c>
      <c r="J957" s="142" t="s">
        <v>2735</v>
      </c>
      <c r="K957" s="142" t="s">
        <v>208</v>
      </c>
      <c r="L957" s="143">
        <f t="shared" si="28"/>
        <v>1</v>
      </c>
      <c r="M957" s="144" t="s">
        <v>2754</v>
      </c>
      <c r="N957" s="141" t="s">
        <v>2373</v>
      </c>
      <c r="O957" s="142" t="s">
        <v>2374</v>
      </c>
      <c r="P957" s="141" t="s">
        <v>2408</v>
      </c>
      <c r="Q957" s="142" t="s">
        <v>2402</v>
      </c>
      <c r="R957" s="141" t="s">
        <v>2720</v>
      </c>
      <c r="S957" s="142" t="s">
        <v>208</v>
      </c>
      <c r="T957" s="141" t="s">
        <v>2737</v>
      </c>
      <c r="U957" s="142" t="s">
        <v>2735</v>
      </c>
      <c r="V957" s="142" t="s">
        <v>208</v>
      </c>
      <c r="W957" s="141">
        <f t="shared" si="29"/>
        <v>5</v>
      </c>
      <c r="X957" s="143"/>
      <c r="Y957" s="145" t="s">
        <v>2757</v>
      </c>
      <c r="AA957"/>
    </row>
    <row r="958" spans="1:27" s="115" customFormat="1" ht="13.5" customHeight="1">
      <c r="A958" s="139">
        <v>914</v>
      </c>
      <c r="B958" s="140" t="s">
        <v>5421</v>
      </c>
      <c r="C958" s="141" t="s">
        <v>2373</v>
      </c>
      <c r="D958" s="142" t="s">
        <v>2374</v>
      </c>
      <c r="E958" s="141" t="s">
        <v>2696</v>
      </c>
      <c r="F958" s="142" t="s">
        <v>2402</v>
      </c>
      <c r="G958" s="141" t="s">
        <v>2715</v>
      </c>
      <c r="H958" s="142" t="s">
        <v>208</v>
      </c>
      <c r="I958" s="141" t="s">
        <v>2717</v>
      </c>
      <c r="J958" s="142" t="s">
        <v>2735</v>
      </c>
      <c r="K958" s="142" t="s">
        <v>208</v>
      </c>
      <c r="L958" s="143">
        <f t="shared" si="28"/>
        <v>1</v>
      </c>
      <c r="M958" s="144" t="s">
        <v>2754</v>
      </c>
      <c r="N958" s="141" t="s">
        <v>2373</v>
      </c>
      <c r="O958" s="142" t="s">
        <v>2374</v>
      </c>
      <c r="P958" s="141" t="s">
        <v>2408</v>
      </c>
      <c r="Q958" s="142" t="s">
        <v>2402</v>
      </c>
      <c r="R958" s="141" t="s">
        <v>2720</v>
      </c>
      <c r="S958" s="142" t="s">
        <v>208</v>
      </c>
      <c r="T958" s="141" t="s">
        <v>2737</v>
      </c>
      <c r="U958" s="142" t="s">
        <v>2735</v>
      </c>
      <c r="V958" s="142" t="s">
        <v>208</v>
      </c>
      <c r="W958" s="141">
        <f t="shared" si="29"/>
        <v>5</v>
      </c>
      <c r="X958" s="143"/>
      <c r="Y958" s="145" t="s">
        <v>2758</v>
      </c>
      <c r="AA958"/>
    </row>
    <row r="959" spans="1:27" s="115" customFormat="1" ht="13.5" customHeight="1">
      <c r="A959" s="139">
        <v>915</v>
      </c>
      <c r="B959" s="140" t="s">
        <v>5422</v>
      </c>
      <c r="C959" s="141" t="s">
        <v>2373</v>
      </c>
      <c r="D959" s="142" t="s">
        <v>2374</v>
      </c>
      <c r="E959" s="141" t="s">
        <v>2696</v>
      </c>
      <c r="F959" s="142" t="s">
        <v>2402</v>
      </c>
      <c r="G959" s="141" t="s">
        <v>2715</v>
      </c>
      <c r="H959" s="142" t="s">
        <v>2716</v>
      </c>
      <c r="I959" s="141" t="s">
        <v>2759</v>
      </c>
      <c r="J959" s="142" t="s">
        <v>2718</v>
      </c>
      <c r="K959" s="142" t="s">
        <v>943</v>
      </c>
      <c r="L959" s="143">
        <f t="shared" si="28"/>
        <v>1</v>
      </c>
      <c r="M959" s="144" t="s">
        <v>2745</v>
      </c>
      <c r="N959" s="141" t="s">
        <v>2373</v>
      </c>
      <c r="O959" s="142" t="s">
        <v>2374</v>
      </c>
      <c r="P959" s="141" t="s">
        <v>2408</v>
      </c>
      <c r="Q959" s="142" t="s">
        <v>2402</v>
      </c>
      <c r="R959" s="141" t="s">
        <v>2720</v>
      </c>
      <c r="S959" s="142" t="s">
        <v>2716</v>
      </c>
      <c r="T959" s="141" t="s">
        <v>2721</v>
      </c>
      <c r="U959" s="142" t="s">
        <v>2718</v>
      </c>
      <c r="V959" s="142" t="s">
        <v>943</v>
      </c>
      <c r="W959" s="141">
        <f t="shared" si="29"/>
        <v>2</v>
      </c>
      <c r="X959" s="143">
        <v>1</v>
      </c>
      <c r="Y959" s="145"/>
      <c r="AA959"/>
    </row>
    <row r="960" spans="1:27" s="115" customFormat="1" ht="27" customHeight="1">
      <c r="A960" s="139">
        <v>916</v>
      </c>
      <c r="B960" s="140" t="s">
        <v>5423</v>
      </c>
      <c r="C960" s="141" t="s">
        <v>2373</v>
      </c>
      <c r="D960" s="142" t="s">
        <v>2374</v>
      </c>
      <c r="E960" s="141" t="s">
        <v>2696</v>
      </c>
      <c r="F960" s="142" t="s">
        <v>2402</v>
      </c>
      <c r="G960" s="141" t="s">
        <v>2715</v>
      </c>
      <c r="H960" s="142" t="s">
        <v>2751</v>
      </c>
      <c r="I960" s="141" t="s">
        <v>2759</v>
      </c>
      <c r="J960" s="142" t="s">
        <v>2748</v>
      </c>
      <c r="K960" s="142" t="s">
        <v>944</v>
      </c>
      <c r="L960" s="143">
        <f t="shared" si="28"/>
        <v>1</v>
      </c>
      <c r="M960" s="144" t="s">
        <v>2749</v>
      </c>
      <c r="N960" s="141" t="s">
        <v>2373</v>
      </c>
      <c r="O960" s="142" t="s">
        <v>2374</v>
      </c>
      <c r="P960" s="141" t="s">
        <v>2408</v>
      </c>
      <c r="Q960" s="142" t="s">
        <v>2402</v>
      </c>
      <c r="R960" s="141" t="s">
        <v>2750</v>
      </c>
      <c r="S960" s="142" t="s">
        <v>2751</v>
      </c>
      <c r="T960" s="141" t="s">
        <v>2752</v>
      </c>
      <c r="U960" s="142" t="s">
        <v>2748</v>
      </c>
      <c r="V960" s="142" t="s">
        <v>944</v>
      </c>
      <c r="W960" s="141">
        <f t="shared" si="29"/>
        <v>9</v>
      </c>
      <c r="X960" s="143"/>
      <c r="Y960" s="145" t="s">
        <v>2760</v>
      </c>
      <c r="AA960"/>
    </row>
    <row r="961" spans="1:27" s="115" customFormat="1" ht="27" customHeight="1">
      <c r="A961" s="139">
        <v>917</v>
      </c>
      <c r="B961" s="140" t="s">
        <v>5424</v>
      </c>
      <c r="C961" s="141" t="s">
        <v>2373</v>
      </c>
      <c r="D961" s="142" t="s">
        <v>2374</v>
      </c>
      <c r="E961" s="141" t="s">
        <v>2696</v>
      </c>
      <c r="F961" s="142" t="s">
        <v>2402</v>
      </c>
      <c r="G961" s="141" t="s">
        <v>2715</v>
      </c>
      <c r="H961" s="142" t="s">
        <v>2716</v>
      </c>
      <c r="I961" s="141" t="s">
        <v>2759</v>
      </c>
      <c r="J961" s="142" t="s">
        <v>2718</v>
      </c>
      <c r="K961" s="142" t="s">
        <v>945</v>
      </c>
      <c r="L961" s="143">
        <f t="shared" si="28"/>
        <v>1</v>
      </c>
      <c r="M961" s="144" t="s">
        <v>2761</v>
      </c>
      <c r="N961" s="141" t="s">
        <v>2373</v>
      </c>
      <c r="O961" s="142" t="s">
        <v>2374</v>
      </c>
      <c r="P961" s="141" t="s">
        <v>2408</v>
      </c>
      <c r="Q961" s="142" t="s">
        <v>2402</v>
      </c>
      <c r="R961" s="141" t="s">
        <v>2720</v>
      </c>
      <c r="S961" s="142" t="s">
        <v>2716</v>
      </c>
      <c r="T961" s="141" t="s">
        <v>2721</v>
      </c>
      <c r="U961" s="142" t="s">
        <v>2718</v>
      </c>
      <c r="V961" s="142" t="s">
        <v>945</v>
      </c>
      <c r="W961" s="141">
        <f t="shared" si="29"/>
        <v>1</v>
      </c>
      <c r="X961" s="143"/>
      <c r="Y961" s="145"/>
      <c r="AA961"/>
    </row>
    <row r="962" spans="1:27" s="115" customFormat="1" ht="27" customHeight="1">
      <c r="A962" s="139">
        <v>918</v>
      </c>
      <c r="B962" s="140" t="s">
        <v>5425</v>
      </c>
      <c r="C962" s="141" t="s">
        <v>2373</v>
      </c>
      <c r="D962" s="142" t="s">
        <v>2374</v>
      </c>
      <c r="E962" s="141" t="s">
        <v>2696</v>
      </c>
      <c r="F962" s="142" t="s">
        <v>2402</v>
      </c>
      <c r="G962" s="141" t="s">
        <v>2762</v>
      </c>
      <c r="H962" s="142" t="s">
        <v>2751</v>
      </c>
      <c r="I962" s="141" t="s">
        <v>2763</v>
      </c>
      <c r="J962" s="142" t="s">
        <v>2764</v>
      </c>
      <c r="K962" s="142" t="s">
        <v>209</v>
      </c>
      <c r="L962" s="143">
        <f t="shared" si="28"/>
        <v>1</v>
      </c>
      <c r="M962" s="144">
        <v>47811</v>
      </c>
      <c r="N962" s="141" t="s">
        <v>2373</v>
      </c>
      <c r="O962" s="142" t="s">
        <v>2374</v>
      </c>
      <c r="P962" s="141" t="s">
        <v>2408</v>
      </c>
      <c r="Q962" s="142" t="s">
        <v>2402</v>
      </c>
      <c r="R962" s="141" t="s">
        <v>2750</v>
      </c>
      <c r="S962" s="142" t="s">
        <v>2751</v>
      </c>
      <c r="T962" s="141" t="s">
        <v>2765</v>
      </c>
      <c r="U962" s="142" t="s">
        <v>2764</v>
      </c>
      <c r="V962" s="142" t="s">
        <v>209</v>
      </c>
      <c r="W962" s="141">
        <f t="shared" si="29"/>
        <v>3</v>
      </c>
      <c r="X962" s="143">
        <v>2</v>
      </c>
      <c r="Y962" s="145" t="s">
        <v>2766</v>
      </c>
      <c r="AA962"/>
    </row>
    <row r="963" spans="1:27" s="115" customFormat="1" ht="27" customHeight="1">
      <c r="A963" s="139">
        <v>919</v>
      </c>
      <c r="B963" s="140" t="s">
        <v>5426</v>
      </c>
      <c r="C963" s="141" t="s">
        <v>2373</v>
      </c>
      <c r="D963" s="142" t="s">
        <v>2374</v>
      </c>
      <c r="E963" s="141" t="s">
        <v>2696</v>
      </c>
      <c r="F963" s="142" t="s">
        <v>2402</v>
      </c>
      <c r="G963" s="141" t="s">
        <v>2762</v>
      </c>
      <c r="H963" s="142" t="s">
        <v>2751</v>
      </c>
      <c r="I963" s="141" t="s">
        <v>2763</v>
      </c>
      <c r="J963" s="142" t="s">
        <v>2764</v>
      </c>
      <c r="K963" s="142" t="s">
        <v>209</v>
      </c>
      <c r="L963" s="143">
        <f t="shared" si="28"/>
        <v>1</v>
      </c>
      <c r="M963" s="144" t="s">
        <v>2767</v>
      </c>
      <c r="N963" s="141" t="s">
        <v>2373</v>
      </c>
      <c r="O963" s="142" t="s">
        <v>2374</v>
      </c>
      <c r="P963" s="141" t="s">
        <v>2408</v>
      </c>
      <c r="Q963" s="142" t="s">
        <v>2402</v>
      </c>
      <c r="R963" s="141" t="s">
        <v>2750</v>
      </c>
      <c r="S963" s="142" t="s">
        <v>2751</v>
      </c>
      <c r="T963" s="141" t="s">
        <v>2765</v>
      </c>
      <c r="U963" s="142" t="s">
        <v>2764</v>
      </c>
      <c r="V963" s="142" t="s">
        <v>209</v>
      </c>
      <c r="W963" s="141">
        <f t="shared" si="29"/>
        <v>3</v>
      </c>
      <c r="X963" s="143"/>
      <c r="Y963" s="145" t="s">
        <v>2768</v>
      </c>
      <c r="AA963"/>
    </row>
    <row r="964" spans="1:27" s="115" customFormat="1" ht="27" customHeight="1">
      <c r="A964" s="139">
        <v>920</v>
      </c>
      <c r="B964" s="140" t="s">
        <v>5427</v>
      </c>
      <c r="C964" s="141" t="s">
        <v>2373</v>
      </c>
      <c r="D964" s="142" t="s">
        <v>2374</v>
      </c>
      <c r="E964" s="141" t="s">
        <v>2696</v>
      </c>
      <c r="F964" s="142" t="s">
        <v>2402</v>
      </c>
      <c r="G964" s="141" t="s">
        <v>2762</v>
      </c>
      <c r="H964" s="142" t="s">
        <v>2751</v>
      </c>
      <c r="I964" s="141" t="s">
        <v>2763</v>
      </c>
      <c r="J964" s="142" t="s">
        <v>2764</v>
      </c>
      <c r="K964" s="142" t="s">
        <v>209</v>
      </c>
      <c r="L964" s="143">
        <f t="shared" si="28"/>
        <v>1</v>
      </c>
      <c r="M964" s="144" t="s">
        <v>2767</v>
      </c>
      <c r="N964" s="141" t="s">
        <v>2373</v>
      </c>
      <c r="O964" s="142" t="s">
        <v>2374</v>
      </c>
      <c r="P964" s="141" t="s">
        <v>2408</v>
      </c>
      <c r="Q964" s="142" t="s">
        <v>2402</v>
      </c>
      <c r="R964" s="141" t="s">
        <v>2750</v>
      </c>
      <c r="S964" s="142" t="s">
        <v>2751</v>
      </c>
      <c r="T964" s="141" t="s">
        <v>2765</v>
      </c>
      <c r="U964" s="142" t="s">
        <v>2764</v>
      </c>
      <c r="V964" s="142" t="s">
        <v>209</v>
      </c>
      <c r="W964" s="141">
        <f t="shared" si="29"/>
        <v>3</v>
      </c>
      <c r="X964" s="143">
        <v>2</v>
      </c>
      <c r="Y964" s="145" t="s">
        <v>2769</v>
      </c>
      <c r="AA964"/>
    </row>
    <row r="965" spans="1:27" s="115" customFormat="1" ht="27" customHeight="1">
      <c r="A965" s="139">
        <v>921</v>
      </c>
      <c r="B965" s="140" t="s">
        <v>5428</v>
      </c>
      <c r="C965" s="141" t="s">
        <v>2373</v>
      </c>
      <c r="D965" s="142" t="s">
        <v>2374</v>
      </c>
      <c r="E965" s="141" t="s">
        <v>2696</v>
      </c>
      <c r="F965" s="142" t="s">
        <v>2402</v>
      </c>
      <c r="G965" s="141" t="s">
        <v>2762</v>
      </c>
      <c r="H965" s="142" t="s">
        <v>2751</v>
      </c>
      <c r="I965" s="141" t="s">
        <v>2763</v>
      </c>
      <c r="J965" s="142" t="s">
        <v>2764</v>
      </c>
      <c r="K965" s="142" t="s">
        <v>210</v>
      </c>
      <c r="L965" s="143">
        <f t="shared" ref="L965:L1028" si="30">COUNTIF($B$5:$B$1752,B965)</f>
        <v>1</v>
      </c>
      <c r="M965" s="144" t="s">
        <v>2770</v>
      </c>
      <c r="N965" s="141" t="s">
        <v>2373</v>
      </c>
      <c r="O965" s="142" t="s">
        <v>2374</v>
      </c>
      <c r="P965" s="141" t="s">
        <v>2408</v>
      </c>
      <c r="Q965" s="142" t="s">
        <v>2402</v>
      </c>
      <c r="R965" s="141" t="s">
        <v>2750</v>
      </c>
      <c r="S965" s="142" t="s">
        <v>2751</v>
      </c>
      <c r="T965" s="141" t="s">
        <v>2765</v>
      </c>
      <c r="U965" s="142" t="s">
        <v>2764</v>
      </c>
      <c r="V965" s="142" t="s">
        <v>210</v>
      </c>
      <c r="W965" s="141">
        <f t="shared" ref="W965:W1028" si="31">COUNTIF($M$5:$M$1756,M965)</f>
        <v>1</v>
      </c>
      <c r="X965" s="143"/>
      <c r="Y965" s="145"/>
      <c r="AA965"/>
    </row>
    <row r="966" spans="1:27" s="115" customFormat="1" ht="27" customHeight="1">
      <c r="A966" s="139">
        <v>922</v>
      </c>
      <c r="B966" s="140" t="s">
        <v>5429</v>
      </c>
      <c r="C966" s="141" t="s">
        <v>2373</v>
      </c>
      <c r="D966" s="142" t="s">
        <v>2374</v>
      </c>
      <c r="E966" s="141" t="s">
        <v>2696</v>
      </c>
      <c r="F966" s="142" t="s">
        <v>2402</v>
      </c>
      <c r="G966" s="141" t="s">
        <v>2762</v>
      </c>
      <c r="H966" s="142" t="s">
        <v>2751</v>
      </c>
      <c r="I966" s="141" t="s">
        <v>2763</v>
      </c>
      <c r="J966" s="142" t="s">
        <v>2764</v>
      </c>
      <c r="K966" s="142" t="s">
        <v>946</v>
      </c>
      <c r="L966" s="143">
        <f t="shared" si="30"/>
        <v>1</v>
      </c>
      <c r="M966" s="144" t="s">
        <v>2771</v>
      </c>
      <c r="N966" s="141" t="s">
        <v>2373</v>
      </c>
      <c r="O966" s="142" t="s">
        <v>2374</v>
      </c>
      <c r="P966" s="141" t="s">
        <v>2408</v>
      </c>
      <c r="Q966" s="142" t="s">
        <v>2402</v>
      </c>
      <c r="R966" s="141" t="s">
        <v>2750</v>
      </c>
      <c r="S966" s="142" t="s">
        <v>2751</v>
      </c>
      <c r="T966" s="141" t="s">
        <v>2765</v>
      </c>
      <c r="U966" s="142" t="s">
        <v>2764</v>
      </c>
      <c r="V966" s="142" t="s">
        <v>946</v>
      </c>
      <c r="W966" s="141">
        <f t="shared" si="31"/>
        <v>1</v>
      </c>
      <c r="X966" s="143"/>
      <c r="Y966" s="145"/>
      <c r="AA966"/>
    </row>
    <row r="967" spans="1:27" s="115" customFormat="1" ht="27" customHeight="1">
      <c r="A967" s="139">
        <v>923</v>
      </c>
      <c r="B967" s="140" t="s">
        <v>5430</v>
      </c>
      <c r="C967" s="141" t="s">
        <v>2373</v>
      </c>
      <c r="D967" s="142" t="s">
        <v>2374</v>
      </c>
      <c r="E967" s="141" t="s">
        <v>2696</v>
      </c>
      <c r="F967" s="142" t="s">
        <v>2402</v>
      </c>
      <c r="G967" s="141" t="s">
        <v>2762</v>
      </c>
      <c r="H967" s="142" t="s">
        <v>2772</v>
      </c>
      <c r="I967" s="141" t="s">
        <v>2763</v>
      </c>
      <c r="J967" s="142" t="s">
        <v>2773</v>
      </c>
      <c r="K967" s="142" t="s">
        <v>211</v>
      </c>
      <c r="L967" s="143">
        <f t="shared" si="30"/>
        <v>1</v>
      </c>
      <c r="M967" s="144" t="s">
        <v>2774</v>
      </c>
      <c r="N967" s="141" t="s">
        <v>2373</v>
      </c>
      <c r="O967" s="142" t="s">
        <v>2374</v>
      </c>
      <c r="P967" s="141" t="s">
        <v>2408</v>
      </c>
      <c r="Q967" s="142" t="s">
        <v>2402</v>
      </c>
      <c r="R967" s="141" t="s">
        <v>2775</v>
      </c>
      <c r="S967" s="142" t="s">
        <v>2772</v>
      </c>
      <c r="T967" s="141" t="s">
        <v>2776</v>
      </c>
      <c r="U967" s="142" t="s">
        <v>2773</v>
      </c>
      <c r="V967" s="142" t="s">
        <v>211</v>
      </c>
      <c r="W967" s="141">
        <f t="shared" si="31"/>
        <v>2</v>
      </c>
      <c r="X967" s="143">
        <v>2</v>
      </c>
      <c r="Y967" s="145" t="s">
        <v>2777</v>
      </c>
      <c r="AA967"/>
    </row>
    <row r="968" spans="1:27" s="115" customFormat="1" ht="27" customHeight="1">
      <c r="A968" s="139">
        <v>924</v>
      </c>
      <c r="B968" s="140" t="s">
        <v>5431</v>
      </c>
      <c r="C968" s="141" t="s">
        <v>2373</v>
      </c>
      <c r="D968" s="142" t="s">
        <v>2374</v>
      </c>
      <c r="E968" s="141" t="s">
        <v>2696</v>
      </c>
      <c r="F968" s="142" t="s">
        <v>2402</v>
      </c>
      <c r="G968" s="141" t="s">
        <v>2762</v>
      </c>
      <c r="H968" s="142" t="s">
        <v>2778</v>
      </c>
      <c r="I968" s="141" t="s">
        <v>2779</v>
      </c>
      <c r="J968" s="142" t="s">
        <v>2780</v>
      </c>
      <c r="K968" s="142" t="s">
        <v>947</v>
      </c>
      <c r="L968" s="143">
        <f t="shared" si="30"/>
        <v>1</v>
      </c>
      <c r="M968" s="144" t="s">
        <v>2781</v>
      </c>
      <c r="N968" s="141" t="s">
        <v>2373</v>
      </c>
      <c r="O968" s="142" t="s">
        <v>2374</v>
      </c>
      <c r="P968" s="141" t="s">
        <v>2408</v>
      </c>
      <c r="Q968" s="142" t="s">
        <v>2402</v>
      </c>
      <c r="R968" s="141" t="s">
        <v>2782</v>
      </c>
      <c r="S968" s="142" t="s">
        <v>2778</v>
      </c>
      <c r="T968" s="141" t="s">
        <v>2783</v>
      </c>
      <c r="U968" s="142" t="s">
        <v>2780</v>
      </c>
      <c r="V968" s="142" t="s">
        <v>947</v>
      </c>
      <c r="W968" s="141">
        <f t="shared" si="31"/>
        <v>3</v>
      </c>
      <c r="X968" s="143"/>
      <c r="Y968" s="145" t="s">
        <v>2784</v>
      </c>
      <c r="AA968"/>
    </row>
    <row r="969" spans="1:27" s="115" customFormat="1" ht="27" customHeight="1">
      <c r="A969" s="139">
        <v>925</v>
      </c>
      <c r="B969" s="140" t="s">
        <v>5432</v>
      </c>
      <c r="C969" s="141" t="s">
        <v>2373</v>
      </c>
      <c r="D969" s="142" t="s">
        <v>2374</v>
      </c>
      <c r="E969" s="141" t="s">
        <v>2696</v>
      </c>
      <c r="F969" s="142" t="s">
        <v>2402</v>
      </c>
      <c r="G969" s="141" t="s">
        <v>2762</v>
      </c>
      <c r="H969" s="142" t="s">
        <v>2778</v>
      </c>
      <c r="I969" s="141" t="s">
        <v>2779</v>
      </c>
      <c r="J969" s="142" t="s">
        <v>2780</v>
      </c>
      <c r="K969" s="142" t="s">
        <v>947</v>
      </c>
      <c r="L969" s="143">
        <f t="shared" si="30"/>
        <v>1</v>
      </c>
      <c r="M969" s="144" t="s">
        <v>2781</v>
      </c>
      <c r="N969" s="141" t="s">
        <v>2373</v>
      </c>
      <c r="O969" s="142" t="s">
        <v>2374</v>
      </c>
      <c r="P969" s="141" t="s">
        <v>2408</v>
      </c>
      <c r="Q969" s="142" t="s">
        <v>2402</v>
      </c>
      <c r="R969" s="141" t="s">
        <v>2782</v>
      </c>
      <c r="S969" s="142" t="s">
        <v>2778</v>
      </c>
      <c r="T969" s="141" t="s">
        <v>2783</v>
      </c>
      <c r="U969" s="142" t="s">
        <v>2780</v>
      </c>
      <c r="V969" s="142" t="s">
        <v>947</v>
      </c>
      <c r="W969" s="141">
        <f t="shared" si="31"/>
        <v>3</v>
      </c>
      <c r="X969" s="143">
        <v>1</v>
      </c>
      <c r="Y969" s="145"/>
      <c r="AA969"/>
    </row>
    <row r="970" spans="1:27" s="115" customFormat="1" ht="27" customHeight="1">
      <c r="A970" s="139">
        <v>926</v>
      </c>
      <c r="B970" s="140" t="s">
        <v>5433</v>
      </c>
      <c r="C970" s="141" t="s">
        <v>2373</v>
      </c>
      <c r="D970" s="142" t="s">
        <v>2374</v>
      </c>
      <c r="E970" s="141" t="s">
        <v>2696</v>
      </c>
      <c r="F970" s="142" t="s">
        <v>2402</v>
      </c>
      <c r="G970" s="141" t="s">
        <v>2762</v>
      </c>
      <c r="H970" s="142" t="s">
        <v>2778</v>
      </c>
      <c r="I970" s="141" t="s">
        <v>2779</v>
      </c>
      <c r="J970" s="142" t="s">
        <v>2785</v>
      </c>
      <c r="K970" s="142" t="s">
        <v>948</v>
      </c>
      <c r="L970" s="143">
        <f t="shared" si="30"/>
        <v>1</v>
      </c>
      <c r="M970" s="144" t="s">
        <v>2786</v>
      </c>
      <c r="N970" s="141" t="s">
        <v>2373</v>
      </c>
      <c r="O970" s="142" t="s">
        <v>2374</v>
      </c>
      <c r="P970" s="141" t="s">
        <v>2408</v>
      </c>
      <c r="Q970" s="142" t="s">
        <v>2402</v>
      </c>
      <c r="R970" s="141" t="s">
        <v>2782</v>
      </c>
      <c r="S970" s="142" t="s">
        <v>2778</v>
      </c>
      <c r="T970" s="141" t="s">
        <v>2787</v>
      </c>
      <c r="U970" s="142" t="s">
        <v>2785</v>
      </c>
      <c r="V970" s="142" t="s">
        <v>948</v>
      </c>
      <c r="W970" s="141">
        <f t="shared" si="31"/>
        <v>1</v>
      </c>
      <c r="X970" s="143"/>
      <c r="Y970" s="145"/>
      <c r="AA970"/>
    </row>
    <row r="971" spans="1:27" s="115" customFormat="1" ht="27" customHeight="1">
      <c r="A971" s="139">
        <v>927</v>
      </c>
      <c r="B971" s="140" t="s">
        <v>5434</v>
      </c>
      <c r="C971" s="141" t="s">
        <v>2373</v>
      </c>
      <c r="D971" s="142" t="s">
        <v>2374</v>
      </c>
      <c r="E971" s="141" t="s">
        <v>2696</v>
      </c>
      <c r="F971" s="142" t="s">
        <v>2402</v>
      </c>
      <c r="G971" s="141" t="s">
        <v>2762</v>
      </c>
      <c r="H971" s="142" t="s">
        <v>2778</v>
      </c>
      <c r="I971" s="141" t="s">
        <v>2779</v>
      </c>
      <c r="J971" s="142" t="s">
        <v>2785</v>
      </c>
      <c r="K971" s="142" t="s">
        <v>949</v>
      </c>
      <c r="L971" s="143">
        <f t="shared" si="30"/>
        <v>1</v>
      </c>
      <c r="M971" s="144" t="s">
        <v>2788</v>
      </c>
      <c r="N971" s="141" t="s">
        <v>2373</v>
      </c>
      <c r="O971" s="142" t="s">
        <v>2374</v>
      </c>
      <c r="P971" s="141" t="s">
        <v>2408</v>
      </c>
      <c r="Q971" s="142" t="s">
        <v>2402</v>
      </c>
      <c r="R971" s="141" t="s">
        <v>2782</v>
      </c>
      <c r="S971" s="142" t="s">
        <v>2778</v>
      </c>
      <c r="T971" s="141" t="s">
        <v>2787</v>
      </c>
      <c r="U971" s="142" t="s">
        <v>2785</v>
      </c>
      <c r="V971" s="142" t="s">
        <v>949</v>
      </c>
      <c r="W971" s="141">
        <f t="shared" si="31"/>
        <v>1</v>
      </c>
      <c r="X971" s="143"/>
      <c r="Y971" s="145"/>
      <c r="AA971"/>
    </row>
    <row r="972" spans="1:27" s="115" customFormat="1" ht="27" customHeight="1">
      <c r="A972" s="139">
        <v>928</v>
      </c>
      <c r="B972" s="140" t="s">
        <v>5435</v>
      </c>
      <c r="C972" s="141" t="s">
        <v>2373</v>
      </c>
      <c r="D972" s="142" t="s">
        <v>2374</v>
      </c>
      <c r="E972" s="141" t="s">
        <v>2696</v>
      </c>
      <c r="F972" s="142" t="s">
        <v>2402</v>
      </c>
      <c r="G972" s="141" t="s">
        <v>2762</v>
      </c>
      <c r="H972" s="142" t="s">
        <v>2778</v>
      </c>
      <c r="I972" s="141" t="s">
        <v>2779</v>
      </c>
      <c r="J972" s="142" t="s">
        <v>2785</v>
      </c>
      <c r="K972" s="142" t="s">
        <v>950</v>
      </c>
      <c r="L972" s="143">
        <f t="shared" si="30"/>
        <v>1</v>
      </c>
      <c r="M972" s="144" t="s">
        <v>2789</v>
      </c>
      <c r="N972" s="141" t="s">
        <v>2373</v>
      </c>
      <c r="O972" s="142" t="s">
        <v>2374</v>
      </c>
      <c r="P972" s="141" t="s">
        <v>2408</v>
      </c>
      <c r="Q972" s="142" t="s">
        <v>2402</v>
      </c>
      <c r="R972" s="141" t="s">
        <v>2782</v>
      </c>
      <c r="S972" s="142" t="s">
        <v>2778</v>
      </c>
      <c r="T972" s="141" t="s">
        <v>2787</v>
      </c>
      <c r="U972" s="142" t="s">
        <v>2785</v>
      </c>
      <c r="V972" s="142" t="s">
        <v>950</v>
      </c>
      <c r="W972" s="141">
        <f t="shared" si="31"/>
        <v>1</v>
      </c>
      <c r="X972" s="143"/>
      <c r="Y972" s="145"/>
      <c r="AA972"/>
    </row>
    <row r="973" spans="1:27" s="115" customFormat="1" ht="27" customHeight="1">
      <c r="A973" s="139">
        <v>929</v>
      </c>
      <c r="B973" s="140" t="s">
        <v>5436</v>
      </c>
      <c r="C973" s="141" t="s">
        <v>2373</v>
      </c>
      <c r="D973" s="142" t="s">
        <v>2374</v>
      </c>
      <c r="E973" s="141" t="s">
        <v>2696</v>
      </c>
      <c r="F973" s="142" t="s">
        <v>2402</v>
      </c>
      <c r="G973" s="141" t="s">
        <v>2762</v>
      </c>
      <c r="H973" s="142" t="s">
        <v>2778</v>
      </c>
      <c r="I973" s="141" t="s">
        <v>2779</v>
      </c>
      <c r="J973" s="142" t="s">
        <v>2785</v>
      </c>
      <c r="K973" s="142" t="s">
        <v>951</v>
      </c>
      <c r="L973" s="143">
        <f t="shared" si="30"/>
        <v>1</v>
      </c>
      <c r="M973" s="144" t="s">
        <v>2790</v>
      </c>
      <c r="N973" s="141" t="s">
        <v>2373</v>
      </c>
      <c r="O973" s="142" t="s">
        <v>2374</v>
      </c>
      <c r="P973" s="141" t="s">
        <v>2408</v>
      </c>
      <c r="Q973" s="142" t="s">
        <v>2402</v>
      </c>
      <c r="R973" s="141" t="s">
        <v>2782</v>
      </c>
      <c r="S973" s="142" t="s">
        <v>2778</v>
      </c>
      <c r="T973" s="141" t="s">
        <v>2787</v>
      </c>
      <c r="U973" s="142" t="s">
        <v>2785</v>
      </c>
      <c r="V973" s="142" t="s">
        <v>951</v>
      </c>
      <c r="W973" s="141">
        <f t="shared" si="31"/>
        <v>1</v>
      </c>
      <c r="X973" s="143"/>
      <c r="Y973" s="145"/>
      <c r="AA973"/>
    </row>
    <row r="974" spans="1:27" s="115" customFormat="1" ht="27" customHeight="1">
      <c r="A974" s="139">
        <v>930</v>
      </c>
      <c r="B974" s="140" t="s">
        <v>5437</v>
      </c>
      <c r="C974" s="141" t="s">
        <v>2373</v>
      </c>
      <c r="D974" s="142" t="s">
        <v>2374</v>
      </c>
      <c r="E974" s="141" t="s">
        <v>2696</v>
      </c>
      <c r="F974" s="142" t="s">
        <v>2402</v>
      </c>
      <c r="G974" s="141" t="s">
        <v>2762</v>
      </c>
      <c r="H974" s="142" t="s">
        <v>2778</v>
      </c>
      <c r="I974" s="141" t="s">
        <v>2779</v>
      </c>
      <c r="J974" s="142" t="s">
        <v>2785</v>
      </c>
      <c r="K974" s="142" t="s">
        <v>952</v>
      </c>
      <c r="L974" s="143">
        <f t="shared" si="30"/>
        <v>1</v>
      </c>
      <c r="M974" s="144" t="s">
        <v>2791</v>
      </c>
      <c r="N974" s="141" t="s">
        <v>2373</v>
      </c>
      <c r="O974" s="142" t="s">
        <v>2374</v>
      </c>
      <c r="P974" s="141" t="s">
        <v>2408</v>
      </c>
      <c r="Q974" s="142" t="s">
        <v>2402</v>
      </c>
      <c r="R974" s="141" t="s">
        <v>2782</v>
      </c>
      <c r="S974" s="142" t="s">
        <v>2778</v>
      </c>
      <c r="T974" s="141" t="s">
        <v>2787</v>
      </c>
      <c r="U974" s="142" t="s">
        <v>2785</v>
      </c>
      <c r="V974" s="142" t="s">
        <v>952</v>
      </c>
      <c r="W974" s="141">
        <f t="shared" si="31"/>
        <v>1</v>
      </c>
      <c r="X974" s="143"/>
      <c r="Y974" s="145"/>
      <c r="AA974"/>
    </row>
    <row r="975" spans="1:27" s="115" customFormat="1" ht="27" customHeight="1">
      <c r="A975" s="139">
        <v>931</v>
      </c>
      <c r="B975" s="140" t="s">
        <v>5438</v>
      </c>
      <c r="C975" s="141" t="s">
        <v>2373</v>
      </c>
      <c r="D975" s="142" t="s">
        <v>2374</v>
      </c>
      <c r="E975" s="141" t="s">
        <v>2696</v>
      </c>
      <c r="F975" s="142" t="s">
        <v>2402</v>
      </c>
      <c r="G975" s="141" t="s">
        <v>2762</v>
      </c>
      <c r="H975" s="142" t="s">
        <v>2778</v>
      </c>
      <c r="I975" s="141" t="s">
        <v>2779</v>
      </c>
      <c r="J975" s="142" t="s">
        <v>2785</v>
      </c>
      <c r="K975" s="142" t="s">
        <v>953</v>
      </c>
      <c r="L975" s="143">
        <f t="shared" si="30"/>
        <v>1</v>
      </c>
      <c r="M975" s="144" t="s">
        <v>2792</v>
      </c>
      <c r="N975" s="141" t="s">
        <v>2373</v>
      </c>
      <c r="O975" s="142" t="s">
        <v>2374</v>
      </c>
      <c r="P975" s="141" t="s">
        <v>2408</v>
      </c>
      <c r="Q975" s="142" t="s">
        <v>2402</v>
      </c>
      <c r="R975" s="141" t="s">
        <v>2782</v>
      </c>
      <c r="S975" s="142" t="s">
        <v>2778</v>
      </c>
      <c r="T975" s="141" t="s">
        <v>2787</v>
      </c>
      <c r="U975" s="142" t="s">
        <v>2785</v>
      </c>
      <c r="V975" s="142" t="s">
        <v>953</v>
      </c>
      <c r="W975" s="141">
        <f t="shared" si="31"/>
        <v>1</v>
      </c>
      <c r="X975" s="143"/>
      <c r="Y975" s="145"/>
      <c r="AA975"/>
    </row>
    <row r="976" spans="1:27" s="115" customFormat="1" ht="27" customHeight="1">
      <c r="A976" s="139">
        <v>932</v>
      </c>
      <c r="B976" s="140" t="s">
        <v>5439</v>
      </c>
      <c r="C976" s="141" t="s">
        <v>2373</v>
      </c>
      <c r="D976" s="142" t="s">
        <v>2374</v>
      </c>
      <c r="E976" s="141" t="s">
        <v>2696</v>
      </c>
      <c r="F976" s="142" t="s">
        <v>2402</v>
      </c>
      <c r="G976" s="141" t="s">
        <v>2762</v>
      </c>
      <c r="H976" s="142" t="s">
        <v>2778</v>
      </c>
      <c r="I976" s="141" t="s">
        <v>2779</v>
      </c>
      <c r="J976" s="142" t="s">
        <v>2785</v>
      </c>
      <c r="K976" s="142" t="s">
        <v>954</v>
      </c>
      <c r="L976" s="143">
        <f t="shared" si="30"/>
        <v>1</v>
      </c>
      <c r="M976" s="144" t="s">
        <v>2793</v>
      </c>
      <c r="N976" s="141" t="s">
        <v>2373</v>
      </c>
      <c r="O976" s="142" t="s">
        <v>2374</v>
      </c>
      <c r="P976" s="141" t="s">
        <v>2408</v>
      </c>
      <c r="Q976" s="142" t="s">
        <v>2402</v>
      </c>
      <c r="R976" s="141" t="s">
        <v>2782</v>
      </c>
      <c r="S976" s="142" t="s">
        <v>2778</v>
      </c>
      <c r="T976" s="141" t="s">
        <v>2787</v>
      </c>
      <c r="U976" s="142" t="s">
        <v>2785</v>
      </c>
      <c r="V976" s="142" t="s">
        <v>954</v>
      </c>
      <c r="W976" s="141">
        <f t="shared" si="31"/>
        <v>1</v>
      </c>
      <c r="X976" s="143"/>
      <c r="Y976" s="145"/>
      <c r="AA976"/>
    </row>
    <row r="977" spans="1:27" s="115" customFormat="1" ht="27" customHeight="1">
      <c r="A977" s="139">
        <v>933</v>
      </c>
      <c r="B977" s="140" t="s">
        <v>5440</v>
      </c>
      <c r="C977" s="141" t="s">
        <v>2373</v>
      </c>
      <c r="D977" s="142" t="s">
        <v>2374</v>
      </c>
      <c r="E977" s="141" t="s">
        <v>2696</v>
      </c>
      <c r="F977" s="142" t="s">
        <v>2402</v>
      </c>
      <c r="G977" s="141" t="s">
        <v>2762</v>
      </c>
      <c r="H977" s="142" t="s">
        <v>2778</v>
      </c>
      <c r="I977" s="141" t="s">
        <v>2779</v>
      </c>
      <c r="J977" s="142" t="s">
        <v>2785</v>
      </c>
      <c r="K977" s="142" t="s">
        <v>955</v>
      </c>
      <c r="L977" s="143">
        <f t="shared" si="30"/>
        <v>1</v>
      </c>
      <c r="M977" s="144" t="s">
        <v>2794</v>
      </c>
      <c r="N977" s="141" t="s">
        <v>2373</v>
      </c>
      <c r="O977" s="142" t="s">
        <v>2374</v>
      </c>
      <c r="P977" s="141" t="s">
        <v>2408</v>
      </c>
      <c r="Q977" s="142" t="s">
        <v>2402</v>
      </c>
      <c r="R977" s="141" t="s">
        <v>2782</v>
      </c>
      <c r="S977" s="142" t="s">
        <v>2778</v>
      </c>
      <c r="T977" s="141" t="s">
        <v>2787</v>
      </c>
      <c r="U977" s="142" t="s">
        <v>2785</v>
      </c>
      <c r="V977" s="142" t="s">
        <v>955</v>
      </c>
      <c r="W977" s="141">
        <f t="shared" si="31"/>
        <v>3</v>
      </c>
      <c r="X977" s="143">
        <v>1</v>
      </c>
      <c r="Y977" s="145"/>
      <c r="AA977"/>
    </row>
    <row r="978" spans="1:27" s="115" customFormat="1" ht="27" customHeight="1">
      <c r="A978" s="139">
        <v>934</v>
      </c>
      <c r="B978" s="140" t="s">
        <v>5441</v>
      </c>
      <c r="C978" s="141" t="s">
        <v>2373</v>
      </c>
      <c r="D978" s="142" t="s">
        <v>2374</v>
      </c>
      <c r="E978" s="141" t="s">
        <v>2696</v>
      </c>
      <c r="F978" s="142" t="s">
        <v>2402</v>
      </c>
      <c r="G978" s="141" t="s">
        <v>2762</v>
      </c>
      <c r="H978" s="142" t="s">
        <v>2778</v>
      </c>
      <c r="I978" s="141" t="s">
        <v>2779</v>
      </c>
      <c r="J978" s="142" t="s">
        <v>212</v>
      </c>
      <c r="K978" s="142" t="s">
        <v>212</v>
      </c>
      <c r="L978" s="143">
        <f t="shared" si="30"/>
        <v>1</v>
      </c>
      <c r="M978" s="144" t="s">
        <v>2795</v>
      </c>
      <c r="N978" s="141" t="s">
        <v>2373</v>
      </c>
      <c r="O978" s="142" t="s">
        <v>2374</v>
      </c>
      <c r="P978" s="141" t="s">
        <v>2408</v>
      </c>
      <c r="Q978" s="142" t="s">
        <v>2402</v>
      </c>
      <c r="R978" s="141" t="s">
        <v>2782</v>
      </c>
      <c r="S978" s="142" t="s">
        <v>2778</v>
      </c>
      <c r="T978" s="141" t="s">
        <v>2796</v>
      </c>
      <c r="U978" s="142" t="s">
        <v>212</v>
      </c>
      <c r="V978" s="142" t="s">
        <v>212</v>
      </c>
      <c r="W978" s="141">
        <f t="shared" si="31"/>
        <v>2</v>
      </c>
      <c r="X978" s="143"/>
      <c r="Y978" s="145" t="s">
        <v>2797</v>
      </c>
      <c r="AA978"/>
    </row>
    <row r="979" spans="1:27" s="115" customFormat="1" ht="27" customHeight="1">
      <c r="A979" s="139">
        <v>935</v>
      </c>
      <c r="B979" s="140" t="s">
        <v>5442</v>
      </c>
      <c r="C979" s="141" t="s">
        <v>2373</v>
      </c>
      <c r="D979" s="142" t="s">
        <v>2374</v>
      </c>
      <c r="E979" s="141" t="s">
        <v>2696</v>
      </c>
      <c r="F979" s="142" t="s">
        <v>2402</v>
      </c>
      <c r="G979" s="141" t="s">
        <v>2762</v>
      </c>
      <c r="H979" s="142" t="s">
        <v>2778</v>
      </c>
      <c r="I979" s="141" t="s">
        <v>2779</v>
      </c>
      <c r="J979" s="142" t="s">
        <v>212</v>
      </c>
      <c r="K979" s="142" t="s">
        <v>212</v>
      </c>
      <c r="L979" s="143">
        <f t="shared" si="30"/>
        <v>1</v>
      </c>
      <c r="M979" s="144" t="s">
        <v>2795</v>
      </c>
      <c r="N979" s="141" t="s">
        <v>2373</v>
      </c>
      <c r="O979" s="142" t="s">
        <v>2374</v>
      </c>
      <c r="P979" s="141" t="s">
        <v>2408</v>
      </c>
      <c r="Q979" s="142" t="s">
        <v>2402</v>
      </c>
      <c r="R979" s="141" t="s">
        <v>2782</v>
      </c>
      <c r="S979" s="142" t="s">
        <v>2778</v>
      </c>
      <c r="T979" s="141" t="s">
        <v>2796</v>
      </c>
      <c r="U979" s="142" t="s">
        <v>212</v>
      </c>
      <c r="V979" s="142" t="s">
        <v>212</v>
      </c>
      <c r="W979" s="141">
        <f t="shared" si="31"/>
        <v>2</v>
      </c>
      <c r="X979" s="143">
        <v>1</v>
      </c>
      <c r="Y979" s="145"/>
      <c r="AA979"/>
    </row>
    <row r="980" spans="1:27" s="115" customFormat="1" ht="27" customHeight="1">
      <c r="A980" s="139">
        <v>936</v>
      </c>
      <c r="B980" s="140" t="s">
        <v>5443</v>
      </c>
      <c r="C980" s="141" t="s">
        <v>2373</v>
      </c>
      <c r="D980" s="142" t="s">
        <v>2374</v>
      </c>
      <c r="E980" s="141" t="s">
        <v>2696</v>
      </c>
      <c r="F980" s="142" t="s">
        <v>2402</v>
      </c>
      <c r="G980" s="141" t="s">
        <v>2762</v>
      </c>
      <c r="H980" s="142" t="s">
        <v>2778</v>
      </c>
      <c r="I980" s="141" t="s">
        <v>2779</v>
      </c>
      <c r="J980" s="142" t="s">
        <v>2780</v>
      </c>
      <c r="K980" s="142" t="s">
        <v>956</v>
      </c>
      <c r="L980" s="143">
        <f t="shared" si="30"/>
        <v>1</v>
      </c>
      <c r="M980" s="144" t="s">
        <v>2798</v>
      </c>
      <c r="N980" s="141" t="s">
        <v>2373</v>
      </c>
      <c r="O980" s="142" t="s">
        <v>2374</v>
      </c>
      <c r="P980" s="141" t="s">
        <v>2408</v>
      </c>
      <c r="Q980" s="142" t="s">
        <v>2402</v>
      </c>
      <c r="R980" s="141" t="s">
        <v>2782</v>
      </c>
      <c r="S980" s="142" t="s">
        <v>2778</v>
      </c>
      <c r="T980" s="141" t="s">
        <v>2783</v>
      </c>
      <c r="U980" s="142" t="s">
        <v>2780</v>
      </c>
      <c r="V980" s="142" t="s">
        <v>956</v>
      </c>
      <c r="W980" s="141">
        <f t="shared" si="31"/>
        <v>3</v>
      </c>
      <c r="X980" s="143">
        <v>2</v>
      </c>
      <c r="Y980" s="145" t="s">
        <v>2534</v>
      </c>
      <c r="AA980"/>
    </row>
    <row r="981" spans="1:27" s="115" customFormat="1" ht="27" customHeight="1">
      <c r="A981" s="139">
        <v>937</v>
      </c>
      <c r="B981" s="140" t="s">
        <v>5444</v>
      </c>
      <c r="C981" s="141" t="s">
        <v>2373</v>
      </c>
      <c r="D981" s="142" t="s">
        <v>2374</v>
      </c>
      <c r="E981" s="141" t="s">
        <v>2696</v>
      </c>
      <c r="F981" s="142" t="s">
        <v>2402</v>
      </c>
      <c r="G981" s="141" t="s">
        <v>2762</v>
      </c>
      <c r="H981" s="142" t="s">
        <v>2778</v>
      </c>
      <c r="I981" s="141" t="s">
        <v>2779</v>
      </c>
      <c r="J981" s="142" t="s">
        <v>213</v>
      </c>
      <c r="K981" s="142" t="s">
        <v>213</v>
      </c>
      <c r="L981" s="143">
        <f t="shared" si="30"/>
        <v>1</v>
      </c>
      <c r="M981" s="144" t="s">
        <v>2799</v>
      </c>
      <c r="N981" s="141" t="s">
        <v>2373</v>
      </c>
      <c r="O981" s="142" t="s">
        <v>2374</v>
      </c>
      <c r="P981" s="141" t="s">
        <v>2408</v>
      </c>
      <c r="Q981" s="142" t="s">
        <v>2402</v>
      </c>
      <c r="R981" s="141" t="s">
        <v>2782</v>
      </c>
      <c r="S981" s="142" t="s">
        <v>2778</v>
      </c>
      <c r="T981" s="141" t="s">
        <v>2800</v>
      </c>
      <c r="U981" s="142" t="s">
        <v>213</v>
      </c>
      <c r="V981" s="142" t="s">
        <v>213</v>
      </c>
      <c r="W981" s="141">
        <f t="shared" si="31"/>
        <v>2</v>
      </c>
      <c r="X981" s="143">
        <v>1</v>
      </c>
      <c r="Y981" s="145"/>
      <c r="AA981"/>
    </row>
    <row r="982" spans="1:27" s="115" customFormat="1" ht="27" customHeight="1">
      <c r="A982" s="139">
        <v>938</v>
      </c>
      <c r="B982" s="140" t="s">
        <v>5445</v>
      </c>
      <c r="C982" s="141" t="s">
        <v>2373</v>
      </c>
      <c r="D982" s="142" t="s">
        <v>2374</v>
      </c>
      <c r="E982" s="141" t="s">
        <v>2696</v>
      </c>
      <c r="F982" s="142" t="s">
        <v>2402</v>
      </c>
      <c r="G982" s="141" t="s">
        <v>2762</v>
      </c>
      <c r="H982" s="142" t="s">
        <v>2778</v>
      </c>
      <c r="I982" s="141" t="s">
        <v>2779</v>
      </c>
      <c r="J982" s="142" t="s">
        <v>2780</v>
      </c>
      <c r="K982" s="142" t="s">
        <v>947</v>
      </c>
      <c r="L982" s="143">
        <f t="shared" si="30"/>
        <v>1</v>
      </c>
      <c r="M982" s="144" t="s">
        <v>2781</v>
      </c>
      <c r="N982" s="141" t="s">
        <v>2373</v>
      </c>
      <c r="O982" s="142" t="s">
        <v>2374</v>
      </c>
      <c r="P982" s="141" t="s">
        <v>2408</v>
      </c>
      <c r="Q982" s="142" t="s">
        <v>2402</v>
      </c>
      <c r="R982" s="141" t="s">
        <v>2782</v>
      </c>
      <c r="S982" s="142" t="s">
        <v>2778</v>
      </c>
      <c r="T982" s="141" t="s">
        <v>2783</v>
      </c>
      <c r="U982" s="142" t="s">
        <v>2780</v>
      </c>
      <c r="V982" s="142" t="s">
        <v>947</v>
      </c>
      <c r="W982" s="141">
        <f t="shared" si="31"/>
        <v>3</v>
      </c>
      <c r="X982" s="143"/>
      <c r="Y982" s="145" t="s">
        <v>2801</v>
      </c>
      <c r="AA982"/>
    </row>
    <row r="983" spans="1:27" s="115" customFormat="1" ht="27" customHeight="1">
      <c r="A983" s="139">
        <v>939</v>
      </c>
      <c r="B983" s="140" t="s">
        <v>5446</v>
      </c>
      <c r="C983" s="141" t="s">
        <v>2373</v>
      </c>
      <c r="D983" s="142" t="s">
        <v>2374</v>
      </c>
      <c r="E983" s="141" t="s">
        <v>2696</v>
      </c>
      <c r="F983" s="142" t="s">
        <v>2402</v>
      </c>
      <c r="G983" s="141" t="s">
        <v>2762</v>
      </c>
      <c r="H983" s="142" t="s">
        <v>2778</v>
      </c>
      <c r="I983" s="141" t="s">
        <v>2779</v>
      </c>
      <c r="J983" s="142" t="s">
        <v>2780</v>
      </c>
      <c r="K983" s="142" t="s">
        <v>956</v>
      </c>
      <c r="L983" s="143">
        <f t="shared" si="30"/>
        <v>1</v>
      </c>
      <c r="M983" s="144" t="s">
        <v>2798</v>
      </c>
      <c r="N983" s="141" t="s">
        <v>2373</v>
      </c>
      <c r="O983" s="142" t="s">
        <v>2374</v>
      </c>
      <c r="P983" s="141" t="s">
        <v>2408</v>
      </c>
      <c r="Q983" s="142" t="s">
        <v>2402</v>
      </c>
      <c r="R983" s="141" t="s">
        <v>2782</v>
      </c>
      <c r="S983" s="142" t="s">
        <v>2778</v>
      </c>
      <c r="T983" s="141" t="s">
        <v>2783</v>
      </c>
      <c r="U983" s="142" t="s">
        <v>2780</v>
      </c>
      <c r="V983" s="142" t="s">
        <v>956</v>
      </c>
      <c r="W983" s="141">
        <f t="shared" si="31"/>
        <v>3</v>
      </c>
      <c r="X983" s="143">
        <v>2</v>
      </c>
      <c r="Y983" s="145" t="s">
        <v>2599</v>
      </c>
      <c r="AA983"/>
    </row>
    <row r="984" spans="1:27" s="115" customFormat="1" ht="27" customHeight="1">
      <c r="A984" s="139">
        <v>940</v>
      </c>
      <c r="B984" s="140" t="s">
        <v>5447</v>
      </c>
      <c r="C984" s="141" t="s">
        <v>2373</v>
      </c>
      <c r="D984" s="142" t="s">
        <v>2374</v>
      </c>
      <c r="E984" s="141" t="s">
        <v>2696</v>
      </c>
      <c r="F984" s="142" t="s">
        <v>2402</v>
      </c>
      <c r="G984" s="141" t="s">
        <v>2762</v>
      </c>
      <c r="H984" s="142" t="s">
        <v>2742</v>
      </c>
      <c r="I984" s="141" t="s">
        <v>2802</v>
      </c>
      <c r="J984" s="142" t="s">
        <v>214</v>
      </c>
      <c r="K984" s="142" t="s">
        <v>214</v>
      </c>
      <c r="L984" s="143">
        <f t="shared" si="30"/>
        <v>1</v>
      </c>
      <c r="M984" s="144" t="s">
        <v>2803</v>
      </c>
      <c r="N984" s="141" t="s">
        <v>2373</v>
      </c>
      <c r="O984" s="142" t="s">
        <v>2374</v>
      </c>
      <c r="P984" s="141" t="s">
        <v>2408</v>
      </c>
      <c r="Q984" s="142" t="s">
        <v>2402</v>
      </c>
      <c r="R984" s="141" t="s">
        <v>2741</v>
      </c>
      <c r="S984" s="142" t="s">
        <v>2742</v>
      </c>
      <c r="T984" s="141" t="s">
        <v>2804</v>
      </c>
      <c r="U984" s="142" t="s">
        <v>214</v>
      </c>
      <c r="V984" s="142" t="s">
        <v>214</v>
      </c>
      <c r="W984" s="141">
        <f t="shared" si="31"/>
        <v>4</v>
      </c>
      <c r="X984" s="143"/>
      <c r="Y984" s="145" t="s">
        <v>2805</v>
      </c>
      <c r="AA984"/>
    </row>
    <row r="985" spans="1:27" s="115" customFormat="1" ht="27" customHeight="1">
      <c r="A985" s="139">
        <v>941</v>
      </c>
      <c r="B985" s="140" t="s">
        <v>5448</v>
      </c>
      <c r="C985" s="141" t="s">
        <v>2373</v>
      </c>
      <c r="D985" s="142" t="s">
        <v>2374</v>
      </c>
      <c r="E985" s="141" t="s">
        <v>2696</v>
      </c>
      <c r="F985" s="142" t="s">
        <v>2402</v>
      </c>
      <c r="G985" s="141" t="s">
        <v>2762</v>
      </c>
      <c r="H985" s="142" t="s">
        <v>2742</v>
      </c>
      <c r="I985" s="141" t="s">
        <v>2802</v>
      </c>
      <c r="J985" s="142" t="s">
        <v>214</v>
      </c>
      <c r="K985" s="142" t="s">
        <v>214</v>
      </c>
      <c r="L985" s="143">
        <f t="shared" si="30"/>
        <v>1</v>
      </c>
      <c r="M985" s="144" t="s">
        <v>2803</v>
      </c>
      <c r="N985" s="141" t="s">
        <v>2373</v>
      </c>
      <c r="O985" s="142" t="s">
        <v>2374</v>
      </c>
      <c r="P985" s="141" t="s">
        <v>2408</v>
      </c>
      <c r="Q985" s="142" t="s">
        <v>2402</v>
      </c>
      <c r="R985" s="141" t="s">
        <v>2741</v>
      </c>
      <c r="S985" s="142" t="s">
        <v>2742</v>
      </c>
      <c r="T985" s="141" t="s">
        <v>2804</v>
      </c>
      <c r="U985" s="142" t="s">
        <v>214</v>
      </c>
      <c r="V985" s="142" t="s">
        <v>214</v>
      </c>
      <c r="W985" s="141">
        <f t="shared" si="31"/>
        <v>4</v>
      </c>
      <c r="X985" s="143">
        <v>1</v>
      </c>
      <c r="Y985" s="145"/>
      <c r="AA985"/>
    </row>
    <row r="986" spans="1:27" s="115" customFormat="1" ht="27" customHeight="1">
      <c r="A986" s="139">
        <v>942</v>
      </c>
      <c r="B986" s="140" t="s">
        <v>5449</v>
      </c>
      <c r="C986" s="141" t="s">
        <v>2373</v>
      </c>
      <c r="D986" s="142" t="s">
        <v>2374</v>
      </c>
      <c r="E986" s="141" t="s">
        <v>2696</v>
      </c>
      <c r="F986" s="142" t="s">
        <v>2402</v>
      </c>
      <c r="G986" s="141" t="s">
        <v>2762</v>
      </c>
      <c r="H986" s="142" t="s">
        <v>2742</v>
      </c>
      <c r="I986" s="141" t="s">
        <v>2802</v>
      </c>
      <c r="J986" s="142" t="s">
        <v>214</v>
      </c>
      <c r="K986" s="142" t="s">
        <v>214</v>
      </c>
      <c r="L986" s="143">
        <f t="shared" si="30"/>
        <v>1</v>
      </c>
      <c r="M986" s="144" t="s">
        <v>2803</v>
      </c>
      <c r="N986" s="141" t="s">
        <v>2373</v>
      </c>
      <c r="O986" s="142" t="s">
        <v>2374</v>
      </c>
      <c r="P986" s="141" t="s">
        <v>2408</v>
      </c>
      <c r="Q986" s="142" t="s">
        <v>2402</v>
      </c>
      <c r="R986" s="141" t="s">
        <v>2741</v>
      </c>
      <c r="S986" s="142" t="s">
        <v>2742</v>
      </c>
      <c r="T986" s="141" t="s">
        <v>2804</v>
      </c>
      <c r="U986" s="142" t="s">
        <v>214</v>
      </c>
      <c r="V986" s="142" t="s">
        <v>214</v>
      </c>
      <c r="W986" s="141">
        <f t="shared" si="31"/>
        <v>4</v>
      </c>
      <c r="X986" s="143"/>
      <c r="Y986" s="145" t="s">
        <v>2806</v>
      </c>
      <c r="AA986"/>
    </row>
    <row r="987" spans="1:27" s="115" customFormat="1" ht="27" customHeight="1">
      <c r="A987" s="139">
        <v>943</v>
      </c>
      <c r="B987" s="140" t="s">
        <v>5450</v>
      </c>
      <c r="C987" s="141" t="s">
        <v>2373</v>
      </c>
      <c r="D987" s="142" t="s">
        <v>2374</v>
      </c>
      <c r="E987" s="141" t="s">
        <v>2696</v>
      </c>
      <c r="F987" s="142" t="s">
        <v>2402</v>
      </c>
      <c r="G987" s="141" t="s">
        <v>2762</v>
      </c>
      <c r="H987" s="142" t="s">
        <v>2807</v>
      </c>
      <c r="I987" s="141" t="s">
        <v>2802</v>
      </c>
      <c r="J987" s="142" t="s">
        <v>215</v>
      </c>
      <c r="K987" s="142" t="s">
        <v>215</v>
      </c>
      <c r="L987" s="143">
        <f t="shared" si="30"/>
        <v>1</v>
      </c>
      <c r="M987" s="144">
        <v>47320</v>
      </c>
      <c r="N987" s="141" t="s">
        <v>2373</v>
      </c>
      <c r="O987" s="142" t="s">
        <v>2374</v>
      </c>
      <c r="P987" s="141" t="s">
        <v>2408</v>
      </c>
      <c r="Q987" s="142" t="s">
        <v>2402</v>
      </c>
      <c r="R987" s="141" t="s">
        <v>2808</v>
      </c>
      <c r="S987" s="142" t="s">
        <v>2807</v>
      </c>
      <c r="T987" s="141" t="s">
        <v>2809</v>
      </c>
      <c r="U987" s="142" t="s">
        <v>215</v>
      </c>
      <c r="V987" s="142" t="s">
        <v>215</v>
      </c>
      <c r="W987" s="141">
        <f t="shared" si="31"/>
        <v>3</v>
      </c>
      <c r="X987" s="143">
        <v>1</v>
      </c>
      <c r="Y987" s="145"/>
      <c r="AA987"/>
    </row>
    <row r="988" spans="1:27" s="115" customFormat="1" ht="27" customHeight="1">
      <c r="A988" s="139">
        <v>944</v>
      </c>
      <c r="B988" s="140" t="s">
        <v>5451</v>
      </c>
      <c r="C988" s="141" t="s">
        <v>2373</v>
      </c>
      <c r="D988" s="142" t="s">
        <v>2374</v>
      </c>
      <c r="E988" s="141" t="s">
        <v>2696</v>
      </c>
      <c r="F988" s="142" t="s">
        <v>2402</v>
      </c>
      <c r="G988" s="141" t="s">
        <v>2762</v>
      </c>
      <c r="H988" s="142" t="s">
        <v>2807</v>
      </c>
      <c r="I988" s="141" t="s">
        <v>2802</v>
      </c>
      <c r="J988" s="142" t="s">
        <v>2810</v>
      </c>
      <c r="K988" s="142" t="s">
        <v>216</v>
      </c>
      <c r="L988" s="143">
        <f t="shared" si="30"/>
        <v>1</v>
      </c>
      <c r="M988" s="144" t="s">
        <v>2811</v>
      </c>
      <c r="N988" s="141" t="s">
        <v>2373</v>
      </c>
      <c r="O988" s="142" t="s">
        <v>2374</v>
      </c>
      <c r="P988" s="141" t="s">
        <v>2408</v>
      </c>
      <c r="Q988" s="142" t="s">
        <v>2402</v>
      </c>
      <c r="R988" s="141" t="s">
        <v>2808</v>
      </c>
      <c r="S988" s="142" t="s">
        <v>2807</v>
      </c>
      <c r="T988" s="141" t="s">
        <v>2812</v>
      </c>
      <c r="U988" s="142" t="s">
        <v>2810</v>
      </c>
      <c r="V988" s="142" t="s">
        <v>216</v>
      </c>
      <c r="W988" s="141">
        <f t="shared" si="31"/>
        <v>1</v>
      </c>
      <c r="X988" s="143"/>
      <c r="Y988" s="145"/>
      <c r="AA988"/>
    </row>
    <row r="989" spans="1:27" s="115" customFormat="1" ht="27" customHeight="1">
      <c r="A989" s="139">
        <v>945</v>
      </c>
      <c r="B989" s="140" t="s">
        <v>5452</v>
      </c>
      <c r="C989" s="141" t="s">
        <v>2373</v>
      </c>
      <c r="D989" s="142" t="s">
        <v>2374</v>
      </c>
      <c r="E989" s="141" t="s">
        <v>2696</v>
      </c>
      <c r="F989" s="142" t="s">
        <v>2402</v>
      </c>
      <c r="G989" s="141" t="s">
        <v>2762</v>
      </c>
      <c r="H989" s="142" t="s">
        <v>2807</v>
      </c>
      <c r="I989" s="141" t="s">
        <v>2802</v>
      </c>
      <c r="J989" s="142" t="s">
        <v>215</v>
      </c>
      <c r="K989" s="142" t="s">
        <v>215</v>
      </c>
      <c r="L989" s="143">
        <f t="shared" si="30"/>
        <v>1</v>
      </c>
      <c r="M989" s="144" t="s">
        <v>2813</v>
      </c>
      <c r="N989" s="141" t="s">
        <v>2373</v>
      </c>
      <c r="O989" s="142" t="s">
        <v>2374</v>
      </c>
      <c r="P989" s="141" t="s">
        <v>2408</v>
      </c>
      <c r="Q989" s="142" t="s">
        <v>2402</v>
      </c>
      <c r="R989" s="141" t="s">
        <v>2808</v>
      </c>
      <c r="S989" s="142" t="s">
        <v>2807</v>
      </c>
      <c r="T989" s="141" t="s">
        <v>2809</v>
      </c>
      <c r="U989" s="142" t="s">
        <v>215</v>
      </c>
      <c r="V989" s="142" t="s">
        <v>215</v>
      </c>
      <c r="W989" s="141">
        <f t="shared" si="31"/>
        <v>3</v>
      </c>
      <c r="X989" s="143"/>
      <c r="Y989" s="145" t="s">
        <v>2814</v>
      </c>
      <c r="AA989"/>
    </row>
    <row r="990" spans="1:27" s="115" customFormat="1" ht="27" customHeight="1">
      <c r="A990" s="139">
        <v>946</v>
      </c>
      <c r="B990" s="140" t="s">
        <v>5453</v>
      </c>
      <c r="C990" s="141" t="s">
        <v>2373</v>
      </c>
      <c r="D990" s="142" t="s">
        <v>2374</v>
      </c>
      <c r="E990" s="141" t="s">
        <v>2696</v>
      </c>
      <c r="F990" s="142" t="s">
        <v>2402</v>
      </c>
      <c r="G990" s="141" t="s">
        <v>2762</v>
      </c>
      <c r="H990" s="142" t="s">
        <v>2742</v>
      </c>
      <c r="I990" s="141" t="s">
        <v>2802</v>
      </c>
      <c r="J990" s="142" t="s">
        <v>214</v>
      </c>
      <c r="K990" s="142" t="s">
        <v>214</v>
      </c>
      <c r="L990" s="143">
        <f t="shared" si="30"/>
        <v>1</v>
      </c>
      <c r="M990" s="144" t="s">
        <v>2803</v>
      </c>
      <c r="N990" s="141" t="s">
        <v>2373</v>
      </c>
      <c r="O990" s="142" t="s">
        <v>2374</v>
      </c>
      <c r="P990" s="141" t="s">
        <v>2408</v>
      </c>
      <c r="Q990" s="142" t="s">
        <v>2402</v>
      </c>
      <c r="R990" s="141" t="s">
        <v>2741</v>
      </c>
      <c r="S990" s="142" t="s">
        <v>2742</v>
      </c>
      <c r="T990" s="141" t="s">
        <v>2804</v>
      </c>
      <c r="U990" s="142" t="s">
        <v>214</v>
      </c>
      <c r="V990" s="142" t="s">
        <v>214</v>
      </c>
      <c r="W990" s="141">
        <f t="shared" si="31"/>
        <v>4</v>
      </c>
      <c r="X990" s="143"/>
      <c r="Y990" s="145" t="s">
        <v>2815</v>
      </c>
      <c r="AA990"/>
    </row>
    <row r="991" spans="1:27" s="115" customFormat="1" ht="27" customHeight="1">
      <c r="A991" s="139">
        <v>947</v>
      </c>
      <c r="B991" s="140" t="s">
        <v>5454</v>
      </c>
      <c r="C991" s="141" t="s">
        <v>2373</v>
      </c>
      <c r="D991" s="142" t="s">
        <v>2374</v>
      </c>
      <c r="E991" s="141" t="s">
        <v>2696</v>
      </c>
      <c r="F991" s="142" t="s">
        <v>2402</v>
      </c>
      <c r="G991" s="141" t="s">
        <v>2762</v>
      </c>
      <c r="H991" s="142" t="s">
        <v>2742</v>
      </c>
      <c r="I991" s="141" t="s">
        <v>2802</v>
      </c>
      <c r="J991" s="142" t="s">
        <v>2739</v>
      </c>
      <c r="K991" s="142" t="s">
        <v>957</v>
      </c>
      <c r="L991" s="143">
        <f t="shared" si="30"/>
        <v>1</v>
      </c>
      <c r="M991" s="144" t="s">
        <v>2816</v>
      </c>
      <c r="N991" s="141" t="s">
        <v>2373</v>
      </c>
      <c r="O991" s="142" t="s">
        <v>2374</v>
      </c>
      <c r="P991" s="141" t="s">
        <v>2408</v>
      </c>
      <c r="Q991" s="142" t="s">
        <v>2402</v>
      </c>
      <c r="R991" s="141" t="s">
        <v>2741</v>
      </c>
      <c r="S991" s="142" t="s">
        <v>2742</v>
      </c>
      <c r="T991" s="141" t="s">
        <v>2743</v>
      </c>
      <c r="U991" s="142" t="s">
        <v>2739</v>
      </c>
      <c r="V991" s="142" t="s">
        <v>957</v>
      </c>
      <c r="W991" s="141">
        <f t="shared" si="31"/>
        <v>2</v>
      </c>
      <c r="X991" s="143">
        <v>1</v>
      </c>
      <c r="Y991" s="145"/>
      <c r="AA991"/>
    </row>
    <row r="992" spans="1:27" s="115" customFormat="1" ht="27" customHeight="1">
      <c r="A992" s="139">
        <v>948</v>
      </c>
      <c r="B992" s="140" t="s">
        <v>5455</v>
      </c>
      <c r="C992" s="141" t="s">
        <v>2373</v>
      </c>
      <c r="D992" s="142" t="s">
        <v>2374</v>
      </c>
      <c r="E992" s="141" t="s">
        <v>2696</v>
      </c>
      <c r="F992" s="142" t="s">
        <v>2402</v>
      </c>
      <c r="G992" s="141" t="s">
        <v>2762</v>
      </c>
      <c r="H992" s="142" t="s">
        <v>2742</v>
      </c>
      <c r="I992" s="141" t="s">
        <v>2802</v>
      </c>
      <c r="J992" s="142" t="s">
        <v>2739</v>
      </c>
      <c r="K992" s="142" t="s">
        <v>217</v>
      </c>
      <c r="L992" s="143">
        <f t="shared" si="30"/>
        <v>1</v>
      </c>
      <c r="M992" s="144" t="s">
        <v>2817</v>
      </c>
      <c r="N992" s="141" t="s">
        <v>2373</v>
      </c>
      <c r="O992" s="142" t="s">
        <v>2374</v>
      </c>
      <c r="P992" s="141" t="s">
        <v>2408</v>
      </c>
      <c r="Q992" s="142" t="s">
        <v>2402</v>
      </c>
      <c r="R992" s="141" t="s">
        <v>2741</v>
      </c>
      <c r="S992" s="142" t="s">
        <v>2742</v>
      </c>
      <c r="T992" s="141" t="s">
        <v>2743</v>
      </c>
      <c r="U992" s="142" t="s">
        <v>2739</v>
      </c>
      <c r="V992" s="142" t="s">
        <v>217</v>
      </c>
      <c r="W992" s="141">
        <f t="shared" si="31"/>
        <v>2</v>
      </c>
      <c r="X992" s="143"/>
      <c r="Y992" s="145" t="s">
        <v>2818</v>
      </c>
      <c r="AA992"/>
    </row>
    <row r="993" spans="1:27" s="115" customFormat="1" ht="27" customHeight="1">
      <c r="A993" s="139">
        <v>949</v>
      </c>
      <c r="B993" s="140" t="s">
        <v>5456</v>
      </c>
      <c r="C993" s="141" t="s">
        <v>2373</v>
      </c>
      <c r="D993" s="142" t="s">
        <v>2374</v>
      </c>
      <c r="E993" s="141" t="s">
        <v>2696</v>
      </c>
      <c r="F993" s="142" t="s">
        <v>2402</v>
      </c>
      <c r="G993" s="141" t="s">
        <v>2762</v>
      </c>
      <c r="H993" s="142" t="s">
        <v>2742</v>
      </c>
      <c r="I993" s="141" t="s">
        <v>2802</v>
      </c>
      <c r="J993" s="142" t="s">
        <v>2739</v>
      </c>
      <c r="K993" s="142" t="s">
        <v>217</v>
      </c>
      <c r="L993" s="143">
        <f t="shared" si="30"/>
        <v>1</v>
      </c>
      <c r="M993" s="144" t="s">
        <v>2817</v>
      </c>
      <c r="N993" s="141" t="s">
        <v>2373</v>
      </c>
      <c r="O993" s="142" t="s">
        <v>2374</v>
      </c>
      <c r="P993" s="141" t="s">
        <v>2408</v>
      </c>
      <c r="Q993" s="142" t="s">
        <v>2402</v>
      </c>
      <c r="R993" s="141" t="s">
        <v>2741</v>
      </c>
      <c r="S993" s="142" t="s">
        <v>2742</v>
      </c>
      <c r="T993" s="141" t="s">
        <v>2743</v>
      </c>
      <c r="U993" s="142" t="s">
        <v>2739</v>
      </c>
      <c r="V993" s="142" t="s">
        <v>217</v>
      </c>
      <c r="W993" s="141">
        <f t="shared" si="31"/>
        <v>2</v>
      </c>
      <c r="X993" s="143">
        <v>1</v>
      </c>
      <c r="Y993" s="145" t="s">
        <v>2819</v>
      </c>
      <c r="AA993"/>
    </row>
    <row r="994" spans="1:27" s="115" customFormat="1" ht="27" customHeight="1">
      <c r="A994" s="139">
        <v>950</v>
      </c>
      <c r="B994" s="140" t="s">
        <v>5457</v>
      </c>
      <c r="C994" s="141" t="s">
        <v>2373</v>
      </c>
      <c r="D994" s="142" t="s">
        <v>2374</v>
      </c>
      <c r="E994" s="141" t="s">
        <v>2696</v>
      </c>
      <c r="F994" s="142" t="s">
        <v>2402</v>
      </c>
      <c r="G994" s="141" t="s">
        <v>2762</v>
      </c>
      <c r="H994" s="142" t="s">
        <v>2742</v>
      </c>
      <c r="I994" s="141" t="s">
        <v>2802</v>
      </c>
      <c r="J994" s="142" t="s">
        <v>2739</v>
      </c>
      <c r="K994" s="142" t="s">
        <v>218</v>
      </c>
      <c r="L994" s="143">
        <f t="shared" si="30"/>
        <v>1</v>
      </c>
      <c r="M994" s="144" t="s">
        <v>2820</v>
      </c>
      <c r="N994" s="141" t="s">
        <v>2373</v>
      </c>
      <c r="O994" s="142" t="s">
        <v>2374</v>
      </c>
      <c r="P994" s="141" t="s">
        <v>2408</v>
      </c>
      <c r="Q994" s="142" t="s">
        <v>2402</v>
      </c>
      <c r="R994" s="141" t="s">
        <v>2741</v>
      </c>
      <c r="S994" s="142" t="s">
        <v>2742</v>
      </c>
      <c r="T994" s="141" t="s">
        <v>2743</v>
      </c>
      <c r="U994" s="142" t="s">
        <v>2739</v>
      </c>
      <c r="V994" s="142" t="s">
        <v>218</v>
      </c>
      <c r="W994" s="141">
        <f t="shared" si="31"/>
        <v>1</v>
      </c>
      <c r="X994" s="143"/>
      <c r="Y994" s="145"/>
      <c r="AA994"/>
    </row>
    <row r="995" spans="1:27" s="115" customFormat="1" ht="27" customHeight="1">
      <c r="A995" s="139">
        <v>951</v>
      </c>
      <c r="B995" s="140" t="s">
        <v>5458</v>
      </c>
      <c r="C995" s="141" t="s">
        <v>2373</v>
      </c>
      <c r="D995" s="142" t="s">
        <v>2374</v>
      </c>
      <c r="E995" s="141" t="s">
        <v>2696</v>
      </c>
      <c r="F995" s="142" t="s">
        <v>2402</v>
      </c>
      <c r="G995" s="141" t="s">
        <v>2762</v>
      </c>
      <c r="H995" s="142" t="s">
        <v>2778</v>
      </c>
      <c r="I995" s="141" t="s">
        <v>2802</v>
      </c>
      <c r="J995" s="142" t="s">
        <v>2780</v>
      </c>
      <c r="K995" s="142" t="s">
        <v>219</v>
      </c>
      <c r="L995" s="143">
        <f t="shared" si="30"/>
        <v>1</v>
      </c>
      <c r="M995" s="144">
        <v>47421</v>
      </c>
      <c r="N995" s="141" t="s">
        <v>2373</v>
      </c>
      <c r="O995" s="142" t="s">
        <v>2374</v>
      </c>
      <c r="P995" s="141" t="s">
        <v>2408</v>
      </c>
      <c r="Q995" s="142" t="s">
        <v>2402</v>
      </c>
      <c r="R995" s="141" t="s">
        <v>2782</v>
      </c>
      <c r="S995" s="142" t="s">
        <v>2778</v>
      </c>
      <c r="T995" s="141" t="s">
        <v>2783</v>
      </c>
      <c r="U995" s="142" t="s">
        <v>2780</v>
      </c>
      <c r="V995" s="142" t="s">
        <v>219</v>
      </c>
      <c r="W995" s="141">
        <f t="shared" si="31"/>
        <v>2</v>
      </c>
      <c r="X995" s="143"/>
      <c r="Y995" s="145" t="s">
        <v>2821</v>
      </c>
      <c r="AA995"/>
    </row>
    <row r="996" spans="1:27" s="115" customFormat="1" ht="27" customHeight="1">
      <c r="A996" s="139">
        <v>952</v>
      </c>
      <c r="B996" s="140" t="s">
        <v>5459</v>
      </c>
      <c r="C996" s="141" t="s">
        <v>2373</v>
      </c>
      <c r="D996" s="142" t="s">
        <v>2374</v>
      </c>
      <c r="E996" s="141" t="s">
        <v>2696</v>
      </c>
      <c r="F996" s="142" t="s">
        <v>2402</v>
      </c>
      <c r="G996" s="141" t="s">
        <v>2762</v>
      </c>
      <c r="H996" s="142" t="s">
        <v>2778</v>
      </c>
      <c r="I996" s="141" t="s">
        <v>2802</v>
      </c>
      <c r="J996" s="142" t="s">
        <v>2780</v>
      </c>
      <c r="K996" s="142" t="s">
        <v>219</v>
      </c>
      <c r="L996" s="143">
        <f t="shared" si="30"/>
        <v>1</v>
      </c>
      <c r="M996" s="144" t="s">
        <v>2822</v>
      </c>
      <c r="N996" s="141" t="s">
        <v>2373</v>
      </c>
      <c r="O996" s="142" t="s">
        <v>2374</v>
      </c>
      <c r="P996" s="141" t="s">
        <v>2408</v>
      </c>
      <c r="Q996" s="142" t="s">
        <v>2402</v>
      </c>
      <c r="R996" s="141" t="s">
        <v>2782</v>
      </c>
      <c r="S996" s="142" t="s">
        <v>2778</v>
      </c>
      <c r="T996" s="141" t="s">
        <v>2783</v>
      </c>
      <c r="U996" s="142" t="s">
        <v>2780</v>
      </c>
      <c r="V996" s="142" t="s">
        <v>219</v>
      </c>
      <c r="W996" s="141">
        <f t="shared" si="31"/>
        <v>2</v>
      </c>
      <c r="X996" s="143">
        <v>1</v>
      </c>
      <c r="Y996" s="145"/>
      <c r="AA996"/>
    </row>
    <row r="997" spans="1:27" s="115" customFormat="1" ht="27" customHeight="1">
      <c r="A997" s="139">
        <v>953</v>
      </c>
      <c r="B997" s="140" t="s">
        <v>5460</v>
      </c>
      <c r="C997" s="141" t="s">
        <v>2373</v>
      </c>
      <c r="D997" s="142" t="s">
        <v>2374</v>
      </c>
      <c r="E997" s="141" t="s">
        <v>2696</v>
      </c>
      <c r="F997" s="142" t="s">
        <v>2402</v>
      </c>
      <c r="G997" s="141" t="s">
        <v>2762</v>
      </c>
      <c r="H997" s="142" t="s">
        <v>2742</v>
      </c>
      <c r="I997" s="141" t="s">
        <v>2802</v>
      </c>
      <c r="J997" s="142" t="s">
        <v>2739</v>
      </c>
      <c r="K997" s="142" t="s">
        <v>942</v>
      </c>
      <c r="L997" s="143">
        <f t="shared" si="30"/>
        <v>1</v>
      </c>
      <c r="M997" s="144" t="s">
        <v>2740</v>
      </c>
      <c r="N997" s="141" t="s">
        <v>2373</v>
      </c>
      <c r="O997" s="142" t="s">
        <v>2374</v>
      </c>
      <c r="P997" s="141" t="s">
        <v>2408</v>
      </c>
      <c r="Q997" s="142" t="s">
        <v>2402</v>
      </c>
      <c r="R997" s="141" t="s">
        <v>2741</v>
      </c>
      <c r="S997" s="142" t="s">
        <v>2742</v>
      </c>
      <c r="T997" s="141" t="s">
        <v>2743</v>
      </c>
      <c r="U997" s="142" t="s">
        <v>2739</v>
      </c>
      <c r="V997" s="142" t="s">
        <v>942</v>
      </c>
      <c r="W997" s="141">
        <f t="shared" si="31"/>
        <v>5</v>
      </c>
      <c r="X997" s="143"/>
      <c r="Y997" s="145" t="s">
        <v>2823</v>
      </c>
      <c r="AA997"/>
    </row>
    <row r="998" spans="1:27" s="115" customFormat="1" ht="13.5" customHeight="1">
      <c r="A998" s="139">
        <v>954</v>
      </c>
      <c r="B998" s="140" t="s">
        <v>5461</v>
      </c>
      <c r="C998" s="141" t="s">
        <v>2373</v>
      </c>
      <c r="D998" s="142" t="s">
        <v>2374</v>
      </c>
      <c r="E998" s="141" t="s">
        <v>2696</v>
      </c>
      <c r="F998" s="142" t="s">
        <v>2402</v>
      </c>
      <c r="G998" s="141" t="s">
        <v>2762</v>
      </c>
      <c r="H998" s="142" t="s">
        <v>2807</v>
      </c>
      <c r="I998" s="141" t="s">
        <v>2802</v>
      </c>
      <c r="J998" s="142" t="s">
        <v>215</v>
      </c>
      <c r="K998" s="142" t="s">
        <v>215</v>
      </c>
      <c r="L998" s="143">
        <f t="shared" si="30"/>
        <v>1</v>
      </c>
      <c r="M998" s="144" t="s">
        <v>2813</v>
      </c>
      <c r="N998" s="141" t="s">
        <v>2373</v>
      </c>
      <c r="O998" s="142" t="s">
        <v>2374</v>
      </c>
      <c r="P998" s="141" t="s">
        <v>2408</v>
      </c>
      <c r="Q998" s="142" t="s">
        <v>2402</v>
      </c>
      <c r="R998" s="141" t="s">
        <v>2808</v>
      </c>
      <c r="S998" s="142" t="s">
        <v>2807</v>
      </c>
      <c r="T998" s="141" t="s">
        <v>2809</v>
      </c>
      <c r="U998" s="142" t="s">
        <v>215</v>
      </c>
      <c r="V998" s="142" t="s">
        <v>215</v>
      </c>
      <c r="W998" s="141">
        <f t="shared" si="31"/>
        <v>3</v>
      </c>
      <c r="X998" s="143"/>
      <c r="Y998" s="145" t="s">
        <v>2824</v>
      </c>
      <c r="AA998"/>
    </row>
    <row r="999" spans="1:27" s="115" customFormat="1" ht="13.5" customHeight="1">
      <c r="A999" s="139">
        <v>955</v>
      </c>
      <c r="B999" s="140" t="s">
        <v>5462</v>
      </c>
      <c r="C999" s="141" t="s">
        <v>2373</v>
      </c>
      <c r="D999" s="142" t="s">
        <v>2374</v>
      </c>
      <c r="E999" s="141" t="s">
        <v>2696</v>
      </c>
      <c r="F999" s="142" t="s">
        <v>2402</v>
      </c>
      <c r="G999" s="141" t="s">
        <v>2762</v>
      </c>
      <c r="H999" s="142" t="s">
        <v>2742</v>
      </c>
      <c r="I999" s="141" t="s">
        <v>2802</v>
      </c>
      <c r="J999" s="142" t="s">
        <v>2739</v>
      </c>
      <c r="K999" s="142" t="s">
        <v>942</v>
      </c>
      <c r="L999" s="143">
        <f t="shared" si="30"/>
        <v>1</v>
      </c>
      <c r="M999" s="144" t="s">
        <v>2740</v>
      </c>
      <c r="N999" s="141" t="s">
        <v>2373</v>
      </c>
      <c r="O999" s="142" t="s">
        <v>2374</v>
      </c>
      <c r="P999" s="141" t="s">
        <v>2408</v>
      </c>
      <c r="Q999" s="142" t="s">
        <v>2402</v>
      </c>
      <c r="R999" s="141" t="s">
        <v>2741</v>
      </c>
      <c r="S999" s="142" t="s">
        <v>2742</v>
      </c>
      <c r="T999" s="141" t="s">
        <v>2743</v>
      </c>
      <c r="U999" s="142" t="s">
        <v>2739</v>
      </c>
      <c r="V999" s="142" t="s">
        <v>942</v>
      </c>
      <c r="W999" s="141">
        <f t="shared" si="31"/>
        <v>5</v>
      </c>
      <c r="X999" s="143">
        <v>1</v>
      </c>
      <c r="Y999" s="145"/>
      <c r="AA999"/>
    </row>
    <row r="1000" spans="1:27" s="115" customFormat="1" ht="27" customHeight="1">
      <c r="A1000" s="139">
        <v>956</v>
      </c>
      <c r="B1000" s="140" t="s">
        <v>5463</v>
      </c>
      <c r="C1000" s="141" t="s">
        <v>2373</v>
      </c>
      <c r="D1000" s="142" t="s">
        <v>2374</v>
      </c>
      <c r="E1000" s="141" t="s">
        <v>2696</v>
      </c>
      <c r="F1000" s="142" t="s">
        <v>2402</v>
      </c>
      <c r="G1000" s="141" t="s">
        <v>2762</v>
      </c>
      <c r="H1000" s="142" t="s">
        <v>2742</v>
      </c>
      <c r="I1000" s="141" t="s">
        <v>2825</v>
      </c>
      <c r="J1000" s="142" t="s">
        <v>2826</v>
      </c>
      <c r="K1000" s="142" t="s">
        <v>220</v>
      </c>
      <c r="L1000" s="143">
        <f t="shared" si="30"/>
        <v>1</v>
      </c>
      <c r="M1000" s="144">
        <v>47511</v>
      </c>
      <c r="N1000" s="141" t="s">
        <v>2373</v>
      </c>
      <c r="O1000" s="142" t="s">
        <v>2374</v>
      </c>
      <c r="P1000" s="141" t="s">
        <v>2408</v>
      </c>
      <c r="Q1000" s="142" t="s">
        <v>2402</v>
      </c>
      <c r="R1000" s="141" t="s">
        <v>2741</v>
      </c>
      <c r="S1000" s="142" t="s">
        <v>2742</v>
      </c>
      <c r="T1000" s="141" t="s">
        <v>2827</v>
      </c>
      <c r="U1000" s="142" t="s">
        <v>2826</v>
      </c>
      <c r="V1000" s="142" t="s">
        <v>220</v>
      </c>
      <c r="W1000" s="141">
        <f t="shared" si="31"/>
        <v>2</v>
      </c>
      <c r="X1000" s="143">
        <v>2</v>
      </c>
      <c r="Y1000" s="145" t="s">
        <v>2828</v>
      </c>
      <c r="AA1000"/>
    </row>
    <row r="1001" spans="1:27" s="115" customFormat="1" ht="13.5" customHeight="1">
      <c r="A1001" s="139">
        <v>957</v>
      </c>
      <c r="B1001" s="140" t="s">
        <v>5464</v>
      </c>
      <c r="C1001" s="141" t="s">
        <v>2373</v>
      </c>
      <c r="D1001" s="142" t="s">
        <v>2374</v>
      </c>
      <c r="E1001" s="141" t="s">
        <v>2696</v>
      </c>
      <c r="F1001" s="142" t="s">
        <v>2402</v>
      </c>
      <c r="G1001" s="141" t="s">
        <v>2762</v>
      </c>
      <c r="H1001" s="142" t="s">
        <v>2742</v>
      </c>
      <c r="I1001" s="141" t="s">
        <v>2825</v>
      </c>
      <c r="J1001" s="142" t="s">
        <v>2826</v>
      </c>
      <c r="K1001" s="142" t="s">
        <v>220</v>
      </c>
      <c r="L1001" s="143">
        <f t="shared" si="30"/>
        <v>1</v>
      </c>
      <c r="M1001" s="144" t="s">
        <v>2829</v>
      </c>
      <c r="N1001" s="141" t="s">
        <v>2373</v>
      </c>
      <c r="O1001" s="142" t="s">
        <v>2374</v>
      </c>
      <c r="P1001" s="141" t="s">
        <v>2408</v>
      </c>
      <c r="Q1001" s="142" t="s">
        <v>2402</v>
      </c>
      <c r="R1001" s="141" t="s">
        <v>2741</v>
      </c>
      <c r="S1001" s="142" t="s">
        <v>2742</v>
      </c>
      <c r="T1001" s="141" t="s">
        <v>2827</v>
      </c>
      <c r="U1001" s="142" t="s">
        <v>2826</v>
      </c>
      <c r="V1001" s="142" t="s">
        <v>220</v>
      </c>
      <c r="W1001" s="141">
        <f t="shared" si="31"/>
        <v>2</v>
      </c>
      <c r="X1001" s="143">
        <v>2</v>
      </c>
      <c r="Y1001" s="145" t="s">
        <v>2830</v>
      </c>
      <c r="AA1001"/>
    </row>
    <row r="1002" spans="1:27" s="115" customFormat="1" ht="13.5" customHeight="1">
      <c r="A1002" s="139">
        <v>958</v>
      </c>
      <c r="B1002" s="140" t="s">
        <v>5465</v>
      </c>
      <c r="C1002" s="141" t="s">
        <v>2373</v>
      </c>
      <c r="D1002" s="142" t="s">
        <v>2374</v>
      </c>
      <c r="E1002" s="141" t="s">
        <v>2696</v>
      </c>
      <c r="F1002" s="142" t="s">
        <v>2402</v>
      </c>
      <c r="G1002" s="141" t="s">
        <v>2762</v>
      </c>
      <c r="H1002" s="142" t="s">
        <v>2742</v>
      </c>
      <c r="I1002" s="141" t="s">
        <v>2825</v>
      </c>
      <c r="J1002" s="142" t="s">
        <v>2826</v>
      </c>
      <c r="K1002" s="142" t="s">
        <v>958</v>
      </c>
      <c r="L1002" s="143">
        <f t="shared" si="30"/>
        <v>1</v>
      </c>
      <c r="M1002" s="144" t="s">
        <v>2831</v>
      </c>
      <c r="N1002" s="141" t="s">
        <v>2373</v>
      </c>
      <c r="O1002" s="142" t="s">
        <v>2374</v>
      </c>
      <c r="P1002" s="141" t="s">
        <v>2408</v>
      </c>
      <c r="Q1002" s="142" t="s">
        <v>2402</v>
      </c>
      <c r="R1002" s="141" t="s">
        <v>2741</v>
      </c>
      <c r="S1002" s="142" t="s">
        <v>2742</v>
      </c>
      <c r="T1002" s="141" t="s">
        <v>2827</v>
      </c>
      <c r="U1002" s="142" t="s">
        <v>2826</v>
      </c>
      <c r="V1002" s="142" t="s">
        <v>958</v>
      </c>
      <c r="W1002" s="141">
        <f t="shared" si="31"/>
        <v>2</v>
      </c>
      <c r="X1002" s="143"/>
      <c r="Y1002" s="145" t="s">
        <v>2832</v>
      </c>
      <c r="AA1002"/>
    </row>
    <row r="1003" spans="1:27" s="115" customFormat="1" ht="27" customHeight="1">
      <c r="A1003" s="139">
        <v>959</v>
      </c>
      <c r="B1003" s="140" t="s">
        <v>5466</v>
      </c>
      <c r="C1003" s="141" t="s">
        <v>2373</v>
      </c>
      <c r="D1003" s="142" t="s">
        <v>2374</v>
      </c>
      <c r="E1003" s="141" t="s">
        <v>2696</v>
      </c>
      <c r="F1003" s="142" t="s">
        <v>2402</v>
      </c>
      <c r="G1003" s="141" t="s">
        <v>2762</v>
      </c>
      <c r="H1003" s="142" t="s">
        <v>2742</v>
      </c>
      <c r="I1003" s="141" t="s">
        <v>2825</v>
      </c>
      <c r="J1003" s="142" t="s">
        <v>2826</v>
      </c>
      <c r="K1003" s="142" t="s">
        <v>959</v>
      </c>
      <c r="L1003" s="143">
        <f t="shared" si="30"/>
        <v>1</v>
      </c>
      <c r="M1003" s="144" t="s">
        <v>2833</v>
      </c>
      <c r="N1003" s="141" t="s">
        <v>2373</v>
      </c>
      <c r="O1003" s="142" t="s">
        <v>2374</v>
      </c>
      <c r="P1003" s="141" t="s">
        <v>2408</v>
      </c>
      <c r="Q1003" s="142" t="s">
        <v>2402</v>
      </c>
      <c r="R1003" s="141" t="s">
        <v>2741</v>
      </c>
      <c r="S1003" s="142" t="s">
        <v>2742</v>
      </c>
      <c r="T1003" s="141" t="s">
        <v>2827</v>
      </c>
      <c r="U1003" s="142" t="s">
        <v>2826</v>
      </c>
      <c r="V1003" s="142" t="s">
        <v>959</v>
      </c>
      <c r="W1003" s="141">
        <f t="shared" si="31"/>
        <v>5</v>
      </c>
      <c r="X1003" s="143"/>
      <c r="Y1003" s="145" t="s">
        <v>2834</v>
      </c>
      <c r="AA1003"/>
    </row>
    <row r="1004" spans="1:27" s="115" customFormat="1" ht="27" customHeight="1">
      <c r="A1004" s="139">
        <v>960</v>
      </c>
      <c r="B1004" s="140" t="s">
        <v>5467</v>
      </c>
      <c r="C1004" s="141" t="s">
        <v>2373</v>
      </c>
      <c r="D1004" s="142" t="s">
        <v>2374</v>
      </c>
      <c r="E1004" s="141" t="s">
        <v>2696</v>
      </c>
      <c r="F1004" s="142" t="s">
        <v>2402</v>
      </c>
      <c r="G1004" s="141" t="s">
        <v>2762</v>
      </c>
      <c r="H1004" s="142" t="s">
        <v>2742</v>
      </c>
      <c r="I1004" s="141" t="s">
        <v>2825</v>
      </c>
      <c r="J1004" s="142" t="s">
        <v>2739</v>
      </c>
      <c r="K1004" s="142" t="s">
        <v>957</v>
      </c>
      <c r="L1004" s="143">
        <f t="shared" si="30"/>
        <v>1</v>
      </c>
      <c r="M1004" s="144" t="s">
        <v>2816</v>
      </c>
      <c r="N1004" s="141" t="s">
        <v>2373</v>
      </c>
      <c r="O1004" s="142" t="s">
        <v>2374</v>
      </c>
      <c r="P1004" s="141" t="s">
        <v>2408</v>
      </c>
      <c r="Q1004" s="142" t="s">
        <v>2402</v>
      </c>
      <c r="R1004" s="141" t="s">
        <v>2741</v>
      </c>
      <c r="S1004" s="142" t="s">
        <v>2742</v>
      </c>
      <c r="T1004" s="141" t="s">
        <v>2743</v>
      </c>
      <c r="U1004" s="142" t="s">
        <v>2739</v>
      </c>
      <c r="V1004" s="142" t="s">
        <v>957</v>
      </c>
      <c r="W1004" s="141">
        <f t="shared" si="31"/>
        <v>2</v>
      </c>
      <c r="X1004" s="143"/>
      <c r="Y1004" s="145" t="s">
        <v>2835</v>
      </c>
      <c r="AA1004"/>
    </row>
    <row r="1005" spans="1:27" s="115" customFormat="1" ht="13.5" customHeight="1">
      <c r="A1005" s="139">
        <v>961</v>
      </c>
      <c r="B1005" s="140" t="s">
        <v>5468</v>
      </c>
      <c r="C1005" s="141" t="s">
        <v>2373</v>
      </c>
      <c r="D1005" s="142" t="s">
        <v>2374</v>
      </c>
      <c r="E1005" s="141" t="s">
        <v>2696</v>
      </c>
      <c r="F1005" s="142" t="s">
        <v>2402</v>
      </c>
      <c r="G1005" s="141" t="s">
        <v>2762</v>
      </c>
      <c r="H1005" s="142" t="s">
        <v>2742</v>
      </c>
      <c r="I1005" s="141" t="s">
        <v>2825</v>
      </c>
      <c r="J1005" s="142" t="s">
        <v>2826</v>
      </c>
      <c r="K1005" s="142" t="s">
        <v>959</v>
      </c>
      <c r="L1005" s="143">
        <f t="shared" si="30"/>
        <v>1</v>
      </c>
      <c r="M1005" s="144" t="s">
        <v>2833</v>
      </c>
      <c r="N1005" s="141" t="s">
        <v>2373</v>
      </c>
      <c r="O1005" s="142" t="s">
        <v>2374</v>
      </c>
      <c r="P1005" s="141" t="s">
        <v>2408</v>
      </c>
      <c r="Q1005" s="142" t="s">
        <v>2402</v>
      </c>
      <c r="R1005" s="141" t="s">
        <v>2741</v>
      </c>
      <c r="S1005" s="142" t="s">
        <v>2742</v>
      </c>
      <c r="T1005" s="141" t="s">
        <v>2827</v>
      </c>
      <c r="U1005" s="142" t="s">
        <v>2826</v>
      </c>
      <c r="V1005" s="142" t="s">
        <v>959</v>
      </c>
      <c r="W1005" s="141">
        <f t="shared" si="31"/>
        <v>5</v>
      </c>
      <c r="X1005" s="143"/>
      <c r="Y1005" s="145" t="s">
        <v>2637</v>
      </c>
      <c r="AA1005"/>
    </row>
    <row r="1006" spans="1:27" s="115" customFormat="1" ht="13.5" customHeight="1">
      <c r="A1006" s="139">
        <v>962</v>
      </c>
      <c r="B1006" s="140" t="s">
        <v>5469</v>
      </c>
      <c r="C1006" s="141" t="s">
        <v>2373</v>
      </c>
      <c r="D1006" s="142" t="s">
        <v>2374</v>
      </c>
      <c r="E1006" s="141" t="s">
        <v>2696</v>
      </c>
      <c r="F1006" s="142" t="s">
        <v>2402</v>
      </c>
      <c r="G1006" s="141" t="s">
        <v>2762</v>
      </c>
      <c r="H1006" s="142" t="s">
        <v>2742</v>
      </c>
      <c r="I1006" s="141" t="s">
        <v>2825</v>
      </c>
      <c r="J1006" s="142" t="s">
        <v>2826</v>
      </c>
      <c r="K1006" s="142" t="s">
        <v>959</v>
      </c>
      <c r="L1006" s="143">
        <f t="shared" si="30"/>
        <v>1</v>
      </c>
      <c r="M1006" s="144" t="s">
        <v>2833</v>
      </c>
      <c r="N1006" s="141" t="s">
        <v>2373</v>
      </c>
      <c r="O1006" s="142" t="s">
        <v>2374</v>
      </c>
      <c r="P1006" s="141" t="s">
        <v>2408</v>
      </c>
      <c r="Q1006" s="142" t="s">
        <v>2402</v>
      </c>
      <c r="R1006" s="141" t="s">
        <v>2741</v>
      </c>
      <c r="S1006" s="142" t="s">
        <v>2742</v>
      </c>
      <c r="T1006" s="141" t="s">
        <v>2827</v>
      </c>
      <c r="U1006" s="142" t="s">
        <v>2826</v>
      </c>
      <c r="V1006" s="142" t="s">
        <v>959</v>
      </c>
      <c r="W1006" s="141">
        <f t="shared" si="31"/>
        <v>5</v>
      </c>
      <c r="X1006" s="143"/>
      <c r="Y1006" s="145" t="s">
        <v>2836</v>
      </c>
      <c r="AA1006"/>
    </row>
    <row r="1007" spans="1:27" s="115" customFormat="1" ht="27" customHeight="1">
      <c r="A1007" s="139">
        <v>963</v>
      </c>
      <c r="B1007" s="140" t="s">
        <v>5470</v>
      </c>
      <c r="C1007" s="141" t="s">
        <v>2373</v>
      </c>
      <c r="D1007" s="142" t="s">
        <v>2374</v>
      </c>
      <c r="E1007" s="141" t="s">
        <v>2696</v>
      </c>
      <c r="F1007" s="142" t="s">
        <v>2402</v>
      </c>
      <c r="G1007" s="141" t="s">
        <v>2762</v>
      </c>
      <c r="H1007" s="142" t="s">
        <v>2742</v>
      </c>
      <c r="I1007" s="141" t="s">
        <v>2825</v>
      </c>
      <c r="J1007" s="142" t="s">
        <v>2826</v>
      </c>
      <c r="K1007" s="142" t="s">
        <v>959</v>
      </c>
      <c r="L1007" s="143">
        <f t="shared" si="30"/>
        <v>1</v>
      </c>
      <c r="M1007" s="144" t="s">
        <v>2833</v>
      </c>
      <c r="N1007" s="141" t="s">
        <v>2373</v>
      </c>
      <c r="O1007" s="142" t="s">
        <v>2374</v>
      </c>
      <c r="P1007" s="141" t="s">
        <v>2408</v>
      </c>
      <c r="Q1007" s="142" t="s">
        <v>2402</v>
      </c>
      <c r="R1007" s="141" t="s">
        <v>2741</v>
      </c>
      <c r="S1007" s="142" t="s">
        <v>2742</v>
      </c>
      <c r="T1007" s="141" t="s">
        <v>2827</v>
      </c>
      <c r="U1007" s="142" t="s">
        <v>2826</v>
      </c>
      <c r="V1007" s="142" t="s">
        <v>959</v>
      </c>
      <c r="W1007" s="141">
        <f t="shared" si="31"/>
        <v>5</v>
      </c>
      <c r="X1007" s="143"/>
      <c r="Y1007" s="145" t="s">
        <v>2837</v>
      </c>
      <c r="AA1007"/>
    </row>
    <row r="1008" spans="1:27" s="115" customFormat="1" ht="40.5" customHeight="1">
      <c r="A1008" s="139">
        <v>964</v>
      </c>
      <c r="B1008" s="140" t="s">
        <v>6065</v>
      </c>
      <c r="C1008" s="141" t="s">
        <v>2373</v>
      </c>
      <c r="D1008" s="142" t="s">
        <v>2374</v>
      </c>
      <c r="E1008" s="141" t="s">
        <v>2696</v>
      </c>
      <c r="F1008" s="142" t="s">
        <v>2402</v>
      </c>
      <c r="G1008" s="141" t="s">
        <v>2762</v>
      </c>
      <c r="H1008" s="142" t="s">
        <v>2742</v>
      </c>
      <c r="I1008" s="141" t="s">
        <v>2825</v>
      </c>
      <c r="J1008" s="142" t="s">
        <v>2826</v>
      </c>
      <c r="K1008" s="142" t="s">
        <v>959</v>
      </c>
      <c r="L1008" s="143">
        <f t="shared" si="30"/>
        <v>1</v>
      </c>
      <c r="M1008" s="144" t="s">
        <v>2833</v>
      </c>
      <c r="N1008" s="141" t="s">
        <v>2373</v>
      </c>
      <c r="O1008" s="142" t="s">
        <v>2374</v>
      </c>
      <c r="P1008" s="141" t="s">
        <v>2408</v>
      </c>
      <c r="Q1008" s="142" t="s">
        <v>2402</v>
      </c>
      <c r="R1008" s="141" t="s">
        <v>2741</v>
      </c>
      <c r="S1008" s="142" t="s">
        <v>2742</v>
      </c>
      <c r="T1008" s="141" t="s">
        <v>2827</v>
      </c>
      <c r="U1008" s="142" t="s">
        <v>2826</v>
      </c>
      <c r="V1008" s="142" t="s">
        <v>959</v>
      </c>
      <c r="W1008" s="141">
        <f t="shared" si="31"/>
        <v>5</v>
      </c>
      <c r="X1008" s="143">
        <v>1</v>
      </c>
      <c r="Y1008" s="145"/>
      <c r="AA1008"/>
    </row>
    <row r="1009" spans="1:27" s="115" customFormat="1" ht="27" customHeight="1">
      <c r="A1009" s="139">
        <v>965</v>
      </c>
      <c r="B1009" s="140" t="s">
        <v>5471</v>
      </c>
      <c r="C1009" s="141" t="s">
        <v>2373</v>
      </c>
      <c r="D1009" s="142" t="s">
        <v>2374</v>
      </c>
      <c r="E1009" s="141" t="s">
        <v>2696</v>
      </c>
      <c r="F1009" s="142" t="s">
        <v>2402</v>
      </c>
      <c r="G1009" s="141" t="s">
        <v>2762</v>
      </c>
      <c r="H1009" s="142" t="s">
        <v>2838</v>
      </c>
      <c r="I1009" s="141" t="s">
        <v>2839</v>
      </c>
      <c r="J1009" s="142" t="s">
        <v>2840</v>
      </c>
      <c r="K1009" s="142" t="s">
        <v>960</v>
      </c>
      <c r="L1009" s="143">
        <f t="shared" si="30"/>
        <v>1</v>
      </c>
      <c r="M1009" s="144" t="s">
        <v>2841</v>
      </c>
      <c r="N1009" s="141" t="s">
        <v>2373</v>
      </c>
      <c r="O1009" s="142" t="s">
        <v>2374</v>
      </c>
      <c r="P1009" s="141" t="s">
        <v>2408</v>
      </c>
      <c r="Q1009" s="142" t="s">
        <v>2402</v>
      </c>
      <c r="R1009" s="141" t="s">
        <v>2842</v>
      </c>
      <c r="S1009" s="142" t="s">
        <v>2838</v>
      </c>
      <c r="T1009" s="141" t="s">
        <v>2843</v>
      </c>
      <c r="U1009" s="142" t="s">
        <v>2840</v>
      </c>
      <c r="V1009" s="142" t="s">
        <v>960</v>
      </c>
      <c r="W1009" s="141">
        <f t="shared" si="31"/>
        <v>2</v>
      </c>
      <c r="X1009" s="143">
        <v>1</v>
      </c>
      <c r="Y1009" s="145"/>
      <c r="AA1009"/>
    </row>
    <row r="1010" spans="1:27" s="115" customFormat="1" ht="27" customHeight="1">
      <c r="A1010" s="139">
        <v>966</v>
      </c>
      <c r="B1010" s="140" t="s">
        <v>5472</v>
      </c>
      <c r="C1010" s="141" t="s">
        <v>2373</v>
      </c>
      <c r="D1010" s="142" t="s">
        <v>2374</v>
      </c>
      <c r="E1010" s="141" t="s">
        <v>2696</v>
      </c>
      <c r="F1010" s="142" t="s">
        <v>2402</v>
      </c>
      <c r="G1010" s="141" t="s">
        <v>2762</v>
      </c>
      <c r="H1010" s="142" t="s">
        <v>2838</v>
      </c>
      <c r="I1010" s="141" t="s">
        <v>2839</v>
      </c>
      <c r="J1010" s="142" t="s">
        <v>2840</v>
      </c>
      <c r="K1010" s="142" t="s">
        <v>961</v>
      </c>
      <c r="L1010" s="143">
        <f t="shared" si="30"/>
        <v>1</v>
      </c>
      <c r="M1010" s="144" t="s">
        <v>2844</v>
      </c>
      <c r="N1010" s="141" t="s">
        <v>2373</v>
      </c>
      <c r="O1010" s="142" t="s">
        <v>2374</v>
      </c>
      <c r="P1010" s="141" t="s">
        <v>2408</v>
      </c>
      <c r="Q1010" s="142" t="s">
        <v>2402</v>
      </c>
      <c r="R1010" s="141" t="s">
        <v>2842</v>
      </c>
      <c r="S1010" s="142" t="s">
        <v>2838</v>
      </c>
      <c r="T1010" s="141" t="s">
        <v>2843</v>
      </c>
      <c r="U1010" s="142" t="s">
        <v>2840</v>
      </c>
      <c r="V1010" s="142" t="s">
        <v>961</v>
      </c>
      <c r="W1010" s="141">
        <f t="shared" si="31"/>
        <v>2</v>
      </c>
      <c r="X1010" s="143">
        <v>1</v>
      </c>
      <c r="Y1010" s="145"/>
      <c r="AA1010"/>
    </row>
    <row r="1011" spans="1:27" s="115" customFormat="1" ht="27" customHeight="1">
      <c r="A1011" s="139">
        <v>967</v>
      </c>
      <c r="B1011" s="140" t="s">
        <v>5473</v>
      </c>
      <c r="C1011" s="141" t="s">
        <v>2373</v>
      </c>
      <c r="D1011" s="142" t="s">
        <v>2374</v>
      </c>
      <c r="E1011" s="141" t="s">
        <v>2696</v>
      </c>
      <c r="F1011" s="142" t="s">
        <v>2402</v>
      </c>
      <c r="G1011" s="141" t="s">
        <v>2762</v>
      </c>
      <c r="H1011" s="142" t="s">
        <v>2838</v>
      </c>
      <c r="I1011" s="141" t="s">
        <v>2839</v>
      </c>
      <c r="J1011" s="142" t="s">
        <v>2840</v>
      </c>
      <c r="K1011" s="142" t="s">
        <v>960</v>
      </c>
      <c r="L1011" s="143">
        <f t="shared" si="30"/>
        <v>1</v>
      </c>
      <c r="M1011" s="144" t="s">
        <v>2841</v>
      </c>
      <c r="N1011" s="141" t="s">
        <v>2373</v>
      </c>
      <c r="O1011" s="142" t="s">
        <v>2374</v>
      </c>
      <c r="P1011" s="141" t="s">
        <v>2408</v>
      </c>
      <c r="Q1011" s="142" t="s">
        <v>2402</v>
      </c>
      <c r="R1011" s="141" t="s">
        <v>2842</v>
      </c>
      <c r="S1011" s="142" t="s">
        <v>2838</v>
      </c>
      <c r="T1011" s="141" t="s">
        <v>2843</v>
      </c>
      <c r="U1011" s="142" t="s">
        <v>2840</v>
      </c>
      <c r="V1011" s="142" t="s">
        <v>960</v>
      </c>
      <c r="W1011" s="141">
        <f t="shared" si="31"/>
        <v>2</v>
      </c>
      <c r="X1011" s="143"/>
      <c r="Y1011" s="145" t="s">
        <v>2845</v>
      </c>
      <c r="AA1011"/>
    </row>
    <row r="1012" spans="1:27" s="115" customFormat="1" ht="27" customHeight="1">
      <c r="A1012" s="139">
        <v>968</v>
      </c>
      <c r="B1012" s="140" t="s">
        <v>5474</v>
      </c>
      <c r="C1012" s="141" t="s">
        <v>2373</v>
      </c>
      <c r="D1012" s="142" t="s">
        <v>2374</v>
      </c>
      <c r="E1012" s="141" t="s">
        <v>2696</v>
      </c>
      <c r="F1012" s="142" t="s">
        <v>2402</v>
      </c>
      <c r="G1012" s="141" t="s">
        <v>2762</v>
      </c>
      <c r="H1012" s="142" t="s">
        <v>2807</v>
      </c>
      <c r="I1012" s="141" t="s">
        <v>2839</v>
      </c>
      <c r="J1012" s="142" t="s">
        <v>2810</v>
      </c>
      <c r="K1012" s="142" t="s">
        <v>221</v>
      </c>
      <c r="L1012" s="143">
        <f t="shared" si="30"/>
        <v>1</v>
      </c>
      <c r="M1012" s="144" t="s">
        <v>2846</v>
      </c>
      <c r="N1012" s="141" t="s">
        <v>2373</v>
      </c>
      <c r="O1012" s="142" t="s">
        <v>2374</v>
      </c>
      <c r="P1012" s="141" t="s">
        <v>2408</v>
      </c>
      <c r="Q1012" s="142" t="s">
        <v>2402</v>
      </c>
      <c r="R1012" s="141" t="s">
        <v>2808</v>
      </c>
      <c r="S1012" s="142" t="s">
        <v>2807</v>
      </c>
      <c r="T1012" s="141" t="s">
        <v>2812</v>
      </c>
      <c r="U1012" s="142" t="s">
        <v>2810</v>
      </c>
      <c r="V1012" s="142" t="s">
        <v>221</v>
      </c>
      <c r="W1012" s="141">
        <f t="shared" si="31"/>
        <v>1</v>
      </c>
      <c r="X1012" s="143"/>
      <c r="Y1012" s="145"/>
      <c r="AA1012"/>
    </row>
    <row r="1013" spans="1:27" s="115" customFormat="1" ht="27" customHeight="1">
      <c r="A1013" s="139">
        <v>969</v>
      </c>
      <c r="B1013" s="140" t="s">
        <v>5475</v>
      </c>
      <c r="C1013" s="141" t="s">
        <v>2373</v>
      </c>
      <c r="D1013" s="142" t="s">
        <v>2374</v>
      </c>
      <c r="E1013" s="141" t="s">
        <v>2696</v>
      </c>
      <c r="F1013" s="142" t="s">
        <v>2402</v>
      </c>
      <c r="G1013" s="141" t="s">
        <v>2762</v>
      </c>
      <c r="H1013" s="142" t="s">
        <v>2751</v>
      </c>
      <c r="I1013" s="141" t="s">
        <v>2839</v>
      </c>
      <c r="J1013" s="142" t="s">
        <v>2847</v>
      </c>
      <c r="K1013" s="142" t="s">
        <v>222</v>
      </c>
      <c r="L1013" s="143">
        <f t="shared" si="30"/>
        <v>1</v>
      </c>
      <c r="M1013" s="144" t="s">
        <v>2848</v>
      </c>
      <c r="N1013" s="141" t="s">
        <v>2373</v>
      </c>
      <c r="O1013" s="142" t="s">
        <v>2374</v>
      </c>
      <c r="P1013" s="141" t="s">
        <v>2408</v>
      </c>
      <c r="Q1013" s="142" t="s">
        <v>2402</v>
      </c>
      <c r="R1013" s="141" t="s">
        <v>2750</v>
      </c>
      <c r="S1013" s="142" t="s">
        <v>2751</v>
      </c>
      <c r="T1013" s="141" t="s">
        <v>2849</v>
      </c>
      <c r="U1013" s="142" t="s">
        <v>2847</v>
      </c>
      <c r="V1013" s="142" t="s">
        <v>222</v>
      </c>
      <c r="W1013" s="141">
        <f t="shared" si="31"/>
        <v>1</v>
      </c>
      <c r="X1013" s="143"/>
      <c r="Y1013" s="145"/>
      <c r="AA1013"/>
    </row>
    <row r="1014" spans="1:27" s="115" customFormat="1" ht="27" customHeight="1">
      <c r="A1014" s="139">
        <v>970</v>
      </c>
      <c r="B1014" s="140" t="s">
        <v>5476</v>
      </c>
      <c r="C1014" s="141" t="s">
        <v>2373</v>
      </c>
      <c r="D1014" s="142" t="s">
        <v>2374</v>
      </c>
      <c r="E1014" s="141" t="s">
        <v>2696</v>
      </c>
      <c r="F1014" s="142" t="s">
        <v>2402</v>
      </c>
      <c r="G1014" s="141" t="s">
        <v>2762</v>
      </c>
      <c r="H1014" s="142" t="s">
        <v>2751</v>
      </c>
      <c r="I1014" s="141" t="s">
        <v>2839</v>
      </c>
      <c r="J1014" s="142" t="s">
        <v>2847</v>
      </c>
      <c r="K1014" s="142" t="s">
        <v>962</v>
      </c>
      <c r="L1014" s="143">
        <f t="shared" si="30"/>
        <v>1</v>
      </c>
      <c r="M1014" s="144" t="s">
        <v>2850</v>
      </c>
      <c r="N1014" s="141" t="s">
        <v>2373</v>
      </c>
      <c r="O1014" s="142" t="s">
        <v>2374</v>
      </c>
      <c r="P1014" s="141" t="s">
        <v>2408</v>
      </c>
      <c r="Q1014" s="142" t="s">
        <v>2402</v>
      </c>
      <c r="R1014" s="141" t="s">
        <v>2750</v>
      </c>
      <c r="S1014" s="142" t="s">
        <v>2751</v>
      </c>
      <c r="T1014" s="141" t="s">
        <v>2849</v>
      </c>
      <c r="U1014" s="142" t="s">
        <v>2847</v>
      </c>
      <c r="V1014" s="142" t="s">
        <v>962</v>
      </c>
      <c r="W1014" s="141">
        <f t="shared" si="31"/>
        <v>1</v>
      </c>
      <c r="X1014" s="143"/>
      <c r="Y1014" s="145"/>
      <c r="AA1014"/>
    </row>
    <row r="1015" spans="1:27" s="115" customFormat="1" ht="27" customHeight="1">
      <c r="A1015" s="139">
        <v>971</v>
      </c>
      <c r="B1015" s="140" t="s">
        <v>5477</v>
      </c>
      <c r="C1015" s="141" t="s">
        <v>2373</v>
      </c>
      <c r="D1015" s="142" t="s">
        <v>2374</v>
      </c>
      <c r="E1015" s="141" t="s">
        <v>2696</v>
      </c>
      <c r="F1015" s="142" t="s">
        <v>2402</v>
      </c>
      <c r="G1015" s="141" t="s">
        <v>2762</v>
      </c>
      <c r="H1015" s="142" t="s">
        <v>2751</v>
      </c>
      <c r="I1015" s="141" t="s">
        <v>2839</v>
      </c>
      <c r="J1015" s="142" t="s">
        <v>2847</v>
      </c>
      <c r="K1015" s="142" t="s">
        <v>223</v>
      </c>
      <c r="L1015" s="143">
        <f t="shared" si="30"/>
        <v>1</v>
      </c>
      <c r="M1015" s="144" t="s">
        <v>2851</v>
      </c>
      <c r="N1015" s="141" t="s">
        <v>2373</v>
      </c>
      <c r="O1015" s="142" t="s">
        <v>2374</v>
      </c>
      <c r="P1015" s="141" t="s">
        <v>2408</v>
      </c>
      <c r="Q1015" s="142" t="s">
        <v>2402</v>
      </c>
      <c r="R1015" s="141" t="s">
        <v>2750</v>
      </c>
      <c r="S1015" s="142" t="s">
        <v>2751</v>
      </c>
      <c r="T1015" s="141" t="s">
        <v>2849</v>
      </c>
      <c r="U1015" s="142" t="s">
        <v>2847</v>
      </c>
      <c r="V1015" s="142" t="s">
        <v>223</v>
      </c>
      <c r="W1015" s="141">
        <f t="shared" si="31"/>
        <v>1</v>
      </c>
      <c r="X1015" s="143"/>
      <c r="Y1015" s="145"/>
      <c r="AA1015"/>
    </row>
    <row r="1016" spans="1:27" s="115" customFormat="1" ht="27" customHeight="1">
      <c r="A1016" s="139">
        <v>972</v>
      </c>
      <c r="B1016" s="140" t="s">
        <v>5478</v>
      </c>
      <c r="C1016" s="141" t="s">
        <v>2373</v>
      </c>
      <c r="D1016" s="142" t="s">
        <v>2374</v>
      </c>
      <c r="E1016" s="141" t="s">
        <v>2696</v>
      </c>
      <c r="F1016" s="142" t="s">
        <v>2402</v>
      </c>
      <c r="G1016" s="141" t="s">
        <v>2762</v>
      </c>
      <c r="H1016" s="142" t="s">
        <v>2751</v>
      </c>
      <c r="I1016" s="141" t="s">
        <v>2839</v>
      </c>
      <c r="J1016" s="142" t="s">
        <v>2847</v>
      </c>
      <c r="K1016" s="142" t="s">
        <v>963</v>
      </c>
      <c r="L1016" s="143">
        <f t="shared" si="30"/>
        <v>1</v>
      </c>
      <c r="M1016" s="144" t="s">
        <v>2852</v>
      </c>
      <c r="N1016" s="141" t="s">
        <v>2373</v>
      </c>
      <c r="O1016" s="142" t="s">
        <v>2374</v>
      </c>
      <c r="P1016" s="141" t="s">
        <v>2408</v>
      </c>
      <c r="Q1016" s="142" t="s">
        <v>2402</v>
      </c>
      <c r="R1016" s="141" t="s">
        <v>2750</v>
      </c>
      <c r="S1016" s="142" t="s">
        <v>2751</v>
      </c>
      <c r="T1016" s="141" t="s">
        <v>2849</v>
      </c>
      <c r="U1016" s="142" t="s">
        <v>2847</v>
      </c>
      <c r="V1016" s="142" t="s">
        <v>963</v>
      </c>
      <c r="W1016" s="141">
        <f t="shared" si="31"/>
        <v>1</v>
      </c>
      <c r="X1016" s="143"/>
      <c r="Y1016" s="145"/>
      <c r="AA1016"/>
    </row>
    <row r="1017" spans="1:27" s="115" customFormat="1" ht="27" customHeight="1">
      <c r="A1017" s="139">
        <v>973</v>
      </c>
      <c r="B1017" s="140" t="s">
        <v>5479</v>
      </c>
      <c r="C1017" s="141" t="s">
        <v>2373</v>
      </c>
      <c r="D1017" s="142" t="s">
        <v>2374</v>
      </c>
      <c r="E1017" s="141" t="s">
        <v>2696</v>
      </c>
      <c r="F1017" s="142" t="s">
        <v>2402</v>
      </c>
      <c r="G1017" s="141" t="s">
        <v>2762</v>
      </c>
      <c r="H1017" s="142" t="s">
        <v>2404</v>
      </c>
      <c r="I1017" s="141" t="s">
        <v>2853</v>
      </c>
      <c r="J1017" s="142" t="s">
        <v>2854</v>
      </c>
      <c r="K1017" s="142" t="s">
        <v>964</v>
      </c>
      <c r="L1017" s="143">
        <f t="shared" si="30"/>
        <v>1</v>
      </c>
      <c r="M1017" s="144" t="s">
        <v>2855</v>
      </c>
      <c r="N1017" s="141" t="s">
        <v>2373</v>
      </c>
      <c r="O1017" s="142" t="s">
        <v>2374</v>
      </c>
      <c r="P1017" s="141" t="s">
        <v>2408</v>
      </c>
      <c r="Q1017" s="142" t="s">
        <v>2402</v>
      </c>
      <c r="R1017" s="141" t="s">
        <v>2409</v>
      </c>
      <c r="S1017" s="142" t="s">
        <v>2404</v>
      </c>
      <c r="T1017" s="141" t="s">
        <v>2856</v>
      </c>
      <c r="U1017" s="142" t="s">
        <v>2854</v>
      </c>
      <c r="V1017" s="142" t="s">
        <v>964</v>
      </c>
      <c r="W1017" s="141">
        <f t="shared" si="31"/>
        <v>3</v>
      </c>
      <c r="X1017" s="143"/>
      <c r="Y1017" s="145" t="s">
        <v>2616</v>
      </c>
      <c r="AA1017"/>
    </row>
    <row r="1018" spans="1:27" s="115" customFormat="1" ht="27" customHeight="1">
      <c r="A1018" s="139">
        <v>974</v>
      </c>
      <c r="B1018" s="140" t="s">
        <v>5480</v>
      </c>
      <c r="C1018" s="141" t="s">
        <v>2373</v>
      </c>
      <c r="D1018" s="142" t="s">
        <v>2374</v>
      </c>
      <c r="E1018" s="141" t="s">
        <v>2696</v>
      </c>
      <c r="F1018" s="142" t="s">
        <v>2402</v>
      </c>
      <c r="G1018" s="141" t="s">
        <v>2762</v>
      </c>
      <c r="H1018" s="142" t="s">
        <v>2404</v>
      </c>
      <c r="I1018" s="141" t="s">
        <v>2853</v>
      </c>
      <c r="J1018" s="142" t="s">
        <v>2854</v>
      </c>
      <c r="K1018" s="142" t="s">
        <v>964</v>
      </c>
      <c r="L1018" s="143">
        <f t="shared" si="30"/>
        <v>1</v>
      </c>
      <c r="M1018" s="144" t="s">
        <v>2855</v>
      </c>
      <c r="N1018" s="141" t="s">
        <v>2373</v>
      </c>
      <c r="O1018" s="142" t="s">
        <v>2374</v>
      </c>
      <c r="P1018" s="141" t="s">
        <v>2408</v>
      </c>
      <c r="Q1018" s="142" t="s">
        <v>2402</v>
      </c>
      <c r="R1018" s="141" t="s">
        <v>2409</v>
      </c>
      <c r="S1018" s="142" t="s">
        <v>2404</v>
      </c>
      <c r="T1018" s="141" t="s">
        <v>2856</v>
      </c>
      <c r="U1018" s="142" t="s">
        <v>2854</v>
      </c>
      <c r="V1018" s="142" t="s">
        <v>964</v>
      </c>
      <c r="W1018" s="141">
        <f t="shared" si="31"/>
        <v>3</v>
      </c>
      <c r="X1018" s="143"/>
      <c r="Y1018" s="145" t="s">
        <v>2857</v>
      </c>
      <c r="AA1018"/>
    </row>
    <row r="1019" spans="1:27" s="115" customFormat="1" ht="27" customHeight="1">
      <c r="A1019" s="139">
        <v>975</v>
      </c>
      <c r="B1019" s="140" t="s">
        <v>5481</v>
      </c>
      <c r="C1019" s="141" t="s">
        <v>2373</v>
      </c>
      <c r="D1019" s="142" t="s">
        <v>2374</v>
      </c>
      <c r="E1019" s="141" t="s">
        <v>2696</v>
      </c>
      <c r="F1019" s="142" t="s">
        <v>2402</v>
      </c>
      <c r="G1019" s="141" t="s">
        <v>2762</v>
      </c>
      <c r="H1019" s="142" t="s">
        <v>2404</v>
      </c>
      <c r="I1019" s="141" t="s">
        <v>2853</v>
      </c>
      <c r="J1019" s="142" t="s">
        <v>2854</v>
      </c>
      <c r="K1019" s="142" t="s">
        <v>964</v>
      </c>
      <c r="L1019" s="143">
        <f t="shared" si="30"/>
        <v>1</v>
      </c>
      <c r="M1019" s="144" t="s">
        <v>2855</v>
      </c>
      <c r="N1019" s="141" t="s">
        <v>2373</v>
      </c>
      <c r="O1019" s="142" t="s">
        <v>2374</v>
      </c>
      <c r="P1019" s="141" t="s">
        <v>2408</v>
      </c>
      <c r="Q1019" s="142" t="s">
        <v>2402</v>
      </c>
      <c r="R1019" s="141" t="s">
        <v>2409</v>
      </c>
      <c r="S1019" s="142" t="s">
        <v>2404</v>
      </c>
      <c r="T1019" s="141" t="s">
        <v>2856</v>
      </c>
      <c r="U1019" s="142" t="s">
        <v>2854</v>
      </c>
      <c r="V1019" s="142" t="s">
        <v>964</v>
      </c>
      <c r="W1019" s="141">
        <f t="shared" si="31"/>
        <v>3</v>
      </c>
      <c r="X1019" s="143">
        <v>1</v>
      </c>
      <c r="Y1019" s="145"/>
      <c r="AA1019"/>
    </row>
    <row r="1020" spans="1:27" s="115" customFormat="1" ht="27" customHeight="1">
      <c r="A1020" s="139">
        <v>976</v>
      </c>
      <c r="B1020" s="140" t="s">
        <v>5482</v>
      </c>
      <c r="C1020" s="141" t="s">
        <v>2373</v>
      </c>
      <c r="D1020" s="142" t="s">
        <v>2374</v>
      </c>
      <c r="E1020" s="141" t="s">
        <v>2696</v>
      </c>
      <c r="F1020" s="142" t="s">
        <v>2402</v>
      </c>
      <c r="G1020" s="141" t="s">
        <v>2762</v>
      </c>
      <c r="H1020" s="142" t="s">
        <v>2404</v>
      </c>
      <c r="I1020" s="141" t="s">
        <v>2853</v>
      </c>
      <c r="J1020" s="142" t="s">
        <v>2854</v>
      </c>
      <c r="K1020" s="142" t="s">
        <v>965</v>
      </c>
      <c r="L1020" s="143">
        <f t="shared" si="30"/>
        <v>1</v>
      </c>
      <c r="M1020" s="144" t="s">
        <v>2858</v>
      </c>
      <c r="N1020" s="141" t="s">
        <v>2373</v>
      </c>
      <c r="O1020" s="142" t="s">
        <v>2374</v>
      </c>
      <c r="P1020" s="141" t="s">
        <v>2408</v>
      </c>
      <c r="Q1020" s="142" t="s">
        <v>2402</v>
      </c>
      <c r="R1020" s="141" t="s">
        <v>2409</v>
      </c>
      <c r="S1020" s="142" t="s">
        <v>2404</v>
      </c>
      <c r="T1020" s="141" t="s">
        <v>2856</v>
      </c>
      <c r="U1020" s="142" t="s">
        <v>2854</v>
      </c>
      <c r="V1020" s="142" t="s">
        <v>965</v>
      </c>
      <c r="W1020" s="141">
        <f t="shared" si="31"/>
        <v>1</v>
      </c>
      <c r="X1020" s="143"/>
      <c r="Y1020" s="145"/>
      <c r="AA1020"/>
    </row>
    <row r="1021" spans="1:27" s="115" customFormat="1" ht="13.5" customHeight="1">
      <c r="A1021" s="139">
        <v>977</v>
      </c>
      <c r="B1021" s="140" t="s">
        <v>5483</v>
      </c>
      <c r="C1021" s="141" t="s">
        <v>2373</v>
      </c>
      <c r="D1021" s="142" t="s">
        <v>2374</v>
      </c>
      <c r="E1021" s="141" t="s">
        <v>2696</v>
      </c>
      <c r="F1021" s="142" t="s">
        <v>2402</v>
      </c>
      <c r="G1021" s="141" t="s">
        <v>2762</v>
      </c>
      <c r="H1021" s="142" t="s">
        <v>2404</v>
      </c>
      <c r="I1021" s="141" t="s">
        <v>2853</v>
      </c>
      <c r="J1021" s="142" t="s">
        <v>2854</v>
      </c>
      <c r="K1021" s="142" t="s">
        <v>966</v>
      </c>
      <c r="L1021" s="143">
        <f t="shared" si="30"/>
        <v>1</v>
      </c>
      <c r="M1021" s="144" t="s">
        <v>2859</v>
      </c>
      <c r="N1021" s="141" t="s">
        <v>2373</v>
      </c>
      <c r="O1021" s="142" t="s">
        <v>2374</v>
      </c>
      <c r="P1021" s="141" t="s">
        <v>2408</v>
      </c>
      <c r="Q1021" s="142" t="s">
        <v>2402</v>
      </c>
      <c r="R1021" s="141" t="s">
        <v>2409</v>
      </c>
      <c r="S1021" s="142" t="s">
        <v>2404</v>
      </c>
      <c r="T1021" s="141" t="s">
        <v>2856</v>
      </c>
      <c r="U1021" s="142" t="s">
        <v>2854</v>
      </c>
      <c r="V1021" s="142" t="s">
        <v>966</v>
      </c>
      <c r="W1021" s="141">
        <f t="shared" si="31"/>
        <v>1</v>
      </c>
      <c r="X1021" s="143"/>
      <c r="Y1021" s="145"/>
      <c r="AA1021"/>
    </row>
    <row r="1022" spans="1:27" s="115" customFormat="1" ht="13.5" customHeight="1">
      <c r="A1022" s="139">
        <v>978</v>
      </c>
      <c r="B1022" s="140" t="s">
        <v>5484</v>
      </c>
      <c r="C1022" s="141" t="s">
        <v>2373</v>
      </c>
      <c r="D1022" s="142" t="s">
        <v>2374</v>
      </c>
      <c r="E1022" s="141" t="s">
        <v>2696</v>
      </c>
      <c r="F1022" s="142" t="s">
        <v>2402</v>
      </c>
      <c r="G1022" s="141" t="s">
        <v>2762</v>
      </c>
      <c r="H1022" s="142" t="s">
        <v>2742</v>
      </c>
      <c r="I1022" s="141" t="s">
        <v>2860</v>
      </c>
      <c r="J1022" s="142" t="s">
        <v>2826</v>
      </c>
      <c r="K1022" s="142" t="s">
        <v>967</v>
      </c>
      <c r="L1022" s="143">
        <f t="shared" si="30"/>
        <v>1</v>
      </c>
      <c r="M1022" s="144" t="s">
        <v>2861</v>
      </c>
      <c r="N1022" s="141" t="s">
        <v>2373</v>
      </c>
      <c r="O1022" s="142" t="s">
        <v>2374</v>
      </c>
      <c r="P1022" s="141" t="s">
        <v>2408</v>
      </c>
      <c r="Q1022" s="142" t="s">
        <v>2402</v>
      </c>
      <c r="R1022" s="141" t="s">
        <v>2741</v>
      </c>
      <c r="S1022" s="142" t="s">
        <v>2742</v>
      </c>
      <c r="T1022" s="141" t="s">
        <v>2827</v>
      </c>
      <c r="U1022" s="142" t="s">
        <v>2826</v>
      </c>
      <c r="V1022" s="142" t="s">
        <v>967</v>
      </c>
      <c r="W1022" s="141">
        <f t="shared" si="31"/>
        <v>1</v>
      </c>
      <c r="X1022" s="143"/>
      <c r="Y1022" s="145"/>
      <c r="AA1022"/>
    </row>
    <row r="1023" spans="1:27" s="115" customFormat="1" ht="13.5" customHeight="1">
      <c r="A1023" s="139">
        <v>979</v>
      </c>
      <c r="B1023" s="140" t="s">
        <v>5485</v>
      </c>
      <c r="C1023" s="141" t="s">
        <v>2373</v>
      </c>
      <c r="D1023" s="142" t="s">
        <v>2374</v>
      </c>
      <c r="E1023" s="141" t="s">
        <v>2696</v>
      </c>
      <c r="F1023" s="142" t="s">
        <v>2402</v>
      </c>
      <c r="G1023" s="141" t="s">
        <v>2762</v>
      </c>
      <c r="H1023" s="142" t="s">
        <v>2751</v>
      </c>
      <c r="I1023" s="141" t="s">
        <v>2860</v>
      </c>
      <c r="J1023" s="142" t="s">
        <v>224</v>
      </c>
      <c r="K1023" s="142" t="s">
        <v>224</v>
      </c>
      <c r="L1023" s="143">
        <f t="shared" si="30"/>
        <v>1</v>
      </c>
      <c r="M1023" s="144" t="s">
        <v>2862</v>
      </c>
      <c r="N1023" s="141" t="s">
        <v>2373</v>
      </c>
      <c r="O1023" s="142" t="s">
        <v>2374</v>
      </c>
      <c r="P1023" s="141" t="s">
        <v>2408</v>
      </c>
      <c r="Q1023" s="142" t="s">
        <v>2402</v>
      </c>
      <c r="R1023" s="141" t="s">
        <v>2750</v>
      </c>
      <c r="S1023" s="142" t="s">
        <v>2751</v>
      </c>
      <c r="T1023" s="141" t="s">
        <v>2863</v>
      </c>
      <c r="U1023" s="142" t="s">
        <v>224</v>
      </c>
      <c r="V1023" s="142" t="s">
        <v>224</v>
      </c>
      <c r="W1023" s="141">
        <f t="shared" si="31"/>
        <v>3</v>
      </c>
      <c r="X1023" s="143"/>
      <c r="Y1023" s="145" t="s">
        <v>2864</v>
      </c>
      <c r="AA1023"/>
    </row>
    <row r="1024" spans="1:27" s="115" customFormat="1" ht="27" customHeight="1">
      <c r="A1024" s="139">
        <v>980</v>
      </c>
      <c r="B1024" s="140" t="s">
        <v>5486</v>
      </c>
      <c r="C1024" s="141" t="s">
        <v>2373</v>
      </c>
      <c r="D1024" s="142" t="s">
        <v>2374</v>
      </c>
      <c r="E1024" s="141" t="s">
        <v>2696</v>
      </c>
      <c r="F1024" s="142" t="s">
        <v>2402</v>
      </c>
      <c r="G1024" s="141" t="s">
        <v>2762</v>
      </c>
      <c r="H1024" s="142" t="s">
        <v>2751</v>
      </c>
      <c r="I1024" s="141" t="s">
        <v>2860</v>
      </c>
      <c r="J1024" s="142" t="s">
        <v>224</v>
      </c>
      <c r="K1024" s="142" t="s">
        <v>224</v>
      </c>
      <c r="L1024" s="143">
        <f t="shared" si="30"/>
        <v>1</v>
      </c>
      <c r="M1024" s="144" t="s">
        <v>2862</v>
      </c>
      <c r="N1024" s="141" t="s">
        <v>2373</v>
      </c>
      <c r="O1024" s="142" t="s">
        <v>2374</v>
      </c>
      <c r="P1024" s="141" t="s">
        <v>2408</v>
      </c>
      <c r="Q1024" s="142" t="s">
        <v>2402</v>
      </c>
      <c r="R1024" s="141" t="s">
        <v>2750</v>
      </c>
      <c r="S1024" s="142" t="s">
        <v>2751</v>
      </c>
      <c r="T1024" s="141" t="s">
        <v>2863</v>
      </c>
      <c r="U1024" s="142" t="s">
        <v>224</v>
      </c>
      <c r="V1024" s="142" t="s">
        <v>224</v>
      </c>
      <c r="W1024" s="141">
        <f t="shared" si="31"/>
        <v>3</v>
      </c>
      <c r="X1024" s="143">
        <v>2</v>
      </c>
      <c r="Y1024" s="145" t="s">
        <v>2604</v>
      </c>
      <c r="AA1024"/>
    </row>
    <row r="1025" spans="1:27" s="115" customFormat="1" ht="13.5" customHeight="1">
      <c r="A1025" s="139">
        <v>981</v>
      </c>
      <c r="B1025" s="140" t="s">
        <v>5487</v>
      </c>
      <c r="C1025" s="141" t="s">
        <v>2373</v>
      </c>
      <c r="D1025" s="142" t="s">
        <v>2374</v>
      </c>
      <c r="E1025" s="141" t="s">
        <v>2696</v>
      </c>
      <c r="F1025" s="142" t="s">
        <v>2402</v>
      </c>
      <c r="G1025" s="141" t="s">
        <v>2762</v>
      </c>
      <c r="H1025" s="142" t="s">
        <v>2751</v>
      </c>
      <c r="I1025" s="141" t="s">
        <v>2860</v>
      </c>
      <c r="J1025" s="142" t="s">
        <v>224</v>
      </c>
      <c r="K1025" s="142" t="s">
        <v>224</v>
      </c>
      <c r="L1025" s="143">
        <f t="shared" si="30"/>
        <v>1</v>
      </c>
      <c r="M1025" s="144" t="s">
        <v>2862</v>
      </c>
      <c r="N1025" s="141" t="s">
        <v>2373</v>
      </c>
      <c r="O1025" s="142" t="s">
        <v>2374</v>
      </c>
      <c r="P1025" s="141" t="s">
        <v>2408</v>
      </c>
      <c r="Q1025" s="142" t="s">
        <v>2402</v>
      </c>
      <c r="R1025" s="141" t="s">
        <v>2750</v>
      </c>
      <c r="S1025" s="142" t="s">
        <v>2751</v>
      </c>
      <c r="T1025" s="141" t="s">
        <v>2863</v>
      </c>
      <c r="U1025" s="142" t="s">
        <v>224</v>
      </c>
      <c r="V1025" s="142" t="s">
        <v>224</v>
      </c>
      <c r="W1025" s="141">
        <f t="shared" si="31"/>
        <v>3</v>
      </c>
      <c r="X1025" s="143">
        <v>2</v>
      </c>
      <c r="Y1025" s="145" t="s">
        <v>2602</v>
      </c>
      <c r="AA1025"/>
    </row>
    <row r="1026" spans="1:27" s="115" customFormat="1" ht="13.5" customHeight="1">
      <c r="A1026" s="139">
        <v>982</v>
      </c>
      <c r="B1026" s="140" t="s">
        <v>5488</v>
      </c>
      <c r="C1026" s="141" t="s">
        <v>2373</v>
      </c>
      <c r="D1026" s="142" t="s">
        <v>2374</v>
      </c>
      <c r="E1026" s="141" t="s">
        <v>2696</v>
      </c>
      <c r="F1026" s="142" t="s">
        <v>2402</v>
      </c>
      <c r="G1026" s="141" t="s">
        <v>2762</v>
      </c>
      <c r="H1026" s="142" t="s">
        <v>2838</v>
      </c>
      <c r="I1026" s="141" t="s">
        <v>2860</v>
      </c>
      <c r="J1026" s="142" t="s">
        <v>2865</v>
      </c>
      <c r="K1026" s="142" t="s">
        <v>225</v>
      </c>
      <c r="L1026" s="143">
        <f t="shared" si="30"/>
        <v>1</v>
      </c>
      <c r="M1026" s="144" t="s">
        <v>2866</v>
      </c>
      <c r="N1026" s="141" t="s">
        <v>2373</v>
      </c>
      <c r="O1026" s="142" t="s">
        <v>2374</v>
      </c>
      <c r="P1026" s="141" t="s">
        <v>2408</v>
      </c>
      <c r="Q1026" s="142" t="s">
        <v>2402</v>
      </c>
      <c r="R1026" s="141" t="s">
        <v>2842</v>
      </c>
      <c r="S1026" s="142" t="s">
        <v>2838</v>
      </c>
      <c r="T1026" s="141" t="s">
        <v>2867</v>
      </c>
      <c r="U1026" s="142" t="s">
        <v>2865</v>
      </c>
      <c r="V1026" s="142" t="s">
        <v>225</v>
      </c>
      <c r="W1026" s="141">
        <f t="shared" si="31"/>
        <v>2</v>
      </c>
      <c r="X1026" s="143"/>
      <c r="Y1026" s="145" t="s">
        <v>2606</v>
      </c>
      <c r="AA1026"/>
    </row>
    <row r="1027" spans="1:27" s="115" customFormat="1" ht="13.5" customHeight="1">
      <c r="A1027" s="139">
        <v>983</v>
      </c>
      <c r="B1027" s="140" t="s">
        <v>5489</v>
      </c>
      <c r="C1027" s="141" t="s">
        <v>2373</v>
      </c>
      <c r="D1027" s="142" t="s">
        <v>2374</v>
      </c>
      <c r="E1027" s="141" t="s">
        <v>2696</v>
      </c>
      <c r="F1027" s="142" t="s">
        <v>2402</v>
      </c>
      <c r="G1027" s="141" t="s">
        <v>2762</v>
      </c>
      <c r="H1027" s="142" t="s">
        <v>2838</v>
      </c>
      <c r="I1027" s="141" t="s">
        <v>2860</v>
      </c>
      <c r="J1027" s="142" t="s">
        <v>2865</v>
      </c>
      <c r="K1027" s="142" t="s">
        <v>225</v>
      </c>
      <c r="L1027" s="143">
        <f t="shared" si="30"/>
        <v>1</v>
      </c>
      <c r="M1027" s="144" t="s">
        <v>2866</v>
      </c>
      <c r="N1027" s="141" t="s">
        <v>2373</v>
      </c>
      <c r="O1027" s="142" t="s">
        <v>2374</v>
      </c>
      <c r="P1027" s="141" t="s">
        <v>2408</v>
      </c>
      <c r="Q1027" s="142" t="s">
        <v>2402</v>
      </c>
      <c r="R1027" s="141" t="s">
        <v>2842</v>
      </c>
      <c r="S1027" s="142" t="s">
        <v>2838</v>
      </c>
      <c r="T1027" s="141" t="s">
        <v>2867</v>
      </c>
      <c r="U1027" s="142" t="s">
        <v>2865</v>
      </c>
      <c r="V1027" s="142" t="s">
        <v>225</v>
      </c>
      <c r="W1027" s="141">
        <f t="shared" si="31"/>
        <v>2</v>
      </c>
      <c r="X1027" s="143">
        <v>1</v>
      </c>
      <c r="Y1027" s="145"/>
      <c r="AA1027"/>
    </row>
    <row r="1028" spans="1:27" s="115" customFormat="1" ht="27" customHeight="1">
      <c r="A1028" s="139">
        <v>984</v>
      </c>
      <c r="B1028" s="140" t="s">
        <v>5490</v>
      </c>
      <c r="C1028" s="141" t="s">
        <v>2373</v>
      </c>
      <c r="D1028" s="142" t="s">
        <v>2374</v>
      </c>
      <c r="E1028" s="141" t="s">
        <v>2696</v>
      </c>
      <c r="F1028" s="142" t="s">
        <v>2402</v>
      </c>
      <c r="G1028" s="141" t="s">
        <v>2762</v>
      </c>
      <c r="H1028" s="142" t="s">
        <v>2778</v>
      </c>
      <c r="I1028" s="141" t="s">
        <v>2860</v>
      </c>
      <c r="J1028" s="142" t="s">
        <v>2785</v>
      </c>
      <c r="K1028" s="142" t="s">
        <v>955</v>
      </c>
      <c r="L1028" s="143">
        <f t="shared" si="30"/>
        <v>1</v>
      </c>
      <c r="M1028" s="144" t="s">
        <v>2794</v>
      </c>
      <c r="N1028" s="141" t="s">
        <v>2373</v>
      </c>
      <c r="O1028" s="142" t="s">
        <v>2374</v>
      </c>
      <c r="P1028" s="141" t="s">
        <v>2408</v>
      </c>
      <c r="Q1028" s="142" t="s">
        <v>2402</v>
      </c>
      <c r="R1028" s="141" t="s">
        <v>2782</v>
      </c>
      <c r="S1028" s="142" t="s">
        <v>2778</v>
      </c>
      <c r="T1028" s="141" t="s">
        <v>2787</v>
      </c>
      <c r="U1028" s="142" t="s">
        <v>2785</v>
      </c>
      <c r="V1028" s="142" t="s">
        <v>955</v>
      </c>
      <c r="W1028" s="141">
        <f t="shared" si="31"/>
        <v>3</v>
      </c>
      <c r="X1028" s="143"/>
      <c r="Y1028" s="145" t="s">
        <v>2868</v>
      </c>
      <c r="AA1028"/>
    </row>
    <row r="1029" spans="1:27" s="115" customFormat="1" ht="27" customHeight="1">
      <c r="A1029" s="139">
        <v>985</v>
      </c>
      <c r="B1029" s="140" t="s">
        <v>5491</v>
      </c>
      <c r="C1029" s="141" t="s">
        <v>2373</v>
      </c>
      <c r="D1029" s="142" t="s">
        <v>2374</v>
      </c>
      <c r="E1029" s="141" t="s">
        <v>2696</v>
      </c>
      <c r="F1029" s="142" t="s">
        <v>2402</v>
      </c>
      <c r="G1029" s="141" t="s">
        <v>2762</v>
      </c>
      <c r="H1029" s="142" t="s">
        <v>2778</v>
      </c>
      <c r="I1029" s="141" t="s">
        <v>2860</v>
      </c>
      <c r="J1029" s="142" t="s">
        <v>2785</v>
      </c>
      <c r="K1029" s="142" t="s">
        <v>955</v>
      </c>
      <c r="L1029" s="143">
        <f t="shared" ref="L1029:L1061" si="32">COUNTIF($B$5:$B$1752,B1029)</f>
        <v>1</v>
      </c>
      <c r="M1029" s="144" t="s">
        <v>2794</v>
      </c>
      <c r="N1029" s="141" t="s">
        <v>2373</v>
      </c>
      <c r="O1029" s="142" t="s">
        <v>2374</v>
      </c>
      <c r="P1029" s="141" t="s">
        <v>2408</v>
      </c>
      <c r="Q1029" s="142" t="s">
        <v>2402</v>
      </c>
      <c r="R1029" s="141" t="s">
        <v>2782</v>
      </c>
      <c r="S1029" s="142" t="s">
        <v>2778</v>
      </c>
      <c r="T1029" s="141" t="s">
        <v>2787</v>
      </c>
      <c r="U1029" s="142" t="s">
        <v>2785</v>
      </c>
      <c r="V1029" s="142" t="s">
        <v>955</v>
      </c>
      <c r="W1029" s="141">
        <f t="shared" ref="W1029:W1092" si="33">COUNTIF($M$5:$M$1756,M1029)</f>
        <v>3</v>
      </c>
      <c r="X1029" s="143"/>
      <c r="Y1029" s="145" t="s">
        <v>2869</v>
      </c>
      <c r="AA1029"/>
    </row>
    <row r="1030" spans="1:27" s="115" customFormat="1" ht="27" customHeight="1">
      <c r="A1030" s="139">
        <v>986</v>
      </c>
      <c r="B1030" s="140" t="s">
        <v>5492</v>
      </c>
      <c r="C1030" s="141" t="s">
        <v>2373</v>
      </c>
      <c r="D1030" s="142" t="s">
        <v>2374</v>
      </c>
      <c r="E1030" s="141" t="s">
        <v>2696</v>
      </c>
      <c r="F1030" s="142" t="s">
        <v>2402</v>
      </c>
      <c r="G1030" s="141" t="s">
        <v>2762</v>
      </c>
      <c r="H1030" s="142" t="s">
        <v>2838</v>
      </c>
      <c r="I1030" s="141" t="s">
        <v>2860</v>
      </c>
      <c r="J1030" s="142" t="s">
        <v>226</v>
      </c>
      <c r="K1030" s="142" t="s">
        <v>226</v>
      </c>
      <c r="L1030" s="143">
        <f t="shared" si="32"/>
        <v>1</v>
      </c>
      <c r="M1030" s="144" t="s">
        <v>2870</v>
      </c>
      <c r="N1030" s="141" t="s">
        <v>2373</v>
      </c>
      <c r="O1030" s="142" t="s">
        <v>2374</v>
      </c>
      <c r="P1030" s="141" t="s">
        <v>2408</v>
      </c>
      <c r="Q1030" s="142" t="s">
        <v>2402</v>
      </c>
      <c r="R1030" s="141" t="s">
        <v>2842</v>
      </c>
      <c r="S1030" s="142" t="s">
        <v>2838</v>
      </c>
      <c r="T1030" s="141" t="s">
        <v>2871</v>
      </c>
      <c r="U1030" s="142" t="s">
        <v>226</v>
      </c>
      <c r="V1030" s="142" t="s">
        <v>226</v>
      </c>
      <c r="W1030" s="141">
        <f t="shared" si="33"/>
        <v>1</v>
      </c>
      <c r="X1030" s="143"/>
      <c r="Y1030" s="145"/>
      <c r="AA1030"/>
    </row>
    <row r="1031" spans="1:27" s="115" customFormat="1" ht="27" customHeight="1">
      <c r="A1031" s="139">
        <v>987</v>
      </c>
      <c r="B1031" s="140" t="s">
        <v>5493</v>
      </c>
      <c r="C1031" s="141" t="s">
        <v>2373</v>
      </c>
      <c r="D1031" s="142" t="s">
        <v>2374</v>
      </c>
      <c r="E1031" s="141" t="s">
        <v>2696</v>
      </c>
      <c r="F1031" s="142" t="s">
        <v>2402</v>
      </c>
      <c r="G1031" s="141" t="s">
        <v>2762</v>
      </c>
      <c r="H1031" s="142" t="s">
        <v>2751</v>
      </c>
      <c r="I1031" s="141" t="s">
        <v>2860</v>
      </c>
      <c r="J1031" s="142" t="s">
        <v>2872</v>
      </c>
      <c r="K1031" s="142" t="s">
        <v>227</v>
      </c>
      <c r="L1031" s="143">
        <f t="shared" si="32"/>
        <v>1</v>
      </c>
      <c r="M1031" s="144">
        <v>47841</v>
      </c>
      <c r="N1031" s="141" t="s">
        <v>2373</v>
      </c>
      <c r="O1031" s="142" t="s">
        <v>2374</v>
      </c>
      <c r="P1031" s="141" t="s">
        <v>2408</v>
      </c>
      <c r="Q1031" s="142" t="s">
        <v>2402</v>
      </c>
      <c r="R1031" s="141" t="s">
        <v>2750</v>
      </c>
      <c r="S1031" s="142" t="s">
        <v>2751</v>
      </c>
      <c r="T1031" s="141" t="s">
        <v>2873</v>
      </c>
      <c r="U1031" s="142" t="s">
        <v>2872</v>
      </c>
      <c r="V1031" s="142" t="s">
        <v>227</v>
      </c>
      <c r="W1031" s="141">
        <f t="shared" si="33"/>
        <v>2</v>
      </c>
      <c r="X1031" s="143">
        <v>1</v>
      </c>
      <c r="Y1031" s="145"/>
      <c r="AA1031"/>
    </row>
    <row r="1032" spans="1:27" s="115" customFormat="1" ht="27" customHeight="1">
      <c r="A1032" s="139">
        <v>988</v>
      </c>
      <c r="B1032" s="140" t="s">
        <v>5494</v>
      </c>
      <c r="C1032" s="141" t="s">
        <v>2373</v>
      </c>
      <c r="D1032" s="142" t="s">
        <v>2374</v>
      </c>
      <c r="E1032" s="141" t="s">
        <v>2696</v>
      </c>
      <c r="F1032" s="142" t="s">
        <v>2402</v>
      </c>
      <c r="G1032" s="141" t="s">
        <v>2762</v>
      </c>
      <c r="H1032" s="142" t="s">
        <v>2751</v>
      </c>
      <c r="I1032" s="141" t="s">
        <v>2860</v>
      </c>
      <c r="J1032" s="142" t="s">
        <v>2872</v>
      </c>
      <c r="K1032" s="142" t="s">
        <v>227</v>
      </c>
      <c r="L1032" s="143">
        <f t="shared" si="32"/>
        <v>1</v>
      </c>
      <c r="M1032" s="144" t="s">
        <v>2874</v>
      </c>
      <c r="N1032" s="141" t="s">
        <v>2373</v>
      </c>
      <c r="O1032" s="142" t="s">
        <v>2374</v>
      </c>
      <c r="P1032" s="141" t="s">
        <v>2408</v>
      </c>
      <c r="Q1032" s="142" t="s">
        <v>2402</v>
      </c>
      <c r="R1032" s="141" t="s">
        <v>2750</v>
      </c>
      <c r="S1032" s="142" t="s">
        <v>2751</v>
      </c>
      <c r="T1032" s="141" t="s">
        <v>2873</v>
      </c>
      <c r="U1032" s="142" t="s">
        <v>2872</v>
      </c>
      <c r="V1032" s="142" t="s">
        <v>227</v>
      </c>
      <c r="W1032" s="141">
        <f t="shared" si="33"/>
        <v>2</v>
      </c>
      <c r="X1032" s="143"/>
      <c r="Y1032" s="145" t="s">
        <v>2875</v>
      </c>
      <c r="AA1032"/>
    </row>
    <row r="1033" spans="1:27" s="115" customFormat="1" ht="27" customHeight="1">
      <c r="A1033" s="139">
        <v>989</v>
      </c>
      <c r="B1033" s="140" t="s">
        <v>5495</v>
      </c>
      <c r="C1033" s="141" t="s">
        <v>2373</v>
      </c>
      <c r="D1033" s="142" t="s">
        <v>2374</v>
      </c>
      <c r="E1033" s="141" t="s">
        <v>2696</v>
      </c>
      <c r="F1033" s="142" t="s">
        <v>2402</v>
      </c>
      <c r="G1033" s="141" t="s">
        <v>2762</v>
      </c>
      <c r="H1033" s="142" t="s">
        <v>2751</v>
      </c>
      <c r="I1033" s="141" t="s">
        <v>2860</v>
      </c>
      <c r="J1033" s="142" t="s">
        <v>2748</v>
      </c>
      <c r="K1033" s="142" t="s">
        <v>944</v>
      </c>
      <c r="L1033" s="143">
        <f t="shared" si="32"/>
        <v>1</v>
      </c>
      <c r="M1033" s="144" t="s">
        <v>2749</v>
      </c>
      <c r="N1033" s="141" t="s">
        <v>2373</v>
      </c>
      <c r="O1033" s="142" t="s">
        <v>2374</v>
      </c>
      <c r="P1033" s="141" t="s">
        <v>2408</v>
      </c>
      <c r="Q1033" s="142" t="s">
        <v>2402</v>
      </c>
      <c r="R1033" s="141" t="s">
        <v>2750</v>
      </c>
      <c r="S1033" s="142" t="s">
        <v>2751</v>
      </c>
      <c r="T1033" s="141" t="s">
        <v>2752</v>
      </c>
      <c r="U1033" s="142" t="s">
        <v>2748</v>
      </c>
      <c r="V1033" s="142" t="s">
        <v>944</v>
      </c>
      <c r="W1033" s="141">
        <f t="shared" si="33"/>
        <v>9</v>
      </c>
      <c r="X1033" s="143"/>
      <c r="Y1033" s="145" t="s">
        <v>2876</v>
      </c>
      <c r="AA1033"/>
    </row>
    <row r="1034" spans="1:27" s="115" customFormat="1" ht="27" customHeight="1">
      <c r="A1034" s="139">
        <v>990</v>
      </c>
      <c r="B1034" s="140" t="s">
        <v>5496</v>
      </c>
      <c r="C1034" s="141" t="s">
        <v>2373</v>
      </c>
      <c r="D1034" s="142" t="s">
        <v>2374</v>
      </c>
      <c r="E1034" s="141" t="s">
        <v>2696</v>
      </c>
      <c r="F1034" s="142" t="s">
        <v>2402</v>
      </c>
      <c r="G1034" s="141" t="s">
        <v>2762</v>
      </c>
      <c r="H1034" s="142" t="s">
        <v>2751</v>
      </c>
      <c r="I1034" s="141" t="s">
        <v>2860</v>
      </c>
      <c r="J1034" s="142" t="s">
        <v>2872</v>
      </c>
      <c r="K1034" s="142" t="s">
        <v>968</v>
      </c>
      <c r="L1034" s="143">
        <f t="shared" si="32"/>
        <v>1</v>
      </c>
      <c r="M1034" s="144" t="s">
        <v>2877</v>
      </c>
      <c r="N1034" s="141" t="s">
        <v>2373</v>
      </c>
      <c r="O1034" s="142" t="s">
        <v>2374</v>
      </c>
      <c r="P1034" s="141" t="s">
        <v>2408</v>
      </c>
      <c r="Q1034" s="142" t="s">
        <v>2402</v>
      </c>
      <c r="R1034" s="141" t="s">
        <v>2750</v>
      </c>
      <c r="S1034" s="142" t="s">
        <v>2751</v>
      </c>
      <c r="T1034" s="141" t="s">
        <v>2873</v>
      </c>
      <c r="U1034" s="142" t="s">
        <v>2872</v>
      </c>
      <c r="V1034" s="142" t="s">
        <v>968</v>
      </c>
      <c r="W1034" s="141">
        <f t="shared" si="33"/>
        <v>1</v>
      </c>
      <c r="X1034" s="143"/>
      <c r="Y1034" s="145"/>
      <c r="AA1034"/>
    </row>
    <row r="1035" spans="1:27" s="115" customFormat="1" ht="27" customHeight="1">
      <c r="A1035" s="139">
        <v>991</v>
      </c>
      <c r="B1035" s="140" t="s">
        <v>5497</v>
      </c>
      <c r="C1035" s="141" t="s">
        <v>2373</v>
      </c>
      <c r="D1035" s="142" t="s">
        <v>2374</v>
      </c>
      <c r="E1035" s="141" t="s">
        <v>2696</v>
      </c>
      <c r="F1035" s="142" t="s">
        <v>2402</v>
      </c>
      <c r="G1035" s="141" t="s">
        <v>2762</v>
      </c>
      <c r="H1035" s="142" t="s">
        <v>2838</v>
      </c>
      <c r="I1035" s="141" t="s">
        <v>2860</v>
      </c>
      <c r="J1035" s="142" t="s">
        <v>2865</v>
      </c>
      <c r="K1035" s="142" t="s">
        <v>228</v>
      </c>
      <c r="L1035" s="143">
        <f t="shared" si="32"/>
        <v>1</v>
      </c>
      <c r="M1035" s="144" t="s">
        <v>2878</v>
      </c>
      <c r="N1035" s="141" t="s">
        <v>2373</v>
      </c>
      <c r="O1035" s="142" t="s">
        <v>2374</v>
      </c>
      <c r="P1035" s="141" t="s">
        <v>2408</v>
      </c>
      <c r="Q1035" s="142" t="s">
        <v>2402</v>
      </c>
      <c r="R1035" s="141" t="s">
        <v>2842</v>
      </c>
      <c r="S1035" s="142" t="s">
        <v>2838</v>
      </c>
      <c r="T1035" s="141" t="s">
        <v>2867</v>
      </c>
      <c r="U1035" s="142" t="s">
        <v>2865</v>
      </c>
      <c r="V1035" s="142" t="s">
        <v>228</v>
      </c>
      <c r="W1035" s="141">
        <f t="shared" si="33"/>
        <v>1</v>
      </c>
      <c r="X1035" s="143"/>
      <c r="Y1035" s="145"/>
      <c r="AA1035"/>
    </row>
    <row r="1036" spans="1:27" s="115" customFormat="1" ht="27" customHeight="1">
      <c r="A1036" s="139">
        <v>992</v>
      </c>
      <c r="B1036" s="140" t="s">
        <v>5498</v>
      </c>
      <c r="C1036" s="141" t="s">
        <v>2373</v>
      </c>
      <c r="D1036" s="142" t="s">
        <v>2374</v>
      </c>
      <c r="E1036" s="141" t="s">
        <v>2696</v>
      </c>
      <c r="F1036" s="142" t="s">
        <v>2402</v>
      </c>
      <c r="G1036" s="141" t="s">
        <v>2762</v>
      </c>
      <c r="H1036" s="142" t="s">
        <v>2838</v>
      </c>
      <c r="I1036" s="141" t="s">
        <v>2860</v>
      </c>
      <c r="J1036" s="142" t="s">
        <v>229</v>
      </c>
      <c r="K1036" s="142" t="s">
        <v>229</v>
      </c>
      <c r="L1036" s="143">
        <f t="shared" si="32"/>
        <v>1</v>
      </c>
      <c r="M1036" s="144" t="s">
        <v>2879</v>
      </c>
      <c r="N1036" s="141" t="s">
        <v>2373</v>
      </c>
      <c r="O1036" s="142" t="s">
        <v>2374</v>
      </c>
      <c r="P1036" s="141" t="s">
        <v>2408</v>
      </c>
      <c r="Q1036" s="142" t="s">
        <v>2402</v>
      </c>
      <c r="R1036" s="141" t="s">
        <v>2842</v>
      </c>
      <c r="S1036" s="142" t="s">
        <v>2838</v>
      </c>
      <c r="T1036" s="141" t="s">
        <v>2880</v>
      </c>
      <c r="U1036" s="142" t="s">
        <v>229</v>
      </c>
      <c r="V1036" s="142" t="s">
        <v>229</v>
      </c>
      <c r="W1036" s="141">
        <f t="shared" si="33"/>
        <v>1</v>
      </c>
      <c r="X1036" s="143"/>
      <c r="Y1036" s="145"/>
      <c r="AA1036"/>
    </row>
    <row r="1037" spans="1:27" s="115" customFormat="1" ht="27" customHeight="1">
      <c r="A1037" s="139">
        <v>993</v>
      </c>
      <c r="B1037" s="140" t="s">
        <v>5499</v>
      </c>
      <c r="C1037" s="141" t="s">
        <v>2373</v>
      </c>
      <c r="D1037" s="142" t="s">
        <v>2374</v>
      </c>
      <c r="E1037" s="141" t="s">
        <v>2696</v>
      </c>
      <c r="F1037" s="142" t="s">
        <v>2402</v>
      </c>
      <c r="G1037" s="141" t="s">
        <v>2762</v>
      </c>
      <c r="H1037" s="142" t="s">
        <v>2742</v>
      </c>
      <c r="I1037" s="141" t="s">
        <v>2860</v>
      </c>
      <c r="J1037" s="142" t="s">
        <v>2739</v>
      </c>
      <c r="K1037" s="142" t="s">
        <v>942</v>
      </c>
      <c r="L1037" s="143">
        <f t="shared" si="32"/>
        <v>1</v>
      </c>
      <c r="M1037" s="144" t="s">
        <v>2740</v>
      </c>
      <c r="N1037" s="141" t="s">
        <v>2373</v>
      </c>
      <c r="O1037" s="142" t="s">
        <v>2374</v>
      </c>
      <c r="P1037" s="141" t="s">
        <v>2408</v>
      </c>
      <c r="Q1037" s="142" t="s">
        <v>2402</v>
      </c>
      <c r="R1037" s="141" t="s">
        <v>2741</v>
      </c>
      <c r="S1037" s="142" t="s">
        <v>2742</v>
      </c>
      <c r="T1037" s="141" t="s">
        <v>2743</v>
      </c>
      <c r="U1037" s="142" t="s">
        <v>2739</v>
      </c>
      <c r="V1037" s="142" t="s">
        <v>942</v>
      </c>
      <c r="W1037" s="141">
        <f t="shared" si="33"/>
        <v>5</v>
      </c>
      <c r="X1037" s="143"/>
      <c r="Y1037" s="145" t="s">
        <v>2881</v>
      </c>
      <c r="AA1037"/>
    </row>
    <row r="1038" spans="1:27" s="115" customFormat="1" ht="13.5" customHeight="1">
      <c r="A1038" s="139">
        <v>994</v>
      </c>
      <c r="B1038" s="140" t="s">
        <v>5500</v>
      </c>
      <c r="C1038" s="141" t="s">
        <v>2373</v>
      </c>
      <c r="D1038" s="142" t="s">
        <v>2374</v>
      </c>
      <c r="E1038" s="141" t="s">
        <v>2696</v>
      </c>
      <c r="F1038" s="142" t="s">
        <v>2402</v>
      </c>
      <c r="G1038" s="141" t="s">
        <v>2762</v>
      </c>
      <c r="H1038" s="142" t="s">
        <v>2742</v>
      </c>
      <c r="I1038" s="141" t="s">
        <v>2860</v>
      </c>
      <c r="J1038" s="142" t="s">
        <v>2739</v>
      </c>
      <c r="K1038" s="142" t="s">
        <v>942</v>
      </c>
      <c r="L1038" s="143">
        <f t="shared" si="32"/>
        <v>1</v>
      </c>
      <c r="M1038" s="144" t="s">
        <v>2740</v>
      </c>
      <c r="N1038" s="141" t="s">
        <v>2373</v>
      </c>
      <c r="O1038" s="142" t="s">
        <v>2374</v>
      </c>
      <c r="P1038" s="141" t="s">
        <v>2408</v>
      </c>
      <c r="Q1038" s="142" t="s">
        <v>2402</v>
      </c>
      <c r="R1038" s="141" t="s">
        <v>2741</v>
      </c>
      <c r="S1038" s="142" t="s">
        <v>2742</v>
      </c>
      <c r="T1038" s="141" t="s">
        <v>2743</v>
      </c>
      <c r="U1038" s="142" t="s">
        <v>2739</v>
      </c>
      <c r="V1038" s="142" t="s">
        <v>942</v>
      </c>
      <c r="W1038" s="141">
        <f t="shared" si="33"/>
        <v>5</v>
      </c>
      <c r="X1038" s="143"/>
      <c r="Y1038" s="145" t="s">
        <v>2882</v>
      </c>
      <c r="AA1038"/>
    </row>
    <row r="1039" spans="1:27" s="115" customFormat="1" ht="13.5" customHeight="1">
      <c r="A1039" s="139">
        <v>995</v>
      </c>
      <c r="B1039" s="140" t="s">
        <v>5501</v>
      </c>
      <c r="C1039" s="141" t="s">
        <v>2373</v>
      </c>
      <c r="D1039" s="142" t="s">
        <v>2374</v>
      </c>
      <c r="E1039" s="141" t="s">
        <v>2696</v>
      </c>
      <c r="F1039" s="142" t="s">
        <v>2402</v>
      </c>
      <c r="G1039" s="141" t="s">
        <v>2762</v>
      </c>
      <c r="H1039" s="142" t="s">
        <v>2838</v>
      </c>
      <c r="I1039" s="141" t="s">
        <v>2860</v>
      </c>
      <c r="J1039" s="142" t="s">
        <v>2840</v>
      </c>
      <c r="K1039" s="142" t="s">
        <v>961</v>
      </c>
      <c r="L1039" s="143">
        <f t="shared" si="32"/>
        <v>1</v>
      </c>
      <c r="M1039" s="144" t="s">
        <v>2844</v>
      </c>
      <c r="N1039" s="141" t="s">
        <v>2373</v>
      </c>
      <c r="O1039" s="142" t="s">
        <v>2374</v>
      </c>
      <c r="P1039" s="141" t="s">
        <v>2408</v>
      </c>
      <c r="Q1039" s="142" t="s">
        <v>2402</v>
      </c>
      <c r="R1039" s="141" t="s">
        <v>2842</v>
      </c>
      <c r="S1039" s="142" t="s">
        <v>2838</v>
      </c>
      <c r="T1039" s="141" t="s">
        <v>2843</v>
      </c>
      <c r="U1039" s="142" t="s">
        <v>2840</v>
      </c>
      <c r="V1039" s="142" t="s">
        <v>961</v>
      </c>
      <c r="W1039" s="141">
        <f t="shared" si="33"/>
        <v>2</v>
      </c>
      <c r="X1039" s="143"/>
      <c r="Y1039" s="145" t="s">
        <v>2883</v>
      </c>
      <c r="AA1039"/>
    </row>
    <row r="1040" spans="1:27" s="115" customFormat="1" ht="13.5" customHeight="1">
      <c r="A1040" s="139">
        <v>996</v>
      </c>
      <c r="B1040" s="140" t="s">
        <v>5502</v>
      </c>
      <c r="C1040" s="141" t="s">
        <v>2373</v>
      </c>
      <c r="D1040" s="142" t="s">
        <v>2374</v>
      </c>
      <c r="E1040" s="141" t="s">
        <v>2696</v>
      </c>
      <c r="F1040" s="142" t="s">
        <v>2402</v>
      </c>
      <c r="G1040" s="141" t="s">
        <v>2762</v>
      </c>
      <c r="H1040" s="142" t="s">
        <v>2751</v>
      </c>
      <c r="I1040" s="141" t="s">
        <v>2860</v>
      </c>
      <c r="J1040" s="142" t="s">
        <v>2748</v>
      </c>
      <c r="K1040" s="142" t="s">
        <v>944</v>
      </c>
      <c r="L1040" s="143">
        <f t="shared" si="32"/>
        <v>1</v>
      </c>
      <c r="M1040" s="144" t="s">
        <v>2749</v>
      </c>
      <c r="N1040" s="141" t="s">
        <v>2373</v>
      </c>
      <c r="O1040" s="142" t="s">
        <v>2374</v>
      </c>
      <c r="P1040" s="141" t="s">
        <v>2408</v>
      </c>
      <c r="Q1040" s="142" t="s">
        <v>2402</v>
      </c>
      <c r="R1040" s="141" t="s">
        <v>2750</v>
      </c>
      <c r="S1040" s="142" t="s">
        <v>2751</v>
      </c>
      <c r="T1040" s="141" t="s">
        <v>2752</v>
      </c>
      <c r="U1040" s="142" t="s">
        <v>2748</v>
      </c>
      <c r="V1040" s="142" t="s">
        <v>944</v>
      </c>
      <c r="W1040" s="141">
        <f t="shared" si="33"/>
        <v>9</v>
      </c>
      <c r="X1040" s="143"/>
      <c r="Y1040" s="145" t="s">
        <v>2884</v>
      </c>
      <c r="AA1040"/>
    </row>
    <row r="1041" spans="1:27" s="115" customFormat="1" ht="13.5" customHeight="1">
      <c r="A1041" s="139">
        <v>997</v>
      </c>
      <c r="B1041" s="140" t="s">
        <v>5503</v>
      </c>
      <c r="C1041" s="141" t="s">
        <v>2373</v>
      </c>
      <c r="D1041" s="142" t="s">
        <v>2374</v>
      </c>
      <c r="E1041" s="141" t="s">
        <v>2696</v>
      </c>
      <c r="F1041" s="142" t="s">
        <v>2402</v>
      </c>
      <c r="G1041" s="141" t="s">
        <v>2762</v>
      </c>
      <c r="H1041" s="142" t="s">
        <v>2751</v>
      </c>
      <c r="I1041" s="141" t="s">
        <v>2860</v>
      </c>
      <c r="J1041" s="142" t="s">
        <v>2748</v>
      </c>
      <c r="K1041" s="142" t="s">
        <v>944</v>
      </c>
      <c r="L1041" s="143">
        <f t="shared" si="32"/>
        <v>1</v>
      </c>
      <c r="M1041" s="144" t="s">
        <v>2749</v>
      </c>
      <c r="N1041" s="141" t="s">
        <v>2373</v>
      </c>
      <c r="O1041" s="142" t="s">
        <v>2374</v>
      </c>
      <c r="P1041" s="141" t="s">
        <v>2408</v>
      </c>
      <c r="Q1041" s="142" t="s">
        <v>2402</v>
      </c>
      <c r="R1041" s="141" t="s">
        <v>2750</v>
      </c>
      <c r="S1041" s="142" t="s">
        <v>2751</v>
      </c>
      <c r="T1041" s="141" t="s">
        <v>2752</v>
      </c>
      <c r="U1041" s="142" t="s">
        <v>2748</v>
      </c>
      <c r="V1041" s="142" t="s">
        <v>944</v>
      </c>
      <c r="W1041" s="141">
        <f t="shared" si="33"/>
        <v>9</v>
      </c>
      <c r="X1041" s="143"/>
      <c r="Y1041" s="145" t="s">
        <v>2885</v>
      </c>
      <c r="AA1041"/>
    </row>
    <row r="1042" spans="1:27" s="115" customFormat="1" ht="27" customHeight="1">
      <c r="A1042" s="139">
        <v>998</v>
      </c>
      <c r="B1042" s="140" t="s">
        <v>5504</v>
      </c>
      <c r="C1042" s="141" t="s">
        <v>2373</v>
      </c>
      <c r="D1042" s="142" t="s">
        <v>2374</v>
      </c>
      <c r="E1042" s="141" t="s">
        <v>2696</v>
      </c>
      <c r="F1042" s="142" t="s">
        <v>2402</v>
      </c>
      <c r="G1042" s="141" t="s">
        <v>2762</v>
      </c>
      <c r="H1042" s="142" t="s">
        <v>2751</v>
      </c>
      <c r="I1042" s="141" t="s">
        <v>2860</v>
      </c>
      <c r="J1042" s="142" t="s">
        <v>2748</v>
      </c>
      <c r="K1042" s="142" t="s">
        <v>944</v>
      </c>
      <c r="L1042" s="143">
        <f t="shared" si="32"/>
        <v>1</v>
      </c>
      <c r="M1042" s="144" t="s">
        <v>2749</v>
      </c>
      <c r="N1042" s="141" t="s">
        <v>2373</v>
      </c>
      <c r="O1042" s="142" t="s">
        <v>2374</v>
      </c>
      <c r="P1042" s="141" t="s">
        <v>2408</v>
      </c>
      <c r="Q1042" s="142" t="s">
        <v>2402</v>
      </c>
      <c r="R1042" s="141" t="s">
        <v>2750</v>
      </c>
      <c r="S1042" s="142" t="s">
        <v>2751</v>
      </c>
      <c r="T1042" s="141" t="s">
        <v>2752</v>
      </c>
      <c r="U1042" s="142" t="s">
        <v>2748</v>
      </c>
      <c r="V1042" s="142" t="s">
        <v>944</v>
      </c>
      <c r="W1042" s="141">
        <f t="shared" si="33"/>
        <v>9</v>
      </c>
      <c r="X1042" s="143"/>
      <c r="Y1042" s="145" t="s">
        <v>2886</v>
      </c>
      <c r="AA1042"/>
    </row>
    <row r="1043" spans="1:27" s="115" customFormat="1" ht="13.5" customHeight="1">
      <c r="A1043" s="139">
        <v>999</v>
      </c>
      <c r="B1043" s="140" t="s">
        <v>5505</v>
      </c>
      <c r="C1043" s="141" t="s">
        <v>2373</v>
      </c>
      <c r="D1043" s="142" t="s">
        <v>2374</v>
      </c>
      <c r="E1043" s="141" t="s">
        <v>2696</v>
      </c>
      <c r="F1043" s="142" t="s">
        <v>2402</v>
      </c>
      <c r="G1043" s="141" t="s">
        <v>2762</v>
      </c>
      <c r="H1043" s="142" t="s">
        <v>2751</v>
      </c>
      <c r="I1043" s="141" t="s">
        <v>2860</v>
      </c>
      <c r="J1043" s="142" t="s">
        <v>2748</v>
      </c>
      <c r="K1043" s="142" t="s">
        <v>969</v>
      </c>
      <c r="L1043" s="143">
        <f t="shared" si="32"/>
        <v>1</v>
      </c>
      <c r="M1043" s="144" t="s">
        <v>2887</v>
      </c>
      <c r="N1043" s="141" t="s">
        <v>2373</v>
      </c>
      <c r="O1043" s="142" t="s">
        <v>2374</v>
      </c>
      <c r="P1043" s="141" t="s">
        <v>2408</v>
      </c>
      <c r="Q1043" s="142" t="s">
        <v>2402</v>
      </c>
      <c r="R1043" s="141" t="s">
        <v>2750</v>
      </c>
      <c r="S1043" s="142" t="s">
        <v>2751</v>
      </c>
      <c r="T1043" s="141" t="s">
        <v>2752</v>
      </c>
      <c r="U1043" s="142" t="s">
        <v>2748</v>
      </c>
      <c r="V1043" s="142" t="s">
        <v>969</v>
      </c>
      <c r="W1043" s="141">
        <f t="shared" si="33"/>
        <v>2</v>
      </c>
      <c r="X1043" s="143"/>
      <c r="Y1043" s="145" t="s">
        <v>2450</v>
      </c>
      <c r="AA1043"/>
    </row>
    <row r="1044" spans="1:27" s="115" customFormat="1" ht="13.5" customHeight="1">
      <c r="A1044" s="139">
        <v>1000</v>
      </c>
      <c r="B1044" s="140" t="s">
        <v>5506</v>
      </c>
      <c r="C1044" s="141" t="s">
        <v>2373</v>
      </c>
      <c r="D1044" s="142" t="s">
        <v>2374</v>
      </c>
      <c r="E1044" s="141" t="s">
        <v>2696</v>
      </c>
      <c r="F1044" s="142" t="s">
        <v>2402</v>
      </c>
      <c r="G1044" s="141" t="s">
        <v>2762</v>
      </c>
      <c r="H1044" s="142" t="s">
        <v>2751</v>
      </c>
      <c r="I1044" s="141" t="s">
        <v>2860</v>
      </c>
      <c r="J1044" s="142" t="s">
        <v>2748</v>
      </c>
      <c r="K1044" s="142" t="s">
        <v>969</v>
      </c>
      <c r="L1044" s="143">
        <f t="shared" si="32"/>
        <v>1</v>
      </c>
      <c r="M1044" s="144" t="s">
        <v>2887</v>
      </c>
      <c r="N1044" s="141" t="s">
        <v>2373</v>
      </c>
      <c r="O1044" s="142" t="s">
        <v>2374</v>
      </c>
      <c r="P1044" s="141" t="s">
        <v>2408</v>
      </c>
      <c r="Q1044" s="142" t="s">
        <v>2402</v>
      </c>
      <c r="R1044" s="141" t="s">
        <v>2750</v>
      </c>
      <c r="S1044" s="142" t="s">
        <v>2751</v>
      </c>
      <c r="T1044" s="141" t="s">
        <v>2752</v>
      </c>
      <c r="U1044" s="142" t="s">
        <v>2748</v>
      </c>
      <c r="V1044" s="142" t="s">
        <v>969</v>
      </c>
      <c r="W1044" s="141">
        <f t="shared" si="33"/>
        <v>2</v>
      </c>
      <c r="X1044" s="143">
        <v>1</v>
      </c>
      <c r="Y1044" s="145"/>
      <c r="AA1044"/>
    </row>
    <row r="1045" spans="1:27" s="115" customFormat="1" ht="13.5" customHeight="1">
      <c r="A1045" s="139">
        <v>1001</v>
      </c>
      <c r="B1045" s="140" t="s">
        <v>5508</v>
      </c>
      <c r="C1045" s="141" t="s">
        <v>2373</v>
      </c>
      <c r="D1045" s="142" t="s">
        <v>2374</v>
      </c>
      <c r="E1045" s="141" t="s">
        <v>2696</v>
      </c>
      <c r="F1045" s="142" t="s">
        <v>2402</v>
      </c>
      <c r="G1045" s="141" t="s">
        <v>2762</v>
      </c>
      <c r="H1045" s="142" t="s">
        <v>2778</v>
      </c>
      <c r="I1045" s="141" t="s">
        <v>2860</v>
      </c>
      <c r="J1045" s="142" t="s">
        <v>213</v>
      </c>
      <c r="K1045" s="142" t="s">
        <v>213</v>
      </c>
      <c r="L1045" s="143">
        <f t="shared" si="32"/>
        <v>1</v>
      </c>
      <c r="M1045" s="144" t="s">
        <v>2799</v>
      </c>
      <c r="N1045" s="141" t="s">
        <v>2373</v>
      </c>
      <c r="O1045" s="142" t="s">
        <v>2374</v>
      </c>
      <c r="P1045" s="141" t="s">
        <v>2408</v>
      </c>
      <c r="Q1045" s="142" t="s">
        <v>2402</v>
      </c>
      <c r="R1045" s="141" t="s">
        <v>2782</v>
      </c>
      <c r="S1045" s="142" t="s">
        <v>2778</v>
      </c>
      <c r="T1045" s="141" t="s">
        <v>2800</v>
      </c>
      <c r="U1045" s="142" t="s">
        <v>213</v>
      </c>
      <c r="V1045" s="142" t="s">
        <v>213</v>
      </c>
      <c r="W1045" s="141">
        <f t="shared" si="33"/>
        <v>2</v>
      </c>
      <c r="X1045" s="143"/>
      <c r="Y1045" s="145" t="s">
        <v>2888</v>
      </c>
      <c r="AA1045"/>
    </row>
    <row r="1046" spans="1:27" s="115" customFormat="1" ht="27" customHeight="1">
      <c r="A1046" s="139">
        <v>1002</v>
      </c>
      <c r="B1046" s="140" t="s">
        <v>5509</v>
      </c>
      <c r="C1046" s="141" t="s">
        <v>2373</v>
      </c>
      <c r="D1046" s="142" t="s">
        <v>2374</v>
      </c>
      <c r="E1046" s="141" t="s">
        <v>2696</v>
      </c>
      <c r="F1046" s="142" t="s">
        <v>2402</v>
      </c>
      <c r="G1046" s="141" t="s">
        <v>2762</v>
      </c>
      <c r="H1046" s="142" t="s">
        <v>2751</v>
      </c>
      <c r="I1046" s="141" t="s">
        <v>2860</v>
      </c>
      <c r="J1046" s="142" t="s">
        <v>2748</v>
      </c>
      <c r="K1046" s="142" t="s">
        <v>944</v>
      </c>
      <c r="L1046" s="143">
        <f t="shared" si="32"/>
        <v>1</v>
      </c>
      <c r="M1046" s="144" t="s">
        <v>2749</v>
      </c>
      <c r="N1046" s="141" t="s">
        <v>2373</v>
      </c>
      <c r="O1046" s="142" t="s">
        <v>2374</v>
      </c>
      <c r="P1046" s="141" t="s">
        <v>2408</v>
      </c>
      <c r="Q1046" s="142" t="s">
        <v>2402</v>
      </c>
      <c r="R1046" s="141" t="s">
        <v>2750</v>
      </c>
      <c r="S1046" s="142" t="s">
        <v>2751</v>
      </c>
      <c r="T1046" s="141" t="s">
        <v>2752</v>
      </c>
      <c r="U1046" s="142" t="s">
        <v>2748</v>
      </c>
      <c r="V1046" s="142" t="s">
        <v>944</v>
      </c>
      <c r="W1046" s="141">
        <f t="shared" si="33"/>
        <v>9</v>
      </c>
      <c r="X1046" s="143"/>
      <c r="Y1046" s="145" t="s">
        <v>2889</v>
      </c>
      <c r="AA1046"/>
    </row>
    <row r="1047" spans="1:27" s="115" customFormat="1" ht="27" customHeight="1">
      <c r="A1047" s="139">
        <v>1003</v>
      </c>
      <c r="B1047" s="140" t="s">
        <v>5510</v>
      </c>
      <c r="C1047" s="141" t="s">
        <v>2373</v>
      </c>
      <c r="D1047" s="142" t="s">
        <v>2374</v>
      </c>
      <c r="E1047" s="141" t="s">
        <v>2696</v>
      </c>
      <c r="F1047" s="142" t="s">
        <v>2402</v>
      </c>
      <c r="G1047" s="141" t="s">
        <v>2762</v>
      </c>
      <c r="H1047" s="142" t="s">
        <v>2751</v>
      </c>
      <c r="I1047" s="141" t="s">
        <v>2860</v>
      </c>
      <c r="J1047" s="142" t="s">
        <v>2748</v>
      </c>
      <c r="K1047" s="142" t="s">
        <v>944</v>
      </c>
      <c r="L1047" s="143">
        <f t="shared" si="32"/>
        <v>1</v>
      </c>
      <c r="M1047" s="144" t="s">
        <v>2749</v>
      </c>
      <c r="N1047" s="141" t="s">
        <v>2373</v>
      </c>
      <c r="O1047" s="142" t="s">
        <v>2374</v>
      </c>
      <c r="P1047" s="141" t="s">
        <v>2408</v>
      </c>
      <c r="Q1047" s="142" t="s">
        <v>2402</v>
      </c>
      <c r="R1047" s="141" t="s">
        <v>2750</v>
      </c>
      <c r="S1047" s="142" t="s">
        <v>2751</v>
      </c>
      <c r="T1047" s="141" t="s">
        <v>2752</v>
      </c>
      <c r="U1047" s="142" t="s">
        <v>2748</v>
      </c>
      <c r="V1047" s="142" t="s">
        <v>944</v>
      </c>
      <c r="W1047" s="141">
        <f t="shared" si="33"/>
        <v>9</v>
      </c>
      <c r="X1047" s="143"/>
      <c r="Y1047" s="145" t="s">
        <v>2659</v>
      </c>
      <c r="AA1047"/>
    </row>
    <row r="1048" spans="1:27" s="115" customFormat="1" ht="27" customHeight="1">
      <c r="A1048" s="139">
        <v>1004</v>
      </c>
      <c r="B1048" s="140" t="s">
        <v>5511</v>
      </c>
      <c r="C1048" s="141" t="s">
        <v>2373</v>
      </c>
      <c r="D1048" s="142" t="s">
        <v>2374</v>
      </c>
      <c r="E1048" s="141" t="s">
        <v>2696</v>
      </c>
      <c r="F1048" s="142" t="s">
        <v>2402</v>
      </c>
      <c r="G1048" s="141" t="s">
        <v>2762</v>
      </c>
      <c r="H1048" s="142" t="s">
        <v>2751</v>
      </c>
      <c r="I1048" s="141" t="s">
        <v>2860</v>
      </c>
      <c r="J1048" s="142" t="s">
        <v>2748</v>
      </c>
      <c r="K1048" s="142" t="s">
        <v>230</v>
      </c>
      <c r="L1048" s="143">
        <f t="shared" si="32"/>
        <v>1</v>
      </c>
      <c r="M1048" s="144" t="s">
        <v>2890</v>
      </c>
      <c r="N1048" s="141" t="s">
        <v>2373</v>
      </c>
      <c r="O1048" s="142" t="s">
        <v>2374</v>
      </c>
      <c r="P1048" s="141" t="s">
        <v>2408</v>
      </c>
      <c r="Q1048" s="142" t="s">
        <v>2402</v>
      </c>
      <c r="R1048" s="141" t="s">
        <v>2750</v>
      </c>
      <c r="S1048" s="142" t="s">
        <v>2751</v>
      </c>
      <c r="T1048" s="141" t="s">
        <v>2752</v>
      </c>
      <c r="U1048" s="142" t="s">
        <v>2748</v>
      </c>
      <c r="V1048" s="142" t="s">
        <v>230</v>
      </c>
      <c r="W1048" s="141">
        <f t="shared" si="33"/>
        <v>1</v>
      </c>
      <c r="X1048" s="143"/>
      <c r="Y1048" s="145"/>
      <c r="AA1048"/>
    </row>
    <row r="1049" spans="1:27" s="115" customFormat="1" ht="27" customHeight="1">
      <c r="A1049" s="139">
        <v>1005</v>
      </c>
      <c r="B1049" s="140" t="s">
        <v>5512</v>
      </c>
      <c r="C1049" s="141" t="s">
        <v>2373</v>
      </c>
      <c r="D1049" s="142" t="s">
        <v>2374</v>
      </c>
      <c r="E1049" s="141" t="s">
        <v>2696</v>
      </c>
      <c r="F1049" s="142" t="s">
        <v>2402</v>
      </c>
      <c r="G1049" s="141" t="s">
        <v>2762</v>
      </c>
      <c r="H1049" s="142" t="s">
        <v>2751</v>
      </c>
      <c r="I1049" s="141" t="s">
        <v>2860</v>
      </c>
      <c r="J1049" s="142" t="s">
        <v>2748</v>
      </c>
      <c r="K1049" s="142" t="s">
        <v>944</v>
      </c>
      <c r="L1049" s="143">
        <f t="shared" si="32"/>
        <v>1</v>
      </c>
      <c r="M1049" s="144" t="s">
        <v>2749</v>
      </c>
      <c r="N1049" s="141" t="s">
        <v>2373</v>
      </c>
      <c r="O1049" s="142" t="s">
        <v>2374</v>
      </c>
      <c r="P1049" s="141" t="s">
        <v>2408</v>
      </c>
      <c r="Q1049" s="142" t="s">
        <v>2402</v>
      </c>
      <c r="R1049" s="141" t="s">
        <v>2750</v>
      </c>
      <c r="S1049" s="142" t="s">
        <v>2751</v>
      </c>
      <c r="T1049" s="141" t="s">
        <v>2752</v>
      </c>
      <c r="U1049" s="142" t="s">
        <v>2748</v>
      </c>
      <c r="V1049" s="142" t="s">
        <v>944</v>
      </c>
      <c r="W1049" s="141">
        <f t="shared" si="33"/>
        <v>9</v>
      </c>
      <c r="X1049" s="143">
        <v>1</v>
      </c>
      <c r="Y1049" s="145"/>
      <c r="AA1049"/>
    </row>
    <row r="1050" spans="1:27" s="115" customFormat="1" ht="27" customHeight="1">
      <c r="A1050" s="139">
        <v>1006</v>
      </c>
      <c r="B1050" s="140" t="s">
        <v>5513</v>
      </c>
      <c r="C1050" s="141" t="s">
        <v>2373</v>
      </c>
      <c r="D1050" s="142" t="s">
        <v>2374</v>
      </c>
      <c r="E1050" s="141" t="s">
        <v>2696</v>
      </c>
      <c r="F1050" s="142" t="s">
        <v>2402</v>
      </c>
      <c r="G1050" s="141" t="s">
        <v>2891</v>
      </c>
      <c r="H1050" s="142" t="s">
        <v>2778</v>
      </c>
      <c r="I1050" s="141" t="s">
        <v>2892</v>
      </c>
      <c r="J1050" s="142" t="s">
        <v>2780</v>
      </c>
      <c r="K1050" s="142" t="s">
        <v>956</v>
      </c>
      <c r="L1050" s="143">
        <f t="shared" si="32"/>
        <v>1</v>
      </c>
      <c r="M1050" s="144" t="s">
        <v>2798</v>
      </c>
      <c r="N1050" s="141" t="s">
        <v>2373</v>
      </c>
      <c r="O1050" s="142" t="s">
        <v>2374</v>
      </c>
      <c r="P1050" s="141" t="s">
        <v>2408</v>
      </c>
      <c r="Q1050" s="142" t="s">
        <v>2402</v>
      </c>
      <c r="R1050" s="141" t="s">
        <v>2782</v>
      </c>
      <c r="S1050" s="142" t="s">
        <v>2778</v>
      </c>
      <c r="T1050" s="141" t="s">
        <v>2783</v>
      </c>
      <c r="U1050" s="142" t="s">
        <v>2780</v>
      </c>
      <c r="V1050" s="142" t="s">
        <v>956</v>
      </c>
      <c r="W1050" s="141">
        <f t="shared" si="33"/>
        <v>3</v>
      </c>
      <c r="X1050" s="143"/>
      <c r="Y1050" s="145" t="s">
        <v>2893</v>
      </c>
      <c r="AA1050"/>
    </row>
    <row r="1051" spans="1:27" s="115" customFormat="1" ht="27" customHeight="1">
      <c r="A1051" s="139">
        <v>1007</v>
      </c>
      <c r="B1051" s="140" t="s">
        <v>5514</v>
      </c>
      <c r="C1051" s="141" t="s">
        <v>2373</v>
      </c>
      <c r="D1051" s="142" t="s">
        <v>2374</v>
      </c>
      <c r="E1051" s="141" t="s">
        <v>2696</v>
      </c>
      <c r="F1051" s="142" t="s">
        <v>2402</v>
      </c>
      <c r="G1051" s="141" t="s">
        <v>2891</v>
      </c>
      <c r="H1051" s="142" t="s">
        <v>2742</v>
      </c>
      <c r="I1051" s="141" t="s">
        <v>2892</v>
      </c>
      <c r="J1051" s="142" t="s">
        <v>2826</v>
      </c>
      <c r="K1051" s="142" t="s">
        <v>958</v>
      </c>
      <c r="L1051" s="143">
        <f t="shared" si="32"/>
        <v>1</v>
      </c>
      <c r="M1051" s="144" t="s">
        <v>2831</v>
      </c>
      <c r="N1051" s="141" t="s">
        <v>2373</v>
      </c>
      <c r="O1051" s="142" t="s">
        <v>2374</v>
      </c>
      <c r="P1051" s="141" t="s">
        <v>2408</v>
      </c>
      <c r="Q1051" s="142" t="s">
        <v>2402</v>
      </c>
      <c r="R1051" s="141" t="s">
        <v>2741</v>
      </c>
      <c r="S1051" s="142" t="s">
        <v>2742</v>
      </c>
      <c r="T1051" s="141" t="s">
        <v>2827</v>
      </c>
      <c r="U1051" s="142" t="s">
        <v>2826</v>
      </c>
      <c r="V1051" s="142" t="s">
        <v>958</v>
      </c>
      <c r="W1051" s="141">
        <f t="shared" si="33"/>
        <v>2</v>
      </c>
      <c r="X1051" s="143">
        <v>1</v>
      </c>
      <c r="Y1051" s="145"/>
      <c r="AA1051"/>
    </row>
    <row r="1052" spans="1:27" s="115" customFormat="1" ht="27" customHeight="1">
      <c r="A1052" s="139">
        <v>1008</v>
      </c>
      <c r="B1052" s="140" t="s">
        <v>5515</v>
      </c>
      <c r="C1052" s="141" t="s">
        <v>2373</v>
      </c>
      <c r="D1052" s="142" t="s">
        <v>2374</v>
      </c>
      <c r="E1052" s="141" t="s">
        <v>2696</v>
      </c>
      <c r="F1052" s="142" t="s">
        <v>2402</v>
      </c>
      <c r="G1052" s="141" t="s">
        <v>2891</v>
      </c>
      <c r="H1052" s="142" t="s">
        <v>2751</v>
      </c>
      <c r="I1052" s="141" t="s">
        <v>2892</v>
      </c>
      <c r="J1052" s="142" t="s">
        <v>2894</v>
      </c>
      <c r="K1052" s="142" t="s">
        <v>970</v>
      </c>
      <c r="L1052" s="143">
        <f t="shared" si="32"/>
        <v>1</v>
      </c>
      <c r="M1052" s="144" t="s">
        <v>2895</v>
      </c>
      <c r="N1052" s="141" t="s">
        <v>2373</v>
      </c>
      <c r="O1052" s="142" t="s">
        <v>2374</v>
      </c>
      <c r="P1052" s="141" t="s">
        <v>2408</v>
      </c>
      <c r="Q1052" s="142" t="s">
        <v>2402</v>
      </c>
      <c r="R1052" s="141" t="s">
        <v>2750</v>
      </c>
      <c r="S1052" s="142" t="s">
        <v>2751</v>
      </c>
      <c r="T1052" s="141" t="s">
        <v>2896</v>
      </c>
      <c r="U1052" s="142" t="s">
        <v>2894</v>
      </c>
      <c r="V1052" s="142" t="s">
        <v>970</v>
      </c>
      <c r="W1052" s="141">
        <f t="shared" si="33"/>
        <v>1</v>
      </c>
      <c r="X1052" s="143"/>
      <c r="Y1052" s="145"/>
      <c r="AA1052"/>
    </row>
    <row r="1053" spans="1:27" s="115" customFormat="1" ht="27" customHeight="1">
      <c r="A1053" s="139">
        <v>1009</v>
      </c>
      <c r="B1053" s="140" t="s">
        <v>5516</v>
      </c>
      <c r="C1053" s="141" t="s">
        <v>2373</v>
      </c>
      <c r="D1053" s="142" t="s">
        <v>2374</v>
      </c>
      <c r="E1053" s="141" t="s">
        <v>2696</v>
      </c>
      <c r="F1053" s="142" t="s">
        <v>2402</v>
      </c>
      <c r="G1053" s="141" t="s">
        <v>2891</v>
      </c>
      <c r="H1053" s="142" t="s">
        <v>2751</v>
      </c>
      <c r="I1053" s="141" t="s">
        <v>2892</v>
      </c>
      <c r="J1053" s="142" t="s">
        <v>2894</v>
      </c>
      <c r="K1053" s="142" t="s">
        <v>971</v>
      </c>
      <c r="L1053" s="143">
        <f t="shared" si="32"/>
        <v>1</v>
      </c>
      <c r="M1053" s="144" t="s">
        <v>2897</v>
      </c>
      <c r="N1053" s="141" t="s">
        <v>2373</v>
      </c>
      <c r="O1053" s="142" t="s">
        <v>2374</v>
      </c>
      <c r="P1053" s="141" t="s">
        <v>2408</v>
      </c>
      <c r="Q1053" s="142" t="s">
        <v>2402</v>
      </c>
      <c r="R1053" s="141" t="s">
        <v>2750</v>
      </c>
      <c r="S1053" s="142" t="s">
        <v>2751</v>
      </c>
      <c r="T1053" s="141" t="s">
        <v>2896</v>
      </c>
      <c r="U1053" s="142" t="s">
        <v>2894</v>
      </c>
      <c r="V1053" s="142" t="s">
        <v>971</v>
      </c>
      <c r="W1053" s="141">
        <f t="shared" si="33"/>
        <v>3</v>
      </c>
      <c r="X1053" s="143"/>
      <c r="Y1053" s="145" t="s">
        <v>2898</v>
      </c>
      <c r="AA1053"/>
    </row>
    <row r="1054" spans="1:27" s="115" customFormat="1" ht="27" customHeight="1">
      <c r="A1054" s="139">
        <v>1010</v>
      </c>
      <c r="B1054" s="140" t="s">
        <v>5517</v>
      </c>
      <c r="C1054" s="141" t="s">
        <v>2373</v>
      </c>
      <c r="D1054" s="142" t="s">
        <v>2374</v>
      </c>
      <c r="E1054" s="141" t="s">
        <v>2696</v>
      </c>
      <c r="F1054" s="142" t="s">
        <v>2402</v>
      </c>
      <c r="G1054" s="141" t="s">
        <v>2891</v>
      </c>
      <c r="H1054" s="142" t="s">
        <v>2751</v>
      </c>
      <c r="I1054" s="141" t="s">
        <v>2892</v>
      </c>
      <c r="J1054" s="142" t="s">
        <v>2894</v>
      </c>
      <c r="K1054" s="142" t="s">
        <v>971</v>
      </c>
      <c r="L1054" s="143">
        <f t="shared" si="32"/>
        <v>1</v>
      </c>
      <c r="M1054" s="144" t="s">
        <v>2897</v>
      </c>
      <c r="N1054" s="141" t="s">
        <v>2373</v>
      </c>
      <c r="O1054" s="142" t="s">
        <v>2374</v>
      </c>
      <c r="P1054" s="141" t="s">
        <v>2408</v>
      </c>
      <c r="Q1054" s="142" t="s">
        <v>2402</v>
      </c>
      <c r="R1054" s="141" t="s">
        <v>2750</v>
      </c>
      <c r="S1054" s="142" t="s">
        <v>2751</v>
      </c>
      <c r="T1054" s="141" t="s">
        <v>2896</v>
      </c>
      <c r="U1054" s="142" t="s">
        <v>2894</v>
      </c>
      <c r="V1054" s="142" t="s">
        <v>971</v>
      </c>
      <c r="W1054" s="141">
        <f t="shared" si="33"/>
        <v>3</v>
      </c>
      <c r="X1054" s="143"/>
      <c r="Y1054" s="145" t="s">
        <v>2899</v>
      </c>
      <c r="AA1054"/>
    </row>
    <row r="1055" spans="1:27" s="115" customFormat="1" ht="13.5" customHeight="1">
      <c r="A1055" s="139">
        <v>1011</v>
      </c>
      <c r="B1055" s="140" t="s">
        <v>5518</v>
      </c>
      <c r="C1055" s="141" t="s">
        <v>2373</v>
      </c>
      <c r="D1055" s="142" t="s">
        <v>2374</v>
      </c>
      <c r="E1055" s="141" t="s">
        <v>2696</v>
      </c>
      <c r="F1055" s="142" t="s">
        <v>2402</v>
      </c>
      <c r="G1055" s="141" t="s">
        <v>2891</v>
      </c>
      <c r="H1055" s="142" t="s">
        <v>2751</v>
      </c>
      <c r="I1055" s="141" t="s">
        <v>2892</v>
      </c>
      <c r="J1055" s="142" t="s">
        <v>2894</v>
      </c>
      <c r="K1055" s="142" t="s">
        <v>972</v>
      </c>
      <c r="L1055" s="143">
        <f t="shared" si="32"/>
        <v>1</v>
      </c>
      <c r="M1055" s="144" t="s">
        <v>2900</v>
      </c>
      <c r="N1055" s="141" t="s">
        <v>2373</v>
      </c>
      <c r="O1055" s="142" t="s">
        <v>2374</v>
      </c>
      <c r="P1055" s="141" t="s">
        <v>2408</v>
      </c>
      <c r="Q1055" s="142" t="s">
        <v>2402</v>
      </c>
      <c r="R1055" s="141" t="s">
        <v>2750</v>
      </c>
      <c r="S1055" s="142" t="s">
        <v>2751</v>
      </c>
      <c r="T1055" s="141" t="s">
        <v>2896</v>
      </c>
      <c r="U1055" s="142" t="s">
        <v>2894</v>
      </c>
      <c r="V1055" s="142" t="s">
        <v>972</v>
      </c>
      <c r="W1055" s="141">
        <f t="shared" si="33"/>
        <v>1</v>
      </c>
      <c r="X1055" s="143"/>
      <c r="Y1055" s="145"/>
      <c r="AA1055"/>
    </row>
    <row r="1056" spans="1:27" s="115" customFormat="1" ht="13.5" customHeight="1">
      <c r="A1056" s="139">
        <v>1012</v>
      </c>
      <c r="B1056" s="140" t="s">
        <v>5519</v>
      </c>
      <c r="C1056" s="141" t="s">
        <v>2373</v>
      </c>
      <c r="D1056" s="142" t="s">
        <v>2374</v>
      </c>
      <c r="E1056" s="141" t="s">
        <v>2696</v>
      </c>
      <c r="F1056" s="142" t="s">
        <v>2402</v>
      </c>
      <c r="G1056" s="141" t="s">
        <v>2891</v>
      </c>
      <c r="H1056" s="142" t="s">
        <v>2751</v>
      </c>
      <c r="I1056" s="141" t="s">
        <v>2892</v>
      </c>
      <c r="J1056" s="142" t="s">
        <v>2894</v>
      </c>
      <c r="K1056" s="142" t="s">
        <v>971</v>
      </c>
      <c r="L1056" s="143">
        <f t="shared" si="32"/>
        <v>1</v>
      </c>
      <c r="M1056" s="144" t="s">
        <v>2897</v>
      </c>
      <c r="N1056" s="141" t="s">
        <v>2373</v>
      </c>
      <c r="O1056" s="142" t="s">
        <v>2374</v>
      </c>
      <c r="P1056" s="141" t="s">
        <v>2408</v>
      </c>
      <c r="Q1056" s="142" t="s">
        <v>2402</v>
      </c>
      <c r="R1056" s="141" t="s">
        <v>2750</v>
      </c>
      <c r="S1056" s="142" t="s">
        <v>2751</v>
      </c>
      <c r="T1056" s="141" t="s">
        <v>2896</v>
      </c>
      <c r="U1056" s="142" t="s">
        <v>2894</v>
      </c>
      <c r="V1056" s="142" t="s">
        <v>971</v>
      </c>
      <c r="W1056" s="141">
        <f t="shared" si="33"/>
        <v>3</v>
      </c>
      <c r="X1056" s="143">
        <v>1</v>
      </c>
      <c r="Y1056" s="145"/>
      <c r="AA1056"/>
    </row>
    <row r="1057" spans="1:27" s="115" customFormat="1" ht="13.5" customHeight="1">
      <c r="A1057" s="139">
        <v>1013</v>
      </c>
      <c r="B1057" s="140" t="s">
        <v>5520</v>
      </c>
      <c r="C1057" s="141" t="s">
        <v>2373</v>
      </c>
      <c r="D1057" s="142" t="s">
        <v>2374</v>
      </c>
      <c r="E1057" s="141" t="s">
        <v>2696</v>
      </c>
      <c r="F1057" s="142" t="s">
        <v>2402</v>
      </c>
      <c r="G1057" s="141" t="s">
        <v>2901</v>
      </c>
      <c r="H1057" s="142" t="s">
        <v>2772</v>
      </c>
      <c r="I1057" s="141" t="s">
        <v>2902</v>
      </c>
      <c r="J1057" s="142" t="s">
        <v>2903</v>
      </c>
      <c r="K1057" s="142" t="s">
        <v>973</v>
      </c>
      <c r="L1057" s="143">
        <f t="shared" si="32"/>
        <v>1</v>
      </c>
      <c r="M1057" s="144" t="s">
        <v>2904</v>
      </c>
      <c r="N1057" s="141" t="s">
        <v>2373</v>
      </c>
      <c r="O1057" s="142" t="s">
        <v>2374</v>
      </c>
      <c r="P1057" s="141" t="s">
        <v>2408</v>
      </c>
      <c r="Q1057" s="142" t="s">
        <v>2402</v>
      </c>
      <c r="R1057" s="141" t="s">
        <v>2775</v>
      </c>
      <c r="S1057" s="142" t="s">
        <v>2772</v>
      </c>
      <c r="T1057" s="141" t="s">
        <v>2905</v>
      </c>
      <c r="U1057" s="142" t="s">
        <v>2903</v>
      </c>
      <c r="V1057" s="142" t="s">
        <v>973</v>
      </c>
      <c r="W1057" s="141">
        <f t="shared" si="33"/>
        <v>2</v>
      </c>
      <c r="X1057" s="143">
        <v>1</v>
      </c>
      <c r="Y1057" s="145"/>
      <c r="AA1057"/>
    </row>
    <row r="1058" spans="1:27" s="115" customFormat="1" ht="13.5" customHeight="1">
      <c r="A1058" s="139">
        <v>1014</v>
      </c>
      <c r="B1058" s="140" t="s">
        <v>5521</v>
      </c>
      <c r="C1058" s="141" t="s">
        <v>2373</v>
      </c>
      <c r="D1058" s="142" t="s">
        <v>2374</v>
      </c>
      <c r="E1058" s="141" t="s">
        <v>2696</v>
      </c>
      <c r="F1058" s="142" t="s">
        <v>2402</v>
      </c>
      <c r="G1058" s="141" t="s">
        <v>2901</v>
      </c>
      <c r="H1058" s="142" t="s">
        <v>2772</v>
      </c>
      <c r="I1058" s="141" t="s">
        <v>2902</v>
      </c>
      <c r="J1058" s="142" t="s">
        <v>2903</v>
      </c>
      <c r="K1058" s="142" t="s">
        <v>231</v>
      </c>
      <c r="L1058" s="143">
        <f t="shared" si="32"/>
        <v>1</v>
      </c>
      <c r="M1058" s="144" t="s">
        <v>2906</v>
      </c>
      <c r="N1058" s="141" t="s">
        <v>2373</v>
      </c>
      <c r="O1058" s="142" t="s">
        <v>2374</v>
      </c>
      <c r="P1058" s="141" t="s">
        <v>2408</v>
      </c>
      <c r="Q1058" s="142" t="s">
        <v>2402</v>
      </c>
      <c r="R1058" s="141" t="s">
        <v>2775</v>
      </c>
      <c r="S1058" s="142" t="s">
        <v>2772</v>
      </c>
      <c r="T1058" s="141" t="s">
        <v>2905</v>
      </c>
      <c r="U1058" s="142" t="s">
        <v>2903</v>
      </c>
      <c r="V1058" s="142" t="s">
        <v>231</v>
      </c>
      <c r="W1058" s="141">
        <f t="shared" si="33"/>
        <v>1</v>
      </c>
      <c r="X1058" s="143"/>
      <c r="Y1058" s="145"/>
      <c r="AA1058"/>
    </row>
    <row r="1059" spans="1:27" s="115" customFormat="1" ht="13.5" customHeight="1">
      <c r="A1059" s="139">
        <v>1015</v>
      </c>
      <c r="B1059" s="140" t="s">
        <v>5522</v>
      </c>
      <c r="C1059" s="141" t="s">
        <v>2373</v>
      </c>
      <c r="D1059" s="142" t="s">
        <v>2374</v>
      </c>
      <c r="E1059" s="141" t="s">
        <v>2696</v>
      </c>
      <c r="F1059" s="142" t="s">
        <v>2402</v>
      </c>
      <c r="G1059" s="141" t="s">
        <v>2901</v>
      </c>
      <c r="H1059" s="142" t="s">
        <v>2772</v>
      </c>
      <c r="I1059" s="141" t="s">
        <v>2902</v>
      </c>
      <c r="J1059" s="142" t="s">
        <v>2903</v>
      </c>
      <c r="K1059" s="142" t="s">
        <v>974</v>
      </c>
      <c r="L1059" s="143">
        <f t="shared" si="32"/>
        <v>1</v>
      </c>
      <c r="M1059" s="144" t="s">
        <v>2907</v>
      </c>
      <c r="N1059" s="141" t="s">
        <v>2373</v>
      </c>
      <c r="O1059" s="142" t="s">
        <v>2374</v>
      </c>
      <c r="P1059" s="141" t="s">
        <v>2408</v>
      </c>
      <c r="Q1059" s="142" t="s">
        <v>2908</v>
      </c>
      <c r="R1059" s="141" t="s">
        <v>2775</v>
      </c>
      <c r="S1059" s="142" t="s">
        <v>2772</v>
      </c>
      <c r="T1059" s="141" t="s">
        <v>2905</v>
      </c>
      <c r="U1059" s="142" t="s">
        <v>2903</v>
      </c>
      <c r="V1059" s="142" t="s">
        <v>974</v>
      </c>
      <c r="W1059" s="141">
        <f t="shared" si="33"/>
        <v>3</v>
      </c>
      <c r="X1059" s="143">
        <v>1</v>
      </c>
      <c r="Y1059" s="145"/>
      <c r="AA1059"/>
    </row>
    <row r="1060" spans="1:27" s="115" customFormat="1" ht="13.5" customHeight="1">
      <c r="A1060" s="139">
        <v>1016</v>
      </c>
      <c r="B1060" s="140" t="s">
        <v>6066</v>
      </c>
      <c r="C1060" s="141" t="s">
        <v>2373</v>
      </c>
      <c r="D1060" s="142" t="s">
        <v>2374</v>
      </c>
      <c r="E1060" s="141" t="s">
        <v>2696</v>
      </c>
      <c r="F1060" s="142" t="s">
        <v>2402</v>
      </c>
      <c r="G1060" s="141" t="s">
        <v>2901</v>
      </c>
      <c r="H1060" s="142" t="s">
        <v>2772</v>
      </c>
      <c r="I1060" s="141" t="s">
        <v>2902</v>
      </c>
      <c r="J1060" s="142" t="s">
        <v>2903</v>
      </c>
      <c r="K1060" s="142" t="s">
        <v>975</v>
      </c>
      <c r="L1060" s="143">
        <f t="shared" si="32"/>
        <v>2</v>
      </c>
      <c r="M1060" s="144">
        <v>47911</v>
      </c>
      <c r="N1060" s="141" t="s">
        <v>2373</v>
      </c>
      <c r="O1060" s="142" t="s">
        <v>2374</v>
      </c>
      <c r="P1060" s="141" t="s">
        <v>2408</v>
      </c>
      <c r="Q1060" s="142" t="s">
        <v>2402</v>
      </c>
      <c r="R1060" s="141" t="s">
        <v>2775</v>
      </c>
      <c r="S1060" s="142" t="s">
        <v>2772</v>
      </c>
      <c r="T1060" s="141" t="s">
        <v>2905</v>
      </c>
      <c r="U1060" s="142" t="s">
        <v>2903</v>
      </c>
      <c r="V1060" s="142" t="s">
        <v>974</v>
      </c>
      <c r="W1060" s="141">
        <f t="shared" si="33"/>
        <v>3</v>
      </c>
      <c r="X1060" s="143"/>
      <c r="Y1060" s="145" t="s">
        <v>2909</v>
      </c>
      <c r="AA1060"/>
    </row>
    <row r="1061" spans="1:27" s="115" customFormat="1" ht="13.5" customHeight="1">
      <c r="A1061" s="139">
        <v>1016</v>
      </c>
      <c r="B1061" s="140" t="s">
        <v>6066</v>
      </c>
      <c r="C1061" s="141" t="s">
        <v>2373</v>
      </c>
      <c r="D1061" s="142" t="s">
        <v>2374</v>
      </c>
      <c r="E1061" s="141" t="s">
        <v>2696</v>
      </c>
      <c r="F1061" s="142" t="s">
        <v>2402</v>
      </c>
      <c r="G1061" s="141" t="s">
        <v>2901</v>
      </c>
      <c r="H1061" s="142" t="s">
        <v>2772</v>
      </c>
      <c r="I1061" s="141" t="s">
        <v>2902</v>
      </c>
      <c r="J1061" s="142" t="s">
        <v>2903</v>
      </c>
      <c r="K1061" s="142" t="s">
        <v>975</v>
      </c>
      <c r="L1061" s="143">
        <f t="shared" si="32"/>
        <v>2</v>
      </c>
      <c r="M1061" s="144" t="s">
        <v>2904</v>
      </c>
      <c r="N1061" s="141" t="s">
        <v>2373</v>
      </c>
      <c r="O1061" s="142" t="s">
        <v>2374</v>
      </c>
      <c r="P1061" s="141" t="s">
        <v>2408</v>
      </c>
      <c r="Q1061" s="142" t="s">
        <v>2402</v>
      </c>
      <c r="R1061" s="141" t="s">
        <v>2775</v>
      </c>
      <c r="S1061" s="142" t="s">
        <v>2772</v>
      </c>
      <c r="T1061" s="141" t="s">
        <v>2905</v>
      </c>
      <c r="U1061" s="142" t="s">
        <v>2903</v>
      </c>
      <c r="V1061" s="142" t="s">
        <v>973</v>
      </c>
      <c r="W1061" s="141">
        <f t="shared" si="33"/>
        <v>2</v>
      </c>
      <c r="X1061" s="143"/>
      <c r="Y1061" s="145" t="s">
        <v>2910</v>
      </c>
      <c r="AA1061"/>
    </row>
    <row r="1062" spans="1:27" s="115" customFormat="1" ht="13.5" customHeight="1">
      <c r="A1062" s="139">
        <v>1017</v>
      </c>
      <c r="B1062" s="150" t="s">
        <v>6067</v>
      </c>
      <c r="C1062" s="151" t="s">
        <v>2373</v>
      </c>
      <c r="D1062" s="152" t="s">
        <v>2374</v>
      </c>
      <c r="E1062" s="151">
        <v>52</v>
      </c>
      <c r="F1062" s="152" t="s">
        <v>2402</v>
      </c>
      <c r="G1062" s="151">
        <v>525</v>
      </c>
      <c r="H1062" s="152" t="s">
        <v>2772</v>
      </c>
      <c r="I1062" s="151">
        <v>5251</v>
      </c>
      <c r="J1062" s="152" t="s">
        <v>2903</v>
      </c>
      <c r="K1062" s="152" t="s">
        <v>2911</v>
      </c>
      <c r="L1062" s="153">
        <v>9</v>
      </c>
      <c r="M1062" s="154">
        <v>47911</v>
      </c>
      <c r="N1062" s="155" t="s">
        <v>2373</v>
      </c>
      <c r="O1062" s="156" t="s">
        <v>2374</v>
      </c>
      <c r="P1062" s="155" t="s">
        <v>2408</v>
      </c>
      <c r="Q1062" s="156" t="s">
        <v>2402</v>
      </c>
      <c r="R1062" s="155" t="s">
        <v>2775</v>
      </c>
      <c r="S1062" s="156" t="s">
        <v>2772</v>
      </c>
      <c r="T1062" s="155" t="s">
        <v>2905</v>
      </c>
      <c r="U1062" s="156" t="s">
        <v>2903</v>
      </c>
      <c r="V1062" s="156" t="s">
        <v>974</v>
      </c>
      <c r="W1062" s="141">
        <f t="shared" si="33"/>
        <v>3</v>
      </c>
      <c r="X1062" s="157"/>
      <c r="Y1062" s="138" t="s">
        <v>2912</v>
      </c>
      <c r="AA1062"/>
    </row>
    <row r="1063" spans="1:27" s="115" customFormat="1" ht="13.5" customHeight="1">
      <c r="A1063" s="139">
        <v>1017</v>
      </c>
      <c r="B1063" s="150" t="s">
        <v>6067</v>
      </c>
      <c r="C1063" s="151" t="s">
        <v>2373</v>
      </c>
      <c r="D1063" s="152" t="s">
        <v>2374</v>
      </c>
      <c r="E1063" s="151">
        <v>52</v>
      </c>
      <c r="F1063" s="152" t="s">
        <v>2402</v>
      </c>
      <c r="G1063" s="151">
        <v>525</v>
      </c>
      <c r="H1063" s="152" t="s">
        <v>2772</v>
      </c>
      <c r="I1063" s="151">
        <v>5251</v>
      </c>
      <c r="J1063" s="152" t="s">
        <v>2903</v>
      </c>
      <c r="K1063" s="152" t="s">
        <v>2911</v>
      </c>
      <c r="L1063" s="153">
        <v>9</v>
      </c>
      <c r="M1063" s="154" t="s">
        <v>2417</v>
      </c>
      <c r="N1063" s="155" t="s">
        <v>2373</v>
      </c>
      <c r="O1063" s="156" t="s">
        <v>2374</v>
      </c>
      <c r="P1063" s="155" t="s">
        <v>2418</v>
      </c>
      <c r="Q1063" s="156" t="s">
        <v>2413</v>
      </c>
      <c r="R1063" s="155" t="s">
        <v>2419</v>
      </c>
      <c r="S1063" s="156" t="s">
        <v>2415</v>
      </c>
      <c r="T1063" s="155" t="s">
        <v>2420</v>
      </c>
      <c r="U1063" s="156" t="s">
        <v>2415</v>
      </c>
      <c r="V1063" s="156" t="s">
        <v>866</v>
      </c>
      <c r="W1063" s="141">
        <f t="shared" si="33"/>
        <v>3</v>
      </c>
      <c r="X1063" s="157"/>
      <c r="Y1063" s="138" t="s">
        <v>2913</v>
      </c>
      <c r="AA1063"/>
    </row>
    <row r="1064" spans="1:27" s="115" customFormat="1" ht="13.5" customHeight="1">
      <c r="A1064" s="139">
        <v>1017</v>
      </c>
      <c r="B1064" s="150" t="s">
        <v>6067</v>
      </c>
      <c r="C1064" s="151" t="s">
        <v>2373</v>
      </c>
      <c r="D1064" s="152" t="s">
        <v>2374</v>
      </c>
      <c r="E1064" s="151">
        <v>52</v>
      </c>
      <c r="F1064" s="152" t="s">
        <v>2402</v>
      </c>
      <c r="G1064" s="151">
        <v>525</v>
      </c>
      <c r="H1064" s="152" t="s">
        <v>2772</v>
      </c>
      <c r="I1064" s="151">
        <v>5251</v>
      </c>
      <c r="J1064" s="152" t="s">
        <v>2903</v>
      </c>
      <c r="K1064" s="152" t="s">
        <v>2911</v>
      </c>
      <c r="L1064" s="153">
        <v>9</v>
      </c>
      <c r="M1064" s="154" t="s">
        <v>2422</v>
      </c>
      <c r="N1064" s="155" t="s">
        <v>2373</v>
      </c>
      <c r="O1064" s="156" t="s">
        <v>2374</v>
      </c>
      <c r="P1064" s="155" t="s">
        <v>2418</v>
      </c>
      <c r="Q1064" s="156" t="s">
        <v>2413</v>
      </c>
      <c r="R1064" s="155" t="s">
        <v>2419</v>
      </c>
      <c r="S1064" s="156" t="s">
        <v>2415</v>
      </c>
      <c r="T1064" s="155" t="s">
        <v>2420</v>
      </c>
      <c r="U1064" s="156" t="s">
        <v>2415</v>
      </c>
      <c r="V1064" s="156" t="s">
        <v>867</v>
      </c>
      <c r="W1064" s="141">
        <f t="shared" si="33"/>
        <v>7</v>
      </c>
      <c r="X1064" s="157"/>
      <c r="Y1064" s="138" t="s">
        <v>2913</v>
      </c>
      <c r="AA1064"/>
    </row>
    <row r="1065" spans="1:27" s="115" customFormat="1" ht="13.5" customHeight="1">
      <c r="A1065" s="139">
        <v>1017</v>
      </c>
      <c r="B1065" s="150" t="s">
        <v>6067</v>
      </c>
      <c r="C1065" s="151" t="s">
        <v>2373</v>
      </c>
      <c r="D1065" s="152" t="s">
        <v>2374</v>
      </c>
      <c r="E1065" s="151">
        <v>52</v>
      </c>
      <c r="F1065" s="152" t="s">
        <v>2402</v>
      </c>
      <c r="G1065" s="151">
        <v>525</v>
      </c>
      <c r="H1065" s="152" t="s">
        <v>2772</v>
      </c>
      <c r="I1065" s="151">
        <v>5251</v>
      </c>
      <c r="J1065" s="152" t="s">
        <v>2903</v>
      </c>
      <c r="K1065" s="152" t="s">
        <v>2911</v>
      </c>
      <c r="L1065" s="153">
        <v>9</v>
      </c>
      <c r="M1065" s="154">
        <v>46103</v>
      </c>
      <c r="N1065" s="155" t="s">
        <v>2373</v>
      </c>
      <c r="O1065" s="156" t="s">
        <v>2374</v>
      </c>
      <c r="P1065" s="155" t="s">
        <v>2418</v>
      </c>
      <c r="Q1065" s="156" t="s">
        <v>2413</v>
      </c>
      <c r="R1065" s="155" t="s">
        <v>2419</v>
      </c>
      <c r="S1065" s="156" t="s">
        <v>2415</v>
      </c>
      <c r="T1065" s="155" t="s">
        <v>2420</v>
      </c>
      <c r="U1065" s="156" t="s">
        <v>2415</v>
      </c>
      <c r="V1065" s="156" t="s">
        <v>2425</v>
      </c>
      <c r="W1065" s="141">
        <f t="shared" si="33"/>
        <v>6</v>
      </c>
      <c r="X1065" s="157"/>
      <c r="Y1065" s="138" t="s">
        <v>2913</v>
      </c>
      <c r="AA1065"/>
    </row>
    <row r="1066" spans="1:27" s="115" customFormat="1" ht="13.5" customHeight="1">
      <c r="A1066" s="139">
        <v>1017</v>
      </c>
      <c r="B1066" s="150" t="s">
        <v>6067</v>
      </c>
      <c r="C1066" s="151" t="s">
        <v>2373</v>
      </c>
      <c r="D1066" s="152" t="s">
        <v>2374</v>
      </c>
      <c r="E1066" s="151">
        <v>52</v>
      </c>
      <c r="F1066" s="152" t="s">
        <v>2402</v>
      </c>
      <c r="G1066" s="151">
        <v>525</v>
      </c>
      <c r="H1066" s="152" t="s">
        <v>2772</v>
      </c>
      <c r="I1066" s="151">
        <v>5251</v>
      </c>
      <c r="J1066" s="152" t="s">
        <v>2903</v>
      </c>
      <c r="K1066" s="152" t="s">
        <v>2911</v>
      </c>
      <c r="L1066" s="153">
        <v>9</v>
      </c>
      <c r="M1066" s="154">
        <v>46104</v>
      </c>
      <c r="N1066" s="155" t="s">
        <v>2373</v>
      </c>
      <c r="O1066" s="156" t="s">
        <v>2374</v>
      </c>
      <c r="P1066" s="155" t="s">
        <v>2418</v>
      </c>
      <c r="Q1066" s="156" t="s">
        <v>2413</v>
      </c>
      <c r="R1066" s="155" t="s">
        <v>2419</v>
      </c>
      <c r="S1066" s="156" t="s">
        <v>2415</v>
      </c>
      <c r="T1066" s="155" t="s">
        <v>2420</v>
      </c>
      <c r="U1066" s="156" t="s">
        <v>2415</v>
      </c>
      <c r="V1066" s="156" t="s">
        <v>2427</v>
      </c>
      <c r="W1066" s="141">
        <f t="shared" si="33"/>
        <v>6</v>
      </c>
      <c r="X1066" s="157"/>
      <c r="Y1066" s="138" t="s">
        <v>2913</v>
      </c>
      <c r="AA1066"/>
    </row>
    <row r="1067" spans="1:27" s="115" customFormat="1" ht="13.5" customHeight="1">
      <c r="A1067" s="139">
        <v>1017</v>
      </c>
      <c r="B1067" s="150" t="s">
        <v>6067</v>
      </c>
      <c r="C1067" s="151" t="s">
        <v>2373</v>
      </c>
      <c r="D1067" s="152" t="s">
        <v>2374</v>
      </c>
      <c r="E1067" s="151">
        <v>52</v>
      </c>
      <c r="F1067" s="152" t="s">
        <v>2402</v>
      </c>
      <c r="G1067" s="151">
        <v>525</v>
      </c>
      <c r="H1067" s="152" t="s">
        <v>2772</v>
      </c>
      <c r="I1067" s="151">
        <v>5251</v>
      </c>
      <c r="J1067" s="152" t="s">
        <v>2903</v>
      </c>
      <c r="K1067" s="152" t="s">
        <v>2911</v>
      </c>
      <c r="L1067" s="153">
        <v>9</v>
      </c>
      <c r="M1067" s="154">
        <v>46105</v>
      </c>
      <c r="N1067" s="155" t="s">
        <v>2373</v>
      </c>
      <c r="O1067" s="156" t="s">
        <v>2374</v>
      </c>
      <c r="P1067" s="155" t="s">
        <v>2418</v>
      </c>
      <c r="Q1067" s="156" t="s">
        <v>2413</v>
      </c>
      <c r="R1067" s="155" t="s">
        <v>2419</v>
      </c>
      <c r="S1067" s="156" t="s">
        <v>2415</v>
      </c>
      <c r="T1067" s="155" t="s">
        <v>2420</v>
      </c>
      <c r="U1067" s="156" t="s">
        <v>2415</v>
      </c>
      <c r="V1067" s="156" t="s">
        <v>2429</v>
      </c>
      <c r="W1067" s="141">
        <f t="shared" si="33"/>
        <v>6</v>
      </c>
      <c r="X1067" s="157"/>
      <c r="Y1067" s="138" t="s">
        <v>2913</v>
      </c>
      <c r="AA1067"/>
    </row>
    <row r="1068" spans="1:27" s="115" customFormat="1" ht="13.5" customHeight="1">
      <c r="A1068" s="139">
        <v>1017</v>
      </c>
      <c r="B1068" s="150" t="s">
        <v>6067</v>
      </c>
      <c r="C1068" s="151" t="s">
        <v>2373</v>
      </c>
      <c r="D1068" s="152" t="s">
        <v>2374</v>
      </c>
      <c r="E1068" s="151">
        <v>52</v>
      </c>
      <c r="F1068" s="152" t="s">
        <v>2402</v>
      </c>
      <c r="G1068" s="151">
        <v>525</v>
      </c>
      <c r="H1068" s="152" t="s">
        <v>2772</v>
      </c>
      <c r="I1068" s="151">
        <v>5251</v>
      </c>
      <c r="J1068" s="152" t="s">
        <v>2903</v>
      </c>
      <c r="K1068" s="152" t="s">
        <v>2911</v>
      </c>
      <c r="L1068" s="153">
        <v>9</v>
      </c>
      <c r="M1068" s="154">
        <v>46106</v>
      </c>
      <c r="N1068" s="155" t="s">
        <v>2373</v>
      </c>
      <c r="O1068" s="156" t="s">
        <v>2374</v>
      </c>
      <c r="P1068" s="155" t="s">
        <v>2418</v>
      </c>
      <c r="Q1068" s="156" t="s">
        <v>2413</v>
      </c>
      <c r="R1068" s="155" t="s">
        <v>2419</v>
      </c>
      <c r="S1068" s="156" t="s">
        <v>2415</v>
      </c>
      <c r="T1068" s="155" t="s">
        <v>2420</v>
      </c>
      <c r="U1068" s="156" t="s">
        <v>2415</v>
      </c>
      <c r="V1068" s="156" t="s">
        <v>2431</v>
      </c>
      <c r="W1068" s="141">
        <f t="shared" si="33"/>
        <v>6</v>
      </c>
      <c r="X1068" s="157"/>
      <c r="Y1068" s="138" t="s">
        <v>2913</v>
      </c>
      <c r="AA1068"/>
    </row>
    <row r="1069" spans="1:27" s="115" customFormat="1" ht="13.5" customHeight="1">
      <c r="A1069" s="139">
        <v>1017</v>
      </c>
      <c r="B1069" s="150" t="s">
        <v>6067</v>
      </c>
      <c r="C1069" s="151" t="s">
        <v>2373</v>
      </c>
      <c r="D1069" s="152" t="s">
        <v>2374</v>
      </c>
      <c r="E1069" s="151">
        <v>52</v>
      </c>
      <c r="F1069" s="152" t="s">
        <v>2402</v>
      </c>
      <c r="G1069" s="151">
        <v>525</v>
      </c>
      <c r="H1069" s="152" t="s">
        <v>2772</v>
      </c>
      <c r="I1069" s="151">
        <v>5251</v>
      </c>
      <c r="J1069" s="152" t="s">
        <v>2903</v>
      </c>
      <c r="K1069" s="152" t="s">
        <v>2911</v>
      </c>
      <c r="L1069" s="153">
        <v>9</v>
      </c>
      <c r="M1069" s="154">
        <v>46107</v>
      </c>
      <c r="N1069" s="155" t="s">
        <v>2373</v>
      </c>
      <c r="O1069" s="156" t="s">
        <v>2374</v>
      </c>
      <c r="P1069" s="155" t="s">
        <v>2418</v>
      </c>
      <c r="Q1069" s="156" t="s">
        <v>2413</v>
      </c>
      <c r="R1069" s="155" t="s">
        <v>2419</v>
      </c>
      <c r="S1069" s="156" t="s">
        <v>2415</v>
      </c>
      <c r="T1069" s="155" t="s">
        <v>2420</v>
      </c>
      <c r="U1069" s="156" t="s">
        <v>2415</v>
      </c>
      <c r="V1069" s="156" t="s">
        <v>2433</v>
      </c>
      <c r="W1069" s="141">
        <f t="shared" si="33"/>
        <v>3</v>
      </c>
      <c r="X1069" s="157"/>
      <c r="Y1069" s="138" t="s">
        <v>2913</v>
      </c>
      <c r="AA1069"/>
    </row>
    <row r="1070" spans="1:27" s="115" customFormat="1" ht="13.5" customHeight="1">
      <c r="A1070" s="139">
        <v>1017</v>
      </c>
      <c r="B1070" s="150" t="s">
        <v>6067</v>
      </c>
      <c r="C1070" s="151" t="s">
        <v>2373</v>
      </c>
      <c r="D1070" s="152" t="s">
        <v>2374</v>
      </c>
      <c r="E1070" s="151">
        <v>52</v>
      </c>
      <c r="F1070" s="152" t="s">
        <v>2402</v>
      </c>
      <c r="G1070" s="151">
        <v>525</v>
      </c>
      <c r="H1070" s="152" t="s">
        <v>2772</v>
      </c>
      <c r="I1070" s="151">
        <v>5251</v>
      </c>
      <c r="J1070" s="152" t="s">
        <v>2903</v>
      </c>
      <c r="K1070" s="152" t="s">
        <v>2911</v>
      </c>
      <c r="L1070" s="153">
        <v>9</v>
      </c>
      <c r="M1070" s="154">
        <v>46109</v>
      </c>
      <c r="N1070" s="155" t="s">
        <v>2373</v>
      </c>
      <c r="O1070" s="156" t="s">
        <v>2374</v>
      </c>
      <c r="P1070" s="155" t="s">
        <v>2418</v>
      </c>
      <c r="Q1070" s="156" t="s">
        <v>2413</v>
      </c>
      <c r="R1070" s="155" t="s">
        <v>2419</v>
      </c>
      <c r="S1070" s="156" t="s">
        <v>2415</v>
      </c>
      <c r="T1070" s="155" t="s">
        <v>2420</v>
      </c>
      <c r="U1070" s="156" t="s">
        <v>2415</v>
      </c>
      <c r="V1070" s="156" t="s">
        <v>2435</v>
      </c>
      <c r="W1070" s="141">
        <f t="shared" si="33"/>
        <v>5</v>
      </c>
      <c r="X1070" s="157"/>
      <c r="Y1070" s="138" t="s">
        <v>2913</v>
      </c>
      <c r="AA1070"/>
    </row>
    <row r="1071" spans="1:27" s="115" customFormat="1" ht="13.5" customHeight="1">
      <c r="A1071" s="139">
        <v>1018</v>
      </c>
      <c r="B1071" s="140" t="s">
        <v>5523</v>
      </c>
      <c r="C1071" s="141" t="s">
        <v>2373</v>
      </c>
      <c r="D1071" s="142" t="s">
        <v>2374</v>
      </c>
      <c r="E1071" s="141" t="s">
        <v>2696</v>
      </c>
      <c r="F1071" s="142" t="s">
        <v>2402</v>
      </c>
      <c r="G1071" s="141" t="s">
        <v>2901</v>
      </c>
      <c r="H1071" s="142" t="s">
        <v>2772</v>
      </c>
      <c r="I1071" s="141" t="s">
        <v>2914</v>
      </c>
      <c r="J1071" s="142" t="s">
        <v>2773</v>
      </c>
      <c r="K1071" s="142" t="s">
        <v>211</v>
      </c>
      <c r="L1071" s="143">
        <f t="shared" ref="L1071:L1134" si="34">COUNTIF($B$5:$B$1752,B1071)</f>
        <v>1</v>
      </c>
      <c r="M1071" s="144" t="s">
        <v>2774</v>
      </c>
      <c r="N1071" s="141" t="s">
        <v>2373</v>
      </c>
      <c r="O1071" s="142" t="s">
        <v>2374</v>
      </c>
      <c r="P1071" s="141" t="s">
        <v>2408</v>
      </c>
      <c r="Q1071" s="142" t="s">
        <v>2402</v>
      </c>
      <c r="R1071" s="141" t="s">
        <v>2775</v>
      </c>
      <c r="S1071" s="142" t="s">
        <v>2772</v>
      </c>
      <c r="T1071" s="141" t="s">
        <v>2776</v>
      </c>
      <c r="U1071" s="142" t="s">
        <v>2773</v>
      </c>
      <c r="V1071" s="142" t="s">
        <v>211</v>
      </c>
      <c r="W1071" s="141">
        <f t="shared" si="33"/>
        <v>2</v>
      </c>
      <c r="X1071" s="143">
        <v>2</v>
      </c>
      <c r="Y1071" s="145" t="s">
        <v>2915</v>
      </c>
      <c r="AA1071"/>
    </row>
    <row r="1072" spans="1:27" s="115" customFormat="1" ht="13.5" customHeight="1">
      <c r="A1072" s="139">
        <v>1019</v>
      </c>
      <c r="B1072" s="140" t="s">
        <v>5524</v>
      </c>
      <c r="C1072" s="141" t="s">
        <v>2373</v>
      </c>
      <c r="D1072" s="142" t="s">
        <v>2374</v>
      </c>
      <c r="E1072" s="141" t="s">
        <v>2696</v>
      </c>
      <c r="F1072" s="142" t="s">
        <v>2402</v>
      </c>
      <c r="G1072" s="141" t="s">
        <v>2901</v>
      </c>
      <c r="H1072" s="142" t="s">
        <v>2772</v>
      </c>
      <c r="I1072" s="141" t="s">
        <v>2916</v>
      </c>
      <c r="J1072" s="142" t="s">
        <v>2773</v>
      </c>
      <c r="K1072" s="142" t="s">
        <v>232</v>
      </c>
      <c r="L1072" s="143">
        <f t="shared" si="34"/>
        <v>1</v>
      </c>
      <c r="M1072" s="144" t="s">
        <v>2917</v>
      </c>
      <c r="N1072" s="141" t="s">
        <v>2373</v>
      </c>
      <c r="O1072" s="142" t="s">
        <v>2374</v>
      </c>
      <c r="P1072" s="141" t="s">
        <v>2408</v>
      </c>
      <c r="Q1072" s="142" t="s">
        <v>2402</v>
      </c>
      <c r="R1072" s="141" t="s">
        <v>2775</v>
      </c>
      <c r="S1072" s="142" t="s">
        <v>2772</v>
      </c>
      <c r="T1072" s="141" t="s">
        <v>2776</v>
      </c>
      <c r="U1072" s="142" t="s">
        <v>2773</v>
      </c>
      <c r="V1072" s="142" t="s">
        <v>232</v>
      </c>
      <c r="W1072" s="141">
        <f t="shared" si="33"/>
        <v>1</v>
      </c>
      <c r="X1072" s="143"/>
      <c r="Y1072" s="145"/>
      <c r="AA1072"/>
    </row>
    <row r="1073" spans="1:27" s="115" customFormat="1" ht="13.5" customHeight="1">
      <c r="A1073" s="139">
        <v>1020</v>
      </c>
      <c r="B1073" s="140" t="s">
        <v>5525</v>
      </c>
      <c r="C1073" s="141" t="s">
        <v>2373</v>
      </c>
      <c r="D1073" s="142" t="s">
        <v>2374</v>
      </c>
      <c r="E1073" s="141" t="s">
        <v>2696</v>
      </c>
      <c r="F1073" s="142" t="s">
        <v>2402</v>
      </c>
      <c r="G1073" s="141" t="s">
        <v>2901</v>
      </c>
      <c r="H1073" s="142" t="s">
        <v>2772</v>
      </c>
      <c r="I1073" s="141" t="s">
        <v>2918</v>
      </c>
      <c r="J1073" s="142" t="s">
        <v>2773</v>
      </c>
      <c r="K1073" s="142" t="s">
        <v>976</v>
      </c>
      <c r="L1073" s="143">
        <f t="shared" si="34"/>
        <v>1</v>
      </c>
      <c r="M1073" s="144" t="s">
        <v>2919</v>
      </c>
      <c r="N1073" s="141" t="s">
        <v>2373</v>
      </c>
      <c r="O1073" s="142" t="s">
        <v>2374</v>
      </c>
      <c r="P1073" s="141" t="s">
        <v>2408</v>
      </c>
      <c r="Q1073" s="142" t="s">
        <v>2402</v>
      </c>
      <c r="R1073" s="141" t="s">
        <v>2775</v>
      </c>
      <c r="S1073" s="142" t="s">
        <v>2772</v>
      </c>
      <c r="T1073" s="141" t="s">
        <v>2776</v>
      </c>
      <c r="U1073" s="142" t="s">
        <v>2773</v>
      </c>
      <c r="V1073" s="142" t="s">
        <v>976</v>
      </c>
      <c r="W1073" s="141">
        <f t="shared" si="33"/>
        <v>1</v>
      </c>
      <c r="X1073" s="143"/>
      <c r="Y1073" s="145"/>
      <c r="AA1073"/>
    </row>
    <row r="1074" spans="1:27" s="115" customFormat="1" ht="13.5" customHeight="1">
      <c r="A1074" s="139">
        <v>1021</v>
      </c>
      <c r="B1074" s="140" t="s">
        <v>5526</v>
      </c>
      <c r="C1074" s="141" t="s">
        <v>2373</v>
      </c>
      <c r="D1074" s="142" t="s">
        <v>2374</v>
      </c>
      <c r="E1074" s="141" t="s">
        <v>2696</v>
      </c>
      <c r="F1074" s="142" t="s">
        <v>2402</v>
      </c>
      <c r="G1074" s="141" t="s">
        <v>2901</v>
      </c>
      <c r="H1074" s="142" t="s">
        <v>2772</v>
      </c>
      <c r="I1074" s="141" t="s">
        <v>2918</v>
      </c>
      <c r="J1074" s="142" t="s">
        <v>977</v>
      </c>
      <c r="K1074" s="142" t="s">
        <v>977</v>
      </c>
      <c r="L1074" s="143">
        <f t="shared" si="34"/>
        <v>1</v>
      </c>
      <c r="M1074" s="144" t="s">
        <v>2920</v>
      </c>
      <c r="N1074" s="141" t="s">
        <v>2373</v>
      </c>
      <c r="O1074" s="142" t="s">
        <v>2374</v>
      </c>
      <c r="P1074" s="141" t="s">
        <v>2408</v>
      </c>
      <c r="Q1074" s="142" t="s">
        <v>2402</v>
      </c>
      <c r="R1074" s="141" t="s">
        <v>2775</v>
      </c>
      <c r="S1074" s="142" t="s">
        <v>2772</v>
      </c>
      <c r="T1074" s="141" t="s">
        <v>2921</v>
      </c>
      <c r="U1074" s="142" t="s">
        <v>977</v>
      </c>
      <c r="V1074" s="142" t="s">
        <v>977</v>
      </c>
      <c r="W1074" s="141">
        <f t="shared" si="33"/>
        <v>1</v>
      </c>
      <c r="X1074" s="143"/>
      <c r="Y1074" s="145"/>
      <c r="AA1074"/>
    </row>
    <row r="1075" spans="1:27" s="115" customFormat="1" ht="13.5" customHeight="1">
      <c r="A1075" s="139">
        <v>1022</v>
      </c>
      <c r="B1075" s="140" t="s">
        <v>5527</v>
      </c>
      <c r="C1075" s="141" t="s">
        <v>2373</v>
      </c>
      <c r="D1075" s="142" t="s">
        <v>2374</v>
      </c>
      <c r="E1075" s="141" t="s">
        <v>2696</v>
      </c>
      <c r="F1075" s="142" t="s">
        <v>2402</v>
      </c>
      <c r="G1075" s="141" t="s">
        <v>2901</v>
      </c>
      <c r="H1075" s="142" t="s">
        <v>2772</v>
      </c>
      <c r="I1075" s="141" t="s">
        <v>2918</v>
      </c>
      <c r="J1075" s="142" t="s">
        <v>2773</v>
      </c>
      <c r="K1075" s="142" t="s">
        <v>978</v>
      </c>
      <c r="L1075" s="143">
        <f t="shared" si="34"/>
        <v>1</v>
      </c>
      <c r="M1075" s="144" t="s">
        <v>2922</v>
      </c>
      <c r="N1075" s="141" t="s">
        <v>2373</v>
      </c>
      <c r="O1075" s="142" t="s">
        <v>2374</v>
      </c>
      <c r="P1075" s="141" t="s">
        <v>2408</v>
      </c>
      <c r="Q1075" s="142" t="s">
        <v>2402</v>
      </c>
      <c r="R1075" s="141" t="s">
        <v>2775</v>
      </c>
      <c r="S1075" s="142" t="s">
        <v>2772</v>
      </c>
      <c r="T1075" s="141" t="s">
        <v>2776</v>
      </c>
      <c r="U1075" s="142" t="s">
        <v>2773</v>
      </c>
      <c r="V1075" s="142" t="s">
        <v>978</v>
      </c>
      <c r="W1075" s="141">
        <f t="shared" si="33"/>
        <v>1</v>
      </c>
      <c r="X1075" s="143"/>
      <c r="Y1075" s="145"/>
      <c r="AA1075"/>
    </row>
    <row r="1076" spans="1:27" s="115" customFormat="1" ht="13.5" customHeight="1">
      <c r="A1076" s="139">
        <v>1023</v>
      </c>
      <c r="B1076" s="140" t="s">
        <v>5823</v>
      </c>
      <c r="C1076" s="141" t="s">
        <v>2373</v>
      </c>
      <c r="D1076" s="142" t="s">
        <v>2374</v>
      </c>
      <c r="E1076" s="141" t="s">
        <v>2223</v>
      </c>
      <c r="F1076" s="142" t="s">
        <v>2413</v>
      </c>
      <c r="G1076" s="141" t="s">
        <v>2225</v>
      </c>
      <c r="H1076" s="142" t="s">
        <v>2415</v>
      </c>
      <c r="I1076" s="141" t="s">
        <v>2923</v>
      </c>
      <c r="J1076" s="142" t="s">
        <v>2415</v>
      </c>
      <c r="K1076" s="148" t="s">
        <v>2425</v>
      </c>
      <c r="L1076" s="143">
        <f t="shared" si="34"/>
        <v>5</v>
      </c>
      <c r="M1076" s="144">
        <v>46103</v>
      </c>
      <c r="N1076" s="149" t="s">
        <v>2373</v>
      </c>
      <c r="O1076" s="148" t="s">
        <v>2374</v>
      </c>
      <c r="P1076" s="149" t="s">
        <v>2418</v>
      </c>
      <c r="Q1076" s="148" t="s">
        <v>2413</v>
      </c>
      <c r="R1076" s="149" t="s">
        <v>2419</v>
      </c>
      <c r="S1076" s="148" t="s">
        <v>2415</v>
      </c>
      <c r="T1076" s="149" t="s">
        <v>2420</v>
      </c>
      <c r="U1076" s="148" t="s">
        <v>2415</v>
      </c>
      <c r="V1076" s="148" t="s">
        <v>2425</v>
      </c>
      <c r="W1076" s="141">
        <f t="shared" si="33"/>
        <v>6</v>
      </c>
      <c r="X1076" s="143"/>
      <c r="Y1076" s="145" t="s">
        <v>2924</v>
      </c>
      <c r="AA1076"/>
    </row>
    <row r="1077" spans="1:27" s="115" customFormat="1" ht="13.5" customHeight="1">
      <c r="A1077" s="139">
        <v>1023</v>
      </c>
      <c r="B1077" s="140" t="s">
        <v>5823</v>
      </c>
      <c r="C1077" s="141" t="s">
        <v>2373</v>
      </c>
      <c r="D1077" s="142" t="s">
        <v>2374</v>
      </c>
      <c r="E1077" s="141" t="s">
        <v>2223</v>
      </c>
      <c r="F1077" s="142" t="s">
        <v>2413</v>
      </c>
      <c r="G1077" s="141" t="s">
        <v>2225</v>
      </c>
      <c r="H1077" s="142" t="s">
        <v>2415</v>
      </c>
      <c r="I1077" s="141" t="s">
        <v>2923</v>
      </c>
      <c r="J1077" s="142" t="s">
        <v>2415</v>
      </c>
      <c r="K1077" s="148" t="s">
        <v>2427</v>
      </c>
      <c r="L1077" s="143">
        <f t="shared" si="34"/>
        <v>5</v>
      </c>
      <c r="M1077" s="144">
        <v>46104</v>
      </c>
      <c r="N1077" s="149" t="s">
        <v>2373</v>
      </c>
      <c r="O1077" s="148" t="s">
        <v>2374</v>
      </c>
      <c r="P1077" s="149" t="s">
        <v>2418</v>
      </c>
      <c r="Q1077" s="148" t="s">
        <v>2413</v>
      </c>
      <c r="R1077" s="149" t="s">
        <v>2419</v>
      </c>
      <c r="S1077" s="148" t="s">
        <v>2415</v>
      </c>
      <c r="T1077" s="149" t="s">
        <v>2420</v>
      </c>
      <c r="U1077" s="148" t="s">
        <v>2415</v>
      </c>
      <c r="V1077" s="148" t="s">
        <v>2427</v>
      </c>
      <c r="W1077" s="141">
        <f t="shared" si="33"/>
        <v>6</v>
      </c>
      <c r="X1077" s="143"/>
      <c r="Y1077" s="145" t="s">
        <v>2924</v>
      </c>
      <c r="AA1077"/>
    </row>
    <row r="1078" spans="1:27" s="115" customFormat="1" ht="27" customHeight="1">
      <c r="A1078" s="139">
        <v>1023</v>
      </c>
      <c r="B1078" s="140" t="s">
        <v>5823</v>
      </c>
      <c r="C1078" s="141" t="s">
        <v>2373</v>
      </c>
      <c r="D1078" s="142" t="s">
        <v>2374</v>
      </c>
      <c r="E1078" s="141" t="s">
        <v>2223</v>
      </c>
      <c r="F1078" s="142" t="s">
        <v>2413</v>
      </c>
      <c r="G1078" s="141" t="s">
        <v>2225</v>
      </c>
      <c r="H1078" s="142" t="s">
        <v>2415</v>
      </c>
      <c r="I1078" s="141" t="s">
        <v>2923</v>
      </c>
      <c r="J1078" s="142" t="s">
        <v>2415</v>
      </c>
      <c r="K1078" s="148" t="s">
        <v>2429</v>
      </c>
      <c r="L1078" s="143">
        <f t="shared" si="34"/>
        <v>5</v>
      </c>
      <c r="M1078" s="144">
        <v>46105</v>
      </c>
      <c r="N1078" s="149" t="s">
        <v>2373</v>
      </c>
      <c r="O1078" s="148" t="s">
        <v>2374</v>
      </c>
      <c r="P1078" s="149" t="s">
        <v>2418</v>
      </c>
      <c r="Q1078" s="148" t="s">
        <v>2413</v>
      </c>
      <c r="R1078" s="149" t="s">
        <v>2419</v>
      </c>
      <c r="S1078" s="148" t="s">
        <v>2415</v>
      </c>
      <c r="T1078" s="149" t="s">
        <v>2420</v>
      </c>
      <c r="U1078" s="148" t="s">
        <v>2415</v>
      </c>
      <c r="V1078" s="148" t="s">
        <v>2429</v>
      </c>
      <c r="W1078" s="141">
        <f t="shared" si="33"/>
        <v>6</v>
      </c>
      <c r="X1078" s="143"/>
      <c r="Y1078" s="145" t="s">
        <v>2924</v>
      </c>
      <c r="AA1078"/>
    </row>
    <row r="1079" spans="1:27" s="115" customFormat="1" ht="27" customHeight="1">
      <c r="A1079" s="139">
        <v>1023</v>
      </c>
      <c r="B1079" s="140" t="s">
        <v>5823</v>
      </c>
      <c r="C1079" s="141" t="s">
        <v>2373</v>
      </c>
      <c r="D1079" s="142" t="s">
        <v>2374</v>
      </c>
      <c r="E1079" s="141" t="s">
        <v>2223</v>
      </c>
      <c r="F1079" s="142" t="s">
        <v>2413</v>
      </c>
      <c r="G1079" s="141" t="s">
        <v>2225</v>
      </c>
      <c r="H1079" s="142" t="s">
        <v>2415</v>
      </c>
      <c r="I1079" s="141" t="s">
        <v>2923</v>
      </c>
      <c r="J1079" s="142" t="s">
        <v>2415</v>
      </c>
      <c r="K1079" s="148" t="s">
        <v>2431</v>
      </c>
      <c r="L1079" s="143">
        <f t="shared" si="34"/>
        <v>5</v>
      </c>
      <c r="M1079" s="144">
        <v>46106</v>
      </c>
      <c r="N1079" s="149" t="s">
        <v>2373</v>
      </c>
      <c r="O1079" s="148" t="s">
        <v>2374</v>
      </c>
      <c r="P1079" s="149" t="s">
        <v>2418</v>
      </c>
      <c r="Q1079" s="148" t="s">
        <v>2413</v>
      </c>
      <c r="R1079" s="149" t="s">
        <v>2419</v>
      </c>
      <c r="S1079" s="148" t="s">
        <v>2415</v>
      </c>
      <c r="T1079" s="149" t="s">
        <v>2420</v>
      </c>
      <c r="U1079" s="148" t="s">
        <v>2415</v>
      </c>
      <c r="V1079" s="148" t="s">
        <v>2431</v>
      </c>
      <c r="W1079" s="141">
        <f t="shared" si="33"/>
        <v>6</v>
      </c>
      <c r="X1079" s="143"/>
      <c r="Y1079" s="145" t="s">
        <v>2924</v>
      </c>
      <c r="AA1079"/>
    </row>
    <row r="1080" spans="1:27" s="115" customFormat="1" ht="27" customHeight="1">
      <c r="A1080" s="139">
        <v>1023</v>
      </c>
      <c r="B1080" s="140" t="s">
        <v>5823</v>
      </c>
      <c r="C1080" s="141" t="s">
        <v>2373</v>
      </c>
      <c r="D1080" s="142" t="s">
        <v>2374</v>
      </c>
      <c r="E1080" s="141" t="s">
        <v>2223</v>
      </c>
      <c r="F1080" s="142" t="s">
        <v>2413</v>
      </c>
      <c r="G1080" s="141" t="s">
        <v>2225</v>
      </c>
      <c r="H1080" s="142" t="s">
        <v>2415</v>
      </c>
      <c r="I1080" s="141" t="s">
        <v>2923</v>
      </c>
      <c r="J1080" s="142" t="s">
        <v>2415</v>
      </c>
      <c r="K1080" s="148" t="s">
        <v>2435</v>
      </c>
      <c r="L1080" s="143">
        <f t="shared" si="34"/>
        <v>5</v>
      </c>
      <c r="M1080" s="144">
        <v>46109</v>
      </c>
      <c r="N1080" s="149" t="s">
        <v>2373</v>
      </c>
      <c r="O1080" s="148" t="s">
        <v>2374</v>
      </c>
      <c r="P1080" s="149" t="s">
        <v>2418</v>
      </c>
      <c r="Q1080" s="148" t="s">
        <v>2413</v>
      </c>
      <c r="R1080" s="149" t="s">
        <v>2419</v>
      </c>
      <c r="S1080" s="148" t="s">
        <v>2415</v>
      </c>
      <c r="T1080" s="149" t="s">
        <v>2420</v>
      </c>
      <c r="U1080" s="148" t="s">
        <v>2415</v>
      </c>
      <c r="V1080" s="148" t="s">
        <v>2435</v>
      </c>
      <c r="W1080" s="141">
        <f t="shared" si="33"/>
        <v>5</v>
      </c>
      <c r="X1080" s="143"/>
      <c r="Y1080" s="145" t="s">
        <v>2924</v>
      </c>
      <c r="AA1080"/>
    </row>
    <row r="1081" spans="1:27" s="115" customFormat="1" ht="27" customHeight="1">
      <c r="A1081" s="139">
        <v>1024</v>
      </c>
      <c r="B1081" s="140" t="s">
        <v>5830</v>
      </c>
      <c r="C1081" s="141" t="s">
        <v>2373</v>
      </c>
      <c r="D1081" s="142" t="s">
        <v>2374</v>
      </c>
      <c r="E1081" s="141" t="s">
        <v>2223</v>
      </c>
      <c r="F1081" s="142" t="s">
        <v>2413</v>
      </c>
      <c r="G1081" s="141" t="s">
        <v>2225</v>
      </c>
      <c r="H1081" s="142" t="s">
        <v>2569</v>
      </c>
      <c r="I1081" s="141" t="s">
        <v>2923</v>
      </c>
      <c r="J1081" s="142" t="s">
        <v>2570</v>
      </c>
      <c r="K1081" s="142" t="s">
        <v>199</v>
      </c>
      <c r="L1081" s="143">
        <f t="shared" si="34"/>
        <v>1</v>
      </c>
      <c r="M1081" s="144" t="s">
        <v>2665</v>
      </c>
      <c r="N1081" s="141" t="s">
        <v>2373</v>
      </c>
      <c r="O1081" s="142" t="s">
        <v>2374</v>
      </c>
      <c r="P1081" s="141" t="s">
        <v>2418</v>
      </c>
      <c r="Q1081" s="142" t="s">
        <v>2413</v>
      </c>
      <c r="R1081" s="141" t="s">
        <v>2572</v>
      </c>
      <c r="S1081" s="142" t="s">
        <v>2569</v>
      </c>
      <c r="T1081" s="141" t="s">
        <v>2573</v>
      </c>
      <c r="U1081" s="142" t="s">
        <v>2570</v>
      </c>
      <c r="V1081" s="142" t="s">
        <v>199</v>
      </c>
      <c r="W1081" s="141">
        <f t="shared" si="33"/>
        <v>2</v>
      </c>
      <c r="X1081" s="143"/>
      <c r="Y1081" s="145" t="s">
        <v>2925</v>
      </c>
      <c r="AA1081"/>
    </row>
    <row r="1082" spans="1:27" s="115" customFormat="1" ht="27" customHeight="1">
      <c r="A1082" s="139">
        <v>1025</v>
      </c>
      <c r="B1082" s="140" t="s">
        <v>5570</v>
      </c>
      <c r="C1082" s="141" t="s">
        <v>2926</v>
      </c>
      <c r="D1082" s="142" t="s">
        <v>2927</v>
      </c>
      <c r="E1082" s="141" t="s">
        <v>2928</v>
      </c>
      <c r="F1082" s="142" t="s">
        <v>2929</v>
      </c>
      <c r="G1082" s="141" t="s">
        <v>2930</v>
      </c>
      <c r="H1082" s="142" t="s">
        <v>2931</v>
      </c>
      <c r="I1082" s="141" t="s">
        <v>2932</v>
      </c>
      <c r="J1082" s="142" t="s">
        <v>2933</v>
      </c>
      <c r="K1082" s="142" t="s">
        <v>979</v>
      </c>
      <c r="L1082" s="143">
        <f t="shared" si="34"/>
        <v>1</v>
      </c>
      <c r="M1082" s="144" t="s">
        <v>2934</v>
      </c>
      <c r="N1082" s="141" t="s">
        <v>2926</v>
      </c>
      <c r="O1082" s="142" t="s">
        <v>2927</v>
      </c>
      <c r="P1082" s="141" t="s">
        <v>2935</v>
      </c>
      <c r="Q1082" s="142" t="s">
        <v>2929</v>
      </c>
      <c r="R1082" s="141" t="s">
        <v>2936</v>
      </c>
      <c r="S1082" s="142" t="s">
        <v>2931</v>
      </c>
      <c r="T1082" s="141" t="s">
        <v>2937</v>
      </c>
      <c r="U1082" s="142" t="s">
        <v>2933</v>
      </c>
      <c r="V1082" s="142" t="s">
        <v>979</v>
      </c>
      <c r="W1082" s="141">
        <f t="shared" si="33"/>
        <v>1</v>
      </c>
      <c r="X1082" s="143"/>
      <c r="Y1082" s="145"/>
      <c r="AA1082"/>
    </row>
    <row r="1083" spans="1:27" s="115" customFormat="1" ht="27" customHeight="1">
      <c r="A1083" s="139">
        <v>1026</v>
      </c>
      <c r="B1083" s="140" t="s">
        <v>5571</v>
      </c>
      <c r="C1083" s="141" t="s">
        <v>2926</v>
      </c>
      <c r="D1083" s="142" t="s">
        <v>2927</v>
      </c>
      <c r="E1083" s="141" t="s">
        <v>2928</v>
      </c>
      <c r="F1083" s="142" t="s">
        <v>2929</v>
      </c>
      <c r="G1083" s="141" t="s">
        <v>2930</v>
      </c>
      <c r="H1083" s="142" t="s">
        <v>2938</v>
      </c>
      <c r="I1083" s="141" t="s">
        <v>2932</v>
      </c>
      <c r="J1083" s="142" t="s">
        <v>2938</v>
      </c>
      <c r="K1083" s="142" t="s">
        <v>980</v>
      </c>
      <c r="L1083" s="143">
        <f t="shared" si="34"/>
        <v>1</v>
      </c>
      <c r="M1083" s="144" t="s">
        <v>2939</v>
      </c>
      <c r="N1083" s="141" t="s">
        <v>2926</v>
      </c>
      <c r="O1083" s="142" t="s">
        <v>2927</v>
      </c>
      <c r="P1083" s="141" t="s">
        <v>2935</v>
      </c>
      <c r="Q1083" s="142" t="s">
        <v>2929</v>
      </c>
      <c r="R1083" s="141" t="s">
        <v>2940</v>
      </c>
      <c r="S1083" s="142" t="s">
        <v>2938</v>
      </c>
      <c r="T1083" s="141" t="s">
        <v>2941</v>
      </c>
      <c r="U1083" s="142" t="s">
        <v>2938</v>
      </c>
      <c r="V1083" s="142" t="s">
        <v>980</v>
      </c>
      <c r="W1083" s="141">
        <f t="shared" si="33"/>
        <v>1</v>
      </c>
      <c r="X1083" s="143"/>
      <c r="Y1083" s="145"/>
      <c r="AA1083"/>
    </row>
    <row r="1084" spans="1:27" s="115" customFormat="1" ht="27" customHeight="1">
      <c r="A1084" s="139">
        <v>1027</v>
      </c>
      <c r="B1084" s="140" t="s">
        <v>5572</v>
      </c>
      <c r="C1084" s="141" t="s">
        <v>2926</v>
      </c>
      <c r="D1084" s="142" t="s">
        <v>2927</v>
      </c>
      <c r="E1084" s="141" t="s">
        <v>2928</v>
      </c>
      <c r="F1084" s="142" t="s">
        <v>2929</v>
      </c>
      <c r="G1084" s="141" t="s">
        <v>2930</v>
      </c>
      <c r="H1084" s="142" t="s">
        <v>2938</v>
      </c>
      <c r="I1084" s="141" t="s">
        <v>2932</v>
      </c>
      <c r="J1084" s="142" t="s">
        <v>2938</v>
      </c>
      <c r="K1084" s="142" t="s">
        <v>981</v>
      </c>
      <c r="L1084" s="143">
        <f t="shared" si="34"/>
        <v>1</v>
      </c>
      <c r="M1084" s="144" t="s">
        <v>2942</v>
      </c>
      <c r="N1084" s="141" t="s">
        <v>2926</v>
      </c>
      <c r="O1084" s="142" t="s">
        <v>2927</v>
      </c>
      <c r="P1084" s="141" t="s">
        <v>2935</v>
      </c>
      <c r="Q1084" s="142" t="s">
        <v>2929</v>
      </c>
      <c r="R1084" s="141" t="s">
        <v>2940</v>
      </c>
      <c r="S1084" s="142" t="s">
        <v>2938</v>
      </c>
      <c r="T1084" s="141" t="s">
        <v>2941</v>
      </c>
      <c r="U1084" s="142" t="s">
        <v>2938</v>
      </c>
      <c r="V1084" s="142" t="s">
        <v>981</v>
      </c>
      <c r="W1084" s="141">
        <f t="shared" si="33"/>
        <v>1</v>
      </c>
      <c r="X1084" s="143"/>
      <c r="Y1084" s="145"/>
      <c r="AA1084"/>
    </row>
    <row r="1085" spans="1:27" s="115" customFormat="1" ht="27" customHeight="1">
      <c r="A1085" s="139">
        <v>1028</v>
      </c>
      <c r="B1085" s="140" t="s">
        <v>5573</v>
      </c>
      <c r="C1085" s="141" t="s">
        <v>2926</v>
      </c>
      <c r="D1085" s="142" t="s">
        <v>2927</v>
      </c>
      <c r="E1085" s="141" t="s">
        <v>2928</v>
      </c>
      <c r="F1085" s="142" t="s">
        <v>2929</v>
      </c>
      <c r="G1085" s="141" t="s">
        <v>2943</v>
      </c>
      <c r="H1085" s="142" t="s">
        <v>2931</v>
      </c>
      <c r="I1085" s="141" t="s">
        <v>2944</v>
      </c>
      <c r="J1085" s="142" t="s">
        <v>233</v>
      </c>
      <c r="K1085" s="142" t="s">
        <v>233</v>
      </c>
      <c r="L1085" s="143">
        <f t="shared" si="34"/>
        <v>1</v>
      </c>
      <c r="M1085" s="144" t="s">
        <v>2945</v>
      </c>
      <c r="N1085" s="141" t="s">
        <v>2926</v>
      </c>
      <c r="O1085" s="142" t="s">
        <v>2927</v>
      </c>
      <c r="P1085" s="141" t="s">
        <v>2935</v>
      </c>
      <c r="Q1085" s="142" t="s">
        <v>2929</v>
      </c>
      <c r="R1085" s="141" t="s">
        <v>2936</v>
      </c>
      <c r="S1085" s="142" t="s">
        <v>2931</v>
      </c>
      <c r="T1085" s="141" t="s">
        <v>2946</v>
      </c>
      <c r="U1085" s="142" t="s">
        <v>233</v>
      </c>
      <c r="V1085" s="142" t="s">
        <v>233</v>
      </c>
      <c r="W1085" s="141">
        <f t="shared" si="33"/>
        <v>4</v>
      </c>
      <c r="X1085" s="143"/>
      <c r="Y1085" s="145" t="s">
        <v>2947</v>
      </c>
      <c r="AA1085"/>
    </row>
    <row r="1086" spans="1:27" s="115" customFormat="1" ht="27" customHeight="1">
      <c r="A1086" s="139">
        <v>1029</v>
      </c>
      <c r="B1086" s="140" t="s">
        <v>5574</v>
      </c>
      <c r="C1086" s="141" t="s">
        <v>2926</v>
      </c>
      <c r="D1086" s="142" t="s">
        <v>2927</v>
      </c>
      <c r="E1086" s="141" t="s">
        <v>2928</v>
      </c>
      <c r="F1086" s="142" t="s">
        <v>2929</v>
      </c>
      <c r="G1086" s="141" t="s">
        <v>2943</v>
      </c>
      <c r="H1086" s="142" t="s">
        <v>2931</v>
      </c>
      <c r="I1086" s="141" t="s">
        <v>2944</v>
      </c>
      <c r="J1086" s="142" t="s">
        <v>233</v>
      </c>
      <c r="K1086" s="142" t="s">
        <v>233</v>
      </c>
      <c r="L1086" s="143">
        <f t="shared" si="34"/>
        <v>1</v>
      </c>
      <c r="M1086" s="144" t="s">
        <v>2945</v>
      </c>
      <c r="N1086" s="141" t="s">
        <v>2926</v>
      </c>
      <c r="O1086" s="142" t="s">
        <v>2927</v>
      </c>
      <c r="P1086" s="141" t="s">
        <v>2935</v>
      </c>
      <c r="Q1086" s="142" t="s">
        <v>2929</v>
      </c>
      <c r="R1086" s="141" t="s">
        <v>2936</v>
      </c>
      <c r="S1086" s="142" t="s">
        <v>2931</v>
      </c>
      <c r="T1086" s="141" t="s">
        <v>2946</v>
      </c>
      <c r="U1086" s="142" t="s">
        <v>233</v>
      </c>
      <c r="V1086" s="142" t="s">
        <v>233</v>
      </c>
      <c r="W1086" s="141">
        <f t="shared" si="33"/>
        <v>4</v>
      </c>
      <c r="X1086" s="143">
        <v>1</v>
      </c>
      <c r="Y1086" s="145"/>
      <c r="AA1086"/>
    </row>
    <row r="1087" spans="1:27" s="115" customFormat="1" ht="27" customHeight="1">
      <c r="A1087" s="139">
        <v>1030</v>
      </c>
      <c r="B1087" s="140" t="s">
        <v>5575</v>
      </c>
      <c r="C1087" s="141" t="s">
        <v>2926</v>
      </c>
      <c r="D1087" s="142" t="s">
        <v>2927</v>
      </c>
      <c r="E1087" s="141" t="s">
        <v>2928</v>
      </c>
      <c r="F1087" s="142" t="s">
        <v>2929</v>
      </c>
      <c r="G1087" s="141" t="s">
        <v>2943</v>
      </c>
      <c r="H1087" s="142" t="s">
        <v>2931</v>
      </c>
      <c r="I1087" s="141" t="s">
        <v>2944</v>
      </c>
      <c r="J1087" s="142" t="s">
        <v>2933</v>
      </c>
      <c r="K1087" s="142" t="s">
        <v>234</v>
      </c>
      <c r="L1087" s="143">
        <f t="shared" si="34"/>
        <v>1</v>
      </c>
      <c r="M1087" s="144" t="s">
        <v>2948</v>
      </c>
      <c r="N1087" s="141" t="s">
        <v>2926</v>
      </c>
      <c r="O1087" s="142" t="s">
        <v>2927</v>
      </c>
      <c r="P1087" s="141" t="s">
        <v>2935</v>
      </c>
      <c r="Q1087" s="142" t="s">
        <v>2929</v>
      </c>
      <c r="R1087" s="141" t="s">
        <v>2936</v>
      </c>
      <c r="S1087" s="142" t="s">
        <v>2931</v>
      </c>
      <c r="T1087" s="141" t="s">
        <v>2937</v>
      </c>
      <c r="U1087" s="142" t="s">
        <v>2933</v>
      </c>
      <c r="V1087" s="142" t="s">
        <v>234</v>
      </c>
      <c r="W1087" s="141">
        <f t="shared" si="33"/>
        <v>3</v>
      </c>
      <c r="X1087" s="143">
        <v>1</v>
      </c>
      <c r="Y1087" s="145"/>
      <c r="AA1087"/>
    </row>
    <row r="1088" spans="1:27" s="115" customFormat="1" ht="27" customHeight="1">
      <c r="A1088" s="139">
        <v>1031</v>
      </c>
      <c r="B1088" s="140" t="s">
        <v>5576</v>
      </c>
      <c r="C1088" s="141" t="s">
        <v>2926</v>
      </c>
      <c r="D1088" s="142" t="s">
        <v>2927</v>
      </c>
      <c r="E1088" s="141" t="s">
        <v>2928</v>
      </c>
      <c r="F1088" s="142" t="s">
        <v>2929</v>
      </c>
      <c r="G1088" s="141" t="s">
        <v>2943</v>
      </c>
      <c r="H1088" s="142" t="s">
        <v>2931</v>
      </c>
      <c r="I1088" s="141" t="s">
        <v>2944</v>
      </c>
      <c r="J1088" s="142" t="s">
        <v>2933</v>
      </c>
      <c r="K1088" s="142" t="s">
        <v>235</v>
      </c>
      <c r="L1088" s="143">
        <f t="shared" si="34"/>
        <v>1</v>
      </c>
      <c r="M1088" s="144" t="s">
        <v>2949</v>
      </c>
      <c r="N1088" s="141" t="s">
        <v>2926</v>
      </c>
      <c r="O1088" s="142" t="s">
        <v>2927</v>
      </c>
      <c r="P1088" s="141" t="s">
        <v>2935</v>
      </c>
      <c r="Q1088" s="142" t="s">
        <v>2929</v>
      </c>
      <c r="R1088" s="141" t="s">
        <v>2936</v>
      </c>
      <c r="S1088" s="142" t="s">
        <v>2931</v>
      </c>
      <c r="T1088" s="141" t="s">
        <v>2937</v>
      </c>
      <c r="U1088" s="142" t="s">
        <v>2933</v>
      </c>
      <c r="V1088" s="142" t="s">
        <v>235</v>
      </c>
      <c r="W1088" s="141">
        <f t="shared" si="33"/>
        <v>3</v>
      </c>
      <c r="X1088" s="143"/>
      <c r="Y1088" s="145" t="s">
        <v>2950</v>
      </c>
      <c r="AA1088"/>
    </row>
    <row r="1089" spans="1:27" s="115" customFormat="1" ht="27" customHeight="1">
      <c r="A1089" s="139">
        <v>1032</v>
      </c>
      <c r="B1089" s="140" t="s">
        <v>5577</v>
      </c>
      <c r="C1089" s="141" t="s">
        <v>2926</v>
      </c>
      <c r="D1089" s="142" t="s">
        <v>2927</v>
      </c>
      <c r="E1089" s="141" t="s">
        <v>2928</v>
      </c>
      <c r="F1089" s="142" t="s">
        <v>2929</v>
      </c>
      <c r="G1089" s="141" t="s">
        <v>2943</v>
      </c>
      <c r="H1089" s="142" t="s">
        <v>2931</v>
      </c>
      <c r="I1089" s="141" t="s">
        <v>2944</v>
      </c>
      <c r="J1089" s="142" t="s">
        <v>2933</v>
      </c>
      <c r="K1089" s="142" t="s">
        <v>235</v>
      </c>
      <c r="L1089" s="143">
        <f t="shared" si="34"/>
        <v>1</v>
      </c>
      <c r="M1089" s="144" t="s">
        <v>2949</v>
      </c>
      <c r="N1089" s="141" t="s">
        <v>2926</v>
      </c>
      <c r="O1089" s="142" t="s">
        <v>2927</v>
      </c>
      <c r="P1089" s="141" t="s">
        <v>2935</v>
      </c>
      <c r="Q1089" s="142" t="s">
        <v>2929</v>
      </c>
      <c r="R1089" s="141" t="s">
        <v>2936</v>
      </c>
      <c r="S1089" s="142" t="s">
        <v>2931</v>
      </c>
      <c r="T1089" s="141" t="s">
        <v>2937</v>
      </c>
      <c r="U1089" s="142" t="s">
        <v>2933</v>
      </c>
      <c r="V1089" s="142" t="s">
        <v>235</v>
      </c>
      <c r="W1089" s="141">
        <f t="shared" si="33"/>
        <v>3</v>
      </c>
      <c r="X1089" s="143">
        <v>1</v>
      </c>
      <c r="Y1089" s="145"/>
      <c r="AA1089"/>
    </row>
    <row r="1090" spans="1:27" s="115" customFormat="1" ht="27" customHeight="1">
      <c r="A1090" s="139">
        <v>1033</v>
      </c>
      <c r="B1090" s="140" t="s">
        <v>5578</v>
      </c>
      <c r="C1090" s="141" t="s">
        <v>2926</v>
      </c>
      <c r="D1090" s="142" t="s">
        <v>2927</v>
      </c>
      <c r="E1090" s="141" t="s">
        <v>2928</v>
      </c>
      <c r="F1090" s="142" t="s">
        <v>2929</v>
      </c>
      <c r="G1090" s="141" t="s">
        <v>2943</v>
      </c>
      <c r="H1090" s="142" t="s">
        <v>2931</v>
      </c>
      <c r="I1090" s="141" t="s">
        <v>2944</v>
      </c>
      <c r="J1090" s="142" t="s">
        <v>2933</v>
      </c>
      <c r="K1090" s="142" t="s">
        <v>4415</v>
      </c>
      <c r="L1090" s="143">
        <f t="shared" si="34"/>
        <v>1</v>
      </c>
      <c r="M1090" s="144" t="s">
        <v>2949</v>
      </c>
      <c r="N1090" s="141" t="s">
        <v>2926</v>
      </c>
      <c r="O1090" s="142" t="s">
        <v>2927</v>
      </c>
      <c r="P1090" s="141" t="s">
        <v>2935</v>
      </c>
      <c r="Q1090" s="142" t="s">
        <v>2929</v>
      </c>
      <c r="R1090" s="141" t="s">
        <v>2936</v>
      </c>
      <c r="S1090" s="142" t="s">
        <v>2931</v>
      </c>
      <c r="T1090" s="141" t="s">
        <v>2937</v>
      </c>
      <c r="U1090" s="142" t="s">
        <v>2933</v>
      </c>
      <c r="V1090" s="142" t="s">
        <v>235</v>
      </c>
      <c r="W1090" s="141">
        <f t="shared" si="33"/>
        <v>3</v>
      </c>
      <c r="X1090" s="143"/>
      <c r="Y1090" s="145" t="s">
        <v>4416</v>
      </c>
      <c r="AA1090"/>
    </row>
    <row r="1091" spans="1:27" s="115" customFormat="1" ht="27" customHeight="1">
      <c r="A1091" s="139">
        <v>1034</v>
      </c>
      <c r="B1091" s="140" t="s">
        <v>5579</v>
      </c>
      <c r="C1091" s="141" t="s">
        <v>2926</v>
      </c>
      <c r="D1091" s="142" t="s">
        <v>2927</v>
      </c>
      <c r="E1091" s="141" t="s">
        <v>2928</v>
      </c>
      <c r="F1091" s="142" t="s">
        <v>2929</v>
      </c>
      <c r="G1091" s="141" t="s">
        <v>2943</v>
      </c>
      <c r="H1091" s="142" t="s">
        <v>2931</v>
      </c>
      <c r="I1091" s="141" t="s">
        <v>2951</v>
      </c>
      <c r="J1091" s="142" t="s">
        <v>2952</v>
      </c>
      <c r="K1091" s="142" t="s">
        <v>236</v>
      </c>
      <c r="L1091" s="143">
        <f t="shared" si="34"/>
        <v>1</v>
      </c>
      <c r="M1091" s="144" t="s">
        <v>2953</v>
      </c>
      <c r="N1091" s="141" t="s">
        <v>2926</v>
      </c>
      <c r="O1091" s="142" t="s">
        <v>2927</v>
      </c>
      <c r="P1091" s="141" t="s">
        <v>2935</v>
      </c>
      <c r="Q1091" s="142" t="s">
        <v>2929</v>
      </c>
      <c r="R1091" s="141" t="s">
        <v>2936</v>
      </c>
      <c r="S1091" s="142" t="s">
        <v>2931</v>
      </c>
      <c r="T1091" s="141" t="s">
        <v>2954</v>
      </c>
      <c r="U1091" s="142" t="s">
        <v>2952</v>
      </c>
      <c r="V1091" s="142" t="s">
        <v>236</v>
      </c>
      <c r="W1091" s="141">
        <f t="shared" si="33"/>
        <v>4</v>
      </c>
      <c r="X1091" s="143">
        <v>1</v>
      </c>
      <c r="Y1091" s="145"/>
      <c r="AA1091"/>
    </row>
    <row r="1092" spans="1:27" s="115" customFormat="1" ht="27" customHeight="1">
      <c r="A1092" s="139">
        <v>1035</v>
      </c>
      <c r="B1092" s="140" t="s">
        <v>5580</v>
      </c>
      <c r="C1092" s="141" t="s">
        <v>2926</v>
      </c>
      <c r="D1092" s="142" t="s">
        <v>2927</v>
      </c>
      <c r="E1092" s="141" t="s">
        <v>2928</v>
      </c>
      <c r="F1092" s="142" t="s">
        <v>2929</v>
      </c>
      <c r="G1092" s="141" t="s">
        <v>2943</v>
      </c>
      <c r="H1092" s="142" t="s">
        <v>2931</v>
      </c>
      <c r="I1092" s="141" t="s">
        <v>2951</v>
      </c>
      <c r="J1092" s="142" t="s">
        <v>2952</v>
      </c>
      <c r="K1092" s="142" t="s">
        <v>236</v>
      </c>
      <c r="L1092" s="143">
        <f t="shared" si="34"/>
        <v>1</v>
      </c>
      <c r="M1092" s="144" t="s">
        <v>2953</v>
      </c>
      <c r="N1092" s="141" t="s">
        <v>2926</v>
      </c>
      <c r="O1092" s="142" t="s">
        <v>2927</v>
      </c>
      <c r="P1092" s="141" t="s">
        <v>2935</v>
      </c>
      <c r="Q1092" s="142" t="s">
        <v>2929</v>
      </c>
      <c r="R1092" s="141" t="s">
        <v>2936</v>
      </c>
      <c r="S1092" s="142" t="s">
        <v>2931</v>
      </c>
      <c r="T1092" s="141" t="s">
        <v>2954</v>
      </c>
      <c r="U1092" s="142" t="s">
        <v>2952</v>
      </c>
      <c r="V1092" s="142" t="s">
        <v>236</v>
      </c>
      <c r="W1092" s="141">
        <f t="shared" si="33"/>
        <v>4</v>
      </c>
      <c r="X1092" s="143"/>
      <c r="Y1092" s="145" t="s">
        <v>2955</v>
      </c>
      <c r="AA1092"/>
    </row>
    <row r="1093" spans="1:27" s="115" customFormat="1" ht="27" customHeight="1">
      <c r="A1093" s="139">
        <v>1036</v>
      </c>
      <c r="B1093" s="140" t="s">
        <v>5581</v>
      </c>
      <c r="C1093" s="141" t="s">
        <v>2926</v>
      </c>
      <c r="D1093" s="142" t="s">
        <v>2927</v>
      </c>
      <c r="E1093" s="141" t="s">
        <v>2928</v>
      </c>
      <c r="F1093" s="142" t="s">
        <v>2929</v>
      </c>
      <c r="G1093" s="141" t="s">
        <v>2943</v>
      </c>
      <c r="H1093" s="142" t="s">
        <v>2931</v>
      </c>
      <c r="I1093" s="141" t="s">
        <v>2951</v>
      </c>
      <c r="J1093" s="142" t="s">
        <v>2933</v>
      </c>
      <c r="K1093" s="142" t="s">
        <v>234</v>
      </c>
      <c r="L1093" s="143">
        <f t="shared" si="34"/>
        <v>2</v>
      </c>
      <c r="M1093" s="144">
        <v>49212</v>
      </c>
      <c r="N1093" s="141" t="s">
        <v>2926</v>
      </c>
      <c r="O1093" s="142" t="s">
        <v>2927</v>
      </c>
      <c r="P1093" s="141" t="s">
        <v>2935</v>
      </c>
      <c r="Q1093" s="142" t="s">
        <v>2929</v>
      </c>
      <c r="R1093" s="141" t="s">
        <v>2936</v>
      </c>
      <c r="S1093" s="142" t="s">
        <v>2931</v>
      </c>
      <c r="T1093" s="141" t="s">
        <v>2937</v>
      </c>
      <c r="U1093" s="142" t="s">
        <v>2933</v>
      </c>
      <c r="V1093" s="142" t="s">
        <v>234</v>
      </c>
      <c r="W1093" s="141">
        <f t="shared" ref="W1093:W1156" si="35">COUNTIF($M$5:$M$1756,M1093)</f>
        <v>3</v>
      </c>
      <c r="X1093" s="143"/>
      <c r="Y1093" s="145" t="s">
        <v>2956</v>
      </c>
      <c r="AA1093"/>
    </row>
    <row r="1094" spans="1:27" s="115" customFormat="1" ht="27" customHeight="1">
      <c r="A1094" s="139">
        <v>1036</v>
      </c>
      <c r="B1094" s="140" t="s">
        <v>5581</v>
      </c>
      <c r="C1094" s="141" t="s">
        <v>2926</v>
      </c>
      <c r="D1094" s="142" t="s">
        <v>2927</v>
      </c>
      <c r="E1094" s="141" t="s">
        <v>2928</v>
      </c>
      <c r="F1094" s="142" t="s">
        <v>2929</v>
      </c>
      <c r="G1094" s="141" t="s">
        <v>2943</v>
      </c>
      <c r="H1094" s="142" t="s">
        <v>2931</v>
      </c>
      <c r="I1094" s="141" t="s">
        <v>2951</v>
      </c>
      <c r="J1094" s="142" t="s">
        <v>233</v>
      </c>
      <c r="K1094" s="142" t="s">
        <v>233</v>
      </c>
      <c r="L1094" s="143">
        <f t="shared" si="34"/>
        <v>2</v>
      </c>
      <c r="M1094" s="144">
        <v>49220</v>
      </c>
      <c r="N1094" s="141" t="s">
        <v>2926</v>
      </c>
      <c r="O1094" s="142" t="s">
        <v>2927</v>
      </c>
      <c r="P1094" s="141" t="s">
        <v>2935</v>
      </c>
      <c r="Q1094" s="142" t="s">
        <v>2929</v>
      </c>
      <c r="R1094" s="141" t="s">
        <v>2936</v>
      </c>
      <c r="S1094" s="142" t="s">
        <v>2931</v>
      </c>
      <c r="T1094" s="141" t="s">
        <v>2946</v>
      </c>
      <c r="U1094" s="142" t="s">
        <v>233</v>
      </c>
      <c r="V1094" s="142" t="s">
        <v>233</v>
      </c>
      <c r="W1094" s="141">
        <f t="shared" si="35"/>
        <v>4</v>
      </c>
      <c r="X1094" s="143"/>
      <c r="Y1094" s="145" t="s">
        <v>2957</v>
      </c>
      <c r="AA1094"/>
    </row>
    <row r="1095" spans="1:27" s="115" customFormat="1" ht="27" customHeight="1">
      <c r="A1095" s="139">
        <v>1037</v>
      </c>
      <c r="B1095" s="140" t="s">
        <v>5582</v>
      </c>
      <c r="C1095" s="141" t="s">
        <v>2926</v>
      </c>
      <c r="D1095" s="142" t="s">
        <v>2927</v>
      </c>
      <c r="E1095" s="141" t="s">
        <v>2928</v>
      </c>
      <c r="F1095" s="142" t="s">
        <v>2929</v>
      </c>
      <c r="G1095" s="141" t="s">
        <v>2943</v>
      </c>
      <c r="H1095" s="142" t="s">
        <v>2931</v>
      </c>
      <c r="I1095" s="141" t="s">
        <v>2951</v>
      </c>
      <c r="J1095" s="142" t="s">
        <v>2952</v>
      </c>
      <c r="K1095" s="142" t="s">
        <v>237</v>
      </c>
      <c r="L1095" s="143">
        <f t="shared" si="34"/>
        <v>1</v>
      </c>
      <c r="M1095" s="144" t="s">
        <v>2958</v>
      </c>
      <c r="N1095" s="141" t="s">
        <v>2926</v>
      </c>
      <c r="O1095" s="142" t="s">
        <v>2927</v>
      </c>
      <c r="P1095" s="141" t="s">
        <v>2935</v>
      </c>
      <c r="Q1095" s="142" t="s">
        <v>2929</v>
      </c>
      <c r="R1095" s="141" t="s">
        <v>2936</v>
      </c>
      <c r="S1095" s="142" t="s">
        <v>2931</v>
      </c>
      <c r="T1095" s="141" t="s">
        <v>2954</v>
      </c>
      <c r="U1095" s="142" t="s">
        <v>2952</v>
      </c>
      <c r="V1095" s="142" t="s">
        <v>237</v>
      </c>
      <c r="W1095" s="141">
        <f t="shared" si="35"/>
        <v>1</v>
      </c>
      <c r="X1095" s="143"/>
      <c r="Y1095" s="145"/>
      <c r="AA1095"/>
    </row>
    <row r="1096" spans="1:27" s="115" customFormat="1" ht="27" customHeight="1">
      <c r="A1096" s="139">
        <v>1038</v>
      </c>
      <c r="B1096" s="140" t="s">
        <v>5583</v>
      </c>
      <c r="C1096" s="141" t="s">
        <v>2926</v>
      </c>
      <c r="D1096" s="142" t="s">
        <v>2927</v>
      </c>
      <c r="E1096" s="141" t="s">
        <v>2928</v>
      </c>
      <c r="F1096" s="142" t="s">
        <v>2929</v>
      </c>
      <c r="G1096" s="141" t="s">
        <v>2943</v>
      </c>
      <c r="H1096" s="142" t="s">
        <v>2931</v>
      </c>
      <c r="I1096" s="141" t="s">
        <v>2951</v>
      </c>
      <c r="J1096" s="142" t="s">
        <v>2952</v>
      </c>
      <c r="K1096" s="142" t="s">
        <v>236</v>
      </c>
      <c r="L1096" s="143">
        <f t="shared" si="34"/>
        <v>1</v>
      </c>
      <c r="M1096" s="144" t="s">
        <v>2953</v>
      </c>
      <c r="N1096" s="141" t="s">
        <v>2926</v>
      </c>
      <c r="O1096" s="142" t="s">
        <v>2927</v>
      </c>
      <c r="P1096" s="141" t="s">
        <v>2935</v>
      </c>
      <c r="Q1096" s="142" t="s">
        <v>2929</v>
      </c>
      <c r="R1096" s="141" t="s">
        <v>2936</v>
      </c>
      <c r="S1096" s="142" t="s">
        <v>2931</v>
      </c>
      <c r="T1096" s="141" t="s">
        <v>2954</v>
      </c>
      <c r="U1096" s="142" t="s">
        <v>2952</v>
      </c>
      <c r="V1096" s="142" t="s">
        <v>236</v>
      </c>
      <c r="W1096" s="141">
        <f t="shared" si="35"/>
        <v>4</v>
      </c>
      <c r="X1096" s="143"/>
      <c r="Y1096" s="145" t="s">
        <v>2959</v>
      </c>
      <c r="AA1096"/>
    </row>
    <row r="1097" spans="1:27" s="115" customFormat="1" ht="27" customHeight="1">
      <c r="A1097" s="139">
        <v>1039</v>
      </c>
      <c r="B1097" s="140" t="s">
        <v>5584</v>
      </c>
      <c r="C1097" s="141" t="s">
        <v>2926</v>
      </c>
      <c r="D1097" s="142" t="s">
        <v>2927</v>
      </c>
      <c r="E1097" s="141" t="s">
        <v>2928</v>
      </c>
      <c r="F1097" s="142" t="s">
        <v>2929</v>
      </c>
      <c r="G1097" s="141" t="s">
        <v>2943</v>
      </c>
      <c r="H1097" s="142" t="s">
        <v>2931</v>
      </c>
      <c r="I1097" s="141" t="s">
        <v>2951</v>
      </c>
      <c r="J1097" s="142" t="s">
        <v>2952</v>
      </c>
      <c r="K1097" s="142" t="s">
        <v>238</v>
      </c>
      <c r="L1097" s="143">
        <f t="shared" si="34"/>
        <v>1</v>
      </c>
      <c r="M1097" s="144" t="s">
        <v>2960</v>
      </c>
      <c r="N1097" s="141" t="s">
        <v>2926</v>
      </c>
      <c r="O1097" s="142" t="s">
        <v>2927</v>
      </c>
      <c r="P1097" s="141" t="s">
        <v>2935</v>
      </c>
      <c r="Q1097" s="142" t="s">
        <v>2929</v>
      </c>
      <c r="R1097" s="141" t="s">
        <v>2936</v>
      </c>
      <c r="S1097" s="142" t="s">
        <v>2931</v>
      </c>
      <c r="T1097" s="141" t="s">
        <v>2954</v>
      </c>
      <c r="U1097" s="142" t="s">
        <v>2952</v>
      </c>
      <c r="V1097" s="142" t="s">
        <v>238</v>
      </c>
      <c r="W1097" s="141">
        <f t="shared" si="35"/>
        <v>1</v>
      </c>
      <c r="X1097" s="143"/>
      <c r="Y1097" s="145"/>
      <c r="AA1097"/>
    </row>
    <row r="1098" spans="1:27" s="115" customFormat="1" ht="27" customHeight="1">
      <c r="A1098" s="139">
        <v>1040</v>
      </c>
      <c r="B1098" s="140" t="s">
        <v>5585</v>
      </c>
      <c r="C1098" s="141" t="s">
        <v>2926</v>
      </c>
      <c r="D1098" s="142" t="s">
        <v>2927</v>
      </c>
      <c r="E1098" s="141" t="s">
        <v>2928</v>
      </c>
      <c r="F1098" s="142" t="s">
        <v>2929</v>
      </c>
      <c r="G1098" s="141" t="s">
        <v>2943</v>
      </c>
      <c r="H1098" s="142" t="s">
        <v>2961</v>
      </c>
      <c r="I1098" s="141" t="s">
        <v>2962</v>
      </c>
      <c r="J1098" s="142" t="s">
        <v>2961</v>
      </c>
      <c r="K1098" s="142" t="s">
        <v>982</v>
      </c>
      <c r="L1098" s="143">
        <f t="shared" si="34"/>
        <v>1</v>
      </c>
      <c r="M1098" s="144">
        <v>49302</v>
      </c>
      <c r="N1098" s="146" t="s">
        <v>2926</v>
      </c>
      <c r="O1098" s="147" t="s">
        <v>2927</v>
      </c>
      <c r="P1098" s="146" t="s">
        <v>2935</v>
      </c>
      <c r="Q1098" s="147" t="s">
        <v>2929</v>
      </c>
      <c r="R1098" s="146" t="s">
        <v>2963</v>
      </c>
      <c r="S1098" s="147" t="s">
        <v>2961</v>
      </c>
      <c r="T1098" s="146" t="s">
        <v>2964</v>
      </c>
      <c r="U1098" s="147" t="s">
        <v>2961</v>
      </c>
      <c r="V1098" s="147" t="s">
        <v>982</v>
      </c>
      <c r="W1098" s="141">
        <f t="shared" si="35"/>
        <v>7</v>
      </c>
      <c r="X1098" s="143">
        <v>1</v>
      </c>
      <c r="Y1098" s="145"/>
      <c r="AA1098"/>
    </row>
    <row r="1099" spans="1:27" s="115" customFormat="1" ht="27" customHeight="1">
      <c r="A1099" s="139">
        <v>1041</v>
      </c>
      <c r="B1099" s="140" t="s">
        <v>5586</v>
      </c>
      <c r="C1099" s="141" t="s">
        <v>2926</v>
      </c>
      <c r="D1099" s="142" t="s">
        <v>2927</v>
      </c>
      <c r="E1099" s="141" t="s">
        <v>2928</v>
      </c>
      <c r="F1099" s="142" t="s">
        <v>2929</v>
      </c>
      <c r="G1099" s="141" t="s">
        <v>2943</v>
      </c>
      <c r="H1099" s="142" t="s">
        <v>2961</v>
      </c>
      <c r="I1099" s="141" t="s">
        <v>2962</v>
      </c>
      <c r="J1099" s="142" t="s">
        <v>2961</v>
      </c>
      <c r="K1099" s="142" t="s">
        <v>983</v>
      </c>
      <c r="L1099" s="143">
        <f t="shared" si="34"/>
        <v>1</v>
      </c>
      <c r="M1099" s="144" t="s">
        <v>2965</v>
      </c>
      <c r="N1099" s="146" t="s">
        <v>2926</v>
      </c>
      <c r="O1099" s="147" t="s">
        <v>2927</v>
      </c>
      <c r="P1099" s="146" t="s">
        <v>2935</v>
      </c>
      <c r="Q1099" s="147" t="s">
        <v>2929</v>
      </c>
      <c r="R1099" s="146" t="s">
        <v>2963</v>
      </c>
      <c r="S1099" s="147" t="s">
        <v>2961</v>
      </c>
      <c r="T1099" s="146" t="s">
        <v>2964</v>
      </c>
      <c r="U1099" s="147" t="s">
        <v>2961</v>
      </c>
      <c r="V1099" s="147" t="s">
        <v>983</v>
      </c>
      <c r="W1099" s="141">
        <f t="shared" si="35"/>
        <v>8</v>
      </c>
      <c r="X1099" s="143">
        <v>2</v>
      </c>
      <c r="Y1099" s="145" t="s">
        <v>2966</v>
      </c>
      <c r="AA1099"/>
    </row>
    <row r="1100" spans="1:27" s="115" customFormat="1" ht="27" customHeight="1">
      <c r="A1100" s="139">
        <v>1042</v>
      </c>
      <c r="B1100" s="140" t="s">
        <v>5587</v>
      </c>
      <c r="C1100" s="141" t="s">
        <v>2926</v>
      </c>
      <c r="D1100" s="142" t="s">
        <v>2927</v>
      </c>
      <c r="E1100" s="141" t="s">
        <v>2928</v>
      </c>
      <c r="F1100" s="142" t="s">
        <v>2929</v>
      </c>
      <c r="G1100" s="141" t="s">
        <v>2943</v>
      </c>
      <c r="H1100" s="142" t="s">
        <v>2961</v>
      </c>
      <c r="I1100" s="141" t="s">
        <v>2962</v>
      </c>
      <c r="J1100" s="142" t="s">
        <v>2961</v>
      </c>
      <c r="K1100" s="142" t="s">
        <v>983</v>
      </c>
      <c r="L1100" s="143">
        <f t="shared" si="34"/>
        <v>1</v>
      </c>
      <c r="M1100" s="144" t="s">
        <v>2965</v>
      </c>
      <c r="N1100" s="146" t="s">
        <v>2926</v>
      </c>
      <c r="O1100" s="147" t="s">
        <v>2927</v>
      </c>
      <c r="P1100" s="146" t="s">
        <v>2935</v>
      </c>
      <c r="Q1100" s="147" t="s">
        <v>2929</v>
      </c>
      <c r="R1100" s="146" t="s">
        <v>2963</v>
      </c>
      <c r="S1100" s="147" t="s">
        <v>2961</v>
      </c>
      <c r="T1100" s="146" t="s">
        <v>2964</v>
      </c>
      <c r="U1100" s="147" t="s">
        <v>2961</v>
      </c>
      <c r="V1100" s="147" t="s">
        <v>983</v>
      </c>
      <c r="W1100" s="141">
        <f t="shared" si="35"/>
        <v>8</v>
      </c>
      <c r="X1100" s="143">
        <v>2</v>
      </c>
      <c r="Y1100" s="145" t="s">
        <v>2967</v>
      </c>
      <c r="AA1100"/>
    </row>
    <row r="1101" spans="1:27" s="115" customFormat="1" ht="27" customHeight="1">
      <c r="A1101" s="139">
        <v>1043</v>
      </c>
      <c r="B1101" s="140" t="s">
        <v>5588</v>
      </c>
      <c r="C1101" s="141" t="s">
        <v>2926</v>
      </c>
      <c r="D1101" s="142" t="s">
        <v>2927</v>
      </c>
      <c r="E1101" s="141" t="s">
        <v>2928</v>
      </c>
      <c r="F1101" s="142" t="s">
        <v>2929</v>
      </c>
      <c r="G1101" s="141" t="s">
        <v>2943</v>
      </c>
      <c r="H1101" s="142" t="s">
        <v>2961</v>
      </c>
      <c r="I1101" s="141" t="s">
        <v>2962</v>
      </c>
      <c r="J1101" s="142" t="s">
        <v>2961</v>
      </c>
      <c r="K1101" s="142" t="s">
        <v>983</v>
      </c>
      <c r="L1101" s="143">
        <f t="shared" si="34"/>
        <v>1</v>
      </c>
      <c r="M1101" s="144" t="s">
        <v>2965</v>
      </c>
      <c r="N1101" s="146" t="s">
        <v>2926</v>
      </c>
      <c r="O1101" s="147" t="s">
        <v>2927</v>
      </c>
      <c r="P1101" s="146" t="s">
        <v>2935</v>
      </c>
      <c r="Q1101" s="147" t="s">
        <v>2929</v>
      </c>
      <c r="R1101" s="146" t="s">
        <v>2963</v>
      </c>
      <c r="S1101" s="147" t="s">
        <v>2961</v>
      </c>
      <c r="T1101" s="146" t="s">
        <v>2964</v>
      </c>
      <c r="U1101" s="147" t="s">
        <v>2961</v>
      </c>
      <c r="V1101" s="147" t="s">
        <v>983</v>
      </c>
      <c r="W1101" s="141">
        <f t="shared" si="35"/>
        <v>8</v>
      </c>
      <c r="X1101" s="143">
        <v>2</v>
      </c>
      <c r="Y1101" s="145" t="s">
        <v>2968</v>
      </c>
      <c r="AA1101"/>
    </row>
    <row r="1102" spans="1:27" s="115" customFormat="1" ht="27" customHeight="1">
      <c r="A1102" s="139">
        <v>1044</v>
      </c>
      <c r="B1102" s="140" t="s">
        <v>5589</v>
      </c>
      <c r="C1102" s="141" t="s">
        <v>2926</v>
      </c>
      <c r="D1102" s="142" t="s">
        <v>2927</v>
      </c>
      <c r="E1102" s="141" t="s">
        <v>2928</v>
      </c>
      <c r="F1102" s="142" t="s">
        <v>2929</v>
      </c>
      <c r="G1102" s="141" t="s">
        <v>2943</v>
      </c>
      <c r="H1102" s="142" t="s">
        <v>2961</v>
      </c>
      <c r="I1102" s="141" t="s">
        <v>2962</v>
      </c>
      <c r="J1102" s="142" t="s">
        <v>2961</v>
      </c>
      <c r="K1102" s="142" t="s">
        <v>983</v>
      </c>
      <c r="L1102" s="143">
        <f t="shared" si="34"/>
        <v>1</v>
      </c>
      <c r="M1102" s="144" t="s">
        <v>2965</v>
      </c>
      <c r="N1102" s="146" t="s">
        <v>2926</v>
      </c>
      <c r="O1102" s="147" t="s">
        <v>2927</v>
      </c>
      <c r="P1102" s="146" t="s">
        <v>2935</v>
      </c>
      <c r="Q1102" s="147" t="s">
        <v>2929</v>
      </c>
      <c r="R1102" s="146" t="s">
        <v>2963</v>
      </c>
      <c r="S1102" s="147" t="s">
        <v>2961</v>
      </c>
      <c r="T1102" s="146" t="s">
        <v>2964</v>
      </c>
      <c r="U1102" s="147" t="s">
        <v>2961</v>
      </c>
      <c r="V1102" s="147" t="s">
        <v>983</v>
      </c>
      <c r="W1102" s="141">
        <f t="shared" si="35"/>
        <v>8</v>
      </c>
      <c r="X1102" s="143">
        <v>2</v>
      </c>
      <c r="Y1102" s="145" t="s">
        <v>2969</v>
      </c>
      <c r="AA1102"/>
    </row>
    <row r="1103" spans="1:27" s="115" customFormat="1" ht="27" customHeight="1">
      <c r="A1103" s="139">
        <v>1045</v>
      </c>
      <c r="B1103" s="140" t="s">
        <v>5590</v>
      </c>
      <c r="C1103" s="141" t="s">
        <v>2926</v>
      </c>
      <c r="D1103" s="142" t="s">
        <v>2927</v>
      </c>
      <c r="E1103" s="141" t="s">
        <v>2928</v>
      </c>
      <c r="F1103" s="142" t="s">
        <v>2929</v>
      </c>
      <c r="G1103" s="141" t="s">
        <v>2943</v>
      </c>
      <c r="H1103" s="142" t="s">
        <v>2931</v>
      </c>
      <c r="I1103" s="141" t="s">
        <v>2962</v>
      </c>
      <c r="J1103" s="142" t="s">
        <v>2952</v>
      </c>
      <c r="K1103" s="142" t="s">
        <v>984</v>
      </c>
      <c r="L1103" s="143">
        <f t="shared" si="34"/>
        <v>1</v>
      </c>
      <c r="M1103" s="144" t="s">
        <v>2970</v>
      </c>
      <c r="N1103" s="141" t="s">
        <v>2926</v>
      </c>
      <c r="O1103" s="142" t="s">
        <v>2927</v>
      </c>
      <c r="P1103" s="141" t="s">
        <v>2935</v>
      </c>
      <c r="Q1103" s="142" t="s">
        <v>2929</v>
      </c>
      <c r="R1103" s="141" t="s">
        <v>2936</v>
      </c>
      <c r="S1103" s="142" t="s">
        <v>2931</v>
      </c>
      <c r="T1103" s="141" t="s">
        <v>2954</v>
      </c>
      <c r="U1103" s="142" t="s">
        <v>2952</v>
      </c>
      <c r="V1103" s="142" t="s">
        <v>984</v>
      </c>
      <c r="W1103" s="141">
        <f t="shared" si="35"/>
        <v>1</v>
      </c>
      <c r="X1103" s="143"/>
      <c r="Y1103" s="145"/>
      <c r="AA1103"/>
    </row>
    <row r="1104" spans="1:27" s="115" customFormat="1" ht="27" customHeight="1">
      <c r="A1104" s="139">
        <v>1046</v>
      </c>
      <c r="B1104" s="140" t="s">
        <v>5591</v>
      </c>
      <c r="C1104" s="141" t="s">
        <v>2926</v>
      </c>
      <c r="D1104" s="142" t="s">
        <v>2927</v>
      </c>
      <c r="E1104" s="141" t="s">
        <v>2928</v>
      </c>
      <c r="F1104" s="142" t="s">
        <v>2929</v>
      </c>
      <c r="G1104" s="141" t="s">
        <v>2943</v>
      </c>
      <c r="H1104" s="142" t="s">
        <v>2961</v>
      </c>
      <c r="I1104" s="141" t="s">
        <v>2962</v>
      </c>
      <c r="J1104" s="142" t="s">
        <v>2961</v>
      </c>
      <c r="K1104" s="142" t="s">
        <v>982</v>
      </c>
      <c r="L1104" s="143">
        <f t="shared" si="34"/>
        <v>1</v>
      </c>
      <c r="M1104" s="144" t="s">
        <v>2971</v>
      </c>
      <c r="N1104" s="146" t="s">
        <v>2926</v>
      </c>
      <c r="O1104" s="147" t="s">
        <v>2927</v>
      </c>
      <c r="P1104" s="146" t="s">
        <v>2935</v>
      </c>
      <c r="Q1104" s="147" t="s">
        <v>2929</v>
      </c>
      <c r="R1104" s="146" t="s">
        <v>2963</v>
      </c>
      <c r="S1104" s="147" t="s">
        <v>2961</v>
      </c>
      <c r="T1104" s="146" t="s">
        <v>2964</v>
      </c>
      <c r="U1104" s="147" t="s">
        <v>2961</v>
      </c>
      <c r="V1104" s="147" t="s">
        <v>982</v>
      </c>
      <c r="W1104" s="141">
        <f t="shared" si="35"/>
        <v>7</v>
      </c>
      <c r="X1104" s="143"/>
      <c r="Y1104" s="145" t="s">
        <v>2972</v>
      </c>
      <c r="AA1104"/>
    </row>
    <row r="1105" spans="1:27" s="115" customFormat="1" ht="27" customHeight="1">
      <c r="A1105" s="139">
        <v>1047</v>
      </c>
      <c r="B1105" s="140" t="s">
        <v>5592</v>
      </c>
      <c r="C1105" s="141" t="s">
        <v>2926</v>
      </c>
      <c r="D1105" s="142" t="s">
        <v>2927</v>
      </c>
      <c r="E1105" s="141" t="s">
        <v>2928</v>
      </c>
      <c r="F1105" s="142" t="s">
        <v>2929</v>
      </c>
      <c r="G1105" s="141" t="s">
        <v>2943</v>
      </c>
      <c r="H1105" s="142" t="s">
        <v>2961</v>
      </c>
      <c r="I1105" s="141" t="s">
        <v>2962</v>
      </c>
      <c r="J1105" s="142" t="s">
        <v>2961</v>
      </c>
      <c r="K1105" s="142" t="s">
        <v>982</v>
      </c>
      <c r="L1105" s="143">
        <f t="shared" si="34"/>
        <v>2</v>
      </c>
      <c r="M1105" s="144" t="s">
        <v>2971</v>
      </c>
      <c r="N1105" s="141" t="s">
        <v>2926</v>
      </c>
      <c r="O1105" s="142" t="s">
        <v>2927</v>
      </c>
      <c r="P1105" s="141" t="s">
        <v>2935</v>
      </c>
      <c r="Q1105" s="142" t="s">
        <v>2929</v>
      </c>
      <c r="R1105" s="141" t="s">
        <v>2963</v>
      </c>
      <c r="S1105" s="142" t="s">
        <v>2961</v>
      </c>
      <c r="T1105" s="141" t="s">
        <v>2964</v>
      </c>
      <c r="U1105" s="142" t="s">
        <v>2961</v>
      </c>
      <c r="V1105" s="142" t="s">
        <v>982</v>
      </c>
      <c r="W1105" s="141">
        <f t="shared" si="35"/>
        <v>7</v>
      </c>
      <c r="X1105" s="143"/>
      <c r="Y1105" s="145" t="s">
        <v>2973</v>
      </c>
      <c r="AA1105"/>
    </row>
    <row r="1106" spans="1:27" s="115" customFormat="1" ht="27" customHeight="1">
      <c r="A1106" s="139">
        <v>1047</v>
      </c>
      <c r="B1106" s="140" t="s">
        <v>5592</v>
      </c>
      <c r="C1106" s="141" t="s">
        <v>2926</v>
      </c>
      <c r="D1106" s="142" t="s">
        <v>2927</v>
      </c>
      <c r="E1106" s="141" t="s">
        <v>2928</v>
      </c>
      <c r="F1106" s="142" t="s">
        <v>2929</v>
      </c>
      <c r="G1106" s="141" t="s">
        <v>2943</v>
      </c>
      <c r="H1106" s="142" t="s">
        <v>2961</v>
      </c>
      <c r="I1106" s="141" t="s">
        <v>2962</v>
      </c>
      <c r="J1106" s="142" t="s">
        <v>2961</v>
      </c>
      <c r="K1106" s="142" t="s">
        <v>986</v>
      </c>
      <c r="L1106" s="143">
        <f t="shared" si="34"/>
        <v>2</v>
      </c>
      <c r="M1106" s="144" t="s">
        <v>2974</v>
      </c>
      <c r="N1106" s="141" t="s">
        <v>2926</v>
      </c>
      <c r="O1106" s="142" t="s">
        <v>2927</v>
      </c>
      <c r="P1106" s="141" t="s">
        <v>2935</v>
      </c>
      <c r="Q1106" s="142" t="s">
        <v>2929</v>
      </c>
      <c r="R1106" s="141" t="s">
        <v>2963</v>
      </c>
      <c r="S1106" s="142" t="s">
        <v>2961</v>
      </c>
      <c r="T1106" s="141" t="s">
        <v>2964</v>
      </c>
      <c r="U1106" s="142" t="s">
        <v>2961</v>
      </c>
      <c r="V1106" s="142" t="s">
        <v>986</v>
      </c>
      <c r="W1106" s="141">
        <f t="shared" si="35"/>
        <v>6</v>
      </c>
      <c r="X1106" s="143"/>
      <c r="Y1106" s="145" t="s">
        <v>2975</v>
      </c>
      <c r="AA1106"/>
    </row>
    <row r="1107" spans="1:27" s="115" customFormat="1" ht="27" customHeight="1">
      <c r="A1107" s="139">
        <v>1048</v>
      </c>
      <c r="B1107" s="140" t="s">
        <v>5593</v>
      </c>
      <c r="C1107" s="141" t="s">
        <v>2926</v>
      </c>
      <c r="D1107" s="142" t="s">
        <v>2927</v>
      </c>
      <c r="E1107" s="141" t="s">
        <v>2928</v>
      </c>
      <c r="F1107" s="142" t="s">
        <v>2976</v>
      </c>
      <c r="G1107" s="141" t="s">
        <v>2943</v>
      </c>
      <c r="H1107" s="142" t="s">
        <v>2977</v>
      </c>
      <c r="I1107" s="141" t="s">
        <v>2962</v>
      </c>
      <c r="J1107" s="142" t="s">
        <v>2978</v>
      </c>
      <c r="K1107" s="142" t="s">
        <v>985</v>
      </c>
      <c r="L1107" s="143">
        <f t="shared" si="34"/>
        <v>1</v>
      </c>
      <c r="M1107" s="144" t="s">
        <v>2979</v>
      </c>
      <c r="N1107" s="141" t="s">
        <v>2926</v>
      </c>
      <c r="O1107" s="142" t="s">
        <v>2927</v>
      </c>
      <c r="P1107" s="141" t="s">
        <v>2696</v>
      </c>
      <c r="Q1107" s="142" t="s">
        <v>2976</v>
      </c>
      <c r="R1107" s="141" t="s">
        <v>2980</v>
      </c>
      <c r="S1107" s="142" t="s">
        <v>2977</v>
      </c>
      <c r="T1107" s="141" t="s">
        <v>2981</v>
      </c>
      <c r="U1107" s="142" t="s">
        <v>2978</v>
      </c>
      <c r="V1107" s="142" t="s">
        <v>985</v>
      </c>
      <c r="W1107" s="141">
        <f t="shared" si="35"/>
        <v>2</v>
      </c>
      <c r="X1107" s="143"/>
      <c r="Y1107" s="145" t="s">
        <v>2982</v>
      </c>
      <c r="AA1107"/>
    </row>
    <row r="1108" spans="1:27" s="115" customFormat="1" ht="27" customHeight="1">
      <c r="A1108" s="139">
        <v>1049</v>
      </c>
      <c r="B1108" s="140" t="s">
        <v>5594</v>
      </c>
      <c r="C1108" s="141" t="s">
        <v>2926</v>
      </c>
      <c r="D1108" s="142" t="s">
        <v>2927</v>
      </c>
      <c r="E1108" s="141" t="s">
        <v>2928</v>
      </c>
      <c r="F1108" s="142" t="s">
        <v>2929</v>
      </c>
      <c r="G1108" s="141" t="s">
        <v>2943</v>
      </c>
      <c r="H1108" s="142" t="s">
        <v>2961</v>
      </c>
      <c r="I1108" s="141" t="s">
        <v>2962</v>
      </c>
      <c r="J1108" s="142" t="s">
        <v>2961</v>
      </c>
      <c r="K1108" s="142" t="s">
        <v>986</v>
      </c>
      <c r="L1108" s="143">
        <f t="shared" si="34"/>
        <v>1</v>
      </c>
      <c r="M1108" s="144" t="s">
        <v>2974</v>
      </c>
      <c r="N1108" s="141" t="s">
        <v>2926</v>
      </c>
      <c r="O1108" s="142" t="s">
        <v>2927</v>
      </c>
      <c r="P1108" s="141" t="s">
        <v>2935</v>
      </c>
      <c r="Q1108" s="142" t="s">
        <v>2929</v>
      </c>
      <c r="R1108" s="141" t="s">
        <v>2963</v>
      </c>
      <c r="S1108" s="142" t="s">
        <v>2961</v>
      </c>
      <c r="T1108" s="141" t="s">
        <v>2964</v>
      </c>
      <c r="U1108" s="142" t="s">
        <v>2961</v>
      </c>
      <c r="V1108" s="142" t="s">
        <v>986</v>
      </c>
      <c r="W1108" s="141">
        <f t="shared" si="35"/>
        <v>6</v>
      </c>
      <c r="X1108" s="143">
        <v>1</v>
      </c>
      <c r="Y1108" s="145"/>
      <c r="AA1108"/>
    </row>
    <row r="1109" spans="1:27" s="115" customFormat="1" ht="27" customHeight="1">
      <c r="A1109" s="139">
        <v>1050</v>
      </c>
      <c r="B1109" s="140" t="s">
        <v>5595</v>
      </c>
      <c r="C1109" s="141" t="s">
        <v>2926</v>
      </c>
      <c r="D1109" s="142" t="s">
        <v>2927</v>
      </c>
      <c r="E1109" s="141" t="s">
        <v>2928</v>
      </c>
      <c r="F1109" s="142" t="s">
        <v>2929</v>
      </c>
      <c r="G1109" s="141" t="s">
        <v>2943</v>
      </c>
      <c r="H1109" s="142" t="s">
        <v>2961</v>
      </c>
      <c r="I1109" s="141" t="s">
        <v>2962</v>
      </c>
      <c r="J1109" s="142" t="s">
        <v>2961</v>
      </c>
      <c r="K1109" s="142" t="s">
        <v>987</v>
      </c>
      <c r="L1109" s="143">
        <f t="shared" si="34"/>
        <v>1</v>
      </c>
      <c r="M1109" s="144" t="s">
        <v>2983</v>
      </c>
      <c r="N1109" s="141" t="s">
        <v>2926</v>
      </c>
      <c r="O1109" s="142" t="s">
        <v>2927</v>
      </c>
      <c r="P1109" s="141" t="s">
        <v>2935</v>
      </c>
      <c r="Q1109" s="142" t="s">
        <v>2929</v>
      </c>
      <c r="R1109" s="141" t="s">
        <v>2963</v>
      </c>
      <c r="S1109" s="142" t="s">
        <v>2961</v>
      </c>
      <c r="T1109" s="141" t="s">
        <v>2964</v>
      </c>
      <c r="U1109" s="142" t="s">
        <v>2961</v>
      </c>
      <c r="V1109" s="142" t="s">
        <v>987</v>
      </c>
      <c r="W1109" s="141">
        <f t="shared" si="35"/>
        <v>3</v>
      </c>
      <c r="X1109" s="143"/>
      <c r="Y1109" s="145"/>
      <c r="AA1109"/>
    </row>
    <row r="1110" spans="1:27" s="115" customFormat="1" ht="27" customHeight="1">
      <c r="A1110" s="139">
        <v>1051</v>
      </c>
      <c r="B1110" s="140" t="s">
        <v>5596</v>
      </c>
      <c r="C1110" s="141" t="s">
        <v>2926</v>
      </c>
      <c r="D1110" s="142" t="s">
        <v>2927</v>
      </c>
      <c r="E1110" s="141" t="s">
        <v>2928</v>
      </c>
      <c r="F1110" s="142" t="s">
        <v>2929</v>
      </c>
      <c r="G1110" s="141" t="s">
        <v>2943</v>
      </c>
      <c r="H1110" s="142" t="s">
        <v>2961</v>
      </c>
      <c r="I1110" s="141" t="s">
        <v>2962</v>
      </c>
      <c r="J1110" s="142" t="s">
        <v>2961</v>
      </c>
      <c r="K1110" s="142" t="s">
        <v>983</v>
      </c>
      <c r="L1110" s="143">
        <f t="shared" si="34"/>
        <v>4</v>
      </c>
      <c r="M1110" s="158" t="s">
        <v>2965</v>
      </c>
      <c r="N1110" s="146" t="s">
        <v>2926</v>
      </c>
      <c r="O1110" s="147" t="s">
        <v>2927</v>
      </c>
      <c r="P1110" s="146" t="s">
        <v>2935</v>
      </c>
      <c r="Q1110" s="147" t="s">
        <v>2929</v>
      </c>
      <c r="R1110" s="146" t="s">
        <v>2963</v>
      </c>
      <c r="S1110" s="147" t="s">
        <v>2961</v>
      </c>
      <c r="T1110" s="146" t="s">
        <v>2964</v>
      </c>
      <c r="U1110" s="147" t="s">
        <v>2961</v>
      </c>
      <c r="V1110" s="147" t="s">
        <v>983</v>
      </c>
      <c r="W1110" s="141">
        <f t="shared" si="35"/>
        <v>8</v>
      </c>
      <c r="X1110" s="143"/>
      <c r="Y1110" s="138" t="s">
        <v>2984</v>
      </c>
      <c r="AA1110"/>
    </row>
    <row r="1111" spans="1:27" s="115" customFormat="1" ht="27" customHeight="1">
      <c r="A1111" s="139">
        <v>1051</v>
      </c>
      <c r="B1111" s="140" t="s">
        <v>5596</v>
      </c>
      <c r="C1111" s="141" t="s">
        <v>2926</v>
      </c>
      <c r="D1111" s="142" t="s">
        <v>2927</v>
      </c>
      <c r="E1111" s="141" t="s">
        <v>2928</v>
      </c>
      <c r="F1111" s="142" t="s">
        <v>2929</v>
      </c>
      <c r="G1111" s="141" t="s">
        <v>2943</v>
      </c>
      <c r="H1111" s="142" t="s">
        <v>2961</v>
      </c>
      <c r="I1111" s="141" t="s">
        <v>2962</v>
      </c>
      <c r="J1111" s="142" t="s">
        <v>2961</v>
      </c>
      <c r="K1111" s="142" t="s">
        <v>983</v>
      </c>
      <c r="L1111" s="143">
        <f t="shared" si="34"/>
        <v>4</v>
      </c>
      <c r="M1111" s="158" t="s">
        <v>2971</v>
      </c>
      <c r="N1111" s="146" t="s">
        <v>2926</v>
      </c>
      <c r="O1111" s="147" t="s">
        <v>2927</v>
      </c>
      <c r="P1111" s="146" t="s">
        <v>2935</v>
      </c>
      <c r="Q1111" s="147" t="s">
        <v>2929</v>
      </c>
      <c r="R1111" s="146" t="s">
        <v>2963</v>
      </c>
      <c r="S1111" s="147" t="s">
        <v>2961</v>
      </c>
      <c r="T1111" s="146" t="s">
        <v>2964</v>
      </c>
      <c r="U1111" s="147" t="s">
        <v>2961</v>
      </c>
      <c r="V1111" s="147" t="s">
        <v>982</v>
      </c>
      <c r="W1111" s="141">
        <f t="shared" si="35"/>
        <v>7</v>
      </c>
      <c r="X1111" s="143"/>
      <c r="Y1111" s="138" t="s">
        <v>2984</v>
      </c>
      <c r="AA1111"/>
    </row>
    <row r="1112" spans="1:27" s="115" customFormat="1" ht="27" customHeight="1">
      <c r="A1112" s="139">
        <v>1051</v>
      </c>
      <c r="B1112" s="140" t="s">
        <v>5596</v>
      </c>
      <c r="C1112" s="141" t="s">
        <v>2926</v>
      </c>
      <c r="D1112" s="142" t="s">
        <v>2927</v>
      </c>
      <c r="E1112" s="141" t="s">
        <v>2928</v>
      </c>
      <c r="F1112" s="142" t="s">
        <v>2929</v>
      </c>
      <c r="G1112" s="141" t="s">
        <v>2943</v>
      </c>
      <c r="H1112" s="142" t="s">
        <v>2961</v>
      </c>
      <c r="I1112" s="141" t="s">
        <v>2962</v>
      </c>
      <c r="J1112" s="142" t="s">
        <v>2961</v>
      </c>
      <c r="K1112" s="142" t="s">
        <v>983</v>
      </c>
      <c r="L1112" s="143">
        <f t="shared" si="34"/>
        <v>4</v>
      </c>
      <c r="M1112" s="158" t="s">
        <v>2974</v>
      </c>
      <c r="N1112" s="141" t="s">
        <v>2926</v>
      </c>
      <c r="O1112" s="142" t="s">
        <v>2927</v>
      </c>
      <c r="P1112" s="141" t="s">
        <v>2935</v>
      </c>
      <c r="Q1112" s="142" t="s">
        <v>2929</v>
      </c>
      <c r="R1112" s="141" t="s">
        <v>2963</v>
      </c>
      <c r="S1112" s="142" t="s">
        <v>2961</v>
      </c>
      <c r="T1112" s="141" t="s">
        <v>2964</v>
      </c>
      <c r="U1112" s="142" t="s">
        <v>2961</v>
      </c>
      <c r="V1112" s="142" t="s">
        <v>986</v>
      </c>
      <c r="W1112" s="141">
        <f t="shared" si="35"/>
        <v>6</v>
      </c>
      <c r="X1112" s="143"/>
      <c r="Y1112" s="138" t="s">
        <v>2984</v>
      </c>
      <c r="AA1112"/>
    </row>
    <row r="1113" spans="1:27" s="115" customFormat="1" ht="27" customHeight="1">
      <c r="A1113" s="139">
        <v>1051</v>
      </c>
      <c r="B1113" s="140" t="s">
        <v>5596</v>
      </c>
      <c r="C1113" s="141" t="s">
        <v>2926</v>
      </c>
      <c r="D1113" s="142" t="s">
        <v>2927</v>
      </c>
      <c r="E1113" s="141" t="s">
        <v>2928</v>
      </c>
      <c r="F1113" s="142" t="s">
        <v>2929</v>
      </c>
      <c r="G1113" s="141" t="s">
        <v>2943</v>
      </c>
      <c r="H1113" s="142" t="s">
        <v>2961</v>
      </c>
      <c r="I1113" s="141" t="s">
        <v>2962</v>
      </c>
      <c r="J1113" s="142" t="s">
        <v>2961</v>
      </c>
      <c r="K1113" s="142" t="s">
        <v>983</v>
      </c>
      <c r="L1113" s="143">
        <f t="shared" si="34"/>
        <v>4</v>
      </c>
      <c r="M1113" s="158" t="s">
        <v>2983</v>
      </c>
      <c r="N1113" s="141" t="s">
        <v>2926</v>
      </c>
      <c r="O1113" s="142" t="s">
        <v>2927</v>
      </c>
      <c r="P1113" s="141" t="s">
        <v>2935</v>
      </c>
      <c r="Q1113" s="142" t="s">
        <v>2929</v>
      </c>
      <c r="R1113" s="141" t="s">
        <v>2963</v>
      </c>
      <c r="S1113" s="142" t="s">
        <v>2961</v>
      </c>
      <c r="T1113" s="141" t="s">
        <v>2964</v>
      </c>
      <c r="U1113" s="142" t="s">
        <v>2961</v>
      </c>
      <c r="V1113" s="142" t="s">
        <v>987</v>
      </c>
      <c r="W1113" s="141">
        <f t="shared" si="35"/>
        <v>3</v>
      </c>
      <c r="X1113" s="143"/>
      <c r="Y1113" s="138" t="s">
        <v>2984</v>
      </c>
      <c r="AA1113"/>
    </row>
    <row r="1114" spans="1:27" s="115" customFormat="1" ht="27" customHeight="1">
      <c r="A1114" s="139">
        <v>1052</v>
      </c>
      <c r="B1114" s="140" t="s">
        <v>5597</v>
      </c>
      <c r="C1114" s="141" t="s">
        <v>2926</v>
      </c>
      <c r="D1114" s="142" t="s">
        <v>2927</v>
      </c>
      <c r="E1114" s="141" t="s">
        <v>2928</v>
      </c>
      <c r="F1114" s="142" t="s">
        <v>2929</v>
      </c>
      <c r="G1114" s="141" t="s">
        <v>2943</v>
      </c>
      <c r="H1114" s="142" t="s">
        <v>2961</v>
      </c>
      <c r="I1114" s="141" t="s">
        <v>2962</v>
      </c>
      <c r="J1114" s="142" t="s">
        <v>2961</v>
      </c>
      <c r="K1114" s="142" t="s">
        <v>983</v>
      </c>
      <c r="L1114" s="143">
        <f t="shared" si="34"/>
        <v>3</v>
      </c>
      <c r="M1114" s="158" t="s">
        <v>2965</v>
      </c>
      <c r="N1114" s="146" t="s">
        <v>2926</v>
      </c>
      <c r="O1114" s="147" t="s">
        <v>2927</v>
      </c>
      <c r="P1114" s="146" t="s">
        <v>2935</v>
      </c>
      <c r="Q1114" s="147" t="s">
        <v>2929</v>
      </c>
      <c r="R1114" s="146" t="s">
        <v>2963</v>
      </c>
      <c r="S1114" s="147" t="s">
        <v>2961</v>
      </c>
      <c r="T1114" s="146" t="s">
        <v>2964</v>
      </c>
      <c r="U1114" s="147" t="s">
        <v>2961</v>
      </c>
      <c r="V1114" s="147" t="s">
        <v>983</v>
      </c>
      <c r="W1114" s="141">
        <f t="shared" si="35"/>
        <v>8</v>
      </c>
      <c r="X1114" s="143"/>
      <c r="Y1114" s="138" t="s">
        <v>2985</v>
      </c>
      <c r="AA1114"/>
    </row>
    <row r="1115" spans="1:27" s="115" customFormat="1" ht="27" customHeight="1">
      <c r="A1115" s="139">
        <v>1052</v>
      </c>
      <c r="B1115" s="140" t="s">
        <v>5597</v>
      </c>
      <c r="C1115" s="141" t="s">
        <v>2926</v>
      </c>
      <c r="D1115" s="142" t="s">
        <v>2927</v>
      </c>
      <c r="E1115" s="141" t="s">
        <v>2928</v>
      </c>
      <c r="F1115" s="142" t="s">
        <v>2929</v>
      </c>
      <c r="G1115" s="141" t="s">
        <v>2943</v>
      </c>
      <c r="H1115" s="142" t="s">
        <v>2961</v>
      </c>
      <c r="I1115" s="141" t="s">
        <v>2962</v>
      </c>
      <c r="J1115" s="142" t="s">
        <v>2961</v>
      </c>
      <c r="K1115" s="142" t="s">
        <v>983</v>
      </c>
      <c r="L1115" s="143">
        <f t="shared" si="34"/>
        <v>3</v>
      </c>
      <c r="M1115" s="158" t="s">
        <v>2971</v>
      </c>
      <c r="N1115" s="146" t="s">
        <v>2926</v>
      </c>
      <c r="O1115" s="147" t="s">
        <v>2927</v>
      </c>
      <c r="P1115" s="146" t="s">
        <v>2935</v>
      </c>
      <c r="Q1115" s="147" t="s">
        <v>2929</v>
      </c>
      <c r="R1115" s="146" t="s">
        <v>2963</v>
      </c>
      <c r="S1115" s="147" t="s">
        <v>2961</v>
      </c>
      <c r="T1115" s="146" t="s">
        <v>2964</v>
      </c>
      <c r="U1115" s="147" t="s">
        <v>2961</v>
      </c>
      <c r="V1115" s="147" t="s">
        <v>982</v>
      </c>
      <c r="W1115" s="141">
        <f t="shared" si="35"/>
        <v>7</v>
      </c>
      <c r="X1115" s="143"/>
      <c r="Y1115" s="138" t="s">
        <v>2985</v>
      </c>
      <c r="AA1115"/>
    </row>
    <row r="1116" spans="1:27" s="115" customFormat="1" ht="27" customHeight="1">
      <c r="A1116" s="139">
        <v>1052</v>
      </c>
      <c r="B1116" s="140" t="s">
        <v>5597</v>
      </c>
      <c r="C1116" s="141" t="s">
        <v>2926</v>
      </c>
      <c r="D1116" s="142" t="s">
        <v>2927</v>
      </c>
      <c r="E1116" s="141" t="s">
        <v>2928</v>
      </c>
      <c r="F1116" s="142" t="s">
        <v>2929</v>
      </c>
      <c r="G1116" s="141" t="s">
        <v>2943</v>
      </c>
      <c r="H1116" s="142" t="s">
        <v>2961</v>
      </c>
      <c r="I1116" s="141" t="s">
        <v>2962</v>
      </c>
      <c r="J1116" s="142" t="s">
        <v>2961</v>
      </c>
      <c r="K1116" s="142" t="s">
        <v>983</v>
      </c>
      <c r="L1116" s="143">
        <f t="shared" si="34"/>
        <v>3</v>
      </c>
      <c r="M1116" s="158" t="s">
        <v>2974</v>
      </c>
      <c r="N1116" s="141" t="s">
        <v>2926</v>
      </c>
      <c r="O1116" s="142" t="s">
        <v>2927</v>
      </c>
      <c r="P1116" s="141" t="s">
        <v>2935</v>
      </c>
      <c r="Q1116" s="142" t="s">
        <v>2929</v>
      </c>
      <c r="R1116" s="141" t="s">
        <v>2963</v>
      </c>
      <c r="S1116" s="142" t="s">
        <v>2961</v>
      </c>
      <c r="T1116" s="141" t="s">
        <v>2964</v>
      </c>
      <c r="U1116" s="142" t="s">
        <v>2961</v>
      </c>
      <c r="V1116" s="142" t="s">
        <v>986</v>
      </c>
      <c r="W1116" s="141">
        <f t="shared" si="35"/>
        <v>6</v>
      </c>
      <c r="X1116" s="143"/>
      <c r="Y1116" s="138" t="s">
        <v>2985</v>
      </c>
      <c r="AA1116"/>
    </row>
    <row r="1117" spans="1:27" s="115" customFormat="1" ht="27" customHeight="1">
      <c r="A1117" s="139">
        <v>1053</v>
      </c>
      <c r="B1117" s="140" t="s">
        <v>5598</v>
      </c>
      <c r="C1117" s="141" t="s">
        <v>2926</v>
      </c>
      <c r="D1117" s="142" t="s">
        <v>2927</v>
      </c>
      <c r="E1117" s="141" t="s">
        <v>2928</v>
      </c>
      <c r="F1117" s="142" t="s">
        <v>2929</v>
      </c>
      <c r="G1117" s="141" t="s">
        <v>2943</v>
      </c>
      <c r="H1117" s="142" t="s">
        <v>2961</v>
      </c>
      <c r="I1117" s="141" t="s">
        <v>2962</v>
      </c>
      <c r="J1117" s="142" t="s">
        <v>2961</v>
      </c>
      <c r="K1117" s="142" t="s">
        <v>6068</v>
      </c>
      <c r="L1117" s="143">
        <f t="shared" si="34"/>
        <v>4</v>
      </c>
      <c r="M1117" s="159">
        <v>49301</v>
      </c>
      <c r="N1117" s="141" t="s">
        <v>2926</v>
      </c>
      <c r="O1117" s="142" t="s">
        <v>2927</v>
      </c>
      <c r="P1117" s="141" t="s">
        <v>2935</v>
      </c>
      <c r="Q1117" s="142" t="s">
        <v>2929</v>
      </c>
      <c r="R1117" s="141" t="s">
        <v>2963</v>
      </c>
      <c r="S1117" s="142" t="s">
        <v>2961</v>
      </c>
      <c r="T1117" s="141" t="s">
        <v>2964</v>
      </c>
      <c r="U1117" s="142" t="s">
        <v>2961</v>
      </c>
      <c r="V1117" s="142" t="s">
        <v>4417</v>
      </c>
      <c r="W1117" s="141">
        <f t="shared" si="35"/>
        <v>8</v>
      </c>
      <c r="X1117" s="143"/>
      <c r="Y1117" s="138"/>
      <c r="AA1117"/>
    </row>
    <row r="1118" spans="1:27" s="115" customFormat="1" ht="27" customHeight="1">
      <c r="A1118" s="139">
        <v>1053</v>
      </c>
      <c r="B1118" s="140" t="s">
        <v>5598</v>
      </c>
      <c r="C1118" s="141" t="s">
        <v>2926</v>
      </c>
      <c r="D1118" s="142" t="s">
        <v>2927</v>
      </c>
      <c r="E1118" s="141" t="s">
        <v>2928</v>
      </c>
      <c r="F1118" s="142" t="s">
        <v>2929</v>
      </c>
      <c r="G1118" s="141" t="s">
        <v>2943</v>
      </c>
      <c r="H1118" s="142" t="s">
        <v>2961</v>
      </c>
      <c r="I1118" s="141" t="s">
        <v>2962</v>
      </c>
      <c r="J1118" s="142" t="s">
        <v>2961</v>
      </c>
      <c r="K1118" s="142" t="s">
        <v>6068</v>
      </c>
      <c r="L1118" s="143">
        <f t="shared" si="34"/>
        <v>4</v>
      </c>
      <c r="M1118" s="159">
        <v>49302</v>
      </c>
      <c r="N1118" s="141" t="s">
        <v>2926</v>
      </c>
      <c r="O1118" s="142" t="s">
        <v>2927</v>
      </c>
      <c r="P1118" s="141" t="s">
        <v>2935</v>
      </c>
      <c r="Q1118" s="142" t="s">
        <v>2929</v>
      </c>
      <c r="R1118" s="141" t="s">
        <v>2963</v>
      </c>
      <c r="S1118" s="142" t="s">
        <v>2961</v>
      </c>
      <c r="T1118" s="141" t="s">
        <v>2964</v>
      </c>
      <c r="U1118" s="142" t="s">
        <v>2961</v>
      </c>
      <c r="V1118" s="142" t="s">
        <v>4418</v>
      </c>
      <c r="W1118" s="141">
        <f t="shared" si="35"/>
        <v>7</v>
      </c>
      <c r="X1118" s="143"/>
      <c r="Y1118" s="138"/>
      <c r="AA1118"/>
    </row>
    <row r="1119" spans="1:27" s="115" customFormat="1" ht="27" customHeight="1">
      <c r="A1119" s="139">
        <v>1053</v>
      </c>
      <c r="B1119" s="140" t="s">
        <v>5598</v>
      </c>
      <c r="C1119" s="141" t="s">
        <v>2926</v>
      </c>
      <c r="D1119" s="142" t="s">
        <v>2927</v>
      </c>
      <c r="E1119" s="141" t="s">
        <v>2928</v>
      </c>
      <c r="F1119" s="142" t="s">
        <v>2929</v>
      </c>
      <c r="G1119" s="141" t="s">
        <v>2943</v>
      </c>
      <c r="H1119" s="142" t="s">
        <v>2961</v>
      </c>
      <c r="I1119" s="141" t="s">
        <v>2962</v>
      </c>
      <c r="J1119" s="142" t="s">
        <v>2961</v>
      </c>
      <c r="K1119" s="142" t="s">
        <v>6068</v>
      </c>
      <c r="L1119" s="143">
        <f t="shared" si="34"/>
        <v>4</v>
      </c>
      <c r="M1119" s="159">
        <v>49303</v>
      </c>
      <c r="N1119" s="141" t="s">
        <v>2926</v>
      </c>
      <c r="O1119" s="142" t="s">
        <v>2927</v>
      </c>
      <c r="P1119" s="141" t="s">
        <v>2935</v>
      </c>
      <c r="Q1119" s="142" t="s">
        <v>2929</v>
      </c>
      <c r="R1119" s="141" t="s">
        <v>2963</v>
      </c>
      <c r="S1119" s="142" t="s">
        <v>2961</v>
      </c>
      <c r="T1119" s="141" t="s">
        <v>2964</v>
      </c>
      <c r="U1119" s="142" t="s">
        <v>2961</v>
      </c>
      <c r="V1119" s="142" t="s">
        <v>4419</v>
      </c>
      <c r="W1119" s="141">
        <f t="shared" si="35"/>
        <v>6</v>
      </c>
      <c r="X1119" s="143"/>
      <c r="Y1119" s="138"/>
      <c r="AA1119"/>
    </row>
    <row r="1120" spans="1:27" s="115" customFormat="1" ht="27" customHeight="1">
      <c r="A1120" s="139">
        <v>1053</v>
      </c>
      <c r="B1120" s="140" t="s">
        <v>5598</v>
      </c>
      <c r="C1120" s="141" t="s">
        <v>2926</v>
      </c>
      <c r="D1120" s="142" t="s">
        <v>2927</v>
      </c>
      <c r="E1120" s="141" t="s">
        <v>2928</v>
      </c>
      <c r="F1120" s="142" t="s">
        <v>2929</v>
      </c>
      <c r="G1120" s="141" t="s">
        <v>2943</v>
      </c>
      <c r="H1120" s="142" t="s">
        <v>2961</v>
      </c>
      <c r="I1120" s="141" t="s">
        <v>2962</v>
      </c>
      <c r="J1120" s="142" t="s">
        <v>2961</v>
      </c>
      <c r="K1120" s="142" t="s">
        <v>6068</v>
      </c>
      <c r="L1120" s="143">
        <f t="shared" si="34"/>
        <v>4</v>
      </c>
      <c r="M1120" s="159">
        <v>49309</v>
      </c>
      <c r="N1120" s="141" t="s">
        <v>2926</v>
      </c>
      <c r="O1120" s="142" t="s">
        <v>2927</v>
      </c>
      <c r="P1120" s="141" t="s">
        <v>2935</v>
      </c>
      <c r="Q1120" s="142" t="s">
        <v>2929</v>
      </c>
      <c r="R1120" s="141" t="s">
        <v>2963</v>
      </c>
      <c r="S1120" s="142" t="s">
        <v>2961</v>
      </c>
      <c r="T1120" s="141" t="s">
        <v>2964</v>
      </c>
      <c r="U1120" s="142" t="s">
        <v>2961</v>
      </c>
      <c r="V1120" s="142" t="s">
        <v>4420</v>
      </c>
      <c r="W1120" s="141">
        <f t="shared" si="35"/>
        <v>3</v>
      </c>
      <c r="X1120" s="143"/>
      <c r="Y1120" s="138"/>
      <c r="AA1120"/>
    </row>
    <row r="1121" spans="1:27" s="115" customFormat="1" ht="27" customHeight="1">
      <c r="A1121" s="139">
        <v>1054</v>
      </c>
      <c r="B1121" s="140" t="s">
        <v>5599</v>
      </c>
      <c r="C1121" s="141" t="s">
        <v>2926</v>
      </c>
      <c r="D1121" s="142" t="s">
        <v>2927</v>
      </c>
      <c r="E1121" s="141" t="s">
        <v>2928</v>
      </c>
      <c r="F1121" s="142" t="s">
        <v>2929</v>
      </c>
      <c r="G1121" s="141" t="s">
        <v>2986</v>
      </c>
      <c r="H1121" s="142" t="s">
        <v>239</v>
      </c>
      <c r="I1121" s="141" t="s">
        <v>2987</v>
      </c>
      <c r="J1121" s="142" t="s">
        <v>239</v>
      </c>
      <c r="K1121" s="142" t="s">
        <v>239</v>
      </c>
      <c r="L1121" s="143">
        <f t="shared" si="34"/>
        <v>1</v>
      </c>
      <c r="M1121" s="144" t="s">
        <v>2988</v>
      </c>
      <c r="N1121" s="141" t="s">
        <v>2926</v>
      </c>
      <c r="O1121" s="142" t="s">
        <v>2927</v>
      </c>
      <c r="P1121" s="141" t="s">
        <v>2935</v>
      </c>
      <c r="Q1121" s="142" t="s">
        <v>2929</v>
      </c>
      <c r="R1121" s="141" t="s">
        <v>2989</v>
      </c>
      <c r="S1121" s="142" t="s">
        <v>239</v>
      </c>
      <c r="T1121" s="141" t="s">
        <v>2990</v>
      </c>
      <c r="U1121" s="142" t="s">
        <v>239</v>
      </c>
      <c r="V1121" s="142" t="s">
        <v>239</v>
      </c>
      <c r="W1121" s="141">
        <f t="shared" si="35"/>
        <v>1</v>
      </c>
      <c r="X1121" s="143"/>
      <c r="Y1121" s="145"/>
      <c r="AA1121"/>
    </row>
    <row r="1122" spans="1:27" s="115" customFormat="1" ht="27" customHeight="1">
      <c r="A1122" s="139">
        <v>1055</v>
      </c>
      <c r="B1122" s="140" t="s">
        <v>5600</v>
      </c>
      <c r="C1122" s="141" t="s">
        <v>2926</v>
      </c>
      <c r="D1122" s="142" t="s">
        <v>2927</v>
      </c>
      <c r="E1122" s="141" t="s">
        <v>2991</v>
      </c>
      <c r="F1122" s="142" t="s">
        <v>2992</v>
      </c>
      <c r="G1122" s="141" t="s">
        <v>2993</v>
      </c>
      <c r="H1122" s="142" t="s">
        <v>2994</v>
      </c>
      <c r="I1122" s="141" t="s">
        <v>2995</v>
      </c>
      <c r="J1122" s="142" t="s">
        <v>2996</v>
      </c>
      <c r="K1122" s="142" t="s">
        <v>240</v>
      </c>
      <c r="L1122" s="143">
        <f t="shared" si="34"/>
        <v>1</v>
      </c>
      <c r="M1122" s="144" t="s">
        <v>2997</v>
      </c>
      <c r="N1122" s="141" t="s">
        <v>2926</v>
      </c>
      <c r="O1122" s="142" t="s">
        <v>2927</v>
      </c>
      <c r="P1122" s="141" t="s">
        <v>2375</v>
      </c>
      <c r="Q1122" s="142" t="s">
        <v>2992</v>
      </c>
      <c r="R1122" s="141" t="s">
        <v>2377</v>
      </c>
      <c r="S1122" s="142" t="s">
        <v>2994</v>
      </c>
      <c r="T1122" s="141" t="s">
        <v>2382</v>
      </c>
      <c r="U1122" s="142" t="s">
        <v>2996</v>
      </c>
      <c r="V1122" s="142" t="s">
        <v>240</v>
      </c>
      <c r="W1122" s="141">
        <f t="shared" si="35"/>
        <v>1</v>
      </c>
      <c r="X1122" s="143"/>
      <c r="Y1122" s="145"/>
      <c r="AA1122"/>
    </row>
    <row r="1123" spans="1:27" s="115" customFormat="1" ht="27" customHeight="1">
      <c r="A1123" s="139">
        <v>1056</v>
      </c>
      <c r="B1123" s="140" t="s">
        <v>5601</v>
      </c>
      <c r="C1123" s="141" t="s">
        <v>2926</v>
      </c>
      <c r="D1123" s="142" t="s">
        <v>2927</v>
      </c>
      <c r="E1123" s="141" t="s">
        <v>2991</v>
      </c>
      <c r="F1123" s="142" t="s">
        <v>2992</v>
      </c>
      <c r="G1123" s="141" t="s">
        <v>2993</v>
      </c>
      <c r="H1123" s="142" t="s">
        <v>2994</v>
      </c>
      <c r="I1123" s="141" t="s">
        <v>2995</v>
      </c>
      <c r="J1123" s="142" t="s">
        <v>2998</v>
      </c>
      <c r="K1123" s="142" t="s">
        <v>988</v>
      </c>
      <c r="L1123" s="143">
        <f t="shared" si="34"/>
        <v>1</v>
      </c>
      <c r="M1123" s="144" t="s">
        <v>2999</v>
      </c>
      <c r="N1123" s="141" t="s">
        <v>2926</v>
      </c>
      <c r="O1123" s="142" t="s">
        <v>2927</v>
      </c>
      <c r="P1123" s="141" t="s">
        <v>2375</v>
      </c>
      <c r="Q1123" s="142" t="s">
        <v>2992</v>
      </c>
      <c r="R1123" s="141" t="s">
        <v>2377</v>
      </c>
      <c r="S1123" s="142" t="s">
        <v>2994</v>
      </c>
      <c r="T1123" s="141" t="s">
        <v>2379</v>
      </c>
      <c r="U1123" s="142" t="s">
        <v>2998</v>
      </c>
      <c r="V1123" s="142" t="s">
        <v>988</v>
      </c>
      <c r="W1123" s="141">
        <f t="shared" si="35"/>
        <v>1</v>
      </c>
      <c r="X1123" s="143"/>
      <c r="Y1123" s="145"/>
      <c r="AA1123"/>
    </row>
    <row r="1124" spans="1:27" s="115" customFormat="1" ht="27" customHeight="1">
      <c r="A1124" s="139">
        <v>1057</v>
      </c>
      <c r="B1124" s="140" t="s">
        <v>5602</v>
      </c>
      <c r="C1124" s="141" t="s">
        <v>2926</v>
      </c>
      <c r="D1124" s="142" t="s">
        <v>2927</v>
      </c>
      <c r="E1124" s="141" t="s">
        <v>2991</v>
      </c>
      <c r="F1124" s="142" t="s">
        <v>2992</v>
      </c>
      <c r="G1124" s="141" t="s">
        <v>2993</v>
      </c>
      <c r="H1124" s="142" t="s">
        <v>2994</v>
      </c>
      <c r="I1124" s="141" t="s">
        <v>2995</v>
      </c>
      <c r="J1124" s="142" t="s">
        <v>2996</v>
      </c>
      <c r="K1124" s="142" t="s">
        <v>241</v>
      </c>
      <c r="L1124" s="143">
        <f t="shared" si="34"/>
        <v>1</v>
      </c>
      <c r="M1124" s="144" t="s">
        <v>3000</v>
      </c>
      <c r="N1124" s="141" t="s">
        <v>2926</v>
      </c>
      <c r="O1124" s="142" t="s">
        <v>2927</v>
      </c>
      <c r="P1124" s="141" t="s">
        <v>2375</v>
      </c>
      <c r="Q1124" s="142" t="s">
        <v>2992</v>
      </c>
      <c r="R1124" s="141" t="s">
        <v>2377</v>
      </c>
      <c r="S1124" s="142" t="s">
        <v>2994</v>
      </c>
      <c r="T1124" s="141" t="s">
        <v>2382</v>
      </c>
      <c r="U1124" s="142" t="s">
        <v>2996</v>
      </c>
      <c r="V1124" s="142" t="s">
        <v>241</v>
      </c>
      <c r="W1124" s="141">
        <f t="shared" si="35"/>
        <v>1</v>
      </c>
      <c r="X1124" s="143"/>
      <c r="Y1124" s="145"/>
      <c r="AA1124"/>
    </row>
    <row r="1125" spans="1:27" s="115" customFormat="1" ht="27" customHeight="1">
      <c r="A1125" s="139">
        <v>1058</v>
      </c>
      <c r="B1125" s="140" t="s">
        <v>5603</v>
      </c>
      <c r="C1125" s="141" t="s">
        <v>2926</v>
      </c>
      <c r="D1125" s="142" t="s">
        <v>2927</v>
      </c>
      <c r="E1125" s="141" t="s">
        <v>2991</v>
      </c>
      <c r="F1125" s="142" t="s">
        <v>2992</v>
      </c>
      <c r="G1125" s="141" t="s">
        <v>2993</v>
      </c>
      <c r="H1125" s="142" t="s">
        <v>2994</v>
      </c>
      <c r="I1125" s="141" t="s">
        <v>2995</v>
      </c>
      <c r="J1125" s="142" t="s">
        <v>242</v>
      </c>
      <c r="K1125" s="142" t="s">
        <v>242</v>
      </c>
      <c r="L1125" s="143">
        <f t="shared" si="34"/>
        <v>1</v>
      </c>
      <c r="M1125" s="144" t="s">
        <v>3001</v>
      </c>
      <c r="N1125" s="141" t="s">
        <v>2926</v>
      </c>
      <c r="O1125" s="142" t="s">
        <v>2927</v>
      </c>
      <c r="P1125" s="141" t="s">
        <v>2375</v>
      </c>
      <c r="Q1125" s="142" t="s">
        <v>2992</v>
      </c>
      <c r="R1125" s="141" t="s">
        <v>2377</v>
      </c>
      <c r="S1125" s="142" t="s">
        <v>2994</v>
      </c>
      <c r="T1125" s="141" t="s">
        <v>2385</v>
      </c>
      <c r="U1125" s="142" t="s">
        <v>242</v>
      </c>
      <c r="V1125" s="142" t="s">
        <v>242</v>
      </c>
      <c r="W1125" s="141">
        <f t="shared" si="35"/>
        <v>1</v>
      </c>
      <c r="X1125" s="143"/>
      <c r="Y1125" s="145"/>
      <c r="AA1125"/>
    </row>
    <row r="1126" spans="1:27" s="115" customFormat="1" ht="13.5" customHeight="1">
      <c r="A1126" s="139">
        <v>1059</v>
      </c>
      <c r="B1126" s="140" t="s">
        <v>5604</v>
      </c>
      <c r="C1126" s="141" t="s">
        <v>2926</v>
      </c>
      <c r="D1126" s="142" t="s">
        <v>2927</v>
      </c>
      <c r="E1126" s="141" t="s">
        <v>2991</v>
      </c>
      <c r="F1126" s="142" t="s">
        <v>2992</v>
      </c>
      <c r="G1126" s="141" t="s">
        <v>2993</v>
      </c>
      <c r="H1126" s="142" t="s">
        <v>2994</v>
      </c>
      <c r="I1126" s="141" t="s">
        <v>2995</v>
      </c>
      <c r="J1126" s="142" t="s">
        <v>2998</v>
      </c>
      <c r="K1126" s="142" t="s">
        <v>989</v>
      </c>
      <c r="L1126" s="143">
        <f t="shared" si="34"/>
        <v>1</v>
      </c>
      <c r="M1126" s="144" t="s">
        <v>3002</v>
      </c>
      <c r="N1126" s="141" t="s">
        <v>2926</v>
      </c>
      <c r="O1126" s="142" t="s">
        <v>2927</v>
      </c>
      <c r="P1126" s="141" t="s">
        <v>2375</v>
      </c>
      <c r="Q1126" s="142" t="s">
        <v>2992</v>
      </c>
      <c r="R1126" s="141" t="s">
        <v>2377</v>
      </c>
      <c r="S1126" s="142" t="s">
        <v>2994</v>
      </c>
      <c r="T1126" s="141" t="s">
        <v>2379</v>
      </c>
      <c r="U1126" s="142" t="s">
        <v>2998</v>
      </c>
      <c r="V1126" s="142" t="s">
        <v>989</v>
      </c>
      <c r="W1126" s="141">
        <f t="shared" si="35"/>
        <v>1</v>
      </c>
      <c r="X1126" s="143"/>
      <c r="Y1126" s="145"/>
      <c r="AA1126"/>
    </row>
    <row r="1127" spans="1:27" s="115" customFormat="1" ht="13.5" customHeight="1">
      <c r="A1127" s="139">
        <v>1060</v>
      </c>
      <c r="B1127" s="140" t="s">
        <v>5605</v>
      </c>
      <c r="C1127" s="141" t="s">
        <v>2926</v>
      </c>
      <c r="D1127" s="142" t="s">
        <v>2927</v>
      </c>
      <c r="E1127" s="141" t="s">
        <v>2991</v>
      </c>
      <c r="F1127" s="142" t="s">
        <v>2992</v>
      </c>
      <c r="G1127" s="141" t="s">
        <v>3003</v>
      </c>
      <c r="H1127" s="142" t="s">
        <v>3004</v>
      </c>
      <c r="I1127" s="141" t="s">
        <v>3005</v>
      </c>
      <c r="J1127" s="142" t="s">
        <v>3004</v>
      </c>
      <c r="K1127" s="142" t="s">
        <v>990</v>
      </c>
      <c r="L1127" s="143">
        <f t="shared" si="34"/>
        <v>1</v>
      </c>
      <c r="M1127" s="144" t="s">
        <v>3006</v>
      </c>
      <c r="N1127" s="141" t="s">
        <v>2926</v>
      </c>
      <c r="O1127" s="142" t="s">
        <v>2927</v>
      </c>
      <c r="P1127" s="141" t="s">
        <v>2375</v>
      </c>
      <c r="Q1127" s="142" t="s">
        <v>2992</v>
      </c>
      <c r="R1127" s="141" t="s">
        <v>3007</v>
      </c>
      <c r="S1127" s="142" t="s">
        <v>3004</v>
      </c>
      <c r="T1127" s="141" t="s">
        <v>3008</v>
      </c>
      <c r="U1127" s="142" t="s">
        <v>3004</v>
      </c>
      <c r="V1127" s="142" t="s">
        <v>990</v>
      </c>
      <c r="W1127" s="141">
        <f t="shared" si="35"/>
        <v>1</v>
      </c>
      <c r="X1127" s="143"/>
      <c r="Y1127" s="145"/>
      <c r="AA1127"/>
    </row>
    <row r="1128" spans="1:27" s="115" customFormat="1" ht="13.5" customHeight="1">
      <c r="A1128" s="139">
        <v>1061</v>
      </c>
      <c r="B1128" s="140" t="s">
        <v>5606</v>
      </c>
      <c r="C1128" s="141" t="s">
        <v>2926</v>
      </c>
      <c r="D1128" s="142" t="s">
        <v>2927</v>
      </c>
      <c r="E1128" s="141" t="s">
        <v>2991</v>
      </c>
      <c r="F1128" s="142" t="s">
        <v>2992</v>
      </c>
      <c r="G1128" s="141" t="s">
        <v>3003</v>
      </c>
      <c r="H1128" s="142" t="s">
        <v>3004</v>
      </c>
      <c r="I1128" s="141" t="s">
        <v>3005</v>
      </c>
      <c r="J1128" s="142" t="s">
        <v>3004</v>
      </c>
      <c r="K1128" s="142" t="s">
        <v>991</v>
      </c>
      <c r="L1128" s="143">
        <f t="shared" si="34"/>
        <v>1</v>
      </c>
      <c r="M1128" s="144" t="s">
        <v>3009</v>
      </c>
      <c r="N1128" s="141" t="s">
        <v>2926</v>
      </c>
      <c r="O1128" s="142" t="s">
        <v>2927</v>
      </c>
      <c r="P1128" s="141" t="s">
        <v>2375</v>
      </c>
      <c r="Q1128" s="142" t="s">
        <v>2992</v>
      </c>
      <c r="R1128" s="141" t="s">
        <v>3007</v>
      </c>
      <c r="S1128" s="142" t="s">
        <v>3004</v>
      </c>
      <c r="T1128" s="141" t="s">
        <v>3008</v>
      </c>
      <c r="U1128" s="142" t="s">
        <v>3004</v>
      </c>
      <c r="V1128" s="142" t="s">
        <v>991</v>
      </c>
      <c r="W1128" s="141">
        <f t="shared" si="35"/>
        <v>1</v>
      </c>
      <c r="X1128" s="143"/>
      <c r="Y1128" s="145"/>
      <c r="AA1128"/>
    </row>
    <row r="1129" spans="1:27" s="115" customFormat="1" ht="13.5" customHeight="1">
      <c r="A1129" s="139">
        <v>1062</v>
      </c>
      <c r="B1129" s="140" t="s">
        <v>5607</v>
      </c>
      <c r="C1129" s="141" t="s">
        <v>2926</v>
      </c>
      <c r="D1129" s="142" t="s">
        <v>2927</v>
      </c>
      <c r="E1129" s="141" t="s">
        <v>2991</v>
      </c>
      <c r="F1129" s="142" t="s">
        <v>2992</v>
      </c>
      <c r="G1129" s="141" t="s">
        <v>3003</v>
      </c>
      <c r="H1129" s="142" t="s">
        <v>3004</v>
      </c>
      <c r="I1129" s="141" t="s">
        <v>3005</v>
      </c>
      <c r="J1129" s="142" t="s">
        <v>3004</v>
      </c>
      <c r="K1129" s="142" t="s">
        <v>992</v>
      </c>
      <c r="L1129" s="143">
        <f t="shared" si="34"/>
        <v>1</v>
      </c>
      <c r="M1129" s="144" t="s">
        <v>3010</v>
      </c>
      <c r="N1129" s="141" t="s">
        <v>2926</v>
      </c>
      <c r="O1129" s="142" t="s">
        <v>2927</v>
      </c>
      <c r="P1129" s="141" t="s">
        <v>2375</v>
      </c>
      <c r="Q1129" s="142" t="s">
        <v>2992</v>
      </c>
      <c r="R1129" s="141" t="s">
        <v>3007</v>
      </c>
      <c r="S1129" s="142" t="s">
        <v>3004</v>
      </c>
      <c r="T1129" s="141" t="s">
        <v>3008</v>
      </c>
      <c r="U1129" s="142" t="s">
        <v>3004</v>
      </c>
      <c r="V1129" s="142" t="s">
        <v>992</v>
      </c>
      <c r="W1129" s="141">
        <f t="shared" si="35"/>
        <v>1</v>
      </c>
      <c r="X1129" s="143"/>
      <c r="Y1129" s="145"/>
      <c r="AA1129"/>
    </row>
    <row r="1130" spans="1:27" s="115" customFormat="1" ht="13.5" customHeight="1">
      <c r="A1130" s="139">
        <v>1063</v>
      </c>
      <c r="B1130" s="140" t="s">
        <v>5608</v>
      </c>
      <c r="C1130" s="141" t="s">
        <v>2926</v>
      </c>
      <c r="D1130" s="142" t="s">
        <v>2927</v>
      </c>
      <c r="E1130" s="141" t="s">
        <v>2991</v>
      </c>
      <c r="F1130" s="142" t="s">
        <v>2976</v>
      </c>
      <c r="G1130" s="141" t="s">
        <v>3003</v>
      </c>
      <c r="H1130" s="142" t="s">
        <v>2977</v>
      </c>
      <c r="I1130" s="141" t="s">
        <v>3005</v>
      </c>
      <c r="J1130" s="142" t="s">
        <v>3011</v>
      </c>
      <c r="K1130" s="142" t="s">
        <v>244</v>
      </c>
      <c r="L1130" s="143">
        <f t="shared" si="34"/>
        <v>1</v>
      </c>
      <c r="M1130" s="144" t="s">
        <v>3012</v>
      </c>
      <c r="N1130" s="141" t="s">
        <v>2926</v>
      </c>
      <c r="O1130" s="142" t="s">
        <v>2927</v>
      </c>
      <c r="P1130" s="141" t="s">
        <v>2696</v>
      </c>
      <c r="Q1130" s="142" t="s">
        <v>2976</v>
      </c>
      <c r="R1130" s="141" t="s">
        <v>2980</v>
      </c>
      <c r="S1130" s="142" t="s">
        <v>2977</v>
      </c>
      <c r="T1130" s="141" t="s">
        <v>3013</v>
      </c>
      <c r="U1130" s="142" t="s">
        <v>3011</v>
      </c>
      <c r="V1130" s="142" t="s">
        <v>244</v>
      </c>
      <c r="W1130" s="141">
        <f t="shared" si="35"/>
        <v>2</v>
      </c>
      <c r="X1130" s="143"/>
      <c r="Y1130" s="145" t="s">
        <v>3014</v>
      </c>
      <c r="AA1130"/>
    </row>
    <row r="1131" spans="1:27" s="115" customFormat="1" ht="27" customHeight="1">
      <c r="A1131" s="139">
        <v>1064</v>
      </c>
      <c r="B1131" s="140" t="s">
        <v>5609</v>
      </c>
      <c r="C1131" s="141" t="s">
        <v>2926</v>
      </c>
      <c r="D1131" s="142" t="s">
        <v>2927</v>
      </c>
      <c r="E1131" s="141" t="s">
        <v>3015</v>
      </c>
      <c r="F1131" s="142" t="s">
        <v>3016</v>
      </c>
      <c r="G1131" s="141" t="s">
        <v>3017</v>
      </c>
      <c r="H1131" s="142" t="s">
        <v>993</v>
      </c>
      <c r="I1131" s="141" t="s">
        <v>3018</v>
      </c>
      <c r="J1131" s="142" t="s">
        <v>993</v>
      </c>
      <c r="K1131" s="142" t="s">
        <v>993</v>
      </c>
      <c r="L1131" s="143">
        <f t="shared" si="34"/>
        <v>1</v>
      </c>
      <c r="M1131" s="144" t="s">
        <v>3019</v>
      </c>
      <c r="N1131" s="141" t="s">
        <v>2926</v>
      </c>
      <c r="O1131" s="142" t="s">
        <v>2927</v>
      </c>
      <c r="P1131" s="141" t="s">
        <v>2412</v>
      </c>
      <c r="Q1131" s="142" t="s">
        <v>3016</v>
      </c>
      <c r="R1131" s="141" t="s">
        <v>2414</v>
      </c>
      <c r="S1131" s="142" t="s">
        <v>993</v>
      </c>
      <c r="T1131" s="141" t="s">
        <v>3020</v>
      </c>
      <c r="U1131" s="142" t="s">
        <v>993</v>
      </c>
      <c r="V1131" s="142" t="s">
        <v>993</v>
      </c>
      <c r="W1131" s="141">
        <f t="shared" si="35"/>
        <v>1</v>
      </c>
      <c r="X1131" s="143"/>
      <c r="Y1131" s="145"/>
      <c r="AA1131"/>
    </row>
    <row r="1132" spans="1:27" s="115" customFormat="1" ht="27" customHeight="1">
      <c r="A1132" s="139">
        <v>1065</v>
      </c>
      <c r="B1132" s="140" t="s">
        <v>5610</v>
      </c>
      <c r="C1132" s="141" t="s">
        <v>2926</v>
      </c>
      <c r="D1132" s="142" t="s">
        <v>2927</v>
      </c>
      <c r="E1132" s="141" t="s">
        <v>3015</v>
      </c>
      <c r="F1132" s="142" t="s">
        <v>3016</v>
      </c>
      <c r="G1132" s="141" t="s">
        <v>3017</v>
      </c>
      <c r="H1132" s="142" t="s">
        <v>994</v>
      </c>
      <c r="I1132" s="141" t="s">
        <v>3018</v>
      </c>
      <c r="J1132" s="142" t="s">
        <v>994</v>
      </c>
      <c r="K1132" s="142" t="s">
        <v>994</v>
      </c>
      <c r="L1132" s="143">
        <f t="shared" si="34"/>
        <v>1</v>
      </c>
      <c r="M1132" s="144" t="s">
        <v>3021</v>
      </c>
      <c r="N1132" s="146" t="s">
        <v>2926</v>
      </c>
      <c r="O1132" s="147" t="s">
        <v>2927</v>
      </c>
      <c r="P1132" s="146" t="s">
        <v>2412</v>
      </c>
      <c r="Q1132" s="147" t="s">
        <v>3016</v>
      </c>
      <c r="R1132" s="146" t="s">
        <v>2441</v>
      </c>
      <c r="S1132" s="147" t="s">
        <v>994</v>
      </c>
      <c r="T1132" s="146" t="s">
        <v>3022</v>
      </c>
      <c r="U1132" s="147" t="s">
        <v>994</v>
      </c>
      <c r="V1132" s="147" t="s">
        <v>994</v>
      </c>
      <c r="W1132" s="141">
        <f t="shared" si="35"/>
        <v>1</v>
      </c>
      <c r="X1132" s="143"/>
      <c r="Y1132" s="145"/>
      <c r="AA1132"/>
    </row>
    <row r="1133" spans="1:27" s="115" customFormat="1" ht="27" customHeight="1">
      <c r="A1133" s="139">
        <v>1066</v>
      </c>
      <c r="B1133" s="140" t="s">
        <v>5611</v>
      </c>
      <c r="C1133" s="141" t="s">
        <v>2926</v>
      </c>
      <c r="D1133" s="142" t="s">
        <v>2927</v>
      </c>
      <c r="E1133" s="141" t="s">
        <v>3023</v>
      </c>
      <c r="F1133" s="142" t="s">
        <v>2976</v>
      </c>
      <c r="G1133" s="141" t="s">
        <v>3024</v>
      </c>
      <c r="H1133" s="142" t="s">
        <v>2977</v>
      </c>
      <c r="I1133" s="141" t="s">
        <v>3025</v>
      </c>
      <c r="J1133" s="142" t="s">
        <v>3011</v>
      </c>
      <c r="K1133" s="142" t="s">
        <v>243</v>
      </c>
      <c r="L1133" s="143">
        <f t="shared" si="34"/>
        <v>1</v>
      </c>
      <c r="M1133" s="144" t="s">
        <v>3026</v>
      </c>
      <c r="N1133" s="141" t="s">
        <v>2926</v>
      </c>
      <c r="O1133" s="142" t="s">
        <v>2927</v>
      </c>
      <c r="P1133" s="141" t="s">
        <v>2696</v>
      </c>
      <c r="Q1133" s="142" t="s">
        <v>2976</v>
      </c>
      <c r="R1133" s="141" t="s">
        <v>2980</v>
      </c>
      <c r="S1133" s="142" t="s">
        <v>2977</v>
      </c>
      <c r="T1133" s="141" t="s">
        <v>3013</v>
      </c>
      <c r="U1133" s="142" t="s">
        <v>3011</v>
      </c>
      <c r="V1133" s="142" t="s">
        <v>243</v>
      </c>
      <c r="W1133" s="141">
        <f t="shared" si="35"/>
        <v>1</v>
      </c>
      <c r="X1133" s="143"/>
      <c r="Y1133" s="145"/>
      <c r="AA1133"/>
    </row>
    <row r="1134" spans="1:27" s="115" customFormat="1" ht="13.5" customHeight="1">
      <c r="A1134" s="139">
        <v>1067</v>
      </c>
      <c r="B1134" s="140" t="s">
        <v>5612</v>
      </c>
      <c r="C1134" s="141" t="s">
        <v>2926</v>
      </c>
      <c r="D1134" s="142" t="s">
        <v>2927</v>
      </c>
      <c r="E1134" s="141" t="s">
        <v>3023</v>
      </c>
      <c r="F1134" s="142" t="s">
        <v>2976</v>
      </c>
      <c r="G1134" s="141" t="s">
        <v>3024</v>
      </c>
      <c r="H1134" s="142" t="s">
        <v>2977</v>
      </c>
      <c r="I1134" s="141" t="s">
        <v>3025</v>
      </c>
      <c r="J1134" s="142" t="s">
        <v>3011</v>
      </c>
      <c r="K1134" s="142" t="s">
        <v>244</v>
      </c>
      <c r="L1134" s="143">
        <f t="shared" si="34"/>
        <v>1</v>
      </c>
      <c r="M1134" s="144" t="s">
        <v>3012</v>
      </c>
      <c r="N1134" s="141" t="s">
        <v>2926</v>
      </c>
      <c r="O1134" s="142" t="s">
        <v>2927</v>
      </c>
      <c r="P1134" s="141" t="s">
        <v>2696</v>
      </c>
      <c r="Q1134" s="142" t="s">
        <v>2976</v>
      </c>
      <c r="R1134" s="141" t="s">
        <v>2980</v>
      </c>
      <c r="S1134" s="142" t="s">
        <v>2977</v>
      </c>
      <c r="T1134" s="141" t="s">
        <v>3013</v>
      </c>
      <c r="U1134" s="142" t="s">
        <v>3011</v>
      </c>
      <c r="V1134" s="142" t="s">
        <v>244</v>
      </c>
      <c r="W1134" s="141">
        <f t="shared" si="35"/>
        <v>2</v>
      </c>
      <c r="X1134" s="143">
        <v>1</v>
      </c>
      <c r="Y1134" s="145"/>
      <c r="AA1134"/>
    </row>
    <row r="1135" spans="1:27" s="115" customFormat="1" ht="13.5" customHeight="1">
      <c r="A1135" s="139">
        <v>1068</v>
      </c>
      <c r="B1135" s="140" t="s">
        <v>5613</v>
      </c>
      <c r="C1135" s="141" t="s">
        <v>2926</v>
      </c>
      <c r="D1135" s="142" t="s">
        <v>2927</v>
      </c>
      <c r="E1135" s="141" t="s">
        <v>3023</v>
      </c>
      <c r="F1135" s="142" t="s">
        <v>2976</v>
      </c>
      <c r="G1135" s="141" t="s">
        <v>3024</v>
      </c>
      <c r="H1135" s="142" t="s">
        <v>3027</v>
      </c>
      <c r="I1135" s="141" t="s">
        <v>3028</v>
      </c>
      <c r="J1135" s="142" t="s">
        <v>3027</v>
      </c>
      <c r="K1135" s="142" t="s">
        <v>245</v>
      </c>
      <c r="L1135" s="143">
        <f t="shared" ref="L1135:L1198" si="36">COUNTIF($B$5:$B$1752,B1135)</f>
        <v>1</v>
      </c>
      <c r="M1135" s="144" t="s">
        <v>3029</v>
      </c>
      <c r="N1135" s="141" t="s">
        <v>2926</v>
      </c>
      <c r="O1135" s="142" t="s">
        <v>2927</v>
      </c>
      <c r="P1135" s="141" t="s">
        <v>2696</v>
      </c>
      <c r="Q1135" s="142" t="s">
        <v>2976</v>
      </c>
      <c r="R1135" s="141" t="s">
        <v>2697</v>
      </c>
      <c r="S1135" s="142" t="s">
        <v>3027</v>
      </c>
      <c r="T1135" s="141" t="s">
        <v>3030</v>
      </c>
      <c r="U1135" s="142" t="s">
        <v>3027</v>
      </c>
      <c r="V1135" s="142" t="s">
        <v>245</v>
      </c>
      <c r="W1135" s="141">
        <f t="shared" si="35"/>
        <v>1</v>
      </c>
      <c r="X1135" s="143"/>
      <c r="Y1135" s="145"/>
      <c r="AA1135"/>
    </row>
    <row r="1136" spans="1:27" s="115" customFormat="1" ht="27" customHeight="1">
      <c r="A1136" s="139">
        <v>1069</v>
      </c>
      <c r="B1136" s="140" t="s">
        <v>5614</v>
      </c>
      <c r="C1136" s="141" t="s">
        <v>2926</v>
      </c>
      <c r="D1136" s="142" t="s">
        <v>2927</v>
      </c>
      <c r="E1136" s="141" t="s">
        <v>3023</v>
      </c>
      <c r="F1136" s="142" t="s">
        <v>2976</v>
      </c>
      <c r="G1136" s="141" t="s">
        <v>3024</v>
      </c>
      <c r="H1136" s="142" t="s">
        <v>3027</v>
      </c>
      <c r="I1136" s="141" t="s">
        <v>3028</v>
      </c>
      <c r="J1136" s="142" t="s">
        <v>3027</v>
      </c>
      <c r="K1136" s="142" t="s">
        <v>995</v>
      </c>
      <c r="L1136" s="143">
        <f t="shared" si="36"/>
        <v>1</v>
      </c>
      <c r="M1136" s="144" t="s">
        <v>3031</v>
      </c>
      <c r="N1136" s="141" t="s">
        <v>2926</v>
      </c>
      <c r="O1136" s="142" t="s">
        <v>2927</v>
      </c>
      <c r="P1136" s="141" t="s">
        <v>2696</v>
      </c>
      <c r="Q1136" s="142" t="s">
        <v>2976</v>
      </c>
      <c r="R1136" s="141" t="s">
        <v>2697</v>
      </c>
      <c r="S1136" s="142" t="s">
        <v>3027</v>
      </c>
      <c r="T1136" s="141" t="s">
        <v>3030</v>
      </c>
      <c r="U1136" s="142" t="s">
        <v>3027</v>
      </c>
      <c r="V1136" s="142" t="s">
        <v>995</v>
      </c>
      <c r="W1136" s="141">
        <f t="shared" si="35"/>
        <v>1</v>
      </c>
      <c r="X1136" s="143"/>
      <c r="Y1136" s="145"/>
      <c r="AA1136"/>
    </row>
    <row r="1137" spans="1:27" s="115" customFormat="1" ht="27" customHeight="1">
      <c r="A1137" s="139">
        <v>1070</v>
      </c>
      <c r="B1137" s="140" t="s">
        <v>5615</v>
      </c>
      <c r="C1137" s="141" t="s">
        <v>2926</v>
      </c>
      <c r="D1137" s="142" t="s">
        <v>2927</v>
      </c>
      <c r="E1137" s="141" t="s">
        <v>3023</v>
      </c>
      <c r="F1137" s="142" t="s">
        <v>2976</v>
      </c>
      <c r="G1137" s="141" t="s">
        <v>3024</v>
      </c>
      <c r="H1137" s="142" t="s">
        <v>3027</v>
      </c>
      <c r="I1137" s="141" t="s">
        <v>3028</v>
      </c>
      <c r="J1137" s="142" t="s">
        <v>3027</v>
      </c>
      <c r="K1137" s="142" t="s">
        <v>996</v>
      </c>
      <c r="L1137" s="143">
        <f t="shared" si="36"/>
        <v>1</v>
      </c>
      <c r="M1137" s="144" t="s">
        <v>3032</v>
      </c>
      <c r="N1137" s="141" t="s">
        <v>2926</v>
      </c>
      <c r="O1137" s="142" t="s">
        <v>2927</v>
      </c>
      <c r="P1137" s="141" t="s">
        <v>2696</v>
      </c>
      <c r="Q1137" s="142" t="s">
        <v>2976</v>
      </c>
      <c r="R1137" s="141" t="s">
        <v>2697</v>
      </c>
      <c r="S1137" s="142" t="s">
        <v>3027</v>
      </c>
      <c r="T1137" s="141" t="s">
        <v>3030</v>
      </c>
      <c r="U1137" s="142" t="s">
        <v>3027</v>
      </c>
      <c r="V1137" s="142" t="s">
        <v>996</v>
      </c>
      <c r="W1137" s="141">
        <f t="shared" si="35"/>
        <v>1</v>
      </c>
      <c r="X1137" s="143"/>
      <c r="Y1137" s="145"/>
      <c r="AA1137"/>
    </row>
    <row r="1138" spans="1:27" s="115" customFormat="1" ht="27" customHeight="1">
      <c r="A1138" s="139">
        <v>1071</v>
      </c>
      <c r="B1138" s="140" t="s">
        <v>5616</v>
      </c>
      <c r="C1138" s="141" t="s">
        <v>2926</v>
      </c>
      <c r="D1138" s="142" t="s">
        <v>2927</v>
      </c>
      <c r="E1138" s="141" t="s">
        <v>3023</v>
      </c>
      <c r="F1138" s="142" t="s">
        <v>2976</v>
      </c>
      <c r="G1138" s="141" t="s">
        <v>3024</v>
      </c>
      <c r="H1138" s="142" t="s">
        <v>3027</v>
      </c>
      <c r="I1138" s="141" t="s">
        <v>3028</v>
      </c>
      <c r="J1138" s="142" t="s">
        <v>3027</v>
      </c>
      <c r="K1138" s="142" t="s">
        <v>997</v>
      </c>
      <c r="L1138" s="143">
        <f t="shared" si="36"/>
        <v>1</v>
      </c>
      <c r="M1138" s="144" t="s">
        <v>3033</v>
      </c>
      <c r="N1138" s="141" t="s">
        <v>2926</v>
      </c>
      <c r="O1138" s="142" t="s">
        <v>2927</v>
      </c>
      <c r="P1138" s="141" t="s">
        <v>2696</v>
      </c>
      <c r="Q1138" s="142" t="s">
        <v>2976</v>
      </c>
      <c r="R1138" s="141" t="s">
        <v>2697</v>
      </c>
      <c r="S1138" s="142" t="s">
        <v>3027</v>
      </c>
      <c r="T1138" s="141" t="s">
        <v>3030</v>
      </c>
      <c r="U1138" s="142" t="s">
        <v>3027</v>
      </c>
      <c r="V1138" s="142" t="s">
        <v>997</v>
      </c>
      <c r="W1138" s="141">
        <f t="shared" si="35"/>
        <v>1</v>
      </c>
      <c r="X1138" s="143"/>
      <c r="Y1138" s="145"/>
      <c r="AA1138"/>
    </row>
    <row r="1139" spans="1:27" s="115" customFormat="1" ht="27" customHeight="1">
      <c r="A1139" s="139">
        <v>1072</v>
      </c>
      <c r="B1139" s="140" t="s">
        <v>5617</v>
      </c>
      <c r="C1139" s="141" t="s">
        <v>2926</v>
      </c>
      <c r="D1139" s="142" t="s">
        <v>2927</v>
      </c>
      <c r="E1139" s="141" t="s">
        <v>3023</v>
      </c>
      <c r="F1139" s="142" t="s">
        <v>2976</v>
      </c>
      <c r="G1139" s="141" t="s">
        <v>3024</v>
      </c>
      <c r="H1139" s="142" t="s">
        <v>3027</v>
      </c>
      <c r="I1139" s="141" t="s">
        <v>3028</v>
      </c>
      <c r="J1139" s="142" t="s">
        <v>3027</v>
      </c>
      <c r="K1139" s="142" t="s">
        <v>998</v>
      </c>
      <c r="L1139" s="143">
        <f t="shared" si="36"/>
        <v>1</v>
      </c>
      <c r="M1139" s="144" t="s">
        <v>3034</v>
      </c>
      <c r="N1139" s="141" t="s">
        <v>2926</v>
      </c>
      <c r="O1139" s="142" t="s">
        <v>2927</v>
      </c>
      <c r="P1139" s="141" t="s">
        <v>2696</v>
      </c>
      <c r="Q1139" s="142" t="s">
        <v>2976</v>
      </c>
      <c r="R1139" s="141" t="s">
        <v>2697</v>
      </c>
      <c r="S1139" s="142" t="s">
        <v>3027</v>
      </c>
      <c r="T1139" s="141" t="s">
        <v>3030</v>
      </c>
      <c r="U1139" s="142" t="s">
        <v>3027</v>
      </c>
      <c r="V1139" s="142" t="s">
        <v>998</v>
      </c>
      <c r="W1139" s="141">
        <f t="shared" si="35"/>
        <v>1</v>
      </c>
      <c r="X1139" s="143"/>
      <c r="Y1139" s="145"/>
      <c r="AA1139"/>
    </row>
    <row r="1140" spans="1:27" s="115" customFormat="1" ht="27" customHeight="1">
      <c r="A1140" s="139">
        <v>1073</v>
      </c>
      <c r="B1140" s="140" t="s">
        <v>5618</v>
      </c>
      <c r="C1140" s="141" t="s">
        <v>2926</v>
      </c>
      <c r="D1140" s="142" t="s">
        <v>2927</v>
      </c>
      <c r="E1140" s="141" t="s">
        <v>3023</v>
      </c>
      <c r="F1140" s="142" t="s">
        <v>2976</v>
      </c>
      <c r="G1140" s="141" t="s">
        <v>3024</v>
      </c>
      <c r="H1140" s="142" t="s">
        <v>2977</v>
      </c>
      <c r="I1140" s="141" t="s">
        <v>3035</v>
      </c>
      <c r="J1140" s="142" t="s">
        <v>3036</v>
      </c>
      <c r="K1140" s="142" t="s">
        <v>999</v>
      </c>
      <c r="L1140" s="143">
        <f t="shared" si="36"/>
        <v>1</v>
      </c>
      <c r="M1140" s="144" t="s">
        <v>3037</v>
      </c>
      <c r="N1140" s="141" t="s">
        <v>2926</v>
      </c>
      <c r="O1140" s="142" t="s">
        <v>2927</v>
      </c>
      <c r="P1140" s="141" t="s">
        <v>2696</v>
      </c>
      <c r="Q1140" s="142" t="s">
        <v>2976</v>
      </c>
      <c r="R1140" s="141" t="s">
        <v>2980</v>
      </c>
      <c r="S1140" s="142" t="s">
        <v>2977</v>
      </c>
      <c r="T1140" s="141" t="s">
        <v>3038</v>
      </c>
      <c r="U1140" s="142" t="s">
        <v>3036</v>
      </c>
      <c r="V1140" s="142" t="s">
        <v>999</v>
      </c>
      <c r="W1140" s="141">
        <f t="shared" si="35"/>
        <v>1</v>
      </c>
      <c r="X1140" s="143"/>
      <c r="Y1140" s="145"/>
      <c r="AA1140"/>
    </row>
    <row r="1141" spans="1:27" s="115" customFormat="1" ht="27" customHeight="1">
      <c r="A1141" s="139">
        <v>1074</v>
      </c>
      <c r="B1141" s="140" t="s">
        <v>5619</v>
      </c>
      <c r="C1141" s="141" t="s">
        <v>2926</v>
      </c>
      <c r="D1141" s="142" t="s">
        <v>2927</v>
      </c>
      <c r="E1141" s="141" t="s">
        <v>3023</v>
      </c>
      <c r="F1141" s="142" t="s">
        <v>2976</v>
      </c>
      <c r="G1141" s="141" t="s">
        <v>3024</v>
      </c>
      <c r="H1141" s="142" t="s">
        <v>2977</v>
      </c>
      <c r="I1141" s="141" t="s">
        <v>3035</v>
      </c>
      <c r="J1141" s="142" t="s">
        <v>3036</v>
      </c>
      <c r="K1141" s="142" t="s">
        <v>1000</v>
      </c>
      <c r="L1141" s="143">
        <f t="shared" si="36"/>
        <v>1</v>
      </c>
      <c r="M1141" s="144" t="s">
        <v>3039</v>
      </c>
      <c r="N1141" s="141" t="s">
        <v>2926</v>
      </c>
      <c r="O1141" s="142" t="s">
        <v>2927</v>
      </c>
      <c r="P1141" s="141" t="s">
        <v>2696</v>
      </c>
      <c r="Q1141" s="142" t="s">
        <v>2976</v>
      </c>
      <c r="R1141" s="141" t="s">
        <v>2980</v>
      </c>
      <c r="S1141" s="142" t="s">
        <v>2977</v>
      </c>
      <c r="T1141" s="141" t="s">
        <v>3038</v>
      </c>
      <c r="U1141" s="142" t="s">
        <v>3036</v>
      </c>
      <c r="V1141" s="142" t="s">
        <v>1000</v>
      </c>
      <c r="W1141" s="141">
        <f t="shared" si="35"/>
        <v>1</v>
      </c>
      <c r="X1141" s="143"/>
      <c r="Y1141" s="145"/>
      <c r="AA1141"/>
    </row>
    <row r="1142" spans="1:27" s="115" customFormat="1" ht="27" customHeight="1">
      <c r="A1142" s="139">
        <v>1075</v>
      </c>
      <c r="B1142" s="140" t="s">
        <v>5620</v>
      </c>
      <c r="C1142" s="141" t="s">
        <v>2926</v>
      </c>
      <c r="D1142" s="142" t="s">
        <v>2927</v>
      </c>
      <c r="E1142" s="141" t="s">
        <v>3023</v>
      </c>
      <c r="F1142" s="142" t="s">
        <v>2976</v>
      </c>
      <c r="G1142" s="141" t="s">
        <v>3024</v>
      </c>
      <c r="H1142" s="142" t="s">
        <v>2977</v>
      </c>
      <c r="I1142" s="141" t="s">
        <v>3035</v>
      </c>
      <c r="J1142" s="142" t="s">
        <v>3036</v>
      </c>
      <c r="K1142" s="142" t="s">
        <v>246</v>
      </c>
      <c r="L1142" s="143">
        <f t="shared" si="36"/>
        <v>1</v>
      </c>
      <c r="M1142" s="144" t="s">
        <v>3040</v>
      </c>
      <c r="N1142" s="141" t="s">
        <v>2926</v>
      </c>
      <c r="O1142" s="142" t="s">
        <v>2927</v>
      </c>
      <c r="P1142" s="141" t="s">
        <v>2696</v>
      </c>
      <c r="Q1142" s="142" t="s">
        <v>2976</v>
      </c>
      <c r="R1142" s="141" t="s">
        <v>2980</v>
      </c>
      <c r="S1142" s="142" t="s">
        <v>2977</v>
      </c>
      <c r="T1142" s="141" t="s">
        <v>3038</v>
      </c>
      <c r="U1142" s="142" t="s">
        <v>3036</v>
      </c>
      <c r="V1142" s="142" t="s">
        <v>246</v>
      </c>
      <c r="W1142" s="141">
        <f t="shared" si="35"/>
        <v>1</v>
      </c>
      <c r="X1142" s="143"/>
      <c r="Y1142" s="145"/>
      <c r="AA1142"/>
    </row>
    <row r="1143" spans="1:27" s="115" customFormat="1" ht="27" customHeight="1">
      <c r="A1143" s="139">
        <v>1076</v>
      </c>
      <c r="B1143" s="140" t="s">
        <v>5622</v>
      </c>
      <c r="C1143" s="141" t="s">
        <v>2926</v>
      </c>
      <c r="D1143" s="142" t="s">
        <v>2927</v>
      </c>
      <c r="E1143" s="141" t="s">
        <v>3023</v>
      </c>
      <c r="F1143" s="142" t="s">
        <v>2976</v>
      </c>
      <c r="G1143" s="141" t="s">
        <v>3024</v>
      </c>
      <c r="H1143" s="142" t="s">
        <v>2977</v>
      </c>
      <c r="I1143" s="141" t="s">
        <v>3035</v>
      </c>
      <c r="J1143" s="142" t="s">
        <v>3036</v>
      </c>
      <c r="K1143" s="142" t="s">
        <v>1001</v>
      </c>
      <c r="L1143" s="143">
        <f t="shared" si="36"/>
        <v>1</v>
      </c>
      <c r="M1143" s="144" t="s">
        <v>3041</v>
      </c>
      <c r="N1143" s="141" t="s">
        <v>2926</v>
      </c>
      <c r="O1143" s="142" t="s">
        <v>2927</v>
      </c>
      <c r="P1143" s="141" t="s">
        <v>2696</v>
      </c>
      <c r="Q1143" s="142" t="s">
        <v>2976</v>
      </c>
      <c r="R1143" s="141" t="s">
        <v>2980</v>
      </c>
      <c r="S1143" s="142" t="s">
        <v>2977</v>
      </c>
      <c r="T1143" s="141" t="s">
        <v>3038</v>
      </c>
      <c r="U1143" s="142" t="s">
        <v>3036</v>
      </c>
      <c r="V1143" s="142" t="s">
        <v>1001</v>
      </c>
      <c r="W1143" s="141">
        <f t="shared" si="35"/>
        <v>1</v>
      </c>
      <c r="X1143" s="143"/>
      <c r="Y1143" s="145"/>
      <c r="AA1143"/>
    </row>
    <row r="1144" spans="1:27" s="115" customFormat="1" ht="27" customHeight="1">
      <c r="A1144" s="139">
        <v>1077</v>
      </c>
      <c r="B1144" s="140" t="s">
        <v>5623</v>
      </c>
      <c r="C1144" s="141" t="s">
        <v>2926</v>
      </c>
      <c r="D1144" s="142" t="s">
        <v>2927</v>
      </c>
      <c r="E1144" s="141" t="s">
        <v>3023</v>
      </c>
      <c r="F1144" s="142" t="s">
        <v>2976</v>
      </c>
      <c r="G1144" s="141" t="s">
        <v>3024</v>
      </c>
      <c r="H1144" s="142" t="s">
        <v>2977</v>
      </c>
      <c r="I1144" s="141" t="s">
        <v>3035</v>
      </c>
      <c r="J1144" s="142" t="s">
        <v>3036</v>
      </c>
      <c r="K1144" s="142" t="s">
        <v>247</v>
      </c>
      <c r="L1144" s="143">
        <f t="shared" si="36"/>
        <v>1</v>
      </c>
      <c r="M1144" s="144" t="s">
        <v>3042</v>
      </c>
      <c r="N1144" s="141" t="s">
        <v>2926</v>
      </c>
      <c r="O1144" s="142" t="s">
        <v>2927</v>
      </c>
      <c r="P1144" s="141" t="s">
        <v>2696</v>
      </c>
      <c r="Q1144" s="142" t="s">
        <v>2976</v>
      </c>
      <c r="R1144" s="141" t="s">
        <v>2980</v>
      </c>
      <c r="S1144" s="142" t="s">
        <v>2977</v>
      </c>
      <c r="T1144" s="141" t="s">
        <v>3038</v>
      </c>
      <c r="U1144" s="142" t="s">
        <v>3036</v>
      </c>
      <c r="V1144" s="142" t="s">
        <v>247</v>
      </c>
      <c r="W1144" s="141">
        <f t="shared" si="35"/>
        <v>1</v>
      </c>
      <c r="X1144" s="143"/>
      <c r="Y1144" s="145"/>
      <c r="AA1144"/>
    </row>
    <row r="1145" spans="1:27" s="115" customFormat="1" ht="27" customHeight="1">
      <c r="A1145" s="139">
        <v>1078</v>
      </c>
      <c r="B1145" s="140" t="s">
        <v>5624</v>
      </c>
      <c r="C1145" s="141" t="s">
        <v>2926</v>
      </c>
      <c r="D1145" s="142" t="s">
        <v>2927</v>
      </c>
      <c r="E1145" s="141" t="s">
        <v>3023</v>
      </c>
      <c r="F1145" s="142" t="s">
        <v>2976</v>
      </c>
      <c r="G1145" s="141" t="s">
        <v>3024</v>
      </c>
      <c r="H1145" s="142" t="s">
        <v>2977</v>
      </c>
      <c r="I1145" s="141" t="s">
        <v>3035</v>
      </c>
      <c r="J1145" s="142" t="s">
        <v>3036</v>
      </c>
      <c r="K1145" s="142" t="s">
        <v>1002</v>
      </c>
      <c r="L1145" s="143">
        <f t="shared" si="36"/>
        <v>1</v>
      </c>
      <c r="M1145" s="144" t="s">
        <v>3043</v>
      </c>
      <c r="N1145" s="141" t="s">
        <v>2926</v>
      </c>
      <c r="O1145" s="142" t="s">
        <v>2927</v>
      </c>
      <c r="P1145" s="141" t="s">
        <v>2696</v>
      </c>
      <c r="Q1145" s="142" t="s">
        <v>2976</v>
      </c>
      <c r="R1145" s="141" t="s">
        <v>2980</v>
      </c>
      <c r="S1145" s="142" t="s">
        <v>2977</v>
      </c>
      <c r="T1145" s="141" t="s">
        <v>3038</v>
      </c>
      <c r="U1145" s="142" t="s">
        <v>3036</v>
      </c>
      <c r="V1145" s="142" t="s">
        <v>1002</v>
      </c>
      <c r="W1145" s="141">
        <f t="shared" si="35"/>
        <v>2</v>
      </c>
      <c r="X1145" s="143">
        <v>1</v>
      </c>
      <c r="Y1145" s="145"/>
      <c r="AA1145"/>
    </row>
    <row r="1146" spans="1:27" s="115" customFormat="1" ht="27" customHeight="1">
      <c r="A1146" s="139">
        <v>1079</v>
      </c>
      <c r="B1146" s="140" t="s">
        <v>5625</v>
      </c>
      <c r="C1146" s="141" t="s">
        <v>2926</v>
      </c>
      <c r="D1146" s="142" t="s">
        <v>2927</v>
      </c>
      <c r="E1146" s="141" t="s">
        <v>3023</v>
      </c>
      <c r="F1146" s="142" t="s">
        <v>2976</v>
      </c>
      <c r="G1146" s="141" t="s">
        <v>3024</v>
      </c>
      <c r="H1146" s="142" t="s">
        <v>2977</v>
      </c>
      <c r="I1146" s="141" t="s">
        <v>3044</v>
      </c>
      <c r="J1146" s="142" t="s">
        <v>3045</v>
      </c>
      <c r="K1146" s="142" t="s">
        <v>1003</v>
      </c>
      <c r="L1146" s="143">
        <f t="shared" si="36"/>
        <v>1</v>
      </c>
      <c r="M1146" s="144" t="s">
        <v>3046</v>
      </c>
      <c r="N1146" s="141" t="s">
        <v>2926</v>
      </c>
      <c r="O1146" s="142" t="s">
        <v>2927</v>
      </c>
      <c r="P1146" s="141" t="s">
        <v>2696</v>
      </c>
      <c r="Q1146" s="142" t="s">
        <v>2976</v>
      </c>
      <c r="R1146" s="141" t="s">
        <v>2980</v>
      </c>
      <c r="S1146" s="142" t="s">
        <v>2977</v>
      </c>
      <c r="T1146" s="141" t="s">
        <v>3047</v>
      </c>
      <c r="U1146" s="142" t="s">
        <v>3045</v>
      </c>
      <c r="V1146" s="142" t="s">
        <v>1003</v>
      </c>
      <c r="W1146" s="141">
        <f t="shared" si="35"/>
        <v>3</v>
      </c>
      <c r="X1146" s="143"/>
      <c r="Y1146" s="145" t="s">
        <v>3048</v>
      </c>
      <c r="AA1146"/>
    </row>
    <row r="1147" spans="1:27" s="115" customFormat="1" ht="27" customHeight="1">
      <c r="A1147" s="139">
        <v>1080</v>
      </c>
      <c r="B1147" s="140" t="s">
        <v>5626</v>
      </c>
      <c r="C1147" s="141" t="s">
        <v>2926</v>
      </c>
      <c r="D1147" s="142" t="s">
        <v>2927</v>
      </c>
      <c r="E1147" s="141" t="s">
        <v>3023</v>
      </c>
      <c r="F1147" s="142" t="s">
        <v>2976</v>
      </c>
      <c r="G1147" s="141" t="s">
        <v>3024</v>
      </c>
      <c r="H1147" s="142" t="s">
        <v>2977</v>
      </c>
      <c r="I1147" s="141" t="s">
        <v>3044</v>
      </c>
      <c r="J1147" s="142" t="s">
        <v>3045</v>
      </c>
      <c r="K1147" s="142" t="s">
        <v>1003</v>
      </c>
      <c r="L1147" s="143">
        <f t="shared" si="36"/>
        <v>1</v>
      </c>
      <c r="M1147" s="144" t="s">
        <v>3046</v>
      </c>
      <c r="N1147" s="141" t="s">
        <v>2926</v>
      </c>
      <c r="O1147" s="142" t="s">
        <v>2927</v>
      </c>
      <c r="P1147" s="141" t="s">
        <v>2696</v>
      </c>
      <c r="Q1147" s="142" t="s">
        <v>2976</v>
      </c>
      <c r="R1147" s="141" t="s">
        <v>2980</v>
      </c>
      <c r="S1147" s="142" t="s">
        <v>2977</v>
      </c>
      <c r="T1147" s="141" t="s">
        <v>3047</v>
      </c>
      <c r="U1147" s="142" t="s">
        <v>3045</v>
      </c>
      <c r="V1147" s="142" t="s">
        <v>1003</v>
      </c>
      <c r="W1147" s="141">
        <f t="shared" si="35"/>
        <v>3</v>
      </c>
      <c r="X1147" s="143">
        <v>1</v>
      </c>
      <c r="Y1147" s="145"/>
      <c r="AA1147"/>
    </row>
    <row r="1148" spans="1:27" s="115" customFormat="1" ht="27" customHeight="1">
      <c r="A1148" s="139">
        <v>1081</v>
      </c>
      <c r="B1148" s="140" t="s">
        <v>5627</v>
      </c>
      <c r="C1148" s="141" t="s">
        <v>2926</v>
      </c>
      <c r="D1148" s="142" t="s">
        <v>2927</v>
      </c>
      <c r="E1148" s="141" t="s">
        <v>3023</v>
      </c>
      <c r="F1148" s="142" t="s">
        <v>2976</v>
      </c>
      <c r="G1148" s="141" t="s">
        <v>3024</v>
      </c>
      <c r="H1148" s="142" t="s">
        <v>2977</v>
      </c>
      <c r="I1148" s="141" t="s">
        <v>3044</v>
      </c>
      <c r="J1148" s="142" t="s">
        <v>3045</v>
      </c>
      <c r="K1148" s="142" t="s">
        <v>1003</v>
      </c>
      <c r="L1148" s="143">
        <f t="shared" si="36"/>
        <v>1</v>
      </c>
      <c r="M1148" s="144" t="s">
        <v>3046</v>
      </c>
      <c r="N1148" s="141" t="s">
        <v>2926</v>
      </c>
      <c r="O1148" s="142" t="s">
        <v>2927</v>
      </c>
      <c r="P1148" s="141" t="s">
        <v>2696</v>
      </c>
      <c r="Q1148" s="142" t="s">
        <v>2976</v>
      </c>
      <c r="R1148" s="141" t="s">
        <v>2980</v>
      </c>
      <c r="S1148" s="142" t="s">
        <v>2977</v>
      </c>
      <c r="T1148" s="141" t="s">
        <v>3047</v>
      </c>
      <c r="U1148" s="142" t="s">
        <v>3045</v>
      </c>
      <c r="V1148" s="142" t="s">
        <v>1003</v>
      </c>
      <c r="W1148" s="141">
        <f t="shared" si="35"/>
        <v>3</v>
      </c>
      <c r="X1148" s="143"/>
      <c r="Y1148" s="145" t="s">
        <v>3049</v>
      </c>
      <c r="AA1148"/>
    </row>
    <row r="1149" spans="1:27" s="115" customFormat="1" ht="27" customHeight="1">
      <c r="A1149" s="139">
        <v>1082</v>
      </c>
      <c r="B1149" s="140" t="s">
        <v>5628</v>
      </c>
      <c r="C1149" s="141" t="s">
        <v>2926</v>
      </c>
      <c r="D1149" s="142" t="s">
        <v>2927</v>
      </c>
      <c r="E1149" s="141" t="s">
        <v>3023</v>
      </c>
      <c r="F1149" s="142" t="s">
        <v>2976</v>
      </c>
      <c r="G1149" s="141" t="s">
        <v>3024</v>
      </c>
      <c r="H1149" s="142" t="s">
        <v>2977</v>
      </c>
      <c r="I1149" s="141" t="s">
        <v>3044</v>
      </c>
      <c r="J1149" s="142" t="s">
        <v>3045</v>
      </c>
      <c r="K1149" s="142" t="s">
        <v>1004</v>
      </c>
      <c r="L1149" s="143">
        <f t="shared" si="36"/>
        <v>1</v>
      </c>
      <c r="M1149" s="144" t="s">
        <v>3050</v>
      </c>
      <c r="N1149" s="141" t="s">
        <v>2926</v>
      </c>
      <c r="O1149" s="142" t="s">
        <v>2927</v>
      </c>
      <c r="P1149" s="141" t="s">
        <v>2696</v>
      </c>
      <c r="Q1149" s="142" t="s">
        <v>2976</v>
      </c>
      <c r="R1149" s="141" t="s">
        <v>2980</v>
      </c>
      <c r="S1149" s="142" t="s">
        <v>2977</v>
      </c>
      <c r="T1149" s="141" t="s">
        <v>3047</v>
      </c>
      <c r="U1149" s="142" t="s">
        <v>3045</v>
      </c>
      <c r="V1149" s="142" t="s">
        <v>1004</v>
      </c>
      <c r="W1149" s="141">
        <f t="shared" si="35"/>
        <v>1</v>
      </c>
      <c r="X1149" s="143"/>
      <c r="Y1149" s="145"/>
      <c r="AA1149"/>
    </row>
    <row r="1150" spans="1:27" s="115" customFormat="1" ht="27" customHeight="1">
      <c r="A1150" s="139">
        <v>1083</v>
      </c>
      <c r="B1150" s="140" t="s">
        <v>5629</v>
      </c>
      <c r="C1150" s="141" t="s">
        <v>2926</v>
      </c>
      <c r="D1150" s="142" t="s">
        <v>2927</v>
      </c>
      <c r="E1150" s="141" t="s">
        <v>3023</v>
      </c>
      <c r="F1150" s="142" t="s">
        <v>2976</v>
      </c>
      <c r="G1150" s="141" t="s">
        <v>3024</v>
      </c>
      <c r="H1150" s="142" t="s">
        <v>2977</v>
      </c>
      <c r="I1150" s="141" t="s">
        <v>3051</v>
      </c>
      <c r="J1150" s="142" t="s">
        <v>3052</v>
      </c>
      <c r="K1150" s="142" t="s">
        <v>1005</v>
      </c>
      <c r="L1150" s="143">
        <f t="shared" si="36"/>
        <v>1</v>
      </c>
      <c r="M1150" s="144" t="s">
        <v>3053</v>
      </c>
      <c r="N1150" s="141" t="s">
        <v>2926</v>
      </c>
      <c r="O1150" s="142" t="s">
        <v>2927</v>
      </c>
      <c r="P1150" s="141" t="s">
        <v>2696</v>
      </c>
      <c r="Q1150" s="142" t="s">
        <v>2976</v>
      </c>
      <c r="R1150" s="141" t="s">
        <v>2980</v>
      </c>
      <c r="S1150" s="142" t="s">
        <v>2977</v>
      </c>
      <c r="T1150" s="141" t="s">
        <v>3054</v>
      </c>
      <c r="U1150" s="142" t="s">
        <v>3052</v>
      </c>
      <c r="V1150" s="142" t="s">
        <v>1005</v>
      </c>
      <c r="W1150" s="141">
        <f t="shared" si="35"/>
        <v>1</v>
      </c>
      <c r="X1150" s="143"/>
      <c r="Y1150" s="145"/>
      <c r="AA1150"/>
    </row>
    <row r="1151" spans="1:27" s="115" customFormat="1" ht="27" customHeight="1">
      <c r="A1151" s="139">
        <v>1084</v>
      </c>
      <c r="B1151" s="140" t="s">
        <v>5630</v>
      </c>
      <c r="C1151" s="141" t="s">
        <v>2926</v>
      </c>
      <c r="D1151" s="142" t="s">
        <v>2927</v>
      </c>
      <c r="E1151" s="141" t="s">
        <v>3023</v>
      </c>
      <c r="F1151" s="142" t="s">
        <v>2976</v>
      </c>
      <c r="G1151" s="141" t="s">
        <v>3024</v>
      </c>
      <c r="H1151" s="142" t="s">
        <v>2977</v>
      </c>
      <c r="I1151" s="141" t="s">
        <v>3051</v>
      </c>
      <c r="J1151" s="142" t="s">
        <v>3052</v>
      </c>
      <c r="K1151" s="142" t="s">
        <v>1006</v>
      </c>
      <c r="L1151" s="143">
        <f t="shared" si="36"/>
        <v>1</v>
      </c>
      <c r="M1151" s="144" t="s">
        <v>3055</v>
      </c>
      <c r="N1151" s="141" t="s">
        <v>2926</v>
      </c>
      <c r="O1151" s="142" t="s">
        <v>2927</v>
      </c>
      <c r="P1151" s="141" t="s">
        <v>2696</v>
      </c>
      <c r="Q1151" s="142" t="s">
        <v>2976</v>
      </c>
      <c r="R1151" s="141" t="s">
        <v>2980</v>
      </c>
      <c r="S1151" s="142" t="s">
        <v>2977</v>
      </c>
      <c r="T1151" s="141" t="s">
        <v>3054</v>
      </c>
      <c r="U1151" s="142" t="s">
        <v>3052</v>
      </c>
      <c r="V1151" s="142" t="s">
        <v>1006</v>
      </c>
      <c r="W1151" s="141">
        <f t="shared" si="35"/>
        <v>1</v>
      </c>
      <c r="X1151" s="143"/>
      <c r="Y1151" s="145"/>
      <c r="AA1151"/>
    </row>
    <row r="1152" spans="1:27" s="115" customFormat="1" ht="27" customHeight="1">
      <c r="A1152" s="139">
        <v>1085</v>
      </c>
      <c r="B1152" s="140" t="s">
        <v>5633</v>
      </c>
      <c r="C1152" s="141" t="s">
        <v>2926</v>
      </c>
      <c r="D1152" s="142" t="s">
        <v>2927</v>
      </c>
      <c r="E1152" s="141" t="s">
        <v>3023</v>
      </c>
      <c r="F1152" s="142" t="s">
        <v>2929</v>
      </c>
      <c r="G1152" s="141" t="s">
        <v>3024</v>
      </c>
      <c r="H1152" s="142" t="s">
        <v>2931</v>
      </c>
      <c r="I1152" s="141" t="s">
        <v>3056</v>
      </c>
      <c r="J1152" s="142" t="s">
        <v>2933</v>
      </c>
      <c r="K1152" s="142" t="s">
        <v>234</v>
      </c>
      <c r="L1152" s="143">
        <f t="shared" si="36"/>
        <v>3</v>
      </c>
      <c r="M1152" s="144">
        <v>49212</v>
      </c>
      <c r="N1152" s="141" t="s">
        <v>2926</v>
      </c>
      <c r="O1152" s="142" t="s">
        <v>2927</v>
      </c>
      <c r="P1152" s="141" t="s">
        <v>2935</v>
      </c>
      <c r="Q1152" s="142" t="s">
        <v>2929</v>
      </c>
      <c r="R1152" s="141" t="s">
        <v>2936</v>
      </c>
      <c r="S1152" s="142" t="s">
        <v>2931</v>
      </c>
      <c r="T1152" s="141" t="s">
        <v>2937</v>
      </c>
      <c r="U1152" s="142" t="s">
        <v>2933</v>
      </c>
      <c r="V1152" s="142" t="s">
        <v>234</v>
      </c>
      <c r="W1152" s="141">
        <f t="shared" si="35"/>
        <v>3</v>
      </c>
      <c r="X1152" s="143"/>
      <c r="Y1152" s="145" t="s">
        <v>3057</v>
      </c>
      <c r="AA1152"/>
    </row>
    <row r="1153" spans="1:27" s="115" customFormat="1" ht="27" customHeight="1">
      <c r="A1153" s="139">
        <v>1085</v>
      </c>
      <c r="B1153" s="140" t="s">
        <v>5633</v>
      </c>
      <c r="C1153" s="141" t="s">
        <v>2926</v>
      </c>
      <c r="D1153" s="142" t="s">
        <v>2927</v>
      </c>
      <c r="E1153" s="141" t="s">
        <v>3023</v>
      </c>
      <c r="F1153" s="142" t="s">
        <v>2929</v>
      </c>
      <c r="G1153" s="141" t="s">
        <v>3024</v>
      </c>
      <c r="H1153" s="142" t="s">
        <v>2931</v>
      </c>
      <c r="I1153" s="141" t="s">
        <v>3056</v>
      </c>
      <c r="J1153" s="142" t="s">
        <v>233</v>
      </c>
      <c r="K1153" s="142" t="s">
        <v>233</v>
      </c>
      <c r="L1153" s="143">
        <f t="shared" si="36"/>
        <v>3</v>
      </c>
      <c r="M1153" s="144">
        <v>49220</v>
      </c>
      <c r="N1153" s="141" t="s">
        <v>2926</v>
      </c>
      <c r="O1153" s="142" t="s">
        <v>2927</v>
      </c>
      <c r="P1153" s="141" t="s">
        <v>2935</v>
      </c>
      <c r="Q1153" s="142" t="s">
        <v>2929</v>
      </c>
      <c r="R1153" s="141" t="s">
        <v>2936</v>
      </c>
      <c r="S1153" s="142" t="s">
        <v>2931</v>
      </c>
      <c r="T1153" s="141" t="s">
        <v>2946</v>
      </c>
      <c r="U1153" s="142" t="s">
        <v>233</v>
      </c>
      <c r="V1153" s="142" t="s">
        <v>233</v>
      </c>
      <c r="W1153" s="141">
        <f t="shared" si="35"/>
        <v>4</v>
      </c>
      <c r="X1153" s="143"/>
      <c r="Y1153" s="145" t="s">
        <v>3058</v>
      </c>
      <c r="AA1153"/>
    </row>
    <row r="1154" spans="1:27" s="115" customFormat="1" ht="27" customHeight="1">
      <c r="A1154" s="139">
        <v>1085</v>
      </c>
      <c r="B1154" s="140" t="s">
        <v>5633</v>
      </c>
      <c r="C1154" s="141" t="s">
        <v>2926</v>
      </c>
      <c r="D1154" s="142" t="s">
        <v>2927</v>
      </c>
      <c r="E1154" s="141" t="s">
        <v>3023</v>
      </c>
      <c r="F1154" s="142" t="s">
        <v>2929</v>
      </c>
      <c r="G1154" s="141" t="s">
        <v>3024</v>
      </c>
      <c r="H1154" s="142" t="s">
        <v>2931</v>
      </c>
      <c r="I1154" s="141" t="s">
        <v>3056</v>
      </c>
      <c r="J1154" s="142" t="s">
        <v>2952</v>
      </c>
      <c r="K1154" s="142" t="s">
        <v>236</v>
      </c>
      <c r="L1154" s="143">
        <f t="shared" si="36"/>
        <v>3</v>
      </c>
      <c r="M1154" s="144">
        <v>49231</v>
      </c>
      <c r="N1154" s="141" t="s">
        <v>2926</v>
      </c>
      <c r="O1154" s="142" t="s">
        <v>2927</v>
      </c>
      <c r="P1154" s="141" t="s">
        <v>2935</v>
      </c>
      <c r="Q1154" s="142" t="s">
        <v>2929</v>
      </c>
      <c r="R1154" s="141" t="s">
        <v>2936</v>
      </c>
      <c r="S1154" s="142" t="s">
        <v>2931</v>
      </c>
      <c r="T1154" s="141" t="s">
        <v>2954</v>
      </c>
      <c r="U1154" s="142" t="s">
        <v>2952</v>
      </c>
      <c r="V1154" s="142" t="s">
        <v>236</v>
      </c>
      <c r="W1154" s="141">
        <f t="shared" si="35"/>
        <v>4</v>
      </c>
      <c r="X1154" s="143"/>
      <c r="Y1154" s="145" t="s">
        <v>3059</v>
      </c>
      <c r="AA1154"/>
    </row>
    <row r="1155" spans="1:27" s="115" customFormat="1" ht="27" customHeight="1">
      <c r="A1155" s="139">
        <v>1086</v>
      </c>
      <c r="B1155" s="140" t="s">
        <v>5634</v>
      </c>
      <c r="C1155" s="141" t="s">
        <v>2926</v>
      </c>
      <c r="D1155" s="142" t="s">
        <v>2927</v>
      </c>
      <c r="E1155" s="141" t="s">
        <v>3023</v>
      </c>
      <c r="F1155" s="142" t="s">
        <v>2929</v>
      </c>
      <c r="G1155" s="141" t="s">
        <v>3024</v>
      </c>
      <c r="H1155" s="142" t="s">
        <v>2961</v>
      </c>
      <c r="I1155" s="141" t="s">
        <v>3056</v>
      </c>
      <c r="J1155" s="142" t="s">
        <v>2961</v>
      </c>
      <c r="K1155" s="147" t="s">
        <v>983</v>
      </c>
      <c r="L1155" s="143">
        <f t="shared" si="36"/>
        <v>3</v>
      </c>
      <c r="M1155" s="144">
        <v>49301</v>
      </c>
      <c r="N1155" s="146" t="s">
        <v>2926</v>
      </c>
      <c r="O1155" s="147" t="s">
        <v>2927</v>
      </c>
      <c r="P1155" s="146" t="s">
        <v>2935</v>
      </c>
      <c r="Q1155" s="147" t="s">
        <v>2929</v>
      </c>
      <c r="R1155" s="146" t="s">
        <v>2963</v>
      </c>
      <c r="S1155" s="147" t="s">
        <v>2961</v>
      </c>
      <c r="T1155" s="146" t="s">
        <v>2964</v>
      </c>
      <c r="U1155" s="147" t="s">
        <v>2961</v>
      </c>
      <c r="V1155" s="147" t="s">
        <v>983</v>
      </c>
      <c r="W1155" s="141">
        <f t="shared" si="35"/>
        <v>8</v>
      </c>
      <c r="X1155" s="143"/>
      <c r="Y1155" s="145" t="s">
        <v>3060</v>
      </c>
      <c r="AA1155"/>
    </row>
    <row r="1156" spans="1:27" s="115" customFormat="1" ht="27" customHeight="1">
      <c r="A1156" s="139">
        <v>1086</v>
      </c>
      <c r="B1156" s="140" t="s">
        <v>5634</v>
      </c>
      <c r="C1156" s="141" t="s">
        <v>2926</v>
      </c>
      <c r="D1156" s="142" t="s">
        <v>2927</v>
      </c>
      <c r="E1156" s="141" t="s">
        <v>3023</v>
      </c>
      <c r="F1156" s="142" t="s">
        <v>2929</v>
      </c>
      <c r="G1156" s="141" t="s">
        <v>3024</v>
      </c>
      <c r="H1156" s="142" t="s">
        <v>2961</v>
      </c>
      <c r="I1156" s="141" t="s">
        <v>3056</v>
      </c>
      <c r="J1156" s="142" t="s">
        <v>2961</v>
      </c>
      <c r="K1156" s="142" t="s">
        <v>982</v>
      </c>
      <c r="L1156" s="143">
        <f t="shared" si="36"/>
        <v>3</v>
      </c>
      <c r="M1156" s="144" t="s">
        <v>2971</v>
      </c>
      <c r="N1156" s="141" t="s">
        <v>2926</v>
      </c>
      <c r="O1156" s="142" t="s">
        <v>2927</v>
      </c>
      <c r="P1156" s="141" t="s">
        <v>2935</v>
      </c>
      <c r="Q1156" s="142" t="s">
        <v>2929</v>
      </c>
      <c r="R1156" s="141" t="s">
        <v>2963</v>
      </c>
      <c r="S1156" s="142" t="s">
        <v>2961</v>
      </c>
      <c r="T1156" s="141" t="s">
        <v>2964</v>
      </c>
      <c r="U1156" s="142" t="s">
        <v>2961</v>
      </c>
      <c r="V1156" s="142" t="s">
        <v>982</v>
      </c>
      <c r="W1156" s="141">
        <f t="shared" si="35"/>
        <v>7</v>
      </c>
      <c r="X1156" s="143"/>
      <c r="Y1156" s="145" t="s">
        <v>3060</v>
      </c>
      <c r="AA1156"/>
    </row>
    <row r="1157" spans="1:27" s="115" customFormat="1" ht="27" customHeight="1">
      <c r="A1157" s="139">
        <v>1086</v>
      </c>
      <c r="B1157" s="140" t="s">
        <v>5634</v>
      </c>
      <c r="C1157" s="141" t="s">
        <v>2926</v>
      </c>
      <c r="D1157" s="142" t="s">
        <v>2927</v>
      </c>
      <c r="E1157" s="141" t="s">
        <v>3023</v>
      </c>
      <c r="F1157" s="142" t="s">
        <v>2929</v>
      </c>
      <c r="G1157" s="141" t="s">
        <v>3024</v>
      </c>
      <c r="H1157" s="142" t="s">
        <v>2961</v>
      </c>
      <c r="I1157" s="141" t="s">
        <v>3056</v>
      </c>
      <c r="J1157" s="142" t="s">
        <v>2961</v>
      </c>
      <c r="K1157" s="142" t="s">
        <v>986</v>
      </c>
      <c r="L1157" s="143">
        <f t="shared" si="36"/>
        <v>3</v>
      </c>
      <c r="M1157" s="144" t="s">
        <v>2974</v>
      </c>
      <c r="N1157" s="141" t="s">
        <v>2926</v>
      </c>
      <c r="O1157" s="142" t="s">
        <v>2927</v>
      </c>
      <c r="P1157" s="141" t="s">
        <v>2935</v>
      </c>
      <c r="Q1157" s="142" t="s">
        <v>2929</v>
      </c>
      <c r="R1157" s="141" t="s">
        <v>2963</v>
      </c>
      <c r="S1157" s="142" t="s">
        <v>2961</v>
      </c>
      <c r="T1157" s="141" t="s">
        <v>2964</v>
      </c>
      <c r="U1157" s="142" t="s">
        <v>2961</v>
      </c>
      <c r="V1157" s="142" t="s">
        <v>986</v>
      </c>
      <c r="W1157" s="141">
        <f t="shared" ref="W1157:W1222" si="37">COUNTIF($M$5:$M$1756,M1157)</f>
        <v>6</v>
      </c>
      <c r="X1157" s="143"/>
      <c r="Y1157" s="145" t="s">
        <v>3060</v>
      </c>
      <c r="AA1157"/>
    </row>
    <row r="1158" spans="1:27" s="115" customFormat="1" ht="27" customHeight="1">
      <c r="A1158" s="139">
        <v>1087</v>
      </c>
      <c r="B1158" s="140" t="s">
        <v>5635</v>
      </c>
      <c r="C1158" s="141" t="s">
        <v>2926</v>
      </c>
      <c r="D1158" s="142" t="s">
        <v>2927</v>
      </c>
      <c r="E1158" s="141" t="s">
        <v>3023</v>
      </c>
      <c r="F1158" s="142" t="s">
        <v>2929</v>
      </c>
      <c r="G1158" s="141" t="s">
        <v>3024</v>
      </c>
      <c r="H1158" s="142" t="s">
        <v>3061</v>
      </c>
      <c r="I1158" s="141" t="s">
        <v>3062</v>
      </c>
      <c r="J1158" s="142" t="s">
        <v>3061</v>
      </c>
      <c r="K1158" s="142" t="s">
        <v>40</v>
      </c>
      <c r="L1158" s="143">
        <f t="shared" si="36"/>
        <v>1</v>
      </c>
      <c r="M1158" s="144" t="s">
        <v>3063</v>
      </c>
      <c r="N1158" s="141" t="s">
        <v>2926</v>
      </c>
      <c r="O1158" s="142" t="s">
        <v>2927</v>
      </c>
      <c r="P1158" s="141" t="s">
        <v>2935</v>
      </c>
      <c r="Q1158" s="142" t="s">
        <v>2929</v>
      </c>
      <c r="R1158" s="141" t="s">
        <v>3064</v>
      </c>
      <c r="S1158" s="142" t="s">
        <v>3061</v>
      </c>
      <c r="T1158" s="141" t="s">
        <v>3065</v>
      </c>
      <c r="U1158" s="142" t="s">
        <v>3061</v>
      </c>
      <c r="V1158" s="142" t="s">
        <v>40</v>
      </c>
      <c r="W1158" s="141">
        <f t="shared" si="37"/>
        <v>2</v>
      </c>
      <c r="X1158" s="143">
        <v>1</v>
      </c>
      <c r="Y1158" s="145"/>
      <c r="AA1158"/>
    </row>
    <row r="1159" spans="1:27" s="115" customFormat="1" ht="27" customHeight="1">
      <c r="A1159" s="139">
        <v>1088</v>
      </c>
      <c r="B1159" s="140" t="s">
        <v>5636</v>
      </c>
      <c r="C1159" s="141" t="s">
        <v>2926</v>
      </c>
      <c r="D1159" s="142" t="s">
        <v>2927</v>
      </c>
      <c r="E1159" s="141" t="s">
        <v>3023</v>
      </c>
      <c r="F1159" s="142" t="s">
        <v>2976</v>
      </c>
      <c r="G1159" s="141" t="s">
        <v>3024</v>
      </c>
      <c r="H1159" s="142" t="s">
        <v>2977</v>
      </c>
      <c r="I1159" s="141" t="s">
        <v>3062</v>
      </c>
      <c r="J1159" s="142" t="s">
        <v>2978</v>
      </c>
      <c r="K1159" s="142" t="s">
        <v>1010</v>
      </c>
      <c r="L1159" s="143">
        <f t="shared" si="36"/>
        <v>2</v>
      </c>
      <c r="M1159" s="144">
        <v>52991</v>
      </c>
      <c r="N1159" s="141" t="s">
        <v>2926</v>
      </c>
      <c r="O1159" s="142" t="s">
        <v>2927</v>
      </c>
      <c r="P1159" s="141" t="s">
        <v>2696</v>
      </c>
      <c r="Q1159" s="142" t="s">
        <v>2976</v>
      </c>
      <c r="R1159" s="141" t="s">
        <v>2980</v>
      </c>
      <c r="S1159" s="142" t="s">
        <v>2977</v>
      </c>
      <c r="T1159" s="141" t="s">
        <v>2981</v>
      </c>
      <c r="U1159" s="142" t="s">
        <v>2978</v>
      </c>
      <c r="V1159" s="142" t="s">
        <v>1010</v>
      </c>
      <c r="W1159" s="141">
        <f t="shared" si="37"/>
        <v>2</v>
      </c>
      <c r="X1159" s="143">
        <v>1</v>
      </c>
      <c r="Y1159" s="145"/>
      <c r="AA1159"/>
    </row>
    <row r="1160" spans="1:27" s="115" customFormat="1" ht="27" customHeight="1">
      <c r="A1160" s="139">
        <v>1088</v>
      </c>
      <c r="B1160" s="140" t="s">
        <v>5636</v>
      </c>
      <c r="C1160" s="141" t="s">
        <v>2926</v>
      </c>
      <c r="D1160" s="142" t="s">
        <v>2927</v>
      </c>
      <c r="E1160" s="141" t="s">
        <v>3023</v>
      </c>
      <c r="F1160" s="142" t="s">
        <v>2976</v>
      </c>
      <c r="G1160" s="141" t="s">
        <v>3024</v>
      </c>
      <c r="H1160" s="142" t="s">
        <v>2977</v>
      </c>
      <c r="I1160" s="141" t="s">
        <v>3062</v>
      </c>
      <c r="J1160" s="142" t="s">
        <v>2978</v>
      </c>
      <c r="K1160" s="142" t="s">
        <v>985</v>
      </c>
      <c r="L1160" s="143">
        <f t="shared" si="36"/>
        <v>2</v>
      </c>
      <c r="M1160" s="144">
        <v>52992</v>
      </c>
      <c r="N1160" s="141" t="s">
        <v>2926</v>
      </c>
      <c r="O1160" s="142" t="s">
        <v>2927</v>
      </c>
      <c r="P1160" s="141" t="s">
        <v>2696</v>
      </c>
      <c r="Q1160" s="142" t="s">
        <v>2976</v>
      </c>
      <c r="R1160" s="141" t="s">
        <v>2980</v>
      </c>
      <c r="S1160" s="142" t="s">
        <v>2977</v>
      </c>
      <c r="T1160" s="141" t="s">
        <v>2981</v>
      </c>
      <c r="U1160" s="142" t="s">
        <v>2978</v>
      </c>
      <c r="V1160" s="142" t="s">
        <v>985</v>
      </c>
      <c r="W1160" s="141">
        <f t="shared" si="37"/>
        <v>2</v>
      </c>
      <c r="X1160" s="143">
        <v>1</v>
      </c>
      <c r="Y1160" s="145"/>
      <c r="AA1160"/>
    </row>
    <row r="1161" spans="1:27" s="115" customFormat="1" ht="27" customHeight="1">
      <c r="A1161" s="139">
        <v>1089</v>
      </c>
      <c r="B1161" s="140" t="s">
        <v>5637</v>
      </c>
      <c r="C1161" s="141" t="s">
        <v>2926</v>
      </c>
      <c r="D1161" s="142" t="s">
        <v>2927</v>
      </c>
      <c r="E1161" s="141" t="s">
        <v>3023</v>
      </c>
      <c r="F1161" s="142" t="s">
        <v>2976</v>
      </c>
      <c r="G1161" s="141" t="s">
        <v>3024</v>
      </c>
      <c r="H1161" s="142" t="s">
        <v>2977</v>
      </c>
      <c r="I1161" s="141" t="s">
        <v>3062</v>
      </c>
      <c r="J1161" s="142" t="s">
        <v>2978</v>
      </c>
      <c r="K1161" s="142" t="s">
        <v>1007</v>
      </c>
      <c r="L1161" s="143">
        <f t="shared" si="36"/>
        <v>1</v>
      </c>
      <c r="M1161" s="144">
        <v>52993</v>
      </c>
      <c r="N1161" s="141" t="s">
        <v>2926</v>
      </c>
      <c r="O1161" s="142" t="s">
        <v>2927</v>
      </c>
      <c r="P1161" s="141" t="s">
        <v>2696</v>
      </c>
      <c r="Q1161" s="142" t="s">
        <v>2976</v>
      </c>
      <c r="R1161" s="141" t="s">
        <v>2980</v>
      </c>
      <c r="S1161" s="142" t="s">
        <v>2977</v>
      </c>
      <c r="T1161" s="141" t="s">
        <v>2981</v>
      </c>
      <c r="U1161" s="142" t="s">
        <v>2978</v>
      </c>
      <c r="V1161" s="142" t="s">
        <v>1007</v>
      </c>
      <c r="W1161" s="141">
        <f t="shared" si="37"/>
        <v>2</v>
      </c>
      <c r="X1161" s="143">
        <v>1</v>
      </c>
      <c r="Y1161" s="145"/>
      <c r="AA1161"/>
    </row>
    <row r="1162" spans="1:27" s="115" customFormat="1" ht="27" customHeight="1">
      <c r="A1162" s="139">
        <v>1090</v>
      </c>
      <c r="B1162" s="140" t="s">
        <v>5638</v>
      </c>
      <c r="C1162" s="141" t="s">
        <v>2926</v>
      </c>
      <c r="D1162" s="142" t="s">
        <v>2927</v>
      </c>
      <c r="E1162" s="141" t="s">
        <v>3023</v>
      </c>
      <c r="F1162" s="142" t="s">
        <v>2929</v>
      </c>
      <c r="G1162" s="141" t="s">
        <v>3024</v>
      </c>
      <c r="H1162" s="142" t="s">
        <v>3061</v>
      </c>
      <c r="I1162" s="141" t="s">
        <v>3062</v>
      </c>
      <c r="J1162" s="142" t="s">
        <v>3061</v>
      </c>
      <c r="K1162" s="142" t="s">
        <v>1008</v>
      </c>
      <c r="L1162" s="143">
        <f t="shared" si="36"/>
        <v>1</v>
      </c>
      <c r="M1162" s="144" t="s">
        <v>3066</v>
      </c>
      <c r="N1162" s="141" t="s">
        <v>2926</v>
      </c>
      <c r="O1162" s="142" t="s">
        <v>2927</v>
      </c>
      <c r="P1162" s="141" t="s">
        <v>2935</v>
      </c>
      <c r="Q1162" s="142" t="s">
        <v>2929</v>
      </c>
      <c r="R1162" s="141" t="s">
        <v>3064</v>
      </c>
      <c r="S1162" s="142" t="s">
        <v>3061</v>
      </c>
      <c r="T1162" s="141" t="s">
        <v>3065</v>
      </c>
      <c r="U1162" s="142" t="s">
        <v>3061</v>
      </c>
      <c r="V1162" s="142" t="s">
        <v>1008</v>
      </c>
      <c r="W1162" s="141">
        <f t="shared" si="37"/>
        <v>1</v>
      </c>
      <c r="X1162" s="143"/>
      <c r="Y1162" s="145"/>
      <c r="AA1162"/>
    </row>
    <row r="1163" spans="1:27" s="115" customFormat="1" ht="27" customHeight="1">
      <c r="A1163" s="139">
        <v>1091</v>
      </c>
      <c r="B1163" s="140" t="s">
        <v>5639</v>
      </c>
      <c r="C1163" s="141" t="s">
        <v>2926</v>
      </c>
      <c r="D1163" s="142" t="s">
        <v>2927</v>
      </c>
      <c r="E1163" s="141" t="s">
        <v>3023</v>
      </c>
      <c r="F1163" s="142" t="s">
        <v>2976</v>
      </c>
      <c r="G1163" s="141" t="s">
        <v>3024</v>
      </c>
      <c r="H1163" s="142" t="s">
        <v>2977</v>
      </c>
      <c r="I1163" s="141" t="s">
        <v>3062</v>
      </c>
      <c r="J1163" s="142" t="s">
        <v>2978</v>
      </c>
      <c r="K1163" s="142" t="s">
        <v>1007</v>
      </c>
      <c r="L1163" s="143">
        <f t="shared" si="36"/>
        <v>1</v>
      </c>
      <c r="M1163" s="144" t="s">
        <v>3067</v>
      </c>
      <c r="N1163" s="141" t="s">
        <v>2926</v>
      </c>
      <c r="O1163" s="142" t="s">
        <v>2927</v>
      </c>
      <c r="P1163" s="141" t="s">
        <v>2696</v>
      </c>
      <c r="Q1163" s="142" t="s">
        <v>2976</v>
      </c>
      <c r="R1163" s="141" t="s">
        <v>2980</v>
      </c>
      <c r="S1163" s="142" t="s">
        <v>2977</v>
      </c>
      <c r="T1163" s="141" t="s">
        <v>2981</v>
      </c>
      <c r="U1163" s="142" t="s">
        <v>2978</v>
      </c>
      <c r="V1163" s="142" t="s">
        <v>1007</v>
      </c>
      <c r="W1163" s="141">
        <f t="shared" si="37"/>
        <v>2</v>
      </c>
      <c r="X1163" s="143"/>
      <c r="Y1163" s="145" t="s">
        <v>3068</v>
      </c>
      <c r="AA1163"/>
    </row>
    <row r="1164" spans="1:27" s="115" customFormat="1" ht="27" customHeight="1">
      <c r="A1164" s="139">
        <v>1092</v>
      </c>
      <c r="B1164" s="140" t="s">
        <v>5640</v>
      </c>
      <c r="C1164" s="141" t="s">
        <v>2926</v>
      </c>
      <c r="D1164" s="142" t="s">
        <v>2927</v>
      </c>
      <c r="E1164" s="141" t="s">
        <v>3023</v>
      </c>
      <c r="F1164" s="142" t="s">
        <v>2976</v>
      </c>
      <c r="G1164" s="141" t="s">
        <v>3024</v>
      </c>
      <c r="H1164" s="142" t="s">
        <v>2977</v>
      </c>
      <c r="I1164" s="141" t="s">
        <v>3062</v>
      </c>
      <c r="J1164" s="142" t="s">
        <v>2978</v>
      </c>
      <c r="K1164" s="142" t="s">
        <v>1009</v>
      </c>
      <c r="L1164" s="143">
        <f t="shared" si="36"/>
        <v>1</v>
      </c>
      <c r="M1164" s="144" t="s">
        <v>3069</v>
      </c>
      <c r="N1164" s="141" t="s">
        <v>2926</v>
      </c>
      <c r="O1164" s="142" t="s">
        <v>2927</v>
      </c>
      <c r="P1164" s="141" t="s">
        <v>2696</v>
      </c>
      <c r="Q1164" s="142" t="s">
        <v>2976</v>
      </c>
      <c r="R1164" s="141" t="s">
        <v>2980</v>
      </c>
      <c r="S1164" s="142" t="s">
        <v>2977</v>
      </c>
      <c r="T1164" s="141" t="s">
        <v>2981</v>
      </c>
      <c r="U1164" s="142" t="s">
        <v>2978</v>
      </c>
      <c r="V1164" s="142" t="s">
        <v>1009</v>
      </c>
      <c r="W1164" s="141">
        <f t="shared" si="37"/>
        <v>1</v>
      </c>
      <c r="X1164" s="143"/>
      <c r="Y1164" s="145"/>
      <c r="AA1164"/>
    </row>
    <row r="1165" spans="1:27" s="115" customFormat="1" ht="27" customHeight="1">
      <c r="A1165" s="139">
        <v>1093</v>
      </c>
      <c r="B1165" s="140" t="s">
        <v>5642</v>
      </c>
      <c r="C1165" s="141" t="s">
        <v>2926</v>
      </c>
      <c r="D1165" s="142" t="s">
        <v>2927</v>
      </c>
      <c r="E1165" s="141" t="s">
        <v>3070</v>
      </c>
      <c r="F1165" s="142" t="s">
        <v>3071</v>
      </c>
      <c r="G1165" s="141" t="s">
        <v>3072</v>
      </c>
      <c r="H1165" s="142" t="s">
        <v>3061</v>
      </c>
      <c r="I1165" s="141" t="s">
        <v>3073</v>
      </c>
      <c r="J1165" s="142" t="s">
        <v>3061</v>
      </c>
      <c r="K1165" s="142" t="s">
        <v>40</v>
      </c>
      <c r="L1165" s="143">
        <f t="shared" si="36"/>
        <v>1</v>
      </c>
      <c r="M1165" s="144" t="s">
        <v>3063</v>
      </c>
      <c r="N1165" s="141" t="s">
        <v>2926</v>
      </c>
      <c r="O1165" s="142" t="s">
        <v>2927</v>
      </c>
      <c r="P1165" s="141" t="s">
        <v>2935</v>
      </c>
      <c r="Q1165" s="142" t="s">
        <v>2929</v>
      </c>
      <c r="R1165" s="141" t="s">
        <v>3064</v>
      </c>
      <c r="S1165" s="142" t="s">
        <v>3061</v>
      </c>
      <c r="T1165" s="141" t="s">
        <v>3065</v>
      </c>
      <c r="U1165" s="142" t="s">
        <v>3061</v>
      </c>
      <c r="V1165" s="142" t="s">
        <v>40</v>
      </c>
      <c r="W1165" s="141">
        <f t="shared" si="37"/>
        <v>2</v>
      </c>
      <c r="X1165" s="143"/>
      <c r="Y1165" s="145" t="s">
        <v>3074</v>
      </c>
      <c r="AA1165"/>
    </row>
    <row r="1166" spans="1:27" s="115" customFormat="1" ht="27" customHeight="1">
      <c r="A1166" s="139">
        <v>1094</v>
      </c>
      <c r="B1166" s="140" t="s">
        <v>5812</v>
      </c>
      <c r="C1166" s="141" t="s">
        <v>2926</v>
      </c>
      <c r="D1166" s="142" t="s">
        <v>2927</v>
      </c>
      <c r="E1166" s="141" t="s">
        <v>2223</v>
      </c>
      <c r="F1166" s="142" t="s">
        <v>2976</v>
      </c>
      <c r="G1166" s="141" t="s">
        <v>2225</v>
      </c>
      <c r="H1166" s="142" t="s">
        <v>2977</v>
      </c>
      <c r="I1166" s="141" t="s">
        <v>2923</v>
      </c>
      <c r="J1166" s="142" t="s">
        <v>2978</v>
      </c>
      <c r="K1166" s="142" t="s">
        <v>1010</v>
      </c>
      <c r="L1166" s="143">
        <f t="shared" si="36"/>
        <v>1</v>
      </c>
      <c r="M1166" s="144" t="s">
        <v>3075</v>
      </c>
      <c r="N1166" s="141" t="s">
        <v>2926</v>
      </c>
      <c r="O1166" s="142" t="s">
        <v>2927</v>
      </c>
      <c r="P1166" s="141" t="s">
        <v>2696</v>
      </c>
      <c r="Q1166" s="142" t="s">
        <v>2976</v>
      </c>
      <c r="R1166" s="141" t="s">
        <v>2980</v>
      </c>
      <c r="S1166" s="142" t="s">
        <v>2977</v>
      </c>
      <c r="T1166" s="141" t="s">
        <v>2981</v>
      </c>
      <c r="U1166" s="142" t="s">
        <v>2978</v>
      </c>
      <c r="V1166" s="142" t="s">
        <v>1010</v>
      </c>
      <c r="W1166" s="141">
        <f t="shared" si="37"/>
        <v>2</v>
      </c>
      <c r="X1166" s="143"/>
      <c r="Y1166" s="145" t="s">
        <v>3076</v>
      </c>
      <c r="AA1166"/>
    </row>
    <row r="1167" spans="1:27" s="115" customFormat="1" ht="27" customHeight="1">
      <c r="A1167" s="139">
        <v>1095</v>
      </c>
      <c r="B1167" s="140" t="s">
        <v>5824</v>
      </c>
      <c r="C1167" s="141" t="s">
        <v>2926</v>
      </c>
      <c r="D1167" s="142" t="s">
        <v>2927</v>
      </c>
      <c r="E1167" s="141" t="s">
        <v>2223</v>
      </c>
      <c r="F1167" s="142" t="s">
        <v>2976</v>
      </c>
      <c r="G1167" s="141" t="s">
        <v>2225</v>
      </c>
      <c r="H1167" s="142" t="s">
        <v>2977</v>
      </c>
      <c r="I1167" s="141" t="s">
        <v>2923</v>
      </c>
      <c r="J1167" s="142" t="s">
        <v>3036</v>
      </c>
      <c r="K1167" s="142" t="s">
        <v>1002</v>
      </c>
      <c r="L1167" s="143">
        <f t="shared" si="36"/>
        <v>1</v>
      </c>
      <c r="M1167" s="144" t="s">
        <v>3043</v>
      </c>
      <c r="N1167" s="141" t="s">
        <v>2926</v>
      </c>
      <c r="O1167" s="142" t="s">
        <v>2927</v>
      </c>
      <c r="P1167" s="141" t="s">
        <v>2696</v>
      </c>
      <c r="Q1167" s="142" t="s">
        <v>2976</v>
      </c>
      <c r="R1167" s="141" t="s">
        <v>2980</v>
      </c>
      <c r="S1167" s="142" t="s">
        <v>2977</v>
      </c>
      <c r="T1167" s="141" t="s">
        <v>3038</v>
      </c>
      <c r="U1167" s="142" t="s">
        <v>3036</v>
      </c>
      <c r="V1167" s="142" t="s">
        <v>1002</v>
      </c>
      <c r="W1167" s="141">
        <f t="shared" si="37"/>
        <v>2</v>
      </c>
      <c r="X1167" s="143"/>
      <c r="Y1167" s="145" t="s">
        <v>3077</v>
      </c>
      <c r="AA1167"/>
    </row>
    <row r="1168" spans="1:27" s="115" customFormat="1" ht="27" customHeight="1">
      <c r="A1168" s="139">
        <v>1096</v>
      </c>
      <c r="B1168" s="140" t="s">
        <v>5528</v>
      </c>
      <c r="C1168" s="141" t="s">
        <v>3078</v>
      </c>
      <c r="D1168" s="142" t="s">
        <v>3079</v>
      </c>
      <c r="E1168" s="141" t="s">
        <v>3080</v>
      </c>
      <c r="F1168" s="142" t="s">
        <v>3081</v>
      </c>
      <c r="G1168" s="141" t="s">
        <v>3082</v>
      </c>
      <c r="H1168" s="142" t="s">
        <v>3083</v>
      </c>
      <c r="I1168" s="141" t="s">
        <v>3084</v>
      </c>
      <c r="J1168" s="142" t="s">
        <v>3083</v>
      </c>
      <c r="K1168" s="142" t="s">
        <v>38</v>
      </c>
      <c r="L1168" s="143">
        <f t="shared" si="36"/>
        <v>1</v>
      </c>
      <c r="M1168" s="144" t="s">
        <v>3085</v>
      </c>
      <c r="N1168" s="141" t="s">
        <v>3078</v>
      </c>
      <c r="O1168" s="142" t="s">
        <v>3079</v>
      </c>
      <c r="P1168" s="141" t="s">
        <v>3080</v>
      </c>
      <c r="Q1168" s="142" t="s">
        <v>3081</v>
      </c>
      <c r="R1168" s="141" t="s">
        <v>3082</v>
      </c>
      <c r="S1168" s="142" t="s">
        <v>3083</v>
      </c>
      <c r="T1168" s="141" t="s">
        <v>3084</v>
      </c>
      <c r="U1168" s="142" t="s">
        <v>3083</v>
      </c>
      <c r="V1168" s="142" t="s">
        <v>38</v>
      </c>
      <c r="W1168" s="141">
        <f t="shared" si="37"/>
        <v>1</v>
      </c>
      <c r="X1168" s="143"/>
      <c r="Y1168" s="145"/>
      <c r="AA1168"/>
    </row>
    <row r="1169" spans="1:27" s="115" customFormat="1" ht="27" customHeight="1">
      <c r="A1169" s="139">
        <v>1097</v>
      </c>
      <c r="B1169" s="140" t="s">
        <v>5529</v>
      </c>
      <c r="C1169" s="141" t="s">
        <v>3078</v>
      </c>
      <c r="D1169" s="142" t="s">
        <v>3079</v>
      </c>
      <c r="E1169" s="141" t="s">
        <v>3080</v>
      </c>
      <c r="F1169" s="142" t="s">
        <v>3081</v>
      </c>
      <c r="G1169" s="141" t="s">
        <v>3082</v>
      </c>
      <c r="H1169" s="142" t="s">
        <v>3083</v>
      </c>
      <c r="I1169" s="141" t="s">
        <v>3084</v>
      </c>
      <c r="J1169" s="142" t="s">
        <v>3083</v>
      </c>
      <c r="K1169" s="142" t="s">
        <v>39</v>
      </c>
      <c r="L1169" s="143">
        <f t="shared" si="36"/>
        <v>1</v>
      </c>
      <c r="M1169" s="144" t="s">
        <v>3086</v>
      </c>
      <c r="N1169" s="141" t="s">
        <v>3078</v>
      </c>
      <c r="O1169" s="142" t="s">
        <v>3079</v>
      </c>
      <c r="P1169" s="141" t="s">
        <v>3080</v>
      </c>
      <c r="Q1169" s="142" t="s">
        <v>3081</v>
      </c>
      <c r="R1169" s="141" t="s">
        <v>3082</v>
      </c>
      <c r="S1169" s="142" t="s">
        <v>3083</v>
      </c>
      <c r="T1169" s="141" t="s">
        <v>3084</v>
      </c>
      <c r="U1169" s="142" t="s">
        <v>3083</v>
      </c>
      <c r="V1169" s="142" t="s">
        <v>39</v>
      </c>
      <c r="W1169" s="141">
        <f t="shared" si="37"/>
        <v>2</v>
      </c>
      <c r="X1169" s="143">
        <v>1</v>
      </c>
      <c r="Y1169" s="145"/>
      <c r="AA1169"/>
    </row>
    <row r="1170" spans="1:27" s="115" customFormat="1" ht="27" customHeight="1">
      <c r="A1170" s="139">
        <v>1098</v>
      </c>
      <c r="B1170" s="140" t="s">
        <v>5531</v>
      </c>
      <c r="C1170" s="141" t="s">
        <v>3078</v>
      </c>
      <c r="D1170" s="142" t="s">
        <v>3079</v>
      </c>
      <c r="E1170" s="141" t="s">
        <v>3080</v>
      </c>
      <c r="F1170" s="142" t="s">
        <v>3081</v>
      </c>
      <c r="G1170" s="141" t="s">
        <v>3082</v>
      </c>
      <c r="H1170" s="142" t="s">
        <v>3083</v>
      </c>
      <c r="I1170" s="141" t="s">
        <v>3084</v>
      </c>
      <c r="J1170" s="142" t="s">
        <v>3083</v>
      </c>
      <c r="K1170" s="142" t="s">
        <v>1011</v>
      </c>
      <c r="L1170" s="143">
        <f t="shared" si="36"/>
        <v>1</v>
      </c>
      <c r="M1170" s="144" t="s">
        <v>3087</v>
      </c>
      <c r="N1170" s="141" t="s">
        <v>3078</v>
      </c>
      <c r="O1170" s="142" t="s">
        <v>3079</v>
      </c>
      <c r="P1170" s="141" t="s">
        <v>3080</v>
      </c>
      <c r="Q1170" s="142" t="s">
        <v>3081</v>
      </c>
      <c r="R1170" s="141" t="s">
        <v>3082</v>
      </c>
      <c r="S1170" s="142" t="s">
        <v>3083</v>
      </c>
      <c r="T1170" s="141" t="s">
        <v>3084</v>
      </c>
      <c r="U1170" s="142" t="s">
        <v>3083</v>
      </c>
      <c r="V1170" s="142" t="s">
        <v>1011</v>
      </c>
      <c r="W1170" s="141">
        <f t="shared" si="37"/>
        <v>2</v>
      </c>
      <c r="X1170" s="143">
        <v>1</v>
      </c>
      <c r="Y1170" s="145"/>
      <c r="AA1170"/>
    </row>
    <row r="1171" spans="1:27" s="115" customFormat="1" ht="27" customHeight="1">
      <c r="A1171" s="139">
        <v>1099</v>
      </c>
      <c r="B1171" s="140" t="s">
        <v>5532</v>
      </c>
      <c r="C1171" s="141" t="s">
        <v>3078</v>
      </c>
      <c r="D1171" s="142" t="s">
        <v>3079</v>
      </c>
      <c r="E1171" s="141" t="s">
        <v>3080</v>
      </c>
      <c r="F1171" s="142" t="s">
        <v>3081</v>
      </c>
      <c r="G1171" s="141" t="s">
        <v>3082</v>
      </c>
      <c r="H1171" s="142" t="s">
        <v>3083</v>
      </c>
      <c r="I1171" s="141" t="s">
        <v>3084</v>
      </c>
      <c r="J1171" s="142" t="s">
        <v>3083</v>
      </c>
      <c r="K1171" s="142" t="s">
        <v>1012</v>
      </c>
      <c r="L1171" s="143">
        <f t="shared" si="36"/>
        <v>1</v>
      </c>
      <c r="M1171" s="144" t="s">
        <v>3088</v>
      </c>
      <c r="N1171" s="146" t="s">
        <v>3078</v>
      </c>
      <c r="O1171" s="147" t="s">
        <v>3079</v>
      </c>
      <c r="P1171" s="146" t="s">
        <v>3080</v>
      </c>
      <c r="Q1171" s="147" t="s">
        <v>3081</v>
      </c>
      <c r="R1171" s="146" t="s">
        <v>3082</v>
      </c>
      <c r="S1171" s="147" t="s">
        <v>3083</v>
      </c>
      <c r="T1171" s="146" t="s">
        <v>3084</v>
      </c>
      <c r="U1171" s="147" t="s">
        <v>3083</v>
      </c>
      <c r="V1171" s="147" t="s">
        <v>1012</v>
      </c>
      <c r="W1171" s="141">
        <f t="shared" si="37"/>
        <v>2</v>
      </c>
      <c r="X1171" s="143">
        <v>1</v>
      </c>
      <c r="Y1171" s="145"/>
      <c r="AA1171"/>
    </row>
    <row r="1172" spans="1:27" s="115" customFormat="1" ht="27" customHeight="1">
      <c r="A1172" s="139">
        <v>1100</v>
      </c>
      <c r="B1172" s="140" t="s">
        <v>5533</v>
      </c>
      <c r="C1172" s="141" t="s">
        <v>3078</v>
      </c>
      <c r="D1172" s="142" t="s">
        <v>3079</v>
      </c>
      <c r="E1172" s="141" t="s">
        <v>3080</v>
      </c>
      <c r="F1172" s="142" t="s">
        <v>3081</v>
      </c>
      <c r="G1172" s="141" t="s">
        <v>3082</v>
      </c>
      <c r="H1172" s="142" t="s">
        <v>3083</v>
      </c>
      <c r="I1172" s="141" t="s">
        <v>3084</v>
      </c>
      <c r="J1172" s="142" t="s">
        <v>3083</v>
      </c>
      <c r="K1172" s="142" t="s">
        <v>1013</v>
      </c>
      <c r="L1172" s="143">
        <f t="shared" si="36"/>
        <v>1</v>
      </c>
      <c r="M1172" s="144" t="s">
        <v>3089</v>
      </c>
      <c r="N1172" s="141" t="s">
        <v>3078</v>
      </c>
      <c r="O1172" s="142" t="s">
        <v>3079</v>
      </c>
      <c r="P1172" s="141" t="s">
        <v>3080</v>
      </c>
      <c r="Q1172" s="142" t="s">
        <v>3081</v>
      </c>
      <c r="R1172" s="141" t="s">
        <v>3082</v>
      </c>
      <c r="S1172" s="142" t="s">
        <v>3083</v>
      </c>
      <c r="T1172" s="141" t="s">
        <v>3084</v>
      </c>
      <c r="U1172" s="142" t="s">
        <v>3083</v>
      </c>
      <c r="V1172" s="142" t="s">
        <v>1013</v>
      </c>
      <c r="W1172" s="141">
        <f t="shared" si="37"/>
        <v>2</v>
      </c>
      <c r="X1172" s="143">
        <v>1</v>
      </c>
      <c r="Y1172" s="145"/>
      <c r="AA1172"/>
    </row>
    <row r="1173" spans="1:27" s="115" customFormat="1" ht="13.5" customHeight="1">
      <c r="A1173" s="139">
        <v>1101</v>
      </c>
      <c r="B1173" s="140" t="s">
        <v>6069</v>
      </c>
      <c r="C1173" s="141" t="s">
        <v>3078</v>
      </c>
      <c r="D1173" s="142" t="s">
        <v>3079</v>
      </c>
      <c r="E1173" s="141" t="s">
        <v>3080</v>
      </c>
      <c r="F1173" s="142" t="s">
        <v>3081</v>
      </c>
      <c r="G1173" s="141" t="s">
        <v>3082</v>
      </c>
      <c r="H1173" s="142" t="s">
        <v>3083</v>
      </c>
      <c r="I1173" s="141" t="s">
        <v>3084</v>
      </c>
      <c r="J1173" s="142" t="s">
        <v>3083</v>
      </c>
      <c r="K1173" s="142" t="s">
        <v>1014</v>
      </c>
      <c r="L1173" s="143">
        <f t="shared" si="36"/>
        <v>1</v>
      </c>
      <c r="M1173" s="144" t="s">
        <v>3088</v>
      </c>
      <c r="N1173" s="146" t="s">
        <v>3078</v>
      </c>
      <c r="O1173" s="147" t="s">
        <v>3079</v>
      </c>
      <c r="P1173" s="146" t="s">
        <v>3080</v>
      </c>
      <c r="Q1173" s="147" t="s">
        <v>3081</v>
      </c>
      <c r="R1173" s="146" t="s">
        <v>3082</v>
      </c>
      <c r="S1173" s="147" t="s">
        <v>3083</v>
      </c>
      <c r="T1173" s="146" t="s">
        <v>3084</v>
      </c>
      <c r="U1173" s="147" t="s">
        <v>3083</v>
      </c>
      <c r="V1173" s="147" t="s">
        <v>1012</v>
      </c>
      <c r="W1173" s="141">
        <f t="shared" si="37"/>
        <v>2</v>
      </c>
      <c r="X1173" s="143"/>
      <c r="Y1173" s="145" t="s">
        <v>1014</v>
      </c>
      <c r="AA1173"/>
    </row>
    <row r="1174" spans="1:27" s="115" customFormat="1" ht="13.5" customHeight="1">
      <c r="A1174" s="139">
        <v>1102</v>
      </c>
      <c r="B1174" s="140" t="s">
        <v>5534</v>
      </c>
      <c r="C1174" s="141" t="s">
        <v>3078</v>
      </c>
      <c r="D1174" s="142" t="s">
        <v>3079</v>
      </c>
      <c r="E1174" s="141" t="s">
        <v>3080</v>
      </c>
      <c r="F1174" s="142" t="s">
        <v>3081</v>
      </c>
      <c r="G1174" s="141" t="s">
        <v>3082</v>
      </c>
      <c r="H1174" s="142" t="s">
        <v>3083</v>
      </c>
      <c r="I1174" s="141" t="s">
        <v>3084</v>
      </c>
      <c r="J1174" s="142" t="s">
        <v>3083</v>
      </c>
      <c r="K1174" s="142" t="s">
        <v>39</v>
      </c>
      <c r="L1174" s="143">
        <f t="shared" si="36"/>
        <v>1</v>
      </c>
      <c r="M1174" s="144" t="s">
        <v>3086</v>
      </c>
      <c r="N1174" s="141" t="s">
        <v>3078</v>
      </c>
      <c r="O1174" s="142" t="s">
        <v>3079</v>
      </c>
      <c r="P1174" s="141" t="s">
        <v>3080</v>
      </c>
      <c r="Q1174" s="142" t="s">
        <v>3081</v>
      </c>
      <c r="R1174" s="141" t="s">
        <v>3082</v>
      </c>
      <c r="S1174" s="142" t="s">
        <v>3083</v>
      </c>
      <c r="T1174" s="141" t="s">
        <v>3084</v>
      </c>
      <c r="U1174" s="142" t="s">
        <v>3083</v>
      </c>
      <c r="V1174" s="142" t="s">
        <v>39</v>
      </c>
      <c r="W1174" s="141">
        <f t="shared" si="37"/>
        <v>2</v>
      </c>
      <c r="X1174" s="143"/>
      <c r="Y1174" s="145" t="s">
        <v>3090</v>
      </c>
      <c r="AA1174"/>
    </row>
    <row r="1175" spans="1:27" s="115" customFormat="1" ht="13.5" customHeight="1">
      <c r="A1175" s="139">
        <v>1103</v>
      </c>
      <c r="B1175" s="140" t="s">
        <v>5535</v>
      </c>
      <c r="C1175" s="141" t="s">
        <v>3078</v>
      </c>
      <c r="D1175" s="142" t="s">
        <v>3079</v>
      </c>
      <c r="E1175" s="141" t="s">
        <v>3080</v>
      </c>
      <c r="F1175" s="142" t="s">
        <v>3081</v>
      </c>
      <c r="G1175" s="141" t="s">
        <v>3082</v>
      </c>
      <c r="H1175" s="142" t="s">
        <v>3083</v>
      </c>
      <c r="I1175" s="141" t="s">
        <v>3084</v>
      </c>
      <c r="J1175" s="142" t="s">
        <v>3083</v>
      </c>
      <c r="K1175" s="142" t="s">
        <v>1011</v>
      </c>
      <c r="L1175" s="143">
        <f t="shared" si="36"/>
        <v>1</v>
      </c>
      <c r="M1175" s="144" t="s">
        <v>3087</v>
      </c>
      <c r="N1175" s="141" t="s">
        <v>3078</v>
      </c>
      <c r="O1175" s="142" t="s">
        <v>3079</v>
      </c>
      <c r="P1175" s="141" t="s">
        <v>3080</v>
      </c>
      <c r="Q1175" s="142" t="s">
        <v>3081</v>
      </c>
      <c r="R1175" s="141" t="s">
        <v>3082</v>
      </c>
      <c r="S1175" s="142" t="s">
        <v>3083</v>
      </c>
      <c r="T1175" s="141" t="s">
        <v>3084</v>
      </c>
      <c r="U1175" s="142" t="s">
        <v>3083</v>
      </c>
      <c r="V1175" s="142" t="s">
        <v>1011</v>
      </c>
      <c r="W1175" s="141">
        <f t="shared" si="37"/>
        <v>2</v>
      </c>
      <c r="X1175" s="143"/>
      <c r="Y1175" s="145" t="s">
        <v>3091</v>
      </c>
      <c r="AA1175"/>
    </row>
    <row r="1176" spans="1:27" s="115" customFormat="1" ht="13.5" customHeight="1">
      <c r="A1176" s="139">
        <v>1104</v>
      </c>
      <c r="B1176" s="140" t="s">
        <v>5536</v>
      </c>
      <c r="C1176" s="141" t="s">
        <v>3078</v>
      </c>
      <c r="D1176" s="142" t="s">
        <v>3079</v>
      </c>
      <c r="E1176" s="141" t="s">
        <v>3080</v>
      </c>
      <c r="F1176" s="142" t="s">
        <v>3081</v>
      </c>
      <c r="G1176" s="141" t="s">
        <v>3082</v>
      </c>
      <c r="H1176" s="142" t="s">
        <v>3083</v>
      </c>
      <c r="I1176" s="141" t="s">
        <v>3084</v>
      </c>
      <c r="J1176" s="142" t="s">
        <v>3083</v>
      </c>
      <c r="K1176" s="142" t="s">
        <v>1013</v>
      </c>
      <c r="L1176" s="143">
        <f t="shared" si="36"/>
        <v>1</v>
      </c>
      <c r="M1176" s="144" t="s">
        <v>3089</v>
      </c>
      <c r="N1176" s="141" t="s">
        <v>3078</v>
      </c>
      <c r="O1176" s="142" t="s">
        <v>3079</v>
      </c>
      <c r="P1176" s="141" t="s">
        <v>3080</v>
      </c>
      <c r="Q1176" s="142" t="s">
        <v>3081</v>
      </c>
      <c r="R1176" s="141" t="s">
        <v>3082</v>
      </c>
      <c r="S1176" s="142" t="s">
        <v>3083</v>
      </c>
      <c r="T1176" s="141" t="s">
        <v>3084</v>
      </c>
      <c r="U1176" s="142" t="s">
        <v>3083</v>
      </c>
      <c r="V1176" s="142" t="s">
        <v>1013</v>
      </c>
      <c r="W1176" s="141">
        <f t="shared" si="37"/>
        <v>2</v>
      </c>
      <c r="X1176" s="143"/>
      <c r="Y1176" s="145" t="s">
        <v>3092</v>
      </c>
      <c r="AA1176"/>
    </row>
    <row r="1177" spans="1:27" s="115" customFormat="1" ht="13.5" customHeight="1">
      <c r="A1177" s="139">
        <v>1105</v>
      </c>
      <c r="B1177" s="140" t="s">
        <v>5537</v>
      </c>
      <c r="C1177" s="141" t="s">
        <v>3078</v>
      </c>
      <c r="D1177" s="142" t="s">
        <v>3079</v>
      </c>
      <c r="E1177" s="141" t="s">
        <v>3080</v>
      </c>
      <c r="F1177" s="142" t="s">
        <v>3081</v>
      </c>
      <c r="G1177" s="141" t="s">
        <v>3082</v>
      </c>
      <c r="H1177" s="142" t="s">
        <v>3093</v>
      </c>
      <c r="I1177" s="141" t="s">
        <v>3084</v>
      </c>
      <c r="J1177" s="142" t="s">
        <v>3093</v>
      </c>
      <c r="K1177" s="142" t="s">
        <v>1015</v>
      </c>
      <c r="L1177" s="143">
        <f t="shared" si="36"/>
        <v>1</v>
      </c>
      <c r="M1177" s="144" t="s">
        <v>3094</v>
      </c>
      <c r="N1177" s="141" t="s">
        <v>3078</v>
      </c>
      <c r="O1177" s="142" t="s">
        <v>3079</v>
      </c>
      <c r="P1177" s="141" t="s">
        <v>3080</v>
      </c>
      <c r="Q1177" s="142" t="s">
        <v>3081</v>
      </c>
      <c r="R1177" s="141" t="s">
        <v>3095</v>
      </c>
      <c r="S1177" s="142" t="s">
        <v>3093</v>
      </c>
      <c r="T1177" s="141" t="s">
        <v>3096</v>
      </c>
      <c r="U1177" s="142" t="s">
        <v>3093</v>
      </c>
      <c r="V1177" s="142" t="s">
        <v>1015</v>
      </c>
      <c r="W1177" s="141">
        <f t="shared" si="37"/>
        <v>1</v>
      </c>
      <c r="X1177" s="143"/>
      <c r="Y1177" s="145"/>
      <c r="AA1177"/>
    </row>
    <row r="1178" spans="1:27" s="115" customFormat="1" ht="13.5" customHeight="1">
      <c r="A1178" s="139">
        <v>1106</v>
      </c>
      <c r="B1178" s="140" t="s">
        <v>5538</v>
      </c>
      <c r="C1178" s="141" t="s">
        <v>3078</v>
      </c>
      <c r="D1178" s="142" t="s">
        <v>3079</v>
      </c>
      <c r="E1178" s="141" t="s">
        <v>3080</v>
      </c>
      <c r="F1178" s="142" t="s">
        <v>3081</v>
      </c>
      <c r="G1178" s="141" t="s">
        <v>3082</v>
      </c>
      <c r="H1178" s="142" t="s">
        <v>3093</v>
      </c>
      <c r="I1178" s="141" t="s">
        <v>3084</v>
      </c>
      <c r="J1178" s="142" t="s">
        <v>3093</v>
      </c>
      <c r="K1178" s="142" t="s">
        <v>1016</v>
      </c>
      <c r="L1178" s="143">
        <f t="shared" si="36"/>
        <v>1</v>
      </c>
      <c r="M1178" s="144" t="s">
        <v>3097</v>
      </c>
      <c r="N1178" s="141" t="s">
        <v>3078</v>
      </c>
      <c r="O1178" s="142" t="s">
        <v>3079</v>
      </c>
      <c r="P1178" s="141" t="s">
        <v>3080</v>
      </c>
      <c r="Q1178" s="142" t="s">
        <v>3081</v>
      </c>
      <c r="R1178" s="141" t="s">
        <v>3095</v>
      </c>
      <c r="S1178" s="142" t="s">
        <v>3093</v>
      </c>
      <c r="T1178" s="141" t="s">
        <v>3096</v>
      </c>
      <c r="U1178" s="142" t="s">
        <v>3093</v>
      </c>
      <c r="V1178" s="142" t="s">
        <v>1016</v>
      </c>
      <c r="W1178" s="141">
        <f t="shared" si="37"/>
        <v>1</v>
      </c>
      <c r="X1178" s="143"/>
      <c r="Y1178" s="145"/>
      <c r="AA1178"/>
    </row>
    <row r="1179" spans="1:27" s="115" customFormat="1" ht="13.5" customHeight="1">
      <c r="A1179" s="139">
        <v>1107</v>
      </c>
      <c r="B1179" s="140" t="s">
        <v>5539</v>
      </c>
      <c r="C1179" s="141" t="s">
        <v>3078</v>
      </c>
      <c r="D1179" s="142" t="s">
        <v>3079</v>
      </c>
      <c r="E1179" s="141" t="s">
        <v>3080</v>
      </c>
      <c r="F1179" s="142" t="s">
        <v>3098</v>
      </c>
      <c r="G1179" s="141" t="s">
        <v>3099</v>
      </c>
      <c r="H1179" s="142" t="s">
        <v>3100</v>
      </c>
      <c r="I1179" s="141" t="s">
        <v>3101</v>
      </c>
      <c r="J1179" s="142" t="s">
        <v>248</v>
      </c>
      <c r="K1179" s="142" t="s">
        <v>1017</v>
      </c>
      <c r="L1179" s="143">
        <f t="shared" si="36"/>
        <v>1</v>
      </c>
      <c r="M1179" s="144" t="s">
        <v>3102</v>
      </c>
      <c r="N1179" s="141" t="s">
        <v>3078</v>
      </c>
      <c r="O1179" s="142" t="s">
        <v>3079</v>
      </c>
      <c r="P1179" s="141" t="s">
        <v>3103</v>
      </c>
      <c r="Q1179" s="142" t="s">
        <v>3098</v>
      </c>
      <c r="R1179" s="141" t="s">
        <v>3104</v>
      </c>
      <c r="S1179" s="142" t="s">
        <v>3100</v>
      </c>
      <c r="T1179" s="141" t="s">
        <v>3105</v>
      </c>
      <c r="U1179" s="142" t="s">
        <v>248</v>
      </c>
      <c r="V1179" s="142" t="s">
        <v>1017</v>
      </c>
      <c r="W1179" s="141">
        <f t="shared" si="37"/>
        <v>1</v>
      </c>
      <c r="X1179" s="143"/>
      <c r="Y1179" s="145"/>
      <c r="AA1179"/>
    </row>
    <row r="1180" spans="1:27" s="115" customFormat="1" ht="13.5" customHeight="1">
      <c r="A1180" s="139">
        <v>1108</v>
      </c>
      <c r="B1180" s="140" t="s">
        <v>5540</v>
      </c>
      <c r="C1180" s="141" t="s">
        <v>3078</v>
      </c>
      <c r="D1180" s="142" t="s">
        <v>3079</v>
      </c>
      <c r="E1180" s="141" t="s">
        <v>3080</v>
      </c>
      <c r="F1180" s="142" t="s">
        <v>3098</v>
      </c>
      <c r="G1180" s="141" t="s">
        <v>3099</v>
      </c>
      <c r="H1180" s="142" t="s">
        <v>3100</v>
      </c>
      <c r="I1180" s="141" t="s">
        <v>3101</v>
      </c>
      <c r="J1180" s="142" t="s">
        <v>3106</v>
      </c>
      <c r="K1180" s="142" t="s">
        <v>249</v>
      </c>
      <c r="L1180" s="143">
        <f t="shared" si="36"/>
        <v>1</v>
      </c>
      <c r="M1180" s="144" t="s">
        <v>3107</v>
      </c>
      <c r="N1180" s="141" t="s">
        <v>3078</v>
      </c>
      <c r="O1180" s="142" t="s">
        <v>3079</v>
      </c>
      <c r="P1180" s="141" t="s">
        <v>3103</v>
      </c>
      <c r="Q1180" s="142" t="s">
        <v>3098</v>
      </c>
      <c r="R1180" s="141" t="s">
        <v>3104</v>
      </c>
      <c r="S1180" s="142" t="s">
        <v>3100</v>
      </c>
      <c r="T1180" s="141" t="s">
        <v>3108</v>
      </c>
      <c r="U1180" s="142" t="s">
        <v>3106</v>
      </c>
      <c r="V1180" s="142" t="s">
        <v>249</v>
      </c>
      <c r="W1180" s="141">
        <f t="shared" si="37"/>
        <v>1</v>
      </c>
      <c r="X1180" s="143"/>
      <c r="Y1180" s="145"/>
      <c r="AA1180"/>
    </row>
    <row r="1181" spans="1:27" s="115" customFormat="1" ht="13.5" customHeight="1">
      <c r="A1181" s="139">
        <v>1109</v>
      </c>
      <c r="B1181" s="140" t="s">
        <v>5541</v>
      </c>
      <c r="C1181" s="141" t="s">
        <v>3078</v>
      </c>
      <c r="D1181" s="142" t="s">
        <v>3079</v>
      </c>
      <c r="E1181" s="141" t="s">
        <v>3080</v>
      </c>
      <c r="F1181" s="142" t="s">
        <v>3098</v>
      </c>
      <c r="G1181" s="141" t="s">
        <v>3099</v>
      </c>
      <c r="H1181" s="142" t="s">
        <v>3100</v>
      </c>
      <c r="I1181" s="141" t="s">
        <v>3101</v>
      </c>
      <c r="J1181" s="142" t="s">
        <v>3106</v>
      </c>
      <c r="K1181" s="142" t="s">
        <v>250</v>
      </c>
      <c r="L1181" s="143">
        <f t="shared" si="36"/>
        <v>1</v>
      </c>
      <c r="M1181" s="144" t="s">
        <v>3109</v>
      </c>
      <c r="N1181" s="141" t="s">
        <v>3078</v>
      </c>
      <c r="O1181" s="142" t="s">
        <v>3079</v>
      </c>
      <c r="P1181" s="141" t="s">
        <v>3103</v>
      </c>
      <c r="Q1181" s="142" t="s">
        <v>3098</v>
      </c>
      <c r="R1181" s="141" t="s">
        <v>3104</v>
      </c>
      <c r="S1181" s="142" t="s">
        <v>3100</v>
      </c>
      <c r="T1181" s="141" t="s">
        <v>3108</v>
      </c>
      <c r="U1181" s="142" t="s">
        <v>3106</v>
      </c>
      <c r="V1181" s="142" t="s">
        <v>250</v>
      </c>
      <c r="W1181" s="141">
        <f t="shared" si="37"/>
        <v>1</v>
      </c>
      <c r="X1181" s="143"/>
      <c r="Y1181" s="145"/>
      <c r="AA1181"/>
    </row>
    <row r="1182" spans="1:27" s="115" customFormat="1" ht="13.5" customHeight="1">
      <c r="A1182" s="139">
        <v>1110</v>
      </c>
      <c r="B1182" s="140" t="s">
        <v>5542</v>
      </c>
      <c r="C1182" s="141" t="s">
        <v>3078</v>
      </c>
      <c r="D1182" s="142" t="s">
        <v>3079</v>
      </c>
      <c r="E1182" s="141" t="s">
        <v>3080</v>
      </c>
      <c r="F1182" s="142" t="s">
        <v>3098</v>
      </c>
      <c r="G1182" s="141" t="s">
        <v>3099</v>
      </c>
      <c r="H1182" s="142" t="s">
        <v>3100</v>
      </c>
      <c r="I1182" s="141" t="s">
        <v>3101</v>
      </c>
      <c r="J1182" s="142" t="s">
        <v>3106</v>
      </c>
      <c r="K1182" s="142" t="s">
        <v>1018</v>
      </c>
      <c r="L1182" s="143">
        <f t="shared" si="36"/>
        <v>1</v>
      </c>
      <c r="M1182" s="144" t="s">
        <v>3110</v>
      </c>
      <c r="N1182" s="141" t="s">
        <v>3078</v>
      </c>
      <c r="O1182" s="142" t="s">
        <v>3079</v>
      </c>
      <c r="P1182" s="141" t="s">
        <v>3103</v>
      </c>
      <c r="Q1182" s="142" t="s">
        <v>3098</v>
      </c>
      <c r="R1182" s="141" t="s">
        <v>3104</v>
      </c>
      <c r="S1182" s="142" t="s">
        <v>3100</v>
      </c>
      <c r="T1182" s="141" t="s">
        <v>3108</v>
      </c>
      <c r="U1182" s="142" t="s">
        <v>3106</v>
      </c>
      <c r="V1182" s="142" t="s">
        <v>1018</v>
      </c>
      <c r="W1182" s="141">
        <f t="shared" si="37"/>
        <v>1</v>
      </c>
      <c r="X1182" s="143"/>
      <c r="Y1182" s="145"/>
      <c r="AA1182"/>
    </row>
    <row r="1183" spans="1:27" s="115" customFormat="1" ht="13.5" customHeight="1">
      <c r="A1183" s="139">
        <v>1111</v>
      </c>
      <c r="B1183" s="140" t="s">
        <v>5543</v>
      </c>
      <c r="C1183" s="141" t="s">
        <v>3078</v>
      </c>
      <c r="D1183" s="142" t="s">
        <v>3079</v>
      </c>
      <c r="E1183" s="141" t="s">
        <v>3080</v>
      </c>
      <c r="F1183" s="142" t="s">
        <v>3098</v>
      </c>
      <c r="G1183" s="141" t="s">
        <v>3099</v>
      </c>
      <c r="H1183" s="142" t="s">
        <v>3100</v>
      </c>
      <c r="I1183" s="141" t="s">
        <v>3101</v>
      </c>
      <c r="J1183" s="142" t="s">
        <v>3111</v>
      </c>
      <c r="K1183" s="142" t="s">
        <v>251</v>
      </c>
      <c r="L1183" s="143">
        <f t="shared" si="36"/>
        <v>1</v>
      </c>
      <c r="M1183" s="144" t="s">
        <v>3112</v>
      </c>
      <c r="N1183" s="141" t="s">
        <v>3078</v>
      </c>
      <c r="O1183" s="142" t="s">
        <v>3079</v>
      </c>
      <c r="P1183" s="141" t="s">
        <v>3103</v>
      </c>
      <c r="Q1183" s="142" t="s">
        <v>3098</v>
      </c>
      <c r="R1183" s="141" t="s">
        <v>3104</v>
      </c>
      <c r="S1183" s="142" t="s">
        <v>3100</v>
      </c>
      <c r="T1183" s="141" t="s">
        <v>3113</v>
      </c>
      <c r="U1183" s="142" t="s">
        <v>3111</v>
      </c>
      <c r="V1183" s="142" t="s">
        <v>251</v>
      </c>
      <c r="W1183" s="141">
        <f t="shared" si="37"/>
        <v>1</v>
      </c>
      <c r="X1183" s="143"/>
      <c r="Y1183" s="145"/>
      <c r="AA1183"/>
    </row>
    <row r="1184" spans="1:27" s="115" customFormat="1" ht="13.5" customHeight="1">
      <c r="A1184" s="139">
        <v>1112</v>
      </c>
      <c r="B1184" s="140" t="s">
        <v>5544</v>
      </c>
      <c r="C1184" s="141" t="s">
        <v>3078</v>
      </c>
      <c r="D1184" s="142" t="s">
        <v>3079</v>
      </c>
      <c r="E1184" s="141" t="s">
        <v>3080</v>
      </c>
      <c r="F1184" s="142" t="s">
        <v>3098</v>
      </c>
      <c r="G1184" s="141" t="s">
        <v>3099</v>
      </c>
      <c r="H1184" s="142" t="s">
        <v>3100</v>
      </c>
      <c r="I1184" s="141" t="s">
        <v>3101</v>
      </c>
      <c r="J1184" s="142" t="s">
        <v>3114</v>
      </c>
      <c r="K1184" s="142" t="s">
        <v>1019</v>
      </c>
      <c r="L1184" s="143">
        <f t="shared" si="36"/>
        <v>1</v>
      </c>
      <c r="M1184" s="144" t="s">
        <v>3115</v>
      </c>
      <c r="N1184" s="141" t="s">
        <v>3078</v>
      </c>
      <c r="O1184" s="142" t="s">
        <v>3079</v>
      </c>
      <c r="P1184" s="141" t="s">
        <v>3103</v>
      </c>
      <c r="Q1184" s="142" t="s">
        <v>3098</v>
      </c>
      <c r="R1184" s="141" t="s">
        <v>3104</v>
      </c>
      <c r="S1184" s="142" t="s">
        <v>3100</v>
      </c>
      <c r="T1184" s="141" t="s">
        <v>3116</v>
      </c>
      <c r="U1184" s="142" t="s">
        <v>3114</v>
      </c>
      <c r="V1184" s="142" t="s">
        <v>1019</v>
      </c>
      <c r="W1184" s="141">
        <f t="shared" si="37"/>
        <v>1</v>
      </c>
      <c r="X1184" s="143"/>
      <c r="Y1184" s="145"/>
      <c r="AA1184"/>
    </row>
    <row r="1185" spans="1:27" s="115" customFormat="1" ht="13.5" customHeight="1">
      <c r="A1185" s="139">
        <v>1113</v>
      </c>
      <c r="B1185" s="140" t="s">
        <v>5545</v>
      </c>
      <c r="C1185" s="141" t="s">
        <v>3078</v>
      </c>
      <c r="D1185" s="142" t="s">
        <v>3079</v>
      </c>
      <c r="E1185" s="141" t="s">
        <v>3080</v>
      </c>
      <c r="F1185" s="142" t="s">
        <v>3098</v>
      </c>
      <c r="G1185" s="141" t="s">
        <v>3099</v>
      </c>
      <c r="H1185" s="142" t="s">
        <v>3100</v>
      </c>
      <c r="I1185" s="141" t="s">
        <v>3101</v>
      </c>
      <c r="J1185" s="142" t="s">
        <v>3114</v>
      </c>
      <c r="K1185" s="142" t="s">
        <v>1020</v>
      </c>
      <c r="L1185" s="143">
        <f t="shared" si="36"/>
        <v>1</v>
      </c>
      <c r="M1185" s="144" t="s">
        <v>3117</v>
      </c>
      <c r="N1185" s="141" t="s">
        <v>3078</v>
      </c>
      <c r="O1185" s="142" t="s">
        <v>3079</v>
      </c>
      <c r="P1185" s="141" t="s">
        <v>3103</v>
      </c>
      <c r="Q1185" s="142" t="s">
        <v>3098</v>
      </c>
      <c r="R1185" s="141" t="s">
        <v>3104</v>
      </c>
      <c r="S1185" s="142" t="s">
        <v>3100</v>
      </c>
      <c r="T1185" s="141" t="s">
        <v>3116</v>
      </c>
      <c r="U1185" s="142" t="s">
        <v>3114</v>
      </c>
      <c r="V1185" s="142" t="s">
        <v>1020</v>
      </c>
      <c r="W1185" s="141">
        <f t="shared" si="37"/>
        <v>2</v>
      </c>
      <c r="X1185" s="143">
        <v>1</v>
      </c>
      <c r="Y1185" s="145"/>
      <c r="AA1185"/>
    </row>
    <row r="1186" spans="1:27" s="115" customFormat="1" ht="13.5" customHeight="1">
      <c r="A1186" s="139">
        <v>1114</v>
      </c>
      <c r="B1186" s="140" t="s">
        <v>5546</v>
      </c>
      <c r="C1186" s="141" t="s">
        <v>3078</v>
      </c>
      <c r="D1186" s="142" t="s">
        <v>3079</v>
      </c>
      <c r="E1186" s="141" t="s">
        <v>3080</v>
      </c>
      <c r="F1186" s="142" t="s">
        <v>3098</v>
      </c>
      <c r="G1186" s="141" t="s">
        <v>3099</v>
      </c>
      <c r="H1186" s="142" t="s">
        <v>3100</v>
      </c>
      <c r="I1186" s="141" t="s">
        <v>3101</v>
      </c>
      <c r="J1186" s="142" t="s">
        <v>1021</v>
      </c>
      <c r="K1186" s="142" t="s">
        <v>1021</v>
      </c>
      <c r="L1186" s="143">
        <f t="shared" si="36"/>
        <v>1</v>
      </c>
      <c r="M1186" s="144" t="s">
        <v>3118</v>
      </c>
      <c r="N1186" s="141" t="s">
        <v>3078</v>
      </c>
      <c r="O1186" s="142" t="s">
        <v>3079</v>
      </c>
      <c r="P1186" s="141" t="s">
        <v>3103</v>
      </c>
      <c r="Q1186" s="142" t="s">
        <v>3098</v>
      </c>
      <c r="R1186" s="141" t="s">
        <v>3104</v>
      </c>
      <c r="S1186" s="142" t="s">
        <v>3100</v>
      </c>
      <c r="T1186" s="141" t="s">
        <v>3119</v>
      </c>
      <c r="U1186" s="142" t="s">
        <v>1021</v>
      </c>
      <c r="V1186" s="142" t="s">
        <v>1021</v>
      </c>
      <c r="W1186" s="141">
        <f t="shared" si="37"/>
        <v>1</v>
      </c>
      <c r="X1186" s="143"/>
      <c r="Y1186" s="145"/>
      <c r="AA1186"/>
    </row>
    <row r="1187" spans="1:27" s="115" customFormat="1" ht="27" customHeight="1">
      <c r="A1187" s="139">
        <v>1115</v>
      </c>
      <c r="B1187" s="140" t="s">
        <v>5547</v>
      </c>
      <c r="C1187" s="141" t="s">
        <v>3078</v>
      </c>
      <c r="D1187" s="142" t="s">
        <v>3079</v>
      </c>
      <c r="E1187" s="141" t="s">
        <v>3080</v>
      </c>
      <c r="F1187" s="142" t="s">
        <v>3098</v>
      </c>
      <c r="G1187" s="141" t="s">
        <v>3099</v>
      </c>
      <c r="H1187" s="142" t="s">
        <v>3100</v>
      </c>
      <c r="I1187" s="141" t="s">
        <v>3101</v>
      </c>
      <c r="J1187" s="142" t="s">
        <v>248</v>
      </c>
      <c r="K1187" s="142" t="s">
        <v>1022</v>
      </c>
      <c r="L1187" s="143">
        <f t="shared" si="36"/>
        <v>1</v>
      </c>
      <c r="M1187" s="144" t="s">
        <v>3120</v>
      </c>
      <c r="N1187" s="141" t="s">
        <v>3078</v>
      </c>
      <c r="O1187" s="142" t="s">
        <v>3079</v>
      </c>
      <c r="P1187" s="141" t="s">
        <v>3103</v>
      </c>
      <c r="Q1187" s="142" t="s">
        <v>3098</v>
      </c>
      <c r="R1187" s="141" t="s">
        <v>3104</v>
      </c>
      <c r="S1187" s="142" t="s">
        <v>3100</v>
      </c>
      <c r="T1187" s="141" t="s">
        <v>3105</v>
      </c>
      <c r="U1187" s="142" t="s">
        <v>248</v>
      </c>
      <c r="V1187" s="142" t="s">
        <v>1022</v>
      </c>
      <c r="W1187" s="141">
        <f t="shared" si="37"/>
        <v>1</v>
      </c>
      <c r="X1187" s="143"/>
      <c r="Y1187" s="145"/>
      <c r="AA1187"/>
    </row>
    <row r="1188" spans="1:27" s="115" customFormat="1" ht="27" customHeight="1">
      <c r="A1188" s="139">
        <v>1116</v>
      </c>
      <c r="B1188" s="140" t="s">
        <v>5548</v>
      </c>
      <c r="C1188" s="141" t="s">
        <v>3078</v>
      </c>
      <c r="D1188" s="142" t="s">
        <v>3079</v>
      </c>
      <c r="E1188" s="141" t="s">
        <v>3080</v>
      </c>
      <c r="F1188" s="142" t="s">
        <v>3098</v>
      </c>
      <c r="G1188" s="141" t="s">
        <v>3099</v>
      </c>
      <c r="H1188" s="142" t="s">
        <v>3100</v>
      </c>
      <c r="I1188" s="141" t="s">
        <v>3101</v>
      </c>
      <c r="J1188" s="142" t="s">
        <v>248</v>
      </c>
      <c r="K1188" s="142" t="s">
        <v>1023</v>
      </c>
      <c r="L1188" s="143">
        <f t="shared" si="36"/>
        <v>1</v>
      </c>
      <c r="M1188" s="144" t="s">
        <v>3121</v>
      </c>
      <c r="N1188" s="141" t="s">
        <v>3078</v>
      </c>
      <c r="O1188" s="142" t="s">
        <v>3079</v>
      </c>
      <c r="P1188" s="141" t="s">
        <v>3103</v>
      </c>
      <c r="Q1188" s="142" t="s">
        <v>3098</v>
      </c>
      <c r="R1188" s="141" t="s">
        <v>3104</v>
      </c>
      <c r="S1188" s="142" t="s">
        <v>3100</v>
      </c>
      <c r="T1188" s="141" t="s">
        <v>3105</v>
      </c>
      <c r="U1188" s="142" t="s">
        <v>248</v>
      </c>
      <c r="V1188" s="142" t="s">
        <v>1023</v>
      </c>
      <c r="W1188" s="141">
        <f t="shared" si="37"/>
        <v>1</v>
      </c>
      <c r="X1188" s="143"/>
      <c r="Y1188" s="145"/>
      <c r="AA1188"/>
    </row>
    <row r="1189" spans="1:27" s="115" customFormat="1" ht="13.5" customHeight="1">
      <c r="A1189" s="139">
        <v>1117</v>
      </c>
      <c r="B1189" s="140" t="s">
        <v>5549</v>
      </c>
      <c r="C1189" s="141" t="s">
        <v>3078</v>
      </c>
      <c r="D1189" s="142" t="s">
        <v>3079</v>
      </c>
      <c r="E1189" s="141" t="s">
        <v>3080</v>
      </c>
      <c r="F1189" s="142" t="s">
        <v>3098</v>
      </c>
      <c r="G1189" s="141" t="s">
        <v>3099</v>
      </c>
      <c r="H1189" s="142" t="s">
        <v>3100</v>
      </c>
      <c r="I1189" s="141" t="s">
        <v>3101</v>
      </c>
      <c r="J1189" s="142" t="s">
        <v>248</v>
      </c>
      <c r="K1189" s="142" t="s">
        <v>1024</v>
      </c>
      <c r="L1189" s="143">
        <f t="shared" si="36"/>
        <v>1</v>
      </c>
      <c r="M1189" s="144" t="s">
        <v>3122</v>
      </c>
      <c r="N1189" s="141" t="s">
        <v>3078</v>
      </c>
      <c r="O1189" s="142" t="s">
        <v>3079</v>
      </c>
      <c r="P1189" s="141" t="s">
        <v>3103</v>
      </c>
      <c r="Q1189" s="142" t="s">
        <v>3098</v>
      </c>
      <c r="R1189" s="141" t="s">
        <v>3104</v>
      </c>
      <c r="S1189" s="142" t="s">
        <v>3100</v>
      </c>
      <c r="T1189" s="141" t="s">
        <v>3105</v>
      </c>
      <c r="U1189" s="142" t="s">
        <v>248</v>
      </c>
      <c r="V1189" s="142" t="s">
        <v>1024</v>
      </c>
      <c r="W1189" s="141">
        <f t="shared" si="37"/>
        <v>1</v>
      </c>
      <c r="X1189" s="143"/>
      <c r="Y1189" s="145"/>
      <c r="AA1189"/>
    </row>
    <row r="1190" spans="1:27" s="115" customFormat="1" ht="13.5" customHeight="1">
      <c r="A1190" s="139">
        <v>1118</v>
      </c>
      <c r="B1190" s="140" t="s">
        <v>5550</v>
      </c>
      <c r="C1190" s="141" t="s">
        <v>3078</v>
      </c>
      <c r="D1190" s="142" t="s">
        <v>3079</v>
      </c>
      <c r="E1190" s="141" t="s">
        <v>3080</v>
      </c>
      <c r="F1190" s="142" t="s">
        <v>3098</v>
      </c>
      <c r="G1190" s="141" t="s">
        <v>3099</v>
      </c>
      <c r="H1190" s="142" t="s">
        <v>3100</v>
      </c>
      <c r="I1190" s="141" t="s">
        <v>3101</v>
      </c>
      <c r="J1190" s="142" t="s">
        <v>3106</v>
      </c>
      <c r="K1190" s="142" t="s">
        <v>1025</v>
      </c>
      <c r="L1190" s="143">
        <f t="shared" si="36"/>
        <v>1</v>
      </c>
      <c r="M1190" s="144" t="s">
        <v>3123</v>
      </c>
      <c r="N1190" s="141" t="s">
        <v>3078</v>
      </c>
      <c r="O1190" s="142" t="s">
        <v>3079</v>
      </c>
      <c r="P1190" s="141" t="s">
        <v>3103</v>
      </c>
      <c r="Q1190" s="142" t="s">
        <v>3098</v>
      </c>
      <c r="R1190" s="141" t="s">
        <v>3104</v>
      </c>
      <c r="S1190" s="142" t="s">
        <v>3100</v>
      </c>
      <c r="T1190" s="141" t="s">
        <v>3108</v>
      </c>
      <c r="U1190" s="142" t="s">
        <v>3106</v>
      </c>
      <c r="V1190" s="142" t="s">
        <v>1025</v>
      </c>
      <c r="W1190" s="141">
        <f t="shared" si="37"/>
        <v>1</v>
      </c>
      <c r="X1190" s="143"/>
      <c r="Y1190" s="145"/>
      <c r="AA1190"/>
    </row>
    <row r="1191" spans="1:27" s="115" customFormat="1" ht="13.5" customHeight="1">
      <c r="A1191" s="139">
        <v>1119</v>
      </c>
      <c r="B1191" s="140" t="s">
        <v>5551</v>
      </c>
      <c r="C1191" s="141" t="s">
        <v>3078</v>
      </c>
      <c r="D1191" s="142" t="s">
        <v>3079</v>
      </c>
      <c r="E1191" s="141" t="s">
        <v>3080</v>
      </c>
      <c r="F1191" s="142" t="s">
        <v>3098</v>
      </c>
      <c r="G1191" s="141" t="s">
        <v>3099</v>
      </c>
      <c r="H1191" s="142" t="s">
        <v>3100</v>
      </c>
      <c r="I1191" s="141" t="s">
        <v>3101</v>
      </c>
      <c r="J1191" s="142" t="s">
        <v>3114</v>
      </c>
      <c r="K1191" s="142" t="s">
        <v>1026</v>
      </c>
      <c r="L1191" s="143">
        <f t="shared" si="36"/>
        <v>1</v>
      </c>
      <c r="M1191" s="144" t="s">
        <v>3124</v>
      </c>
      <c r="N1191" s="141" t="s">
        <v>3078</v>
      </c>
      <c r="O1191" s="142" t="s">
        <v>3079</v>
      </c>
      <c r="P1191" s="141" t="s">
        <v>3103</v>
      </c>
      <c r="Q1191" s="142" t="s">
        <v>3098</v>
      </c>
      <c r="R1191" s="141" t="s">
        <v>3104</v>
      </c>
      <c r="S1191" s="142" t="s">
        <v>3100</v>
      </c>
      <c r="T1191" s="141" t="s">
        <v>3116</v>
      </c>
      <c r="U1191" s="142" t="s">
        <v>3114</v>
      </c>
      <c r="V1191" s="142" t="s">
        <v>1026</v>
      </c>
      <c r="W1191" s="141">
        <f t="shared" si="37"/>
        <v>2</v>
      </c>
      <c r="X1191" s="143">
        <v>1</v>
      </c>
      <c r="Y1191" s="145"/>
      <c r="AA1191"/>
    </row>
    <row r="1192" spans="1:27" s="115" customFormat="1" ht="13.5" customHeight="1">
      <c r="A1192" s="139">
        <v>1120</v>
      </c>
      <c r="B1192" s="140" t="s">
        <v>5552</v>
      </c>
      <c r="C1192" s="141" t="s">
        <v>3078</v>
      </c>
      <c r="D1192" s="142" t="s">
        <v>3079</v>
      </c>
      <c r="E1192" s="141" t="s">
        <v>3080</v>
      </c>
      <c r="F1192" s="142" t="s">
        <v>3098</v>
      </c>
      <c r="G1192" s="141" t="s">
        <v>3099</v>
      </c>
      <c r="H1192" s="142" t="s">
        <v>3100</v>
      </c>
      <c r="I1192" s="141" t="s">
        <v>3101</v>
      </c>
      <c r="J1192" s="142" t="s">
        <v>3114</v>
      </c>
      <c r="K1192" s="142" t="s">
        <v>1020</v>
      </c>
      <c r="L1192" s="143">
        <f t="shared" si="36"/>
        <v>1</v>
      </c>
      <c r="M1192" s="144" t="s">
        <v>3117</v>
      </c>
      <c r="N1192" s="141" t="s">
        <v>3078</v>
      </c>
      <c r="O1192" s="142" t="s">
        <v>3079</v>
      </c>
      <c r="P1192" s="141" t="s">
        <v>3103</v>
      </c>
      <c r="Q1192" s="142" t="s">
        <v>3098</v>
      </c>
      <c r="R1192" s="141" t="s">
        <v>3104</v>
      </c>
      <c r="S1192" s="142" t="s">
        <v>3100</v>
      </c>
      <c r="T1192" s="141" t="s">
        <v>3116</v>
      </c>
      <c r="U1192" s="142" t="s">
        <v>3114</v>
      </c>
      <c r="V1192" s="142" t="s">
        <v>1020</v>
      </c>
      <c r="W1192" s="141">
        <f t="shared" si="37"/>
        <v>2</v>
      </c>
      <c r="X1192" s="143"/>
      <c r="Y1192" s="145" t="s">
        <v>3125</v>
      </c>
      <c r="AA1192"/>
    </row>
    <row r="1193" spans="1:27" s="115" customFormat="1" ht="13.5" customHeight="1">
      <c r="A1193" s="139">
        <v>1121</v>
      </c>
      <c r="B1193" s="140" t="s">
        <v>5553</v>
      </c>
      <c r="C1193" s="141" t="s">
        <v>3078</v>
      </c>
      <c r="D1193" s="142" t="s">
        <v>3079</v>
      </c>
      <c r="E1193" s="141" t="s">
        <v>3080</v>
      </c>
      <c r="F1193" s="142" t="s">
        <v>3098</v>
      </c>
      <c r="G1193" s="141" t="s">
        <v>3099</v>
      </c>
      <c r="H1193" s="142" t="s">
        <v>3100</v>
      </c>
      <c r="I1193" s="141" t="s">
        <v>3101</v>
      </c>
      <c r="J1193" s="142" t="s">
        <v>3114</v>
      </c>
      <c r="K1193" s="142" t="s">
        <v>1027</v>
      </c>
      <c r="L1193" s="143">
        <f t="shared" si="36"/>
        <v>1</v>
      </c>
      <c r="M1193" s="144" t="s">
        <v>3126</v>
      </c>
      <c r="N1193" s="141" t="s">
        <v>3078</v>
      </c>
      <c r="O1193" s="142" t="s">
        <v>3079</v>
      </c>
      <c r="P1193" s="141" t="s">
        <v>3103</v>
      </c>
      <c r="Q1193" s="142" t="s">
        <v>3098</v>
      </c>
      <c r="R1193" s="141" t="s">
        <v>3104</v>
      </c>
      <c r="S1193" s="142" t="s">
        <v>3100</v>
      </c>
      <c r="T1193" s="141" t="s">
        <v>3116</v>
      </c>
      <c r="U1193" s="142" t="s">
        <v>3114</v>
      </c>
      <c r="V1193" s="142" t="s">
        <v>1027</v>
      </c>
      <c r="W1193" s="141">
        <f t="shared" si="37"/>
        <v>2</v>
      </c>
      <c r="X1193" s="143">
        <v>1</v>
      </c>
      <c r="Y1193" s="145"/>
      <c r="AA1193"/>
    </row>
    <row r="1194" spans="1:27" s="115" customFormat="1" ht="27" customHeight="1">
      <c r="A1194" s="139">
        <v>1122</v>
      </c>
      <c r="B1194" s="140" t="s">
        <v>5554</v>
      </c>
      <c r="C1194" s="141" t="s">
        <v>3078</v>
      </c>
      <c r="D1194" s="142" t="s">
        <v>3079</v>
      </c>
      <c r="E1194" s="141" t="s">
        <v>3080</v>
      </c>
      <c r="F1194" s="142" t="s">
        <v>3098</v>
      </c>
      <c r="G1194" s="141" t="s">
        <v>3099</v>
      </c>
      <c r="H1194" s="142" t="s">
        <v>3127</v>
      </c>
      <c r="I1194" s="141" t="s">
        <v>3128</v>
      </c>
      <c r="J1194" s="142" t="s">
        <v>3129</v>
      </c>
      <c r="K1194" s="142" t="s">
        <v>1028</v>
      </c>
      <c r="L1194" s="143">
        <f t="shared" si="36"/>
        <v>1</v>
      </c>
      <c r="M1194" s="144" t="s">
        <v>3130</v>
      </c>
      <c r="N1194" s="141" t="s">
        <v>3078</v>
      </c>
      <c r="O1194" s="142" t="s">
        <v>3079</v>
      </c>
      <c r="P1194" s="141" t="s">
        <v>3103</v>
      </c>
      <c r="Q1194" s="142" t="s">
        <v>3098</v>
      </c>
      <c r="R1194" s="141" t="s">
        <v>3131</v>
      </c>
      <c r="S1194" s="142" t="s">
        <v>3127</v>
      </c>
      <c r="T1194" s="141" t="s">
        <v>3132</v>
      </c>
      <c r="U1194" s="142" t="s">
        <v>3129</v>
      </c>
      <c r="V1194" s="142" t="s">
        <v>1028</v>
      </c>
      <c r="W1194" s="141">
        <f t="shared" si="37"/>
        <v>5</v>
      </c>
      <c r="X1194" s="143">
        <v>2</v>
      </c>
      <c r="Y1194" s="145" t="s">
        <v>3133</v>
      </c>
      <c r="AA1194"/>
    </row>
    <row r="1195" spans="1:27" s="115" customFormat="1" ht="27" customHeight="1">
      <c r="A1195" s="139">
        <v>1123</v>
      </c>
      <c r="B1195" s="140" t="s">
        <v>5555</v>
      </c>
      <c r="C1195" s="141" t="s">
        <v>3078</v>
      </c>
      <c r="D1195" s="142" t="s">
        <v>3079</v>
      </c>
      <c r="E1195" s="141" t="s">
        <v>3080</v>
      </c>
      <c r="F1195" s="142" t="s">
        <v>3098</v>
      </c>
      <c r="G1195" s="141" t="s">
        <v>3099</v>
      </c>
      <c r="H1195" s="142" t="s">
        <v>3127</v>
      </c>
      <c r="I1195" s="141" t="s">
        <v>3128</v>
      </c>
      <c r="J1195" s="142" t="s">
        <v>3129</v>
      </c>
      <c r="K1195" s="142" t="s">
        <v>1028</v>
      </c>
      <c r="L1195" s="143">
        <f t="shared" si="36"/>
        <v>1</v>
      </c>
      <c r="M1195" s="144" t="s">
        <v>3130</v>
      </c>
      <c r="N1195" s="141" t="s">
        <v>3078</v>
      </c>
      <c r="O1195" s="142" t="s">
        <v>3079</v>
      </c>
      <c r="P1195" s="141" t="s">
        <v>3103</v>
      </c>
      <c r="Q1195" s="142" t="s">
        <v>3098</v>
      </c>
      <c r="R1195" s="141" t="s">
        <v>3131</v>
      </c>
      <c r="S1195" s="142" t="s">
        <v>3127</v>
      </c>
      <c r="T1195" s="141" t="s">
        <v>3132</v>
      </c>
      <c r="U1195" s="142" t="s">
        <v>3129</v>
      </c>
      <c r="V1195" s="142" t="s">
        <v>1028</v>
      </c>
      <c r="W1195" s="141">
        <f t="shared" si="37"/>
        <v>5</v>
      </c>
      <c r="X1195" s="143">
        <v>2</v>
      </c>
      <c r="Y1195" s="145" t="s">
        <v>3134</v>
      </c>
      <c r="AA1195"/>
    </row>
    <row r="1196" spans="1:27" s="115" customFormat="1" ht="27" customHeight="1">
      <c r="A1196" s="139">
        <v>1124</v>
      </c>
      <c r="B1196" s="140" t="s">
        <v>5556</v>
      </c>
      <c r="C1196" s="141" t="s">
        <v>3078</v>
      </c>
      <c r="D1196" s="142" t="s">
        <v>3079</v>
      </c>
      <c r="E1196" s="141" t="s">
        <v>3080</v>
      </c>
      <c r="F1196" s="142" t="s">
        <v>3098</v>
      </c>
      <c r="G1196" s="141" t="s">
        <v>3099</v>
      </c>
      <c r="H1196" s="142" t="s">
        <v>3127</v>
      </c>
      <c r="I1196" s="141" t="s">
        <v>3128</v>
      </c>
      <c r="J1196" s="142" t="s">
        <v>3129</v>
      </c>
      <c r="K1196" s="142" t="s">
        <v>1029</v>
      </c>
      <c r="L1196" s="143">
        <f t="shared" si="36"/>
        <v>1</v>
      </c>
      <c r="M1196" s="144" t="s">
        <v>3135</v>
      </c>
      <c r="N1196" s="141" t="s">
        <v>3078</v>
      </c>
      <c r="O1196" s="142" t="s">
        <v>3079</v>
      </c>
      <c r="P1196" s="141" t="s">
        <v>3103</v>
      </c>
      <c r="Q1196" s="142" t="s">
        <v>3098</v>
      </c>
      <c r="R1196" s="141" t="s">
        <v>3131</v>
      </c>
      <c r="S1196" s="142" t="s">
        <v>3127</v>
      </c>
      <c r="T1196" s="141" t="s">
        <v>3132</v>
      </c>
      <c r="U1196" s="142" t="s">
        <v>3129</v>
      </c>
      <c r="V1196" s="142" t="s">
        <v>1029</v>
      </c>
      <c r="W1196" s="141">
        <f t="shared" si="37"/>
        <v>2</v>
      </c>
      <c r="X1196" s="143"/>
      <c r="Y1196" s="145"/>
      <c r="AA1196"/>
    </row>
    <row r="1197" spans="1:27" s="115" customFormat="1" ht="27" customHeight="1">
      <c r="A1197" s="139">
        <v>1125</v>
      </c>
      <c r="B1197" s="140" t="s">
        <v>5557</v>
      </c>
      <c r="C1197" s="141" t="s">
        <v>3078</v>
      </c>
      <c r="D1197" s="142" t="s">
        <v>3079</v>
      </c>
      <c r="E1197" s="141" t="s">
        <v>3080</v>
      </c>
      <c r="F1197" s="142" t="s">
        <v>3098</v>
      </c>
      <c r="G1197" s="141" t="s">
        <v>3099</v>
      </c>
      <c r="H1197" s="142" t="s">
        <v>3127</v>
      </c>
      <c r="I1197" s="141" t="s">
        <v>3128</v>
      </c>
      <c r="J1197" s="142" t="s">
        <v>3129</v>
      </c>
      <c r="K1197" s="142" t="s">
        <v>1028</v>
      </c>
      <c r="L1197" s="143">
        <f t="shared" si="36"/>
        <v>1</v>
      </c>
      <c r="M1197" s="144" t="s">
        <v>3130</v>
      </c>
      <c r="N1197" s="141" t="s">
        <v>3078</v>
      </c>
      <c r="O1197" s="142" t="s">
        <v>3079</v>
      </c>
      <c r="P1197" s="141" t="s">
        <v>3103</v>
      </c>
      <c r="Q1197" s="142" t="s">
        <v>3098</v>
      </c>
      <c r="R1197" s="141" t="s">
        <v>3131</v>
      </c>
      <c r="S1197" s="142" t="s">
        <v>3127</v>
      </c>
      <c r="T1197" s="141" t="s">
        <v>3132</v>
      </c>
      <c r="U1197" s="142" t="s">
        <v>3129</v>
      </c>
      <c r="V1197" s="142" t="s">
        <v>1028</v>
      </c>
      <c r="W1197" s="141">
        <f t="shared" si="37"/>
        <v>5</v>
      </c>
      <c r="X1197" s="143">
        <v>2</v>
      </c>
      <c r="Y1197" s="145" t="s">
        <v>3136</v>
      </c>
      <c r="AA1197"/>
    </row>
    <row r="1198" spans="1:27" s="115" customFormat="1" ht="27" customHeight="1">
      <c r="A1198" s="139">
        <v>1126</v>
      </c>
      <c r="B1198" s="140" t="s">
        <v>5558</v>
      </c>
      <c r="C1198" s="141" t="s">
        <v>3078</v>
      </c>
      <c r="D1198" s="142" t="s">
        <v>3079</v>
      </c>
      <c r="E1198" s="141" t="s">
        <v>3080</v>
      </c>
      <c r="F1198" s="142" t="s">
        <v>3098</v>
      </c>
      <c r="G1198" s="141" t="s">
        <v>3099</v>
      </c>
      <c r="H1198" s="142" t="s">
        <v>3127</v>
      </c>
      <c r="I1198" s="141" t="s">
        <v>3128</v>
      </c>
      <c r="J1198" s="142" t="s">
        <v>3129</v>
      </c>
      <c r="K1198" s="142" t="s">
        <v>1030</v>
      </c>
      <c r="L1198" s="143">
        <f t="shared" si="36"/>
        <v>1</v>
      </c>
      <c r="M1198" s="144" t="s">
        <v>3137</v>
      </c>
      <c r="N1198" s="141" t="s">
        <v>3078</v>
      </c>
      <c r="O1198" s="142" t="s">
        <v>3079</v>
      </c>
      <c r="P1198" s="141" t="s">
        <v>3103</v>
      </c>
      <c r="Q1198" s="142" t="s">
        <v>3098</v>
      </c>
      <c r="R1198" s="141" t="s">
        <v>3131</v>
      </c>
      <c r="S1198" s="142" t="s">
        <v>3127</v>
      </c>
      <c r="T1198" s="141" t="s">
        <v>3132</v>
      </c>
      <c r="U1198" s="142" t="s">
        <v>3129</v>
      </c>
      <c r="V1198" s="142" t="s">
        <v>1030</v>
      </c>
      <c r="W1198" s="141">
        <f t="shared" si="37"/>
        <v>2</v>
      </c>
      <c r="X1198" s="143"/>
      <c r="Y1198" s="145"/>
      <c r="AA1198"/>
    </row>
    <row r="1199" spans="1:27" s="115" customFormat="1" ht="27" customHeight="1">
      <c r="A1199" s="139">
        <v>1127</v>
      </c>
      <c r="B1199" s="140" t="s">
        <v>5559</v>
      </c>
      <c r="C1199" s="141" t="s">
        <v>3078</v>
      </c>
      <c r="D1199" s="142" t="s">
        <v>3079</v>
      </c>
      <c r="E1199" s="141" t="s">
        <v>3080</v>
      </c>
      <c r="F1199" s="142" t="s">
        <v>3098</v>
      </c>
      <c r="G1199" s="141" t="s">
        <v>3099</v>
      </c>
      <c r="H1199" s="142" t="s">
        <v>3127</v>
      </c>
      <c r="I1199" s="141" t="s">
        <v>3128</v>
      </c>
      <c r="J1199" s="142" t="s">
        <v>3129</v>
      </c>
      <c r="K1199" s="142" t="s">
        <v>1028</v>
      </c>
      <c r="L1199" s="143">
        <f t="shared" ref="L1199:L1265" si="38">COUNTIF($B$5:$B$1752,B1199)</f>
        <v>1</v>
      </c>
      <c r="M1199" s="144" t="s">
        <v>3130</v>
      </c>
      <c r="N1199" s="141" t="s">
        <v>3078</v>
      </c>
      <c r="O1199" s="142" t="s">
        <v>3079</v>
      </c>
      <c r="P1199" s="141" t="s">
        <v>3103</v>
      </c>
      <c r="Q1199" s="142" t="s">
        <v>3098</v>
      </c>
      <c r="R1199" s="141" t="s">
        <v>3131</v>
      </c>
      <c r="S1199" s="142" t="s">
        <v>3127</v>
      </c>
      <c r="T1199" s="141" t="s">
        <v>3132</v>
      </c>
      <c r="U1199" s="142" t="s">
        <v>3129</v>
      </c>
      <c r="V1199" s="142" t="s">
        <v>1028</v>
      </c>
      <c r="W1199" s="141">
        <f t="shared" si="37"/>
        <v>5</v>
      </c>
      <c r="X1199" s="143">
        <v>2</v>
      </c>
      <c r="Y1199" s="145" t="s">
        <v>3138</v>
      </c>
      <c r="AA1199"/>
    </row>
    <row r="1200" spans="1:27" s="115" customFormat="1" ht="27" customHeight="1">
      <c r="A1200" s="139">
        <v>1128</v>
      </c>
      <c r="B1200" s="140" t="s">
        <v>5560</v>
      </c>
      <c r="C1200" s="141" t="s">
        <v>3078</v>
      </c>
      <c r="D1200" s="142" t="s">
        <v>3079</v>
      </c>
      <c r="E1200" s="141" t="s">
        <v>3080</v>
      </c>
      <c r="F1200" s="142" t="s">
        <v>3098</v>
      </c>
      <c r="G1200" s="141" t="s">
        <v>3099</v>
      </c>
      <c r="H1200" s="142" t="s">
        <v>3127</v>
      </c>
      <c r="I1200" s="141" t="s">
        <v>3128</v>
      </c>
      <c r="J1200" s="142" t="s">
        <v>3129</v>
      </c>
      <c r="K1200" s="142" t="s">
        <v>3139</v>
      </c>
      <c r="L1200" s="143">
        <f t="shared" si="38"/>
        <v>1</v>
      </c>
      <c r="M1200" s="144">
        <v>56219</v>
      </c>
      <c r="N1200" s="141" t="s">
        <v>3078</v>
      </c>
      <c r="O1200" s="142" t="s">
        <v>3079</v>
      </c>
      <c r="P1200" s="141" t="s">
        <v>3103</v>
      </c>
      <c r="Q1200" s="142" t="s">
        <v>3098</v>
      </c>
      <c r="R1200" s="141" t="s">
        <v>3131</v>
      </c>
      <c r="S1200" s="142" t="s">
        <v>3127</v>
      </c>
      <c r="T1200" s="141" t="s">
        <v>3132</v>
      </c>
      <c r="U1200" s="142" t="s">
        <v>3129</v>
      </c>
      <c r="V1200" s="142" t="s">
        <v>3139</v>
      </c>
      <c r="W1200" s="141">
        <f t="shared" si="37"/>
        <v>5</v>
      </c>
      <c r="X1200" s="143"/>
      <c r="Y1200" s="145" t="s">
        <v>3140</v>
      </c>
      <c r="AA1200"/>
    </row>
    <row r="1201" spans="1:27" s="115" customFormat="1" ht="27" customHeight="1">
      <c r="A1201" s="139">
        <v>1129</v>
      </c>
      <c r="B1201" s="140" t="s">
        <v>5561</v>
      </c>
      <c r="C1201" s="141" t="s">
        <v>3078</v>
      </c>
      <c r="D1201" s="142" t="s">
        <v>3079</v>
      </c>
      <c r="E1201" s="141" t="s">
        <v>3080</v>
      </c>
      <c r="F1201" s="142" t="s">
        <v>3098</v>
      </c>
      <c r="G1201" s="141" t="s">
        <v>3099</v>
      </c>
      <c r="H1201" s="142" t="s">
        <v>3127</v>
      </c>
      <c r="I1201" s="141" t="s">
        <v>3128</v>
      </c>
      <c r="J1201" s="142" t="s">
        <v>3129</v>
      </c>
      <c r="K1201" s="142" t="s">
        <v>252</v>
      </c>
      <c r="L1201" s="143">
        <f t="shared" si="38"/>
        <v>1</v>
      </c>
      <c r="M1201" s="144" t="s">
        <v>3141</v>
      </c>
      <c r="N1201" s="141" t="s">
        <v>3078</v>
      </c>
      <c r="O1201" s="142" t="s">
        <v>3079</v>
      </c>
      <c r="P1201" s="141" t="s">
        <v>3103</v>
      </c>
      <c r="Q1201" s="142" t="s">
        <v>3098</v>
      </c>
      <c r="R1201" s="141" t="s">
        <v>3131</v>
      </c>
      <c r="S1201" s="142" t="s">
        <v>3127</v>
      </c>
      <c r="T1201" s="141" t="s">
        <v>3132</v>
      </c>
      <c r="U1201" s="142" t="s">
        <v>3129</v>
      </c>
      <c r="V1201" s="142" t="s">
        <v>252</v>
      </c>
      <c r="W1201" s="141">
        <f t="shared" si="37"/>
        <v>5</v>
      </c>
      <c r="X1201" s="143"/>
      <c r="Y1201" s="145" t="s">
        <v>3142</v>
      </c>
      <c r="AA1201"/>
    </row>
    <row r="1202" spans="1:27" s="115" customFormat="1" ht="27" customHeight="1">
      <c r="A1202" s="139">
        <v>1130</v>
      </c>
      <c r="B1202" s="140" t="s">
        <v>5562</v>
      </c>
      <c r="C1202" s="141" t="s">
        <v>3078</v>
      </c>
      <c r="D1202" s="142" t="s">
        <v>3079</v>
      </c>
      <c r="E1202" s="141" t="s">
        <v>3080</v>
      </c>
      <c r="F1202" s="142" t="s">
        <v>3098</v>
      </c>
      <c r="G1202" s="141" t="s">
        <v>3099</v>
      </c>
      <c r="H1202" s="142" t="s">
        <v>3127</v>
      </c>
      <c r="I1202" s="141" t="s">
        <v>3128</v>
      </c>
      <c r="J1202" s="142" t="s">
        <v>3129</v>
      </c>
      <c r="K1202" s="142" t="s">
        <v>252</v>
      </c>
      <c r="L1202" s="143">
        <f t="shared" si="38"/>
        <v>1</v>
      </c>
      <c r="M1202" s="144" t="s">
        <v>3141</v>
      </c>
      <c r="N1202" s="141" t="s">
        <v>3078</v>
      </c>
      <c r="O1202" s="142" t="s">
        <v>3079</v>
      </c>
      <c r="P1202" s="141" t="s">
        <v>3103</v>
      </c>
      <c r="Q1202" s="142" t="s">
        <v>3098</v>
      </c>
      <c r="R1202" s="141" t="s">
        <v>3131</v>
      </c>
      <c r="S1202" s="142" t="s">
        <v>3127</v>
      </c>
      <c r="T1202" s="141" t="s">
        <v>3132</v>
      </c>
      <c r="U1202" s="142" t="s">
        <v>3129</v>
      </c>
      <c r="V1202" s="142" t="s">
        <v>252</v>
      </c>
      <c r="W1202" s="141">
        <f t="shared" si="37"/>
        <v>5</v>
      </c>
      <c r="X1202" s="143">
        <v>1</v>
      </c>
      <c r="Y1202" s="145"/>
      <c r="AA1202"/>
    </row>
    <row r="1203" spans="1:27" s="115" customFormat="1" ht="27" customHeight="1">
      <c r="A1203" s="139">
        <v>1131</v>
      </c>
      <c r="B1203" s="140" t="s">
        <v>5563</v>
      </c>
      <c r="C1203" s="141" t="s">
        <v>3078</v>
      </c>
      <c r="D1203" s="142" t="s">
        <v>3079</v>
      </c>
      <c r="E1203" s="141" t="s">
        <v>3080</v>
      </c>
      <c r="F1203" s="142" t="s">
        <v>3098</v>
      </c>
      <c r="G1203" s="141" t="s">
        <v>3099</v>
      </c>
      <c r="H1203" s="142" t="s">
        <v>3127</v>
      </c>
      <c r="I1203" s="141" t="s">
        <v>3128</v>
      </c>
      <c r="J1203" s="142" t="s">
        <v>3129</v>
      </c>
      <c r="K1203" s="142" t="s">
        <v>252</v>
      </c>
      <c r="L1203" s="143">
        <f t="shared" si="38"/>
        <v>1</v>
      </c>
      <c r="M1203" s="144" t="s">
        <v>3141</v>
      </c>
      <c r="N1203" s="141" t="s">
        <v>3078</v>
      </c>
      <c r="O1203" s="142" t="s">
        <v>3079</v>
      </c>
      <c r="P1203" s="141" t="s">
        <v>3103</v>
      </c>
      <c r="Q1203" s="142" t="s">
        <v>3098</v>
      </c>
      <c r="R1203" s="141" t="s">
        <v>3131</v>
      </c>
      <c r="S1203" s="142" t="s">
        <v>3127</v>
      </c>
      <c r="T1203" s="141" t="s">
        <v>3132</v>
      </c>
      <c r="U1203" s="142" t="s">
        <v>3129</v>
      </c>
      <c r="V1203" s="142" t="s">
        <v>252</v>
      </c>
      <c r="W1203" s="141">
        <f t="shared" si="37"/>
        <v>5</v>
      </c>
      <c r="X1203" s="143"/>
      <c r="Y1203" s="145" t="s">
        <v>3143</v>
      </c>
      <c r="AA1203"/>
    </row>
    <row r="1204" spans="1:27" s="115" customFormat="1" ht="27" customHeight="1">
      <c r="A1204" s="139">
        <v>1132</v>
      </c>
      <c r="B1204" s="140" t="s">
        <v>6070</v>
      </c>
      <c r="C1204" s="141" t="s">
        <v>3078</v>
      </c>
      <c r="D1204" s="142" t="s">
        <v>3079</v>
      </c>
      <c r="E1204" s="141" t="s">
        <v>3080</v>
      </c>
      <c r="F1204" s="142" t="s">
        <v>3098</v>
      </c>
      <c r="G1204" s="141" t="s">
        <v>3099</v>
      </c>
      <c r="H1204" s="142" t="s">
        <v>3127</v>
      </c>
      <c r="I1204" s="141" t="s">
        <v>3128</v>
      </c>
      <c r="J1204" s="142" t="s">
        <v>3129</v>
      </c>
      <c r="K1204" s="142" t="s">
        <v>252</v>
      </c>
      <c r="L1204" s="143">
        <f t="shared" si="38"/>
        <v>4</v>
      </c>
      <c r="M1204" s="144" t="s">
        <v>3130</v>
      </c>
      <c r="N1204" s="141" t="s">
        <v>3078</v>
      </c>
      <c r="O1204" s="142" t="s">
        <v>3079</v>
      </c>
      <c r="P1204" s="141" t="s">
        <v>3103</v>
      </c>
      <c r="Q1204" s="142" t="s">
        <v>3098</v>
      </c>
      <c r="R1204" s="141" t="s">
        <v>3131</v>
      </c>
      <c r="S1204" s="142" t="s">
        <v>3127</v>
      </c>
      <c r="T1204" s="141" t="s">
        <v>3132</v>
      </c>
      <c r="U1204" s="142" t="s">
        <v>3129</v>
      </c>
      <c r="V1204" s="142" t="s">
        <v>1028</v>
      </c>
      <c r="W1204" s="141">
        <f t="shared" si="37"/>
        <v>5</v>
      </c>
      <c r="X1204" s="143"/>
      <c r="Y1204" s="145" t="s">
        <v>3144</v>
      </c>
      <c r="AA1204"/>
    </row>
    <row r="1205" spans="1:27" s="115" customFormat="1" ht="27" customHeight="1">
      <c r="A1205" s="139">
        <v>1132</v>
      </c>
      <c r="B1205" s="140" t="s">
        <v>6070</v>
      </c>
      <c r="C1205" s="141" t="s">
        <v>3078</v>
      </c>
      <c r="D1205" s="142" t="s">
        <v>3079</v>
      </c>
      <c r="E1205" s="141" t="s">
        <v>3080</v>
      </c>
      <c r="F1205" s="142" t="s">
        <v>3098</v>
      </c>
      <c r="G1205" s="141" t="s">
        <v>3099</v>
      </c>
      <c r="H1205" s="142" t="s">
        <v>3127</v>
      </c>
      <c r="I1205" s="141" t="s">
        <v>3128</v>
      </c>
      <c r="J1205" s="142" t="s">
        <v>3129</v>
      </c>
      <c r="K1205" s="142" t="s">
        <v>252</v>
      </c>
      <c r="L1205" s="143">
        <f t="shared" si="38"/>
        <v>4</v>
      </c>
      <c r="M1205" s="144" t="s">
        <v>3135</v>
      </c>
      <c r="N1205" s="141" t="s">
        <v>3078</v>
      </c>
      <c r="O1205" s="142" t="s">
        <v>3079</v>
      </c>
      <c r="P1205" s="141" t="s">
        <v>3103</v>
      </c>
      <c r="Q1205" s="142" t="s">
        <v>3098</v>
      </c>
      <c r="R1205" s="141" t="s">
        <v>3131</v>
      </c>
      <c r="S1205" s="142" t="s">
        <v>3127</v>
      </c>
      <c r="T1205" s="141" t="s">
        <v>3132</v>
      </c>
      <c r="U1205" s="142" t="s">
        <v>3129</v>
      </c>
      <c r="V1205" s="142" t="s">
        <v>1029</v>
      </c>
      <c r="W1205" s="141">
        <f t="shared" si="37"/>
        <v>2</v>
      </c>
      <c r="X1205" s="143"/>
      <c r="Y1205" s="145" t="s">
        <v>3144</v>
      </c>
      <c r="AA1205"/>
    </row>
    <row r="1206" spans="1:27" s="115" customFormat="1" ht="27" customHeight="1">
      <c r="A1206" s="139">
        <v>1132</v>
      </c>
      <c r="B1206" s="140" t="s">
        <v>6070</v>
      </c>
      <c r="C1206" s="141" t="s">
        <v>3078</v>
      </c>
      <c r="D1206" s="142" t="s">
        <v>3079</v>
      </c>
      <c r="E1206" s="141" t="s">
        <v>3080</v>
      </c>
      <c r="F1206" s="142" t="s">
        <v>3098</v>
      </c>
      <c r="G1206" s="141" t="s">
        <v>3099</v>
      </c>
      <c r="H1206" s="142" t="s">
        <v>3127</v>
      </c>
      <c r="I1206" s="141" t="s">
        <v>3128</v>
      </c>
      <c r="J1206" s="142" t="s">
        <v>3129</v>
      </c>
      <c r="K1206" s="142" t="s">
        <v>252</v>
      </c>
      <c r="L1206" s="143">
        <f t="shared" si="38"/>
        <v>4</v>
      </c>
      <c r="M1206" s="144" t="s">
        <v>3137</v>
      </c>
      <c r="N1206" s="141" t="s">
        <v>3078</v>
      </c>
      <c r="O1206" s="142" t="s">
        <v>3079</v>
      </c>
      <c r="P1206" s="141" t="s">
        <v>3103</v>
      </c>
      <c r="Q1206" s="142" t="s">
        <v>3098</v>
      </c>
      <c r="R1206" s="141" t="s">
        <v>3131</v>
      </c>
      <c r="S1206" s="142" t="s">
        <v>3127</v>
      </c>
      <c r="T1206" s="141" t="s">
        <v>3132</v>
      </c>
      <c r="U1206" s="142" t="s">
        <v>3129</v>
      </c>
      <c r="V1206" s="142" t="s">
        <v>1030</v>
      </c>
      <c r="W1206" s="141">
        <f t="shared" si="37"/>
        <v>2</v>
      </c>
      <c r="X1206" s="143"/>
      <c r="Y1206" s="145" t="s">
        <v>3144</v>
      </c>
      <c r="AA1206"/>
    </row>
    <row r="1207" spans="1:27" s="115" customFormat="1" ht="27" customHeight="1">
      <c r="A1207" s="139">
        <v>1132</v>
      </c>
      <c r="B1207" s="140" t="s">
        <v>6070</v>
      </c>
      <c r="C1207" s="141" t="s">
        <v>3078</v>
      </c>
      <c r="D1207" s="142" t="s">
        <v>3079</v>
      </c>
      <c r="E1207" s="141" t="s">
        <v>3080</v>
      </c>
      <c r="F1207" s="142" t="s">
        <v>3098</v>
      </c>
      <c r="G1207" s="141" t="s">
        <v>3099</v>
      </c>
      <c r="H1207" s="142" t="s">
        <v>3127</v>
      </c>
      <c r="I1207" s="141" t="s">
        <v>3128</v>
      </c>
      <c r="J1207" s="142" t="s">
        <v>3129</v>
      </c>
      <c r="K1207" s="142" t="s">
        <v>252</v>
      </c>
      <c r="L1207" s="143">
        <f t="shared" si="38"/>
        <v>4</v>
      </c>
      <c r="M1207" s="144" t="s">
        <v>3141</v>
      </c>
      <c r="N1207" s="141" t="s">
        <v>3078</v>
      </c>
      <c r="O1207" s="142" t="s">
        <v>3079</v>
      </c>
      <c r="P1207" s="141" t="s">
        <v>3103</v>
      </c>
      <c r="Q1207" s="142" t="s">
        <v>3098</v>
      </c>
      <c r="R1207" s="141" t="s">
        <v>3131</v>
      </c>
      <c r="S1207" s="142" t="s">
        <v>3127</v>
      </c>
      <c r="T1207" s="141" t="s">
        <v>3132</v>
      </c>
      <c r="U1207" s="142" t="s">
        <v>3129</v>
      </c>
      <c r="V1207" s="142" t="s">
        <v>252</v>
      </c>
      <c r="W1207" s="141">
        <f t="shared" si="37"/>
        <v>5</v>
      </c>
      <c r="X1207" s="143"/>
      <c r="Y1207" s="145" t="s">
        <v>3144</v>
      </c>
      <c r="AA1207"/>
    </row>
    <row r="1208" spans="1:27" s="115" customFormat="1" ht="27" customHeight="1">
      <c r="A1208" s="139">
        <v>1133</v>
      </c>
      <c r="B1208" s="140" t="s">
        <v>5564</v>
      </c>
      <c r="C1208" s="141" t="s">
        <v>3078</v>
      </c>
      <c r="D1208" s="142" t="s">
        <v>3079</v>
      </c>
      <c r="E1208" s="141" t="s">
        <v>3080</v>
      </c>
      <c r="F1208" s="142" t="s">
        <v>3098</v>
      </c>
      <c r="G1208" s="141" t="s">
        <v>3099</v>
      </c>
      <c r="H1208" s="142" t="s">
        <v>3100</v>
      </c>
      <c r="I1208" s="141" t="s">
        <v>3145</v>
      </c>
      <c r="J1208" s="142" t="s">
        <v>3114</v>
      </c>
      <c r="K1208" s="142" t="s">
        <v>253</v>
      </c>
      <c r="L1208" s="143">
        <f t="shared" si="38"/>
        <v>1</v>
      </c>
      <c r="M1208" s="144" t="s">
        <v>3146</v>
      </c>
      <c r="N1208" s="141" t="s">
        <v>3078</v>
      </c>
      <c r="O1208" s="142" t="s">
        <v>3079</v>
      </c>
      <c r="P1208" s="141" t="s">
        <v>3103</v>
      </c>
      <c r="Q1208" s="142" t="s">
        <v>3098</v>
      </c>
      <c r="R1208" s="141" t="s">
        <v>3104</v>
      </c>
      <c r="S1208" s="142" t="s">
        <v>3100</v>
      </c>
      <c r="T1208" s="141" t="s">
        <v>3116</v>
      </c>
      <c r="U1208" s="142" t="s">
        <v>3114</v>
      </c>
      <c r="V1208" s="142" t="s">
        <v>253</v>
      </c>
      <c r="W1208" s="141">
        <f t="shared" si="37"/>
        <v>1</v>
      </c>
      <c r="X1208" s="143"/>
      <c r="Y1208" s="145"/>
      <c r="AA1208"/>
    </row>
    <row r="1209" spans="1:27" s="115" customFormat="1" ht="27" customHeight="1">
      <c r="A1209" s="139">
        <v>1134</v>
      </c>
      <c r="B1209" s="140" t="s">
        <v>5565</v>
      </c>
      <c r="C1209" s="141" t="s">
        <v>3078</v>
      </c>
      <c r="D1209" s="142" t="s">
        <v>3079</v>
      </c>
      <c r="E1209" s="141" t="s">
        <v>3080</v>
      </c>
      <c r="F1209" s="142" t="s">
        <v>3098</v>
      </c>
      <c r="G1209" s="141" t="s">
        <v>3099</v>
      </c>
      <c r="H1209" s="142" t="s">
        <v>3127</v>
      </c>
      <c r="I1209" s="141" t="s">
        <v>3145</v>
      </c>
      <c r="J1209" s="142" t="s">
        <v>3147</v>
      </c>
      <c r="K1209" s="142" t="s">
        <v>1031</v>
      </c>
      <c r="L1209" s="143">
        <f t="shared" si="38"/>
        <v>1</v>
      </c>
      <c r="M1209" s="144" t="s">
        <v>3148</v>
      </c>
      <c r="N1209" s="146" t="s">
        <v>3078</v>
      </c>
      <c r="O1209" s="147" t="s">
        <v>3079</v>
      </c>
      <c r="P1209" s="146" t="s">
        <v>3103</v>
      </c>
      <c r="Q1209" s="147" t="s">
        <v>3098</v>
      </c>
      <c r="R1209" s="146" t="s">
        <v>3131</v>
      </c>
      <c r="S1209" s="147" t="s">
        <v>3127</v>
      </c>
      <c r="T1209" s="146" t="s">
        <v>3149</v>
      </c>
      <c r="U1209" s="147" t="s">
        <v>3147</v>
      </c>
      <c r="V1209" s="147" t="s">
        <v>1031</v>
      </c>
      <c r="W1209" s="141">
        <f t="shared" si="37"/>
        <v>2</v>
      </c>
      <c r="X1209" s="143"/>
      <c r="Y1209" s="145"/>
      <c r="AA1209"/>
    </row>
    <row r="1210" spans="1:27" s="115" customFormat="1" ht="27" customHeight="1">
      <c r="A1210" s="139">
        <v>1135</v>
      </c>
      <c r="B1210" s="140" t="s">
        <v>5566</v>
      </c>
      <c r="C1210" s="141" t="s">
        <v>3078</v>
      </c>
      <c r="D1210" s="142" t="s">
        <v>3079</v>
      </c>
      <c r="E1210" s="141" t="s">
        <v>3080</v>
      </c>
      <c r="F1210" s="142" t="s">
        <v>3098</v>
      </c>
      <c r="G1210" s="141" t="s">
        <v>3099</v>
      </c>
      <c r="H1210" s="142" t="s">
        <v>3100</v>
      </c>
      <c r="I1210" s="141" t="s">
        <v>3145</v>
      </c>
      <c r="J1210" s="142" t="s">
        <v>3114</v>
      </c>
      <c r="K1210" s="142" t="s">
        <v>1027</v>
      </c>
      <c r="L1210" s="143">
        <f t="shared" si="38"/>
        <v>1</v>
      </c>
      <c r="M1210" s="144" t="s">
        <v>3126</v>
      </c>
      <c r="N1210" s="141" t="s">
        <v>3078</v>
      </c>
      <c r="O1210" s="142" t="s">
        <v>3079</v>
      </c>
      <c r="P1210" s="141" t="s">
        <v>3103</v>
      </c>
      <c r="Q1210" s="142" t="s">
        <v>3098</v>
      </c>
      <c r="R1210" s="141" t="s">
        <v>3104</v>
      </c>
      <c r="S1210" s="142" t="s">
        <v>3100</v>
      </c>
      <c r="T1210" s="141" t="s">
        <v>3116</v>
      </c>
      <c r="U1210" s="142" t="s">
        <v>3114</v>
      </c>
      <c r="V1210" s="142" t="s">
        <v>1027</v>
      </c>
      <c r="W1210" s="141">
        <f t="shared" si="37"/>
        <v>2</v>
      </c>
      <c r="X1210" s="143"/>
      <c r="Y1210" s="145" t="s">
        <v>3150</v>
      </c>
      <c r="AA1210"/>
    </row>
    <row r="1211" spans="1:27" s="115" customFormat="1" ht="27" customHeight="1">
      <c r="A1211" s="139">
        <v>1136</v>
      </c>
      <c r="B1211" s="140" t="s">
        <v>5567</v>
      </c>
      <c r="C1211" s="141" t="s">
        <v>3078</v>
      </c>
      <c r="D1211" s="142" t="s">
        <v>3079</v>
      </c>
      <c r="E1211" s="141" t="s">
        <v>3080</v>
      </c>
      <c r="F1211" s="142" t="s">
        <v>3098</v>
      </c>
      <c r="G1211" s="141" t="s">
        <v>3099</v>
      </c>
      <c r="H1211" s="142" t="s">
        <v>3127</v>
      </c>
      <c r="I1211" s="141" t="s">
        <v>3145</v>
      </c>
      <c r="J1211" s="142" t="s">
        <v>3147</v>
      </c>
      <c r="K1211" s="142" t="s">
        <v>1032</v>
      </c>
      <c r="L1211" s="143">
        <f t="shared" si="38"/>
        <v>1</v>
      </c>
      <c r="M1211" s="144" t="s">
        <v>3151</v>
      </c>
      <c r="N1211" s="146" t="s">
        <v>3078</v>
      </c>
      <c r="O1211" s="147" t="s">
        <v>3079</v>
      </c>
      <c r="P1211" s="146" t="s">
        <v>3103</v>
      </c>
      <c r="Q1211" s="147" t="s">
        <v>3098</v>
      </c>
      <c r="R1211" s="146" t="s">
        <v>3131</v>
      </c>
      <c r="S1211" s="147" t="s">
        <v>3127</v>
      </c>
      <c r="T1211" s="146" t="s">
        <v>3149</v>
      </c>
      <c r="U1211" s="147" t="s">
        <v>3147</v>
      </c>
      <c r="V1211" s="147" t="s">
        <v>1032</v>
      </c>
      <c r="W1211" s="141">
        <f t="shared" si="37"/>
        <v>2</v>
      </c>
      <c r="X1211" s="143"/>
      <c r="Y1211" s="145"/>
      <c r="AA1211"/>
    </row>
    <row r="1212" spans="1:27" s="115" customFormat="1" ht="27" customHeight="1">
      <c r="A1212" s="139">
        <v>1137</v>
      </c>
      <c r="B1212" s="140" t="s">
        <v>5568</v>
      </c>
      <c r="C1212" s="141" t="s">
        <v>3078</v>
      </c>
      <c r="D1212" s="142" t="s">
        <v>3079</v>
      </c>
      <c r="E1212" s="141" t="s">
        <v>3080</v>
      </c>
      <c r="F1212" s="142" t="s">
        <v>3098</v>
      </c>
      <c r="G1212" s="141" t="s">
        <v>3099</v>
      </c>
      <c r="H1212" s="142" t="s">
        <v>3100</v>
      </c>
      <c r="I1212" s="141" t="s">
        <v>3145</v>
      </c>
      <c r="J1212" s="142" t="s">
        <v>3111</v>
      </c>
      <c r="K1212" s="142" t="s">
        <v>1033</v>
      </c>
      <c r="L1212" s="143">
        <f t="shared" si="38"/>
        <v>1</v>
      </c>
      <c r="M1212" s="144" t="s">
        <v>3152</v>
      </c>
      <c r="N1212" s="146" t="s">
        <v>3078</v>
      </c>
      <c r="O1212" s="147" t="s">
        <v>3079</v>
      </c>
      <c r="P1212" s="146" t="s">
        <v>3103</v>
      </c>
      <c r="Q1212" s="147" t="s">
        <v>3098</v>
      </c>
      <c r="R1212" s="146" t="s">
        <v>3104</v>
      </c>
      <c r="S1212" s="147" t="s">
        <v>3100</v>
      </c>
      <c r="T1212" s="146" t="s">
        <v>3113</v>
      </c>
      <c r="U1212" s="147" t="s">
        <v>3111</v>
      </c>
      <c r="V1212" s="147" t="s">
        <v>1033</v>
      </c>
      <c r="W1212" s="141">
        <f t="shared" si="37"/>
        <v>1</v>
      </c>
      <c r="X1212" s="143"/>
      <c r="Y1212" s="145"/>
      <c r="AA1212"/>
    </row>
    <row r="1213" spans="1:27" s="115" customFormat="1" ht="27" customHeight="1">
      <c r="A1213" s="139">
        <v>1138</v>
      </c>
      <c r="B1213" s="140" t="s">
        <v>5569</v>
      </c>
      <c r="C1213" s="141" t="s">
        <v>3078</v>
      </c>
      <c r="D1213" s="142" t="s">
        <v>3079</v>
      </c>
      <c r="E1213" s="141" t="s">
        <v>3080</v>
      </c>
      <c r="F1213" s="142" t="s">
        <v>3098</v>
      </c>
      <c r="G1213" s="141" t="s">
        <v>3099</v>
      </c>
      <c r="H1213" s="142" t="s">
        <v>3100</v>
      </c>
      <c r="I1213" s="141" t="s">
        <v>3145</v>
      </c>
      <c r="J1213" s="142" t="s">
        <v>3114</v>
      </c>
      <c r="K1213" s="142" t="s">
        <v>1026</v>
      </c>
      <c r="L1213" s="143">
        <f t="shared" si="38"/>
        <v>1</v>
      </c>
      <c r="M1213" s="144" t="s">
        <v>3124</v>
      </c>
      <c r="N1213" s="141" t="s">
        <v>3078</v>
      </c>
      <c r="O1213" s="142" t="s">
        <v>3079</v>
      </c>
      <c r="P1213" s="141" t="s">
        <v>3103</v>
      </c>
      <c r="Q1213" s="142" t="s">
        <v>3098</v>
      </c>
      <c r="R1213" s="141" t="s">
        <v>3104</v>
      </c>
      <c r="S1213" s="142" t="s">
        <v>3100</v>
      </c>
      <c r="T1213" s="141" t="s">
        <v>3116</v>
      </c>
      <c r="U1213" s="142" t="s">
        <v>3114</v>
      </c>
      <c r="V1213" s="142" t="s">
        <v>1026</v>
      </c>
      <c r="W1213" s="141">
        <f t="shared" si="37"/>
        <v>2</v>
      </c>
      <c r="X1213" s="143"/>
      <c r="Y1213" s="145" t="s">
        <v>3153</v>
      </c>
      <c r="AA1213"/>
    </row>
    <row r="1214" spans="1:27" s="115" customFormat="1" ht="27" customHeight="1">
      <c r="A1214" s="139">
        <v>1139</v>
      </c>
      <c r="B1214" s="140" t="s">
        <v>6071</v>
      </c>
      <c r="C1214" s="141" t="s">
        <v>3078</v>
      </c>
      <c r="D1214" s="142" t="s">
        <v>3079</v>
      </c>
      <c r="E1214" s="141" t="s">
        <v>3080</v>
      </c>
      <c r="F1214" s="142" t="s">
        <v>3098</v>
      </c>
      <c r="G1214" s="141" t="s">
        <v>3099</v>
      </c>
      <c r="H1214" s="142" t="s">
        <v>3127</v>
      </c>
      <c r="I1214" s="141" t="s">
        <v>3145</v>
      </c>
      <c r="J1214" s="142" t="s">
        <v>3147</v>
      </c>
      <c r="K1214" s="142" t="s">
        <v>6072</v>
      </c>
      <c r="L1214" s="143">
        <v>2</v>
      </c>
      <c r="M1214" s="144" t="s">
        <v>3148</v>
      </c>
      <c r="N1214" s="141" t="s">
        <v>3078</v>
      </c>
      <c r="O1214" s="142" t="s">
        <v>3079</v>
      </c>
      <c r="P1214" s="141" t="s">
        <v>3103</v>
      </c>
      <c r="Q1214" s="142" t="s">
        <v>3098</v>
      </c>
      <c r="R1214" s="141" t="s">
        <v>3131</v>
      </c>
      <c r="S1214" s="142" t="s">
        <v>3127</v>
      </c>
      <c r="T1214" s="141" t="s">
        <v>3149</v>
      </c>
      <c r="U1214" s="142" t="s">
        <v>3147</v>
      </c>
      <c r="V1214" s="142" t="s">
        <v>1031</v>
      </c>
      <c r="W1214" s="141">
        <v>2</v>
      </c>
      <c r="X1214" s="143"/>
      <c r="Y1214" s="145"/>
      <c r="AA1214"/>
    </row>
    <row r="1215" spans="1:27" s="115" customFormat="1" ht="27" customHeight="1">
      <c r="A1215" s="139">
        <v>1139</v>
      </c>
      <c r="B1215" s="140" t="s">
        <v>6071</v>
      </c>
      <c r="C1215" s="141" t="s">
        <v>3078</v>
      </c>
      <c r="D1215" s="142" t="s">
        <v>3079</v>
      </c>
      <c r="E1215" s="141" t="s">
        <v>3080</v>
      </c>
      <c r="F1215" s="142" t="s">
        <v>3098</v>
      </c>
      <c r="G1215" s="141" t="s">
        <v>3099</v>
      </c>
      <c r="H1215" s="142" t="s">
        <v>3127</v>
      </c>
      <c r="I1215" s="141" t="s">
        <v>3145</v>
      </c>
      <c r="J1215" s="142" t="s">
        <v>3147</v>
      </c>
      <c r="K1215" s="142" t="s">
        <v>6072</v>
      </c>
      <c r="L1215" s="143">
        <v>2</v>
      </c>
      <c r="M1215" s="144" t="s">
        <v>3151</v>
      </c>
      <c r="N1215" s="141" t="s">
        <v>3078</v>
      </c>
      <c r="O1215" s="142" t="s">
        <v>3079</v>
      </c>
      <c r="P1215" s="141" t="s">
        <v>3103</v>
      </c>
      <c r="Q1215" s="142" t="s">
        <v>3098</v>
      </c>
      <c r="R1215" s="141" t="s">
        <v>3131</v>
      </c>
      <c r="S1215" s="142" t="s">
        <v>3127</v>
      </c>
      <c r="T1215" s="141" t="s">
        <v>3149</v>
      </c>
      <c r="U1215" s="142" t="s">
        <v>3147</v>
      </c>
      <c r="V1215" s="142" t="s">
        <v>1032</v>
      </c>
      <c r="W1215" s="141">
        <v>2</v>
      </c>
      <c r="X1215" s="143"/>
      <c r="Y1215" s="145"/>
      <c r="AA1215"/>
    </row>
    <row r="1216" spans="1:27" s="115" customFormat="1" ht="27" customHeight="1">
      <c r="A1216" s="139">
        <v>1139</v>
      </c>
      <c r="B1216" s="140" t="s">
        <v>4747</v>
      </c>
      <c r="C1216" s="141" t="s">
        <v>3154</v>
      </c>
      <c r="D1216" s="142" t="s">
        <v>3155</v>
      </c>
      <c r="E1216" s="141" t="s">
        <v>1670</v>
      </c>
      <c r="F1216" s="142" t="s">
        <v>3156</v>
      </c>
      <c r="G1216" s="141" t="s">
        <v>1767</v>
      </c>
      <c r="H1216" s="142" t="s">
        <v>3157</v>
      </c>
      <c r="I1216" s="141" t="s">
        <v>1768</v>
      </c>
      <c r="J1216" s="142" t="s">
        <v>3158</v>
      </c>
      <c r="K1216" s="142" t="s">
        <v>1034</v>
      </c>
      <c r="L1216" s="143">
        <f t="shared" si="38"/>
        <v>1</v>
      </c>
      <c r="M1216" s="144" t="s">
        <v>3159</v>
      </c>
      <c r="N1216" s="141" t="s">
        <v>3154</v>
      </c>
      <c r="O1216" s="142" t="s">
        <v>3155</v>
      </c>
      <c r="P1216" s="141" t="s">
        <v>3160</v>
      </c>
      <c r="Q1216" s="142" t="s">
        <v>3156</v>
      </c>
      <c r="R1216" s="141" t="s">
        <v>3161</v>
      </c>
      <c r="S1216" s="142" t="s">
        <v>3157</v>
      </c>
      <c r="T1216" s="141" t="s">
        <v>3162</v>
      </c>
      <c r="U1216" s="142" t="s">
        <v>3158</v>
      </c>
      <c r="V1216" s="142" t="s">
        <v>1034</v>
      </c>
      <c r="W1216" s="141">
        <f t="shared" si="37"/>
        <v>1</v>
      </c>
      <c r="X1216" s="143"/>
      <c r="Y1216" s="145"/>
      <c r="AA1216"/>
    </row>
    <row r="1217" spans="1:27" s="115" customFormat="1" ht="27" customHeight="1">
      <c r="A1217" s="139">
        <v>1140</v>
      </c>
      <c r="B1217" s="140" t="s">
        <v>4748</v>
      </c>
      <c r="C1217" s="141" t="s">
        <v>3154</v>
      </c>
      <c r="D1217" s="142" t="s">
        <v>3155</v>
      </c>
      <c r="E1217" s="141" t="s">
        <v>1670</v>
      </c>
      <c r="F1217" s="142" t="s">
        <v>3156</v>
      </c>
      <c r="G1217" s="141" t="s">
        <v>1767</v>
      </c>
      <c r="H1217" s="142" t="s">
        <v>3157</v>
      </c>
      <c r="I1217" s="141" t="s">
        <v>1768</v>
      </c>
      <c r="J1217" s="142" t="s">
        <v>3158</v>
      </c>
      <c r="K1217" s="142" t="s">
        <v>1035</v>
      </c>
      <c r="L1217" s="143">
        <f t="shared" si="38"/>
        <v>1</v>
      </c>
      <c r="M1217" s="144" t="s">
        <v>3163</v>
      </c>
      <c r="N1217" s="141" t="s">
        <v>3154</v>
      </c>
      <c r="O1217" s="142" t="s">
        <v>3155</v>
      </c>
      <c r="P1217" s="141" t="s">
        <v>3160</v>
      </c>
      <c r="Q1217" s="142" t="s">
        <v>3156</v>
      </c>
      <c r="R1217" s="141" t="s">
        <v>3161</v>
      </c>
      <c r="S1217" s="142" t="s">
        <v>3157</v>
      </c>
      <c r="T1217" s="141" t="s">
        <v>3162</v>
      </c>
      <c r="U1217" s="142" t="s">
        <v>3158</v>
      </c>
      <c r="V1217" s="142" t="s">
        <v>1035</v>
      </c>
      <c r="W1217" s="141">
        <f t="shared" si="37"/>
        <v>1</v>
      </c>
      <c r="X1217" s="143"/>
      <c r="Y1217" s="145"/>
      <c r="AA1217"/>
    </row>
    <row r="1218" spans="1:27" s="115" customFormat="1" ht="27" customHeight="1">
      <c r="A1218" s="139">
        <v>1141</v>
      </c>
      <c r="B1218" s="140" t="s">
        <v>4749</v>
      </c>
      <c r="C1218" s="141" t="s">
        <v>3154</v>
      </c>
      <c r="D1218" s="142" t="s">
        <v>3155</v>
      </c>
      <c r="E1218" s="141" t="s">
        <v>1670</v>
      </c>
      <c r="F1218" s="142" t="s">
        <v>3156</v>
      </c>
      <c r="G1218" s="141" t="s">
        <v>1767</v>
      </c>
      <c r="H1218" s="142" t="s">
        <v>3157</v>
      </c>
      <c r="I1218" s="141" t="s">
        <v>1768</v>
      </c>
      <c r="J1218" s="142" t="s">
        <v>3158</v>
      </c>
      <c r="K1218" s="142" t="s">
        <v>1036</v>
      </c>
      <c r="L1218" s="143">
        <f t="shared" si="38"/>
        <v>1</v>
      </c>
      <c r="M1218" s="144" t="s">
        <v>3164</v>
      </c>
      <c r="N1218" s="141" t="s">
        <v>3154</v>
      </c>
      <c r="O1218" s="142" t="s">
        <v>3155</v>
      </c>
      <c r="P1218" s="141" t="s">
        <v>3160</v>
      </c>
      <c r="Q1218" s="142" t="s">
        <v>3156</v>
      </c>
      <c r="R1218" s="141" t="s">
        <v>3161</v>
      </c>
      <c r="S1218" s="142" t="s">
        <v>3157</v>
      </c>
      <c r="T1218" s="141" t="s">
        <v>3162</v>
      </c>
      <c r="U1218" s="142" t="s">
        <v>3158</v>
      </c>
      <c r="V1218" s="142" t="s">
        <v>1036</v>
      </c>
      <c r="W1218" s="141">
        <f t="shared" si="37"/>
        <v>1</v>
      </c>
      <c r="X1218" s="143"/>
      <c r="Y1218" s="145"/>
      <c r="AA1218"/>
    </row>
    <row r="1219" spans="1:27" s="115" customFormat="1" ht="27" customHeight="1">
      <c r="A1219" s="139">
        <v>1142</v>
      </c>
      <c r="B1219" s="140" t="s">
        <v>4750</v>
      </c>
      <c r="C1219" s="141" t="s">
        <v>3154</v>
      </c>
      <c r="D1219" s="142" t="s">
        <v>3155</v>
      </c>
      <c r="E1219" s="141" t="s">
        <v>1670</v>
      </c>
      <c r="F1219" s="142" t="s">
        <v>3156</v>
      </c>
      <c r="G1219" s="141" t="s">
        <v>1767</v>
      </c>
      <c r="H1219" s="142" t="s">
        <v>3157</v>
      </c>
      <c r="I1219" s="141" t="s">
        <v>3165</v>
      </c>
      <c r="J1219" s="142" t="s">
        <v>3166</v>
      </c>
      <c r="K1219" s="142" t="s">
        <v>1037</v>
      </c>
      <c r="L1219" s="143">
        <f t="shared" si="38"/>
        <v>1</v>
      </c>
      <c r="M1219" s="144" t="s">
        <v>3167</v>
      </c>
      <c r="N1219" s="141" t="s">
        <v>3154</v>
      </c>
      <c r="O1219" s="142" t="s">
        <v>3155</v>
      </c>
      <c r="P1219" s="141" t="s">
        <v>3160</v>
      </c>
      <c r="Q1219" s="142" t="s">
        <v>3156</v>
      </c>
      <c r="R1219" s="141" t="s">
        <v>3161</v>
      </c>
      <c r="S1219" s="142" t="s">
        <v>3157</v>
      </c>
      <c r="T1219" s="141" t="s">
        <v>3168</v>
      </c>
      <c r="U1219" s="142" t="s">
        <v>3166</v>
      </c>
      <c r="V1219" s="142" t="s">
        <v>1037</v>
      </c>
      <c r="W1219" s="141">
        <f t="shared" si="37"/>
        <v>1</v>
      </c>
      <c r="X1219" s="143"/>
      <c r="Y1219" s="145"/>
      <c r="AA1219"/>
    </row>
    <row r="1220" spans="1:27" s="115" customFormat="1" ht="27" customHeight="1">
      <c r="A1220" s="139">
        <v>1143</v>
      </c>
      <c r="B1220" s="140" t="s">
        <v>4751</v>
      </c>
      <c r="C1220" s="141" t="s">
        <v>3154</v>
      </c>
      <c r="D1220" s="142" t="s">
        <v>3155</v>
      </c>
      <c r="E1220" s="141" t="s">
        <v>1670</v>
      </c>
      <c r="F1220" s="142" t="s">
        <v>3156</v>
      </c>
      <c r="G1220" s="141" t="s">
        <v>1767</v>
      </c>
      <c r="H1220" s="142" t="s">
        <v>3157</v>
      </c>
      <c r="I1220" s="141" t="s">
        <v>3165</v>
      </c>
      <c r="J1220" s="142" t="s">
        <v>3166</v>
      </c>
      <c r="K1220" s="142" t="s">
        <v>1038</v>
      </c>
      <c r="L1220" s="143">
        <f t="shared" si="38"/>
        <v>1</v>
      </c>
      <c r="M1220" s="144" t="s">
        <v>3169</v>
      </c>
      <c r="N1220" s="141" t="s">
        <v>3154</v>
      </c>
      <c r="O1220" s="142" t="s">
        <v>3155</v>
      </c>
      <c r="P1220" s="141" t="s">
        <v>3160</v>
      </c>
      <c r="Q1220" s="142" t="s">
        <v>3156</v>
      </c>
      <c r="R1220" s="141" t="s">
        <v>3161</v>
      </c>
      <c r="S1220" s="142" t="s">
        <v>3157</v>
      </c>
      <c r="T1220" s="141" t="s">
        <v>3168</v>
      </c>
      <c r="U1220" s="142" t="s">
        <v>3166</v>
      </c>
      <c r="V1220" s="142" t="s">
        <v>1038</v>
      </c>
      <c r="W1220" s="141">
        <f t="shared" si="37"/>
        <v>1</v>
      </c>
      <c r="X1220" s="143"/>
      <c r="Y1220" s="145"/>
      <c r="AA1220"/>
    </row>
    <row r="1221" spans="1:27" s="115" customFormat="1" ht="27" customHeight="1">
      <c r="A1221" s="139">
        <v>1144</v>
      </c>
      <c r="B1221" s="140" t="s">
        <v>4752</v>
      </c>
      <c r="C1221" s="141" t="s">
        <v>3154</v>
      </c>
      <c r="D1221" s="142" t="s">
        <v>3155</v>
      </c>
      <c r="E1221" s="141" t="s">
        <v>1670</v>
      </c>
      <c r="F1221" s="142" t="s">
        <v>3156</v>
      </c>
      <c r="G1221" s="141" t="s">
        <v>1767</v>
      </c>
      <c r="H1221" s="142" t="s">
        <v>3157</v>
      </c>
      <c r="I1221" s="141" t="s">
        <v>3165</v>
      </c>
      <c r="J1221" s="142" t="s">
        <v>3166</v>
      </c>
      <c r="K1221" s="142" t="s">
        <v>1039</v>
      </c>
      <c r="L1221" s="143">
        <f t="shared" si="38"/>
        <v>1</v>
      </c>
      <c r="M1221" s="144" t="s">
        <v>3170</v>
      </c>
      <c r="N1221" s="141" t="s">
        <v>3154</v>
      </c>
      <c r="O1221" s="142" t="s">
        <v>3155</v>
      </c>
      <c r="P1221" s="141" t="s">
        <v>3160</v>
      </c>
      <c r="Q1221" s="142" t="s">
        <v>3156</v>
      </c>
      <c r="R1221" s="141" t="s">
        <v>3161</v>
      </c>
      <c r="S1221" s="142" t="s">
        <v>3157</v>
      </c>
      <c r="T1221" s="141" t="s">
        <v>3168</v>
      </c>
      <c r="U1221" s="142" t="s">
        <v>3166</v>
      </c>
      <c r="V1221" s="142" t="s">
        <v>1039</v>
      </c>
      <c r="W1221" s="141">
        <f t="shared" si="37"/>
        <v>1</v>
      </c>
      <c r="X1221" s="143"/>
      <c r="Y1221" s="145"/>
      <c r="AA1221"/>
    </row>
    <row r="1222" spans="1:27" s="115" customFormat="1" ht="27" customHeight="1">
      <c r="A1222" s="139">
        <v>1145</v>
      </c>
      <c r="B1222" s="140" t="s">
        <v>4753</v>
      </c>
      <c r="C1222" s="141" t="s">
        <v>3154</v>
      </c>
      <c r="D1222" s="142" t="s">
        <v>3155</v>
      </c>
      <c r="E1222" s="141" t="s">
        <v>1670</v>
      </c>
      <c r="F1222" s="142" t="s">
        <v>3171</v>
      </c>
      <c r="G1222" s="141" t="s">
        <v>1767</v>
      </c>
      <c r="H1222" s="142" t="s">
        <v>3172</v>
      </c>
      <c r="I1222" s="141" t="s">
        <v>3173</v>
      </c>
      <c r="J1222" s="142" t="s">
        <v>3172</v>
      </c>
      <c r="K1222" s="142" t="s">
        <v>254</v>
      </c>
      <c r="L1222" s="143">
        <f t="shared" si="38"/>
        <v>1</v>
      </c>
      <c r="M1222" s="144" t="s">
        <v>3174</v>
      </c>
      <c r="N1222" s="141" t="s">
        <v>3154</v>
      </c>
      <c r="O1222" s="142" t="s">
        <v>3155</v>
      </c>
      <c r="P1222" s="141" t="s">
        <v>3175</v>
      </c>
      <c r="Q1222" s="142" t="s">
        <v>3171</v>
      </c>
      <c r="R1222" s="141" t="s">
        <v>3176</v>
      </c>
      <c r="S1222" s="142" t="s">
        <v>3172</v>
      </c>
      <c r="T1222" s="141" t="s">
        <v>3177</v>
      </c>
      <c r="U1222" s="142" t="s">
        <v>3172</v>
      </c>
      <c r="V1222" s="142" t="s">
        <v>254</v>
      </c>
      <c r="W1222" s="141">
        <f t="shared" si="37"/>
        <v>1</v>
      </c>
      <c r="X1222" s="143"/>
      <c r="Y1222" s="145"/>
      <c r="AA1222"/>
    </row>
    <row r="1223" spans="1:27" s="115" customFormat="1" ht="27" customHeight="1">
      <c r="A1223" s="139">
        <v>1146</v>
      </c>
      <c r="B1223" s="140" t="s">
        <v>4754</v>
      </c>
      <c r="C1223" s="141" t="s">
        <v>3154</v>
      </c>
      <c r="D1223" s="142" t="s">
        <v>3155</v>
      </c>
      <c r="E1223" s="141" t="s">
        <v>1670</v>
      </c>
      <c r="F1223" s="142" t="s">
        <v>3156</v>
      </c>
      <c r="G1223" s="141" t="s">
        <v>1767</v>
      </c>
      <c r="H1223" s="142" t="s">
        <v>3157</v>
      </c>
      <c r="I1223" s="141" t="s">
        <v>1771</v>
      </c>
      <c r="J1223" s="142" t="s">
        <v>255</v>
      </c>
      <c r="K1223" s="142" t="s">
        <v>255</v>
      </c>
      <c r="L1223" s="143">
        <f t="shared" si="38"/>
        <v>1</v>
      </c>
      <c r="M1223" s="144" t="s">
        <v>3178</v>
      </c>
      <c r="N1223" s="141" t="s">
        <v>3154</v>
      </c>
      <c r="O1223" s="142" t="s">
        <v>3155</v>
      </c>
      <c r="P1223" s="141" t="s">
        <v>3160</v>
      </c>
      <c r="Q1223" s="142" t="s">
        <v>3156</v>
      </c>
      <c r="R1223" s="141" t="s">
        <v>3161</v>
      </c>
      <c r="S1223" s="142" t="s">
        <v>3157</v>
      </c>
      <c r="T1223" s="141" t="s">
        <v>3179</v>
      </c>
      <c r="U1223" s="142" t="s">
        <v>255</v>
      </c>
      <c r="V1223" s="142" t="s">
        <v>255</v>
      </c>
      <c r="W1223" s="141">
        <f t="shared" ref="W1223:W1287" si="39">COUNTIF($M$5:$M$1756,M1223)</f>
        <v>1</v>
      </c>
      <c r="X1223" s="143"/>
      <c r="Y1223" s="145"/>
      <c r="AA1223"/>
    </row>
    <row r="1224" spans="1:27" s="115" customFormat="1" ht="40.5" customHeight="1">
      <c r="A1224" s="139">
        <v>1147</v>
      </c>
      <c r="B1224" s="140" t="s">
        <v>5641</v>
      </c>
      <c r="C1224" s="141" t="s">
        <v>3154</v>
      </c>
      <c r="D1224" s="142" t="s">
        <v>3155</v>
      </c>
      <c r="E1224" s="141" t="s">
        <v>3070</v>
      </c>
      <c r="F1224" s="142" t="s">
        <v>3180</v>
      </c>
      <c r="G1224" s="141" t="s">
        <v>3072</v>
      </c>
      <c r="H1224" s="142" t="s">
        <v>1040</v>
      </c>
      <c r="I1224" s="141" t="s">
        <v>3073</v>
      </c>
      <c r="J1224" s="142" t="s">
        <v>1040</v>
      </c>
      <c r="K1224" s="142" t="s">
        <v>1040</v>
      </c>
      <c r="L1224" s="143">
        <f t="shared" si="38"/>
        <v>1</v>
      </c>
      <c r="M1224" s="144" t="s">
        <v>3181</v>
      </c>
      <c r="N1224" s="141" t="s">
        <v>3154</v>
      </c>
      <c r="O1224" s="142" t="s">
        <v>3155</v>
      </c>
      <c r="P1224" s="141" t="s">
        <v>2991</v>
      </c>
      <c r="Q1224" s="142" t="s">
        <v>3180</v>
      </c>
      <c r="R1224" s="141" t="s">
        <v>2993</v>
      </c>
      <c r="S1224" s="142" t="s">
        <v>1040</v>
      </c>
      <c r="T1224" s="141" t="s">
        <v>2995</v>
      </c>
      <c r="U1224" s="142" t="s">
        <v>1040</v>
      </c>
      <c r="V1224" s="142" t="s">
        <v>1040</v>
      </c>
      <c r="W1224" s="141">
        <f t="shared" si="39"/>
        <v>1</v>
      </c>
      <c r="X1224" s="143"/>
      <c r="Y1224" s="145"/>
      <c r="AA1224"/>
    </row>
    <row r="1225" spans="1:27" s="115" customFormat="1" ht="40.5" customHeight="1">
      <c r="A1225" s="139">
        <v>1148</v>
      </c>
      <c r="B1225" s="140" t="s">
        <v>5643</v>
      </c>
      <c r="C1225" s="141" t="s">
        <v>3154</v>
      </c>
      <c r="D1225" s="142" t="s">
        <v>3155</v>
      </c>
      <c r="E1225" s="141" t="s">
        <v>3070</v>
      </c>
      <c r="F1225" s="142" t="s">
        <v>3180</v>
      </c>
      <c r="G1225" s="141" t="s">
        <v>3182</v>
      </c>
      <c r="H1225" s="142" t="s">
        <v>3183</v>
      </c>
      <c r="I1225" s="141" t="s">
        <v>3184</v>
      </c>
      <c r="J1225" s="142" t="s">
        <v>1041</v>
      </c>
      <c r="K1225" s="142" t="s">
        <v>1041</v>
      </c>
      <c r="L1225" s="143">
        <f t="shared" si="38"/>
        <v>1</v>
      </c>
      <c r="M1225" s="144" t="s">
        <v>3185</v>
      </c>
      <c r="N1225" s="141" t="s">
        <v>3154</v>
      </c>
      <c r="O1225" s="142" t="s">
        <v>3155</v>
      </c>
      <c r="P1225" s="141" t="s">
        <v>2991</v>
      </c>
      <c r="Q1225" s="142" t="s">
        <v>3180</v>
      </c>
      <c r="R1225" s="141" t="s">
        <v>3003</v>
      </c>
      <c r="S1225" s="142" t="s">
        <v>3183</v>
      </c>
      <c r="T1225" s="141" t="s">
        <v>3186</v>
      </c>
      <c r="U1225" s="142" t="s">
        <v>1041</v>
      </c>
      <c r="V1225" s="142" t="s">
        <v>1041</v>
      </c>
      <c r="W1225" s="141">
        <f t="shared" si="39"/>
        <v>1</v>
      </c>
      <c r="X1225" s="143"/>
      <c r="Y1225" s="145"/>
      <c r="AA1225"/>
    </row>
    <row r="1226" spans="1:27" s="115" customFormat="1" ht="40.5" customHeight="1">
      <c r="A1226" s="139">
        <v>1149</v>
      </c>
      <c r="B1226" s="140" t="s">
        <v>5644</v>
      </c>
      <c r="C1226" s="141" t="s">
        <v>3154</v>
      </c>
      <c r="D1226" s="142" t="s">
        <v>3155</v>
      </c>
      <c r="E1226" s="141" t="s">
        <v>3070</v>
      </c>
      <c r="F1226" s="142" t="s">
        <v>3180</v>
      </c>
      <c r="G1226" s="141" t="s">
        <v>3182</v>
      </c>
      <c r="H1226" s="142" t="s">
        <v>3183</v>
      </c>
      <c r="I1226" s="141" t="s">
        <v>3184</v>
      </c>
      <c r="J1226" s="142" t="s">
        <v>3187</v>
      </c>
      <c r="K1226" s="142" t="s">
        <v>256</v>
      </c>
      <c r="L1226" s="143">
        <f t="shared" si="38"/>
        <v>1</v>
      </c>
      <c r="M1226" s="144" t="s">
        <v>3188</v>
      </c>
      <c r="N1226" s="141" t="s">
        <v>3154</v>
      </c>
      <c r="O1226" s="142" t="s">
        <v>3155</v>
      </c>
      <c r="P1226" s="141" t="s">
        <v>2991</v>
      </c>
      <c r="Q1226" s="142" t="s">
        <v>3180</v>
      </c>
      <c r="R1226" s="141" t="s">
        <v>3003</v>
      </c>
      <c r="S1226" s="142" t="s">
        <v>3183</v>
      </c>
      <c r="T1226" s="141" t="s">
        <v>3189</v>
      </c>
      <c r="U1226" s="142" t="s">
        <v>3187</v>
      </c>
      <c r="V1226" s="142" t="s">
        <v>256</v>
      </c>
      <c r="W1226" s="141">
        <f t="shared" si="39"/>
        <v>1</v>
      </c>
      <c r="X1226" s="143"/>
      <c r="Y1226" s="145"/>
      <c r="AA1226"/>
    </row>
    <row r="1227" spans="1:27" s="115" customFormat="1" ht="40.5" customHeight="1">
      <c r="A1227" s="139">
        <v>1150</v>
      </c>
      <c r="B1227" s="140" t="s">
        <v>5645</v>
      </c>
      <c r="C1227" s="141" t="s">
        <v>3154</v>
      </c>
      <c r="D1227" s="142" t="s">
        <v>3155</v>
      </c>
      <c r="E1227" s="141" t="s">
        <v>3070</v>
      </c>
      <c r="F1227" s="142" t="s">
        <v>3180</v>
      </c>
      <c r="G1227" s="141" t="s">
        <v>3182</v>
      </c>
      <c r="H1227" s="142" t="s">
        <v>3183</v>
      </c>
      <c r="I1227" s="141" t="s">
        <v>3184</v>
      </c>
      <c r="J1227" s="142" t="s">
        <v>3187</v>
      </c>
      <c r="K1227" s="142" t="s">
        <v>1042</v>
      </c>
      <c r="L1227" s="143">
        <f t="shared" si="38"/>
        <v>1</v>
      </c>
      <c r="M1227" s="144" t="s">
        <v>3190</v>
      </c>
      <c r="N1227" s="141" t="s">
        <v>3154</v>
      </c>
      <c r="O1227" s="142" t="s">
        <v>3155</v>
      </c>
      <c r="P1227" s="141" t="s">
        <v>2991</v>
      </c>
      <c r="Q1227" s="142" t="s">
        <v>3180</v>
      </c>
      <c r="R1227" s="141" t="s">
        <v>3003</v>
      </c>
      <c r="S1227" s="142" t="s">
        <v>3183</v>
      </c>
      <c r="T1227" s="141" t="s">
        <v>3189</v>
      </c>
      <c r="U1227" s="142" t="s">
        <v>3187</v>
      </c>
      <c r="V1227" s="142" t="s">
        <v>1042</v>
      </c>
      <c r="W1227" s="141">
        <f t="shared" si="39"/>
        <v>1</v>
      </c>
      <c r="X1227" s="143"/>
      <c r="Y1227" s="145"/>
      <c r="AA1227"/>
    </row>
    <row r="1228" spans="1:27" s="115" customFormat="1" ht="40.5" customHeight="1">
      <c r="A1228" s="139">
        <v>1151</v>
      </c>
      <c r="B1228" s="140" t="s">
        <v>5646</v>
      </c>
      <c r="C1228" s="141" t="s">
        <v>3154</v>
      </c>
      <c r="D1228" s="142" t="s">
        <v>3155</v>
      </c>
      <c r="E1228" s="141" t="s">
        <v>3070</v>
      </c>
      <c r="F1228" s="142" t="s">
        <v>3191</v>
      </c>
      <c r="G1228" s="141" t="s">
        <v>3182</v>
      </c>
      <c r="H1228" s="142" t="s">
        <v>3192</v>
      </c>
      <c r="I1228" s="141" t="s">
        <v>3184</v>
      </c>
      <c r="J1228" s="142" t="s">
        <v>1043</v>
      </c>
      <c r="K1228" s="142" t="s">
        <v>1043</v>
      </c>
      <c r="L1228" s="143">
        <f t="shared" si="38"/>
        <v>1</v>
      </c>
      <c r="M1228" s="144" t="s">
        <v>3193</v>
      </c>
      <c r="N1228" s="141" t="s">
        <v>3154</v>
      </c>
      <c r="O1228" s="142" t="s">
        <v>3155</v>
      </c>
      <c r="P1228" s="141" t="s">
        <v>3023</v>
      </c>
      <c r="Q1228" s="142" t="s">
        <v>3191</v>
      </c>
      <c r="R1228" s="141" t="s">
        <v>3194</v>
      </c>
      <c r="S1228" s="142" t="s">
        <v>3192</v>
      </c>
      <c r="T1228" s="141" t="s">
        <v>3195</v>
      </c>
      <c r="U1228" s="142" t="s">
        <v>1043</v>
      </c>
      <c r="V1228" s="142" t="s">
        <v>1043</v>
      </c>
      <c r="W1228" s="141">
        <f t="shared" si="39"/>
        <v>1</v>
      </c>
      <c r="X1228" s="143"/>
      <c r="Y1228" s="145"/>
      <c r="AA1228"/>
    </row>
    <row r="1229" spans="1:27" s="115" customFormat="1" ht="40.5" customHeight="1">
      <c r="A1229" s="139">
        <v>1152</v>
      </c>
      <c r="B1229" s="140" t="s">
        <v>5647</v>
      </c>
      <c r="C1229" s="141" t="s">
        <v>3154</v>
      </c>
      <c r="D1229" s="142" t="s">
        <v>3155</v>
      </c>
      <c r="E1229" s="141" t="s">
        <v>3070</v>
      </c>
      <c r="F1229" s="142" t="s">
        <v>3180</v>
      </c>
      <c r="G1229" s="141" t="s">
        <v>3182</v>
      </c>
      <c r="H1229" s="142" t="s">
        <v>3183</v>
      </c>
      <c r="I1229" s="141" t="s">
        <v>3184</v>
      </c>
      <c r="J1229" s="142" t="s">
        <v>1044</v>
      </c>
      <c r="K1229" s="142" t="s">
        <v>1044</v>
      </c>
      <c r="L1229" s="143">
        <f t="shared" si="38"/>
        <v>1</v>
      </c>
      <c r="M1229" s="144" t="s">
        <v>3196</v>
      </c>
      <c r="N1229" s="141" t="s">
        <v>3154</v>
      </c>
      <c r="O1229" s="142" t="s">
        <v>3155</v>
      </c>
      <c r="P1229" s="141" t="s">
        <v>2991</v>
      </c>
      <c r="Q1229" s="142" t="s">
        <v>3180</v>
      </c>
      <c r="R1229" s="141" t="s">
        <v>3003</v>
      </c>
      <c r="S1229" s="142" t="s">
        <v>3183</v>
      </c>
      <c r="T1229" s="141" t="s">
        <v>3197</v>
      </c>
      <c r="U1229" s="142" t="s">
        <v>1044</v>
      </c>
      <c r="V1229" s="142" t="s">
        <v>1044</v>
      </c>
      <c r="W1229" s="141">
        <f t="shared" si="39"/>
        <v>1</v>
      </c>
      <c r="X1229" s="143"/>
      <c r="Y1229" s="145"/>
      <c r="AA1229"/>
    </row>
    <row r="1230" spans="1:27" s="115" customFormat="1" ht="40.5" customHeight="1">
      <c r="A1230" s="139">
        <v>1153</v>
      </c>
      <c r="B1230" s="140" t="s">
        <v>5728</v>
      </c>
      <c r="C1230" s="141" t="s">
        <v>3154</v>
      </c>
      <c r="D1230" s="142" t="s">
        <v>3155</v>
      </c>
      <c r="E1230" s="141" t="s">
        <v>3198</v>
      </c>
      <c r="F1230" s="142" t="s">
        <v>3199</v>
      </c>
      <c r="G1230" s="141" t="s">
        <v>3200</v>
      </c>
      <c r="H1230" s="142" t="s">
        <v>3199</v>
      </c>
      <c r="I1230" s="141" t="s">
        <v>3201</v>
      </c>
      <c r="J1230" s="142" t="s">
        <v>3202</v>
      </c>
      <c r="K1230" s="142" t="s">
        <v>1045</v>
      </c>
      <c r="L1230" s="143">
        <f t="shared" si="38"/>
        <v>1</v>
      </c>
      <c r="M1230" s="144" t="s">
        <v>3203</v>
      </c>
      <c r="N1230" s="141" t="s">
        <v>3154</v>
      </c>
      <c r="O1230" s="142" t="s">
        <v>3155</v>
      </c>
      <c r="P1230" s="141" t="s">
        <v>3015</v>
      </c>
      <c r="Q1230" s="142" t="s">
        <v>3199</v>
      </c>
      <c r="R1230" s="141" t="s">
        <v>3204</v>
      </c>
      <c r="S1230" s="142" t="s">
        <v>3199</v>
      </c>
      <c r="T1230" s="141" t="s">
        <v>3205</v>
      </c>
      <c r="U1230" s="142" t="s">
        <v>3202</v>
      </c>
      <c r="V1230" s="142" t="s">
        <v>1045</v>
      </c>
      <c r="W1230" s="141">
        <f t="shared" si="39"/>
        <v>1</v>
      </c>
      <c r="X1230" s="143"/>
      <c r="Y1230" s="145"/>
      <c r="AA1230"/>
    </row>
    <row r="1231" spans="1:27" s="115" customFormat="1" ht="40.5" customHeight="1">
      <c r="A1231" s="139">
        <v>1154</v>
      </c>
      <c r="B1231" s="140" t="s">
        <v>5729</v>
      </c>
      <c r="C1231" s="141" t="s">
        <v>3154</v>
      </c>
      <c r="D1231" s="142" t="s">
        <v>3155</v>
      </c>
      <c r="E1231" s="141" t="s">
        <v>3198</v>
      </c>
      <c r="F1231" s="142" t="s">
        <v>3199</v>
      </c>
      <c r="G1231" s="141" t="s">
        <v>3200</v>
      </c>
      <c r="H1231" s="142" t="s">
        <v>3199</v>
      </c>
      <c r="I1231" s="141" t="s">
        <v>3201</v>
      </c>
      <c r="J1231" s="142" t="s">
        <v>3202</v>
      </c>
      <c r="K1231" s="142" t="s">
        <v>1046</v>
      </c>
      <c r="L1231" s="143">
        <f t="shared" si="38"/>
        <v>1</v>
      </c>
      <c r="M1231" s="144" t="s">
        <v>3206</v>
      </c>
      <c r="N1231" s="141" t="s">
        <v>3154</v>
      </c>
      <c r="O1231" s="142" t="s">
        <v>3155</v>
      </c>
      <c r="P1231" s="141" t="s">
        <v>3015</v>
      </c>
      <c r="Q1231" s="142" t="s">
        <v>3199</v>
      </c>
      <c r="R1231" s="141" t="s">
        <v>3204</v>
      </c>
      <c r="S1231" s="142" t="s">
        <v>3199</v>
      </c>
      <c r="T1231" s="141" t="s">
        <v>3205</v>
      </c>
      <c r="U1231" s="142" t="s">
        <v>3202</v>
      </c>
      <c r="V1231" s="142" t="s">
        <v>1046</v>
      </c>
      <c r="W1231" s="141">
        <f t="shared" si="39"/>
        <v>1</v>
      </c>
      <c r="X1231" s="143"/>
      <c r="Y1231" s="145"/>
      <c r="AA1231"/>
    </row>
    <row r="1232" spans="1:27" s="115" customFormat="1" ht="27" customHeight="1">
      <c r="A1232" s="139">
        <v>1155</v>
      </c>
      <c r="B1232" s="140" t="s">
        <v>5730</v>
      </c>
      <c r="C1232" s="141" t="s">
        <v>3154</v>
      </c>
      <c r="D1232" s="142" t="s">
        <v>3155</v>
      </c>
      <c r="E1232" s="141" t="s">
        <v>3198</v>
      </c>
      <c r="F1232" s="142" t="s">
        <v>3156</v>
      </c>
      <c r="G1232" s="141" t="s">
        <v>3207</v>
      </c>
      <c r="H1232" s="142" t="s">
        <v>3208</v>
      </c>
      <c r="I1232" s="141" t="s">
        <v>3209</v>
      </c>
      <c r="J1232" s="142" t="s">
        <v>3210</v>
      </c>
      <c r="K1232" s="142" t="s">
        <v>1047</v>
      </c>
      <c r="L1232" s="143">
        <f t="shared" si="38"/>
        <v>1</v>
      </c>
      <c r="M1232" s="144" t="s">
        <v>3211</v>
      </c>
      <c r="N1232" s="141" t="s">
        <v>3154</v>
      </c>
      <c r="O1232" s="142" t="s">
        <v>3155</v>
      </c>
      <c r="P1232" s="141" t="s">
        <v>3160</v>
      </c>
      <c r="Q1232" s="142" t="s">
        <v>3156</v>
      </c>
      <c r="R1232" s="141" t="s">
        <v>3212</v>
      </c>
      <c r="S1232" s="142" t="s">
        <v>3208</v>
      </c>
      <c r="T1232" s="141" t="s">
        <v>3213</v>
      </c>
      <c r="U1232" s="142" t="s">
        <v>3210</v>
      </c>
      <c r="V1232" s="142" t="s">
        <v>1047</v>
      </c>
      <c r="W1232" s="141">
        <f t="shared" si="39"/>
        <v>1</v>
      </c>
      <c r="X1232" s="143"/>
      <c r="Y1232" s="145"/>
      <c r="AA1232"/>
    </row>
    <row r="1233" spans="1:27" s="115" customFormat="1" ht="27" customHeight="1">
      <c r="A1233" s="139">
        <v>1156</v>
      </c>
      <c r="B1233" s="140" t="s">
        <v>5731</v>
      </c>
      <c r="C1233" s="141" t="s">
        <v>3154</v>
      </c>
      <c r="D1233" s="142" t="s">
        <v>3155</v>
      </c>
      <c r="E1233" s="141" t="s">
        <v>3198</v>
      </c>
      <c r="F1233" s="142" t="s">
        <v>3156</v>
      </c>
      <c r="G1233" s="141" t="s">
        <v>3207</v>
      </c>
      <c r="H1233" s="142" t="s">
        <v>3208</v>
      </c>
      <c r="I1233" s="141" t="s">
        <v>3209</v>
      </c>
      <c r="J1233" s="142" t="s">
        <v>3214</v>
      </c>
      <c r="K1233" s="142" t="s">
        <v>1048</v>
      </c>
      <c r="L1233" s="143">
        <f t="shared" si="38"/>
        <v>1</v>
      </c>
      <c r="M1233" s="144" t="s">
        <v>3215</v>
      </c>
      <c r="N1233" s="141" t="s">
        <v>3154</v>
      </c>
      <c r="O1233" s="142" t="s">
        <v>3155</v>
      </c>
      <c r="P1233" s="141" t="s">
        <v>3160</v>
      </c>
      <c r="Q1233" s="142" t="s">
        <v>3156</v>
      </c>
      <c r="R1233" s="141" t="s">
        <v>3212</v>
      </c>
      <c r="S1233" s="142" t="s">
        <v>3208</v>
      </c>
      <c r="T1233" s="141" t="s">
        <v>3216</v>
      </c>
      <c r="U1233" s="142" t="s">
        <v>3214</v>
      </c>
      <c r="V1233" s="142" t="s">
        <v>1048</v>
      </c>
      <c r="W1233" s="141">
        <f t="shared" si="39"/>
        <v>1</v>
      </c>
      <c r="X1233" s="143"/>
      <c r="Y1233" s="145"/>
      <c r="AA1233"/>
    </row>
    <row r="1234" spans="1:27" s="115" customFormat="1" ht="13.5" customHeight="1">
      <c r="A1234" s="139">
        <v>1157</v>
      </c>
      <c r="B1234" s="140" t="s">
        <v>5732</v>
      </c>
      <c r="C1234" s="141" t="s">
        <v>3154</v>
      </c>
      <c r="D1234" s="142" t="s">
        <v>3155</v>
      </c>
      <c r="E1234" s="141" t="s">
        <v>3198</v>
      </c>
      <c r="F1234" s="142" t="s">
        <v>3156</v>
      </c>
      <c r="G1234" s="141" t="s">
        <v>3207</v>
      </c>
      <c r="H1234" s="142" t="s">
        <v>3208</v>
      </c>
      <c r="I1234" s="141" t="s">
        <v>3209</v>
      </c>
      <c r="J1234" s="142" t="s">
        <v>3214</v>
      </c>
      <c r="K1234" s="142" t="s">
        <v>1049</v>
      </c>
      <c r="L1234" s="143">
        <f t="shared" si="38"/>
        <v>1</v>
      </c>
      <c r="M1234" s="144" t="s">
        <v>3217</v>
      </c>
      <c r="N1234" s="141" t="s">
        <v>3154</v>
      </c>
      <c r="O1234" s="142" t="s">
        <v>3155</v>
      </c>
      <c r="P1234" s="141" t="s">
        <v>3160</v>
      </c>
      <c r="Q1234" s="142" t="s">
        <v>3156</v>
      </c>
      <c r="R1234" s="141" t="s">
        <v>3212</v>
      </c>
      <c r="S1234" s="142" t="s">
        <v>3208</v>
      </c>
      <c r="T1234" s="141" t="s">
        <v>3216</v>
      </c>
      <c r="U1234" s="142" t="s">
        <v>3214</v>
      </c>
      <c r="V1234" s="142" t="s">
        <v>1049</v>
      </c>
      <c r="W1234" s="141">
        <f t="shared" si="39"/>
        <v>1</v>
      </c>
      <c r="X1234" s="143"/>
      <c r="Y1234" s="145"/>
      <c r="AA1234"/>
    </row>
    <row r="1235" spans="1:27" s="115" customFormat="1" ht="13.5" customHeight="1">
      <c r="A1235" s="139">
        <v>1158</v>
      </c>
      <c r="B1235" s="140" t="s">
        <v>5733</v>
      </c>
      <c r="C1235" s="141" t="s">
        <v>3154</v>
      </c>
      <c r="D1235" s="142" t="s">
        <v>3155</v>
      </c>
      <c r="E1235" s="141" t="s">
        <v>3198</v>
      </c>
      <c r="F1235" s="142" t="s">
        <v>3156</v>
      </c>
      <c r="G1235" s="141" t="s">
        <v>3207</v>
      </c>
      <c r="H1235" s="142" t="s">
        <v>3208</v>
      </c>
      <c r="I1235" s="141" t="s">
        <v>3209</v>
      </c>
      <c r="J1235" s="142" t="s">
        <v>3214</v>
      </c>
      <c r="K1235" s="142" t="s">
        <v>1050</v>
      </c>
      <c r="L1235" s="143">
        <f t="shared" si="38"/>
        <v>1</v>
      </c>
      <c r="M1235" s="144" t="s">
        <v>3218</v>
      </c>
      <c r="N1235" s="146" t="s">
        <v>3154</v>
      </c>
      <c r="O1235" s="147" t="s">
        <v>3155</v>
      </c>
      <c r="P1235" s="146" t="s">
        <v>3160</v>
      </c>
      <c r="Q1235" s="147" t="s">
        <v>3156</v>
      </c>
      <c r="R1235" s="146" t="s">
        <v>3212</v>
      </c>
      <c r="S1235" s="147" t="s">
        <v>3208</v>
      </c>
      <c r="T1235" s="146" t="s">
        <v>3216</v>
      </c>
      <c r="U1235" s="147" t="s">
        <v>3214</v>
      </c>
      <c r="V1235" s="147" t="s">
        <v>1050</v>
      </c>
      <c r="W1235" s="141">
        <f t="shared" si="39"/>
        <v>1</v>
      </c>
      <c r="X1235" s="143"/>
      <c r="Y1235" s="145"/>
      <c r="AA1235"/>
    </row>
    <row r="1236" spans="1:27" s="115" customFormat="1" ht="13.5" customHeight="1">
      <c r="A1236" s="139">
        <v>1159</v>
      </c>
      <c r="B1236" s="140" t="s">
        <v>5734</v>
      </c>
      <c r="C1236" s="141" t="s">
        <v>3154</v>
      </c>
      <c r="D1236" s="142" t="s">
        <v>3155</v>
      </c>
      <c r="E1236" s="141" t="s">
        <v>3198</v>
      </c>
      <c r="F1236" s="142" t="s">
        <v>3156</v>
      </c>
      <c r="G1236" s="141" t="s">
        <v>3207</v>
      </c>
      <c r="H1236" s="142" t="s">
        <v>3208</v>
      </c>
      <c r="I1236" s="141" t="s">
        <v>3209</v>
      </c>
      <c r="J1236" s="142" t="s">
        <v>3210</v>
      </c>
      <c r="K1236" s="142" t="s">
        <v>1051</v>
      </c>
      <c r="L1236" s="143">
        <f t="shared" si="38"/>
        <v>1</v>
      </c>
      <c r="M1236" s="144" t="s">
        <v>3219</v>
      </c>
      <c r="N1236" s="146" t="s">
        <v>3154</v>
      </c>
      <c r="O1236" s="147" t="s">
        <v>3155</v>
      </c>
      <c r="P1236" s="146" t="s">
        <v>3160</v>
      </c>
      <c r="Q1236" s="147" t="s">
        <v>3156</v>
      </c>
      <c r="R1236" s="146" t="s">
        <v>3212</v>
      </c>
      <c r="S1236" s="147" t="s">
        <v>3208</v>
      </c>
      <c r="T1236" s="146" t="s">
        <v>3213</v>
      </c>
      <c r="U1236" s="147" t="s">
        <v>3210</v>
      </c>
      <c r="V1236" s="147" t="s">
        <v>1051</v>
      </c>
      <c r="W1236" s="141">
        <f t="shared" si="39"/>
        <v>1</v>
      </c>
      <c r="X1236" s="143"/>
      <c r="Y1236" s="145"/>
      <c r="AA1236"/>
    </row>
    <row r="1237" spans="1:27" s="115" customFormat="1" ht="13.5" customHeight="1">
      <c r="A1237" s="139">
        <v>1160</v>
      </c>
      <c r="B1237" s="140" t="s">
        <v>5735</v>
      </c>
      <c r="C1237" s="141" t="s">
        <v>3154</v>
      </c>
      <c r="D1237" s="142" t="s">
        <v>3155</v>
      </c>
      <c r="E1237" s="141" t="s">
        <v>3198</v>
      </c>
      <c r="F1237" s="142" t="s">
        <v>3199</v>
      </c>
      <c r="G1237" s="141" t="s">
        <v>3207</v>
      </c>
      <c r="H1237" s="142" t="s">
        <v>3199</v>
      </c>
      <c r="I1237" s="141" t="s">
        <v>3209</v>
      </c>
      <c r="J1237" s="142" t="s">
        <v>1052</v>
      </c>
      <c r="K1237" s="142" t="s">
        <v>1052</v>
      </c>
      <c r="L1237" s="143">
        <f t="shared" si="38"/>
        <v>1</v>
      </c>
      <c r="M1237" s="144" t="s">
        <v>3220</v>
      </c>
      <c r="N1237" s="141" t="s">
        <v>3154</v>
      </c>
      <c r="O1237" s="142" t="s">
        <v>3155</v>
      </c>
      <c r="P1237" s="141" t="s">
        <v>3015</v>
      </c>
      <c r="Q1237" s="142" t="s">
        <v>3199</v>
      </c>
      <c r="R1237" s="141" t="s">
        <v>3204</v>
      </c>
      <c r="S1237" s="142" t="s">
        <v>3199</v>
      </c>
      <c r="T1237" s="141" t="s">
        <v>3221</v>
      </c>
      <c r="U1237" s="142" t="s">
        <v>1052</v>
      </c>
      <c r="V1237" s="142" t="s">
        <v>1052</v>
      </c>
      <c r="W1237" s="141">
        <f t="shared" si="39"/>
        <v>1</v>
      </c>
      <c r="X1237" s="143"/>
      <c r="Y1237" s="145"/>
      <c r="AA1237"/>
    </row>
    <row r="1238" spans="1:27" s="115" customFormat="1" ht="13.5" customHeight="1">
      <c r="A1238" s="139">
        <v>1161</v>
      </c>
      <c r="B1238" s="140" t="s">
        <v>5736</v>
      </c>
      <c r="C1238" s="141" t="s">
        <v>3154</v>
      </c>
      <c r="D1238" s="142" t="s">
        <v>3155</v>
      </c>
      <c r="E1238" s="141" t="s">
        <v>3198</v>
      </c>
      <c r="F1238" s="142" t="s">
        <v>3191</v>
      </c>
      <c r="G1238" s="141" t="s">
        <v>3222</v>
      </c>
      <c r="H1238" s="142" t="s">
        <v>3192</v>
      </c>
      <c r="I1238" s="141" t="s">
        <v>3223</v>
      </c>
      <c r="J1238" s="142" t="s">
        <v>3224</v>
      </c>
      <c r="K1238" s="142" t="s">
        <v>1053</v>
      </c>
      <c r="L1238" s="143">
        <f t="shared" si="38"/>
        <v>1</v>
      </c>
      <c r="M1238" s="144" t="s">
        <v>3225</v>
      </c>
      <c r="N1238" s="141" t="s">
        <v>3154</v>
      </c>
      <c r="O1238" s="142" t="s">
        <v>3155</v>
      </c>
      <c r="P1238" s="141" t="s">
        <v>3023</v>
      </c>
      <c r="Q1238" s="142" t="s">
        <v>3191</v>
      </c>
      <c r="R1238" s="141" t="s">
        <v>3194</v>
      </c>
      <c r="S1238" s="142" t="s">
        <v>3192</v>
      </c>
      <c r="T1238" s="141" t="s">
        <v>3226</v>
      </c>
      <c r="U1238" s="142" t="s">
        <v>3224</v>
      </c>
      <c r="V1238" s="142" t="s">
        <v>1053</v>
      </c>
      <c r="W1238" s="141">
        <f t="shared" si="39"/>
        <v>1</v>
      </c>
      <c r="X1238" s="143"/>
      <c r="Y1238" s="145"/>
      <c r="AA1238"/>
    </row>
    <row r="1239" spans="1:27" s="115" customFormat="1" ht="13.5" customHeight="1">
      <c r="A1239" s="139">
        <v>1162</v>
      </c>
      <c r="B1239" s="140" t="s">
        <v>5737</v>
      </c>
      <c r="C1239" s="141" t="s">
        <v>3154</v>
      </c>
      <c r="D1239" s="142" t="s">
        <v>3155</v>
      </c>
      <c r="E1239" s="141" t="s">
        <v>3198</v>
      </c>
      <c r="F1239" s="142" t="s">
        <v>3191</v>
      </c>
      <c r="G1239" s="141" t="s">
        <v>3222</v>
      </c>
      <c r="H1239" s="142" t="s">
        <v>3192</v>
      </c>
      <c r="I1239" s="141" t="s">
        <v>3223</v>
      </c>
      <c r="J1239" s="142" t="s">
        <v>3224</v>
      </c>
      <c r="K1239" s="142" t="s">
        <v>1054</v>
      </c>
      <c r="L1239" s="143">
        <f t="shared" si="38"/>
        <v>1</v>
      </c>
      <c r="M1239" s="144" t="s">
        <v>3227</v>
      </c>
      <c r="N1239" s="141" t="s">
        <v>3154</v>
      </c>
      <c r="O1239" s="142" t="s">
        <v>3155</v>
      </c>
      <c r="P1239" s="141" t="s">
        <v>3023</v>
      </c>
      <c r="Q1239" s="142" t="s">
        <v>3191</v>
      </c>
      <c r="R1239" s="141" t="s">
        <v>3194</v>
      </c>
      <c r="S1239" s="142" t="s">
        <v>3192</v>
      </c>
      <c r="T1239" s="141" t="s">
        <v>3226</v>
      </c>
      <c r="U1239" s="142" t="s">
        <v>3224</v>
      </c>
      <c r="V1239" s="142" t="s">
        <v>1054</v>
      </c>
      <c r="W1239" s="141">
        <f t="shared" si="39"/>
        <v>1</v>
      </c>
      <c r="X1239" s="143"/>
      <c r="Y1239" s="145"/>
      <c r="AA1239"/>
    </row>
    <row r="1240" spans="1:27" s="115" customFormat="1" ht="13.5" customHeight="1">
      <c r="A1240" s="139">
        <v>1163</v>
      </c>
      <c r="B1240" s="140" t="s">
        <v>5738</v>
      </c>
      <c r="C1240" s="141" t="s">
        <v>3154</v>
      </c>
      <c r="D1240" s="142" t="s">
        <v>3155</v>
      </c>
      <c r="E1240" s="141" t="s">
        <v>3198</v>
      </c>
      <c r="F1240" s="142" t="s">
        <v>3191</v>
      </c>
      <c r="G1240" s="141" t="s">
        <v>3228</v>
      </c>
      <c r="H1240" s="142" t="s">
        <v>3229</v>
      </c>
      <c r="I1240" s="141" t="s">
        <v>3230</v>
      </c>
      <c r="J1240" s="142" t="s">
        <v>1057</v>
      </c>
      <c r="K1240" s="142" t="s">
        <v>1055</v>
      </c>
      <c r="L1240" s="143">
        <f t="shared" si="38"/>
        <v>1</v>
      </c>
      <c r="M1240" s="144" t="s">
        <v>3231</v>
      </c>
      <c r="N1240" s="141" t="s">
        <v>3154</v>
      </c>
      <c r="O1240" s="142" t="s">
        <v>3155</v>
      </c>
      <c r="P1240" s="141" t="s">
        <v>3023</v>
      </c>
      <c r="Q1240" s="142" t="s">
        <v>3191</v>
      </c>
      <c r="R1240" s="141" t="s">
        <v>3232</v>
      </c>
      <c r="S1240" s="142" t="s">
        <v>3229</v>
      </c>
      <c r="T1240" s="141" t="s">
        <v>3233</v>
      </c>
      <c r="U1240" s="142" t="s">
        <v>1057</v>
      </c>
      <c r="V1240" s="142" t="s">
        <v>1055</v>
      </c>
      <c r="W1240" s="141">
        <f t="shared" si="39"/>
        <v>1</v>
      </c>
      <c r="X1240" s="143"/>
      <c r="Y1240" s="145"/>
      <c r="AA1240"/>
    </row>
    <row r="1241" spans="1:27" s="115" customFormat="1" ht="13.5" customHeight="1">
      <c r="A1241" s="139">
        <v>1164</v>
      </c>
      <c r="B1241" s="140" t="s">
        <v>5739</v>
      </c>
      <c r="C1241" s="141" t="s">
        <v>3154</v>
      </c>
      <c r="D1241" s="142" t="s">
        <v>3155</v>
      </c>
      <c r="E1241" s="141" t="s">
        <v>3198</v>
      </c>
      <c r="F1241" s="142" t="s">
        <v>3191</v>
      </c>
      <c r="G1241" s="141" t="s">
        <v>3228</v>
      </c>
      <c r="H1241" s="142" t="s">
        <v>3229</v>
      </c>
      <c r="I1241" s="141" t="s">
        <v>3230</v>
      </c>
      <c r="J1241" s="142" t="s">
        <v>1056</v>
      </c>
      <c r="K1241" s="142" t="s">
        <v>1056</v>
      </c>
      <c r="L1241" s="143">
        <f t="shared" si="38"/>
        <v>1</v>
      </c>
      <c r="M1241" s="144" t="s">
        <v>3234</v>
      </c>
      <c r="N1241" s="146" t="s">
        <v>3154</v>
      </c>
      <c r="O1241" s="147" t="s">
        <v>3155</v>
      </c>
      <c r="P1241" s="146" t="s">
        <v>3023</v>
      </c>
      <c r="Q1241" s="147" t="s">
        <v>3191</v>
      </c>
      <c r="R1241" s="146" t="s">
        <v>3232</v>
      </c>
      <c r="S1241" s="147" t="s">
        <v>3229</v>
      </c>
      <c r="T1241" s="146" t="s">
        <v>3235</v>
      </c>
      <c r="U1241" s="147" t="s">
        <v>1056</v>
      </c>
      <c r="V1241" s="147" t="s">
        <v>1056</v>
      </c>
      <c r="W1241" s="141">
        <f t="shared" si="39"/>
        <v>1</v>
      </c>
      <c r="X1241" s="143"/>
      <c r="Y1241" s="145"/>
      <c r="AA1241"/>
    </row>
    <row r="1242" spans="1:27" s="115" customFormat="1" ht="13.5" customHeight="1">
      <c r="A1242" s="139">
        <v>1165</v>
      </c>
      <c r="B1242" s="140" t="s">
        <v>5740</v>
      </c>
      <c r="C1242" s="141" t="s">
        <v>3154</v>
      </c>
      <c r="D1242" s="142" t="s">
        <v>3155</v>
      </c>
      <c r="E1242" s="141" t="s">
        <v>3198</v>
      </c>
      <c r="F1242" s="142" t="s">
        <v>3191</v>
      </c>
      <c r="G1242" s="141" t="s">
        <v>3228</v>
      </c>
      <c r="H1242" s="142" t="s">
        <v>3229</v>
      </c>
      <c r="I1242" s="141" t="s">
        <v>3230</v>
      </c>
      <c r="J1242" s="142" t="s">
        <v>1057</v>
      </c>
      <c r="K1242" s="142" t="s">
        <v>1057</v>
      </c>
      <c r="L1242" s="143">
        <f t="shared" si="38"/>
        <v>1</v>
      </c>
      <c r="M1242" s="144" t="s">
        <v>3236</v>
      </c>
      <c r="N1242" s="146" t="s">
        <v>3154</v>
      </c>
      <c r="O1242" s="147" t="s">
        <v>3155</v>
      </c>
      <c r="P1242" s="146" t="s">
        <v>3023</v>
      </c>
      <c r="Q1242" s="147" t="s">
        <v>3191</v>
      </c>
      <c r="R1242" s="146" t="s">
        <v>3232</v>
      </c>
      <c r="S1242" s="147" t="s">
        <v>3229</v>
      </c>
      <c r="T1242" s="146" t="s">
        <v>3233</v>
      </c>
      <c r="U1242" s="147" t="s">
        <v>1057</v>
      </c>
      <c r="V1242" s="147" t="s">
        <v>1057</v>
      </c>
      <c r="W1242" s="141">
        <f t="shared" si="39"/>
        <v>1</v>
      </c>
      <c r="X1242" s="143"/>
      <c r="Y1242" s="145"/>
      <c r="AA1242"/>
    </row>
    <row r="1243" spans="1:27" s="115" customFormat="1" ht="13.5" customHeight="1">
      <c r="A1243" s="139">
        <v>1166</v>
      </c>
      <c r="B1243" s="140" t="s">
        <v>5742</v>
      </c>
      <c r="C1243" s="141" t="s">
        <v>3154</v>
      </c>
      <c r="D1243" s="142" t="s">
        <v>3155</v>
      </c>
      <c r="E1243" s="141" t="s">
        <v>3198</v>
      </c>
      <c r="F1243" s="142" t="s">
        <v>3199</v>
      </c>
      <c r="G1243" s="141" t="s">
        <v>3237</v>
      </c>
      <c r="H1243" s="142" t="s">
        <v>3199</v>
      </c>
      <c r="I1243" s="141" t="s">
        <v>3238</v>
      </c>
      <c r="J1243" s="142" t="s">
        <v>1058</v>
      </c>
      <c r="K1243" s="142" t="s">
        <v>1058</v>
      </c>
      <c r="L1243" s="143">
        <f t="shared" si="38"/>
        <v>1</v>
      </c>
      <c r="M1243" s="144" t="s">
        <v>3239</v>
      </c>
      <c r="N1243" s="141" t="s">
        <v>3154</v>
      </c>
      <c r="O1243" s="142" t="s">
        <v>3155</v>
      </c>
      <c r="P1243" s="141" t="s">
        <v>3015</v>
      </c>
      <c r="Q1243" s="142" t="s">
        <v>3199</v>
      </c>
      <c r="R1243" s="141" t="s">
        <v>3204</v>
      </c>
      <c r="S1243" s="142" t="s">
        <v>3199</v>
      </c>
      <c r="T1243" s="141" t="s">
        <v>3240</v>
      </c>
      <c r="U1243" s="142" t="s">
        <v>1058</v>
      </c>
      <c r="V1243" s="142" t="s">
        <v>1058</v>
      </c>
      <c r="W1243" s="141">
        <f t="shared" si="39"/>
        <v>1</v>
      </c>
      <c r="X1243" s="143"/>
      <c r="Y1243" s="145"/>
      <c r="AA1243"/>
    </row>
    <row r="1244" spans="1:27" s="115" customFormat="1" ht="40.5" customHeight="1">
      <c r="A1244" s="139">
        <v>1167</v>
      </c>
      <c r="B1244" s="140" t="s">
        <v>5897</v>
      </c>
      <c r="C1244" s="141" t="s">
        <v>3154</v>
      </c>
      <c r="D1244" s="142" t="s">
        <v>3155</v>
      </c>
      <c r="E1244" s="141" t="s">
        <v>2157</v>
      </c>
      <c r="F1244" s="142" t="s">
        <v>3171</v>
      </c>
      <c r="G1244" s="141" t="s">
        <v>3241</v>
      </c>
      <c r="H1244" s="142" t="s">
        <v>3242</v>
      </c>
      <c r="I1244" s="141" t="s">
        <v>3243</v>
      </c>
      <c r="J1244" s="142" t="s">
        <v>1059</v>
      </c>
      <c r="K1244" s="142" t="s">
        <v>1059</v>
      </c>
      <c r="L1244" s="143">
        <f t="shared" si="38"/>
        <v>1</v>
      </c>
      <c r="M1244" s="144" t="s">
        <v>3244</v>
      </c>
      <c r="N1244" s="141" t="s">
        <v>3154</v>
      </c>
      <c r="O1244" s="142" t="s">
        <v>3155</v>
      </c>
      <c r="P1244" s="141" t="s">
        <v>3175</v>
      </c>
      <c r="Q1244" s="142" t="s">
        <v>3171</v>
      </c>
      <c r="R1244" s="141" t="s">
        <v>3245</v>
      </c>
      <c r="S1244" s="142" t="s">
        <v>3242</v>
      </c>
      <c r="T1244" s="141" t="s">
        <v>3246</v>
      </c>
      <c r="U1244" s="142" t="s">
        <v>1059</v>
      </c>
      <c r="V1244" s="142" t="s">
        <v>1059</v>
      </c>
      <c r="W1244" s="141">
        <f t="shared" si="39"/>
        <v>1</v>
      </c>
      <c r="X1244" s="143"/>
      <c r="Y1244" s="145"/>
      <c r="AA1244"/>
    </row>
    <row r="1245" spans="1:27" s="115" customFormat="1" ht="40.5" customHeight="1">
      <c r="A1245" s="139">
        <v>1168</v>
      </c>
      <c r="B1245" s="140" t="s">
        <v>5898</v>
      </c>
      <c r="C1245" s="141" t="s">
        <v>3154</v>
      </c>
      <c r="D1245" s="142" t="s">
        <v>3155</v>
      </c>
      <c r="E1245" s="141" t="s">
        <v>2157</v>
      </c>
      <c r="F1245" s="142" t="s">
        <v>3171</v>
      </c>
      <c r="G1245" s="141" t="s">
        <v>3241</v>
      </c>
      <c r="H1245" s="142" t="s">
        <v>3242</v>
      </c>
      <c r="I1245" s="141" t="s">
        <v>3247</v>
      </c>
      <c r="J1245" s="142" t="s">
        <v>3248</v>
      </c>
      <c r="K1245" s="142" t="s">
        <v>257</v>
      </c>
      <c r="L1245" s="143">
        <f t="shared" si="38"/>
        <v>1</v>
      </c>
      <c r="M1245" s="144" t="s">
        <v>3249</v>
      </c>
      <c r="N1245" s="141" t="s">
        <v>3154</v>
      </c>
      <c r="O1245" s="142" t="s">
        <v>3155</v>
      </c>
      <c r="P1245" s="141" t="s">
        <v>3175</v>
      </c>
      <c r="Q1245" s="142" t="s">
        <v>3171</v>
      </c>
      <c r="R1245" s="141" t="s">
        <v>3245</v>
      </c>
      <c r="S1245" s="142" t="s">
        <v>3242</v>
      </c>
      <c r="T1245" s="141" t="s">
        <v>3250</v>
      </c>
      <c r="U1245" s="142" t="s">
        <v>3248</v>
      </c>
      <c r="V1245" s="142" t="s">
        <v>257</v>
      </c>
      <c r="W1245" s="141">
        <f t="shared" si="39"/>
        <v>1</v>
      </c>
      <c r="X1245" s="143"/>
      <c r="Y1245" s="145"/>
      <c r="AA1245"/>
    </row>
    <row r="1246" spans="1:27" s="115" customFormat="1" ht="40.5" customHeight="1">
      <c r="A1246" s="139">
        <v>1169</v>
      </c>
      <c r="B1246" s="140" t="s">
        <v>5899</v>
      </c>
      <c r="C1246" s="141" t="s">
        <v>3154</v>
      </c>
      <c r="D1246" s="142" t="s">
        <v>3155</v>
      </c>
      <c r="E1246" s="141" t="s">
        <v>2157</v>
      </c>
      <c r="F1246" s="142" t="s">
        <v>3251</v>
      </c>
      <c r="G1246" s="141" t="s">
        <v>3241</v>
      </c>
      <c r="H1246" s="142" t="s">
        <v>258</v>
      </c>
      <c r="I1246" s="141" t="s">
        <v>3252</v>
      </c>
      <c r="J1246" s="142" t="s">
        <v>258</v>
      </c>
      <c r="K1246" s="142" t="s">
        <v>258</v>
      </c>
      <c r="L1246" s="143">
        <f t="shared" si="38"/>
        <v>1</v>
      </c>
      <c r="M1246" s="144" t="s">
        <v>3253</v>
      </c>
      <c r="N1246" s="141" t="s">
        <v>3154</v>
      </c>
      <c r="O1246" s="142" t="s">
        <v>3155</v>
      </c>
      <c r="P1246" s="141" t="s">
        <v>2928</v>
      </c>
      <c r="Q1246" s="142" t="s">
        <v>3251</v>
      </c>
      <c r="R1246" s="141" t="s">
        <v>2930</v>
      </c>
      <c r="S1246" s="142" t="s">
        <v>258</v>
      </c>
      <c r="T1246" s="141" t="s">
        <v>2932</v>
      </c>
      <c r="U1246" s="142" t="s">
        <v>258</v>
      </c>
      <c r="V1246" s="142" t="s">
        <v>258</v>
      </c>
      <c r="W1246" s="141">
        <f t="shared" si="39"/>
        <v>1</v>
      </c>
      <c r="X1246" s="143"/>
      <c r="Y1246" s="145"/>
      <c r="AA1246"/>
    </row>
    <row r="1247" spans="1:27" s="115" customFormat="1" ht="40.5" customHeight="1">
      <c r="A1247" s="139">
        <v>1170</v>
      </c>
      <c r="B1247" s="140" t="s">
        <v>5900</v>
      </c>
      <c r="C1247" s="141" t="s">
        <v>3154</v>
      </c>
      <c r="D1247" s="142" t="s">
        <v>3155</v>
      </c>
      <c r="E1247" s="141" t="s">
        <v>2157</v>
      </c>
      <c r="F1247" s="142" t="s">
        <v>3251</v>
      </c>
      <c r="G1247" s="141" t="s">
        <v>3241</v>
      </c>
      <c r="H1247" s="142" t="s">
        <v>3254</v>
      </c>
      <c r="I1247" s="141" t="s">
        <v>3252</v>
      </c>
      <c r="J1247" s="142" t="s">
        <v>259</v>
      </c>
      <c r="K1247" s="142" t="s">
        <v>259</v>
      </c>
      <c r="L1247" s="143">
        <f t="shared" si="38"/>
        <v>1</v>
      </c>
      <c r="M1247" s="144" t="s">
        <v>3255</v>
      </c>
      <c r="N1247" s="141" t="s">
        <v>3154</v>
      </c>
      <c r="O1247" s="142" t="s">
        <v>3155</v>
      </c>
      <c r="P1247" s="141" t="s">
        <v>2928</v>
      </c>
      <c r="Q1247" s="142" t="s">
        <v>3251</v>
      </c>
      <c r="R1247" s="141" t="s">
        <v>2943</v>
      </c>
      <c r="S1247" s="142" t="s">
        <v>3254</v>
      </c>
      <c r="T1247" s="141" t="s">
        <v>2944</v>
      </c>
      <c r="U1247" s="142" t="s">
        <v>259</v>
      </c>
      <c r="V1247" s="142" t="s">
        <v>259</v>
      </c>
      <c r="W1247" s="141">
        <f t="shared" si="39"/>
        <v>1</v>
      </c>
      <c r="X1247" s="143"/>
      <c r="Y1247" s="145"/>
      <c r="AA1247"/>
    </row>
    <row r="1248" spans="1:27" s="115" customFormat="1" ht="40.5" customHeight="1">
      <c r="A1248" s="139">
        <v>1171</v>
      </c>
      <c r="B1248" s="140" t="s">
        <v>5901</v>
      </c>
      <c r="C1248" s="141" t="s">
        <v>3154</v>
      </c>
      <c r="D1248" s="142" t="s">
        <v>3155</v>
      </c>
      <c r="E1248" s="141" t="s">
        <v>2157</v>
      </c>
      <c r="F1248" s="142" t="s">
        <v>3251</v>
      </c>
      <c r="G1248" s="141" t="s">
        <v>3241</v>
      </c>
      <c r="H1248" s="142" t="s">
        <v>3254</v>
      </c>
      <c r="I1248" s="141" t="s">
        <v>3252</v>
      </c>
      <c r="J1248" s="142" t="s">
        <v>3256</v>
      </c>
      <c r="K1248" s="142" t="s">
        <v>1060</v>
      </c>
      <c r="L1248" s="143">
        <f t="shared" si="38"/>
        <v>1</v>
      </c>
      <c r="M1248" s="144" t="s">
        <v>3257</v>
      </c>
      <c r="N1248" s="141" t="s">
        <v>3154</v>
      </c>
      <c r="O1248" s="142" t="s">
        <v>3155</v>
      </c>
      <c r="P1248" s="141" t="s">
        <v>2928</v>
      </c>
      <c r="Q1248" s="142" t="s">
        <v>3251</v>
      </c>
      <c r="R1248" s="141" t="s">
        <v>2943</v>
      </c>
      <c r="S1248" s="142" t="s">
        <v>3254</v>
      </c>
      <c r="T1248" s="141" t="s">
        <v>2951</v>
      </c>
      <c r="U1248" s="142" t="s">
        <v>3256</v>
      </c>
      <c r="V1248" s="142" t="s">
        <v>1060</v>
      </c>
      <c r="W1248" s="141">
        <f t="shared" si="39"/>
        <v>1</v>
      </c>
      <c r="X1248" s="143"/>
      <c r="Y1248" s="145"/>
      <c r="AA1248"/>
    </row>
    <row r="1249" spans="1:27" s="115" customFormat="1" ht="40.5" customHeight="1">
      <c r="A1249" s="139">
        <v>1172</v>
      </c>
      <c r="B1249" s="140" t="s">
        <v>5902</v>
      </c>
      <c r="C1249" s="141" t="s">
        <v>3154</v>
      </c>
      <c r="D1249" s="142" t="s">
        <v>3155</v>
      </c>
      <c r="E1249" s="141" t="s">
        <v>2157</v>
      </c>
      <c r="F1249" s="142" t="s">
        <v>3171</v>
      </c>
      <c r="G1249" s="141" t="s">
        <v>3241</v>
      </c>
      <c r="H1249" s="142" t="s">
        <v>3242</v>
      </c>
      <c r="I1249" s="141" t="s">
        <v>3252</v>
      </c>
      <c r="J1249" s="142" t="s">
        <v>3258</v>
      </c>
      <c r="K1249" s="142" t="s">
        <v>1061</v>
      </c>
      <c r="L1249" s="143">
        <f t="shared" si="38"/>
        <v>1</v>
      </c>
      <c r="M1249" s="144" t="s">
        <v>3259</v>
      </c>
      <c r="N1249" s="141" t="s">
        <v>3154</v>
      </c>
      <c r="O1249" s="142" t="s">
        <v>3155</v>
      </c>
      <c r="P1249" s="141" t="s">
        <v>3175</v>
      </c>
      <c r="Q1249" s="142" t="s">
        <v>3171</v>
      </c>
      <c r="R1249" s="141" t="s">
        <v>3245</v>
      </c>
      <c r="S1249" s="142" t="s">
        <v>3242</v>
      </c>
      <c r="T1249" s="141" t="s">
        <v>3260</v>
      </c>
      <c r="U1249" s="142" t="s">
        <v>3258</v>
      </c>
      <c r="V1249" s="142" t="s">
        <v>1061</v>
      </c>
      <c r="W1249" s="141">
        <f t="shared" si="39"/>
        <v>1</v>
      </c>
      <c r="X1249" s="143"/>
      <c r="Y1249" s="145"/>
      <c r="AA1249"/>
    </row>
    <row r="1250" spans="1:27" s="115" customFormat="1" ht="40.5" customHeight="1">
      <c r="A1250" s="139">
        <v>1173</v>
      </c>
      <c r="B1250" s="140" t="s">
        <v>5903</v>
      </c>
      <c r="C1250" s="141" t="s">
        <v>3154</v>
      </c>
      <c r="D1250" s="142" t="s">
        <v>3155</v>
      </c>
      <c r="E1250" s="141" t="s">
        <v>2157</v>
      </c>
      <c r="F1250" s="142" t="s">
        <v>3251</v>
      </c>
      <c r="G1250" s="141" t="s">
        <v>3241</v>
      </c>
      <c r="H1250" s="142" t="s">
        <v>3254</v>
      </c>
      <c r="I1250" s="141" t="s">
        <v>3252</v>
      </c>
      <c r="J1250" s="142" t="s">
        <v>3256</v>
      </c>
      <c r="K1250" s="142" t="s">
        <v>1062</v>
      </c>
      <c r="L1250" s="143">
        <f t="shared" si="38"/>
        <v>1</v>
      </c>
      <c r="M1250" s="144" t="s">
        <v>3261</v>
      </c>
      <c r="N1250" s="146" t="s">
        <v>3154</v>
      </c>
      <c r="O1250" s="147" t="s">
        <v>3155</v>
      </c>
      <c r="P1250" s="146" t="s">
        <v>2928</v>
      </c>
      <c r="Q1250" s="147" t="s">
        <v>3251</v>
      </c>
      <c r="R1250" s="146" t="s">
        <v>2943</v>
      </c>
      <c r="S1250" s="147" t="s">
        <v>3254</v>
      </c>
      <c r="T1250" s="146" t="s">
        <v>2951</v>
      </c>
      <c r="U1250" s="147" t="s">
        <v>3256</v>
      </c>
      <c r="V1250" s="147" t="s">
        <v>1062</v>
      </c>
      <c r="W1250" s="141">
        <f t="shared" si="39"/>
        <v>1</v>
      </c>
      <c r="X1250" s="143"/>
      <c r="Y1250" s="145"/>
      <c r="AA1250"/>
    </row>
    <row r="1251" spans="1:27" s="115" customFormat="1" ht="13.5" customHeight="1">
      <c r="A1251" s="139">
        <v>1174</v>
      </c>
      <c r="B1251" s="140" t="s">
        <v>5904</v>
      </c>
      <c r="C1251" s="141" t="s">
        <v>3154</v>
      </c>
      <c r="D1251" s="142" t="s">
        <v>3155</v>
      </c>
      <c r="E1251" s="141" t="s">
        <v>2157</v>
      </c>
      <c r="F1251" s="142" t="s">
        <v>3251</v>
      </c>
      <c r="G1251" s="141" t="s">
        <v>3241</v>
      </c>
      <c r="H1251" s="142" t="s">
        <v>3254</v>
      </c>
      <c r="I1251" s="141" t="s">
        <v>3252</v>
      </c>
      <c r="J1251" s="142" t="s">
        <v>3256</v>
      </c>
      <c r="K1251" s="142" t="s">
        <v>1063</v>
      </c>
      <c r="L1251" s="143">
        <f t="shared" si="38"/>
        <v>1</v>
      </c>
      <c r="M1251" s="144" t="s">
        <v>3262</v>
      </c>
      <c r="N1251" s="146" t="s">
        <v>3154</v>
      </c>
      <c r="O1251" s="147" t="s">
        <v>3155</v>
      </c>
      <c r="P1251" s="146" t="s">
        <v>2928</v>
      </c>
      <c r="Q1251" s="147" t="s">
        <v>3251</v>
      </c>
      <c r="R1251" s="146" t="s">
        <v>2943</v>
      </c>
      <c r="S1251" s="147" t="s">
        <v>3254</v>
      </c>
      <c r="T1251" s="146" t="s">
        <v>2951</v>
      </c>
      <c r="U1251" s="147" t="s">
        <v>3256</v>
      </c>
      <c r="V1251" s="147" t="s">
        <v>1063</v>
      </c>
      <c r="W1251" s="141">
        <f t="shared" si="39"/>
        <v>1</v>
      </c>
      <c r="X1251" s="143"/>
      <c r="Y1251" s="145"/>
      <c r="AA1251"/>
    </row>
    <row r="1252" spans="1:27" s="115" customFormat="1" ht="27" customHeight="1">
      <c r="A1252" s="139">
        <v>1175</v>
      </c>
      <c r="B1252" s="140" t="s">
        <v>5912</v>
      </c>
      <c r="C1252" s="141" t="s">
        <v>3154</v>
      </c>
      <c r="D1252" s="142" t="s">
        <v>3155</v>
      </c>
      <c r="E1252" s="141" t="s">
        <v>2157</v>
      </c>
      <c r="F1252" s="142" t="s">
        <v>3171</v>
      </c>
      <c r="G1252" s="141" t="s">
        <v>3241</v>
      </c>
      <c r="H1252" s="142" t="s">
        <v>3242</v>
      </c>
      <c r="I1252" s="141" t="s">
        <v>3263</v>
      </c>
      <c r="J1252" s="142" t="s">
        <v>3258</v>
      </c>
      <c r="K1252" s="142" t="s">
        <v>260</v>
      </c>
      <c r="L1252" s="143">
        <f t="shared" si="38"/>
        <v>1</v>
      </c>
      <c r="M1252" s="144" t="s">
        <v>3264</v>
      </c>
      <c r="N1252" s="141" t="s">
        <v>3154</v>
      </c>
      <c r="O1252" s="142" t="s">
        <v>3155</v>
      </c>
      <c r="P1252" s="141" t="s">
        <v>3175</v>
      </c>
      <c r="Q1252" s="142" t="s">
        <v>3171</v>
      </c>
      <c r="R1252" s="141" t="s">
        <v>3245</v>
      </c>
      <c r="S1252" s="142" t="s">
        <v>3242</v>
      </c>
      <c r="T1252" s="141" t="s">
        <v>3260</v>
      </c>
      <c r="U1252" s="142" t="s">
        <v>3258</v>
      </c>
      <c r="V1252" s="142" t="s">
        <v>260</v>
      </c>
      <c r="W1252" s="141">
        <f t="shared" si="39"/>
        <v>1</v>
      </c>
      <c r="X1252" s="143"/>
      <c r="Y1252" s="145"/>
      <c r="AA1252"/>
    </row>
    <row r="1253" spans="1:27" s="115" customFormat="1" ht="13.5" customHeight="1">
      <c r="A1253" s="139">
        <v>1176</v>
      </c>
      <c r="B1253" s="140" t="s">
        <v>5913</v>
      </c>
      <c r="C1253" s="141" t="s">
        <v>3154</v>
      </c>
      <c r="D1253" s="142" t="s">
        <v>3155</v>
      </c>
      <c r="E1253" s="141" t="s">
        <v>2157</v>
      </c>
      <c r="F1253" s="142" t="s">
        <v>3171</v>
      </c>
      <c r="G1253" s="141" t="s">
        <v>3241</v>
      </c>
      <c r="H1253" s="142" t="s">
        <v>3242</v>
      </c>
      <c r="I1253" s="141" t="s">
        <v>3263</v>
      </c>
      <c r="J1253" s="142" t="s">
        <v>3258</v>
      </c>
      <c r="K1253" s="142" t="s">
        <v>1064</v>
      </c>
      <c r="L1253" s="143">
        <f t="shared" si="38"/>
        <v>1</v>
      </c>
      <c r="M1253" s="144" t="s">
        <v>3265</v>
      </c>
      <c r="N1253" s="141" t="s">
        <v>3154</v>
      </c>
      <c r="O1253" s="142" t="s">
        <v>3155</v>
      </c>
      <c r="P1253" s="141" t="s">
        <v>3175</v>
      </c>
      <c r="Q1253" s="142" t="s">
        <v>3171</v>
      </c>
      <c r="R1253" s="141" t="s">
        <v>3245</v>
      </c>
      <c r="S1253" s="142" t="s">
        <v>3242</v>
      </c>
      <c r="T1253" s="141" t="s">
        <v>3260</v>
      </c>
      <c r="U1253" s="142" t="s">
        <v>3258</v>
      </c>
      <c r="V1253" s="142" t="s">
        <v>1064</v>
      </c>
      <c r="W1253" s="141">
        <f t="shared" si="39"/>
        <v>2</v>
      </c>
      <c r="X1253" s="143">
        <v>1</v>
      </c>
      <c r="Y1253" s="145"/>
      <c r="AA1253"/>
    </row>
    <row r="1254" spans="1:27" s="115" customFormat="1" ht="13.5" customHeight="1">
      <c r="A1254" s="139">
        <v>1177</v>
      </c>
      <c r="B1254" s="140" t="s">
        <v>5914</v>
      </c>
      <c r="C1254" s="141" t="s">
        <v>3154</v>
      </c>
      <c r="D1254" s="142" t="s">
        <v>3155</v>
      </c>
      <c r="E1254" s="141" t="s">
        <v>2157</v>
      </c>
      <c r="F1254" s="142" t="s">
        <v>3171</v>
      </c>
      <c r="G1254" s="141" t="s">
        <v>3241</v>
      </c>
      <c r="H1254" s="142" t="s">
        <v>3242</v>
      </c>
      <c r="I1254" s="141" t="s">
        <v>3263</v>
      </c>
      <c r="J1254" s="142" t="s">
        <v>1065</v>
      </c>
      <c r="K1254" s="142" t="s">
        <v>1065</v>
      </c>
      <c r="L1254" s="143">
        <f t="shared" si="38"/>
        <v>1</v>
      </c>
      <c r="M1254" s="144" t="s">
        <v>3266</v>
      </c>
      <c r="N1254" s="141" t="s">
        <v>3154</v>
      </c>
      <c r="O1254" s="142" t="s">
        <v>3155</v>
      </c>
      <c r="P1254" s="141" t="s">
        <v>3175</v>
      </c>
      <c r="Q1254" s="142" t="s">
        <v>3171</v>
      </c>
      <c r="R1254" s="141" t="s">
        <v>3245</v>
      </c>
      <c r="S1254" s="142" t="s">
        <v>3242</v>
      </c>
      <c r="T1254" s="141" t="s">
        <v>3267</v>
      </c>
      <c r="U1254" s="142" t="s">
        <v>1065</v>
      </c>
      <c r="V1254" s="142" t="s">
        <v>1065</v>
      </c>
      <c r="W1254" s="141">
        <f t="shared" si="39"/>
        <v>1</v>
      </c>
      <c r="X1254" s="143"/>
      <c r="Y1254" s="145"/>
      <c r="AA1254"/>
    </row>
    <row r="1255" spans="1:27" s="115" customFormat="1" ht="13.5" customHeight="1">
      <c r="A1255" s="139">
        <v>1178</v>
      </c>
      <c r="B1255" s="140" t="s">
        <v>5915</v>
      </c>
      <c r="C1255" s="141" t="s">
        <v>3154</v>
      </c>
      <c r="D1255" s="142" t="s">
        <v>3155</v>
      </c>
      <c r="E1255" s="141" t="s">
        <v>2157</v>
      </c>
      <c r="F1255" s="142" t="s">
        <v>3171</v>
      </c>
      <c r="G1255" s="141" t="s">
        <v>3241</v>
      </c>
      <c r="H1255" s="142" t="s">
        <v>3242</v>
      </c>
      <c r="I1255" s="141" t="s">
        <v>3263</v>
      </c>
      <c r="J1255" s="142" t="s">
        <v>3258</v>
      </c>
      <c r="K1255" s="142" t="s">
        <v>1066</v>
      </c>
      <c r="L1255" s="143">
        <f t="shared" si="38"/>
        <v>1</v>
      </c>
      <c r="M1255" s="144" t="s">
        <v>3268</v>
      </c>
      <c r="N1255" s="141" t="s">
        <v>3154</v>
      </c>
      <c r="O1255" s="142" t="s">
        <v>3155</v>
      </c>
      <c r="P1255" s="141" t="s">
        <v>3175</v>
      </c>
      <c r="Q1255" s="142" t="s">
        <v>3171</v>
      </c>
      <c r="R1255" s="141" t="s">
        <v>3245</v>
      </c>
      <c r="S1255" s="142" t="s">
        <v>3242</v>
      </c>
      <c r="T1255" s="141" t="s">
        <v>3260</v>
      </c>
      <c r="U1255" s="142" t="s">
        <v>3258</v>
      </c>
      <c r="V1255" s="142" t="s">
        <v>1066</v>
      </c>
      <c r="W1255" s="141">
        <f t="shared" si="39"/>
        <v>2</v>
      </c>
      <c r="X1255" s="143"/>
      <c r="Y1255" s="145"/>
      <c r="AA1255"/>
    </row>
    <row r="1256" spans="1:27" s="115" customFormat="1" ht="13.5" customHeight="1">
      <c r="A1256" s="139">
        <v>1179</v>
      </c>
      <c r="B1256" s="140" t="s">
        <v>6073</v>
      </c>
      <c r="C1256" s="141" t="s">
        <v>3154</v>
      </c>
      <c r="D1256" s="142" t="s">
        <v>3155</v>
      </c>
      <c r="E1256" s="141" t="s">
        <v>2157</v>
      </c>
      <c r="F1256" s="142" t="s">
        <v>3171</v>
      </c>
      <c r="G1256" s="141" t="s">
        <v>3241</v>
      </c>
      <c r="H1256" s="142" t="s">
        <v>3242</v>
      </c>
      <c r="I1256" s="141" t="s">
        <v>3263</v>
      </c>
      <c r="J1256" s="142" t="s">
        <v>3258</v>
      </c>
      <c r="K1256" s="142" t="s">
        <v>1067</v>
      </c>
      <c r="L1256" s="143">
        <f t="shared" si="38"/>
        <v>2</v>
      </c>
      <c r="M1256" s="144" t="s">
        <v>3265</v>
      </c>
      <c r="N1256" s="141" t="s">
        <v>3154</v>
      </c>
      <c r="O1256" s="142" t="s">
        <v>3155</v>
      </c>
      <c r="P1256" s="141" t="s">
        <v>3175</v>
      </c>
      <c r="Q1256" s="142" t="s">
        <v>3171</v>
      </c>
      <c r="R1256" s="141" t="s">
        <v>3245</v>
      </c>
      <c r="S1256" s="142" t="s">
        <v>3242</v>
      </c>
      <c r="T1256" s="141" t="s">
        <v>3260</v>
      </c>
      <c r="U1256" s="142" t="s">
        <v>3258</v>
      </c>
      <c r="V1256" s="142" t="s">
        <v>1064</v>
      </c>
      <c r="W1256" s="141">
        <f t="shared" si="39"/>
        <v>2</v>
      </c>
      <c r="X1256" s="143"/>
      <c r="Y1256" s="145" t="s">
        <v>1067</v>
      </c>
      <c r="AA1256"/>
    </row>
    <row r="1257" spans="1:27" s="115" customFormat="1" ht="13.5" customHeight="1">
      <c r="A1257" s="139">
        <v>1179</v>
      </c>
      <c r="B1257" s="140" t="s">
        <v>6073</v>
      </c>
      <c r="C1257" s="141" t="s">
        <v>3154</v>
      </c>
      <c r="D1257" s="142" t="s">
        <v>3155</v>
      </c>
      <c r="E1257" s="141" t="s">
        <v>2157</v>
      </c>
      <c r="F1257" s="142" t="s">
        <v>3171</v>
      </c>
      <c r="G1257" s="141" t="s">
        <v>3241</v>
      </c>
      <c r="H1257" s="142" t="s">
        <v>3242</v>
      </c>
      <c r="I1257" s="141" t="s">
        <v>3263</v>
      </c>
      <c r="J1257" s="142" t="s">
        <v>3258</v>
      </c>
      <c r="K1257" s="142" t="s">
        <v>1067</v>
      </c>
      <c r="L1257" s="143">
        <f t="shared" si="38"/>
        <v>2</v>
      </c>
      <c r="M1257" s="144" t="s">
        <v>3268</v>
      </c>
      <c r="N1257" s="141" t="s">
        <v>3154</v>
      </c>
      <c r="O1257" s="142" t="s">
        <v>3155</v>
      </c>
      <c r="P1257" s="141" t="s">
        <v>3175</v>
      </c>
      <c r="Q1257" s="142" t="s">
        <v>3171</v>
      </c>
      <c r="R1257" s="141" t="s">
        <v>3245</v>
      </c>
      <c r="S1257" s="142" t="s">
        <v>3242</v>
      </c>
      <c r="T1257" s="141" t="s">
        <v>3260</v>
      </c>
      <c r="U1257" s="142" t="s">
        <v>3258</v>
      </c>
      <c r="V1257" s="142" t="s">
        <v>1066</v>
      </c>
      <c r="W1257" s="141">
        <f t="shared" si="39"/>
        <v>2</v>
      </c>
      <c r="X1257" s="143"/>
      <c r="Y1257" s="145" t="s">
        <v>1067</v>
      </c>
      <c r="AA1257"/>
    </row>
    <row r="1258" spans="1:27" s="115" customFormat="1" ht="13.5" customHeight="1">
      <c r="A1258" s="139">
        <v>1180</v>
      </c>
      <c r="B1258" s="140" t="s">
        <v>5959</v>
      </c>
      <c r="C1258" s="141" t="s">
        <v>3154</v>
      </c>
      <c r="D1258" s="142" t="s">
        <v>3155</v>
      </c>
      <c r="E1258" s="141" t="s">
        <v>2157</v>
      </c>
      <c r="F1258" s="142" t="s">
        <v>3171</v>
      </c>
      <c r="G1258" s="141" t="s">
        <v>3269</v>
      </c>
      <c r="H1258" s="142" t="s">
        <v>3172</v>
      </c>
      <c r="I1258" s="141" t="s">
        <v>3270</v>
      </c>
      <c r="J1258" s="142" t="s">
        <v>3172</v>
      </c>
      <c r="K1258" s="142" t="s">
        <v>261</v>
      </c>
      <c r="L1258" s="143">
        <f t="shared" si="38"/>
        <v>1</v>
      </c>
      <c r="M1258" s="144" t="s">
        <v>3271</v>
      </c>
      <c r="N1258" s="141" t="s">
        <v>3154</v>
      </c>
      <c r="O1258" s="142" t="s">
        <v>3155</v>
      </c>
      <c r="P1258" s="141" t="s">
        <v>3175</v>
      </c>
      <c r="Q1258" s="142" t="s">
        <v>3171</v>
      </c>
      <c r="R1258" s="141" t="s">
        <v>3176</v>
      </c>
      <c r="S1258" s="142" t="s">
        <v>3172</v>
      </c>
      <c r="T1258" s="141" t="s">
        <v>3177</v>
      </c>
      <c r="U1258" s="142" t="s">
        <v>3172</v>
      </c>
      <c r="V1258" s="142" t="s">
        <v>261</v>
      </c>
      <c r="W1258" s="141">
        <f t="shared" si="39"/>
        <v>1</v>
      </c>
      <c r="X1258" s="143"/>
      <c r="Y1258" s="145"/>
      <c r="AA1258"/>
    </row>
    <row r="1259" spans="1:27" s="115" customFormat="1" ht="13.5" customHeight="1">
      <c r="A1259" s="139">
        <v>1181</v>
      </c>
      <c r="B1259" s="140" t="s">
        <v>5968</v>
      </c>
      <c r="C1259" s="141" t="s">
        <v>3154</v>
      </c>
      <c r="D1259" s="142" t="s">
        <v>3155</v>
      </c>
      <c r="E1259" s="141" t="s">
        <v>2157</v>
      </c>
      <c r="F1259" s="142" t="s">
        <v>3171</v>
      </c>
      <c r="G1259" s="141" t="s">
        <v>3269</v>
      </c>
      <c r="H1259" s="142" t="s">
        <v>3242</v>
      </c>
      <c r="I1259" s="141" t="s">
        <v>3270</v>
      </c>
      <c r="J1259" s="142" t="s">
        <v>3248</v>
      </c>
      <c r="K1259" s="142" t="s">
        <v>262</v>
      </c>
      <c r="L1259" s="143">
        <f t="shared" si="38"/>
        <v>1</v>
      </c>
      <c r="M1259" s="144" t="s">
        <v>3272</v>
      </c>
      <c r="N1259" s="141" t="s">
        <v>3154</v>
      </c>
      <c r="O1259" s="142" t="s">
        <v>3155</v>
      </c>
      <c r="P1259" s="141" t="s">
        <v>3175</v>
      </c>
      <c r="Q1259" s="142" t="s">
        <v>3171</v>
      </c>
      <c r="R1259" s="141" t="s">
        <v>3245</v>
      </c>
      <c r="S1259" s="142" t="s">
        <v>3242</v>
      </c>
      <c r="T1259" s="141" t="s">
        <v>3250</v>
      </c>
      <c r="U1259" s="142" t="s">
        <v>3248</v>
      </c>
      <c r="V1259" s="142" t="s">
        <v>262</v>
      </c>
      <c r="W1259" s="141">
        <f t="shared" si="39"/>
        <v>1</v>
      </c>
      <c r="X1259" s="143"/>
      <c r="Y1259" s="145"/>
      <c r="AA1259"/>
    </row>
    <row r="1260" spans="1:27" s="115" customFormat="1" ht="13.5" customHeight="1">
      <c r="A1260" s="139">
        <v>1182</v>
      </c>
      <c r="B1260" s="140" t="s">
        <v>6074</v>
      </c>
      <c r="C1260" s="141" t="s">
        <v>3273</v>
      </c>
      <c r="D1260" s="142" t="s">
        <v>3274</v>
      </c>
      <c r="E1260" s="141" t="s">
        <v>3070</v>
      </c>
      <c r="F1260" s="142" t="s">
        <v>3275</v>
      </c>
      <c r="G1260" s="141" t="s">
        <v>3072</v>
      </c>
      <c r="H1260" s="142" t="s">
        <v>3276</v>
      </c>
      <c r="I1260" s="141" t="s">
        <v>3277</v>
      </c>
      <c r="J1260" s="142" t="s">
        <v>3278</v>
      </c>
      <c r="K1260" s="142" t="s">
        <v>3278</v>
      </c>
      <c r="L1260" s="143">
        <f t="shared" si="38"/>
        <v>1</v>
      </c>
      <c r="M1260" s="144" t="s">
        <v>3279</v>
      </c>
      <c r="N1260" s="141" t="s">
        <v>3273</v>
      </c>
      <c r="O1260" s="142" t="s">
        <v>3274</v>
      </c>
      <c r="P1260" s="141" t="s">
        <v>3070</v>
      </c>
      <c r="Q1260" s="142" t="s">
        <v>3275</v>
      </c>
      <c r="R1260" s="141" t="s">
        <v>3072</v>
      </c>
      <c r="S1260" s="142" t="s">
        <v>3276</v>
      </c>
      <c r="T1260" s="141" t="s">
        <v>3277</v>
      </c>
      <c r="U1260" s="142" t="s">
        <v>3278</v>
      </c>
      <c r="V1260" s="142" t="s">
        <v>3278</v>
      </c>
      <c r="W1260" s="141">
        <f t="shared" si="39"/>
        <v>1</v>
      </c>
      <c r="X1260" s="143"/>
      <c r="Y1260" s="145"/>
      <c r="AA1260"/>
    </row>
    <row r="1261" spans="1:27" s="115" customFormat="1" ht="13.5" customHeight="1">
      <c r="A1261" s="139">
        <v>1183</v>
      </c>
      <c r="B1261" s="140" t="s">
        <v>5648</v>
      </c>
      <c r="C1261" s="141" t="s">
        <v>3273</v>
      </c>
      <c r="D1261" s="142" t="s">
        <v>3274</v>
      </c>
      <c r="E1261" s="141" t="s">
        <v>3280</v>
      </c>
      <c r="F1261" s="142" t="s">
        <v>3275</v>
      </c>
      <c r="G1261" s="141" t="s">
        <v>3281</v>
      </c>
      <c r="H1261" s="142" t="s">
        <v>3276</v>
      </c>
      <c r="I1261" s="141" t="s">
        <v>3282</v>
      </c>
      <c r="J1261" s="142" t="s">
        <v>3283</v>
      </c>
      <c r="K1261" s="142" t="s">
        <v>1068</v>
      </c>
      <c r="L1261" s="143">
        <f t="shared" si="38"/>
        <v>1</v>
      </c>
      <c r="M1261" s="144" t="s">
        <v>3284</v>
      </c>
      <c r="N1261" s="141" t="s">
        <v>3273</v>
      </c>
      <c r="O1261" s="142" t="s">
        <v>3274</v>
      </c>
      <c r="P1261" s="141" t="s">
        <v>3070</v>
      </c>
      <c r="Q1261" s="142" t="s">
        <v>3275</v>
      </c>
      <c r="R1261" s="141" t="s">
        <v>3072</v>
      </c>
      <c r="S1261" s="142" t="s">
        <v>3276</v>
      </c>
      <c r="T1261" s="141" t="s">
        <v>3073</v>
      </c>
      <c r="U1261" s="142" t="s">
        <v>3283</v>
      </c>
      <c r="V1261" s="142" t="s">
        <v>1068</v>
      </c>
      <c r="W1261" s="141">
        <f t="shared" si="39"/>
        <v>1</v>
      </c>
      <c r="X1261" s="143"/>
      <c r="Y1261" s="145"/>
      <c r="AA1261"/>
    </row>
    <row r="1262" spans="1:27" s="115" customFormat="1" ht="13.5" customHeight="1">
      <c r="A1262" s="139">
        <v>1184</v>
      </c>
      <c r="B1262" s="140" t="s">
        <v>5649</v>
      </c>
      <c r="C1262" s="141" t="s">
        <v>3273</v>
      </c>
      <c r="D1262" s="142" t="s">
        <v>3274</v>
      </c>
      <c r="E1262" s="141" t="s">
        <v>3280</v>
      </c>
      <c r="F1262" s="142" t="s">
        <v>3275</v>
      </c>
      <c r="G1262" s="141" t="s">
        <v>3281</v>
      </c>
      <c r="H1262" s="142" t="s">
        <v>3276</v>
      </c>
      <c r="I1262" s="141" t="s">
        <v>3282</v>
      </c>
      <c r="J1262" s="142" t="s">
        <v>3285</v>
      </c>
      <c r="K1262" s="142" t="s">
        <v>263</v>
      </c>
      <c r="L1262" s="143">
        <f t="shared" si="38"/>
        <v>1</v>
      </c>
      <c r="M1262" s="144" t="s">
        <v>3286</v>
      </c>
      <c r="N1262" s="141" t="s">
        <v>3273</v>
      </c>
      <c r="O1262" s="142" t="s">
        <v>3274</v>
      </c>
      <c r="P1262" s="141" t="s">
        <v>3070</v>
      </c>
      <c r="Q1262" s="142" t="s">
        <v>3275</v>
      </c>
      <c r="R1262" s="141" t="s">
        <v>3072</v>
      </c>
      <c r="S1262" s="142" t="s">
        <v>3276</v>
      </c>
      <c r="T1262" s="141" t="s">
        <v>3287</v>
      </c>
      <c r="U1262" s="142" t="s">
        <v>3285</v>
      </c>
      <c r="V1262" s="142" t="s">
        <v>263</v>
      </c>
      <c r="W1262" s="141">
        <f t="shared" si="39"/>
        <v>1</v>
      </c>
      <c r="X1262" s="143"/>
      <c r="Y1262" s="145"/>
      <c r="AA1262"/>
    </row>
    <row r="1263" spans="1:27" s="115" customFormat="1" ht="13.5" customHeight="1">
      <c r="A1263" s="139">
        <v>1185</v>
      </c>
      <c r="B1263" s="140" t="s">
        <v>5650</v>
      </c>
      <c r="C1263" s="141" t="s">
        <v>3273</v>
      </c>
      <c r="D1263" s="142" t="s">
        <v>3274</v>
      </c>
      <c r="E1263" s="141" t="s">
        <v>3280</v>
      </c>
      <c r="F1263" s="142" t="s">
        <v>3275</v>
      </c>
      <c r="G1263" s="141" t="s">
        <v>3281</v>
      </c>
      <c r="H1263" s="142" t="s">
        <v>3288</v>
      </c>
      <c r="I1263" s="141" t="s">
        <v>3282</v>
      </c>
      <c r="J1263" s="142" t="s">
        <v>3289</v>
      </c>
      <c r="K1263" s="142" t="s">
        <v>1069</v>
      </c>
      <c r="L1263" s="143">
        <f t="shared" si="38"/>
        <v>1</v>
      </c>
      <c r="M1263" s="144" t="s">
        <v>3290</v>
      </c>
      <c r="N1263" s="141" t="s">
        <v>3273</v>
      </c>
      <c r="O1263" s="142" t="s">
        <v>3274</v>
      </c>
      <c r="P1263" s="141" t="s">
        <v>3070</v>
      </c>
      <c r="Q1263" s="142" t="s">
        <v>3275</v>
      </c>
      <c r="R1263" s="141" t="s">
        <v>3291</v>
      </c>
      <c r="S1263" s="142" t="s">
        <v>3288</v>
      </c>
      <c r="T1263" s="141" t="s">
        <v>3292</v>
      </c>
      <c r="U1263" s="142" t="s">
        <v>3289</v>
      </c>
      <c r="V1263" s="142" t="s">
        <v>1069</v>
      </c>
      <c r="W1263" s="141">
        <f t="shared" si="39"/>
        <v>3</v>
      </c>
      <c r="X1263" s="143"/>
      <c r="Y1263" s="145" t="s">
        <v>3293</v>
      </c>
      <c r="AA1263"/>
    </row>
    <row r="1264" spans="1:27" s="115" customFormat="1" ht="13.5" customHeight="1">
      <c r="A1264" s="139">
        <v>1186</v>
      </c>
      <c r="B1264" s="140" t="s">
        <v>5651</v>
      </c>
      <c r="C1264" s="141" t="s">
        <v>3273</v>
      </c>
      <c r="D1264" s="142" t="s">
        <v>3274</v>
      </c>
      <c r="E1264" s="141" t="s">
        <v>3280</v>
      </c>
      <c r="F1264" s="142" t="s">
        <v>3275</v>
      </c>
      <c r="G1264" s="141" t="s">
        <v>3281</v>
      </c>
      <c r="H1264" s="142" t="s">
        <v>3288</v>
      </c>
      <c r="I1264" s="141" t="s">
        <v>3282</v>
      </c>
      <c r="J1264" s="142" t="s">
        <v>3289</v>
      </c>
      <c r="K1264" s="142" t="s">
        <v>1069</v>
      </c>
      <c r="L1264" s="143">
        <f t="shared" si="38"/>
        <v>1</v>
      </c>
      <c r="M1264" s="144" t="s">
        <v>3290</v>
      </c>
      <c r="N1264" s="141" t="s">
        <v>3273</v>
      </c>
      <c r="O1264" s="142" t="s">
        <v>3274</v>
      </c>
      <c r="P1264" s="141" t="s">
        <v>3070</v>
      </c>
      <c r="Q1264" s="142" t="s">
        <v>3275</v>
      </c>
      <c r="R1264" s="141" t="s">
        <v>3291</v>
      </c>
      <c r="S1264" s="142" t="s">
        <v>3288</v>
      </c>
      <c r="T1264" s="141" t="s">
        <v>3292</v>
      </c>
      <c r="U1264" s="142" t="s">
        <v>3289</v>
      </c>
      <c r="V1264" s="142" t="s">
        <v>1069</v>
      </c>
      <c r="W1264" s="141">
        <f t="shared" si="39"/>
        <v>3</v>
      </c>
      <c r="X1264" s="143"/>
      <c r="Y1264" s="145" t="s">
        <v>3294</v>
      </c>
      <c r="AA1264"/>
    </row>
    <row r="1265" spans="1:27" s="115" customFormat="1" ht="13.5" customHeight="1">
      <c r="A1265" s="139">
        <v>1187</v>
      </c>
      <c r="B1265" s="140" t="s">
        <v>5652</v>
      </c>
      <c r="C1265" s="141" t="s">
        <v>3273</v>
      </c>
      <c r="D1265" s="142" t="s">
        <v>3274</v>
      </c>
      <c r="E1265" s="141" t="s">
        <v>3280</v>
      </c>
      <c r="F1265" s="142" t="s">
        <v>3275</v>
      </c>
      <c r="G1265" s="141" t="s">
        <v>3281</v>
      </c>
      <c r="H1265" s="142" t="s">
        <v>3276</v>
      </c>
      <c r="I1265" s="141" t="s">
        <v>3282</v>
      </c>
      <c r="J1265" s="142" t="s">
        <v>3285</v>
      </c>
      <c r="K1265" s="142" t="s">
        <v>1070</v>
      </c>
      <c r="L1265" s="143">
        <f t="shared" si="38"/>
        <v>1</v>
      </c>
      <c r="M1265" s="144" t="s">
        <v>3295</v>
      </c>
      <c r="N1265" s="141" t="s">
        <v>3273</v>
      </c>
      <c r="O1265" s="142" t="s">
        <v>3274</v>
      </c>
      <c r="P1265" s="141" t="s">
        <v>3070</v>
      </c>
      <c r="Q1265" s="142" t="s">
        <v>3275</v>
      </c>
      <c r="R1265" s="141" t="s">
        <v>3072</v>
      </c>
      <c r="S1265" s="142" t="s">
        <v>3276</v>
      </c>
      <c r="T1265" s="141" t="s">
        <v>3287</v>
      </c>
      <c r="U1265" s="142" t="s">
        <v>3285</v>
      </c>
      <c r="V1265" s="142" t="s">
        <v>1070</v>
      </c>
      <c r="W1265" s="141">
        <f t="shared" si="39"/>
        <v>1</v>
      </c>
      <c r="X1265" s="143"/>
      <c r="Y1265" s="145"/>
      <c r="AA1265"/>
    </row>
    <row r="1266" spans="1:27" s="115" customFormat="1" ht="13.5" customHeight="1">
      <c r="A1266" s="139">
        <v>1188</v>
      </c>
      <c r="B1266" s="140" t="s">
        <v>5653</v>
      </c>
      <c r="C1266" s="141" t="s">
        <v>3273</v>
      </c>
      <c r="D1266" s="142" t="s">
        <v>3274</v>
      </c>
      <c r="E1266" s="141" t="s">
        <v>3280</v>
      </c>
      <c r="F1266" s="142" t="s">
        <v>3275</v>
      </c>
      <c r="G1266" s="141" t="s">
        <v>3281</v>
      </c>
      <c r="H1266" s="142" t="s">
        <v>3288</v>
      </c>
      <c r="I1266" s="141" t="s">
        <v>3282</v>
      </c>
      <c r="J1266" s="142" t="s">
        <v>3289</v>
      </c>
      <c r="K1266" s="142" t="s">
        <v>1071</v>
      </c>
      <c r="L1266" s="143">
        <f t="shared" ref="L1266:L1304" si="40">COUNTIF($B$5:$B$1752,B1266)</f>
        <v>1</v>
      </c>
      <c r="M1266" s="144" t="s">
        <v>3296</v>
      </c>
      <c r="N1266" s="141" t="s">
        <v>3273</v>
      </c>
      <c r="O1266" s="142" t="s">
        <v>3274</v>
      </c>
      <c r="P1266" s="141" t="s">
        <v>3070</v>
      </c>
      <c r="Q1266" s="142" t="s">
        <v>3275</v>
      </c>
      <c r="R1266" s="141" t="s">
        <v>3291</v>
      </c>
      <c r="S1266" s="142" t="s">
        <v>3288</v>
      </c>
      <c r="T1266" s="141" t="s">
        <v>3292</v>
      </c>
      <c r="U1266" s="142" t="s">
        <v>3289</v>
      </c>
      <c r="V1266" s="142" t="s">
        <v>1071</v>
      </c>
      <c r="W1266" s="141">
        <f t="shared" si="39"/>
        <v>1</v>
      </c>
      <c r="X1266" s="143"/>
      <c r="Y1266" s="145"/>
      <c r="AA1266"/>
    </row>
    <row r="1267" spans="1:27" s="115" customFormat="1" ht="13.5" customHeight="1">
      <c r="A1267" s="139">
        <v>1189</v>
      </c>
      <c r="B1267" s="140" t="s">
        <v>5654</v>
      </c>
      <c r="C1267" s="141" t="s">
        <v>3273</v>
      </c>
      <c r="D1267" s="142" t="s">
        <v>3274</v>
      </c>
      <c r="E1267" s="141" t="s">
        <v>3280</v>
      </c>
      <c r="F1267" s="142" t="s">
        <v>3275</v>
      </c>
      <c r="G1267" s="141" t="s">
        <v>3281</v>
      </c>
      <c r="H1267" s="142" t="s">
        <v>3276</v>
      </c>
      <c r="I1267" s="141" t="s">
        <v>3282</v>
      </c>
      <c r="J1267" s="142" t="s">
        <v>3283</v>
      </c>
      <c r="K1267" s="142" t="s">
        <v>1072</v>
      </c>
      <c r="L1267" s="143">
        <f t="shared" si="40"/>
        <v>1</v>
      </c>
      <c r="M1267" s="144" t="s">
        <v>3297</v>
      </c>
      <c r="N1267" s="141" t="s">
        <v>3273</v>
      </c>
      <c r="O1267" s="142" t="s">
        <v>3274</v>
      </c>
      <c r="P1267" s="141" t="s">
        <v>3070</v>
      </c>
      <c r="Q1267" s="142" t="s">
        <v>3275</v>
      </c>
      <c r="R1267" s="141" t="s">
        <v>3072</v>
      </c>
      <c r="S1267" s="142" t="s">
        <v>3276</v>
      </c>
      <c r="T1267" s="141" t="s">
        <v>3073</v>
      </c>
      <c r="U1267" s="142" t="s">
        <v>3283</v>
      </c>
      <c r="V1267" s="142" t="s">
        <v>1072</v>
      </c>
      <c r="W1267" s="141">
        <f t="shared" si="39"/>
        <v>1</v>
      </c>
      <c r="X1267" s="143"/>
      <c r="Y1267" s="145"/>
      <c r="AA1267"/>
    </row>
    <row r="1268" spans="1:27" s="115" customFormat="1" ht="13.5" customHeight="1">
      <c r="A1268" s="139">
        <v>1190</v>
      </c>
      <c r="B1268" s="140" t="s">
        <v>5655</v>
      </c>
      <c r="C1268" s="141" t="s">
        <v>3273</v>
      </c>
      <c r="D1268" s="142" t="s">
        <v>3274</v>
      </c>
      <c r="E1268" s="141" t="s">
        <v>3280</v>
      </c>
      <c r="F1268" s="142" t="s">
        <v>3275</v>
      </c>
      <c r="G1268" s="141" t="s">
        <v>3281</v>
      </c>
      <c r="H1268" s="142" t="s">
        <v>3298</v>
      </c>
      <c r="I1268" s="141" t="s">
        <v>3282</v>
      </c>
      <c r="J1268" s="142" t="s">
        <v>3289</v>
      </c>
      <c r="K1268" s="142" t="s">
        <v>1073</v>
      </c>
      <c r="L1268" s="143">
        <f t="shared" si="40"/>
        <v>1</v>
      </c>
      <c r="M1268" s="144" t="s">
        <v>3299</v>
      </c>
      <c r="N1268" s="141" t="s">
        <v>3273</v>
      </c>
      <c r="O1268" s="142" t="s">
        <v>3274</v>
      </c>
      <c r="P1268" s="141" t="s">
        <v>3070</v>
      </c>
      <c r="Q1268" s="142" t="s">
        <v>3275</v>
      </c>
      <c r="R1268" s="141" t="s">
        <v>3291</v>
      </c>
      <c r="S1268" s="142" t="s">
        <v>3288</v>
      </c>
      <c r="T1268" s="141" t="s">
        <v>3292</v>
      </c>
      <c r="U1268" s="142" t="s">
        <v>3289</v>
      </c>
      <c r="V1268" s="142" t="s">
        <v>1073</v>
      </c>
      <c r="W1268" s="141">
        <f t="shared" si="39"/>
        <v>1</v>
      </c>
      <c r="X1268" s="143"/>
      <c r="Y1268" s="145"/>
      <c r="AA1268"/>
    </row>
    <row r="1269" spans="1:27" s="115" customFormat="1" ht="13.5" customHeight="1">
      <c r="A1269" s="139">
        <v>1191</v>
      </c>
      <c r="B1269" s="140" t="s">
        <v>5656</v>
      </c>
      <c r="C1269" s="141" t="s">
        <v>3273</v>
      </c>
      <c r="D1269" s="142" t="s">
        <v>3274</v>
      </c>
      <c r="E1269" s="141" t="s">
        <v>3280</v>
      </c>
      <c r="F1269" s="142" t="s">
        <v>3275</v>
      </c>
      <c r="G1269" s="141" t="s">
        <v>3281</v>
      </c>
      <c r="H1269" s="142" t="s">
        <v>3288</v>
      </c>
      <c r="I1269" s="141" t="s">
        <v>3282</v>
      </c>
      <c r="J1269" s="142" t="s">
        <v>3289</v>
      </c>
      <c r="K1269" s="142" t="s">
        <v>1074</v>
      </c>
      <c r="L1269" s="143">
        <f t="shared" si="40"/>
        <v>1</v>
      </c>
      <c r="M1269" s="144" t="s">
        <v>3300</v>
      </c>
      <c r="N1269" s="141" t="s">
        <v>3273</v>
      </c>
      <c r="O1269" s="142" t="s">
        <v>3274</v>
      </c>
      <c r="P1269" s="141" t="s">
        <v>3070</v>
      </c>
      <c r="Q1269" s="142" t="s">
        <v>3275</v>
      </c>
      <c r="R1269" s="141" t="s">
        <v>3291</v>
      </c>
      <c r="S1269" s="142" t="s">
        <v>3288</v>
      </c>
      <c r="T1269" s="141" t="s">
        <v>3292</v>
      </c>
      <c r="U1269" s="142" t="s">
        <v>3289</v>
      </c>
      <c r="V1269" s="142" t="s">
        <v>1074</v>
      </c>
      <c r="W1269" s="141">
        <f t="shared" si="39"/>
        <v>1</v>
      </c>
      <c r="X1269" s="143"/>
      <c r="Y1269" s="145"/>
      <c r="AA1269"/>
    </row>
    <row r="1270" spans="1:27" s="115" customFormat="1" ht="13.5" customHeight="1">
      <c r="A1270" s="139">
        <v>1192</v>
      </c>
      <c r="B1270" s="140" t="s">
        <v>5657</v>
      </c>
      <c r="C1270" s="141" t="s">
        <v>3273</v>
      </c>
      <c r="D1270" s="142" t="s">
        <v>3274</v>
      </c>
      <c r="E1270" s="141" t="s">
        <v>3280</v>
      </c>
      <c r="F1270" s="142" t="s">
        <v>3275</v>
      </c>
      <c r="G1270" s="141" t="s">
        <v>3281</v>
      </c>
      <c r="H1270" s="142" t="s">
        <v>1077</v>
      </c>
      <c r="I1270" s="141" t="s">
        <v>3301</v>
      </c>
      <c r="J1270" s="142" t="s">
        <v>1077</v>
      </c>
      <c r="K1270" s="142" t="s">
        <v>1075</v>
      </c>
      <c r="L1270" s="143">
        <f t="shared" si="40"/>
        <v>1</v>
      </c>
      <c r="M1270" s="144" t="s">
        <v>3302</v>
      </c>
      <c r="N1270" s="141" t="s">
        <v>3273</v>
      </c>
      <c r="O1270" s="142" t="s">
        <v>3274</v>
      </c>
      <c r="P1270" s="141" t="s">
        <v>3070</v>
      </c>
      <c r="Q1270" s="142" t="s">
        <v>3275</v>
      </c>
      <c r="R1270" s="141" t="s">
        <v>3182</v>
      </c>
      <c r="S1270" s="142" t="s">
        <v>1077</v>
      </c>
      <c r="T1270" s="141" t="s">
        <v>3184</v>
      </c>
      <c r="U1270" s="142" t="s">
        <v>1077</v>
      </c>
      <c r="V1270" s="142" t="s">
        <v>1075</v>
      </c>
      <c r="W1270" s="141">
        <f t="shared" si="39"/>
        <v>1</v>
      </c>
      <c r="X1270" s="143"/>
      <c r="Y1270" s="145"/>
      <c r="AA1270"/>
    </row>
    <row r="1271" spans="1:27" s="115" customFormat="1" ht="13.5" customHeight="1">
      <c r="A1271" s="139">
        <v>1193</v>
      </c>
      <c r="B1271" s="140" t="s">
        <v>5659</v>
      </c>
      <c r="C1271" s="141" t="s">
        <v>3273</v>
      </c>
      <c r="D1271" s="142" t="s">
        <v>3274</v>
      </c>
      <c r="E1271" s="141" t="s">
        <v>3280</v>
      </c>
      <c r="F1271" s="142" t="s">
        <v>3275</v>
      </c>
      <c r="G1271" s="141" t="s">
        <v>3281</v>
      </c>
      <c r="H1271" s="142" t="s">
        <v>3288</v>
      </c>
      <c r="I1271" s="141" t="s">
        <v>3301</v>
      </c>
      <c r="J1271" s="142" t="s">
        <v>3303</v>
      </c>
      <c r="K1271" s="142" t="s">
        <v>1076</v>
      </c>
      <c r="L1271" s="143">
        <f t="shared" si="40"/>
        <v>1</v>
      </c>
      <c r="M1271" s="144" t="s">
        <v>3304</v>
      </c>
      <c r="N1271" s="141" t="s">
        <v>3273</v>
      </c>
      <c r="O1271" s="142" t="s">
        <v>3274</v>
      </c>
      <c r="P1271" s="141" t="s">
        <v>3070</v>
      </c>
      <c r="Q1271" s="142" t="s">
        <v>3275</v>
      </c>
      <c r="R1271" s="141" t="s">
        <v>3291</v>
      </c>
      <c r="S1271" s="142" t="s">
        <v>3288</v>
      </c>
      <c r="T1271" s="141" t="s">
        <v>3305</v>
      </c>
      <c r="U1271" s="142" t="s">
        <v>3303</v>
      </c>
      <c r="V1271" s="142" t="s">
        <v>1076</v>
      </c>
      <c r="W1271" s="141">
        <f t="shared" si="39"/>
        <v>1</v>
      </c>
      <c r="X1271" s="143"/>
      <c r="Y1271" s="145"/>
      <c r="AA1271"/>
    </row>
    <row r="1272" spans="1:27" s="115" customFormat="1" ht="13.5" customHeight="1">
      <c r="A1272" s="139">
        <v>1194</v>
      </c>
      <c r="B1272" s="140" t="s">
        <v>5660</v>
      </c>
      <c r="C1272" s="141" t="s">
        <v>3273</v>
      </c>
      <c r="D1272" s="142" t="s">
        <v>3274</v>
      </c>
      <c r="E1272" s="141" t="s">
        <v>3280</v>
      </c>
      <c r="F1272" s="142" t="s">
        <v>3275</v>
      </c>
      <c r="G1272" s="141" t="s">
        <v>3281</v>
      </c>
      <c r="H1272" s="142" t="s">
        <v>3306</v>
      </c>
      <c r="I1272" s="141" t="s">
        <v>3301</v>
      </c>
      <c r="J1272" s="142" t="s">
        <v>1077</v>
      </c>
      <c r="K1272" s="142" t="s">
        <v>1077</v>
      </c>
      <c r="L1272" s="143">
        <f t="shared" si="40"/>
        <v>1</v>
      </c>
      <c r="M1272" s="144" t="s">
        <v>3307</v>
      </c>
      <c r="N1272" s="141" t="s">
        <v>3273</v>
      </c>
      <c r="O1272" s="142" t="s">
        <v>3274</v>
      </c>
      <c r="P1272" s="141" t="s">
        <v>3070</v>
      </c>
      <c r="Q1272" s="142" t="s">
        <v>3275</v>
      </c>
      <c r="R1272" s="141" t="s">
        <v>3182</v>
      </c>
      <c r="S1272" s="142" t="s">
        <v>1077</v>
      </c>
      <c r="T1272" s="141" t="s">
        <v>3184</v>
      </c>
      <c r="U1272" s="142" t="s">
        <v>1077</v>
      </c>
      <c r="V1272" s="142" t="s">
        <v>1077</v>
      </c>
      <c r="W1272" s="141">
        <f t="shared" si="39"/>
        <v>1</v>
      </c>
      <c r="X1272" s="143"/>
      <c r="Y1272" s="145"/>
      <c r="AA1272"/>
    </row>
    <row r="1273" spans="1:27" s="115" customFormat="1" ht="13.5" customHeight="1">
      <c r="A1273" s="139">
        <v>1195</v>
      </c>
      <c r="B1273" s="140" t="s">
        <v>5661</v>
      </c>
      <c r="C1273" s="141" t="s">
        <v>3273</v>
      </c>
      <c r="D1273" s="142" t="s">
        <v>3274</v>
      </c>
      <c r="E1273" s="141" t="s">
        <v>3280</v>
      </c>
      <c r="F1273" s="142" t="s">
        <v>3275</v>
      </c>
      <c r="G1273" s="141" t="s">
        <v>3281</v>
      </c>
      <c r="H1273" s="142" t="s">
        <v>3288</v>
      </c>
      <c r="I1273" s="141" t="s">
        <v>3301</v>
      </c>
      <c r="J1273" s="142" t="s">
        <v>3289</v>
      </c>
      <c r="K1273" s="142" t="s">
        <v>1069</v>
      </c>
      <c r="L1273" s="143">
        <f t="shared" si="40"/>
        <v>1</v>
      </c>
      <c r="M1273" s="144" t="s">
        <v>3290</v>
      </c>
      <c r="N1273" s="141" t="s">
        <v>3273</v>
      </c>
      <c r="O1273" s="142" t="s">
        <v>3274</v>
      </c>
      <c r="P1273" s="141" t="s">
        <v>3070</v>
      </c>
      <c r="Q1273" s="142" t="s">
        <v>3275</v>
      </c>
      <c r="R1273" s="141" t="s">
        <v>3291</v>
      </c>
      <c r="S1273" s="142" t="s">
        <v>3288</v>
      </c>
      <c r="T1273" s="141" t="s">
        <v>3292</v>
      </c>
      <c r="U1273" s="142" t="s">
        <v>3289</v>
      </c>
      <c r="V1273" s="142" t="s">
        <v>1069</v>
      </c>
      <c r="W1273" s="141">
        <f t="shared" si="39"/>
        <v>3</v>
      </c>
      <c r="X1273" s="143">
        <v>1</v>
      </c>
      <c r="Y1273" s="145"/>
      <c r="AA1273"/>
    </row>
    <row r="1274" spans="1:27" s="115" customFormat="1" ht="13.5" customHeight="1">
      <c r="A1274" s="139">
        <v>1196</v>
      </c>
      <c r="B1274" s="140" t="s">
        <v>5662</v>
      </c>
      <c r="C1274" s="141" t="s">
        <v>3273</v>
      </c>
      <c r="D1274" s="142" t="s">
        <v>3274</v>
      </c>
      <c r="E1274" s="141" t="s">
        <v>3280</v>
      </c>
      <c r="F1274" s="142" t="s">
        <v>3275</v>
      </c>
      <c r="G1274" s="141" t="s">
        <v>3281</v>
      </c>
      <c r="H1274" s="142" t="s">
        <v>3288</v>
      </c>
      <c r="I1274" s="141" t="s">
        <v>3301</v>
      </c>
      <c r="J1274" s="142" t="s">
        <v>3303</v>
      </c>
      <c r="K1274" s="142" t="s">
        <v>1078</v>
      </c>
      <c r="L1274" s="143">
        <f t="shared" si="40"/>
        <v>1</v>
      </c>
      <c r="M1274" s="144" t="s">
        <v>3308</v>
      </c>
      <c r="N1274" s="141" t="s">
        <v>3273</v>
      </c>
      <c r="O1274" s="142" t="s">
        <v>3274</v>
      </c>
      <c r="P1274" s="141" t="s">
        <v>3070</v>
      </c>
      <c r="Q1274" s="142" t="s">
        <v>3275</v>
      </c>
      <c r="R1274" s="141" t="s">
        <v>3291</v>
      </c>
      <c r="S1274" s="142" t="s">
        <v>3288</v>
      </c>
      <c r="T1274" s="141" t="s">
        <v>3305</v>
      </c>
      <c r="U1274" s="142" t="s">
        <v>3303</v>
      </c>
      <c r="V1274" s="142" t="s">
        <v>1078</v>
      </c>
      <c r="W1274" s="141">
        <f t="shared" si="39"/>
        <v>1</v>
      </c>
      <c r="X1274" s="143"/>
      <c r="Y1274" s="145"/>
      <c r="AA1274"/>
    </row>
    <row r="1275" spans="1:27" s="115" customFormat="1" ht="13.5" customHeight="1">
      <c r="A1275" s="139">
        <v>1197</v>
      </c>
      <c r="B1275" s="140" t="s">
        <v>5663</v>
      </c>
      <c r="C1275" s="141" t="s">
        <v>3273</v>
      </c>
      <c r="D1275" s="142" t="s">
        <v>3274</v>
      </c>
      <c r="E1275" s="141" t="s">
        <v>3280</v>
      </c>
      <c r="F1275" s="142" t="s">
        <v>3275</v>
      </c>
      <c r="G1275" s="141" t="s">
        <v>3281</v>
      </c>
      <c r="H1275" s="142" t="s">
        <v>3288</v>
      </c>
      <c r="I1275" s="141" t="s">
        <v>3301</v>
      </c>
      <c r="J1275" s="142" t="s">
        <v>3303</v>
      </c>
      <c r="K1275" s="142" t="s">
        <v>1079</v>
      </c>
      <c r="L1275" s="143">
        <f t="shared" si="40"/>
        <v>1</v>
      </c>
      <c r="M1275" s="144" t="s">
        <v>3309</v>
      </c>
      <c r="N1275" s="141" t="s">
        <v>3273</v>
      </c>
      <c r="O1275" s="142" t="s">
        <v>3274</v>
      </c>
      <c r="P1275" s="141" t="s">
        <v>3070</v>
      </c>
      <c r="Q1275" s="142" t="s">
        <v>3275</v>
      </c>
      <c r="R1275" s="141" t="s">
        <v>3291</v>
      </c>
      <c r="S1275" s="142" t="s">
        <v>3288</v>
      </c>
      <c r="T1275" s="141" t="s">
        <v>3305</v>
      </c>
      <c r="U1275" s="142" t="s">
        <v>3303</v>
      </c>
      <c r="V1275" s="142" t="s">
        <v>1079</v>
      </c>
      <c r="W1275" s="141">
        <f t="shared" si="39"/>
        <v>1</v>
      </c>
      <c r="X1275" s="143"/>
      <c r="Y1275" s="145"/>
      <c r="AA1275"/>
    </row>
    <row r="1276" spans="1:27" s="115" customFormat="1" ht="13.5" customHeight="1">
      <c r="A1276" s="139">
        <v>1198</v>
      </c>
      <c r="B1276" s="140" t="s">
        <v>5664</v>
      </c>
      <c r="C1276" s="141" t="s">
        <v>3273</v>
      </c>
      <c r="D1276" s="142" t="s">
        <v>3274</v>
      </c>
      <c r="E1276" s="141" t="s">
        <v>3310</v>
      </c>
      <c r="F1276" s="142" t="s">
        <v>3311</v>
      </c>
      <c r="G1276" s="141" t="s">
        <v>3312</v>
      </c>
      <c r="H1276" s="142" t="s">
        <v>3313</v>
      </c>
      <c r="I1276" s="141" t="s">
        <v>3314</v>
      </c>
      <c r="J1276" s="142" t="s">
        <v>1080</v>
      </c>
      <c r="K1276" s="142" t="s">
        <v>1080</v>
      </c>
      <c r="L1276" s="143">
        <f t="shared" si="40"/>
        <v>1</v>
      </c>
      <c r="M1276" s="144" t="s">
        <v>3315</v>
      </c>
      <c r="N1276" s="141" t="s">
        <v>3273</v>
      </c>
      <c r="O1276" s="142" t="s">
        <v>3274</v>
      </c>
      <c r="P1276" s="141" t="s">
        <v>3280</v>
      </c>
      <c r="Q1276" s="142" t="s">
        <v>3311</v>
      </c>
      <c r="R1276" s="141" t="s">
        <v>3316</v>
      </c>
      <c r="S1276" s="142" t="s">
        <v>3313</v>
      </c>
      <c r="T1276" s="141" t="s">
        <v>3317</v>
      </c>
      <c r="U1276" s="142" t="s">
        <v>1080</v>
      </c>
      <c r="V1276" s="142" t="s">
        <v>1080</v>
      </c>
      <c r="W1276" s="141">
        <f t="shared" si="39"/>
        <v>1</v>
      </c>
      <c r="X1276" s="143"/>
      <c r="Y1276" s="145"/>
      <c r="AA1276"/>
    </row>
    <row r="1277" spans="1:27" s="115" customFormat="1" ht="13.5" customHeight="1">
      <c r="A1277" s="139">
        <v>1199</v>
      </c>
      <c r="B1277" s="140" t="s">
        <v>5665</v>
      </c>
      <c r="C1277" s="141" t="s">
        <v>3273</v>
      </c>
      <c r="D1277" s="142" t="s">
        <v>3274</v>
      </c>
      <c r="E1277" s="141" t="s">
        <v>3310</v>
      </c>
      <c r="F1277" s="142" t="s">
        <v>3311</v>
      </c>
      <c r="G1277" s="141" t="s">
        <v>3312</v>
      </c>
      <c r="H1277" s="142" t="s">
        <v>1081</v>
      </c>
      <c r="I1277" s="141" t="s">
        <v>3314</v>
      </c>
      <c r="J1277" s="142" t="s">
        <v>1081</v>
      </c>
      <c r="K1277" s="142" t="s">
        <v>1081</v>
      </c>
      <c r="L1277" s="143">
        <f t="shared" si="40"/>
        <v>1</v>
      </c>
      <c r="M1277" s="144" t="s">
        <v>3318</v>
      </c>
      <c r="N1277" s="141" t="s">
        <v>3273</v>
      </c>
      <c r="O1277" s="142" t="s">
        <v>3274</v>
      </c>
      <c r="P1277" s="141" t="s">
        <v>3280</v>
      </c>
      <c r="Q1277" s="142" t="s">
        <v>3311</v>
      </c>
      <c r="R1277" s="141" t="s">
        <v>3319</v>
      </c>
      <c r="S1277" s="142" t="s">
        <v>1081</v>
      </c>
      <c r="T1277" s="141" t="s">
        <v>3320</v>
      </c>
      <c r="U1277" s="142" t="s">
        <v>1081</v>
      </c>
      <c r="V1277" s="142" t="s">
        <v>1081</v>
      </c>
      <c r="W1277" s="141">
        <f t="shared" si="39"/>
        <v>1</v>
      </c>
      <c r="X1277" s="143"/>
      <c r="Y1277" s="145"/>
      <c r="AA1277"/>
    </row>
    <row r="1278" spans="1:27" s="115" customFormat="1" ht="13.5" customHeight="1">
      <c r="A1278" s="139">
        <v>1200</v>
      </c>
      <c r="B1278" s="140" t="s">
        <v>5666</v>
      </c>
      <c r="C1278" s="141" t="s">
        <v>3273</v>
      </c>
      <c r="D1278" s="142" t="s">
        <v>3274</v>
      </c>
      <c r="E1278" s="141" t="s">
        <v>3310</v>
      </c>
      <c r="F1278" s="142" t="s">
        <v>3311</v>
      </c>
      <c r="G1278" s="141" t="s">
        <v>3312</v>
      </c>
      <c r="H1278" s="142" t="s">
        <v>3313</v>
      </c>
      <c r="I1278" s="141" t="s">
        <v>3321</v>
      </c>
      <c r="J1278" s="142" t="s">
        <v>3322</v>
      </c>
      <c r="K1278" s="142" t="s">
        <v>1082</v>
      </c>
      <c r="L1278" s="143">
        <f t="shared" si="40"/>
        <v>1</v>
      </c>
      <c r="M1278" s="144" t="s">
        <v>3323</v>
      </c>
      <c r="N1278" s="141" t="s">
        <v>3273</v>
      </c>
      <c r="O1278" s="142" t="s">
        <v>3274</v>
      </c>
      <c r="P1278" s="141" t="s">
        <v>3280</v>
      </c>
      <c r="Q1278" s="142" t="s">
        <v>3311</v>
      </c>
      <c r="R1278" s="141" t="s">
        <v>3316</v>
      </c>
      <c r="S1278" s="142" t="s">
        <v>3313</v>
      </c>
      <c r="T1278" s="141" t="s">
        <v>3324</v>
      </c>
      <c r="U1278" s="142" t="s">
        <v>3322</v>
      </c>
      <c r="V1278" s="142" t="s">
        <v>1082</v>
      </c>
      <c r="W1278" s="141">
        <f t="shared" si="39"/>
        <v>3</v>
      </c>
      <c r="X1278" s="143"/>
      <c r="Y1278" s="145" t="s">
        <v>3325</v>
      </c>
      <c r="AA1278"/>
    </row>
    <row r="1279" spans="1:27" s="115" customFormat="1" ht="13.5" customHeight="1">
      <c r="A1279" s="139">
        <v>1201</v>
      </c>
      <c r="B1279" s="140" t="s">
        <v>5667</v>
      </c>
      <c r="C1279" s="141" t="s">
        <v>3273</v>
      </c>
      <c r="D1279" s="142" t="s">
        <v>3274</v>
      </c>
      <c r="E1279" s="141" t="s">
        <v>3310</v>
      </c>
      <c r="F1279" s="142" t="s">
        <v>3311</v>
      </c>
      <c r="G1279" s="141" t="s">
        <v>3312</v>
      </c>
      <c r="H1279" s="142" t="s">
        <v>3313</v>
      </c>
      <c r="I1279" s="141" t="s">
        <v>3321</v>
      </c>
      <c r="J1279" s="142" t="s">
        <v>3322</v>
      </c>
      <c r="K1279" s="142" t="s">
        <v>1082</v>
      </c>
      <c r="L1279" s="143">
        <f t="shared" si="40"/>
        <v>1</v>
      </c>
      <c r="M1279" s="144" t="s">
        <v>3323</v>
      </c>
      <c r="N1279" s="141" t="s">
        <v>3273</v>
      </c>
      <c r="O1279" s="142" t="s">
        <v>3274</v>
      </c>
      <c r="P1279" s="141" t="s">
        <v>3280</v>
      </c>
      <c r="Q1279" s="142" t="s">
        <v>3311</v>
      </c>
      <c r="R1279" s="141" t="s">
        <v>3316</v>
      </c>
      <c r="S1279" s="142" t="s">
        <v>3313</v>
      </c>
      <c r="T1279" s="141" t="s">
        <v>3324</v>
      </c>
      <c r="U1279" s="142" t="s">
        <v>3322</v>
      </c>
      <c r="V1279" s="142" t="s">
        <v>1082</v>
      </c>
      <c r="W1279" s="141">
        <f t="shared" si="39"/>
        <v>3</v>
      </c>
      <c r="X1279" s="143"/>
      <c r="Y1279" s="145" t="s">
        <v>3326</v>
      </c>
      <c r="AA1279"/>
    </row>
    <row r="1280" spans="1:27" s="115" customFormat="1" ht="13.5" customHeight="1">
      <c r="A1280" s="139">
        <v>1202</v>
      </c>
      <c r="B1280" s="140" t="s">
        <v>5668</v>
      </c>
      <c r="C1280" s="141" t="s">
        <v>3273</v>
      </c>
      <c r="D1280" s="142" t="s">
        <v>3274</v>
      </c>
      <c r="E1280" s="141" t="s">
        <v>3310</v>
      </c>
      <c r="F1280" s="142" t="s">
        <v>3311</v>
      </c>
      <c r="G1280" s="141" t="s">
        <v>3312</v>
      </c>
      <c r="H1280" s="142" t="s">
        <v>3313</v>
      </c>
      <c r="I1280" s="141" t="s">
        <v>3321</v>
      </c>
      <c r="J1280" s="142" t="s">
        <v>3322</v>
      </c>
      <c r="K1280" s="142" t="s">
        <v>1082</v>
      </c>
      <c r="L1280" s="143">
        <f t="shared" si="40"/>
        <v>1</v>
      </c>
      <c r="M1280" s="144" t="s">
        <v>3323</v>
      </c>
      <c r="N1280" s="141" t="s">
        <v>3273</v>
      </c>
      <c r="O1280" s="142" t="s">
        <v>3274</v>
      </c>
      <c r="P1280" s="141" t="s">
        <v>3280</v>
      </c>
      <c r="Q1280" s="142" t="s">
        <v>3311</v>
      </c>
      <c r="R1280" s="141" t="s">
        <v>3316</v>
      </c>
      <c r="S1280" s="142" t="s">
        <v>3313</v>
      </c>
      <c r="T1280" s="141" t="s">
        <v>3324</v>
      </c>
      <c r="U1280" s="142" t="s">
        <v>3322</v>
      </c>
      <c r="V1280" s="142" t="s">
        <v>1082</v>
      </c>
      <c r="W1280" s="141">
        <f t="shared" si="39"/>
        <v>3</v>
      </c>
      <c r="X1280" s="143">
        <v>1</v>
      </c>
      <c r="Y1280" s="145"/>
      <c r="AA1280"/>
    </row>
    <row r="1281" spans="1:27" s="115" customFormat="1" ht="13.5" customHeight="1">
      <c r="A1281" s="139">
        <v>1203</v>
      </c>
      <c r="B1281" s="140" t="s">
        <v>5669</v>
      </c>
      <c r="C1281" s="141" t="s">
        <v>3273</v>
      </c>
      <c r="D1281" s="142" t="s">
        <v>3274</v>
      </c>
      <c r="E1281" s="141" t="s">
        <v>3310</v>
      </c>
      <c r="F1281" s="142" t="s">
        <v>3311</v>
      </c>
      <c r="G1281" s="141" t="s">
        <v>3312</v>
      </c>
      <c r="H1281" s="142" t="s">
        <v>3313</v>
      </c>
      <c r="I1281" s="141" t="s">
        <v>3321</v>
      </c>
      <c r="J1281" s="142" t="s">
        <v>3322</v>
      </c>
      <c r="K1281" s="142" t="s">
        <v>1083</v>
      </c>
      <c r="L1281" s="143">
        <f t="shared" si="40"/>
        <v>1</v>
      </c>
      <c r="M1281" s="144" t="s">
        <v>3327</v>
      </c>
      <c r="N1281" s="141" t="s">
        <v>3273</v>
      </c>
      <c r="O1281" s="142" t="s">
        <v>3274</v>
      </c>
      <c r="P1281" s="141" t="s">
        <v>3280</v>
      </c>
      <c r="Q1281" s="142" t="s">
        <v>3311</v>
      </c>
      <c r="R1281" s="141" t="s">
        <v>3316</v>
      </c>
      <c r="S1281" s="142" t="s">
        <v>3313</v>
      </c>
      <c r="T1281" s="141" t="s">
        <v>3324</v>
      </c>
      <c r="U1281" s="142" t="s">
        <v>3322</v>
      </c>
      <c r="V1281" s="142" t="s">
        <v>1083</v>
      </c>
      <c r="W1281" s="141">
        <f t="shared" si="39"/>
        <v>1</v>
      </c>
      <c r="X1281" s="143"/>
      <c r="Y1281" s="145"/>
      <c r="AA1281"/>
    </row>
    <row r="1282" spans="1:27" s="115" customFormat="1" ht="27" customHeight="1">
      <c r="A1282" s="139">
        <v>1204</v>
      </c>
      <c r="B1282" s="140" t="s">
        <v>5670</v>
      </c>
      <c r="C1282" s="141" t="s">
        <v>3273</v>
      </c>
      <c r="D1282" s="142" t="s">
        <v>3274</v>
      </c>
      <c r="E1282" s="141" t="s">
        <v>3310</v>
      </c>
      <c r="F1282" s="142" t="s">
        <v>3311</v>
      </c>
      <c r="G1282" s="141" t="s">
        <v>3312</v>
      </c>
      <c r="H1282" s="142" t="s">
        <v>3313</v>
      </c>
      <c r="I1282" s="141" t="s">
        <v>3321</v>
      </c>
      <c r="J1282" s="142" t="s">
        <v>3328</v>
      </c>
      <c r="K1282" s="142" t="s">
        <v>1084</v>
      </c>
      <c r="L1282" s="143">
        <f t="shared" si="40"/>
        <v>1</v>
      </c>
      <c r="M1282" s="144" t="s">
        <v>3329</v>
      </c>
      <c r="N1282" s="146" t="s">
        <v>3273</v>
      </c>
      <c r="O1282" s="147" t="s">
        <v>3274</v>
      </c>
      <c r="P1282" s="146" t="s">
        <v>3280</v>
      </c>
      <c r="Q1282" s="147" t="s">
        <v>3311</v>
      </c>
      <c r="R1282" s="146" t="s">
        <v>3316</v>
      </c>
      <c r="S1282" s="147" t="s">
        <v>3313</v>
      </c>
      <c r="T1282" s="146" t="s">
        <v>3330</v>
      </c>
      <c r="U1282" s="147" t="s">
        <v>3328</v>
      </c>
      <c r="V1282" s="147" t="s">
        <v>1084</v>
      </c>
      <c r="W1282" s="141">
        <f t="shared" si="39"/>
        <v>1</v>
      </c>
      <c r="X1282" s="143"/>
      <c r="Y1282" s="145"/>
      <c r="AA1282"/>
    </row>
    <row r="1283" spans="1:27" s="115" customFormat="1" ht="27" customHeight="1">
      <c r="A1283" s="139">
        <v>1205</v>
      </c>
      <c r="B1283" s="140" t="s">
        <v>5671</v>
      </c>
      <c r="C1283" s="141" t="s">
        <v>3273</v>
      </c>
      <c r="D1283" s="142" t="s">
        <v>3274</v>
      </c>
      <c r="E1283" s="141" t="s">
        <v>3310</v>
      </c>
      <c r="F1283" s="142" t="s">
        <v>3311</v>
      </c>
      <c r="G1283" s="141" t="s">
        <v>3312</v>
      </c>
      <c r="H1283" s="142" t="s">
        <v>3313</v>
      </c>
      <c r="I1283" s="141" t="s">
        <v>3321</v>
      </c>
      <c r="J1283" s="142" t="s">
        <v>3328</v>
      </c>
      <c r="K1283" s="142" t="s">
        <v>1085</v>
      </c>
      <c r="L1283" s="143">
        <f t="shared" si="40"/>
        <v>1</v>
      </c>
      <c r="M1283" s="144" t="s">
        <v>3331</v>
      </c>
      <c r="N1283" s="146" t="s">
        <v>3273</v>
      </c>
      <c r="O1283" s="147" t="s">
        <v>3274</v>
      </c>
      <c r="P1283" s="146" t="s">
        <v>3280</v>
      </c>
      <c r="Q1283" s="147" t="s">
        <v>3311</v>
      </c>
      <c r="R1283" s="146" t="s">
        <v>3316</v>
      </c>
      <c r="S1283" s="147" t="s">
        <v>3313</v>
      </c>
      <c r="T1283" s="146" t="s">
        <v>3330</v>
      </c>
      <c r="U1283" s="147" t="s">
        <v>3328</v>
      </c>
      <c r="V1283" s="147" t="s">
        <v>1085</v>
      </c>
      <c r="W1283" s="141">
        <f t="shared" si="39"/>
        <v>1</v>
      </c>
      <c r="X1283" s="143"/>
      <c r="Y1283" s="145"/>
      <c r="AA1283"/>
    </row>
    <row r="1284" spans="1:27" s="115" customFormat="1" ht="27" customHeight="1">
      <c r="A1284" s="139">
        <v>1206</v>
      </c>
      <c r="B1284" s="140" t="s">
        <v>5672</v>
      </c>
      <c r="C1284" s="141" t="s">
        <v>3273</v>
      </c>
      <c r="D1284" s="142" t="s">
        <v>3274</v>
      </c>
      <c r="E1284" s="141" t="s">
        <v>3310</v>
      </c>
      <c r="F1284" s="142" t="s">
        <v>3311</v>
      </c>
      <c r="G1284" s="141" t="s">
        <v>3312</v>
      </c>
      <c r="H1284" s="142" t="s">
        <v>3332</v>
      </c>
      <c r="I1284" s="141" t="s">
        <v>3321</v>
      </c>
      <c r="J1284" s="142" t="s">
        <v>3332</v>
      </c>
      <c r="K1284" s="142" t="s">
        <v>1086</v>
      </c>
      <c r="L1284" s="143">
        <f t="shared" si="40"/>
        <v>1</v>
      </c>
      <c r="M1284" s="144" t="s">
        <v>3333</v>
      </c>
      <c r="N1284" s="146" t="s">
        <v>3273</v>
      </c>
      <c r="O1284" s="147" t="s">
        <v>3274</v>
      </c>
      <c r="P1284" s="146" t="s">
        <v>3280</v>
      </c>
      <c r="Q1284" s="147" t="s">
        <v>3311</v>
      </c>
      <c r="R1284" s="146" t="s">
        <v>3334</v>
      </c>
      <c r="S1284" s="147" t="s">
        <v>3332</v>
      </c>
      <c r="T1284" s="146" t="s">
        <v>3335</v>
      </c>
      <c r="U1284" s="147" t="s">
        <v>3332</v>
      </c>
      <c r="V1284" s="147" t="s">
        <v>1086</v>
      </c>
      <c r="W1284" s="141">
        <f t="shared" si="39"/>
        <v>1</v>
      </c>
      <c r="X1284" s="143"/>
      <c r="Y1284" s="145"/>
      <c r="AA1284"/>
    </row>
    <row r="1285" spans="1:27" s="115" customFormat="1" ht="27" customHeight="1">
      <c r="A1285" s="139">
        <v>1207</v>
      </c>
      <c r="B1285" s="140" t="s">
        <v>5673</v>
      </c>
      <c r="C1285" s="141" t="s">
        <v>3273</v>
      </c>
      <c r="D1285" s="142" t="s">
        <v>3274</v>
      </c>
      <c r="E1285" s="141" t="s">
        <v>3310</v>
      </c>
      <c r="F1285" s="142" t="s">
        <v>3311</v>
      </c>
      <c r="G1285" s="141" t="s">
        <v>3312</v>
      </c>
      <c r="H1285" s="142" t="s">
        <v>3332</v>
      </c>
      <c r="I1285" s="141" t="s">
        <v>3321</v>
      </c>
      <c r="J1285" s="142" t="s">
        <v>3332</v>
      </c>
      <c r="K1285" s="142" t="s">
        <v>1087</v>
      </c>
      <c r="L1285" s="143">
        <f t="shared" si="40"/>
        <v>1</v>
      </c>
      <c r="M1285" s="144" t="s">
        <v>3336</v>
      </c>
      <c r="N1285" s="146" t="s">
        <v>3273</v>
      </c>
      <c r="O1285" s="147" t="s">
        <v>3274</v>
      </c>
      <c r="P1285" s="146" t="s">
        <v>3280</v>
      </c>
      <c r="Q1285" s="147" t="s">
        <v>3311</v>
      </c>
      <c r="R1285" s="146" t="s">
        <v>3334</v>
      </c>
      <c r="S1285" s="147" t="s">
        <v>3332</v>
      </c>
      <c r="T1285" s="146" t="s">
        <v>3335</v>
      </c>
      <c r="U1285" s="147" t="s">
        <v>3332</v>
      </c>
      <c r="V1285" s="147" t="s">
        <v>1087</v>
      </c>
      <c r="W1285" s="141">
        <f t="shared" si="39"/>
        <v>1</v>
      </c>
      <c r="X1285" s="143"/>
      <c r="Y1285" s="145"/>
      <c r="AA1285"/>
    </row>
    <row r="1286" spans="1:27" s="115" customFormat="1" ht="27" customHeight="1">
      <c r="A1286" s="139">
        <v>1208</v>
      </c>
      <c r="B1286" s="140" t="s">
        <v>5674</v>
      </c>
      <c r="C1286" s="141" t="s">
        <v>3273</v>
      </c>
      <c r="D1286" s="142" t="s">
        <v>3274</v>
      </c>
      <c r="E1286" s="141" t="s">
        <v>3310</v>
      </c>
      <c r="F1286" s="142" t="s">
        <v>3311</v>
      </c>
      <c r="G1286" s="141" t="s">
        <v>3312</v>
      </c>
      <c r="H1286" s="142" t="s">
        <v>3332</v>
      </c>
      <c r="I1286" s="141" t="s">
        <v>3321</v>
      </c>
      <c r="J1286" s="142" t="s">
        <v>3332</v>
      </c>
      <c r="K1286" s="142" t="s">
        <v>1088</v>
      </c>
      <c r="L1286" s="143">
        <f t="shared" si="40"/>
        <v>1</v>
      </c>
      <c r="M1286" s="144" t="s">
        <v>3337</v>
      </c>
      <c r="N1286" s="146" t="s">
        <v>3273</v>
      </c>
      <c r="O1286" s="147" t="s">
        <v>3274</v>
      </c>
      <c r="P1286" s="146" t="s">
        <v>3280</v>
      </c>
      <c r="Q1286" s="147" t="s">
        <v>3311</v>
      </c>
      <c r="R1286" s="146" t="s">
        <v>3334</v>
      </c>
      <c r="S1286" s="147" t="s">
        <v>3332</v>
      </c>
      <c r="T1286" s="146" t="s">
        <v>3335</v>
      </c>
      <c r="U1286" s="147" t="s">
        <v>3332</v>
      </c>
      <c r="V1286" s="147" t="s">
        <v>1088</v>
      </c>
      <c r="W1286" s="141">
        <f t="shared" si="39"/>
        <v>1</v>
      </c>
      <c r="X1286" s="143"/>
      <c r="Y1286" s="145"/>
      <c r="AA1286"/>
    </row>
    <row r="1287" spans="1:27" s="115" customFormat="1" ht="27" customHeight="1">
      <c r="A1287" s="139">
        <v>1209</v>
      </c>
      <c r="B1287" s="140" t="s">
        <v>5675</v>
      </c>
      <c r="C1287" s="141" t="s">
        <v>3273</v>
      </c>
      <c r="D1287" s="142" t="s">
        <v>3274</v>
      </c>
      <c r="E1287" s="141" t="s">
        <v>3338</v>
      </c>
      <c r="F1287" s="142" t="s">
        <v>3339</v>
      </c>
      <c r="G1287" s="141" t="s">
        <v>3340</v>
      </c>
      <c r="H1287" s="142" t="s">
        <v>3341</v>
      </c>
      <c r="I1287" s="141" t="s">
        <v>3342</v>
      </c>
      <c r="J1287" s="142" t="s">
        <v>3343</v>
      </c>
      <c r="K1287" s="142" t="s">
        <v>1089</v>
      </c>
      <c r="L1287" s="143">
        <f t="shared" si="40"/>
        <v>1</v>
      </c>
      <c r="M1287" s="144" t="s">
        <v>3344</v>
      </c>
      <c r="N1287" s="141" t="s">
        <v>3273</v>
      </c>
      <c r="O1287" s="142" t="s">
        <v>3274</v>
      </c>
      <c r="P1287" s="141" t="s">
        <v>3310</v>
      </c>
      <c r="Q1287" s="142" t="s">
        <v>3339</v>
      </c>
      <c r="R1287" s="141" t="s">
        <v>3345</v>
      </c>
      <c r="S1287" s="142" t="s">
        <v>3341</v>
      </c>
      <c r="T1287" s="141" t="s">
        <v>3346</v>
      </c>
      <c r="U1287" s="142" t="s">
        <v>3343</v>
      </c>
      <c r="V1287" s="142" t="s">
        <v>1089</v>
      </c>
      <c r="W1287" s="141">
        <f t="shared" si="39"/>
        <v>2</v>
      </c>
      <c r="X1287" s="143"/>
      <c r="Y1287" s="145" t="s">
        <v>3347</v>
      </c>
      <c r="AA1287"/>
    </row>
    <row r="1288" spans="1:27" s="115" customFormat="1" ht="27" customHeight="1">
      <c r="A1288" s="139">
        <v>1210</v>
      </c>
      <c r="B1288" s="140" t="s">
        <v>5676</v>
      </c>
      <c r="C1288" s="141" t="s">
        <v>3273</v>
      </c>
      <c r="D1288" s="142" t="s">
        <v>3274</v>
      </c>
      <c r="E1288" s="141" t="s">
        <v>3338</v>
      </c>
      <c r="F1288" s="142" t="s">
        <v>3339</v>
      </c>
      <c r="G1288" s="141" t="s">
        <v>3340</v>
      </c>
      <c r="H1288" s="142" t="s">
        <v>3341</v>
      </c>
      <c r="I1288" s="141" t="s">
        <v>3342</v>
      </c>
      <c r="J1288" s="142" t="s">
        <v>3348</v>
      </c>
      <c r="K1288" s="142" t="s">
        <v>1090</v>
      </c>
      <c r="L1288" s="143">
        <f t="shared" si="40"/>
        <v>1</v>
      </c>
      <c r="M1288" s="144" t="s">
        <v>3349</v>
      </c>
      <c r="N1288" s="141" t="s">
        <v>3273</v>
      </c>
      <c r="O1288" s="142" t="s">
        <v>3274</v>
      </c>
      <c r="P1288" s="141" t="s">
        <v>3310</v>
      </c>
      <c r="Q1288" s="142" t="s">
        <v>3339</v>
      </c>
      <c r="R1288" s="141" t="s">
        <v>3345</v>
      </c>
      <c r="S1288" s="142" t="s">
        <v>3341</v>
      </c>
      <c r="T1288" s="141" t="s">
        <v>3350</v>
      </c>
      <c r="U1288" s="142" t="s">
        <v>3348</v>
      </c>
      <c r="V1288" s="142" t="s">
        <v>1090</v>
      </c>
      <c r="W1288" s="141">
        <f t="shared" ref="W1288:W1304" si="41">COUNTIF($M$5:$M$1756,M1288)</f>
        <v>1</v>
      </c>
      <c r="X1288" s="143"/>
      <c r="Y1288" s="145"/>
      <c r="AA1288"/>
    </row>
    <row r="1289" spans="1:27" s="115" customFormat="1" ht="27" customHeight="1">
      <c r="A1289" s="139">
        <v>1211</v>
      </c>
      <c r="B1289" s="140" t="s">
        <v>5677</v>
      </c>
      <c r="C1289" s="141" t="s">
        <v>3273</v>
      </c>
      <c r="D1289" s="142" t="s">
        <v>3274</v>
      </c>
      <c r="E1289" s="141" t="s">
        <v>3338</v>
      </c>
      <c r="F1289" s="142" t="s">
        <v>3339</v>
      </c>
      <c r="G1289" s="141" t="s">
        <v>3340</v>
      </c>
      <c r="H1289" s="142" t="s">
        <v>3341</v>
      </c>
      <c r="I1289" s="141" t="s">
        <v>3342</v>
      </c>
      <c r="J1289" s="142" t="s">
        <v>3348</v>
      </c>
      <c r="K1289" s="142" t="s">
        <v>1091</v>
      </c>
      <c r="L1289" s="143">
        <f t="shared" si="40"/>
        <v>1</v>
      </c>
      <c r="M1289" s="144" t="s">
        <v>3351</v>
      </c>
      <c r="N1289" s="146" t="s">
        <v>3273</v>
      </c>
      <c r="O1289" s="147" t="s">
        <v>3274</v>
      </c>
      <c r="P1289" s="146" t="s">
        <v>3310</v>
      </c>
      <c r="Q1289" s="147" t="s">
        <v>3339</v>
      </c>
      <c r="R1289" s="146" t="s">
        <v>3345</v>
      </c>
      <c r="S1289" s="147" t="s">
        <v>3341</v>
      </c>
      <c r="T1289" s="146" t="s">
        <v>3350</v>
      </c>
      <c r="U1289" s="147" t="s">
        <v>3348</v>
      </c>
      <c r="V1289" s="147" t="s">
        <v>1091</v>
      </c>
      <c r="W1289" s="141">
        <f t="shared" si="41"/>
        <v>1</v>
      </c>
      <c r="X1289" s="143"/>
      <c r="Y1289" s="145"/>
      <c r="AA1289"/>
    </row>
    <row r="1290" spans="1:27" s="115" customFormat="1" ht="27" customHeight="1">
      <c r="A1290" s="139">
        <v>1212</v>
      </c>
      <c r="B1290" s="140" t="s">
        <v>5678</v>
      </c>
      <c r="C1290" s="141" t="s">
        <v>3273</v>
      </c>
      <c r="D1290" s="142" t="s">
        <v>3274</v>
      </c>
      <c r="E1290" s="141" t="s">
        <v>3338</v>
      </c>
      <c r="F1290" s="142" t="s">
        <v>3339</v>
      </c>
      <c r="G1290" s="141" t="s">
        <v>3340</v>
      </c>
      <c r="H1290" s="142" t="s">
        <v>3341</v>
      </c>
      <c r="I1290" s="141" t="s">
        <v>3352</v>
      </c>
      <c r="J1290" s="142" t="s">
        <v>3343</v>
      </c>
      <c r="K1290" s="142" t="s">
        <v>1089</v>
      </c>
      <c r="L1290" s="143">
        <f t="shared" si="40"/>
        <v>1</v>
      </c>
      <c r="M1290" s="144" t="s">
        <v>3344</v>
      </c>
      <c r="N1290" s="141" t="s">
        <v>3273</v>
      </c>
      <c r="O1290" s="142" t="s">
        <v>3274</v>
      </c>
      <c r="P1290" s="141" t="s">
        <v>3310</v>
      </c>
      <c r="Q1290" s="142" t="s">
        <v>3339</v>
      </c>
      <c r="R1290" s="141" t="s">
        <v>3345</v>
      </c>
      <c r="S1290" s="142" t="s">
        <v>3341</v>
      </c>
      <c r="T1290" s="141" t="s">
        <v>3346</v>
      </c>
      <c r="U1290" s="142" t="s">
        <v>3343</v>
      </c>
      <c r="V1290" s="142" t="s">
        <v>1089</v>
      </c>
      <c r="W1290" s="141">
        <f t="shared" si="41"/>
        <v>2</v>
      </c>
      <c r="X1290" s="143">
        <v>1</v>
      </c>
      <c r="Y1290" s="145"/>
      <c r="AA1290"/>
    </row>
    <row r="1291" spans="1:27" s="115" customFormat="1" ht="27" customHeight="1">
      <c r="A1291" s="139">
        <v>1213</v>
      </c>
      <c r="B1291" s="140" t="s">
        <v>5679</v>
      </c>
      <c r="C1291" s="141" t="s">
        <v>3273</v>
      </c>
      <c r="D1291" s="142" t="s">
        <v>3274</v>
      </c>
      <c r="E1291" s="141" t="s">
        <v>3338</v>
      </c>
      <c r="F1291" s="142" t="s">
        <v>3339</v>
      </c>
      <c r="G1291" s="141" t="s">
        <v>3340</v>
      </c>
      <c r="H1291" s="142" t="s">
        <v>3341</v>
      </c>
      <c r="I1291" s="141" t="s">
        <v>3352</v>
      </c>
      <c r="J1291" s="142" t="s">
        <v>1092</v>
      </c>
      <c r="K1291" s="142" t="s">
        <v>1092</v>
      </c>
      <c r="L1291" s="143">
        <f t="shared" si="40"/>
        <v>1</v>
      </c>
      <c r="M1291" s="144" t="s">
        <v>3353</v>
      </c>
      <c r="N1291" s="146" t="s">
        <v>3273</v>
      </c>
      <c r="O1291" s="147" t="s">
        <v>3274</v>
      </c>
      <c r="P1291" s="146" t="s">
        <v>3310</v>
      </c>
      <c r="Q1291" s="147" t="s">
        <v>3339</v>
      </c>
      <c r="R1291" s="146" t="s">
        <v>3345</v>
      </c>
      <c r="S1291" s="147" t="s">
        <v>3341</v>
      </c>
      <c r="T1291" s="146" t="s">
        <v>3354</v>
      </c>
      <c r="U1291" s="147" t="s">
        <v>1092</v>
      </c>
      <c r="V1291" s="147" t="s">
        <v>1092</v>
      </c>
      <c r="W1291" s="141">
        <f t="shared" si="41"/>
        <v>1</v>
      </c>
      <c r="X1291" s="143"/>
      <c r="Y1291" s="145"/>
      <c r="AA1291"/>
    </row>
    <row r="1292" spans="1:27" s="115" customFormat="1" ht="13.5" customHeight="1">
      <c r="A1292" s="139">
        <v>1214</v>
      </c>
      <c r="B1292" s="140" t="s">
        <v>5680</v>
      </c>
      <c r="C1292" s="141" t="s">
        <v>3273</v>
      </c>
      <c r="D1292" s="142" t="s">
        <v>3274</v>
      </c>
      <c r="E1292" s="141" t="s">
        <v>3338</v>
      </c>
      <c r="F1292" s="142" t="s">
        <v>3339</v>
      </c>
      <c r="G1292" s="141" t="s">
        <v>3340</v>
      </c>
      <c r="H1292" s="142" t="s">
        <v>3341</v>
      </c>
      <c r="I1292" s="141" t="s">
        <v>3352</v>
      </c>
      <c r="J1292" s="142" t="s">
        <v>3343</v>
      </c>
      <c r="K1292" s="142" t="s">
        <v>1093</v>
      </c>
      <c r="L1292" s="143">
        <f t="shared" si="40"/>
        <v>1</v>
      </c>
      <c r="M1292" s="144" t="s">
        <v>3355</v>
      </c>
      <c r="N1292" s="146" t="s">
        <v>3273</v>
      </c>
      <c r="O1292" s="147" t="s">
        <v>3274</v>
      </c>
      <c r="P1292" s="146" t="s">
        <v>3310</v>
      </c>
      <c r="Q1292" s="147" t="s">
        <v>3339</v>
      </c>
      <c r="R1292" s="146" t="s">
        <v>3345</v>
      </c>
      <c r="S1292" s="147" t="s">
        <v>3341</v>
      </c>
      <c r="T1292" s="146" t="s">
        <v>3346</v>
      </c>
      <c r="U1292" s="147" t="s">
        <v>3343</v>
      </c>
      <c r="V1292" s="147" t="s">
        <v>1093</v>
      </c>
      <c r="W1292" s="141">
        <f t="shared" si="41"/>
        <v>1</v>
      </c>
      <c r="X1292" s="143"/>
      <c r="Y1292" s="145"/>
      <c r="AA1292"/>
    </row>
    <row r="1293" spans="1:27" s="115" customFormat="1" ht="13.5" customHeight="1">
      <c r="A1293" s="139">
        <v>1215</v>
      </c>
      <c r="B1293" s="140" t="s">
        <v>5681</v>
      </c>
      <c r="C1293" s="141" t="s">
        <v>3273</v>
      </c>
      <c r="D1293" s="142" t="s">
        <v>3274</v>
      </c>
      <c r="E1293" s="141" t="s">
        <v>3338</v>
      </c>
      <c r="F1293" s="142" t="s">
        <v>3339</v>
      </c>
      <c r="G1293" s="141" t="s">
        <v>3340</v>
      </c>
      <c r="H1293" s="142" t="s">
        <v>3341</v>
      </c>
      <c r="I1293" s="141" t="s">
        <v>3352</v>
      </c>
      <c r="J1293" s="142" t="s">
        <v>3343</v>
      </c>
      <c r="K1293" s="142" t="s">
        <v>1094</v>
      </c>
      <c r="L1293" s="143">
        <f t="shared" si="40"/>
        <v>1</v>
      </c>
      <c r="M1293" s="144" t="s">
        <v>3356</v>
      </c>
      <c r="N1293" s="141" t="s">
        <v>3273</v>
      </c>
      <c r="O1293" s="142" t="s">
        <v>3274</v>
      </c>
      <c r="P1293" s="141" t="s">
        <v>3310</v>
      </c>
      <c r="Q1293" s="142" t="s">
        <v>3339</v>
      </c>
      <c r="R1293" s="141" t="s">
        <v>3345</v>
      </c>
      <c r="S1293" s="142" t="s">
        <v>3341</v>
      </c>
      <c r="T1293" s="141" t="s">
        <v>3346</v>
      </c>
      <c r="U1293" s="142" t="s">
        <v>3343</v>
      </c>
      <c r="V1293" s="142" t="s">
        <v>1094</v>
      </c>
      <c r="W1293" s="141">
        <f t="shared" si="41"/>
        <v>1</v>
      </c>
      <c r="X1293" s="143"/>
      <c r="Y1293" s="145"/>
      <c r="AA1293"/>
    </row>
    <row r="1294" spans="1:27" s="115" customFormat="1" ht="40.5" customHeight="1">
      <c r="A1294" s="139">
        <v>1216</v>
      </c>
      <c r="B1294" s="140" t="s">
        <v>5682</v>
      </c>
      <c r="C1294" s="141" t="s">
        <v>3273</v>
      </c>
      <c r="D1294" s="142" t="s">
        <v>3274</v>
      </c>
      <c r="E1294" s="141" t="s">
        <v>3338</v>
      </c>
      <c r="F1294" s="142" t="s">
        <v>3339</v>
      </c>
      <c r="G1294" s="141" t="s">
        <v>3357</v>
      </c>
      <c r="H1294" s="142" t="s">
        <v>3358</v>
      </c>
      <c r="I1294" s="141" t="s">
        <v>3359</v>
      </c>
      <c r="J1294" s="142" t="s">
        <v>3358</v>
      </c>
      <c r="K1294" s="142" t="s">
        <v>1095</v>
      </c>
      <c r="L1294" s="143">
        <f t="shared" si="40"/>
        <v>1</v>
      </c>
      <c r="M1294" s="144" t="s">
        <v>3360</v>
      </c>
      <c r="N1294" s="141" t="s">
        <v>3273</v>
      </c>
      <c r="O1294" s="142" t="s">
        <v>3274</v>
      </c>
      <c r="P1294" s="141" t="s">
        <v>3310</v>
      </c>
      <c r="Q1294" s="142" t="s">
        <v>3339</v>
      </c>
      <c r="R1294" s="141" t="s">
        <v>3361</v>
      </c>
      <c r="S1294" s="142" t="s">
        <v>3358</v>
      </c>
      <c r="T1294" s="141" t="s">
        <v>3362</v>
      </c>
      <c r="U1294" s="142" t="s">
        <v>3358</v>
      </c>
      <c r="V1294" s="142" t="s">
        <v>1095</v>
      </c>
      <c r="W1294" s="141">
        <f t="shared" si="41"/>
        <v>1</v>
      </c>
      <c r="X1294" s="143"/>
      <c r="Y1294" s="145"/>
      <c r="AA1294"/>
    </row>
    <row r="1295" spans="1:27" s="115" customFormat="1" ht="40.5" customHeight="1">
      <c r="A1295" s="139">
        <v>1217</v>
      </c>
      <c r="B1295" s="140" t="s">
        <v>5683</v>
      </c>
      <c r="C1295" s="141" t="s">
        <v>3273</v>
      </c>
      <c r="D1295" s="142" t="s">
        <v>3274</v>
      </c>
      <c r="E1295" s="141" t="s">
        <v>3338</v>
      </c>
      <c r="F1295" s="142" t="s">
        <v>3339</v>
      </c>
      <c r="G1295" s="141" t="s">
        <v>3357</v>
      </c>
      <c r="H1295" s="142" t="s">
        <v>3358</v>
      </c>
      <c r="I1295" s="141" t="s">
        <v>3359</v>
      </c>
      <c r="J1295" s="142" t="s">
        <v>3358</v>
      </c>
      <c r="K1295" s="142" t="s">
        <v>1096</v>
      </c>
      <c r="L1295" s="143">
        <f t="shared" si="40"/>
        <v>1</v>
      </c>
      <c r="M1295" s="144" t="s">
        <v>3363</v>
      </c>
      <c r="N1295" s="146" t="s">
        <v>3273</v>
      </c>
      <c r="O1295" s="147" t="s">
        <v>3274</v>
      </c>
      <c r="P1295" s="146" t="s">
        <v>3310</v>
      </c>
      <c r="Q1295" s="147" t="s">
        <v>3339</v>
      </c>
      <c r="R1295" s="146" t="s">
        <v>3361</v>
      </c>
      <c r="S1295" s="147" t="s">
        <v>3358</v>
      </c>
      <c r="T1295" s="146" t="s">
        <v>3362</v>
      </c>
      <c r="U1295" s="147" t="s">
        <v>3358</v>
      </c>
      <c r="V1295" s="147" t="s">
        <v>1096</v>
      </c>
      <c r="W1295" s="141">
        <f t="shared" si="41"/>
        <v>1</v>
      </c>
      <c r="X1295" s="143"/>
      <c r="Y1295" s="145"/>
      <c r="AA1295"/>
    </row>
    <row r="1296" spans="1:27" s="115" customFormat="1" ht="13.5" customHeight="1">
      <c r="A1296" s="139">
        <v>1218</v>
      </c>
      <c r="B1296" s="140" t="s">
        <v>5810</v>
      </c>
      <c r="C1296" s="141" t="s">
        <v>3273</v>
      </c>
      <c r="D1296" s="142" t="s">
        <v>3274</v>
      </c>
      <c r="E1296" s="141" t="s">
        <v>2223</v>
      </c>
      <c r="F1296" s="142" t="s">
        <v>3339</v>
      </c>
      <c r="G1296" s="141" t="s">
        <v>2225</v>
      </c>
      <c r="H1296" s="142" t="s">
        <v>3358</v>
      </c>
      <c r="I1296" s="141" t="s">
        <v>2923</v>
      </c>
      <c r="J1296" s="142" t="s">
        <v>3358</v>
      </c>
      <c r="K1296" s="142" t="s">
        <v>1097</v>
      </c>
      <c r="L1296" s="143">
        <f t="shared" si="40"/>
        <v>1</v>
      </c>
      <c r="M1296" s="144" t="s">
        <v>3364</v>
      </c>
      <c r="N1296" s="141" t="s">
        <v>3273</v>
      </c>
      <c r="O1296" s="142" t="s">
        <v>3274</v>
      </c>
      <c r="P1296" s="141" t="s">
        <v>3310</v>
      </c>
      <c r="Q1296" s="142" t="s">
        <v>3339</v>
      </c>
      <c r="R1296" s="141" t="s">
        <v>3361</v>
      </c>
      <c r="S1296" s="142" t="s">
        <v>3358</v>
      </c>
      <c r="T1296" s="141" t="s">
        <v>3362</v>
      </c>
      <c r="U1296" s="142" t="s">
        <v>3358</v>
      </c>
      <c r="V1296" s="142" t="s">
        <v>1097</v>
      </c>
      <c r="W1296" s="141">
        <f t="shared" si="41"/>
        <v>1</v>
      </c>
      <c r="X1296" s="143"/>
      <c r="Y1296" s="145"/>
      <c r="AA1296"/>
    </row>
    <row r="1297" spans="1:27" s="115" customFormat="1" ht="13.5" customHeight="1">
      <c r="A1297" s="139">
        <v>1219</v>
      </c>
      <c r="B1297" s="140" t="s">
        <v>5684</v>
      </c>
      <c r="C1297" s="146" t="s">
        <v>2273</v>
      </c>
      <c r="D1297" s="142" t="s">
        <v>2274</v>
      </c>
      <c r="E1297" s="141" t="s">
        <v>3365</v>
      </c>
      <c r="F1297" s="142" t="s">
        <v>2274</v>
      </c>
      <c r="G1297" s="141" t="s">
        <v>3366</v>
      </c>
      <c r="H1297" s="142" t="s">
        <v>2277</v>
      </c>
      <c r="I1297" s="141" t="s">
        <v>3367</v>
      </c>
      <c r="J1297" s="142" t="s">
        <v>3368</v>
      </c>
      <c r="K1297" s="142" t="s">
        <v>3369</v>
      </c>
      <c r="L1297" s="143">
        <f t="shared" si="40"/>
        <v>1</v>
      </c>
      <c r="M1297" s="144" t="s">
        <v>3370</v>
      </c>
      <c r="N1297" s="141" t="s">
        <v>2273</v>
      </c>
      <c r="O1297" s="142" t="s">
        <v>2274</v>
      </c>
      <c r="P1297" s="141" t="s">
        <v>2275</v>
      </c>
      <c r="Q1297" s="142" t="s">
        <v>2274</v>
      </c>
      <c r="R1297" s="141" t="s">
        <v>2276</v>
      </c>
      <c r="S1297" s="142" t="s">
        <v>2277</v>
      </c>
      <c r="T1297" s="141" t="s">
        <v>3371</v>
      </c>
      <c r="U1297" s="142" t="s">
        <v>3368</v>
      </c>
      <c r="V1297" s="142" t="s">
        <v>1098</v>
      </c>
      <c r="W1297" s="141">
        <f t="shared" si="41"/>
        <v>5</v>
      </c>
      <c r="X1297" s="143"/>
      <c r="Y1297" s="145" t="s">
        <v>3372</v>
      </c>
      <c r="AA1297"/>
    </row>
    <row r="1298" spans="1:27" s="115" customFormat="1" ht="13.5" customHeight="1">
      <c r="A1298" s="139">
        <v>1220</v>
      </c>
      <c r="B1298" s="140" t="s">
        <v>5685</v>
      </c>
      <c r="C1298" s="146" t="s">
        <v>2273</v>
      </c>
      <c r="D1298" s="142" t="s">
        <v>2274</v>
      </c>
      <c r="E1298" s="141" t="s">
        <v>3365</v>
      </c>
      <c r="F1298" s="142" t="s">
        <v>2274</v>
      </c>
      <c r="G1298" s="141" t="s">
        <v>3366</v>
      </c>
      <c r="H1298" s="142" t="s">
        <v>2277</v>
      </c>
      <c r="I1298" s="141" t="s">
        <v>3367</v>
      </c>
      <c r="J1298" s="142" t="s">
        <v>3368</v>
      </c>
      <c r="K1298" s="142" t="s">
        <v>3369</v>
      </c>
      <c r="L1298" s="143">
        <f t="shared" si="40"/>
        <v>1</v>
      </c>
      <c r="M1298" s="144" t="s">
        <v>3370</v>
      </c>
      <c r="N1298" s="141" t="s">
        <v>2273</v>
      </c>
      <c r="O1298" s="142" t="s">
        <v>2274</v>
      </c>
      <c r="P1298" s="141" t="s">
        <v>2275</v>
      </c>
      <c r="Q1298" s="142" t="s">
        <v>2274</v>
      </c>
      <c r="R1298" s="141" t="s">
        <v>2276</v>
      </c>
      <c r="S1298" s="142" t="s">
        <v>2277</v>
      </c>
      <c r="T1298" s="141" t="s">
        <v>3371</v>
      </c>
      <c r="U1298" s="142" t="s">
        <v>3368</v>
      </c>
      <c r="V1298" s="142" t="s">
        <v>1098</v>
      </c>
      <c r="W1298" s="141">
        <f t="shared" si="41"/>
        <v>5</v>
      </c>
      <c r="X1298" s="143">
        <v>1</v>
      </c>
      <c r="Y1298" s="145"/>
      <c r="AA1298"/>
    </row>
    <row r="1299" spans="1:27" s="115" customFormat="1" ht="13.5" customHeight="1">
      <c r="A1299" s="139">
        <v>1221</v>
      </c>
      <c r="B1299" s="140" t="s">
        <v>5686</v>
      </c>
      <c r="C1299" s="146" t="s">
        <v>2273</v>
      </c>
      <c r="D1299" s="142" t="s">
        <v>2274</v>
      </c>
      <c r="E1299" s="141" t="s">
        <v>3365</v>
      </c>
      <c r="F1299" s="142" t="s">
        <v>2274</v>
      </c>
      <c r="G1299" s="141" t="s">
        <v>3366</v>
      </c>
      <c r="H1299" s="142" t="s">
        <v>2277</v>
      </c>
      <c r="I1299" s="141" t="s">
        <v>3367</v>
      </c>
      <c r="J1299" s="142" t="s">
        <v>3368</v>
      </c>
      <c r="K1299" s="142" t="s">
        <v>3373</v>
      </c>
      <c r="L1299" s="143">
        <f t="shared" si="40"/>
        <v>1</v>
      </c>
      <c r="M1299" s="144" t="s">
        <v>3370</v>
      </c>
      <c r="N1299" s="141" t="s">
        <v>2273</v>
      </c>
      <c r="O1299" s="142" t="s">
        <v>2274</v>
      </c>
      <c r="P1299" s="141" t="s">
        <v>2275</v>
      </c>
      <c r="Q1299" s="142" t="s">
        <v>2274</v>
      </c>
      <c r="R1299" s="141" t="s">
        <v>2276</v>
      </c>
      <c r="S1299" s="142" t="s">
        <v>2277</v>
      </c>
      <c r="T1299" s="141" t="s">
        <v>3371</v>
      </c>
      <c r="U1299" s="142" t="s">
        <v>3368</v>
      </c>
      <c r="V1299" s="142" t="s">
        <v>1098</v>
      </c>
      <c r="W1299" s="141">
        <f t="shared" si="41"/>
        <v>5</v>
      </c>
      <c r="X1299" s="143"/>
      <c r="Y1299" s="160" t="s">
        <v>3374</v>
      </c>
      <c r="AA1299"/>
    </row>
    <row r="1300" spans="1:27" s="115" customFormat="1" ht="13.5" customHeight="1">
      <c r="A1300" s="139">
        <v>1222</v>
      </c>
      <c r="B1300" s="140" t="s">
        <v>5687</v>
      </c>
      <c r="C1300" s="146" t="s">
        <v>2273</v>
      </c>
      <c r="D1300" s="142" t="s">
        <v>2274</v>
      </c>
      <c r="E1300" s="141" t="s">
        <v>3365</v>
      </c>
      <c r="F1300" s="142" t="s">
        <v>2274</v>
      </c>
      <c r="G1300" s="141" t="s">
        <v>3366</v>
      </c>
      <c r="H1300" s="142" t="s">
        <v>2277</v>
      </c>
      <c r="I1300" s="141" t="s">
        <v>3367</v>
      </c>
      <c r="J1300" s="142" t="s">
        <v>3368</v>
      </c>
      <c r="K1300" s="142" t="s">
        <v>3375</v>
      </c>
      <c r="L1300" s="143">
        <f t="shared" si="40"/>
        <v>1</v>
      </c>
      <c r="M1300" s="144" t="s">
        <v>3370</v>
      </c>
      <c r="N1300" s="141" t="s">
        <v>2273</v>
      </c>
      <c r="O1300" s="142" t="s">
        <v>2274</v>
      </c>
      <c r="P1300" s="141" t="s">
        <v>2275</v>
      </c>
      <c r="Q1300" s="142" t="s">
        <v>2274</v>
      </c>
      <c r="R1300" s="141" t="s">
        <v>2276</v>
      </c>
      <c r="S1300" s="142" t="s">
        <v>2277</v>
      </c>
      <c r="T1300" s="141" t="s">
        <v>3371</v>
      </c>
      <c r="U1300" s="142" t="s">
        <v>3368</v>
      </c>
      <c r="V1300" s="142" t="s">
        <v>1098</v>
      </c>
      <c r="W1300" s="141">
        <f t="shared" si="41"/>
        <v>5</v>
      </c>
      <c r="X1300" s="143"/>
      <c r="Y1300" s="160" t="s">
        <v>3376</v>
      </c>
      <c r="AA1300"/>
    </row>
    <row r="1301" spans="1:27" s="115" customFormat="1" ht="13.5" customHeight="1">
      <c r="A1301" s="139">
        <v>1223</v>
      </c>
      <c r="B1301" s="140" t="s">
        <v>5688</v>
      </c>
      <c r="C1301" s="146" t="s">
        <v>2273</v>
      </c>
      <c r="D1301" s="142" t="s">
        <v>2274</v>
      </c>
      <c r="E1301" s="141" t="s">
        <v>3365</v>
      </c>
      <c r="F1301" s="142" t="s">
        <v>2274</v>
      </c>
      <c r="G1301" s="141" t="s">
        <v>3366</v>
      </c>
      <c r="H1301" s="142" t="s">
        <v>2277</v>
      </c>
      <c r="I1301" s="141" t="s">
        <v>3377</v>
      </c>
      <c r="J1301" s="142" t="s">
        <v>3368</v>
      </c>
      <c r="K1301" s="142" t="s">
        <v>3378</v>
      </c>
      <c r="L1301" s="143">
        <f t="shared" si="40"/>
        <v>1</v>
      </c>
      <c r="M1301" s="144" t="s">
        <v>3379</v>
      </c>
      <c r="N1301" s="141" t="s">
        <v>2273</v>
      </c>
      <c r="O1301" s="142" t="s">
        <v>2274</v>
      </c>
      <c r="P1301" s="141" t="s">
        <v>2275</v>
      </c>
      <c r="Q1301" s="142" t="s">
        <v>2274</v>
      </c>
      <c r="R1301" s="141" t="s">
        <v>2276</v>
      </c>
      <c r="S1301" s="142" t="s">
        <v>2277</v>
      </c>
      <c r="T1301" s="141" t="s">
        <v>3371</v>
      </c>
      <c r="U1301" s="142" t="s">
        <v>3368</v>
      </c>
      <c r="V1301" s="142" t="s">
        <v>268</v>
      </c>
      <c r="W1301" s="141">
        <f t="shared" si="41"/>
        <v>11</v>
      </c>
      <c r="X1301" s="143">
        <v>1</v>
      </c>
      <c r="Y1301" s="145"/>
      <c r="AA1301"/>
    </row>
    <row r="1302" spans="1:27" s="115" customFormat="1" ht="13.5" customHeight="1">
      <c r="A1302" s="139">
        <v>1224</v>
      </c>
      <c r="B1302" s="140" t="s">
        <v>5689</v>
      </c>
      <c r="C1302" s="146" t="s">
        <v>2273</v>
      </c>
      <c r="D1302" s="142" t="s">
        <v>2274</v>
      </c>
      <c r="E1302" s="141" t="s">
        <v>3365</v>
      </c>
      <c r="F1302" s="142" t="s">
        <v>2274</v>
      </c>
      <c r="G1302" s="141" t="s">
        <v>3366</v>
      </c>
      <c r="H1302" s="142" t="s">
        <v>2277</v>
      </c>
      <c r="I1302" s="141" t="s">
        <v>3377</v>
      </c>
      <c r="J1302" s="142" t="s">
        <v>3368</v>
      </c>
      <c r="K1302" s="142" t="s">
        <v>3380</v>
      </c>
      <c r="L1302" s="143">
        <f t="shared" si="40"/>
        <v>1</v>
      </c>
      <c r="M1302" s="144" t="s">
        <v>3379</v>
      </c>
      <c r="N1302" s="141" t="s">
        <v>2273</v>
      </c>
      <c r="O1302" s="142" t="s">
        <v>2274</v>
      </c>
      <c r="P1302" s="141" t="s">
        <v>2275</v>
      </c>
      <c r="Q1302" s="142" t="s">
        <v>2274</v>
      </c>
      <c r="R1302" s="141" t="s">
        <v>2276</v>
      </c>
      <c r="S1302" s="142" t="s">
        <v>2277</v>
      </c>
      <c r="T1302" s="141" t="s">
        <v>3371</v>
      </c>
      <c r="U1302" s="142" t="s">
        <v>3368</v>
      </c>
      <c r="V1302" s="142" t="s">
        <v>268</v>
      </c>
      <c r="W1302" s="141">
        <f t="shared" si="41"/>
        <v>11</v>
      </c>
      <c r="X1302" s="143"/>
      <c r="Y1302" s="145" t="s">
        <v>3381</v>
      </c>
      <c r="AA1302"/>
    </row>
    <row r="1303" spans="1:27" s="115" customFormat="1" ht="13.5" customHeight="1">
      <c r="A1303" s="139">
        <v>1225</v>
      </c>
      <c r="B1303" s="140" t="s">
        <v>5690</v>
      </c>
      <c r="C1303" s="146" t="s">
        <v>2273</v>
      </c>
      <c r="D1303" s="142" t="s">
        <v>2274</v>
      </c>
      <c r="E1303" s="141" t="s">
        <v>3365</v>
      </c>
      <c r="F1303" s="142" t="s">
        <v>2274</v>
      </c>
      <c r="G1303" s="141" t="s">
        <v>3366</v>
      </c>
      <c r="H1303" s="142" t="s">
        <v>2277</v>
      </c>
      <c r="I1303" s="141" t="s">
        <v>3377</v>
      </c>
      <c r="J1303" s="142" t="s">
        <v>3368</v>
      </c>
      <c r="K1303" s="142" t="s">
        <v>268</v>
      </c>
      <c r="L1303" s="143">
        <f t="shared" si="40"/>
        <v>1</v>
      </c>
      <c r="M1303" s="144" t="s">
        <v>3379</v>
      </c>
      <c r="N1303" s="141" t="s">
        <v>2273</v>
      </c>
      <c r="O1303" s="142" t="s">
        <v>2274</v>
      </c>
      <c r="P1303" s="141" t="s">
        <v>2275</v>
      </c>
      <c r="Q1303" s="142" t="s">
        <v>2274</v>
      </c>
      <c r="R1303" s="141" t="s">
        <v>2276</v>
      </c>
      <c r="S1303" s="142" t="s">
        <v>2277</v>
      </c>
      <c r="T1303" s="141" t="s">
        <v>3371</v>
      </c>
      <c r="U1303" s="142" t="s">
        <v>3368</v>
      </c>
      <c r="V1303" s="142" t="s">
        <v>268</v>
      </c>
      <c r="W1303" s="141">
        <f t="shared" si="41"/>
        <v>11</v>
      </c>
      <c r="X1303" s="143"/>
      <c r="Y1303" s="145" t="s">
        <v>3382</v>
      </c>
      <c r="AA1303"/>
    </row>
    <row r="1304" spans="1:27" s="115" customFormat="1" ht="13.5" customHeight="1">
      <c r="A1304" s="139">
        <v>1226</v>
      </c>
      <c r="B1304" s="140" t="s">
        <v>5691</v>
      </c>
      <c r="C1304" s="146" t="s">
        <v>2273</v>
      </c>
      <c r="D1304" s="142" t="s">
        <v>2274</v>
      </c>
      <c r="E1304" s="141" t="s">
        <v>3365</v>
      </c>
      <c r="F1304" s="142" t="s">
        <v>2274</v>
      </c>
      <c r="G1304" s="141" t="s">
        <v>3366</v>
      </c>
      <c r="H1304" s="142" t="s">
        <v>2277</v>
      </c>
      <c r="I1304" s="141" t="s">
        <v>3377</v>
      </c>
      <c r="J1304" s="142" t="s">
        <v>3368</v>
      </c>
      <c r="K1304" s="142" t="s">
        <v>268</v>
      </c>
      <c r="L1304" s="143">
        <f t="shared" si="40"/>
        <v>1</v>
      </c>
      <c r="M1304" s="144" t="s">
        <v>3379</v>
      </c>
      <c r="N1304" s="141" t="s">
        <v>2273</v>
      </c>
      <c r="O1304" s="142" t="s">
        <v>2274</v>
      </c>
      <c r="P1304" s="141" t="s">
        <v>2275</v>
      </c>
      <c r="Q1304" s="142" t="s">
        <v>2274</v>
      </c>
      <c r="R1304" s="141" t="s">
        <v>2276</v>
      </c>
      <c r="S1304" s="142" t="s">
        <v>2277</v>
      </c>
      <c r="T1304" s="141" t="s">
        <v>3371</v>
      </c>
      <c r="U1304" s="142" t="s">
        <v>3368</v>
      </c>
      <c r="V1304" s="142" t="s">
        <v>268</v>
      </c>
      <c r="W1304" s="141">
        <f t="shared" si="41"/>
        <v>11</v>
      </c>
      <c r="X1304" s="143"/>
      <c r="Y1304" s="145" t="s">
        <v>3383</v>
      </c>
      <c r="AA1304"/>
    </row>
    <row r="1305" spans="1:27" s="115" customFormat="1" ht="13.5" customHeight="1">
      <c r="A1305" s="139">
        <v>1227</v>
      </c>
      <c r="B1305" s="140" t="s">
        <v>5692</v>
      </c>
      <c r="C1305" s="146" t="s">
        <v>2273</v>
      </c>
      <c r="D1305" s="142" t="s">
        <v>2274</v>
      </c>
      <c r="E1305" s="141" t="s">
        <v>3365</v>
      </c>
      <c r="F1305" s="142" t="s">
        <v>2274</v>
      </c>
      <c r="G1305" s="141" t="s">
        <v>3366</v>
      </c>
      <c r="H1305" s="142" t="s">
        <v>2277</v>
      </c>
      <c r="I1305" s="141" t="s">
        <v>3377</v>
      </c>
      <c r="J1305" s="142" t="s">
        <v>3368</v>
      </c>
      <c r="K1305" s="142" t="s">
        <v>268</v>
      </c>
      <c r="L1305" s="143">
        <v>1</v>
      </c>
      <c r="M1305" s="158" t="s">
        <v>3379</v>
      </c>
      <c r="N1305" s="141" t="s">
        <v>2273</v>
      </c>
      <c r="O1305" s="142" t="s">
        <v>2274</v>
      </c>
      <c r="P1305" s="141" t="s">
        <v>2275</v>
      </c>
      <c r="Q1305" s="142" t="s">
        <v>2274</v>
      </c>
      <c r="R1305" s="141" t="s">
        <v>2276</v>
      </c>
      <c r="S1305" s="142" t="s">
        <v>2277</v>
      </c>
      <c r="T1305" s="141" t="s">
        <v>3371</v>
      </c>
      <c r="U1305" s="142" t="s">
        <v>3368</v>
      </c>
      <c r="V1305" s="142" t="s">
        <v>268</v>
      </c>
      <c r="W1305" s="141">
        <v>11</v>
      </c>
      <c r="X1305" s="143"/>
      <c r="Y1305" s="138" t="s">
        <v>3384</v>
      </c>
      <c r="AA1305"/>
    </row>
    <row r="1306" spans="1:27" s="115" customFormat="1" ht="22.5" customHeight="1">
      <c r="A1306" s="139">
        <v>1228</v>
      </c>
      <c r="B1306" s="140" t="s">
        <v>6075</v>
      </c>
      <c r="C1306" s="146" t="s">
        <v>2273</v>
      </c>
      <c r="D1306" s="142" t="s">
        <v>2274</v>
      </c>
      <c r="E1306" s="141" t="s">
        <v>3365</v>
      </c>
      <c r="F1306" s="142" t="s">
        <v>2274</v>
      </c>
      <c r="G1306" s="141" t="s">
        <v>3366</v>
      </c>
      <c r="H1306" s="142" t="s">
        <v>2277</v>
      </c>
      <c r="I1306" s="141" t="s">
        <v>3377</v>
      </c>
      <c r="J1306" s="142" t="s">
        <v>3368</v>
      </c>
      <c r="K1306" s="161" t="s">
        <v>6076</v>
      </c>
      <c r="L1306" s="143">
        <v>1</v>
      </c>
      <c r="M1306" s="159">
        <v>68112</v>
      </c>
      <c r="N1306" s="141" t="s">
        <v>6077</v>
      </c>
      <c r="O1306" s="142" t="s">
        <v>6078</v>
      </c>
      <c r="P1306" s="141">
        <v>68</v>
      </c>
      <c r="Q1306" s="142" t="s">
        <v>6078</v>
      </c>
      <c r="R1306" s="141">
        <v>681</v>
      </c>
      <c r="S1306" s="142" t="s">
        <v>3418</v>
      </c>
      <c r="T1306" s="141">
        <v>6811</v>
      </c>
      <c r="U1306" s="142" t="s">
        <v>6079</v>
      </c>
      <c r="V1306" s="142" t="s">
        <v>6080</v>
      </c>
      <c r="W1306" s="141">
        <v>11</v>
      </c>
      <c r="X1306" s="143"/>
      <c r="Y1306" s="138" t="s">
        <v>6081</v>
      </c>
      <c r="AA1306"/>
    </row>
    <row r="1307" spans="1:27" s="115" customFormat="1" ht="13.5" customHeight="1">
      <c r="A1307" s="139">
        <v>1229</v>
      </c>
      <c r="B1307" s="140" t="s">
        <v>5693</v>
      </c>
      <c r="C1307" s="146" t="s">
        <v>2273</v>
      </c>
      <c r="D1307" s="142" t="s">
        <v>2274</v>
      </c>
      <c r="E1307" s="141" t="s">
        <v>3365</v>
      </c>
      <c r="F1307" s="142" t="s">
        <v>2274</v>
      </c>
      <c r="G1307" s="141" t="s">
        <v>3366</v>
      </c>
      <c r="H1307" s="142" t="s">
        <v>2277</v>
      </c>
      <c r="I1307" s="141" t="s">
        <v>3385</v>
      </c>
      <c r="J1307" s="142" t="s">
        <v>3368</v>
      </c>
      <c r="K1307" s="142" t="s">
        <v>268</v>
      </c>
      <c r="L1307" s="143">
        <f t="shared" ref="L1307:L1371" si="42">COUNTIF($B$5:$B$1752,B1307)</f>
        <v>1</v>
      </c>
      <c r="M1307" s="144" t="s">
        <v>3379</v>
      </c>
      <c r="N1307" s="141" t="s">
        <v>2273</v>
      </c>
      <c r="O1307" s="142" t="s">
        <v>2274</v>
      </c>
      <c r="P1307" s="141" t="s">
        <v>2275</v>
      </c>
      <c r="Q1307" s="142" t="s">
        <v>2274</v>
      </c>
      <c r="R1307" s="141" t="s">
        <v>2276</v>
      </c>
      <c r="S1307" s="142" t="s">
        <v>2277</v>
      </c>
      <c r="T1307" s="141" t="s">
        <v>3371</v>
      </c>
      <c r="U1307" s="142" t="s">
        <v>3368</v>
      </c>
      <c r="V1307" s="142" t="s">
        <v>268</v>
      </c>
      <c r="W1307" s="141">
        <f t="shared" ref="W1307:W1371" si="43">COUNTIF($M$5:$M$1756,M1307)</f>
        <v>11</v>
      </c>
      <c r="X1307" s="143"/>
      <c r="Y1307" s="145"/>
      <c r="AA1307"/>
    </row>
    <row r="1308" spans="1:27" s="115" customFormat="1" ht="13.5" customHeight="1">
      <c r="A1308" s="139">
        <v>1230</v>
      </c>
      <c r="B1308" s="140" t="s">
        <v>5694</v>
      </c>
      <c r="C1308" s="146" t="s">
        <v>2273</v>
      </c>
      <c r="D1308" s="142" t="s">
        <v>2274</v>
      </c>
      <c r="E1308" s="141" t="s">
        <v>3365</v>
      </c>
      <c r="F1308" s="142" t="s">
        <v>2274</v>
      </c>
      <c r="G1308" s="141" t="s">
        <v>3366</v>
      </c>
      <c r="H1308" s="142" t="s">
        <v>2277</v>
      </c>
      <c r="I1308" s="141" t="s">
        <v>3385</v>
      </c>
      <c r="J1308" s="142" t="s">
        <v>3368</v>
      </c>
      <c r="K1308" s="142" t="s">
        <v>1098</v>
      </c>
      <c r="L1308" s="143">
        <f t="shared" si="42"/>
        <v>1</v>
      </c>
      <c r="M1308" s="144" t="s">
        <v>3370</v>
      </c>
      <c r="N1308" s="141" t="s">
        <v>2273</v>
      </c>
      <c r="O1308" s="142" t="s">
        <v>2274</v>
      </c>
      <c r="P1308" s="141" t="s">
        <v>2275</v>
      </c>
      <c r="Q1308" s="142" t="s">
        <v>2274</v>
      </c>
      <c r="R1308" s="141" t="s">
        <v>2276</v>
      </c>
      <c r="S1308" s="142" t="s">
        <v>2277</v>
      </c>
      <c r="T1308" s="141" t="s">
        <v>3371</v>
      </c>
      <c r="U1308" s="142" t="s">
        <v>3368</v>
      </c>
      <c r="V1308" s="142" t="s">
        <v>1098</v>
      </c>
      <c r="W1308" s="141">
        <f t="shared" si="43"/>
        <v>5</v>
      </c>
      <c r="X1308" s="143"/>
      <c r="Y1308" s="145" t="s">
        <v>3386</v>
      </c>
      <c r="AA1308"/>
    </row>
    <row r="1309" spans="1:27" s="115" customFormat="1" ht="22.5" customHeight="1">
      <c r="A1309" s="139">
        <v>1231</v>
      </c>
      <c r="B1309" s="140" t="s">
        <v>6082</v>
      </c>
      <c r="C1309" s="146" t="s">
        <v>2273</v>
      </c>
      <c r="D1309" s="142" t="s">
        <v>2274</v>
      </c>
      <c r="E1309" s="141" t="s">
        <v>3365</v>
      </c>
      <c r="F1309" s="142" t="s">
        <v>2274</v>
      </c>
      <c r="G1309" s="141" t="s">
        <v>3366</v>
      </c>
      <c r="H1309" s="142" t="s">
        <v>2277</v>
      </c>
      <c r="I1309" s="141" t="s">
        <v>3385</v>
      </c>
      <c r="J1309" s="142" t="s">
        <v>3368</v>
      </c>
      <c r="K1309" s="142" t="s">
        <v>6083</v>
      </c>
      <c r="L1309" s="143">
        <v>1</v>
      </c>
      <c r="M1309" s="144" t="s">
        <v>6084</v>
      </c>
      <c r="N1309" s="141" t="s">
        <v>6077</v>
      </c>
      <c r="O1309" s="142" t="s">
        <v>6078</v>
      </c>
      <c r="P1309" s="141">
        <v>68</v>
      </c>
      <c r="Q1309" s="142" t="s">
        <v>6078</v>
      </c>
      <c r="R1309" s="141">
        <v>681</v>
      </c>
      <c r="S1309" s="142" t="s">
        <v>3418</v>
      </c>
      <c r="T1309" s="141">
        <v>6811</v>
      </c>
      <c r="U1309" s="142" t="s">
        <v>6079</v>
      </c>
      <c r="V1309" s="142" t="s">
        <v>6080</v>
      </c>
      <c r="W1309" s="141">
        <v>11</v>
      </c>
      <c r="X1309" s="143"/>
      <c r="Y1309" s="145" t="s">
        <v>6085</v>
      </c>
      <c r="AA1309"/>
    </row>
    <row r="1310" spans="1:27" s="115" customFormat="1" ht="13.5" customHeight="1">
      <c r="A1310" s="139">
        <v>1232</v>
      </c>
      <c r="B1310" s="140" t="s">
        <v>5695</v>
      </c>
      <c r="C1310" s="146" t="s">
        <v>2273</v>
      </c>
      <c r="D1310" s="142" t="s">
        <v>2274</v>
      </c>
      <c r="E1310" s="141" t="s">
        <v>3365</v>
      </c>
      <c r="F1310" s="142" t="s">
        <v>2274</v>
      </c>
      <c r="G1310" s="141" t="s">
        <v>3366</v>
      </c>
      <c r="H1310" s="142" t="s">
        <v>2277</v>
      </c>
      <c r="I1310" s="141" t="s">
        <v>3387</v>
      </c>
      <c r="J1310" s="142" t="s">
        <v>3368</v>
      </c>
      <c r="K1310" s="142" t="s">
        <v>269</v>
      </c>
      <c r="L1310" s="143">
        <f t="shared" si="42"/>
        <v>1</v>
      </c>
      <c r="M1310" s="144" t="s">
        <v>3388</v>
      </c>
      <c r="N1310" s="141" t="s">
        <v>2273</v>
      </c>
      <c r="O1310" s="142" t="s">
        <v>2274</v>
      </c>
      <c r="P1310" s="141" t="s">
        <v>2275</v>
      </c>
      <c r="Q1310" s="142" t="s">
        <v>2274</v>
      </c>
      <c r="R1310" s="141" t="s">
        <v>2276</v>
      </c>
      <c r="S1310" s="142" t="s">
        <v>2277</v>
      </c>
      <c r="T1310" s="141" t="s">
        <v>3371</v>
      </c>
      <c r="U1310" s="142" t="s">
        <v>3368</v>
      </c>
      <c r="V1310" s="142" t="s">
        <v>269</v>
      </c>
      <c r="W1310" s="141">
        <f t="shared" si="43"/>
        <v>3</v>
      </c>
      <c r="X1310" s="143">
        <v>1</v>
      </c>
      <c r="Y1310" s="145"/>
      <c r="AA1310"/>
    </row>
    <row r="1311" spans="1:27" s="115" customFormat="1" ht="27" customHeight="1">
      <c r="A1311" s="139">
        <v>1233</v>
      </c>
      <c r="B1311" s="140" t="s">
        <v>5696</v>
      </c>
      <c r="C1311" s="146" t="s">
        <v>2273</v>
      </c>
      <c r="D1311" s="142" t="s">
        <v>2274</v>
      </c>
      <c r="E1311" s="141" t="s">
        <v>3365</v>
      </c>
      <c r="F1311" s="142" t="s">
        <v>2274</v>
      </c>
      <c r="G1311" s="141" t="s">
        <v>3366</v>
      </c>
      <c r="H1311" s="142" t="s">
        <v>2277</v>
      </c>
      <c r="I1311" s="141" t="s">
        <v>3389</v>
      </c>
      <c r="J1311" s="142" t="s">
        <v>3368</v>
      </c>
      <c r="K1311" s="142" t="s">
        <v>3390</v>
      </c>
      <c r="L1311" s="143">
        <f t="shared" si="42"/>
        <v>1</v>
      </c>
      <c r="M1311" s="144" t="s">
        <v>3379</v>
      </c>
      <c r="N1311" s="141" t="s">
        <v>2273</v>
      </c>
      <c r="O1311" s="142" t="s">
        <v>2274</v>
      </c>
      <c r="P1311" s="141" t="s">
        <v>2275</v>
      </c>
      <c r="Q1311" s="142" t="s">
        <v>2274</v>
      </c>
      <c r="R1311" s="141" t="s">
        <v>2276</v>
      </c>
      <c r="S1311" s="142" t="s">
        <v>2277</v>
      </c>
      <c r="T1311" s="141" t="s">
        <v>3371</v>
      </c>
      <c r="U1311" s="142" t="s">
        <v>3368</v>
      </c>
      <c r="V1311" s="142" t="s">
        <v>268</v>
      </c>
      <c r="W1311" s="141">
        <f t="shared" si="43"/>
        <v>11</v>
      </c>
      <c r="X1311" s="143"/>
      <c r="Y1311" s="145" t="s">
        <v>3391</v>
      </c>
      <c r="AA1311"/>
    </row>
    <row r="1312" spans="1:27" s="115" customFormat="1" ht="27" customHeight="1">
      <c r="A1312" s="139">
        <v>1234</v>
      </c>
      <c r="B1312" s="140" t="s">
        <v>5697</v>
      </c>
      <c r="C1312" s="146" t="s">
        <v>2273</v>
      </c>
      <c r="D1312" s="142" t="s">
        <v>2274</v>
      </c>
      <c r="E1312" s="141" t="s">
        <v>3365</v>
      </c>
      <c r="F1312" s="142" t="s">
        <v>2274</v>
      </c>
      <c r="G1312" s="141" t="s">
        <v>3366</v>
      </c>
      <c r="H1312" s="142" t="s">
        <v>2277</v>
      </c>
      <c r="I1312" s="141" t="s">
        <v>3389</v>
      </c>
      <c r="J1312" s="142" t="s">
        <v>3368</v>
      </c>
      <c r="K1312" s="142" t="s">
        <v>3392</v>
      </c>
      <c r="L1312" s="143">
        <f t="shared" si="42"/>
        <v>1</v>
      </c>
      <c r="M1312" s="144" t="s">
        <v>3379</v>
      </c>
      <c r="N1312" s="141" t="s">
        <v>2273</v>
      </c>
      <c r="O1312" s="142" t="s">
        <v>2274</v>
      </c>
      <c r="P1312" s="141" t="s">
        <v>2275</v>
      </c>
      <c r="Q1312" s="142" t="s">
        <v>2274</v>
      </c>
      <c r="R1312" s="141" t="s">
        <v>2276</v>
      </c>
      <c r="S1312" s="142" t="s">
        <v>2277</v>
      </c>
      <c r="T1312" s="141" t="s">
        <v>3371</v>
      </c>
      <c r="U1312" s="142" t="s">
        <v>3368</v>
      </c>
      <c r="V1312" s="142" t="s">
        <v>268</v>
      </c>
      <c r="W1312" s="141">
        <f t="shared" si="43"/>
        <v>11</v>
      </c>
      <c r="X1312" s="143"/>
      <c r="Y1312" s="145" t="s">
        <v>3393</v>
      </c>
      <c r="AA1312"/>
    </row>
    <row r="1313" spans="1:27" s="115" customFormat="1" ht="13.5" customHeight="1">
      <c r="A1313" s="139">
        <v>1235</v>
      </c>
      <c r="B1313" s="140" t="s">
        <v>5698</v>
      </c>
      <c r="C1313" s="146" t="s">
        <v>2273</v>
      </c>
      <c r="D1313" s="142" t="s">
        <v>2274</v>
      </c>
      <c r="E1313" s="141" t="s">
        <v>3365</v>
      </c>
      <c r="F1313" s="142" t="s">
        <v>2274</v>
      </c>
      <c r="G1313" s="141" t="s">
        <v>3366</v>
      </c>
      <c r="H1313" s="142" t="s">
        <v>2277</v>
      </c>
      <c r="I1313" s="141" t="s">
        <v>3389</v>
      </c>
      <c r="J1313" s="142" t="s">
        <v>3368</v>
      </c>
      <c r="K1313" s="142" t="s">
        <v>1099</v>
      </c>
      <c r="L1313" s="143">
        <f t="shared" si="42"/>
        <v>1</v>
      </c>
      <c r="M1313" s="144" t="s">
        <v>3388</v>
      </c>
      <c r="N1313" s="141" t="s">
        <v>2273</v>
      </c>
      <c r="O1313" s="142" t="s">
        <v>2274</v>
      </c>
      <c r="P1313" s="141" t="s">
        <v>2275</v>
      </c>
      <c r="Q1313" s="142" t="s">
        <v>2274</v>
      </c>
      <c r="R1313" s="141" t="s">
        <v>2276</v>
      </c>
      <c r="S1313" s="142" t="s">
        <v>2277</v>
      </c>
      <c r="T1313" s="141" t="s">
        <v>3371</v>
      </c>
      <c r="U1313" s="142" t="s">
        <v>3368</v>
      </c>
      <c r="V1313" s="142" t="s">
        <v>269</v>
      </c>
      <c r="W1313" s="141">
        <f t="shared" si="43"/>
        <v>3</v>
      </c>
      <c r="X1313" s="143"/>
      <c r="Y1313" s="145" t="s">
        <v>3394</v>
      </c>
      <c r="AA1313"/>
    </row>
    <row r="1314" spans="1:27" s="115" customFormat="1" ht="13.5" customHeight="1">
      <c r="A1314" s="139">
        <v>1236</v>
      </c>
      <c r="B1314" s="140" t="s">
        <v>5699</v>
      </c>
      <c r="C1314" s="146" t="s">
        <v>2273</v>
      </c>
      <c r="D1314" s="142" t="s">
        <v>2274</v>
      </c>
      <c r="E1314" s="141" t="s">
        <v>3365</v>
      </c>
      <c r="F1314" s="142" t="s">
        <v>2274</v>
      </c>
      <c r="G1314" s="141" t="s">
        <v>3366</v>
      </c>
      <c r="H1314" s="142" t="s">
        <v>2277</v>
      </c>
      <c r="I1314" s="141" t="s">
        <v>3389</v>
      </c>
      <c r="J1314" s="142" t="s">
        <v>3368</v>
      </c>
      <c r="K1314" s="142" t="s">
        <v>1100</v>
      </c>
      <c r="L1314" s="143">
        <f t="shared" si="42"/>
        <v>1</v>
      </c>
      <c r="M1314" s="144" t="s">
        <v>3388</v>
      </c>
      <c r="N1314" s="141" t="s">
        <v>2273</v>
      </c>
      <c r="O1314" s="142" t="s">
        <v>2274</v>
      </c>
      <c r="P1314" s="141" t="s">
        <v>2275</v>
      </c>
      <c r="Q1314" s="142" t="s">
        <v>2274</v>
      </c>
      <c r="R1314" s="141" t="s">
        <v>2276</v>
      </c>
      <c r="S1314" s="142" t="s">
        <v>2277</v>
      </c>
      <c r="T1314" s="141" t="s">
        <v>3371</v>
      </c>
      <c r="U1314" s="142" t="s">
        <v>3368</v>
      </c>
      <c r="V1314" s="142" t="s">
        <v>269</v>
      </c>
      <c r="W1314" s="141">
        <f t="shared" si="43"/>
        <v>3</v>
      </c>
      <c r="X1314" s="143"/>
      <c r="Y1314" s="145" t="s">
        <v>3395</v>
      </c>
      <c r="AA1314"/>
    </row>
    <row r="1315" spans="1:27" s="115" customFormat="1" ht="13.5" customHeight="1">
      <c r="A1315" s="139">
        <v>1237</v>
      </c>
      <c r="B1315" s="140" t="s">
        <v>5702</v>
      </c>
      <c r="C1315" s="146" t="s">
        <v>2273</v>
      </c>
      <c r="D1315" s="142" t="s">
        <v>2274</v>
      </c>
      <c r="E1315" s="141" t="s">
        <v>3365</v>
      </c>
      <c r="F1315" s="142" t="s">
        <v>2274</v>
      </c>
      <c r="G1315" s="141" t="s">
        <v>3396</v>
      </c>
      <c r="H1315" s="142" t="s">
        <v>3397</v>
      </c>
      <c r="I1315" s="141" t="s">
        <v>3398</v>
      </c>
      <c r="J1315" s="142" t="s">
        <v>3399</v>
      </c>
      <c r="K1315" s="142" t="s">
        <v>1101</v>
      </c>
      <c r="L1315" s="143">
        <f t="shared" si="42"/>
        <v>1</v>
      </c>
      <c r="M1315" s="144" t="s">
        <v>3400</v>
      </c>
      <c r="N1315" s="141" t="s">
        <v>2273</v>
      </c>
      <c r="O1315" s="142" t="s">
        <v>2274</v>
      </c>
      <c r="P1315" s="141" t="s">
        <v>2275</v>
      </c>
      <c r="Q1315" s="142" t="s">
        <v>2274</v>
      </c>
      <c r="R1315" s="141" t="s">
        <v>3401</v>
      </c>
      <c r="S1315" s="142" t="s">
        <v>3397</v>
      </c>
      <c r="T1315" s="141" t="s">
        <v>3402</v>
      </c>
      <c r="U1315" s="142" t="s">
        <v>3399</v>
      </c>
      <c r="V1315" s="142" t="s">
        <v>1101</v>
      </c>
      <c r="W1315" s="141">
        <f t="shared" si="43"/>
        <v>1</v>
      </c>
      <c r="X1315" s="143"/>
      <c r="Y1315" s="145"/>
      <c r="AA1315"/>
    </row>
    <row r="1316" spans="1:27" s="115" customFormat="1" ht="13.5" customHeight="1">
      <c r="A1316" s="139">
        <v>1238</v>
      </c>
      <c r="B1316" s="140" t="s">
        <v>5703</v>
      </c>
      <c r="C1316" s="146" t="s">
        <v>2273</v>
      </c>
      <c r="D1316" s="142" t="s">
        <v>2274</v>
      </c>
      <c r="E1316" s="141" t="s">
        <v>3365</v>
      </c>
      <c r="F1316" s="142" t="s">
        <v>2274</v>
      </c>
      <c r="G1316" s="141" t="s">
        <v>3396</v>
      </c>
      <c r="H1316" s="142" t="s">
        <v>3397</v>
      </c>
      <c r="I1316" s="141" t="s">
        <v>3398</v>
      </c>
      <c r="J1316" s="142" t="s">
        <v>3399</v>
      </c>
      <c r="K1316" s="142" t="s">
        <v>1102</v>
      </c>
      <c r="L1316" s="143">
        <f t="shared" si="42"/>
        <v>1</v>
      </c>
      <c r="M1316" s="144" t="s">
        <v>3403</v>
      </c>
      <c r="N1316" s="146" t="s">
        <v>2273</v>
      </c>
      <c r="O1316" s="147" t="s">
        <v>2274</v>
      </c>
      <c r="P1316" s="146" t="s">
        <v>2275</v>
      </c>
      <c r="Q1316" s="147" t="s">
        <v>2274</v>
      </c>
      <c r="R1316" s="146" t="s">
        <v>3401</v>
      </c>
      <c r="S1316" s="147" t="s">
        <v>3397</v>
      </c>
      <c r="T1316" s="146" t="s">
        <v>3402</v>
      </c>
      <c r="U1316" s="147" t="s">
        <v>3399</v>
      </c>
      <c r="V1316" s="147" t="s">
        <v>1102</v>
      </c>
      <c r="W1316" s="141">
        <f t="shared" si="43"/>
        <v>1</v>
      </c>
      <c r="X1316" s="143"/>
      <c r="Y1316" s="145"/>
      <c r="AA1316"/>
    </row>
    <row r="1317" spans="1:27" s="115" customFormat="1" ht="27" customHeight="1">
      <c r="A1317" s="139">
        <v>1239</v>
      </c>
      <c r="B1317" s="140" t="s">
        <v>5704</v>
      </c>
      <c r="C1317" s="146" t="s">
        <v>2273</v>
      </c>
      <c r="D1317" s="142" t="s">
        <v>2274</v>
      </c>
      <c r="E1317" s="141" t="s">
        <v>3365</v>
      </c>
      <c r="F1317" s="142" t="s">
        <v>2274</v>
      </c>
      <c r="G1317" s="141" t="s">
        <v>3396</v>
      </c>
      <c r="H1317" s="142" t="s">
        <v>3397</v>
      </c>
      <c r="I1317" s="141" t="s">
        <v>3398</v>
      </c>
      <c r="J1317" s="142" t="s">
        <v>3404</v>
      </c>
      <c r="K1317" s="142" t="s">
        <v>1103</v>
      </c>
      <c r="L1317" s="143">
        <f t="shared" si="42"/>
        <v>1</v>
      </c>
      <c r="M1317" s="144" t="s">
        <v>3405</v>
      </c>
      <c r="N1317" s="141" t="s">
        <v>2273</v>
      </c>
      <c r="O1317" s="142" t="s">
        <v>2274</v>
      </c>
      <c r="P1317" s="141" t="s">
        <v>2275</v>
      </c>
      <c r="Q1317" s="142" t="s">
        <v>2274</v>
      </c>
      <c r="R1317" s="141" t="s">
        <v>3401</v>
      </c>
      <c r="S1317" s="142" t="s">
        <v>3397</v>
      </c>
      <c r="T1317" s="141" t="s">
        <v>3406</v>
      </c>
      <c r="U1317" s="142" t="s">
        <v>3404</v>
      </c>
      <c r="V1317" s="142" t="s">
        <v>1103</v>
      </c>
      <c r="W1317" s="141">
        <f t="shared" si="43"/>
        <v>1</v>
      </c>
      <c r="X1317" s="143"/>
      <c r="Y1317" s="145"/>
      <c r="AA1317"/>
    </row>
    <row r="1318" spans="1:27" s="115" customFormat="1" ht="27" customHeight="1">
      <c r="A1318" s="139">
        <v>1240</v>
      </c>
      <c r="B1318" s="140" t="s">
        <v>5705</v>
      </c>
      <c r="C1318" s="146" t="s">
        <v>2273</v>
      </c>
      <c r="D1318" s="142" t="s">
        <v>2274</v>
      </c>
      <c r="E1318" s="141" t="s">
        <v>3365</v>
      </c>
      <c r="F1318" s="142" t="s">
        <v>2274</v>
      </c>
      <c r="G1318" s="141" t="s">
        <v>3396</v>
      </c>
      <c r="H1318" s="142" t="s">
        <v>3397</v>
      </c>
      <c r="I1318" s="141" t="s">
        <v>3398</v>
      </c>
      <c r="J1318" s="142" t="s">
        <v>3399</v>
      </c>
      <c r="K1318" s="142" t="s">
        <v>1104</v>
      </c>
      <c r="L1318" s="143">
        <f t="shared" si="42"/>
        <v>1</v>
      </c>
      <c r="M1318" s="144" t="s">
        <v>3407</v>
      </c>
      <c r="N1318" s="146" t="s">
        <v>2273</v>
      </c>
      <c r="O1318" s="147" t="s">
        <v>2274</v>
      </c>
      <c r="P1318" s="146" t="s">
        <v>2275</v>
      </c>
      <c r="Q1318" s="147" t="s">
        <v>2274</v>
      </c>
      <c r="R1318" s="146" t="s">
        <v>3401</v>
      </c>
      <c r="S1318" s="147" t="s">
        <v>3397</v>
      </c>
      <c r="T1318" s="146" t="s">
        <v>3402</v>
      </c>
      <c r="U1318" s="147" t="s">
        <v>3399</v>
      </c>
      <c r="V1318" s="147" t="s">
        <v>1104</v>
      </c>
      <c r="W1318" s="141">
        <f t="shared" si="43"/>
        <v>1</v>
      </c>
      <c r="X1318" s="143"/>
      <c r="Y1318" s="145"/>
      <c r="AA1318"/>
    </row>
    <row r="1319" spans="1:27" s="115" customFormat="1" ht="27" customHeight="1">
      <c r="A1319" s="139">
        <v>1241</v>
      </c>
      <c r="B1319" s="140" t="s">
        <v>5706</v>
      </c>
      <c r="C1319" s="146" t="s">
        <v>2273</v>
      </c>
      <c r="D1319" s="142" t="s">
        <v>2274</v>
      </c>
      <c r="E1319" s="141" t="s">
        <v>3365</v>
      </c>
      <c r="F1319" s="142" t="s">
        <v>2274</v>
      </c>
      <c r="G1319" s="141" t="s">
        <v>3396</v>
      </c>
      <c r="H1319" s="142" t="s">
        <v>3397</v>
      </c>
      <c r="I1319" s="141" t="s">
        <v>3398</v>
      </c>
      <c r="J1319" s="142" t="s">
        <v>3404</v>
      </c>
      <c r="K1319" s="142" t="s">
        <v>1105</v>
      </c>
      <c r="L1319" s="143">
        <f t="shared" si="42"/>
        <v>1</v>
      </c>
      <c r="M1319" s="144" t="s">
        <v>3408</v>
      </c>
      <c r="N1319" s="141" t="s">
        <v>2273</v>
      </c>
      <c r="O1319" s="142" t="s">
        <v>2274</v>
      </c>
      <c r="P1319" s="141" t="s">
        <v>2275</v>
      </c>
      <c r="Q1319" s="142" t="s">
        <v>2274</v>
      </c>
      <c r="R1319" s="141" t="s">
        <v>3401</v>
      </c>
      <c r="S1319" s="142" t="s">
        <v>3397</v>
      </c>
      <c r="T1319" s="141" t="s">
        <v>3406</v>
      </c>
      <c r="U1319" s="142" t="s">
        <v>3404</v>
      </c>
      <c r="V1319" s="142" t="s">
        <v>1105</v>
      </c>
      <c r="W1319" s="141">
        <f t="shared" si="43"/>
        <v>1</v>
      </c>
      <c r="X1319" s="143"/>
      <c r="Y1319" s="145"/>
      <c r="AA1319"/>
    </row>
    <row r="1320" spans="1:27" s="115" customFormat="1" ht="27" customHeight="1">
      <c r="A1320" s="139">
        <v>1242</v>
      </c>
      <c r="B1320" s="140" t="s">
        <v>5707</v>
      </c>
      <c r="C1320" s="146" t="s">
        <v>2273</v>
      </c>
      <c r="D1320" s="142" t="s">
        <v>2274</v>
      </c>
      <c r="E1320" s="141" t="s">
        <v>3365</v>
      </c>
      <c r="F1320" s="142" t="s">
        <v>2274</v>
      </c>
      <c r="G1320" s="141" t="s">
        <v>3409</v>
      </c>
      <c r="H1320" s="142" t="s">
        <v>2277</v>
      </c>
      <c r="I1320" s="141" t="s">
        <v>3410</v>
      </c>
      <c r="J1320" s="142" t="s">
        <v>2279</v>
      </c>
      <c r="K1320" s="142" t="s">
        <v>1106</v>
      </c>
      <c r="L1320" s="143">
        <f t="shared" si="42"/>
        <v>1</v>
      </c>
      <c r="M1320" s="144" t="s">
        <v>2272</v>
      </c>
      <c r="N1320" s="141" t="s">
        <v>2273</v>
      </c>
      <c r="O1320" s="142" t="s">
        <v>2274</v>
      </c>
      <c r="P1320" s="141" t="s">
        <v>2275</v>
      </c>
      <c r="Q1320" s="142" t="s">
        <v>2274</v>
      </c>
      <c r="R1320" s="141" t="s">
        <v>2276</v>
      </c>
      <c r="S1320" s="142" t="s">
        <v>2277</v>
      </c>
      <c r="T1320" s="141" t="s">
        <v>2278</v>
      </c>
      <c r="U1320" s="142" t="s">
        <v>2279</v>
      </c>
      <c r="V1320" s="142" t="s">
        <v>1106</v>
      </c>
      <c r="W1320" s="141">
        <f t="shared" si="43"/>
        <v>4</v>
      </c>
      <c r="X1320" s="143">
        <v>1</v>
      </c>
      <c r="Y1320" s="145" t="s">
        <v>3411</v>
      </c>
      <c r="AA1320"/>
    </row>
    <row r="1321" spans="1:27" s="115" customFormat="1" ht="13.5" customHeight="1">
      <c r="A1321" s="139">
        <v>1243</v>
      </c>
      <c r="B1321" s="140" t="s">
        <v>5708</v>
      </c>
      <c r="C1321" s="146" t="s">
        <v>2273</v>
      </c>
      <c r="D1321" s="142" t="s">
        <v>2274</v>
      </c>
      <c r="E1321" s="141" t="s">
        <v>3365</v>
      </c>
      <c r="F1321" s="142" t="s">
        <v>2274</v>
      </c>
      <c r="G1321" s="141" t="s">
        <v>3409</v>
      </c>
      <c r="H1321" s="142" t="s">
        <v>2277</v>
      </c>
      <c r="I1321" s="141" t="s">
        <v>3410</v>
      </c>
      <c r="J1321" s="142" t="s">
        <v>2279</v>
      </c>
      <c r="K1321" s="142" t="s">
        <v>1106</v>
      </c>
      <c r="L1321" s="143">
        <f t="shared" si="42"/>
        <v>1</v>
      </c>
      <c r="M1321" s="144" t="s">
        <v>2272</v>
      </c>
      <c r="N1321" s="141" t="s">
        <v>2273</v>
      </c>
      <c r="O1321" s="142" t="s">
        <v>2274</v>
      </c>
      <c r="P1321" s="141" t="s">
        <v>2275</v>
      </c>
      <c r="Q1321" s="142" t="s">
        <v>2274</v>
      </c>
      <c r="R1321" s="141" t="s">
        <v>2276</v>
      </c>
      <c r="S1321" s="142" t="s">
        <v>2277</v>
      </c>
      <c r="T1321" s="141" t="s">
        <v>2278</v>
      </c>
      <c r="U1321" s="142" t="s">
        <v>2279</v>
      </c>
      <c r="V1321" s="142" t="s">
        <v>1106</v>
      </c>
      <c r="W1321" s="141">
        <f t="shared" si="43"/>
        <v>4</v>
      </c>
      <c r="X1321" s="143"/>
      <c r="Y1321" s="145" t="s">
        <v>3412</v>
      </c>
      <c r="AA1321"/>
    </row>
    <row r="1322" spans="1:27" s="115" customFormat="1" ht="13.5" customHeight="1">
      <c r="A1322" s="139">
        <v>1244</v>
      </c>
      <c r="B1322" s="140" t="s">
        <v>5709</v>
      </c>
      <c r="C1322" s="146" t="s">
        <v>2273</v>
      </c>
      <c r="D1322" s="142" t="s">
        <v>2274</v>
      </c>
      <c r="E1322" s="141" t="s">
        <v>3365</v>
      </c>
      <c r="F1322" s="142" t="s">
        <v>2274</v>
      </c>
      <c r="G1322" s="141" t="s">
        <v>3409</v>
      </c>
      <c r="H1322" s="142" t="s">
        <v>2277</v>
      </c>
      <c r="I1322" s="141" t="s">
        <v>3410</v>
      </c>
      <c r="J1322" s="142" t="s">
        <v>2279</v>
      </c>
      <c r="K1322" s="142" t="s">
        <v>272</v>
      </c>
      <c r="L1322" s="143">
        <f t="shared" si="42"/>
        <v>1</v>
      </c>
      <c r="M1322" s="144">
        <v>68122</v>
      </c>
      <c r="N1322" s="141" t="s">
        <v>2273</v>
      </c>
      <c r="O1322" s="142" t="s">
        <v>2274</v>
      </c>
      <c r="P1322" s="141" t="s">
        <v>2275</v>
      </c>
      <c r="Q1322" s="142" t="s">
        <v>2274</v>
      </c>
      <c r="R1322" s="141" t="s">
        <v>2276</v>
      </c>
      <c r="S1322" s="142" t="s">
        <v>2277</v>
      </c>
      <c r="T1322" s="141" t="s">
        <v>2278</v>
      </c>
      <c r="U1322" s="142" t="s">
        <v>2279</v>
      </c>
      <c r="V1322" s="142" t="s">
        <v>272</v>
      </c>
      <c r="W1322" s="141">
        <f t="shared" si="43"/>
        <v>6</v>
      </c>
      <c r="X1322" s="143">
        <v>1</v>
      </c>
      <c r="Y1322" s="145" t="s">
        <v>3411</v>
      </c>
      <c r="AA1322"/>
    </row>
    <row r="1323" spans="1:27" s="115" customFormat="1" ht="13.5" customHeight="1">
      <c r="A1323" s="139">
        <v>1245</v>
      </c>
      <c r="B1323" s="140" t="s">
        <v>5710</v>
      </c>
      <c r="C1323" s="146" t="s">
        <v>2273</v>
      </c>
      <c r="D1323" s="142" t="s">
        <v>2274</v>
      </c>
      <c r="E1323" s="141" t="s">
        <v>3365</v>
      </c>
      <c r="F1323" s="142" t="s">
        <v>2274</v>
      </c>
      <c r="G1323" s="141" t="s">
        <v>3409</v>
      </c>
      <c r="H1323" s="142" t="s">
        <v>2277</v>
      </c>
      <c r="I1323" s="141" t="s">
        <v>3410</v>
      </c>
      <c r="J1323" s="142" t="s">
        <v>2279</v>
      </c>
      <c r="K1323" s="142" t="s">
        <v>1107</v>
      </c>
      <c r="L1323" s="143">
        <f t="shared" si="42"/>
        <v>1</v>
      </c>
      <c r="M1323" s="144">
        <v>68129</v>
      </c>
      <c r="N1323" s="146" t="s">
        <v>2273</v>
      </c>
      <c r="O1323" s="147" t="s">
        <v>2274</v>
      </c>
      <c r="P1323" s="146" t="s">
        <v>2275</v>
      </c>
      <c r="Q1323" s="147" t="s">
        <v>2274</v>
      </c>
      <c r="R1323" s="146" t="s">
        <v>2276</v>
      </c>
      <c r="S1323" s="147" t="s">
        <v>2277</v>
      </c>
      <c r="T1323" s="146" t="s">
        <v>2278</v>
      </c>
      <c r="U1323" s="147" t="s">
        <v>2279</v>
      </c>
      <c r="V1323" s="147" t="s">
        <v>1107</v>
      </c>
      <c r="W1323" s="141">
        <f t="shared" si="43"/>
        <v>2</v>
      </c>
      <c r="X1323" s="143">
        <v>1</v>
      </c>
      <c r="Y1323" s="145" t="s">
        <v>3413</v>
      </c>
      <c r="AA1323"/>
    </row>
    <row r="1324" spans="1:27" s="115" customFormat="1" ht="13.5" customHeight="1">
      <c r="A1324" s="139">
        <v>1246</v>
      </c>
      <c r="B1324" s="140" t="s">
        <v>5711</v>
      </c>
      <c r="C1324" s="146" t="s">
        <v>2273</v>
      </c>
      <c r="D1324" s="142" t="s">
        <v>2274</v>
      </c>
      <c r="E1324" s="141" t="s">
        <v>3365</v>
      </c>
      <c r="F1324" s="142" t="s">
        <v>2274</v>
      </c>
      <c r="G1324" s="141" t="s">
        <v>3409</v>
      </c>
      <c r="H1324" s="142" t="s">
        <v>2277</v>
      </c>
      <c r="I1324" s="141" t="s">
        <v>3410</v>
      </c>
      <c r="J1324" s="142" t="s">
        <v>2279</v>
      </c>
      <c r="K1324" s="142" t="s">
        <v>272</v>
      </c>
      <c r="L1324" s="143">
        <f t="shared" si="42"/>
        <v>1</v>
      </c>
      <c r="M1324" s="144">
        <v>68122</v>
      </c>
      <c r="N1324" s="141" t="s">
        <v>2273</v>
      </c>
      <c r="O1324" s="142" t="s">
        <v>2274</v>
      </c>
      <c r="P1324" s="141" t="s">
        <v>2275</v>
      </c>
      <c r="Q1324" s="142" t="s">
        <v>2274</v>
      </c>
      <c r="R1324" s="141" t="s">
        <v>2276</v>
      </c>
      <c r="S1324" s="142" t="s">
        <v>2277</v>
      </c>
      <c r="T1324" s="141" t="s">
        <v>2278</v>
      </c>
      <c r="U1324" s="142" t="s">
        <v>2279</v>
      </c>
      <c r="V1324" s="142" t="s">
        <v>272</v>
      </c>
      <c r="W1324" s="141">
        <f t="shared" si="43"/>
        <v>6</v>
      </c>
      <c r="X1324" s="143"/>
      <c r="Y1324" s="145" t="s">
        <v>3412</v>
      </c>
      <c r="AA1324"/>
    </row>
    <row r="1325" spans="1:27" s="115" customFormat="1" ht="13.5" customHeight="1">
      <c r="A1325" s="139">
        <v>1247</v>
      </c>
      <c r="B1325" s="140" t="s">
        <v>5712</v>
      </c>
      <c r="C1325" s="146" t="s">
        <v>2273</v>
      </c>
      <c r="D1325" s="142" t="s">
        <v>2274</v>
      </c>
      <c r="E1325" s="141" t="s">
        <v>3365</v>
      </c>
      <c r="F1325" s="142" t="s">
        <v>2274</v>
      </c>
      <c r="G1325" s="141" t="s">
        <v>3409</v>
      </c>
      <c r="H1325" s="142" t="s">
        <v>2277</v>
      </c>
      <c r="I1325" s="141" t="s">
        <v>3410</v>
      </c>
      <c r="J1325" s="142" t="s">
        <v>2279</v>
      </c>
      <c r="K1325" s="142" t="s">
        <v>1107</v>
      </c>
      <c r="L1325" s="143">
        <f t="shared" si="42"/>
        <v>1</v>
      </c>
      <c r="M1325" s="144">
        <v>68129</v>
      </c>
      <c r="N1325" s="146" t="s">
        <v>2273</v>
      </c>
      <c r="O1325" s="147" t="s">
        <v>2274</v>
      </c>
      <c r="P1325" s="146" t="s">
        <v>2275</v>
      </c>
      <c r="Q1325" s="147" t="s">
        <v>2274</v>
      </c>
      <c r="R1325" s="146" t="s">
        <v>2276</v>
      </c>
      <c r="S1325" s="147" t="s">
        <v>2277</v>
      </c>
      <c r="T1325" s="146" t="s">
        <v>2278</v>
      </c>
      <c r="U1325" s="147" t="s">
        <v>2279</v>
      </c>
      <c r="V1325" s="147" t="s">
        <v>1107</v>
      </c>
      <c r="W1325" s="141">
        <f t="shared" si="43"/>
        <v>2</v>
      </c>
      <c r="X1325" s="143"/>
      <c r="Y1325" s="145" t="s">
        <v>3414</v>
      </c>
      <c r="AA1325"/>
    </row>
    <row r="1326" spans="1:27" s="115" customFormat="1" ht="13.5" customHeight="1">
      <c r="A1326" s="139">
        <v>1248</v>
      </c>
      <c r="B1326" s="140" t="s">
        <v>5713</v>
      </c>
      <c r="C1326" s="146" t="s">
        <v>2273</v>
      </c>
      <c r="D1326" s="142" t="s">
        <v>2274</v>
      </c>
      <c r="E1326" s="141" t="s">
        <v>3365</v>
      </c>
      <c r="F1326" s="142" t="s">
        <v>2274</v>
      </c>
      <c r="G1326" s="141" t="s">
        <v>3409</v>
      </c>
      <c r="H1326" s="142" t="s">
        <v>2277</v>
      </c>
      <c r="I1326" s="141" t="s">
        <v>3410</v>
      </c>
      <c r="J1326" s="142" t="s">
        <v>2279</v>
      </c>
      <c r="K1326" s="142" t="s">
        <v>272</v>
      </c>
      <c r="L1326" s="143">
        <f t="shared" si="42"/>
        <v>1</v>
      </c>
      <c r="M1326" s="144" t="s">
        <v>3415</v>
      </c>
      <c r="N1326" s="141" t="s">
        <v>2273</v>
      </c>
      <c r="O1326" s="142" t="s">
        <v>2274</v>
      </c>
      <c r="P1326" s="141" t="s">
        <v>2275</v>
      </c>
      <c r="Q1326" s="142" t="s">
        <v>2274</v>
      </c>
      <c r="R1326" s="141" t="s">
        <v>2276</v>
      </c>
      <c r="S1326" s="142" t="s">
        <v>2277</v>
      </c>
      <c r="T1326" s="141" t="s">
        <v>2278</v>
      </c>
      <c r="U1326" s="142" t="s">
        <v>2279</v>
      </c>
      <c r="V1326" s="142" t="s">
        <v>272</v>
      </c>
      <c r="W1326" s="141">
        <f t="shared" si="43"/>
        <v>6</v>
      </c>
      <c r="X1326" s="143"/>
      <c r="Y1326" s="145" t="s">
        <v>3416</v>
      </c>
      <c r="AA1326"/>
    </row>
    <row r="1327" spans="1:27" s="115" customFormat="1" ht="13.5" customHeight="1">
      <c r="A1327" s="139">
        <v>1249</v>
      </c>
      <c r="B1327" s="140" t="s">
        <v>5714</v>
      </c>
      <c r="C1327" s="146" t="s">
        <v>2273</v>
      </c>
      <c r="D1327" s="142" t="s">
        <v>2274</v>
      </c>
      <c r="E1327" s="141" t="s">
        <v>3365</v>
      </c>
      <c r="F1327" s="142" t="s">
        <v>2274</v>
      </c>
      <c r="G1327" s="141" t="s">
        <v>3409</v>
      </c>
      <c r="H1327" s="142" t="s">
        <v>2277</v>
      </c>
      <c r="I1327" s="141" t="s">
        <v>3410</v>
      </c>
      <c r="J1327" s="142" t="s">
        <v>2279</v>
      </c>
      <c r="K1327" s="142" t="s">
        <v>272</v>
      </c>
      <c r="L1327" s="143">
        <f t="shared" si="42"/>
        <v>1</v>
      </c>
      <c r="M1327" s="144" t="s">
        <v>3415</v>
      </c>
      <c r="N1327" s="141" t="s">
        <v>2273</v>
      </c>
      <c r="O1327" s="142" t="s">
        <v>2274</v>
      </c>
      <c r="P1327" s="141" t="s">
        <v>2275</v>
      </c>
      <c r="Q1327" s="142" t="s">
        <v>2274</v>
      </c>
      <c r="R1327" s="141" t="s">
        <v>2276</v>
      </c>
      <c r="S1327" s="142" t="s">
        <v>2277</v>
      </c>
      <c r="T1327" s="141" t="s">
        <v>2278</v>
      </c>
      <c r="U1327" s="142" t="s">
        <v>2279</v>
      </c>
      <c r="V1327" s="142" t="s">
        <v>272</v>
      </c>
      <c r="W1327" s="141">
        <f t="shared" si="43"/>
        <v>6</v>
      </c>
      <c r="X1327" s="143"/>
      <c r="Y1327" s="145" t="s">
        <v>3417</v>
      </c>
      <c r="AA1327"/>
    </row>
    <row r="1328" spans="1:27" s="115" customFormat="1" ht="27" customHeight="1">
      <c r="A1328" s="139">
        <v>1250</v>
      </c>
      <c r="B1328" s="140" t="s">
        <v>5715</v>
      </c>
      <c r="C1328" s="146" t="s">
        <v>2273</v>
      </c>
      <c r="D1328" s="142" t="s">
        <v>2274</v>
      </c>
      <c r="E1328" s="141" t="s">
        <v>3365</v>
      </c>
      <c r="F1328" s="142" t="s">
        <v>2274</v>
      </c>
      <c r="G1328" s="141" t="s">
        <v>3409</v>
      </c>
      <c r="H1328" s="142" t="s">
        <v>2277</v>
      </c>
      <c r="I1328" s="141" t="s">
        <v>3410</v>
      </c>
      <c r="J1328" s="142" t="s">
        <v>2279</v>
      </c>
      <c r="K1328" s="142" t="s">
        <v>272</v>
      </c>
      <c r="L1328" s="143">
        <f t="shared" si="42"/>
        <v>1</v>
      </c>
      <c r="M1328" s="144" t="s">
        <v>3415</v>
      </c>
      <c r="N1328" s="141" t="s">
        <v>2273</v>
      </c>
      <c r="O1328" s="142" t="s">
        <v>2274</v>
      </c>
      <c r="P1328" s="141" t="s">
        <v>2275</v>
      </c>
      <c r="Q1328" s="142" t="s">
        <v>2274</v>
      </c>
      <c r="R1328" s="141" t="s">
        <v>2276</v>
      </c>
      <c r="S1328" s="142" t="s">
        <v>2277</v>
      </c>
      <c r="T1328" s="141" t="s">
        <v>2278</v>
      </c>
      <c r="U1328" s="142" t="s">
        <v>2279</v>
      </c>
      <c r="V1328" s="142" t="s">
        <v>272</v>
      </c>
      <c r="W1328" s="141">
        <f t="shared" si="43"/>
        <v>6</v>
      </c>
      <c r="X1328" s="143"/>
      <c r="Y1328" s="145" t="s">
        <v>2280</v>
      </c>
      <c r="AA1328"/>
    </row>
    <row r="1329" spans="1:27" s="115" customFormat="1" ht="27" customHeight="1">
      <c r="A1329" s="139">
        <v>1251</v>
      </c>
      <c r="B1329" s="140" t="s">
        <v>5716</v>
      </c>
      <c r="C1329" s="146" t="s">
        <v>2273</v>
      </c>
      <c r="D1329" s="142" t="s">
        <v>2274</v>
      </c>
      <c r="E1329" s="141" t="s">
        <v>3365</v>
      </c>
      <c r="F1329" s="142" t="s">
        <v>2274</v>
      </c>
      <c r="G1329" s="141" t="s">
        <v>3409</v>
      </c>
      <c r="H1329" s="142" t="s">
        <v>3418</v>
      </c>
      <c r="I1329" s="141" t="s">
        <v>3410</v>
      </c>
      <c r="J1329" s="142" t="s">
        <v>2279</v>
      </c>
      <c r="K1329" s="142" t="s">
        <v>272</v>
      </c>
      <c r="L1329" s="143">
        <f t="shared" si="42"/>
        <v>1</v>
      </c>
      <c r="M1329" s="144" t="s">
        <v>3415</v>
      </c>
      <c r="N1329" s="141" t="s">
        <v>2273</v>
      </c>
      <c r="O1329" s="142" t="s">
        <v>2274</v>
      </c>
      <c r="P1329" s="141" t="s">
        <v>2275</v>
      </c>
      <c r="Q1329" s="142" t="s">
        <v>2274</v>
      </c>
      <c r="R1329" s="141" t="s">
        <v>2276</v>
      </c>
      <c r="S1329" s="142" t="s">
        <v>2277</v>
      </c>
      <c r="T1329" s="141" t="s">
        <v>2278</v>
      </c>
      <c r="U1329" s="142" t="s">
        <v>2279</v>
      </c>
      <c r="V1329" s="142" t="s">
        <v>272</v>
      </c>
      <c r="W1329" s="141">
        <f t="shared" si="43"/>
        <v>6</v>
      </c>
      <c r="X1329" s="143"/>
      <c r="Y1329" s="145" t="s">
        <v>2281</v>
      </c>
      <c r="AA1329"/>
    </row>
    <row r="1330" spans="1:27" s="115" customFormat="1" ht="27" customHeight="1">
      <c r="A1330" s="139">
        <v>1252</v>
      </c>
      <c r="B1330" s="140" t="s">
        <v>5908</v>
      </c>
      <c r="C1330" s="146" t="s">
        <v>2273</v>
      </c>
      <c r="D1330" s="142" t="s">
        <v>2274</v>
      </c>
      <c r="E1330" s="141" t="s">
        <v>2157</v>
      </c>
      <c r="F1330" s="142" t="s">
        <v>2274</v>
      </c>
      <c r="G1330" s="141" t="s">
        <v>3241</v>
      </c>
      <c r="H1330" s="142" t="s">
        <v>2277</v>
      </c>
      <c r="I1330" s="141" t="s">
        <v>3419</v>
      </c>
      <c r="J1330" s="142" t="s">
        <v>3368</v>
      </c>
      <c r="K1330" s="142" t="s">
        <v>268</v>
      </c>
      <c r="L1330" s="143">
        <f t="shared" si="42"/>
        <v>1</v>
      </c>
      <c r="M1330" s="144" t="s">
        <v>3379</v>
      </c>
      <c r="N1330" s="141" t="s">
        <v>2273</v>
      </c>
      <c r="O1330" s="142" t="s">
        <v>2274</v>
      </c>
      <c r="P1330" s="141" t="s">
        <v>2275</v>
      </c>
      <c r="Q1330" s="142" t="s">
        <v>2274</v>
      </c>
      <c r="R1330" s="141" t="s">
        <v>2276</v>
      </c>
      <c r="S1330" s="142" t="s">
        <v>2277</v>
      </c>
      <c r="T1330" s="141" t="s">
        <v>3371</v>
      </c>
      <c r="U1330" s="142" t="s">
        <v>3368</v>
      </c>
      <c r="V1330" s="142" t="s">
        <v>268</v>
      </c>
      <c r="W1330" s="141">
        <f t="shared" si="43"/>
        <v>11</v>
      </c>
      <c r="X1330" s="143"/>
      <c r="Y1330" s="145" t="s">
        <v>3420</v>
      </c>
      <c r="AA1330"/>
    </row>
    <row r="1331" spans="1:27" s="115" customFormat="1" ht="27" customHeight="1">
      <c r="A1331" s="139">
        <v>1253</v>
      </c>
      <c r="B1331" s="140" t="s">
        <v>5743</v>
      </c>
      <c r="C1331" s="141" t="s">
        <v>3421</v>
      </c>
      <c r="D1331" s="142" t="s">
        <v>3422</v>
      </c>
      <c r="E1331" s="141" t="s">
        <v>3423</v>
      </c>
      <c r="F1331" s="142" t="s">
        <v>3424</v>
      </c>
      <c r="G1331" s="141" t="s">
        <v>3425</v>
      </c>
      <c r="H1331" s="142" t="s">
        <v>3426</v>
      </c>
      <c r="I1331" s="141" t="s">
        <v>3427</v>
      </c>
      <c r="J1331" s="142" t="s">
        <v>3428</v>
      </c>
      <c r="K1331" s="142" t="s">
        <v>1108</v>
      </c>
      <c r="L1331" s="143">
        <f t="shared" si="42"/>
        <v>1</v>
      </c>
      <c r="M1331" s="144" t="s">
        <v>3429</v>
      </c>
      <c r="N1331" s="141" t="s">
        <v>3421</v>
      </c>
      <c r="O1331" s="142" t="s">
        <v>3422</v>
      </c>
      <c r="P1331" s="141" t="s">
        <v>3365</v>
      </c>
      <c r="Q1331" s="142" t="s">
        <v>3424</v>
      </c>
      <c r="R1331" s="141" t="s">
        <v>3396</v>
      </c>
      <c r="S1331" s="142" t="s">
        <v>3428</v>
      </c>
      <c r="T1331" s="141" t="s">
        <v>3398</v>
      </c>
      <c r="U1331" s="142" t="s">
        <v>3428</v>
      </c>
      <c r="V1331" s="142" t="s">
        <v>1108</v>
      </c>
      <c r="W1331" s="141">
        <f t="shared" si="43"/>
        <v>1</v>
      </c>
      <c r="X1331" s="143"/>
      <c r="Y1331" s="145"/>
      <c r="AA1331"/>
    </row>
    <row r="1332" spans="1:27" s="115" customFormat="1" ht="27" customHeight="1">
      <c r="A1332" s="139">
        <v>1254</v>
      </c>
      <c r="B1332" s="140" t="s">
        <v>5744</v>
      </c>
      <c r="C1332" s="141" t="s">
        <v>3421</v>
      </c>
      <c r="D1332" s="142" t="s">
        <v>3422</v>
      </c>
      <c r="E1332" s="141" t="s">
        <v>3423</v>
      </c>
      <c r="F1332" s="142" t="s">
        <v>3424</v>
      </c>
      <c r="G1332" s="141" t="s">
        <v>3425</v>
      </c>
      <c r="H1332" s="142" t="s">
        <v>3430</v>
      </c>
      <c r="I1332" s="141" t="s">
        <v>3427</v>
      </c>
      <c r="J1332" s="142" t="s">
        <v>3431</v>
      </c>
      <c r="K1332" s="142" t="s">
        <v>1109</v>
      </c>
      <c r="L1332" s="143">
        <f t="shared" si="42"/>
        <v>1</v>
      </c>
      <c r="M1332" s="144" t="s">
        <v>3432</v>
      </c>
      <c r="N1332" s="141" t="s">
        <v>3421</v>
      </c>
      <c r="O1332" s="142" t="s">
        <v>3422</v>
      </c>
      <c r="P1332" s="141" t="s">
        <v>3365</v>
      </c>
      <c r="Q1332" s="142" t="s">
        <v>3424</v>
      </c>
      <c r="R1332" s="141" t="s">
        <v>3366</v>
      </c>
      <c r="S1332" s="142" t="s">
        <v>3430</v>
      </c>
      <c r="T1332" s="141" t="s">
        <v>3367</v>
      </c>
      <c r="U1332" s="142" t="s">
        <v>3431</v>
      </c>
      <c r="V1332" s="142" t="s">
        <v>1109</v>
      </c>
      <c r="W1332" s="141">
        <f t="shared" si="43"/>
        <v>1</v>
      </c>
      <c r="X1332" s="143"/>
      <c r="Y1332" s="145"/>
      <c r="AA1332"/>
    </row>
    <row r="1333" spans="1:27" s="115" customFormat="1" ht="27" customHeight="1">
      <c r="A1333" s="139">
        <v>1255</v>
      </c>
      <c r="B1333" s="140" t="s">
        <v>5745</v>
      </c>
      <c r="C1333" s="141" t="s">
        <v>3421</v>
      </c>
      <c r="D1333" s="142" t="s">
        <v>3422</v>
      </c>
      <c r="E1333" s="141" t="s">
        <v>3423</v>
      </c>
      <c r="F1333" s="142" t="s">
        <v>3424</v>
      </c>
      <c r="G1333" s="141" t="s">
        <v>3425</v>
      </c>
      <c r="H1333" s="142" t="s">
        <v>3430</v>
      </c>
      <c r="I1333" s="141" t="s">
        <v>3427</v>
      </c>
      <c r="J1333" s="142" t="s">
        <v>3431</v>
      </c>
      <c r="K1333" s="142" t="s">
        <v>1110</v>
      </c>
      <c r="L1333" s="143">
        <f t="shared" si="42"/>
        <v>1</v>
      </c>
      <c r="M1333" s="144" t="s">
        <v>3433</v>
      </c>
      <c r="N1333" s="141" t="s">
        <v>3421</v>
      </c>
      <c r="O1333" s="142" t="s">
        <v>3422</v>
      </c>
      <c r="P1333" s="141" t="s">
        <v>3365</v>
      </c>
      <c r="Q1333" s="142" t="s">
        <v>3424</v>
      </c>
      <c r="R1333" s="141" t="s">
        <v>3366</v>
      </c>
      <c r="S1333" s="142" t="s">
        <v>3430</v>
      </c>
      <c r="T1333" s="141" t="s">
        <v>3367</v>
      </c>
      <c r="U1333" s="142" t="s">
        <v>3431</v>
      </c>
      <c r="V1333" s="142" t="s">
        <v>1110</v>
      </c>
      <c r="W1333" s="141">
        <f t="shared" si="43"/>
        <v>1</v>
      </c>
      <c r="X1333" s="143"/>
      <c r="Y1333" s="145"/>
      <c r="AA1333"/>
    </row>
    <row r="1334" spans="1:27" s="115" customFormat="1" ht="27" customHeight="1">
      <c r="A1334" s="139">
        <v>1256</v>
      </c>
      <c r="B1334" s="140" t="s">
        <v>5746</v>
      </c>
      <c r="C1334" s="141" t="s">
        <v>3421</v>
      </c>
      <c r="D1334" s="142" t="s">
        <v>3422</v>
      </c>
      <c r="E1334" s="141" t="s">
        <v>3423</v>
      </c>
      <c r="F1334" s="142" t="s">
        <v>3424</v>
      </c>
      <c r="G1334" s="141" t="s">
        <v>3425</v>
      </c>
      <c r="H1334" s="142" t="s">
        <v>3430</v>
      </c>
      <c r="I1334" s="141" t="s">
        <v>3427</v>
      </c>
      <c r="J1334" s="142" t="s">
        <v>3431</v>
      </c>
      <c r="K1334" s="142" t="s">
        <v>1111</v>
      </c>
      <c r="L1334" s="143">
        <f t="shared" si="42"/>
        <v>1</v>
      </c>
      <c r="M1334" s="144" t="s">
        <v>3434</v>
      </c>
      <c r="N1334" s="141" t="s">
        <v>3421</v>
      </c>
      <c r="O1334" s="142" t="s">
        <v>3422</v>
      </c>
      <c r="P1334" s="141" t="s">
        <v>3365</v>
      </c>
      <c r="Q1334" s="142" t="s">
        <v>3424</v>
      </c>
      <c r="R1334" s="141" t="s">
        <v>3366</v>
      </c>
      <c r="S1334" s="142" t="s">
        <v>3430</v>
      </c>
      <c r="T1334" s="141" t="s">
        <v>3367</v>
      </c>
      <c r="U1334" s="142" t="s">
        <v>3431</v>
      </c>
      <c r="V1334" s="142" t="s">
        <v>1111</v>
      </c>
      <c r="W1334" s="141">
        <f t="shared" si="43"/>
        <v>1</v>
      </c>
      <c r="X1334" s="143"/>
      <c r="Y1334" s="145"/>
      <c r="AA1334"/>
    </row>
    <row r="1335" spans="1:27" s="115" customFormat="1" ht="27" customHeight="1">
      <c r="A1335" s="139">
        <v>1257</v>
      </c>
      <c r="B1335" s="140" t="s">
        <v>5747</v>
      </c>
      <c r="C1335" s="141" t="s">
        <v>3421</v>
      </c>
      <c r="D1335" s="142" t="s">
        <v>3422</v>
      </c>
      <c r="E1335" s="141" t="s">
        <v>3423</v>
      </c>
      <c r="F1335" s="142" t="s">
        <v>3424</v>
      </c>
      <c r="G1335" s="141" t="s">
        <v>3425</v>
      </c>
      <c r="H1335" s="142" t="s">
        <v>3430</v>
      </c>
      <c r="I1335" s="141" t="s">
        <v>3427</v>
      </c>
      <c r="J1335" s="142" t="s">
        <v>3431</v>
      </c>
      <c r="K1335" s="142" t="s">
        <v>1112</v>
      </c>
      <c r="L1335" s="143">
        <f t="shared" si="42"/>
        <v>1</v>
      </c>
      <c r="M1335" s="144" t="s">
        <v>3435</v>
      </c>
      <c r="N1335" s="141" t="s">
        <v>3421</v>
      </c>
      <c r="O1335" s="142" t="s">
        <v>3422</v>
      </c>
      <c r="P1335" s="141" t="s">
        <v>3365</v>
      </c>
      <c r="Q1335" s="142" t="s">
        <v>3424</v>
      </c>
      <c r="R1335" s="141" t="s">
        <v>3366</v>
      </c>
      <c r="S1335" s="142" t="s">
        <v>3430</v>
      </c>
      <c r="T1335" s="141" t="s">
        <v>3367</v>
      </c>
      <c r="U1335" s="142" t="s">
        <v>3431</v>
      </c>
      <c r="V1335" s="142" t="s">
        <v>1112</v>
      </c>
      <c r="W1335" s="141">
        <f t="shared" si="43"/>
        <v>1</v>
      </c>
      <c r="X1335" s="143"/>
      <c r="Y1335" s="145"/>
      <c r="AA1335"/>
    </row>
    <row r="1336" spans="1:27" s="115" customFormat="1" ht="27" customHeight="1">
      <c r="A1336" s="139">
        <v>1258</v>
      </c>
      <c r="B1336" s="140" t="s">
        <v>5748</v>
      </c>
      <c r="C1336" s="141" t="s">
        <v>3421</v>
      </c>
      <c r="D1336" s="142" t="s">
        <v>3422</v>
      </c>
      <c r="E1336" s="141" t="s">
        <v>3423</v>
      </c>
      <c r="F1336" s="142" t="s">
        <v>3424</v>
      </c>
      <c r="G1336" s="141" t="s">
        <v>3425</v>
      </c>
      <c r="H1336" s="142" t="s">
        <v>3430</v>
      </c>
      <c r="I1336" s="141" t="s">
        <v>3427</v>
      </c>
      <c r="J1336" s="142" t="s">
        <v>3436</v>
      </c>
      <c r="K1336" s="142" t="s">
        <v>1113</v>
      </c>
      <c r="L1336" s="143">
        <f t="shared" si="42"/>
        <v>1</v>
      </c>
      <c r="M1336" s="144" t="s">
        <v>3437</v>
      </c>
      <c r="N1336" s="141" t="s">
        <v>3421</v>
      </c>
      <c r="O1336" s="142" t="s">
        <v>3422</v>
      </c>
      <c r="P1336" s="141" t="s">
        <v>3365</v>
      </c>
      <c r="Q1336" s="142" t="s">
        <v>3424</v>
      </c>
      <c r="R1336" s="141" t="s">
        <v>3366</v>
      </c>
      <c r="S1336" s="142" t="s">
        <v>3430</v>
      </c>
      <c r="T1336" s="141" t="s">
        <v>3377</v>
      </c>
      <c r="U1336" s="142" t="s">
        <v>3436</v>
      </c>
      <c r="V1336" s="142" t="s">
        <v>1113</v>
      </c>
      <c r="W1336" s="141">
        <f t="shared" si="43"/>
        <v>1</v>
      </c>
      <c r="X1336" s="143"/>
      <c r="Y1336" s="145"/>
      <c r="AA1336"/>
    </row>
    <row r="1337" spans="1:27" s="115" customFormat="1" ht="27" customHeight="1">
      <c r="A1337" s="139">
        <v>1259</v>
      </c>
      <c r="B1337" s="140" t="s">
        <v>5749</v>
      </c>
      <c r="C1337" s="141" t="s">
        <v>3421</v>
      </c>
      <c r="D1337" s="142" t="s">
        <v>3422</v>
      </c>
      <c r="E1337" s="141" t="s">
        <v>3423</v>
      </c>
      <c r="F1337" s="142" t="s">
        <v>3424</v>
      </c>
      <c r="G1337" s="141" t="s">
        <v>3425</v>
      </c>
      <c r="H1337" s="142" t="s">
        <v>3430</v>
      </c>
      <c r="I1337" s="141" t="s">
        <v>3427</v>
      </c>
      <c r="J1337" s="142" t="s">
        <v>3436</v>
      </c>
      <c r="K1337" s="142" t="s">
        <v>1114</v>
      </c>
      <c r="L1337" s="143">
        <f t="shared" si="42"/>
        <v>1</v>
      </c>
      <c r="M1337" s="144" t="s">
        <v>3438</v>
      </c>
      <c r="N1337" s="141" t="s">
        <v>3421</v>
      </c>
      <c r="O1337" s="142" t="s">
        <v>3422</v>
      </c>
      <c r="P1337" s="141" t="s">
        <v>3365</v>
      </c>
      <c r="Q1337" s="142" t="s">
        <v>3424</v>
      </c>
      <c r="R1337" s="141" t="s">
        <v>3366</v>
      </c>
      <c r="S1337" s="142" t="s">
        <v>3430</v>
      </c>
      <c r="T1337" s="141" t="s">
        <v>3377</v>
      </c>
      <c r="U1337" s="142" t="s">
        <v>3436</v>
      </c>
      <c r="V1337" s="142" t="s">
        <v>1114</v>
      </c>
      <c r="W1337" s="141">
        <f t="shared" si="43"/>
        <v>1</v>
      </c>
      <c r="X1337" s="143"/>
      <c r="Y1337" s="145"/>
      <c r="AA1337"/>
    </row>
    <row r="1338" spans="1:27" s="115" customFormat="1" ht="27" customHeight="1">
      <c r="A1338" s="139">
        <v>1260</v>
      </c>
      <c r="B1338" s="140" t="s">
        <v>5750</v>
      </c>
      <c r="C1338" s="141" t="s">
        <v>3421</v>
      </c>
      <c r="D1338" s="142" t="s">
        <v>3422</v>
      </c>
      <c r="E1338" s="141" t="s">
        <v>3423</v>
      </c>
      <c r="F1338" s="142" t="s">
        <v>3424</v>
      </c>
      <c r="G1338" s="141" t="s">
        <v>3425</v>
      </c>
      <c r="H1338" s="142" t="s">
        <v>3439</v>
      </c>
      <c r="I1338" s="141" t="s">
        <v>3427</v>
      </c>
      <c r="J1338" s="142" t="s">
        <v>1115</v>
      </c>
      <c r="K1338" s="142" t="s">
        <v>1115</v>
      </c>
      <c r="L1338" s="143">
        <f t="shared" si="42"/>
        <v>1</v>
      </c>
      <c r="M1338" s="144" t="s">
        <v>3440</v>
      </c>
      <c r="N1338" s="141" t="s">
        <v>3421</v>
      </c>
      <c r="O1338" s="142" t="s">
        <v>3422</v>
      </c>
      <c r="P1338" s="141" t="s">
        <v>3365</v>
      </c>
      <c r="Q1338" s="142" t="s">
        <v>3424</v>
      </c>
      <c r="R1338" s="141" t="s">
        <v>3366</v>
      </c>
      <c r="S1338" s="142" t="s">
        <v>3430</v>
      </c>
      <c r="T1338" s="141" t="s">
        <v>3385</v>
      </c>
      <c r="U1338" s="142" t="s">
        <v>1115</v>
      </c>
      <c r="V1338" s="142" t="s">
        <v>1115</v>
      </c>
      <c r="W1338" s="141">
        <f t="shared" si="43"/>
        <v>1</v>
      </c>
      <c r="X1338" s="143"/>
      <c r="Y1338" s="145"/>
      <c r="AA1338"/>
    </row>
    <row r="1339" spans="1:27" s="115" customFormat="1" ht="27" customHeight="1">
      <c r="A1339" s="139">
        <v>1261</v>
      </c>
      <c r="B1339" s="140" t="s">
        <v>5751</v>
      </c>
      <c r="C1339" s="141" t="s">
        <v>3421</v>
      </c>
      <c r="D1339" s="142" t="s">
        <v>3422</v>
      </c>
      <c r="E1339" s="141" t="s">
        <v>3423</v>
      </c>
      <c r="F1339" s="142" t="s">
        <v>3424</v>
      </c>
      <c r="G1339" s="141" t="s">
        <v>3425</v>
      </c>
      <c r="H1339" s="142" t="s">
        <v>3428</v>
      </c>
      <c r="I1339" s="141" t="s">
        <v>3427</v>
      </c>
      <c r="J1339" s="142" t="s">
        <v>3428</v>
      </c>
      <c r="K1339" s="142" t="s">
        <v>1116</v>
      </c>
      <c r="L1339" s="143">
        <f t="shared" si="42"/>
        <v>1</v>
      </c>
      <c r="M1339" s="144" t="s">
        <v>3441</v>
      </c>
      <c r="N1339" s="141" t="s">
        <v>3421</v>
      </c>
      <c r="O1339" s="142" t="s">
        <v>3422</v>
      </c>
      <c r="P1339" s="141" t="s">
        <v>3365</v>
      </c>
      <c r="Q1339" s="142" t="s">
        <v>3424</v>
      </c>
      <c r="R1339" s="141" t="s">
        <v>3396</v>
      </c>
      <c r="S1339" s="142" t="s">
        <v>3428</v>
      </c>
      <c r="T1339" s="141" t="s">
        <v>3398</v>
      </c>
      <c r="U1339" s="142" t="s">
        <v>3428</v>
      </c>
      <c r="V1339" s="142" t="s">
        <v>1116</v>
      </c>
      <c r="W1339" s="141">
        <f t="shared" si="43"/>
        <v>1</v>
      </c>
      <c r="X1339" s="143"/>
      <c r="Y1339" s="145"/>
      <c r="AA1339"/>
    </row>
    <row r="1340" spans="1:27" s="115" customFormat="1" ht="27" customHeight="1">
      <c r="A1340" s="139">
        <v>1262</v>
      </c>
      <c r="B1340" s="140" t="s">
        <v>5752</v>
      </c>
      <c r="C1340" s="141" t="s">
        <v>3421</v>
      </c>
      <c r="D1340" s="142" t="s">
        <v>3422</v>
      </c>
      <c r="E1340" s="141" t="s">
        <v>2223</v>
      </c>
      <c r="F1340" s="142" t="s">
        <v>3442</v>
      </c>
      <c r="G1340" s="141" t="s">
        <v>3443</v>
      </c>
      <c r="H1340" s="142" t="s">
        <v>3444</v>
      </c>
      <c r="I1340" s="141" t="s">
        <v>3445</v>
      </c>
      <c r="J1340" s="142" t="s">
        <v>3444</v>
      </c>
      <c r="K1340" s="142" t="s">
        <v>276</v>
      </c>
      <c r="L1340" s="143">
        <f t="shared" si="42"/>
        <v>1</v>
      </c>
      <c r="M1340" s="144" t="s">
        <v>3446</v>
      </c>
      <c r="N1340" s="141" t="s">
        <v>3421</v>
      </c>
      <c r="O1340" s="142" t="s">
        <v>3422</v>
      </c>
      <c r="P1340" s="141" t="s">
        <v>3447</v>
      </c>
      <c r="Q1340" s="142" t="s">
        <v>3442</v>
      </c>
      <c r="R1340" s="141" t="s">
        <v>3448</v>
      </c>
      <c r="S1340" s="142" t="s">
        <v>3444</v>
      </c>
      <c r="T1340" s="141" t="s">
        <v>3449</v>
      </c>
      <c r="U1340" s="142" t="s">
        <v>3444</v>
      </c>
      <c r="V1340" s="142" t="s">
        <v>276</v>
      </c>
      <c r="W1340" s="141">
        <f t="shared" si="43"/>
        <v>1</v>
      </c>
      <c r="X1340" s="143"/>
      <c r="Y1340" s="145"/>
      <c r="AA1340"/>
    </row>
    <row r="1341" spans="1:27" s="115" customFormat="1" ht="27" customHeight="1">
      <c r="A1341" s="139">
        <v>1263</v>
      </c>
      <c r="B1341" s="140" t="s">
        <v>5753</v>
      </c>
      <c r="C1341" s="141" t="s">
        <v>3421</v>
      </c>
      <c r="D1341" s="142" t="s">
        <v>3422</v>
      </c>
      <c r="E1341" s="141" t="s">
        <v>2223</v>
      </c>
      <c r="F1341" s="142" t="s">
        <v>3442</v>
      </c>
      <c r="G1341" s="141" t="s">
        <v>3443</v>
      </c>
      <c r="H1341" s="142" t="s">
        <v>3444</v>
      </c>
      <c r="I1341" s="141" t="s">
        <v>3445</v>
      </c>
      <c r="J1341" s="142" t="s">
        <v>3444</v>
      </c>
      <c r="K1341" s="142" t="s">
        <v>277</v>
      </c>
      <c r="L1341" s="143">
        <f t="shared" si="42"/>
        <v>1</v>
      </c>
      <c r="M1341" s="144" t="s">
        <v>3450</v>
      </c>
      <c r="N1341" s="141" t="s">
        <v>3421</v>
      </c>
      <c r="O1341" s="142" t="s">
        <v>3422</v>
      </c>
      <c r="P1341" s="141" t="s">
        <v>3447</v>
      </c>
      <c r="Q1341" s="142" t="s">
        <v>3442</v>
      </c>
      <c r="R1341" s="141" t="s">
        <v>3448</v>
      </c>
      <c r="S1341" s="142" t="s">
        <v>3444</v>
      </c>
      <c r="T1341" s="141" t="s">
        <v>3449</v>
      </c>
      <c r="U1341" s="142" t="s">
        <v>3444</v>
      </c>
      <c r="V1341" s="142" t="s">
        <v>277</v>
      </c>
      <c r="W1341" s="141">
        <f t="shared" si="43"/>
        <v>1</v>
      </c>
      <c r="X1341" s="143"/>
      <c r="Y1341" s="145"/>
      <c r="AA1341"/>
    </row>
    <row r="1342" spans="1:27" s="115" customFormat="1" ht="27" customHeight="1">
      <c r="A1342" s="139">
        <v>1264</v>
      </c>
      <c r="B1342" s="140" t="s">
        <v>5754</v>
      </c>
      <c r="C1342" s="141" t="s">
        <v>3421</v>
      </c>
      <c r="D1342" s="142" t="s">
        <v>3422</v>
      </c>
      <c r="E1342" s="141" t="s">
        <v>2223</v>
      </c>
      <c r="F1342" s="142" t="s">
        <v>3442</v>
      </c>
      <c r="G1342" s="141" t="s">
        <v>3443</v>
      </c>
      <c r="H1342" s="142" t="s">
        <v>3444</v>
      </c>
      <c r="I1342" s="141" t="s">
        <v>3445</v>
      </c>
      <c r="J1342" s="142" t="s">
        <v>3444</v>
      </c>
      <c r="K1342" s="142" t="s">
        <v>3451</v>
      </c>
      <c r="L1342" s="143">
        <f t="shared" si="42"/>
        <v>1</v>
      </c>
      <c r="M1342" s="144" t="s">
        <v>3452</v>
      </c>
      <c r="N1342" s="141" t="s">
        <v>3421</v>
      </c>
      <c r="O1342" s="142" t="s">
        <v>3422</v>
      </c>
      <c r="P1342" s="141" t="s">
        <v>3447</v>
      </c>
      <c r="Q1342" s="142" t="s">
        <v>3442</v>
      </c>
      <c r="R1342" s="141" t="s">
        <v>3448</v>
      </c>
      <c r="S1342" s="142" t="s">
        <v>3444</v>
      </c>
      <c r="T1342" s="141" t="s">
        <v>3449</v>
      </c>
      <c r="U1342" s="142" t="s">
        <v>3444</v>
      </c>
      <c r="V1342" s="142" t="s">
        <v>281</v>
      </c>
      <c r="W1342" s="141">
        <f t="shared" si="43"/>
        <v>5</v>
      </c>
      <c r="X1342" s="143"/>
      <c r="Y1342" s="145" t="s">
        <v>3453</v>
      </c>
      <c r="AA1342"/>
    </row>
    <row r="1343" spans="1:27" s="115" customFormat="1" ht="27" customHeight="1">
      <c r="A1343" s="139">
        <v>1265</v>
      </c>
      <c r="B1343" s="140" t="s">
        <v>5755</v>
      </c>
      <c r="C1343" s="141" t="s">
        <v>3421</v>
      </c>
      <c r="D1343" s="142" t="s">
        <v>3422</v>
      </c>
      <c r="E1343" s="141" t="s">
        <v>2223</v>
      </c>
      <c r="F1343" s="142" t="s">
        <v>3442</v>
      </c>
      <c r="G1343" s="141" t="s">
        <v>3443</v>
      </c>
      <c r="H1343" s="142" t="s">
        <v>3444</v>
      </c>
      <c r="I1343" s="141" t="s">
        <v>3445</v>
      </c>
      <c r="J1343" s="142" t="s">
        <v>3444</v>
      </c>
      <c r="K1343" s="142" t="s">
        <v>279</v>
      </c>
      <c r="L1343" s="143">
        <f t="shared" si="42"/>
        <v>1</v>
      </c>
      <c r="M1343" s="144" t="s">
        <v>3454</v>
      </c>
      <c r="N1343" s="141" t="s">
        <v>3421</v>
      </c>
      <c r="O1343" s="142" t="s">
        <v>3422</v>
      </c>
      <c r="P1343" s="141" t="s">
        <v>3447</v>
      </c>
      <c r="Q1343" s="142" t="s">
        <v>3442</v>
      </c>
      <c r="R1343" s="141" t="s">
        <v>3448</v>
      </c>
      <c r="S1343" s="142" t="s">
        <v>3444</v>
      </c>
      <c r="T1343" s="141" t="s">
        <v>3449</v>
      </c>
      <c r="U1343" s="142" t="s">
        <v>3444</v>
      </c>
      <c r="V1343" s="142" t="s">
        <v>279</v>
      </c>
      <c r="W1343" s="141">
        <f t="shared" si="43"/>
        <v>1</v>
      </c>
      <c r="X1343" s="143"/>
      <c r="Y1343" s="145"/>
      <c r="AA1343"/>
    </row>
    <row r="1344" spans="1:27" s="115" customFormat="1" ht="27" customHeight="1">
      <c r="A1344" s="139">
        <v>1266</v>
      </c>
      <c r="B1344" s="140" t="s">
        <v>5756</v>
      </c>
      <c r="C1344" s="141" t="s">
        <v>3421</v>
      </c>
      <c r="D1344" s="142" t="s">
        <v>3422</v>
      </c>
      <c r="E1344" s="141" t="s">
        <v>2223</v>
      </c>
      <c r="F1344" s="142" t="s">
        <v>3442</v>
      </c>
      <c r="G1344" s="141" t="s">
        <v>3443</v>
      </c>
      <c r="H1344" s="142" t="s">
        <v>3444</v>
      </c>
      <c r="I1344" s="141" t="s">
        <v>3445</v>
      </c>
      <c r="J1344" s="142" t="s">
        <v>3444</v>
      </c>
      <c r="K1344" s="142" t="s">
        <v>3455</v>
      </c>
      <c r="L1344" s="143">
        <f t="shared" si="42"/>
        <v>1</v>
      </c>
      <c r="M1344" s="144" t="s">
        <v>3452</v>
      </c>
      <c r="N1344" s="141" t="s">
        <v>3421</v>
      </c>
      <c r="O1344" s="142" t="s">
        <v>3422</v>
      </c>
      <c r="P1344" s="141" t="s">
        <v>3447</v>
      </c>
      <c r="Q1344" s="142" t="s">
        <v>3442</v>
      </c>
      <c r="R1344" s="141" t="s">
        <v>3448</v>
      </c>
      <c r="S1344" s="142" t="s">
        <v>3444</v>
      </c>
      <c r="T1344" s="141" t="s">
        <v>3449</v>
      </c>
      <c r="U1344" s="142" t="s">
        <v>3444</v>
      </c>
      <c r="V1344" s="142" t="s">
        <v>281</v>
      </c>
      <c r="W1344" s="141">
        <f t="shared" si="43"/>
        <v>5</v>
      </c>
      <c r="X1344" s="143"/>
      <c r="Y1344" s="145" t="s">
        <v>3456</v>
      </c>
      <c r="AA1344"/>
    </row>
    <row r="1345" spans="1:27" s="115" customFormat="1" ht="27" customHeight="1">
      <c r="A1345" s="139">
        <v>1267</v>
      </c>
      <c r="B1345" s="140" t="s">
        <v>5757</v>
      </c>
      <c r="C1345" s="141" t="s">
        <v>3421</v>
      </c>
      <c r="D1345" s="142" t="s">
        <v>3422</v>
      </c>
      <c r="E1345" s="141" t="s">
        <v>2223</v>
      </c>
      <c r="F1345" s="142" t="s">
        <v>3442</v>
      </c>
      <c r="G1345" s="141" t="s">
        <v>3443</v>
      </c>
      <c r="H1345" s="142" t="s">
        <v>3444</v>
      </c>
      <c r="I1345" s="141" t="s">
        <v>3445</v>
      </c>
      <c r="J1345" s="142" t="s">
        <v>3444</v>
      </c>
      <c r="K1345" s="142" t="s">
        <v>3457</v>
      </c>
      <c r="L1345" s="143">
        <f t="shared" si="42"/>
        <v>1</v>
      </c>
      <c r="M1345" s="144" t="s">
        <v>3452</v>
      </c>
      <c r="N1345" s="141" t="s">
        <v>3421</v>
      </c>
      <c r="O1345" s="142" t="s">
        <v>3422</v>
      </c>
      <c r="P1345" s="141" t="s">
        <v>3447</v>
      </c>
      <c r="Q1345" s="142" t="s">
        <v>3442</v>
      </c>
      <c r="R1345" s="141" t="s">
        <v>3448</v>
      </c>
      <c r="S1345" s="142" t="s">
        <v>3444</v>
      </c>
      <c r="T1345" s="141" t="s">
        <v>3449</v>
      </c>
      <c r="U1345" s="142" t="s">
        <v>3444</v>
      </c>
      <c r="V1345" s="142" t="s">
        <v>281</v>
      </c>
      <c r="W1345" s="141">
        <f t="shared" si="43"/>
        <v>5</v>
      </c>
      <c r="X1345" s="143"/>
      <c r="Y1345" s="145" t="s">
        <v>3458</v>
      </c>
      <c r="AA1345"/>
    </row>
    <row r="1346" spans="1:27" s="115" customFormat="1" ht="27" customHeight="1">
      <c r="A1346" s="139">
        <v>1268</v>
      </c>
      <c r="B1346" s="140" t="s">
        <v>5758</v>
      </c>
      <c r="C1346" s="141" t="s">
        <v>3421</v>
      </c>
      <c r="D1346" s="142" t="s">
        <v>3422</v>
      </c>
      <c r="E1346" s="141" t="s">
        <v>2223</v>
      </c>
      <c r="F1346" s="142" t="s">
        <v>3442</v>
      </c>
      <c r="G1346" s="141" t="s">
        <v>3443</v>
      </c>
      <c r="H1346" s="142" t="s">
        <v>3444</v>
      </c>
      <c r="I1346" s="141" t="s">
        <v>3445</v>
      </c>
      <c r="J1346" s="142" t="s">
        <v>3444</v>
      </c>
      <c r="K1346" s="142" t="s">
        <v>1117</v>
      </c>
      <c r="L1346" s="143">
        <f t="shared" si="42"/>
        <v>1</v>
      </c>
      <c r="M1346" s="144" t="s">
        <v>3452</v>
      </c>
      <c r="N1346" s="141" t="s">
        <v>3421</v>
      </c>
      <c r="O1346" s="142" t="s">
        <v>3422</v>
      </c>
      <c r="P1346" s="141" t="s">
        <v>3447</v>
      </c>
      <c r="Q1346" s="142" t="s">
        <v>3442</v>
      </c>
      <c r="R1346" s="141" t="s">
        <v>3448</v>
      </c>
      <c r="S1346" s="142" t="s">
        <v>3444</v>
      </c>
      <c r="T1346" s="141" t="s">
        <v>3449</v>
      </c>
      <c r="U1346" s="142" t="s">
        <v>3444</v>
      </c>
      <c r="V1346" s="142" t="s">
        <v>281</v>
      </c>
      <c r="W1346" s="141">
        <f t="shared" si="43"/>
        <v>5</v>
      </c>
      <c r="X1346" s="143"/>
      <c r="Y1346" s="145" t="s">
        <v>3459</v>
      </c>
      <c r="AA1346"/>
    </row>
    <row r="1347" spans="1:27" s="115" customFormat="1" ht="27" customHeight="1">
      <c r="A1347" s="139">
        <v>1269</v>
      </c>
      <c r="B1347" s="140" t="s">
        <v>5759</v>
      </c>
      <c r="C1347" s="141" t="s">
        <v>3421</v>
      </c>
      <c r="D1347" s="142" t="s">
        <v>3422</v>
      </c>
      <c r="E1347" s="141" t="s">
        <v>2223</v>
      </c>
      <c r="F1347" s="142" t="s">
        <v>3442</v>
      </c>
      <c r="G1347" s="141" t="s">
        <v>3443</v>
      </c>
      <c r="H1347" s="142" t="s">
        <v>3444</v>
      </c>
      <c r="I1347" s="141" t="s">
        <v>3445</v>
      </c>
      <c r="J1347" s="142" t="s">
        <v>3444</v>
      </c>
      <c r="K1347" s="142" t="s">
        <v>281</v>
      </c>
      <c r="L1347" s="143">
        <f t="shared" si="42"/>
        <v>1</v>
      </c>
      <c r="M1347" s="144" t="s">
        <v>3452</v>
      </c>
      <c r="N1347" s="141" t="s">
        <v>3421</v>
      </c>
      <c r="O1347" s="142" t="s">
        <v>3422</v>
      </c>
      <c r="P1347" s="141" t="s">
        <v>3447</v>
      </c>
      <c r="Q1347" s="142" t="s">
        <v>3442</v>
      </c>
      <c r="R1347" s="141" t="s">
        <v>3448</v>
      </c>
      <c r="S1347" s="142" t="s">
        <v>3444</v>
      </c>
      <c r="T1347" s="141" t="s">
        <v>3449</v>
      </c>
      <c r="U1347" s="142" t="s">
        <v>3444</v>
      </c>
      <c r="V1347" s="142" t="s">
        <v>281</v>
      </c>
      <c r="W1347" s="141">
        <f t="shared" si="43"/>
        <v>5</v>
      </c>
      <c r="X1347" s="143">
        <v>1</v>
      </c>
      <c r="Y1347" s="145"/>
      <c r="AA1347"/>
    </row>
    <row r="1348" spans="1:27" s="115" customFormat="1" ht="27" customHeight="1">
      <c r="A1348" s="139">
        <v>1270</v>
      </c>
      <c r="B1348" s="140" t="s">
        <v>5760</v>
      </c>
      <c r="C1348" s="141" t="s">
        <v>3421</v>
      </c>
      <c r="D1348" s="142" t="s">
        <v>3422</v>
      </c>
      <c r="E1348" s="141" t="s">
        <v>2223</v>
      </c>
      <c r="F1348" s="142" t="s">
        <v>3442</v>
      </c>
      <c r="G1348" s="141" t="s">
        <v>3443</v>
      </c>
      <c r="H1348" s="142" t="s">
        <v>3460</v>
      </c>
      <c r="I1348" s="141" t="s">
        <v>3461</v>
      </c>
      <c r="J1348" s="142" t="s">
        <v>3460</v>
      </c>
      <c r="K1348" s="142" t="s">
        <v>282</v>
      </c>
      <c r="L1348" s="143">
        <f t="shared" si="42"/>
        <v>1</v>
      </c>
      <c r="M1348" s="144" t="s">
        <v>3462</v>
      </c>
      <c r="N1348" s="141" t="s">
        <v>3421</v>
      </c>
      <c r="O1348" s="142" t="s">
        <v>3422</v>
      </c>
      <c r="P1348" s="141" t="s">
        <v>3447</v>
      </c>
      <c r="Q1348" s="142" t="s">
        <v>3442</v>
      </c>
      <c r="R1348" s="141" t="s">
        <v>3463</v>
      </c>
      <c r="S1348" s="142" t="s">
        <v>3460</v>
      </c>
      <c r="T1348" s="141" t="s">
        <v>3464</v>
      </c>
      <c r="U1348" s="142" t="s">
        <v>3460</v>
      </c>
      <c r="V1348" s="142" t="s">
        <v>282</v>
      </c>
      <c r="W1348" s="141">
        <f t="shared" si="43"/>
        <v>2</v>
      </c>
      <c r="X1348" s="143">
        <v>1</v>
      </c>
      <c r="Y1348" s="145"/>
      <c r="AA1348"/>
    </row>
    <row r="1349" spans="1:27" s="115" customFormat="1" ht="27" customHeight="1">
      <c r="A1349" s="139">
        <v>1271</v>
      </c>
      <c r="B1349" s="140" t="s">
        <v>5761</v>
      </c>
      <c r="C1349" s="141" t="s">
        <v>3421</v>
      </c>
      <c r="D1349" s="142" t="s">
        <v>3422</v>
      </c>
      <c r="E1349" s="141" t="s">
        <v>2223</v>
      </c>
      <c r="F1349" s="142" t="s">
        <v>3442</v>
      </c>
      <c r="G1349" s="141" t="s">
        <v>3443</v>
      </c>
      <c r="H1349" s="142" t="s">
        <v>3460</v>
      </c>
      <c r="I1349" s="141" t="s">
        <v>3461</v>
      </c>
      <c r="J1349" s="142" t="s">
        <v>3460</v>
      </c>
      <c r="K1349" s="142" t="s">
        <v>283</v>
      </c>
      <c r="L1349" s="143">
        <f t="shared" si="42"/>
        <v>1</v>
      </c>
      <c r="M1349" s="144" t="s">
        <v>3465</v>
      </c>
      <c r="N1349" s="141" t="s">
        <v>3421</v>
      </c>
      <c r="O1349" s="142" t="s">
        <v>3422</v>
      </c>
      <c r="P1349" s="141" t="s">
        <v>3447</v>
      </c>
      <c r="Q1349" s="142" t="s">
        <v>3442</v>
      </c>
      <c r="R1349" s="141" t="s">
        <v>3463</v>
      </c>
      <c r="S1349" s="142" t="s">
        <v>3460</v>
      </c>
      <c r="T1349" s="141" t="s">
        <v>3464</v>
      </c>
      <c r="U1349" s="142" t="s">
        <v>3460</v>
      </c>
      <c r="V1349" s="142" t="s">
        <v>283</v>
      </c>
      <c r="W1349" s="141">
        <f t="shared" si="43"/>
        <v>2</v>
      </c>
      <c r="X1349" s="143">
        <v>1</v>
      </c>
      <c r="Y1349" s="145"/>
      <c r="AA1349"/>
    </row>
    <row r="1350" spans="1:27" s="115" customFormat="1" ht="27" customHeight="1">
      <c r="A1350" s="139">
        <v>1272</v>
      </c>
      <c r="B1350" s="140" t="s">
        <v>5762</v>
      </c>
      <c r="C1350" s="141" t="s">
        <v>3421</v>
      </c>
      <c r="D1350" s="142" t="s">
        <v>3422</v>
      </c>
      <c r="E1350" s="141" t="s">
        <v>2223</v>
      </c>
      <c r="F1350" s="142" t="s">
        <v>3442</v>
      </c>
      <c r="G1350" s="141" t="s">
        <v>3443</v>
      </c>
      <c r="H1350" s="142" t="s">
        <v>3460</v>
      </c>
      <c r="I1350" s="141" t="s">
        <v>3461</v>
      </c>
      <c r="J1350" s="142" t="s">
        <v>3460</v>
      </c>
      <c r="K1350" s="142" t="s">
        <v>3466</v>
      </c>
      <c r="L1350" s="143">
        <f t="shared" si="42"/>
        <v>2</v>
      </c>
      <c r="M1350" s="144">
        <v>71202</v>
      </c>
      <c r="N1350" s="146" t="s">
        <v>3421</v>
      </c>
      <c r="O1350" s="147" t="s">
        <v>3422</v>
      </c>
      <c r="P1350" s="146" t="s">
        <v>3447</v>
      </c>
      <c r="Q1350" s="147" t="s">
        <v>3442</v>
      </c>
      <c r="R1350" s="146" t="s">
        <v>3463</v>
      </c>
      <c r="S1350" s="147" t="s">
        <v>3460</v>
      </c>
      <c r="T1350" s="146" t="s">
        <v>3464</v>
      </c>
      <c r="U1350" s="142" t="s">
        <v>3460</v>
      </c>
      <c r="V1350" s="142" t="s">
        <v>282</v>
      </c>
      <c r="W1350" s="141">
        <f t="shared" si="43"/>
        <v>2</v>
      </c>
      <c r="X1350" s="143"/>
      <c r="Y1350" s="145" t="s">
        <v>3467</v>
      </c>
      <c r="AA1350"/>
    </row>
    <row r="1351" spans="1:27" s="115" customFormat="1" ht="27" customHeight="1">
      <c r="A1351" s="139">
        <v>1272</v>
      </c>
      <c r="B1351" s="140" t="s">
        <v>6086</v>
      </c>
      <c r="C1351" s="141" t="s">
        <v>3421</v>
      </c>
      <c r="D1351" s="142" t="s">
        <v>3422</v>
      </c>
      <c r="E1351" s="141" t="s">
        <v>2223</v>
      </c>
      <c r="F1351" s="142" t="s">
        <v>3442</v>
      </c>
      <c r="G1351" s="141" t="s">
        <v>3443</v>
      </c>
      <c r="H1351" s="142" t="s">
        <v>3460</v>
      </c>
      <c r="I1351" s="141" t="s">
        <v>3461</v>
      </c>
      <c r="J1351" s="142" t="s">
        <v>3460</v>
      </c>
      <c r="K1351" s="142" t="s">
        <v>3468</v>
      </c>
      <c r="L1351" s="143">
        <f t="shared" si="42"/>
        <v>2</v>
      </c>
      <c r="M1351" s="144">
        <v>71209</v>
      </c>
      <c r="N1351" s="146" t="s">
        <v>3421</v>
      </c>
      <c r="O1351" s="147" t="s">
        <v>3422</v>
      </c>
      <c r="P1351" s="146" t="s">
        <v>3447</v>
      </c>
      <c r="Q1351" s="147" t="s">
        <v>3442</v>
      </c>
      <c r="R1351" s="146" t="s">
        <v>3463</v>
      </c>
      <c r="S1351" s="147" t="s">
        <v>3460</v>
      </c>
      <c r="T1351" s="146" t="s">
        <v>3464</v>
      </c>
      <c r="U1351" s="142" t="s">
        <v>3460</v>
      </c>
      <c r="V1351" s="142" t="s">
        <v>3468</v>
      </c>
      <c r="W1351" s="141">
        <f t="shared" si="43"/>
        <v>2</v>
      </c>
      <c r="X1351" s="143">
        <v>2</v>
      </c>
      <c r="Y1351" s="145" t="s">
        <v>3469</v>
      </c>
      <c r="AA1351"/>
    </row>
    <row r="1352" spans="1:27" s="115" customFormat="1" ht="27" customHeight="1">
      <c r="A1352" s="139">
        <v>1273</v>
      </c>
      <c r="B1352" s="140" t="s">
        <v>5763</v>
      </c>
      <c r="C1352" s="141" t="s">
        <v>3421</v>
      </c>
      <c r="D1352" s="142" t="s">
        <v>3422</v>
      </c>
      <c r="E1352" s="141" t="s">
        <v>2223</v>
      </c>
      <c r="F1352" s="142" t="s">
        <v>3442</v>
      </c>
      <c r="G1352" s="141" t="s">
        <v>3443</v>
      </c>
      <c r="H1352" s="142" t="s">
        <v>3460</v>
      </c>
      <c r="I1352" s="141" t="s">
        <v>3461</v>
      </c>
      <c r="J1352" s="142" t="s">
        <v>3460</v>
      </c>
      <c r="K1352" s="142" t="s">
        <v>3470</v>
      </c>
      <c r="L1352" s="143">
        <f t="shared" si="42"/>
        <v>2</v>
      </c>
      <c r="M1352" s="144">
        <v>71201</v>
      </c>
      <c r="N1352" s="146" t="s">
        <v>3421</v>
      </c>
      <c r="O1352" s="147" t="s">
        <v>3422</v>
      </c>
      <c r="P1352" s="146" t="s">
        <v>3447</v>
      </c>
      <c r="Q1352" s="147" t="s">
        <v>3442</v>
      </c>
      <c r="R1352" s="146" t="s">
        <v>3463</v>
      </c>
      <c r="S1352" s="147" t="s">
        <v>3460</v>
      </c>
      <c r="T1352" s="146" t="s">
        <v>3464</v>
      </c>
      <c r="U1352" s="142" t="s">
        <v>3460</v>
      </c>
      <c r="V1352" s="142" t="s">
        <v>283</v>
      </c>
      <c r="W1352" s="141">
        <f t="shared" si="43"/>
        <v>2</v>
      </c>
      <c r="X1352" s="143"/>
      <c r="Y1352" s="145" t="s">
        <v>3471</v>
      </c>
      <c r="AA1352"/>
    </row>
    <row r="1353" spans="1:27" s="115" customFormat="1" ht="27" customHeight="1">
      <c r="A1353" s="139">
        <v>1273</v>
      </c>
      <c r="B1353" s="140" t="s">
        <v>5763</v>
      </c>
      <c r="C1353" s="141" t="s">
        <v>3421</v>
      </c>
      <c r="D1353" s="142" t="s">
        <v>3422</v>
      </c>
      <c r="E1353" s="141" t="s">
        <v>2223</v>
      </c>
      <c r="F1353" s="142" t="s">
        <v>3442</v>
      </c>
      <c r="G1353" s="141" t="s">
        <v>3443</v>
      </c>
      <c r="H1353" s="142" t="s">
        <v>3460</v>
      </c>
      <c r="I1353" s="141" t="s">
        <v>3461</v>
      </c>
      <c r="J1353" s="142" t="s">
        <v>3460</v>
      </c>
      <c r="K1353" s="142" t="s">
        <v>3468</v>
      </c>
      <c r="L1353" s="143">
        <f t="shared" si="42"/>
        <v>2</v>
      </c>
      <c r="M1353" s="144">
        <v>71209</v>
      </c>
      <c r="N1353" s="146" t="s">
        <v>3421</v>
      </c>
      <c r="O1353" s="147" t="s">
        <v>3422</v>
      </c>
      <c r="P1353" s="146" t="s">
        <v>3447</v>
      </c>
      <c r="Q1353" s="147" t="s">
        <v>3442</v>
      </c>
      <c r="R1353" s="146" t="s">
        <v>3463</v>
      </c>
      <c r="S1353" s="147" t="s">
        <v>3460</v>
      </c>
      <c r="T1353" s="146" t="s">
        <v>3464</v>
      </c>
      <c r="U1353" s="142" t="s">
        <v>3460</v>
      </c>
      <c r="V1353" s="142" t="s">
        <v>3468</v>
      </c>
      <c r="W1353" s="141">
        <f t="shared" si="43"/>
        <v>2</v>
      </c>
      <c r="X1353" s="143">
        <v>2</v>
      </c>
      <c r="Y1353" s="145" t="s">
        <v>3472</v>
      </c>
      <c r="AA1353"/>
    </row>
    <row r="1354" spans="1:27" s="115" customFormat="1" ht="27" customHeight="1">
      <c r="A1354" s="139">
        <v>1274</v>
      </c>
      <c r="B1354" s="140" t="s">
        <v>5764</v>
      </c>
      <c r="C1354" s="141" t="s">
        <v>3421</v>
      </c>
      <c r="D1354" s="142" t="s">
        <v>3422</v>
      </c>
      <c r="E1354" s="141" t="s">
        <v>2223</v>
      </c>
      <c r="F1354" s="142" t="s">
        <v>3442</v>
      </c>
      <c r="G1354" s="141" t="s">
        <v>3443</v>
      </c>
      <c r="H1354" s="142" t="s">
        <v>1118</v>
      </c>
      <c r="I1354" s="141" t="s">
        <v>3473</v>
      </c>
      <c r="J1354" s="142" t="s">
        <v>1118</v>
      </c>
      <c r="K1354" s="142" t="s">
        <v>1118</v>
      </c>
      <c r="L1354" s="143">
        <f t="shared" si="42"/>
        <v>1</v>
      </c>
      <c r="M1354" s="144" t="s">
        <v>3474</v>
      </c>
      <c r="N1354" s="141" t="s">
        <v>3421</v>
      </c>
      <c r="O1354" s="142" t="s">
        <v>3422</v>
      </c>
      <c r="P1354" s="141" t="s">
        <v>3447</v>
      </c>
      <c r="Q1354" s="142" t="s">
        <v>3442</v>
      </c>
      <c r="R1354" s="141" t="s">
        <v>3475</v>
      </c>
      <c r="S1354" s="142" t="s">
        <v>1118</v>
      </c>
      <c r="T1354" s="141" t="s">
        <v>3476</v>
      </c>
      <c r="U1354" s="142" t="s">
        <v>1118</v>
      </c>
      <c r="V1354" s="142" t="s">
        <v>1118</v>
      </c>
      <c r="W1354" s="141">
        <f t="shared" si="43"/>
        <v>1</v>
      </c>
      <c r="X1354" s="143"/>
      <c r="Y1354" s="145"/>
      <c r="AA1354"/>
    </row>
    <row r="1355" spans="1:27" s="115" customFormat="1" ht="27" customHeight="1">
      <c r="A1355" s="139">
        <v>1275</v>
      </c>
      <c r="B1355" s="140" t="s">
        <v>5765</v>
      </c>
      <c r="C1355" s="141" t="s">
        <v>3421</v>
      </c>
      <c r="D1355" s="142" t="s">
        <v>3422</v>
      </c>
      <c r="E1355" s="141" t="s">
        <v>2223</v>
      </c>
      <c r="F1355" s="142" t="s">
        <v>3442</v>
      </c>
      <c r="G1355" s="141" t="s">
        <v>3443</v>
      </c>
      <c r="H1355" s="142" t="s">
        <v>3477</v>
      </c>
      <c r="I1355" s="141" t="s">
        <v>3478</v>
      </c>
      <c r="J1355" s="142" t="s">
        <v>3479</v>
      </c>
      <c r="K1355" s="142" t="s">
        <v>1119</v>
      </c>
      <c r="L1355" s="143">
        <f t="shared" si="42"/>
        <v>1</v>
      </c>
      <c r="M1355" s="144" t="s">
        <v>3480</v>
      </c>
      <c r="N1355" s="141" t="s">
        <v>3421</v>
      </c>
      <c r="O1355" s="142" t="s">
        <v>3422</v>
      </c>
      <c r="P1355" s="141" t="s">
        <v>3447</v>
      </c>
      <c r="Q1355" s="142" t="s">
        <v>3442</v>
      </c>
      <c r="R1355" s="141" t="s">
        <v>3481</v>
      </c>
      <c r="S1355" s="142" t="s">
        <v>3482</v>
      </c>
      <c r="T1355" s="141" t="s">
        <v>3483</v>
      </c>
      <c r="U1355" s="142" t="s">
        <v>3479</v>
      </c>
      <c r="V1355" s="142" t="s">
        <v>1119</v>
      </c>
      <c r="W1355" s="141">
        <f t="shared" si="43"/>
        <v>2</v>
      </c>
      <c r="X1355" s="143">
        <v>1</v>
      </c>
      <c r="Y1355" s="145"/>
      <c r="AA1355"/>
    </row>
    <row r="1356" spans="1:27" s="115" customFormat="1" ht="27" customHeight="1">
      <c r="A1356" s="139">
        <v>1276</v>
      </c>
      <c r="B1356" s="140" t="s">
        <v>5766</v>
      </c>
      <c r="C1356" s="141" t="s">
        <v>3421</v>
      </c>
      <c r="D1356" s="142" t="s">
        <v>3422</v>
      </c>
      <c r="E1356" s="141" t="s">
        <v>2223</v>
      </c>
      <c r="F1356" s="142" t="s">
        <v>3442</v>
      </c>
      <c r="G1356" s="141" t="s">
        <v>3443</v>
      </c>
      <c r="H1356" s="142" t="s">
        <v>3477</v>
      </c>
      <c r="I1356" s="141" t="s">
        <v>3478</v>
      </c>
      <c r="J1356" s="142" t="s">
        <v>3479</v>
      </c>
      <c r="K1356" s="142" t="s">
        <v>3484</v>
      </c>
      <c r="L1356" s="143">
        <f t="shared" si="42"/>
        <v>1</v>
      </c>
      <c r="M1356" s="144" t="s">
        <v>3480</v>
      </c>
      <c r="N1356" s="141" t="s">
        <v>3421</v>
      </c>
      <c r="O1356" s="142" t="s">
        <v>3422</v>
      </c>
      <c r="P1356" s="141" t="s">
        <v>3447</v>
      </c>
      <c r="Q1356" s="142" t="s">
        <v>3442</v>
      </c>
      <c r="R1356" s="141" t="s">
        <v>3481</v>
      </c>
      <c r="S1356" s="142" t="s">
        <v>3482</v>
      </c>
      <c r="T1356" s="141" t="s">
        <v>3483</v>
      </c>
      <c r="U1356" s="142" t="s">
        <v>3479</v>
      </c>
      <c r="V1356" s="142" t="s">
        <v>1119</v>
      </c>
      <c r="W1356" s="141">
        <f t="shared" si="43"/>
        <v>2</v>
      </c>
      <c r="X1356" s="143"/>
      <c r="Y1356" s="145" t="s">
        <v>3485</v>
      </c>
      <c r="AA1356"/>
    </row>
    <row r="1357" spans="1:27" s="115" customFormat="1" ht="27" customHeight="1">
      <c r="A1357" s="139">
        <v>1277</v>
      </c>
      <c r="B1357" s="140" t="s">
        <v>5768</v>
      </c>
      <c r="C1357" s="141" t="s">
        <v>3421</v>
      </c>
      <c r="D1357" s="142" t="s">
        <v>3422</v>
      </c>
      <c r="E1357" s="141" t="s">
        <v>2223</v>
      </c>
      <c r="F1357" s="142" t="s">
        <v>3442</v>
      </c>
      <c r="G1357" s="141" t="s">
        <v>3443</v>
      </c>
      <c r="H1357" s="142" t="s">
        <v>3477</v>
      </c>
      <c r="I1357" s="141" t="s">
        <v>3478</v>
      </c>
      <c r="J1357" s="142" t="s">
        <v>3479</v>
      </c>
      <c r="K1357" s="142" t="s">
        <v>1121</v>
      </c>
      <c r="L1357" s="143">
        <f t="shared" si="42"/>
        <v>1</v>
      </c>
      <c r="M1357" s="144" t="s">
        <v>3486</v>
      </c>
      <c r="N1357" s="141" t="s">
        <v>3421</v>
      </c>
      <c r="O1357" s="142" t="s">
        <v>3422</v>
      </c>
      <c r="P1357" s="141" t="s">
        <v>3447</v>
      </c>
      <c r="Q1357" s="142" t="s">
        <v>3442</v>
      </c>
      <c r="R1357" s="141" t="s">
        <v>3481</v>
      </c>
      <c r="S1357" s="142" t="s">
        <v>3482</v>
      </c>
      <c r="T1357" s="141" t="s">
        <v>3483</v>
      </c>
      <c r="U1357" s="142" t="s">
        <v>3479</v>
      </c>
      <c r="V1357" s="142" t="s">
        <v>1121</v>
      </c>
      <c r="W1357" s="141">
        <f t="shared" si="43"/>
        <v>1</v>
      </c>
      <c r="X1357" s="143"/>
      <c r="Y1357" s="145"/>
      <c r="AA1357"/>
    </row>
    <row r="1358" spans="1:27" s="115" customFormat="1" ht="27" customHeight="1">
      <c r="A1358" s="139">
        <v>1278</v>
      </c>
      <c r="B1358" s="140" t="s">
        <v>5769</v>
      </c>
      <c r="C1358" s="141" t="s">
        <v>3421</v>
      </c>
      <c r="D1358" s="142" t="s">
        <v>3422</v>
      </c>
      <c r="E1358" s="141" t="s">
        <v>2223</v>
      </c>
      <c r="F1358" s="142" t="s">
        <v>3487</v>
      </c>
      <c r="G1358" s="141" t="s">
        <v>3488</v>
      </c>
      <c r="H1358" s="142" t="s">
        <v>3489</v>
      </c>
      <c r="I1358" s="141" t="s">
        <v>3490</v>
      </c>
      <c r="J1358" s="142" t="s">
        <v>3491</v>
      </c>
      <c r="K1358" s="142" t="s">
        <v>1122</v>
      </c>
      <c r="L1358" s="143">
        <f t="shared" si="42"/>
        <v>1</v>
      </c>
      <c r="M1358" s="144" t="s">
        <v>3492</v>
      </c>
      <c r="N1358" s="141" t="s">
        <v>3421</v>
      </c>
      <c r="O1358" s="142" t="s">
        <v>3422</v>
      </c>
      <c r="P1358" s="141" t="s">
        <v>3198</v>
      </c>
      <c r="Q1358" s="142" t="s">
        <v>3487</v>
      </c>
      <c r="R1358" s="141" t="s">
        <v>3237</v>
      </c>
      <c r="S1358" s="142" t="s">
        <v>3489</v>
      </c>
      <c r="T1358" s="141" t="s">
        <v>3493</v>
      </c>
      <c r="U1358" s="142" t="s">
        <v>3491</v>
      </c>
      <c r="V1358" s="142" t="s">
        <v>1122</v>
      </c>
      <c r="W1358" s="141">
        <f t="shared" si="43"/>
        <v>1</v>
      </c>
      <c r="X1358" s="143"/>
      <c r="Y1358" s="145"/>
      <c r="AA1358"/>
    </row>
    <row r="1359" spans="1:27" s="115" customFormat="1" ht="27" customHeight="1">
      <c r="A1359" s="139">
        <v>1279</v>
      </c>
      <c r="B1359" s="140" t="s">
        <v>5770</v>
      </c>
      <c r="C1359" s="141" t="s">
        <v>3421</v>
      </c>
      <c r="D1359" s="142" t="s">
        <v>3422</v>
      </c>
      <c r="E1359" s="141" t="s">
        <v>2223</v>
      </c>
      <c r="F1359" s="142" t="s">
        <v>3487</v>
      </c>
      <c r="G1359" s="141" t="s">
        <v>3488</v>
      </c>
      <c r="H1359" s="142" t="s">
        <v>3489</v>
      </c>
      <c r="I1359" s="141" t="s">
        <v>3490</v>
      </c>
      <c r="J1359" s="142" t="s">
        <v>3491</v>
      </c>
      <c r="K1359" s="142" t="s">
        <v>1123</v>
      </c>
      <c r="L1359" s="143">
        <f t="shared" si="42"/>
        <v>1</v>
      </c>
      <c r="M1359" s="144" t="s">
        <v>3494</v>
      </c>
      <c r="N1359" s="141" t="s">
        <v>3421</v>
      </c>
      <c r="O1359" s="142" t="s">
        <v>3422</v>
      </c>
      <c r="P1359" s="141" t="s">
        <v>3198</v>
      </c>
      <c r="Q1359" s="142" t="s">
        <v>3487</v>
      </c>
      <c r="R1359" s="141" t="s">
        <v>3237</v>
      </c>
      <c r="S1359" s="142" t="s">
        <v>3489</v>
      </c>
      <c r="T1359" s="141" t="s">
        <v>3493</v>
      </c>
      <c r="U1359" s="142" t="s">
        <v>3491</v>
      </c>
      <c r="V1359" s="142" t="s">
        <v>1123</v>
      </c>
      <c r="W1359" s="141">
        <f t="shared" si="43"/>
        <v>1</v>
      </c>
      <c r="X1359" s="143"/>
      <c r="Y1359" s="145"/>
      <c r="AA1359"/>
    </row>
    <row r="1360" spans="1:27" s="115" customFormat="1" ht="27" customHeight="1">
      <c r="A1360" s="139">
        <v>1280</v>
      </c>
      <c r="B1360" s="140" t="s">
        <v>5771</v>
      </c>
      <c r="C1360" s="141" t="s">
        <v>3421</v>
      </c>
      <c r="D1360" s="142" t="s">
        <v>3422</v>
      </c>
      <c r="E1360" s="141" t="s">
        <v>2223</v>
      </c>
      <c r="F1360" s="142" t="s">
        <v>3487</v>
      </c>
      <c r="G1360" s="141" t="s">
        <v>3488</v>
      </c>
      <c r="H1360" s="142" t="s">
        <v>3495</v>
      </c>
      <c r="I1360" s="141" t="s">
        <v>3490</v>
      </c>
      <c r="J1360" s="142" t="s">
        <v>3496</v>
      </c>
      <c r="K1360" s="142" t="s">
        <v>1124</v>
      </c>
      <c r="L1360" s="143">
        <f t="shared" si="42"/>
        <v>1</v>
      </c>
      <c r="M1360" s="144" t="s">
        <v>3497</v>
      </c>
      <c r="N1360" s="141" t="s">
        <v>3421</v>
      </c>
      <c r="O1360" s="142" t="s">
        <v>3422</v>
      </c>
      <c r="P1360" s="141" t="s">
        <v>3198</v>
      </c>
      <c r="Q1360" s="142" t="s">
        <v>3487</v>
      </c>
      <c r="R1360" s="141" t="s">
        <v>3200</v>
      </c>
      <c r="S1360" s="142" t="s">
        <v>3495</v>
      </c>
      <c r="T1360" s="141" t="s">
        <v>3498</v>
      </c>
      <c r="U1360" s="142" t="s">
        <v>3496</v>
      </c>
      <c r="V1360" s="142" t="s">
        <v>1124</v>
      </c>
      <c r="W1360" s="141">
        <f t="shared" si="43"/>
        <v>2</v>
      </c>
      <c r="X1360" s="143">
        <v>1</v>
      </c>
      <c r="Y1360" s="145"/>
      <c r="AA1360"/>
    </row>
    <row r="1361" spans="1:27" s="115" customFormat="1" ht="40.5" customHeight="1">
      <c r="A1361" s="139">
        <v>1281</v>
      </c>
      <c r="B1361" s="140" t="s">
        <v>5772</v>
      </c>
      <c r="C1361" s="141" t="s">
        <v>3421</v>
      </c>
      <c r="D1361" s="142" t="s">
        <v>3422</v>
      </c>
      <c r="E1361" s="141" t="s">
        <v>2223</v>
      </c>
      <c r="F1361" s="142" t="s">
        <v>3487</v>
      </c>
      <c r="G1361" s="141" t="s">
        <v>3488</v>
      </c>
      <c r="H1361" s="142" t="s">
        <v>3495</v>
      </c>
      <c r="I1361" s="141" t="s">
        <v>3490</v>
      </c>
      <c r="J1361" s="142" t="s">
        <v>3499</v>
      </c>
      <c r="K1361" s="142" t="s">
        <v>1125</v>
      </c>
      <c r="L1361" s="143">
        <f t="shared" si="42"/>
        <v>1</v>
      </c>
      <c r="M1361" s="144" t="s">
        <v>3500</v>
      </c>
      <c r="N1361" s="141" t="s">
        <v>3421</v>
      </c>
      <c r="O1361" s="142" t="s">
        <v>3422</v>
      </c>
      <c r="P1361" s="141" t="s">
        <v>3198</v>
      </c>
      <c r="Q1361" s="142" t="s">
        <v>3487</v>
      </c>
      <c r="R1361" s="141" t="s">
        <v>3200</v>
      </c>
      <c r="S1361" s="142" t="s">
        <v>3495</v>
      </c>
      <c r="T1361" s="141" t="s">
        <v>3501</v>
      </c>
      <c r="U1361" s="142" t="s">
        <v>3499</v>
      </c>
      <c r="V1361" s="142" t="s">
        <v>1125</v>
      </c>
      <c r="W1361" s="141">
        <f t="shared" si="43"/>
        <v>1</v>
      </c>
      <c r="X1361" s="143"/>
      <c r="Y1361" s="145"/>
      <c r="AA1361"/>
    </row>
    <row r="1362" spans="1:27" s="115" customFormat="1" ht="40.5" customHeight="1">
      <c r="A1362" s="139">
        <v>1282</v>
      </c>
      <c r="B1362" s="140" t="s">
        <v>5773</v>
      </c>
      <c r="C1362" s="141" t="s">
        <v>3421</v>
      </c>
      <c r="D1362" s="142" t="s">
        <v>3422</v>
      </c>
      <c r="E1362" s="141" t="s">
        <v>2223</v>
      </c>
      <c r="F1362" s="142" t="s">
        <v>3487</v>
      </c>
      <c r="G1362" s="141" t="s">
        <v>3488</v>
      </c>
      <c r="H1362" s="142" t="s">
        <v>3495</v>
      </c>
      <c r="I1362" s="141" t="s">
        <v>3490</v>
      </c>
      <c r="J1362" s="142" t="s">
        <v>3496</v>
      </c>
      <c r="K1362" s="142" t="s">
        <v>3502</v>
      </c>
      <c r="L1362" s="143">
        <f t="shared" si="42"/>
        <v>1</v>
      </c>
      <c r="M1362" s="144" t="s">
        <v>3497</v>
      </c>
      <c r="N1362" s="141" t="s">
        <v>3421</v>
      </c>
      <c r="O1362" s="142" t="s">
        <v>3422</v>
      </c>
      <c r="P1362" s="141" t="s">
        <v>3198</v>
      </c>
      <c r="Q1362" s="142" t="s">
        <v>3487</v>
      </c>
      <c r="R1362" s="141" t="s">
        <v>3200</v>
      </c>
      <c r="S1362" s="142" t="s">
        <v>3495</v>
      </c>
      <c r="T1362" s="141" t="s">
        <v>3498</v>
      </c>
      <c r="U1362" s="142" t="s">
        <v>3496</v>
      </c>
      <c r="V1362" s="142" t="s">
        <v>1124</v>
      </c>
      <c r="W1362" s="141">
        <f t="shared" si="43"/>
        <v>2</v>
      </c>
      <c r="X1362" s="143"/>
      <c r="Y1362" s="145" t="s">
        <v>3503</v>
      </c>
      <c r="AA1362"/>
    </row>
    <row r="1363" spans="1:27" s="115" customFormat="1" ht="40.5" customHeight="1">
      <c r="A1363" s="139">
        <v>1283</v>
      </c>
      <c r="B1363" s="140" t="s">
        <v>5774</v>
      </c>
      <c r="C1363" s="141" t="s">
        <v>3421</v>
      </c>
      <c r="D1363" s="142" t="s">
        <v>3422</v>
      </c>
      <c r="E1363" s="141" t="s">
        <v>2223</v>
      </c>
      <c r="F1363" s="142" t="s">
        <v>3487</v>
      </c>
      <c r="G1363" s="141" t="s">
        <v>3488</v>
      </c>
      <c r="H1363" s="142" t="s">
        <v>3495</v>
      </c>
      <c r="I1363" s="141" t="s">
        <v>3490</v>
      </c>
      <c r="J1363" s="142" t="s">
        <v>3499</v>
      </c>
      <c r="K1363" s="142" t="s">
        <v>3504</v>
      </c>
      <c r="L1363" s="143">
        <f t="shared" si="42"/>
        <v>1</v>
      </c>
      <c r="M1363" s="144" t="s">
        <v>3505</v>
      </c>
      <c r="N1363" s="141" t="s">
        <v>3421</v>
      </c>
      <c r="O1363" s="142" t="s">
        <v>3422</v>
      </c>
      <c r="P1363" s="141" t="s">
        <v>3198</v>
      </c>
      <c r="Q1363" s="142" t="s">
        <v>3487</v>
      </c>
      <c r="R1363" s="141" t="s">
        <v>3200</v>
      </c>
      <c r="S1363" s="142" t="s">
        <v>3495</v>
      </c>
      <c r="T1363" s="141" t="s">
        <v>3501</v>
      </c>
      <c r="U1363" s="142" t="s">
        <v>3499</v>
      </c>
      <c r="V1363" s="142" t="s">
        <v>1130</v>
      </c>
      <c r="W1363" s="141">
        <f t="shared" si="43"/>
        <v>2</v>
      </c>
      <c r="X1363" s="143"/>
      <c r="Y1363" s="145" t="s">
        <v>3506</v>
      </c>
      <c r="AA1363"/>
    </row>
    <row r="1364" spans="1:27" s="115" customFormat="1" ht="40.5" customHeight="1">
      <c r="A1364" s="139">
        <v>1284</v>
      </c>
      <c r="B1364" s="140" t="s">
        <v>5775</v>
      </c>
      <c r="C1364" s="141" t="s">
        <v>3421</v>
      </c>
      <c r="D1364" s="142" t="s">
        <v>3422</v>
      </c>
      <c r="E1364" s="141" t="s">
        <v>2223</v>
      </c>
      <c r="F1364" s="142" t="s">
        <v>3487</v>
      </c>
      <c r="G1364" s="141" t="s">
        <v>3488</v>
      </c>
      <c r="H1364" s="142" t="s">
        <v>3495</v>
      </c>
      <c r="I1364" s="141" t="s">
        <v>3490</v>
      </c>
      <c r="J1364" s="142" t="s">
        <v>3496</v>
      </c>
      <c r="K1364" s="142" t="s">
        <v>1128</v>
      </c>
      <c r="L1364" s="143">
        <f t="shared" si="42"/>
        <v>1</v>
      </c>
      <c r="M1364" s="144" t="s">
        <v>3507</v>
      </c>
      <c r="N1364" s="141" t="s">
        <v>3421</v>
      </c>
      <c r="O1364" s="142" t="s">
        <v>3422</v>
      </c>
      <c r="P1364" s="141" t="s">
        <v>3198</v>
      </c>
      <c r="Q1364" s="142" t="s">
        <v>3487</v>
      </c>
      <c r="R1364" s="141" t="s">
        <v>3200</v>
      </c>
      <c r="S1364" s="142" t="s">
        <v>3495</v>
      </c>
      <c r="T1364" s="141" t="s">
        <v>3498</v>
      </c>
      <c r="U1364" s="142" t="s">
        <v>3496</v>
      </c>
      <c r="V1364" s="142" t="s">
        <v>1128</v>
      </c>
      <c r="W1364" s="141">
        <f t="shared" si="43"/>
        <v>1</v>
      </c>
      <c r="X1364" s="143"/>
      <c r="Y1364" s="145"/>
      <c r="AA1364"/>
    </row>
    <row r="1365" spans="1:27" s="115" customFormat="1" ht="40.5" customHeight="1">
      <c r="A1365" s="139">
        <v>1285</v>
      </c>
      <c r="B1365" s="140" t="s">
        <v>5776</v>
      </c>
      <c r="C1365" s="141" t="s">
        <v>3421</v>
      </c>
      <c r="D1365" s="142" t="s">
        <v>3422</v>
      </c>
      <c r="E1365" s="141" t="s">
        <v>2223</v>
      </c>
      <c r="F1365" s="142" t="s">
        <v>3487</v>
      </c>
      <c r="G1365" s="141" t="s">
        <v>3488</v>
      </c>
      <c r="H1365" s="142" t="s">
        <v>3489</v>
      </c>
      <c r="I1365" s="141" t="s">
        <v>3490</v>
      </c>
      <c r="J1365" s="142" t="s">
        <v>3491</v>
      </c>
      <c r="K1365" s="142" t="s">
        <v>1129</v>
      </c>
      <c r="L1365" s="143">
        <f t="shared" si="42"/>
        <v>1</v>
      </c>
      <c r="M1365" s="144" t="s">
        <v>3508</v>
      </c>
      <c r="N1365" s="141" t="s">
        <v>3421</v>
      </c>
      <c r="O1365" s="142" t="s">
        <v>3422</v>
      </c>
      <c r="P1365" s="141" t="s">
        <v>3198</v>
      </c>
      <c r="Q1365" s="142" t="s">
        <v>3487</v>
      </c>
      <c r="R1365" s="141" t="s">
        <v>3237</v>
      </c>
      <c r="S1365" s="142" t="s">
        <v>3489</v>
      </c>
      <c r="T1365" s="141" t="s">
        <v>3493</v>
      </c>
      <c r="U1365" s="142" t="s">
        <v>3491</v>
      </c>
      <c r="V1365" s="142" t="s">
        <v>1129</v>
      </c>
      <c r="W1365" s="141">
        <f t="shared" si="43"/>
        <v>1</v>
      </c>
      <c r="X1365" s="143"/>
      <c r="Y1365" s="145"/>
      <c r="AA1365"/>
    </row>
    <row r="1366" spans="1:27" s="115" customFormat="1" ht="40.5" customHeight="1">
      <c r="A1366" s="139">
        <v>1286</v>
      </c>
      <c r="B1366" s="140" t="s">
        <v>5777</v>
      </c>
      <c r="C1366" s="141" t="s">
        <v>3421</v>
      </c>
      <c r="D1366" s="142" t="s">
        <v>3422</v>
      </c>
      <c r="E1366" s="141" t="s">
        <v>2223</v>
      </c>
      <c r="F1366" s="142" t="s">
        <v>3487</v>
      </c>
      <c r="G1366" s="141" t="s">
        <v>3488</v>
      </c>
      <c r="H1366" s="142" t="s">
        <v>3495</v>
      </c>
      <c r="I1366" s="141" t="s">
        <v>3490</v>
      </c>
      <c r="J1366" s="142" t="s">
        <v>3499</v>
      </c>
      <c r="K1366" s="142" t="s">
        <v>1130</v>
      </c>
      <c r="L1366" s="143">
        <f t="shared" si="42"/>
        <v>1</v>
      </c>
      <c r="M1366" s="144" t="s">
        <v>3505</v>
      </c>
      <c r="N1366" s="141" t="s">
        <v>3421</v>
      </c>
      <c r="O1366" s="142" t="s">
        <v>3422</v>
      </c>
      <c r="P1366" s="141" t="s">
        <v>3198</v>
      </c>
      <c r="Q1366" s="142" t="s">
        <v>3487</v>
      </c>
      <c r="R1366" s="141" t="s">
        <v>3200</v>
      </c>
      <c r="S1366" s="142" t="s">
        <v>3495</v>
      </c>
      <c r="T1366" s="141" t="s">
        <v>3501</v>
      </c>
      <c r="U1366" s="142" t="s">
        <v>3499</v>
      </c>
      <c r="V1366" s="142" t="s">
        <v>1130</v>
      </c>
      <c r="W1366" s="141">
        <f t="shared" si="43"/>
        <v>2</v>
      </c>
      <c r="X1366" s="143">
        <v>1</v>
      </c>
      <c r="Y1366" s="145"/>
      <c r="AA1366"/>
    </row>
    <row r="1367" spans="1:27" s="115" customFormat="1" ht="40.5" customHeight="1">
      <c r="A1367" s="139">
        <v>1287</v>
      </c>
      <c r="B1367" s="140" t="s">
        <v>5778</v>
      </c>
      <c r="C1367" s="141" t="s">
        <v>3421</v>
      </c>
      <c r="D1367" s="142" t="s">
        <v>3422</v>
      </c>
      <c r="E1367" s="141" t="s">
        <v>2223</v>
      </c>
      <c r="F1367" s="142" t="s">
        <v>3487</v>
      </c>
      <c r="G1367" s="141" t="s">
        <v>3488</v>
      </c>
      <c r="H1367" s="142" t="s">
        <v>3495</v>
      </c>
      <c r="I1367" s="141" t="s">
        <v>3490</v>
      </c>
      <c r="J1367" s="142" t="s">
        <v>3499</v>
      </c>
      <c r="K1367" s="142" t="s">
        <v>1131</v>
      </c>
      <c r="L1367" s="143">
        <f t="shared" si="42"/>
        <v>1</v>
      </c>
      <c r="M1367" s="144" t="s">
        <v>3509</v>
      </c>
      <c r="N1367" s="141" t="s">
        <v>3421</v>
      </c>
      <c r="O1367" s="142" t="s">
        <v>3422</v>
      </c>
      <c r="P1367" s="141" t="s">
        <v>3198</v>
      </c>
      <c r="Q1367" s="142" t="s">
        <v>3487</v>
      </c>
      <c r="R1367" s="141" t="s">
        <v>3200</v>
      </c>
      <c r="S1367" s="142" t="s">
        <v>3495</v>
      </c>
      <c r="T1367" s="141" t="s">
        <v>3501</v>
      </c>
      <c r="U1367" s="142" t="s">
        <v>3499</v>
      </c>
      <c r="V1367" s="142" t="s">
        <v>1131</v>
      </c>
      <c r="W1367" s="141">
        <f t="shared" si="43"/>
        <v>1</v>
      </c>
      <c r="X1367" s="143"/>
      <c r="Y1367" s="145"/>
      <c r="AA1367"/>
    </row>
    <row r="1368" spans="1:27" s="115" customFormat="1" ht="40.5" customHeight="1">
      <c r="A1368" s="139">
        <v>1288</v>
      </c>
      <c r="B1368" s="140" t="s">
        <v>5779</v>
      </c>
      <c r="C1368" s="141" t="s">
        <v>3421</v>
      </c>
      <c r="D1368" s="142" t="s">
        <v>3422</v>
      </c>
      <c r="E1368" s="141" t="s">
        <v>2223</v>
      </c>
      <c r="F1368" s="142" t="s">
        <v>3487</v>
      </c>
      <c r="G1368" s="141" t="s">
        <v>3488</v>
      </c>
      <c r="H1368" s="142" t="s">
        <v>3489</v>
      </c>
      <c r="I1368" s="141" t="s">
        <v>3490</v>
      </c>
      <c r="J1368" s="142" t="s">
        <v>3491</v>
      </c>
      <c r="K1368" s="142" t="s">
        <v>1132</v>
      </c>
      <c r="L1368" s="143">
        <f t="shared" si="42"/>
        <v>1</v>
      </c>
      <c r="M1368" s="144" t="s">
        <v>3510</v>
      </c>
      <c r="N1368" s="141" t="s">
        <v>3421</v>
      </c>
      <c r="O1368" s="142" t="s">
        <v>3422</v>
      </c>
      <c r="P1368" s="141" t="s">
        <v>3198</v>
      </c>
      <c r="Q1368" s="142" t="s">
        <v>3487</v>
      </c>
      <c r="R1368" s="141" t="s">
        <v>3237</v>
      </c>
      <c r="S1368" s="142" t="s">
        <v>3489</v>
      </c>
      <c r="T1368" s="141" t="s">
        <v>3493</v>
      </c>
      <c r="U1368" s="142" t="s">
        <v>3491</v>
      </c>
      <c r="V1368" s="142" t="s">
        <v>1132</v>
      </c>
      <c r="W1368" s="141">
        <f t="shared" si="43"/>
        <v>1</v>
      </c>
      <c r="X1368" s="143"/>
      <c r="Y1368" s="145"/>
      <c r="AA1368"/>
    </row>
    <row r="1369" spans="1:27" s="115" customFormat="1" ht="40.5" customHeight="1">
      <c r="A1369" s="139">
        <v>1289</v>
      </c>
      <c r="B1369" s="140" t="s">
        <v>5780</v>
      </c>
      <c r="C1369" s="141" t="s">
        <v>3421</v>
      </c>
      <c r="D1369" s="142" t="s">
        <v>3422</v>
      </c>
      <c r="E1369" s="141" t="s">
        <v>2223</v>
      </c>
      <c r="F1369" s="142" t="s">
        <v>3487</v>
      </c>
      <c r="G1369" s="141" t="s">
        <v>3488</v>
      </c>
      <c r="H1369" s="142" t="s">
        <v>3489</v>
      </c>
      <c r="I1369" s="141" t="s">
        <v>3511</v>
      </c>
      <c r="J1369" s="142" t="s">
        <v>3512</v>
      </c>
      <c r="K1369" s="142" t="s">
        <v>1133</v>
      </c>
      <c r="L1369" s="143">
        <f t="shared" si="42"/>
        <v>1</v>
      </c>
      <c r="M1369" s="144" t="s">
        <v>3513</v>
      </c>
      <c r="N1369" s="141" t="s">
        <v>3421</v>
      </c>
      <c r="O1369" s="142" t="s">
        <v>3422</v>
      </c>
      <c r="P1369" s="141" t="s">
        <v>3198</v>
      </c>
      <c r="Q1369" s="142" t="s">
        <v>3487</v>
      </c>
      <c r="R1369" s="141" t="s">
        <v>3237</v>
      </c>
      <c r="S1369" s="142" t="s">
        <v>3489</v>
      </c>
      <c r="T1369" s="141" t="s">
        <v>3514</v>
      </c>
      <c r="U1369" s="142" t="s">
        <v>3512</v>
      </c>
      <c r="V1369" s="142" t="s">
        <v>1133</v>
      </c>
      <c r="W1369" s="141">
        <f t="shared" si="43"/>
        <v>2</v>
      </c>
      <c r="X1369" s="143">
        <v>1</v>
      </c>
      <c r="Y1369" s="145"/>
      <c r="AA1369"/>
    </row>
    <row r="1370" spans="1:27" s="115" customFormat="1" ht="40.5" customHeight="1">
      <c r="A1370" s="139">
        <v>1290</v>
      </c>
      <c r="B1370" s="140" t="s">
        <v>5781</v>
      </c>
      <c r="C1370" s="141" t="s">
        <v>3421</v>
      </c>
      <c r="D1370" s="142" t="s">
        <v>3422</v>
      </c>
      <c r="E1370" s="141" t="s">
        <v>2223</v>
      </c>
      <c r="F1370" s="142" t="s">
        <v>3487</v>
      </c>
      <c r="G1370" s="141" t="s">
        <v>3488</v>
      </c>
      <c r="H1370" s="142" t="s">
        <v>3489</v>
      </c>
      <c r="I1370" s="141" t="s">
        <v>3511</v>
      </c>
      <c r="J1370" s="142" t="s">
        <v>3512</v>
      </c>
      <c r="K1370" s="142" t="s">
        <v>284</v>
      </c>
      <c r="L1370" s="143">
        <f t="shared" si="42"/>
        <v>1</v>
      </c>
      <c r="M1370" s="144" t="s">
        <v>3513</v>
      </c>
      <c r="N1370" s="141" t="s">
        <v>3421</v>
      </c>
      <c r="O1370" s="142" t="s">
        <v>3422</v>
      </c>
      <c r="P1370" s="141" t="s">
        <v>3198</v>
      </c>
      <c r="Q1370" s="142" t="s">
        <v>3487</v>
      </c>
      <c r="R1370" s="141" t="s">
        <v>3237</v>
      </c>
      <c r="S1370" s="142" t="s">
        <v>3489</v>
      </c>
      <c r="T1370" s="141" t="s">
        <v>3514</v>
      </c>
      <c r="U1370" s="142" t="s">
        <v>3512</v>
      </c>
      <c r="V1370" s="142" t="s">
        <v>1133</v>
      </c>
      <c r="W1370" s="141">
        <f t="shared" si="43"/>
        <v>2</v>
      </c>
      <c r="X1370" s="143"/>
      <c r="Y1370" s="145" t="s">
        <v>3515</v>
      </c>
      <c r="AA1370"/>
    </row>
    <row r="1371" spans="1:27" s="115" customFormat="1" ht="40.5" customHeight="1">
      <c r="A1371" s="139">
        <v>1291</v>
      </c>
      <c r="B1371" s="140" t="s">
        <v>5782</v>
      </c>
      <c r="C1371" s="141" t="s">
        <v>3421</v>
      </c>
      <c r="D1371" s="142" t="s">
        <v>3422</v>
      </c>
      <c r="E1371" s="141" t="s">
        <v>2223</v>
      </c>
      <c r="F1371" s="142" t="s">
        <v>3487</v>
      </c>
      <c r="G1371" s="141" t="s">
        <v>3488</v>
      </c>
      <c r="H1371" s="142" t="s">
        <v>3489</v>
      </c>
      <c r="I1371" s="141" t="s">
        <v>3511</v>
      </c>
      <c r="J1371" s="142" t="s">
        <v>3512</v>
      </c>
      <c r="K1371" s="142" t="s">
        <v>1134</v>
      </c>
      <c r="L1371" s="143">
        <f t="shared" si="42"/>
        <v>1</v>
      </c>
      <c r="M1371" s="144" t="s">
        <v>3516</v>
      </c>
      <c r="N1371" s="141" t="s">
        <v>3421</v>
      </c>
      <c r="O1371" s="142" t="s">
        <v>3422</v>
      </c>
      <c r="P1371" s="141" t="s">
        <v>3198</v>
      </c>
      <c r="Q1371" s="142" t="s">
        <v>3487</v>
      </c>
      <c r="R1371" s="141" t="s">
        <v>3237</v>
      </c>
      <c r="S1371" s="142" t="s">
        <v>3489</v>
      </c>
      <c r="T1371" s="141" t="s">
        <v>3514</v>
      </c>
      <c r="U1371" s="142" t="s">
        <v>3512</v>
      </c>
      <c r="V1371" s="142" t="s">
        <v>1134</v>
      </c>
      <c r="W1371" s="141">
        <f t="shared" si="43"/>
        <v>1</v>
      </c>
      <c r="X1371" s="143"/>
      <c r="Y1371" s="145"/>
      <c r="AA1371"/>
    </row>
    <row r="1372" spans="1:27" s="115" customFormat="1" ht="40.5" customHeight="1">
      <c r="A1372" s="139">
        <v>1292</v>
      </c>
      <c r="B1372" s="140" t="s">
        <v>5783</v>
      </c>
      <c r="C1372" s="141" t="s">
        <v>3421</v>
      </c>
      <c r="D1372" s="142" t="s">
        <v>3422</v>
      </c>
      <c r="E1372" s="141" t="s">
        <v>2223</v>
      </c>
      <c r="F1372" s="142" t="s">
        <v>3442</v>
      </c>
      <c r="G1372" s="141" t="s">
        <v>3517</v>
      </c>
      <c r="H1372" s="142" t="s">
        <v>3518</v>
      </c>
      <c r="I1372" s="141" t="s">
        <v>3519</v>
      </c>
      <c r="J1372" s="142" t="s">
        <v>3520</v>
      </c>
      <c r="K1372" s="142" t="s">
        <v>285</v>
      </c>
      <c r="L1372" s="143">
        <f t="shared" ref="L1372:L1435" si="44">COUNTIF($B$5:$B$1752,B1372)</f>
        <v>1</v>
      </c>
      <c r="M1372" s="144" t="s">
        <v>3521</v>
      </c>
      <c r="N1372" s="141" t="s">
        <v>3421</v>
      </c>
      <c r="O1372" s="142" t="s">
        <v>3422</v>
      </c>
      <c r="P1372" s="141" t="s">
        <v>3447</v>
      </c>
      <c r="Q1372" s="142" t="s">
        <v>3442</v>
      </c>
      <c r="R1372" s="141" t="s">
        <v>3522</v>
      </c>
      <c r="S1372" s="142" t="s">
        <v>3518</v>
      </c>
      <c r="T1372" s="141" t="s">
        <v>3523</v>
      </c>
      <c r="U1372" s="142" t="s">
        <v>3520</v>
      </c>
      <c r="V1372" s="142" t="s">
        <v>285</v>
      </c>
      <c r="W1372" s="141">
        <f t="shared" ref="W1372:W1435" si="45">COUNTIF($M$5:$M$1756,M1372)</f>
        <v>1</v>
      </c>
      <c r="X1372" s="143"/>
      <c r="Y1372" s="145"/>
      <c r="AA1372"/>
    </row>
    <row r="1373" spans="1:27" s="115" customFormat="1" ht="40.5" customHeight="1">
      <c r="A1373" s="139">
        <v>1293</v>
      </c>
      <c r="B1373" s="140" t="s">
        <v>5784</v>
      </c>
      <c r="C1373" s="141" t="s">
        <v>3421</v>
      </c>
      <c r="D1373" s="142" t="s">
        <v>3422</v>
      </c>
      <c r="E1373" s="141" t="s">
        <v>2223</v>
      </c>
      <c r="F1373" s="142" t="s">
        <v>3442</v>
      </c>
      <c r="G1373" s="141" t="s">
        <v>3517</v>
      </c>
      <c r="H1373" s="142" t="s">
        <v>3518</v>
      </c>
      <c r="I1373" s="141" t="s">
        <v>3519</v>
      </c>
      <c r="J1373" s="142" t="s">
        <v>1135</v>
      </c>
      <c r="K1373" s="142" t="s">
        <v>1135</v>
      </c>
      <c r="L1373" s="143">
        <f t="shared" si="44"/>
        <v>1</v>
      </c>
      <c r="M1373" s="144" t="s">
        <v>3524</v>
      </c>
      <c r="N1373" s="141" t="s">
        <v>3421</v>
      </c>
      <c r="O1373" s="142" t="s">
        <v>3422</v>
      </c>
      <c r="P1373" s="141" t="s">
        <v>3447</v>
      </c>
      <c r="Q1373" s="142" t="s">
        <v>3442</v>
      </c>
      <c r="R1373" s="141" t="s">
        <v>3522</v>
      </c>
      <c r="S1373" s="142" t="s">
        <v>3518</v>
      </c>
      <c r="T1373" s="141" t="s">
        <v>3525</v>
      </c>
      <c r="U1373" s="142" t="s">
        <v>1135</v>
      </c>
      <c r="V1373" s="142" t="s">
        <v>1135</v>
      </c>
      <c r="W1373" s="141">
        <f t="shared" si="45"/>
        <v>1</v>
      </c>
      <c r="X1373" s="143"/>
      <c r="Y1373" s="145"/>
      <c r="AA1373"/>
    </row>
    <row r="1374" spans="1:27" s="115" customFormat="1" ht="40.5" customHeight="1">
      <c r="A1374" s="139">
        <v>1294</v>
      </c>
      <c r="B1374" s="140" t="s">
        <v>5785</v>
      </c>
      <c r="C1374" s="141" t="s">
        <v>3421</v>
      </c>
      <c r="D1374" s="142" t="s">
        <v>3422</v>
      </c>
      <c r="E1374" s="141" t="s">
        <v>2223</v>
      </c>
      <c r="F1374" s="142" t="s">
        <v>3442</v>
      </c>
      <c r="G1374" s="141" t="s">
        <v>3517</v>
      </c>
      <c r="H1374" s="142" t="s">
        <v>3518</v>
      </c>
      <c r="I1374" s="141" t="s">
        <v>3519</v>
      </c>
      <c r="J1374" s="142" t="s">
        <v>3520</v>
      </c>
      <c r="K1374" s="142" t="s">
        <v>1136</v>
      </c>
      <c r="L1374" s="143">
        <f t="shared" si="44"/>
        <v>1</v>
      </c>
      <c r="M1374" s="144" t="s">
        <v>3526</v>
      </c>
      <c r="N1374" s="141" t="s">
        <v>3421</v>
      </c>
      <c r="O1374" s="142" t="s">
        <v>3422</v>
      </c>
      <c r="P1374" s="141" t="s">
        <v>3447</v>
      </c>
      <c r="Q1374" s="142" t="s">
        <v>3442</v>
      </c>
      <c r="R1374" s="141" t="s">
        <v>3522</v>
      </c>
      <c r="S1374" s="142" t="s">
        <v>3518</v>
      </c>
      <c r="T1374" s="141" t="s">
        <v>3523</v>
      </c>
      <c r="U1374" s="142" t="s">
        <v>3520</v>
      </c>
      <c r="V1374" s="142" t="s">
        <v>1136</v>
      </c>
      <c r="W1374" s="141">
        <f t="shared" si="45"/>
        <v>1</v>
      </c>
      <c r="X1374" s="143"/>
      <c r="Y1374" s="145"/>
      <c r="AA1374"/>
    </row>
    <row r="1375" spans="1:27" s="115" customFormat="1" ht="27" customHeight="1">
      <c r="A1375" s="139">
        <v>1295</v>
      </c>
      <c r="B1375" s="140" t="s">
        <v>5786</v>
      </c>
      <c r="C1375" s="141" t="s">
        <v>3421</v>
      </c>
      <c r="D1375" s="142" t="s">
        <v>3422</v>
      </c>
      <c r="E1375" s="141" t="s">
        <v>2223</v>
      </c>
      <c r="F1375" s="142" t="s">
        <v>3442</v>
      </c>
      <c r="G1375" s="141" t="s">
        <v>3517</v>
      </c>
      <c r="H1375" s="142" t="s">
        <v>3518</v>
      </c>
      <c r="I1375" s="141" t="s">
        <v>3519</v>
      </c>
      <c r="J1375" s="142" t="s">
        <v>3520</v>
      </c>
      <c r="K1375" s="142" t="s">
        <v>1137</v>
      </c>
      <c r="L1375" s="143">
        <f t="shared" si="44"/>
        <v>1</v>
      </c>
      <c r="M1375" s="144" t="s">
        <v>3527</v>
      </c>
      <c r="N1375" s="141" t="s">
        <v>3421</v>
      </c>
      <c r="O1375" s="142" t="s">
        <v>3422</v>
      </c>
      <c r="P1375" s="141" t="s">
        <v>3447</v>
      </c>
      <c r="Q1375" s="142" t="s">
        <v>3442</v>
      </c>
      <c r="R1375" s="141" t="s">
        <v>3522</v>
      </c>
      <c r="S1375" s="142" t="s">
        <v>3518</v>
      </c>
      <c r="T1375" s="141" t="s">
        <v>3523</v>
      </c>
      <c r="U1375" s="142" t="s">
        <v>3520</v>
      </c>
      <c r="V1375" s="142" t="s">
        <v>1137</v>
      </c>
      <c r="W1375" s="141">
        <f t="shared" si="45"/>
        <v>1</v>
      </c>
      <c r="X1375" s="143"/>
      <c r="Y1375" s="145"/>
      <c r="AA1375"/>
    </row>
    <row r="1376" spans="1:27" s="115" customFormat="1" ht="27" customHeight="1">
      <c r="A1376" s="139">
        <v>1296</v>
      </c>
      <c r="B1376" s="140" t="s">
        <v>5787</v>
      </c>
      <c r="C1376" s="141" t="s">
        <v>3421</v>
      </c>
      <c r="D1376" s="142" t="s">
        <v>3422</v>
      </c>
      <c r="E1376" s="141" t="s">
        <v>2223</v>
      </c>
      <c r="F1376" s="142" t="s">
        <v>3442</v>
      </c>
      <c r="G1376" s="141" t="s">
        <v>3517</v>
      </c>
      <c r="H1376" s="142" t="s">
        <v>3518</v>
      </c>
      <c r="I1376" s="141" t="s">
        <v>3519</v>
      </c>
      <c r="J1376" s="142" t="s">
        <v>3520</v>
      </c>
      <c r="K1376" s="142" t="s">
        <v>1138</v>
      </c>
      <c r="L1376" s="143">
        <f t="shared" si="44"/>
        <v>1</v>
      </c>
      <c r="M1376" s="144" t="s">
        <v>3528</v>
      </c>
      <c r="N1376" s="141" t="s">
        <v>3421</v>
      </c>
      <c r="O1376" s="142" t="s">
        <v>3422</v>
      </c>
      <c r="P1376" s="141" t="s">
        <v>3447</v>
      </c>
      <c r="Q1376" s="142" t="s">
        <v>3442</v>
      </c>
      <c r="R1376" s="141" t="s">
        <v>3522</v>
      </c>
      <c r="S1376" s="142" t="s">
        <v>3518</v>
      </c>
      <c r="T1376" s="141" t="s">
        <v>3523</v>
      </c>
      <c r="U1376" s="142" t="s">
        <v>3520</v>
      </c>
      <c r="V1376" s="142" t="s">
        <v>1138</v>
      </c>
      <c r="W1376" s="141">
        <f t="shared" si="45"/>
        <v>1</v>
      </c>
      <c r="X1376" s="143"/>
      <c r="Y1376" s="145"/>
      <c r="AA1376"/>
    </row>
    <row r="1377" spans="1:27" s="115" customFormat="1" ht="27" customHeight="1">
      <c r="A1377" s="139">
        <v>1297</v>
      </c>
      <c r="B1377" s="140" t="s">
        <v>5797</v>
      </c>
      <c r="C1377" s="141" t="s">
        <v>3421</v>
      </c>
      <c r="D1377" s="142" t="s">
        <v>3422</v>
      </c>
      <c r="E1377" s="141" t="s">
        <v>2223</v>
      </c>
      <c r="F1377" s="142" t="s">
        <v>3529</v>
      </c>
      <c r="G1377" s="141" t="s">
        <v>2225</v>
      </c>
      <c r="H1377" s="142" t="s">
        <v>3530</v>
      </c>
      <c r="I1377" s="141" t="s">
        <v>3531</v>
      </c>
      <c r="J1377" s="142" t="s">
        <v>3530</v>
      </c>
      <c r="K1377" s="142" t="s">
        <v>1139</v>
      </c>
      <c r="L1377" s="143">
        <f t="shared" si="44"/>
        <v>1</v>
      </c>
      <c r="M1377" s="144" t="s">
        <v>3532</v>
      </c>
      <c r="N1377" s="141" t="s">
        <v>3421</v>
      </c>
      <c r="O1377" s="142" t="s">
        <v>3422</v>
      </c>
      <c r="P1377" s="141" t="s">
        <v>3423</v>
      </c>
      <c r="Q1377" s="142" t="s">
        <v>3529</v>
      </c>
      <c r="R1377" s="141" t="s">
        <v>3533</v>
      </c>
      <c r="S1377" s="142" t="s">
        <v>3530</v>
      </c>
      <c r="T1377" s="141" t="s">
        <v>3534</v>
      </c>
      <c r="U1377" s="142" t="s">
        <v>3530</v>
      </c>
      <c r="V1377" s="142" t="s">
        <v>1139</v>
      </c>
      <c r="W1377" s="141">
        <f t="shared" si="45"/>
        <v>2</v>
      </c>
      <c r="X1377" s="143">
        <v>1</v>
      </c>
      <c r="Y1377" s="145"/>
      <c r="AA1377"/>
    </row>
    <row r="1378" spans="1:27" s="115" customFormat="1" ht="27" customHeight="1">
      <c r="A1378" s="139">
        <v>1298</v>
      </c>
      <c r="B1378" s="140" t="s">
        <v>5799</v>
      </c>
      <c r="C1378" s="141" t="s">
        <v>3421</v>
      </c>
      <c r="D1378" s="142" t="s">
        <v>3422</v>
      </c>
      <c r="E1378" s="141" t="s">
        <v>2223</v>
      </c>
      <c r="F1378" s="142" t="s">
        <v>3529</v>
      </c>
      <c r="G1378" s="141" t="s">
        <v>2225</v>
      </c>
      <c r="H1378" s="142" t="s">
        <v>3530</v>
      </c>
      <c r="I1378" s="141" t="s">
        <v>3531</v>
      </c>
      <c r="J1378" s="142" t="s">
        <v>3530</v>
      </c>
      <c r="K1378" s="142" t="s">
        <v>1140</v>
      </c>
      <c r="L1378" s="143">
        <f t="shared" si="44"/>
        <v>1</v>
      </c>
      <c r="M1378" s="144" t="s">
        <v>3535</v>
      </c>
      <c r="N1378" s="141" t="s">
        <v>3421</v>
      </c>
      <c r="O1378" s="142" t="s">
        <v>3422</v>
      </c>
      <c r="P1378" s="141" t="s">
        <v>3423</v>
      </c>
      <c r="Q1378" s="142" t="s">
        <v>3529</v>
      </c>
      <c r="R1378" s="141" t="s">
        <v>3533</v>
      </c>
      <c r="S1378" s="142" t="s">
        <v>3530</v>
      </c>
      <c r="T1378" s="141" t="s">
        <v>3534</v>
      </c>
      <c r="U1378" s="142" t="s">
        <v>3530</v>
      </c>
      <c r="V1378" s="142" t="s">
        <v>1140</v>
      </c>
      <c r="W1378" s="141">
        <f t="shared" si="45"/>
        <v>1</v>
      </c>
      <c r="X1378" s="143"/>
      <c r="Y1378" s="145"/>
      <c r="AA1378"/>
    </row>
    <row r="1379" spans="1:27" s="115" customFormat="1" ht="27" customHeight="1">
      <c r="A1379" s="139">
        <v>1299</v>
      </c>
      <c r="B1379" s="140" t="s">
        <v>5800</v>
      </c>
      <c r="C1379" s="141" t="s">
        <v>3421</v>
      </c>
      <c r="D1379" s="142" t="s">
        <v>3422</v>
      </c>
      <c r="E1379" s="141" t="s">
        <v>2223</v>
      </c>
      <c r="F1379" s="142" t="s">
        <v>3529</v>
      </c>
      <c r="G1379" s="141" t="s">
        <v>2225</v>
      </c>
      <c r="H1379" s="142" t="s">
        <v>3530</v>
      </c>
      <c r="I1379" s="141" t="s">
        <v>3531</v>
      </c>
      <c r="J1379" s="142" t="s">
        <v>3530</v>
      </c>
      <c r="K1379" s="142" t="s">
        <v>1141</v>
      </c>
      <c r="L1379" s="143">
        <f t="shared" si="44"/>
        <v>1</v>
      </c>
      <c r="M1379" s="144" t="s">
        <v>3536</v>
      </c>
      <c r="N1379" s="141" t="s">
        <v>3421</v>
      </c>
      <c r="O1379" s="142" t="s">
        <v>3422</v>
      </c>
      <c r="P1379" s="141" t="s">
        <v>3423</v>
      </c>
      <c r="Q1379" s="142" t="s">
        <v>3529</v>
      </c>
      <c r="R1379" s="141" t="s">
        <v>3533</v>
      </c>
      <c r="S1379" s="142" t="s">
        <v>3530</v>
      </c>
      <c r="T1379" s="141" t="s">
        <v>3534</v>
      </c>
      <c r="U1379" s="142" t="s">
        <v>3530</v>
      </c>
      <c r="V1379" s="142" t="s">
        <v>1141</v>
      </c>
      <c r="W1379" s="141">
        <f t="shared" si="45"/>
        <v>1</v>
      </c>
      <c r="X1379" s="143"/>
      <c r="Y1379" s="145"/>
      <c r="AA1379"/>
    </row>
    <row r="1380" spans="1:27" s="115" customFormat="1" ht="27" customHeight="1">
      <c r="A1380" s="139">
        <v>1300</v>
      </c>
      <c r="B1380" s="140" t="s">
        <v>5808</v>
      </c>
      <c r="C1380" s="141" t="s">
        <v>3421</v>
      </c>
      <c r="D1380" s="142" t="s">
        <v>3422</v>
      </c>
      <c r="E1380" s="141" t="s">
        <v>2223</v>
      </c>
      <c r="F1380" s="142" t="s">
        <v>3529</v>
      </c>
      <c r="G1380" s="141" t="s">
        <v>2225</v>
      </c>
      <c r="H1380" s="142" t="s">
        <v>3537</v>
      </c>
      <c r="I1380" s="141" t="s">
        <v>2923</v>
      </c>
      <c r="J1380" s="142" t="s">
        <v>3537</v>
      </c>
      <c r="K1380" s="142" t="s">
        <v>1142</v>
      </c>
      <c r="L1380" s="143">
        <f t="shared" si="44"/>
        <v>1</v>
      </c>
      <c r="M1380" s="144" t="s">
        <v>3538</v>
      </c>
      <c r="N1380" s="141" t="s">
        <v>3421</v>
      </c>
      <c r="O1380" s="142" t="s">
        <v>3422</v>
      </c>
      <c r="P1380" s="141" t="s">
        <v>3423</v>
      </c>
      <c r="Q1380" s="142" t="s">
        <v>3529</v>
      </c>
      <c r="R1380" s="141" t="s">
        <v>3539</v>
      </c>
      <c r="S1380" s="142" t="s">
        <v>3537</v>
      </c>
      <c r="T1380" s="141" t="s">
        <v>3540</v>
      </c>
      <c r="U1380" s="142" t="s">
        <v>3537</v>
      </c>
      <c r="V1380" s="142" t="s">
        <v>1142</v>
      </c>
      <c r="W1380" s="141">
        <f t="shared" si="45"/>
        <v>1</v>
      </c>
      <c r="X1380" s="143"/>
      <c r="Y1380" s="145"/>
      <c r="AA1380"/>
    </row>
    <row r="1381" spans="1:27" s="115" customFormat="1" ht="27" customHeight="1">
      <c r="A1381" s="139">
        <v>1301</v>
      </c>
      <c r="B1381" s="140" t="s">
        <v>5809</v>
      </c>
      <c r="C1381" s="141" t="s">
        <v>3421</v>
      </c>
      <c r="D1381" s="142" t="s">
        <v>3422</v>
      </c>
      <c r="E1381" s="141" t="s">
        <v>2223</v>
      </c>
      <c r="F1381" s="142" t="s">
        <v>3529</v>
      </c>
      <c r="G1381" s="141" t="s">
        <v>2225</v>
      </c>
      <c r="H1381" s="142" t="s">
        <v>3537</v>
      </c>
      <c r="I1381" s="141" t="s">
        <v>2923</v>
      </c>
      <c r="J1381" s="142" t="s">
        <v>3537</v>
      </c>
      <c r="K1381" s="142" t="s">
        <v>286</v>
      </c>
      <c r="L1381" s="143">
        <f t="shared" si="44"/>
        <v>1</v>
      </c>
      <c r="M1381" s="144" t="s">
        <v>3541</v>
      </c>
      <c r="N1381" s="141" t="s">
        <v>3421</v>
      </c>
      <c r="O1381" s="142" t="s">
        <v>3422</v>
      </c>
      <c r="P1381" s="141" t="s">
        <v>3423</v>
      </c>
      <c r="Q1381" s="142" t="s">
        <v>3529</v>
      </c>
      <c r="R1381" s="141" t="s">
        <v>3539</v>
      </c>
      <c r="S1381" s="142" t="s">
        <v>3537</v>
      </c>
      <c r="T1381" s="141" t="s">
        <v>3540</v>
      </c>
      <c r="U1381" s="142" t="s">
        <v>3537</v>
      </c>
      <c r="V1381" s="142" t="s">
        <v>286</v>
      </c>
      <c r="W1381" s="141">
        <f t="shared" si="45"/>
        <v>2</v>
      </c>
      <c r="X1381" s="143">
        <v>2</v>
      </c>
      <c r="Y1381" s="145" t="s">
        <v>3542</v>
      </c>
      <c r="AA1381"/>
    </row>
    <row r="1382" spans="1:27" s="115" customFormat="1" ht="27" customHeight="1">
      <c r="A1382" s="139">
        <v>1302</v>
      </c>
      <c r="B1382" s="140" t="s">
        <v>5815</v>
      </c>
      <c r="C1382" s="141" t="s">
        <v>3421</v>
      </c>
      <c r="D1382" s="142" t="s">
        <v>3422</v>
      </c>
      <c r="E1382" s="141" t="s">
        <v>2223</v>
      </c>
      <c r="F1382" s="142" t="s">
        <v>3529</v>
      </c>
      <c r="G1382" s="141" t="s">
        <v>2225</v>
      </c>
      <c r="H1382" s="142" t="s">
        <v>3543</v>
      </c>
      <c r="I1382" s="141" t="s">
        <v>2923</v>
      </c>
      <c r="J1382" s="142" t="s">
        <v>3543</v>
      </c>
      <c r="K1382" s="142" t="s">
        <v>1143</v>
      </c>
      <c r="L1382" s="143">
        <f t="shared" si="44"/>
        <v>1</v>
      </c>
      <c r="M1382" s="144" t="s">
        <v>3544</v>
      </c>
      <c r="N1382" s="141" t="s">
        <v>3421</v>
      </c>
      <c r="O1382" s="142" t="s">
        <v>3422</v>
      </c>
      <c r="P1382" s="141" t="s">
        <v>3423</v>
      </c>
      <c r="Q1382" s="142" t="s">
        <v>3529</v>
      </c>
      <c r="R1382" s="141" t="s">
        <v>3545</v>
      </c>
      <c r="S1382" s="142" t="s">
        <v>3543</v>
      </c>
      <c r="T1382" s="141" t="s">
        <v>3546</v>
      </c>
      <c r="U1382" s="142" t="s">
        <v>3543</v>
      </c>
      <c r="V1382" s="142" t="s">
        <v>1143</v>
      </c>
      <c r="W1382" s="141">
        <f t="shared" si="45"/>
        <v>1</v>
      </c>
      <c r="X1382" s="143"/>
      <c r="Y1382" s="145"/>
      <c r="AA1382"/>
    </row>
    <row r="1383" spans="1:27" s="115" customFormat="1" ht="27" customHeight="1">
      <c r="A1383" s="139">
        <v>1303</v>
      </c>
      <c r="B1383" s="140" t="s">
        <v>5816</v>
      </c>
      <c r="C1383" s="141" t="s">
        <v>3421</v>
      </c>
      <c r="D1383" s="142" t="s">
        <v>3422</v>
      </c>
      <c r="E1383" s="141" t="s">
        <v>2223</v>
      </c>
      <c r="F1383" s="142" t="s">
        <v>3529</v>
      </c>
      <c r="G1383" s="141" t="s">
        <v>2225</v>
      </c>
      <c r="H1383" s="142" t="s">
        <v>3537</v>
      </c>
      <c r="I1383" s="141" t="s">
        <v>2923</v>
      </c>
      <c r="J1383" s="142" t="s">
        <v>3537</v>
      </c>
      <c r="K1383" s="142" t="s">
        <v>287</v>
      </c>
      <c r="L1383" s="143">
        <f t="shared" si="44"/>
        <v>1</v>
      </c>
      <c r="M1383" s="144" t="s">
        <v>3547</v>
      </c>
      <c r="N1383" s="141" t="s">
        <v>3421</v>
      </c>
      <c r="O1383" s="142" t="s">
        <v>3422</v>
      </c>
      <c r="P1383" s="141" t="s">
        <v>3423</v>
      </c>
      <c r="Q1383" s="142" t="s">
        <v>3529</v>
      </c>
      <c r="R1383" s="141" t="s">
        <v>3539</v>
      </c>
      <c r="S1383" s="142" t="s">
        <v>3537</v>
      </c>
      <c r="T1383" s="141" t="s">
        <v>3540</v>
      </c>
      <c r="U1383" s="142" t="s">
        <v>3537</v>
      </c>
      <c r="V1383" s="142" t="s">
        <v>287</v>
      </c>
      <c r="W1383" s="141">
        <f t="shared" si="45"/>
        <v>1</v>
      </c>
      <c r="X1383" s="143"/>
      <c r="Y1383" s="145"/>
      <c r="AA1383"/>
    </row>
    <row r="1384" spans="1:27" s="115" customFormat="1" ht="27" customHeight="1">
      <c r="A1384" s="139">
        <v>1304</v>
      </c>
      <c r="B1384" s="140" t="s">
        <v>5817</v>
      </c>
      <c r="C1384" s="141" t="s">
        <v>3421</v>
      </c>
      <c r="D1384" s="142" t="s">
        <v>3422</v>
      </c>
      <c r="E1384" s="141" t="s">
        <v>2223</v>
      </c>
      <c r="F1384" s="142" t="s">
        <v>3529</v>
      </c>
      <c r="G1384" s="141" t="s">
        <v>2225</v>
      </c>
      <c r="H1384" s="142" t="s">
        <v>3537</v>
      </c>
      <c r="I1384" s="141" t="s">
        <v>2923</v>
      </c>
      <c r="J1384" s="142" t="s">
        <v>3537</v>
      </c>
      <c r="K1384" s="142" t="s">
        <v>1144</v>
      </c>
      <c r="L1384" s="143">
        <f t="shared" si="44"/>
        <v>1</v>
      </c>
      <c r="M1384" s="144" t="s">
        <v>3548</v>
      </c>
      <c r="N1384" s="141" t="s">
        <v>3421</v>
      </c>
      <c r="O1384" s="142" t="s">
        <v>3422</v>
      </c>
      <c r="P1384" s="141" t="s">
        <v>3423</v>
      </c>
      <c r="Q1384" s="142" t="s">
        <v>3529</v>
      </c>
      <c r="R1384" s="141" t="s">
        <v>3539</v>
      </c>
      <c r="S1384" s="142" t="s">
        <v>3537</v>
      </c>
      <c r="T1384" s="141" t="s">
        <v>3540</v>
      </c>
      <c r="U1384" s="142" t="s">
        <v>3537</v>
      </c>
      <c r="V1384" s="142" t="s">
        <v>1144</v>
      </c>
      <c r="W1384" s="141">
        <f t="shared" si="45"/>
        <v>1</v>
      </c>
      <c r="X1384" s="143"/>
      <c r="Y1384" s="145"/>
      <c r="AA1384"/>
    </row>
    <row r="1385" spans="1:27" s="115" customFormat="1" ht="27" customHeight="1">
      <c r="A1385" s="139">
        <v>1305</v>
      </c>
      <c r="B1385" s="140" t="s">
        <v>5819</v>
      </c>
      <c r="C1385" s="141" t="s">
        <v>3421</v>
      </c>
      <c r="D1385" s="142" t="s">
        <v>3422</v>
      </c>
      <c r="E1385" s="141" t="s">
        <v>2223</v>
      </c>
      <c r="F1385" s="142" t="s">
        <v>3529</v>
      </c>
      <c r="G1385" s="141" t="s">
        <v>2225</v>
      </c>
      <c r="H1385" s="142" t="s">
        <v>3543</v>
      </c>
      <c r="I1385" s="141" t="s">
        <v>2923</v>
      </c>
      <c r="J1385" s="142" t="s">
        <v>3543</v>
      </c>
      <c r="K1385" s="142" t="s">
        <v>1145</v>
      </c>
      <c r="L1385" s="143">
        <f t="shared" si="44"/>
        <v>1</v>
      </c>
      <c r="M1385" s="144" t="s">
        <v>3549</v>
      </c>
      <c r="N1385" s="141" t="s">
        <v>3421</v>
      </c>
      <c r="O1385" s="142" t="s">
        <v>3422</v>
      </c>
      <c r="P1385" s="141" t="s">
        <v>3423</v>
      </c>
      <c r="Q1385" s="142" t="s">
        <v>3529</v>
      </c>
      <c r="R1385" s="141" t="s">
        <v>3545</v>
      </c>
      <c r="S1385" s="142" t="s">
        <v>3543</v>
      </c>
      <c r="T1385" s="141" t="s">
        <v>3546</v>
      </c>
      <c r="U1385" s="142" t="s">
        <v>3543</v>
      </c>
      <c r="V1385" s="142" t="s">
        <v>1145</v>
      </c>
      <c r="W1385" s="141">
        <f t="shared" si="45"/>
        <v>1</v>
      </c>
      <c r="X1385" s="143"/>
      <c r="Y1385" s="145"/>
      <c r="AA1385"/>
    </row>
    <row r="1386" spans="1:27" s="115" customFormat="1" ht="27" customHeight="1">
      <c r="A1386" s="139">
        <v>1306</v>
      </c>
      <c r="B1386" s="140" t="s">
        <v>5820</v>
      </c>
      <c r="C1386" s="141" t="s">
        <v>3421</v>
      </c>
      <c r="D1386" s="142" t="s">
        <v>3422</v>
      </c>
      <c r="E1386" s="141" t="s">
        <v>2223</v>
      </c>
      <c r="F1386" s="142" t="s">
        <v>3529</v>
      </c>
      <c r="G1386" s="141" t="s">
        <v>2225</v>
      </c>
      <c r="H1386" s="142" t="s">
        <v>3543</v>
      </c>
      <c r="I1386" s="141" t="s">
        <v>2923</v>
      </c>
      <c r="J1386" s="142" t="s">
        <v>3543</v>
      </c>
      <c r="K1386" s="142" t="s">
        <v>1146</v>
      </c>
      <c r="L1386" s="143">
        <f t="shared" si="44"/>
        <v>1</v>
      </c>
      <c r="M1386" s="144" t="s">
        <v>3550</v>
      </c>
      <c r="N1386" s="141" t="s">
        <v>3421</v>
      </c>
      <c r="O1386" s="142" t="s">
        <v>3422</v>
      </c>
      <c r="P1386" s="141" t="s">
        <v>3423</v>
      </c>
      <c r="Q1386" s="142" t="s">
        <v>3529</v>
      </c>
      <c r="R1386" s="141" t="s">
        <v>3545</v>
      </c>
      <c r="S1386" s="142" t="s">
        <v>3543</v>
      </c>
      <c r="T1386" s="141" t="s">
        <v>3546</v>
      </c>
      <c r="U1386" s="142" t="s">
        <v>3543</v>
      </c>
      <c r="V1386" s="142" t="s">
        <v>1146</v>
      </c>
      <c r="W1386" s="141">
        <f t="shared" si="45"/>
        <v>1</v>
      </c>
      <c r="X1386" s="143"/>
      <c r="Y1386" s="145"/>
      <c r="AA1386"/>
    </row>
    <row r="1387" spans="1:27" s="115" customFormat="1" ht="27" customHeight="1">
      <c r="A1387" s="139">
        <v>1307</v>
      </c>
      <c r="B1387" s="140" t="s">
        <v>5821</v>
      </c>
      <c r="C1387" s="141" t="s">
        <v>3421</v>
      </c>
      <c r="D1387" s="142" t="s">
        <v>3422</v>
      </c>
      <c r="E1387" s="141" t="s">
        <v>2223</v>
      </c>
      <c r="F1387" s="142" t="s">
        <v>3529</v>
      </c>
      <c r="G1387" s="141" t="s">
        <v>2225</v>
      </c>
      <c r="H1387" s="142" t="s">
        <v>3543</v>
      </c>
      <c r="I1387" s="141" t="s">
        <v>2923</v>
      </c>
      <c r="J1387" s="142" t="s">
        <v>3543</v>
      </c>
      <c r="K1387" s="142" t="s">
        <v>1147</v>
      </c>
      <c r="L1387" s="143">
        <f t="shared" si="44"/>
        <v>1</v>
      </c>
      <c r="M1387" s="144" t="s">
        <v>3551</v>
      </c>
      <c r="N1387" s="141" t="s">
        <v>3421</v>
      </c>
      <c r="O1387" s="142" t="s">
        <v>3422</v>
      </c>
      <c r="P1387" s="141" t="s">
        <v>3423</v>
      </c>
      <c r="Q1387" s="142" t="s">
        <v>3529</v>
      </c>
      <c r="R1387" s="141" t="s">
        <v>3545</v>
      </c>
      <c r="S1387" s="142" t="s">
        <v>3543</v>
      </c>
      <c r="T1387" s="141" t="s">
        <v>3546</v>
      </c>
      <c r="U1387" s="142" t="s">
        <v>3543</v>
      </c>
      <c r="V1387" s="142" t="s">
        <v>1147</v>
      </c>
      <c r="W1387" s="141">
        <f t="shared" si="45"/>
        <v>1</v>
      </c>
      <c r="X1387" s="143"/>
      <c r="Y1387" s="145"/>
      <c r="AA1387"/>
    </row>
    <row r="1388" spans="1:27" s="115" customFormat="1" ht="27" customHeight="1">
      <c r="A1388" s="139">
        <v>1308</v>
      </c>
      <c r="B1388" s="140" t="s">
        <v>5829</v>
      </c>
      <c r="C1388" s="141" t="s">
        <v>3421</v>
      </c>
      <c r="D1388" s="142" t="s">
        <v>3422</v>
      </c>
      <c r="E1388" s="141" t="s">
        <v>2223</v>
      </c>
      <c r="F1388" s="142" t="s">
        <v>3529</v>
      </c>
      <c r="G1388" s="141" t="s">
        <v>2225</v>
      </c>
      <c r="H1388" s="142" t="s">
        <v>3537</v>
      </c>
      <c r="I1388" s="141" t="s">
        <v>2923</v>
      </c>
      <c r="J1388" s="142" t="s">
        <v>3537</v>
      </c>
      <c r="K1388" s="142" t="s">
        <v>1148</v>
      </c>
      <c r="L1388" s="143">
        <f t="shared" si="44"/>
        <v>1</v>
      </c>
      <c r="M1388" s="144" t="s">
        <v>3552</v>
      </c>
      <c r="N1388" s="141" t="s">
        <v>3421</v>
      </c>
      <c r="O1388" s="142" t="s">
        <v>3422</v>
      </c>
      <c r="P1388" s="141" t="s">
        <v>3423</v>
      </c>
      <c r="Q1388" s="142" t="s">
        <v>3529</v>
      </c>
      <c r="R1388" s="141" t="s">
        <v>3539</v>
      </c>
      <c r="S1388" s="142" t="s">
        <v>3537</v>
      </c>
      <c r="T1388" s="141" t="s">
        <v>3540</v>
      </c>
      <c r="U1388" s="142" t="s">
        <v>3537</v>
      </c>
      <c r="V1388" s="142" t="s">
        <v>1148</v>
      </c>
      <c r="W1388" s="141">
        <f t="shared" si="45"/>
        <v>1</v>
      </c>
      <c r="X1388" s="143"/>
      <c r="Y1388" s="145"/>
      <c r="AA1388"/>
    </row>
    <row r="1389" spans="1:27" s="115" customFormat="1" ht="27" customHeight="1">
      <c r="A1389" s="139">
        <v>1309</v>
      </c>
      <c r="B1389" s="140" t="s">
        <v>5831</v>
      </c>
      <c r="C1389" s="141" t="s">
        <v>3421</v>
      </c>
      <c r="D1389" s="142" t="s">
        <v>3422</v>
      </c>
      <c r="E1389" s="141" t="s">
        <v>2223</v>
      </c>
      <c r="F1389" s="142" t="s">
        <v>3529</v>
      </c>
      <c r="G1389" s="141" t="s">
        <v>2225</v>
      </c>
      <c r="H1389" s="142" t="s">
        <v>3537</v>
      </c>
      <c r="I1389" s="141" t="s">
        <v>2923</v>
      </c>
      <c r="J1389" s="142" t="s">
        <v>3537</v>
      </c>
      <c r="K1389" s="142" t="s">
        <v>286</v>
      </c>
      <c r="L1389" s="143">
        <f t="shared" si="44"/>
        <v>1</v>
      </c>
      <c r="M1389" s="144" t="s">
        <v>3541</v>
      </c>
      <c r="N1389" s="141" t="s">
        <v>3421</v>
      </c>
      <c r="O1389" s="142" t="s">
        <v>3422</v>
      </c>
      <c r="P1389" s="141" t="s">
        <v>3423</v>
      </c>
      <c r="Q1389" s="142" t="s">
        <v>3529</v>
      </c>
      <c r="R1389" s="141" t="s">
        <v>3539</v>
      </c>
      <c r="S1389" s="142" t="s">
        <v>3537</v>
      </c>
      <c r="T1389" s="141" t="s">
        <v>3540</v>
      </c>
      <c r="U1389" s="142" t="s">
        <v>3537</v>
      </c>
      <c r="V1389" s="142" t="s">
        <v>286</v>
      </c>
      <c r="W1389" s="141">
        <f t="shared" si="45"/>
        <v>2</v>
      </c>
      <c r="X1389" s="143">
        <v>2</v>
      </c>
      <c r="Y1389" s="145" t="s">
        <v>3553</v>
      </c>
      <c r="AA1389"/>
    </row>
    <row r="1390" spans="1:27" s="115" customFormat="1" ht="40.5" customHeight="1">
      <c r="A1390" s="139">
        <v>1310</v>
      </c>
      <c r="B1390" s="140" t="s">
        <v>5832</v>
      </c>
      <c r="C1390" s="141" t="s">
        <v>3421</v>
      </c>
      <c r="D1390" s="142" t="s">
        <v>3422</v>
      </c>
      <c r="E1390" s="141" t="s">
        <v>2223</v>
      </c>
      <c r="F1390" s="142" t="s">
        <v>3442</v>
      </c>
      <c r="G1390" s="141" t="s">
        <v>2225</v>
      </c>
      <c r="H1390" s="142" t="s">
        <v>1149</v>
      </c>
      <c r="I1390" s="141" t="s">
        <v>2923</v>
      </c>
      <c r="J1390" s="142" t="s">
        <v>1149</v>
      </c>
      <c r="K1390" s="142" t="s">
        <v>1149</v>
      </c>
      <c r="L1390" s="143">
        <f t="shared" si="44"/>
        <v>1</v>
      </c>
      <c r="M1390" s="144" t="s">
        <v>3554</v>
      </c>
      <c r="N1390" s="141" t="s">
        <v>3421</v>
      </c>
      <c r="O1390" s="142" t="s">
        <v>3422</v>
      </c>
      <c r="P1390" s="141" t="s">
        <v>3447</v>
      </c>
      <c r="Q1390" s="142" t="s">
        <v>3442</v>
      </c>
      <c r="R1390" s="141" t="s">
        <v>3555</v>
      </c>
      <c r="S1390" s="142" t="s">
        <v>1149</v>
      </c>
      <c r="T1390" s="141" t="s">
        <v>3556</v>
      </c>
      <c r="U1390" s="142" t="s">
        <v>1149</v>
      </c>
      <c r="V1390" s="142" t="s">
        <v>1149</v>
      </c>
      <c r="W1390" s="141">
        <f t="shared" si="45"/>
        <v>1</v>
      </c>
      <c r="X1390" s="143"/>
      <c r="Y1390" s="145"/>
      <c r="AA1390"/>
    </row>
    <row r="1391" spans="1:27" s="115" customFormat="1" ht="40.5" customHeight="1">
      <c r="A1391" s="139">
        <v>1311</v>
      </c>
      <c r="B1391" s="140" t="s">
        <v>5883</v>
      </c>
      <c r="C1391" s="141" t="s">
        <v>3421</v>
      </c>
      <c r="D1391" s="142" t="s">
        <v>3422</v>
      </c>
      <c r="E1391" s="141" t="s">
        <v>3557</v>
      </c>
      <c r="F1391" s="142" t="s">
        <v>3529</v>
      </c>
      <c r="G1391" s="141" t="s">
        <v>3558</v>
      </c>
      <c r="H1391" s="142" t="s">
        <v>46</v>
      </c>
      <c r="I1391" s="141" t="s">
        <v>3559</v>
      </c>
      <c r="J1391" s="142" t="s">
        <v>46</v>
      </c>
      <c r="K1391" s="142" t="s">
        <v>46</v>
      </c>
      <c r="L1391" s="143">
        <f t="shared" si="44"/>
        <v>1</v>
      </c>
      <c r="M1391" s="144" t="s">
        <v>3560</v>
      </c>
      <c r="N1391" s="141" t="s">
        <v>3421</v>
      </c>
      <c r="O1391" s="142" t="s">
        <v>3422</v>
      </c>
      <c r="P1391" s="141" t="s">
        <v>3423</v>
      </c>
      <c r="Q1391" s="142" t="s">
        <v>3529</v>
      </c>
      <c r="R1391" s="141" t="s">
        <v>3561</v>
      </c>
      <c r="S1391" s="142" t="s">
        <v>46</v>
      </c>
      <c r="T1391" s="141" t="s">
        <v>3562</v>
      </c>
      <c r="U1391" s="142" t="s">
        <v>46</v>
      </c>
      <c r="V1391" s="142" t="s">
        <v>46</v>
      </c>
      <c r="W1391" s="141">
        <f t="shared" si="45"/>
        <v>1</v>
      </c>
      <c r="X1391" s="143"/>
      <c r="Y1391" s="145"/>
      <c r="AA1391"/>
    </row>
    <row r="1392" spans="1:27" s="115" customFormat="1" ht="40.5" customHeight="1">
      <c r="A1392" s="139">
        <v>1312</v>
      </c>
      <c r="B1392" s="140" t="s">
        <v>5990</v>
      </c>
      <c r="C1392" s="141" t="s">
        <v>3421</v>
      </c>
      <c r="D1392" s="142" t="s">
        <v>3422</v>
      </c>
      <c r="E1392" s="141" t="s">
        <v>3563</v>
      </c>
      <c r="F1392" s="142" t="s">
        <v>3529</v>
      </c>
      <c r="G1392" s="141" t="s">
        <v>3564</v>
      </c>
      <c r="H1392" s="142" t="s">
        <v>3530</v>
      </c>
      <c r="I1392" s="141" t="s">
        <v>3565</v>
      </c>
      <c r="J1392" s="142" t="s">
        <v>3530</v>
      </c>
      <c r="K1392" s="142" t="s">
        <v>1139</v>
      </c>
      <c r="L1392" s="143">
        <f t="shared" si="44"/>
        <v>1</v>
      </c>
      <c r="M1392" s="144" t="s">
        <v>3532</v>
      </c>
      <c r="N1392" s="141" t="s">
        <v>3421</v>
      </c>
      <c r="O1392" s="142" t="s">
        <v>3422</v>
      </c>
      <c r="P1392" s="141" t="s">
        <v>3423</v>
      </c>
      <c r="Q1392" s="142" t="s">
        <v>3529</v>
      </c>
      <c r="R1392" s="141" t="s">
        <v>3533</v>
      </c>
      <c r="S1392" s="142" t="s">
        <v>3530</v>
      </c>
      <c r="T1392" s="141" t="s">
        <v>3534</v>
      </c>
      <c r="U1392" s="142" t="s">
        <v>3530</v>
      </c>
      <c r="V1392" s="142" t="s">
        <v>1139</v>
      </c>
      <c r="W1392" s="141">
        <f t="shared" si="45"/>
        <v>2</v>
      </c>
      <c r="X1392" s="143"/>
      <c r="Y1392" s="145" t="s">
        <v>3566</v>
      </c>
      <c r="AA1392"/>
    </row>
    <row r="1393" spans="1:27" s="115" customFormat="1" ht="40.5" customHeight="1">
      <c r="A1393" s="139">
        <v>1313</v>
      </c>
      <c r="B1393" s="140" t="s">
        <v>4584</v>
      </c>
      <c r="C1393" s="141" t="s">
        <v>2149</v>
      </c>
      <c r="D1393" s="142" t="s">
        <v>2150</v>
      </c>
      <c r="E1393" s="141" t="s">
        <v>1396</v>
      </c>
      <c r="F1393" s="142" t="s">
        <v>3567</v>
      </c>
      <c r="G1393" s="141" t="s">
        <v>1426</v>
      </c>
      <c r="H1393" s="142" t="s">
        <v>1150</v>
      </c>
      <c r="I1393" s="141" t="s">
        <v>3568</v>
      </c>
      <c r="J1393" s="142" t="s">
        <v>1150</v>
      </c>
      <c r="K1393" s="142" t="s">
        <v>1150</v>
      </c>
      <c r="L1393" s="143">
        <f t="shared" si="44"/>
        <v>1</v>
      </c>
      <c r="M1393" s="144" t="s">
        <v>3569</v>
      </c>
      <c r="N1393" s="146" t="s">
        <v>2149</v>
      </c>
      <c r="O1393" s="147" t="s">
        <v>2150</v>
      </c>
      <c r="P1393" s="146" t="s">
        <v>3570</v>
      </c>
      <c r="Q1393" s="147" t="s">
        <v>3567</v>
      </c>
      <c r="R1393" s="146" t="s">
        <v>3571</v>
      </c>
      <c r="S1393" s="147" t="s">
        <v>1150</v>
      </c>
      <c r="T1393" s="146" t="s">
        <v>3572</v>
      </c>
      <c r="U1393" s="147" t="s">
        <v>1150</v>
      </c>
      <c r="V1393" s="147" t="s">
        <v>1150</v>
      </c>
      <c r="W1393" s="141">
        <f t="shared" si="45"/>
        <v>3</v>
      </c>
      <c r="X1393" s="143"/>
      <c r="Y1393" s="145" t="s">
        <v>3573</v>
      </c>
      <c r="AA1393"/>
    </row>
    <row r="1394" spans="1:27" s="115" customFormat="1" ht="40.5" customHeight="1">
      <c r="A1394" s="139">
        <v>1314</v>
      </c>
      <c r="B1394" s="140" t="s">
        <v>5507</v>
      </c>
      <c r="C1394" s="141" t="s">
        <v>2149</v>
      </c>
      <c r="D1394" s="142" t="s">
        <v>2150</v>
      </c>
      <c r="E1394" s="141" t="s">
        <v>2696</v>
      </c>
      <c r="F1394" s="142" t="s">
        <v>2152</v>
      </c>
      <c r="G1394" s="141" t="s">
        <v>2762</v>
      </c>
      <c r="H1394" s="142" t="s">
        <v>3574</v>
      </c>
      <c r="I1394" s="141" t="s">
        <v>2860</v>
      </c>
      <c r="J1394" s="142" t="s">
        <v>1151</v>
      </c>
      <c r="K1394" s="142" t="s">
        <v>1151</v>
      </c>
      <c r="L1394" s="143">
        <f t="shared" si="44"/>
        <v>1</v>
      </c>
      <c r="M1394" s="144" t="s">
        <v>3575</v>
      </c>
      <c r="N1394" s="141" t="s">
        <v>2149</v>
      </c>
      <c r="O1394" s="142" t="s">
        <v>2150</v>
      </c>
      <c r="P1394" s="141" t="s">
        <v>2151</v>
      </c>
      <c r="Q1394" s="142" t="s">
        <v>2152</v>
      </c>
      <c r="R1394" s="141" t="s">
        <v>3576</v>
      </c>
      <c r="S1394" s="142" t="s">
        <v>3574</v>
      </c>
      <c r="T1394" s="141" t="s">
        <v>3577</v>
      </c>
      <c r="U1394" s="142" t="s">
        <v>1151</v>
      </c>
      <c r="V1394" s="142" t="s">
        <v>1151</v>
      </c>
      <c r="W1394" s="141">
        <f t="shared" si="45"/>
        <v>2</v>
      </c>
      <c r="X1394" s="143"/>
      <c r="Y1394" s="145" t="s">
        <v>3578</v>
      </c>
      <c r="AA1394"/>
    </row>
    <row r="1395" spans="1:27" s="115" customFormat="1" ht="40.5" customHeight="1">
      <c r="A1395" s="139">
        <v>1315</v>
      </c>
      <c r="B1395" s="140" t="s">
        <v>5621</v>
      </c>
      <c r="C1395" s="141" t="s">
        <v>2149</v>
      </c>
      <c r="D1395" s="142" t="s">
        <v>2150</v>
      </c>
      <c r="E1395" s="141" t="s">
        <v>3023</v>
      </c>
      <c r="F1395" s="142" t="s">
        <v>3567</v>
      </c>
      <c r="G1395" s="141" t="s">
        <v>3024</v>
      </c>
      <c r="H1395" s="142" t="s">
        <v>3579</v>
      </c>
      <c r="I1395" s="141" t="s">
        <v>3035</v>
      </c>
      <c r="J1395" s="142" t="s">
        <v>3580</v>
      </c>
      <c r="K1395" s="142" t="s">
        <v>3581</v>
      </c>
      <c r="L1395" s="143">
        <f t="shared" si="44"/>
        <v>1</v>
      </c>
      <c r="M1395" s="144" t="s">
        <v>3582</v>
      </c>
      <c r="N1395" s="141" t="s">
        <v>2149</v>
      </c>
      <c r="O1395" s="142" t="s">
        <v>2150</v>
      </c>
      <c r="P1395" s="141" t="s">
        <v>3570</v>
      </c>
      <c r="Q1395" s="142" t="s">
        <v>3567</v>
      </c>
      <c r="R1395" s="141" t="s">
        <v>3583</v>
      </c>
      <c r="S1395" s="142" t="s">
        <v>3579</v>
      </c>
      <c r="T1395" s="141" t="s">
        <v>3584</v>
      </c>
      <c r="U1395" s="142" t="s">
        <v>3580</v>
      </c>
      <c r="V1395" s="142" t="s">
        <v>3580</v>
      </c>
      <c r="W1395" s="141">
        <f t="shared" si="45"/>
        <v>1</v>
      </c>
      <c r="X1395" s="143"/>
      <c r="Y1395" s="145"/>
      <c r="AA1395"/>
    </row>
    <row r="1396" spans="1:27" s="115" customFormat="1" ht="40.5" customHeight="1">
      <c r="A1396" s="139">
        <v>1316</v>
      </c>
      <c r="B1396" s="140" t="s">
        <v>5631</v>
      </c>
      <c r="C1396" s="141" t="s">
        <v>2149</v>
      </c>
      <c r="D1396" s="142" t="s">
        <v>2150</v>
      </c>
      <c r="E1396" s="141" t="s">
        <v>3023</v>
      </c>
      <c r="F1396" s="142" t="s">
        <v>2152</v>
      </c>
      <c r="G1396" s="141" t="s">
        <v>3024</v>
      </c>
      <c r="H1396" s="142" t="s">
        <v>3574</v>
      </c>
      <c r="I1396" s="141" t="s">
        <v>3585</v>
      </c>
      <c r="J1396" s="142" t="s">
        <v>1152</v>
      </c>
      <c r="K1396" s="142" t="s">
        <v>1152</v>
      </c>
      <c r="L1396" s="143">
        <f t="shared" si="44"/>
        <v>1</v>
      </c>
      <c r="M1396" s="144" t="s">
        <v>3586</v>
      </c>
      <c r="N1396" s="146" t="s">
        <v>2149</v>
      </c>
      <c r="O1396" s="147" t="s">
        <v>2150</v>
      </c>
      <c r="P1396" s="146" t="s">
        <v>2151</v>
      </c>
      <c r="Q1396" s="147" t="s">
        <v>2152</v>
      </c>
      <c r="R1396" s="146" t="s">
        <v>3576</v>
      </c>
      <c r="S1396" s="147" t="s">
        <v>3574</v>
      </c>
      <c r="T1396" s="146" t="s">
        <v>3587</v>
      </c>
      <c r="U1396" s="147" t="s">
        <v>1152</v>
      </c>
      <c r="V1396" s="147" t="s">
        <v>1152</v>
      </c>
      <c r="W1396" s="141">
        <f t="shared" si="45"/>
        <v>1</v>
      </c>
      <c r="X1396" s="143"/>
      <c r="Y1396" s="145"/>
      <c r="AA1396"/>
    </row>
    <row r="1397" spans="1:27" s="115" customFormat="1" ht="40.5" customHeight="1">
      <c r="A1397" s="139">
        <v>1317</v>
      </c>
      <c r="B1397" s="140" t="s">
        <v>5632</v>
      </c>
      <c r="C1397" s="141" t="s">
        <v>2149</v>
      </c>
      <c r="D1397" s="142" t="s">
        <v>2150</v>
      </c>
      <c r="E1397" s="141" t="s">
        <v>3023</v>
      </c>
      <c r="F1397" s="142" t="s">
        <v>2152</v>
      </c>
      <c r="G1397" s="141" t="s">
        <v>3024</v>
      </c>
      <c r="H1397" s="142" t="s">
        <v>3574</v>
      </c>
      <c r="I1397" s="141" t="s">
        <v>3585</v>
      </c>
      <c r="J1397" s="142" t="s">
        <v>1151</v>
      </c>
      <c r="K1397" s="142" t="s">
        <v>1151</v>
      </c>
      <c r="L1397" s="143">
        <f t="shared" si="44"/>
        <v>1</v>
      </c>
      <c r="M1397" s="144" t="s">
        <v>3575</v>
      </c>
      <c r="N1397" s="141" t="s">
        <v>2149</v>
      </c>
      <c r="O1397" s="142" t="s">
        <v>2150</v>
      </c>
      <c r="P1397" s="141" t="s">
        <v>2151</v>
      </c>
      <c r="Q1397" s="142" t="s">
        <v>2152</v>
      </c>
      <c r="R1397" s="141" t="s">
        <v>3576</v>
      </c>
      <c r="S1397" s="142" t="s">
        <v>3574</v>
      </c>
      <c r="T1397" s="141" t="s">
        <v>3577</v>
      </c>
      <c r="U1397" s="142" t="s">
        <v>1151</v>
      </c>
      <c r="V1397" s="142" t="s">
        <v>1151</v>
      </c>
      <c r="W1397" s="141">
        <f t="shared" si="45"/>
        <v>2</v>
      </c>
      <c r="X1397" s="143">
        <v>1</v>
      </c>
      <c r="Y1397" s="145"/>
      <c r="AA1397"/>
    </row>
    <row r="1398" spans="1:27" s="115" customFormat="1" ht="40.5" customHeight="1">
      <c r="A1398" s="139">
        <v>1318</v>
      </c>
      <c r="B1398" s="140" t="s">
        <v>5658</v>
      </c>
      <c r="C1398" s="141" t="s">
        <v>2149</v>
      </c>
      <c r="D1398" s="142" t="s">
        <v>2150</v>
      </c>
      <c r="E1398" s="141" t="s">
        <v>3280</v>
      </c>
      <c r="F1398" s="142" t="s">
        <v>2152</v>
      </c>
      <c r="G1398" s="141" t="s">
        <v>3281</v>
      </c>
      <c r="H1398" s="142" t="s">
        <v>2154</v>
      </c>
      <c r="I1398" s="141" t="s">
        <v>3301</v>
      </c>
      <c r="J1398" s="142" t="s">
        <v>2148</v>
      </c>
      <c r="K1398" s="142" t="s">
        <v>1153</v>
      </c>
      <c r="L1398" s="143">
        <f t="shared" si="44"/>
        <v>1</v>
      </c>
      <c r="M1398" s="144" t="s">
        <v>3588</v>
      </c>
      <c r="N1398" s="141" t="s">
        <v>2149</v>
      </c>
      <c r="O1398" s="142" t="s">
        <v>2150</v>
      </c>
      <c r="P1398" s="141" t="s">
        <v>2151</v>
      </c>
      <c r="Q1398" s="142" t="s">
        <v>2152</v>
      </c>
      <c r="R1398" s="141" t="s">
        <v>2153</v>
      </c>
      <c r="S1398" s="142" t="s">
        <v>2154</v>
      </c>
      <c r="T1398" s="141" t="s">
        <v>2155</v>
      </c>
      <c r="U1398" s="142" t="s">
        <v>2148</v>
      </c>
      <c r="V1398" s="142" t="s">
        <v>1153</v>
      </c>
      <c r="W1398" s="141">
        <f t="shared" si="45"/>
        <v>7</v>
      </c>
      <c r="X1398" s="143"/>
      <c r="Y1398" s="145" t="s">
        <v>3589</v>
      </c>
      <c r="AA1398"/>
    </row>
    <row r="1399" spans="1:27" s="115" customFormat="1" ht="40.5" customHeight="1">
      <c r="A1399" s="139">
        <v>1319</v>
      </c>
      <c r="B1399" s="140" t="s">
        <v>5700</v>
      </c>
      <c r="C1399" s="141" t="s">
        <v>2149</v>
      </c>
      <c r="D1399" s="142" t="s">
        <v>2150</v>
      </c>
      <c r="E1399" s="141" t="s">
        <v>3365</v>
      </c>
      <c r="F1399" s="142" t="s">
        <v>3567</v>
      </c>
      <c r="G1399" s="141" t="s">
        <v>3366</v>
      </c>
      <c r="H1399" s="142" t="s">
        <v>1150</v>
      </c>
      <c r="I1399" s="141" t="s">
        <v>3590</v>
      </c>
      <c r="J1399" s="142" t="s">
        <v>1150</v>
      </c>
      <c r="K1399" s="142" t="s">
        <v>1150</v>
      </c>
      <c r="L1399" s="143">
        <f t="shared" si="44"/>
        <v>1</v>
      </c>
      <c r="M1399" s="144" t="s">
        <v>3569</v>
      </c>
      <c r="N1399" s="146" t="s">
        <v>2149</v>
      </c>
      <c r="O1399" s="147" t="s">
        <v>2150</v>
      </c>
      <c r="P1399" s="146" t="s">
        <v>3570</v>
      </c>
      <c r="Q1399" s="147" t="s">
        <v>3567</v>
      </c>
      <c r="R1399" s="146" t="s">
        <v>3571</v>
      </c>
      <c r="S1399" s="147" t="s">
        <v>1150</v>
      </c>
      <c r="T1399" s="146" t="s">
        <v>3572</v>
      </c>
      <c r="U1399" s="147" t="s">
        <v>1150</v>
      </c>
      <c r="V1399" s="147" t="s">
        <v>1150</v>
      </c>
      <c r="W1399" s="141">
        <f t="shared" si="45"/>
        <v>3</v>
      </c>
      <c r="X1399" s="143"/>
      <c r="Y1399" s="145" t="s">
        <v>3591</v>
      </c>
      <c r="AA1399"/>
    </row>
    <row r="1400" spans="1:27" s="115" customFormat="1" ht="40.5" customHeight="1">
      <c r="A1400" s="139">
        <v>1320</v>
      </c>
      <c r="B1400" s="140" t="s">
        <v>5717</v>
      </c>
      <c r="C1400" s="141" t="s">
        <v>2149</v>
      </c>
      <c r="D1400" s="142" t="s">
        <v>2150</v>
      </c>
      <c r="E1400" s="141" t="s">
        <v>3447</v>
      </c>
      <c r="F1400" s="142" t="s">
        <v>3567</v>
      </c>
      <c r="G1400" s="141" t="s">
        <v>3463</v>
      </c>
      <c r="H1400" s="142" t="s">
        <v>3592</v>
      </c>
      <c r="I1400" s="141" t="s">
        <v>3593</v>
      </c>
      <c r="J1400" s="142" t="s">
        <v>273</v>
      </c>
      <c r="K1400" s="142" t="s">
        <v>273</v>
      </c>
      <c r="L1400" s="143">
        <f t="shared" si="44"/>
        <v>1</v>
      </c>
      <c r="M1400" s="144" t="s">
        <v>3594</v>
      </c>
      <c r="N1400" s="146" t="s">
        <v>2149</v>
      </c>
      <c r="O1400" s="147" t="s">
        <v>2150</v>
      </c>
      <c r="P1400" s="146" t="s">
        <v>3570</v>
      </c>
      <c r="Q1400" s="147" t="s">
        <v>3567</v>
      </c>
      <c r="R1400" s="146" t="s">
        <v>3595</v>
      </c>
      <c r="S1400" s="147" t="s">
        <v>3592</v>
      </c>
      <c r="T1400" s="146" t="s">
        <v>3596</v>
      </c>
      <c r="U1400" s="147" t="s">
        <v>273</v>
      </c>
      <c r="V1400" s="147" t="s">
        <v>273</v>
      </c>
      <c r="W1400" s="141">
        <f t="shared" si="45"/>
        <v>3</v>
      </c>
      <c r="X1400" s="143"/>
      <c r="Y1400" s="145" t="s">
        <v>2832</v>
      </c>
      <c r="AA1400"/>
    </row>
    <row r="1401" spans="1:27" s="115" customFormat="1" ht="40.5" customHeight="1">
      <c r="A1401" s="139">
        <v>1321</v>
      </c>
      <c r="B1401" s="140" t="s">
        <v>5718</v>
      </c>
      <c r="C1401" s="141" t="s">
        <v>2149</v>
      </c>
      <c r="D1401" s="142" t="s">
        <v>2150</v>
      </c>
      <c r="E1401" s="141" t="s">
        <v>3447</v>
      </c>
      <c r="F1401" s="142" t="s">
        <v>3567</v>
      </c>
      <c r="G1401" s="141" t="s">
        <v>3463</v>
      </c>
      <c r="H1401" s="142" t="s">
        <v>3579</v>
      </c>
      <c r="I1401" s="141" t="s">
        <v>3597</v>
      </c>
      <c r="J1401" s="142" t="s">
        <v>274</v>
      </c>
      <c r="K1401" s="142" t="s">
        <v>274</v>
      </c>
      <c r="L1401" s="143">
        <f t="shared" si="44"/>
        <v>1</v>
      </c>
      <c r="M1401" s="144" t="s">
        <v>3598</v>
      </c>
      <c r="N1401" s="146" t="s">
        <v>2149</v>
      </c>
      <c r="O1401" s="147" t="s">
        <v>2150</v>
      </c>
      <c r="P1401" s="146" t="s">
        <v>3570</v>
      </c>
      <c r="Q1401" s="147" t="s">
        <v>3567</v>
      </c>
      <c r="R1401" s="146" t="s">
        <v>3583</v>
      </c>
      <c r="S1401" s="147" t="s">
        <v>3579</v>
      </c>
      <c r="T1401" s="146" t="s">
        <v>3599</v>
      </c>
      <c r="U1401" s="147" t="s">
        <v>274</v>
      </c>
      <c r="V1401" s="147" t="s">
        <v>274</v>
      </c>
      <c r="W1401" s="141">
        <f t="shared" si="45"/>
        <v>1</v>
      </c>
      <c r="X1401" s="143"/>
      <c r="Y1401" s="145"/>
      <c r="AA1401"/>
    </row>
    <row r="1402" spans="1:27" s="115" customFormat="1" ht="40.5" customHeight="1">
      <c r="A1402" s="139">
        <v>1322</v>
      </c>
      <c r="B1402" s="140" t="s">
        <v>5719</v>
      </c>
      <c r="C1402" s="141" t="s">
        <v>2149</v>
      </c>
      <c r="D1402" s="142" t="s">
        <v>2150</v>
      </c>
      <c r="E1402" s="141" t="s">
        <v>3447</v>
      </c>
      <c r="F1402" s="142" t="s">
        <v>3567</v>
      </c>
      <c r="G1402" s="141" t="s">
        <v>3463</v>
      </c>
      <c r="H1402" s="142" t="s">
        <v>3592</v>
      </c>
      <c r="I1402" s="141" t="s">
        <v>3597</v>
      </c>
      <c r="J1402" s="142" t="s">
        <v>273</v>
      </c>
      <c r="K1402" s="142" t="s">
        <v>273</v>
      </c>
      <c r="L1402" s="143">
        <f t="shared" si="44"/>
        <v>1</v>
      </c>
      <c r="M1402" s="144" t="s">
        <v>3594</v>
      </c>
      <c r="N1402" s="146" t="s">
        <v>2149</v>
      </c>
      <c r="O1402" s="147" t="s">
        <v>2150</v>
      </c>
      <c r="P1402" s="146" t="s">
        <v>3570</v>
      </c>
      <c r="Q1402" s="147" t="s">
        <v>3567</v>
      </c>
      <c r="R1402" s="146" t="s">
        <v>3595</v>
      </c>
      <c r="S1402" s="147" t="s">
        <v>3592</v>
      </c>
      <c r="T1402" s="146" t="s">
        <v>3596</v>
      </c>
      <c r="U1402" s="147" t="s">
        <v>273</v>
      </c>
      <c r="V1402" s="147" t="s">
        <v>273</v>
      </c>
      <c r="W1402" s="141">
        <f t="shared" si="45"/>
        <v>3</v>
      </c>
      <c r="X1402" s="143">
        <v>1</v>
      </c>
      <c r="Y1402" s="145"/>
      <c r="AA1402"/>
    </row>
    <row r="1403" spans="1:27" s="115" customFormat="1" ht="40.5" customHeight="1">
      <c r="A1403" s="139">
        <v>1323</v>
      </c>
      <c r="B1403" s="140" t="s">
        <v>5720</v>
      </c>
      <c r="C1403" s="141" t="s">
        <v>2149</v>
      </c>
      <c r="D1403" s="142" t="s">
        <v>2150</v>
      </c>
      <c r="E1403" s="141" t="s">
        <v>3447</v>
      </c>
      <c r="F1403" s="142" t="s">
        <v>3567</v>
      </c>
      <c r="G1403" s="141" t="s">
        <v>3463</v>
      </c>
      <c r="H1403" s="142" t="s">
        <v>3592</v>
      </c>
      <c r="I1403" s="141" t="s">
        <v>3597</v>
      </c>
      <c r="J1403" s="142" t="s">
        <v>1154</v>
      </c>
      <c r="K1403" s="142" t="s">
        <v>1154</v>
      </c>
      <c r="L1403" s="143">
        <f t="shared" si="44"/>
        <v>1</v>
      </c>
      <c r="M1403" s="144" t="s">
        <v>3600</v>
      </c>
      <c r="N1403" s="146" t="s">
        <v>2149</v>
      </c>
      <c r="O1403" s="147" t="s">
        <v>2150</v>
      </c>
      <c r="P1403" s="146" t="s">
        <v>3570</v>
      </c>
      <c r="Q1403" s="147" t="s">
        <v>3567</v>
      </c>
      <c r="R1403" s="146" t="s">
        <v>3595</v>
      </c>
      <c r="S1403" s="147" t="s">
        <v>3592</v>
      </c>
      <c r="T1403" s="146" t="s">
        <v>3601</v>
      </c>
      <c r="U1403" s="147" t="s">
        <v>1154</v>
      </c>
      <c r="V1403" s="147" t="s">
        <v>1154</v>
      </c>
      <c r="W1403" s="141">
        <f t="shared" si="45"/>
        <v>1</v>
      </c>
      <c r="X1403" s="143"/>
      <c r="Y1403" s="145"/>
      <c r="AA1403"/>
    </row>
    <row r="1404" spans="1:27" s="115" customFormat="1" ht="40.5" customHeight="1">
      <c r="A1404" s="139">
        <v>1324</v>
      </c>
      <c r="B1404" s="140" t="s">
        <v>5721</v>
      </c>
      <c r="C1404" s="141" t="s">
        <v>2149</v>
      </c>
      <c r="D1404" s="142" t="s">
        <v>2150</v>
      </c>
      <c r="E1404" s="141" t="s">
        <v>3447</v>
      </c>
      <c r="F1404" s="142" t="s">
        <v>3567</v>
      </c>
      <c r="G1404" s="141" t="s">
        <v>3463</v>
      </c>
      <c r="H1404" s="142" t="s">
        <v>3592</v>
      </c>
      <c r="I1404" s="141" t="s">
        <v>3597</v>
      </c>
      <c r="J1404" s="142" t="s">
        <v>1155</v>
      </c>
      <c r="K1404" s="142" t="s">
        <v>1155</v>
      </c>
      <c r="L1404" s="143">
        <f t="shared" si="44"/>
        <v>1</v>
      </c>
      <c r="M1404" s="144" t="s">
        <v>3602</v>
      </c>
      <c r="N1404" s="146" t="s">
        <v>2149</v>
      </c>
      <c r="O1404" s="147" t="s">
        <v>2150</v>
      </c>
      <c r="P1404" s="146" t="s">
        <v>3570</v>
      </c>
      <c r="Q1404" s="147" t="s">
        <v>3567</v>
      </c>
      <c r="R1404" s="146" t="s">
        <v>3595</v>
      </c>
      <c r="S1404" s="147" t="s">
        <v>3592</v>
      </c>
      <c r="T1404" s="146" t="s">
        <v>3603</v>
      </c>
      <c r="U1404" s="147" t="s">
        <v>1155</v>
      </c>
      <c r="V1404" s="147" t="s">
        <v>1155</v>
      </c>
      <c r="W1404" s="141">
        <f t="shared" si="45"/>
        <v>1</v>
      </c>
      <c r="X1404" s="143"/>
      <c r="Y1404" s="145"/>
      <c r="AA1404"/>
    </row>
    <row r="1405" spans="1:27" s="115" customFormat="1" ht="40.5" customHeight="1">
      <c r="A1405" s="139">
        <v>1325</v>
      </c>
      <c r="B1405" s="140" t="s">
        <v>5722</v>
      </c>
      <c r="C1405" s="141" t="s">
        <v>2149</v>
      </c>
      <c r="D1405" s="142" t="s">
        <v>2150</v>
      </c>
      <c r="E1405" s="141" t="s">
        <v>3447</v>
      </c>
      <c r="F1405" s="142" t="s">
        <v>3567</v>
      </c>
      <c r="G1405" s="141" t="s">
        <v>3522</v>
      </c>
      <c r="H1405" s="142" t="s">
        <v>3604</v>
      </c>
      <c r="I1405" s="141" t="s">
        <v>3605</v>
      </c>
      <c r="J1405" s="142" t="s">
        <v>3606</v>
      </c>
      <c r="K1405" s="142" t="s">
        <v>1156</v>
      </c>
      <c r="L1405" s="143">
        <f t="shared" si="44"/>
        <v>1</v>
      </c>
      <c r="M1405" s="144" t="s">
        <v>3607</v>
      </c>
      <c r="N1405" s="146" t="s">
        <v>2149</v>
      </c>
      <c r="O1405" s="147" t="s">
        <v>2150</v>
      </c>
      <c r="P1405" s="146" t="s">
        <v>3570</v>
      </c>
      <c r="Q1405" s="147" t="s">
        <v>3567</v>
      </c>
      <c r="R1405" s="146" t="s">
        <v>3608</v>
      </c>
      <c r="S1405" s="147" t="s">
        <v>3604</v>
      </c>
      <c r="T1405" s="146" t="s">
        <v>3609</v>
      </c>
      <c r="U1405" s="147" t="s">
        <v>3606</v>
      </c>
      <c r="V1405" s="147" t="s">
        <v>1156</v>
      </c>
      <c r="W1405" s="141">
        <f t="shared" si="45"/>
        <v>1</v>
      </c>
      <c r="X1405" s="143"/>
      <c r="Y1405" s="145"/>
      <c r="AA1405"/>
    </row>
    <row r="1406" spans="1:27" s="115" customFormat="1" ht="40.5" customHeight="1">
      <c r="A1406" s="139">
        <v>1326</v>
      </c>
      <c r="B1406" s="140" t="s">
        <v>5723</v>
      </c>
      <c r="C1406" s="141" t="s">
        <v>2149</v>
      </c>
      <c r="D1406" s="142" t="s">
        <v>2150</v>
      </c>
      <c r="E1406" s="141" t="s">
        <v>3447</v>
      </c>
      <c r="F1406" s="142" t="s">
        <v>3567</v>
      </c>
      <c r="G1406" s="141" t="s">
        <v>3522</v>
      </c>
      <c r="H1406" s="142" t="s">
        <v>3604</v>
      </c>
      <c r="I1406" s="141" t="s">
        <v>3605</v>
      </c>
      <c r="J1406" s="142" t="s">
        <v>1157</v>
      </c>
      <c r="K1406" s="142" t="s">
        <v>1157</v>
      </c>
      <c r="L1406" s="143">
        <f t="shared" si="44"/>
        <v>1</v>
      </c>
      <c r="M1406" s="144" t="s">
        <v>3610</v>
      </c>
      <c r="N1406" s="146" t="s">
        <v>2149</v>
      </c>
      <c r="O1406" s="147" t="s">
        <v>2150</v>
      </c>
      <c r="P1406" s="146" t="s">
        <v>3570</v>
      </c>
      <c r="Q1406" s="147" t="s">
        <v>3567</v>
      </c>
      <c r="R1406" s="146" t="s">
        <v>3608</v>
      </c>
      <c r="S1406" s="147" t="s">
        <v>3604</v>
      </c>
      <c r="T1406" s="146" t="s">
        <v>3611</v>
      </c>
      <c r="U1406" s="147" t="s">
        <v>1157</v>
      </c>
      <c r="V1406" s="147" t="s">
        <v>1157</v>
      </c>
      <c r="W1406" s="141">
        <f t="shared" si="45"/>
        <v>1</v>
      </c>
      <c r="X1406" s="143"/>
      <c r="Y1406" s="145"/>
      <c r="AA1406"/>
    </row>
    <row r="1407" spans="1:27" s="115" customFormat="1" ht="40.5" customHeight="1">
      <c r="A1407" s="139">
        <v>1327</v>
      </c>
      <c r="B1407" s="140" t="s">
        <v>5724</v>
      </c>
      <c r="C1407" s="141" t="s">
        <v>2149</v>
      </c>
      <c r="D1407" s="142" t="s">
        <v>2150</v>
      </c>
      <c r="E1407" s="141" t="s">
        <v>3447</v>
      </c>
      <c r="F1407" s="142" t="s">
        <v>3567</v>
      </c>
      <c r="G1407" s="141" t="s">
        <v>3522</v>
      </c>
      <c r="H1407" s="142" t="s">
        <v>3592</v>
      </c>
      <c r="I1407" s="141" t="s">
        <v>3605</v>
      </c>
      <c r="J1407" s="142" t="s">
        <v>273</v>
      </c>
      <c r="K1407" s="142" t="s">
        <v>273</v>
      </c>
      <c r="L1407" s="143">
        <f t="shared" si="44"/>
        <v>1</v>
      </c>
      <c r="M1407" s="144" t="s">
        <v>3594</v>
      </c>
      <c r="N1407" s="146" t="s">
        <v>2149</v>
      </c>
      <c r="O1407" s="147" t="s">
        <v>2150</v>
      </c>
      <c r="P1407" s="146" t="s">
        <v>3570</v>
      </c>
      <c r="Q1407" s="147" t="s">
        <v>3567</v>
      </c>
      <c r="R1407" s="146" t="s">
        <v>3595</v>
      </c>
      <c r="S1407" s="147" t="s">
        <v>3592</v>
      </c>
      <c r="T1407" s="146" t="s">
        <v>3596</v>
      </c>
      <c r="U1407" s="147" t="s">
        <v>273</v>
      </c>
      <c r="V1407" s="147" t="s">
        <v>273</v>
      </c>
      <c r="W1407" s="141">
        <f t="shared" si="45"/>
        <v>3</v>
      </c>
      <c r="X1407" s="143"/>
      <c r="Y1407" s="145" t="s">
        <v>3612</v>
      </c>
      <c r="AA1407"/>
    </row>
    <row r="1408" spans="1:27" s="115" customFormat="1" ht="40.5" customHeight="1">
      <c r="A1408" s="139">
        <v>1328</v>
      </c>
      <c r="B1408" s="140" t="s">
        <v>5725</v>
      </c>
      <c r="C1408" s="141" t="s">
        <v>2149</v>
      </c>
      <c r="D1408" s="142" t="s">
        <v>2150</v>
      </c>
      <c r="E1408" s="141" t="s">
        <v>3447</v>
      </c>
      <c r="F1408" s="142" t="s">
        <v>3567</v>
      </c>
      <c r="G1408" s="141" t="s">
        <v>3522</v>
      </c>
      <c r="H1408" s="142" t="s">
        <v>3604</v>
      </c>
      <c r="I1408" s="141" t="s">
        <v>3605</v>
      </c>
      <c r="J1408" s="142" t="s">
        <v>1158</v>
      </c>
      <c r="K1408" s="142" t="s">
        <v>1158</v>
      </c>
      <c r="L1408" s="143">
        <f t="shared" si="44"/>
        <v>1</v>
      </c>
      <c r="M1408" s="144" t="s">
        <v>3613</v>
      </c>
      <c r="N1408" s="146" t="s">
        <v>2149</v>
      </c>
      <c r="O1408" s="147" t="s">
        <v>2150</v>
      </c>
      <c r="P1408" s="146" t="s">
        <v>3570</v>
      </c>
      <c r="Q1408" s="147" t="s">
        <v>3567</v>
      </c>
      <c r="R1408" s="146" t="s">
        <v>3608</v>
      </c>
      <c r="S1408" s="147" t="s">
        <v>3604</v>
      </c>
      <c r="T1408" s="146" t="s">
        <v>3614</v>
      </c>
      <c r="U1408" s="147" t="s">
        <v>1158</v>
      </c>
      <c r="V1408" s="147" t="s">
        <v>1158</v>
      </c>
      <c r="W1408" s="141">
        <f t="shared" si="45"/>
        <v>1</v>
      </c>
      <c r="X1408" s="143"/>
      <c r="Y1408" s="145"/>
      <c r="AA1408"/>
    </row>
    <row r="1409" spans="1:27" s="115" customFormat="1" ht="40.5" customHeight="1">
      <c r="A1409" s="139">
        <v>1329</v>
      </c>
      <c r="B1409" s="140" t="s">
        <v>5726</v>
      </c>
      <c r="C1409" s="141" t="s">
        <v>2149</v>
      </c>
      <c r="D1409" s="142" t="s">
        <v>2150</v>
      </c>
      <c r="E1409" s="141" t="s">
        <v>3447</v>
      </c>
      <c r="F1409" s="142" t="s">
        <v>3567</v>
      </c>
      <c r="G1409" s="141" t="s">
        <v>3522</v>
      </c>
      <c r="H1409" s="142" t="s">
        <v>3604</v>
      </c>
      <c r="I1409" s="141" t="s">
        <v>3605</v>
      </c>
      <c r="J1409" s="142" t="s">
        <v>3606</v>
      </c>
      <c r="K1409" s="142" t="s">
        <v>1159</v>
      </c>
      <c r="L1409" s="143">
        <f t="shared" si="44"/>
        <v>1</v>
      </c>
      <c r="M1409" s="144" t="s">
        <v>3615</v>
      </c>
      <c r="N1409" s="146" t="s">
        <v>2149</v>
      </c>
      <c r="O1409" s="147" t="s">
        <v>2150</v>
      </c>
      <c r="P1409" s="146" t="s">
        <v>3570</v>
      </c>
      <c r="Q1409" s="147" t="s">
        <v>3567</v>
      </c>
      <c r="R1409" s="146" t="s">
        <v>3608</v>
      </c>
      <c r="S1409" s="147" t="s">
        <v>3604</v>
      </c>
      <c r="T1409" s="146" t="s">
        <v>3609</v>
      </c>
      <c r="U1409" s="147" t="s">
        <v>3606</v>
      </c>
      <c r="V1409" s="147" t="s">
        <v>1159</v>
      </c>
      <c r="W1409" s="141">
        <f t="shared" si="45"/>
        <v>1</v>
      </c>
      <c r="X1409" s="143"/>
      <c r="Y1409" s="145"/>
      <c r="AA1409"/>
    </row>
    <row r="1410" spans="1:27" s="115" customFormat="1" ht="40.5" customHeight="1">
      <c r="A1410" s="139">
        <v>1330</v>
      </c>
      <c r="B1410" s="140" t="s">
        <v>5727</v>
      </c>
      <c r="C1410" s="141" t="s">
        <v>2149</v>
      </c>
      <c r="D1410" s="142" t="s">
        <v>2150</v>
      </c>
      <c r="E1410" s="141" t="s">
        <v>3447</v>
      </c>
      <c r="F1410" s="142" t="s">
        <v>3567</v>
      </c>
      <c r="G1410" s="141" t="s">
        <v>3522</v>
      </c>
      <c r="H1410" s="142" t="s">
        <v>3604</v>
      </c>
      <c r="I1410" s="141" t="s">
        <v>3605</v>
      </c>
      <c r="J1410" s="142" t="s">
        <v>3606</v>
      </c>
      <c r="K1410" s="142" t="s">
        <v>275</v>
      </c>
      <c r="L1410" s="143">
        <f t="shared" si="44"/>
        <v>1</v>
      </c>
      <c r="M1410" s="144" t="s">
        <v>3616</v>
      </c>
      <c r="N1410" s="146" t="s">
        <v>2149</v>
      </c>
      <c r="O1410" s="147" t="s">
        <v>2150</v>
      </c>
      <c r="P1410" s="146" t="s">
        <v>3570</v>
      </c>
      <c r="Q1410" s="147" t="s">
        <v>3567</v>
      </c>
      <c r="R1410" s="146" t="s">
        <v>3608</v>
      </c>
      <c r="S1410" s="147" t="s">
        <v>3604</v>
      </c>
      <c r="T1410" s="146" t="s">
        <v>3609</v>
      </c>
      <c r="U1410" s="147" t="s">
        <v>3606</v>
      </c>
      <c r="V1410" s="147" t="s">
        <v>275</v>
      </c>
      <c r="W1410" s="141">
        <f t="shared" si="45"/>
        <v>2</v>
      </c>
      <c r="X1410" s="143">
        <v>1</v>
      </c>
      <c r="Y1410" s="145"/>
      <c r="AA1410"/>
    </row>
    <row r="1411" spans="1:27" s="115" customFormat="1" ht="40.5" customHeight="1">
      <c r="A1411" s="139">
        <v>1331</v>
      </c>
      <c r="B1411" s="140" t="s">
        <v>5788</v>
      </c>
      <c r="C1411" s="141" t="s">
        <v>2149</v>
      </c>
      <c r="D1411" s="142" t="s">
        <v>2150</v>
      </c>
      <c r="E1411" s="141" t="s">
        <v>2223</v>
      </c>
      <c r="F1411" s="142" t="s">
        <v>2152</v>
      </c>
      <c r="G1411" s="141" t="s">
        <v>2225</v>
      </c>
      <c r="H1411" s="142" t="s">
        <v>3617</v>
      </c>
      <c r="I1411" s="141" t="s">
        <v>3618</v>
      </c>
      <c r="J1411" s="142" t="s">
        <v>1160</v>
      </c>
      <c r="K1411" s="142" t="s">
        <v>1160</v>
      </c>
      <c r="L1411" s="143">
        <f t="shared" si="44"/>
        <v>1</v>
      </c>
      <c r="M1411" s="144" t="s">
        <v>3619</v>
      </c>
      <c r="N1411" s="141" t="s">
        <v>2149</v>
      </c>
      <c r="O1411" s="142" t="s">
        <v>2150</v>
      </c>
      <c r="P1411" s="141" t="s">
        <v>2151</v>
      </c>
      <c r="Q1411" s="142" t="s">
        <v>2152</v>
      </c>
      <c r="R1411" s="141" t="s">
        <v>3620</v>
      </c>
      <c r="S1411" s="142" t="s">
        <v>3617</v>
      </c>
      <c r="T1411" s="141" t="s">
        <v>3621</v>
      </c>
      <c r="U1411" s="142" t="s">
        <v>1160</v>
      </c>
      <c r="V1411" s="142" t="s">
        <v>1160</v>
      </c>
      <c r="W1411" s="141">
        <f t="shared" si="45"/>
        <v>1</v>
      </c>
      <c r="X1411" s="143"/>
      <c r="Y1411" s="145"/>
      <c r="AA1411"/>
    </row>
    <row r="1412" spans="1:27" s="115" customFormat="1" ht="40.5" customHeight="1">
      <c r="A1412" s="139">
        <v>1332</v>
      </c>
      <c r="B1412" s="140" t="s">
        <v>5789</v>
      </c>
      <c r="C1412" s="141" t="s">
        <v>2149</v>
      </c>
      <c r="D1412" s="142" t="s">
        <v>2150</v>
      </c>
      <c r="E1412" s="141" t="s">
        <v>2223</v>
      </c>
      <c r="F1412" s="142" t="s">
        <v>2152</v>
      </c>
      <c r="G1412" s="141" t="s">
        <v>2225</v>
      </c>
      <c r="H1412" s="142" t="s">
        <v>3617</v>
      </c>
      <c r="I1412" s="141" t="s">
        <v>3618</v>
      </c>
      <c r="J1412" s="142" t="s">
        <v>3622</v>
      </c>
      <c r="K1412" s="142" t="s">
        <v>1161</v>
      </c>
      <c r="L1412" s="143">
        <f t="shared" si="44"/>
        <v>1</v>
      </c>
      <c r="M1412" s="144" t="s">
        <v>3623</v>
      </c>
      <c r="N1412" s="141" t="s">
        <v>2149</v>
      </c>
      <c r="O1412" s="142" t="s">
        <v>2150</v>
      </c>
      <c r="P1412" s="141" t="s">
        <v>2151</v>
      </c>
      <c r="Q1412" s="142" t="s">
        <v>2152</v>
      </c>
      <c r="R1412" s="141" t="s">
        <v>3620</v>
      </c>
      <c r="S1412" s="142" t="s">
        <v>3617</v>
      </c>
      <c r="T1412" s="141" t="s">
        <v>3624</v>
      </c>
      <c r="U1412" s="142" t="s">
        <v>3622</v>
      </c>
      <c r="V1412" s="142" t="s">
        <v>1161</v>
      </c>
      <c r="W1412" s="141">
        <f t="shared" si="45"/>
        <v>1</v>
      </c>
      <c r="X1412" s="143"/>
      <c r="Y1412" s="145"/>
      <c r="AA1412"/>
    </row>
    <row r="1413" spans="1:27" s="115" customFormat="1" ht="40.5" customHeight="1">
      <c r="A1413" s="139">
        <v>1333</v>
      </c>
      <c r="B1413" s="140" t="s">
        <v>5790</v>
      </c>
      <c r="C1413" s="141" t="s">
        <v>2149</v>
      </c>
      <c r="D1413" s="142" t="s">
        <v>2150</v>
      </c>
      <c r="E1413" s="141" t="s">
        <v>2223</v>
      </c>
      <c r="F1413" s="142" t="s">
        <v>2152</v>
      </c>
      <c r="G1413" s="141" t="s">
        <v>2225</v>
      </c>
      <c r="H1413" s="142" t="s">
        <v>3617</v>
      </c>
      <c r="I1413" s="141" t="s">
        <v>3618</v>
      </c>
      <c r="J1413" s="142" t="s">
        <v>3622</v>
      </c>
      <c r="K1413" s="142" t="s">
        <v>1162</v>
      </c>
      <c r="L1413" s="143">
        <f t="shared" si="44"/>
        <v>1</v>
      </c>
      <c r="M1413" s="144" t="s">
        <v>3625</v>
      </c>
      <c r="N1413" s="146" t="s">
        <v>2149</v>
      </c>
      <c r="O1413" s="147" t="s">
        <v>2150</v>
      </c>
      <c r="P1413" s="146" t="s">
        <v>2151</v>
      </c>
      <c r="Q1413" s="147" t="s">
        <v>2152</v>
      </c>
      <c r="R1413" s="146" t="s">
        <v>3620</v>
      </c>
      <c r="S1413" s="147" t="s">
        <v>3617</v>
      </c>
      <c r="T1413" s="146" t="s">
        <v>3624</v>
      </c>
      <c r="U1413" s="147" t="s">
        <v>3622</v>
      </c>
      <c r="V1413" s="147" t="s">
        <v>1162</v>
      </c>
      <c r="W1413" s="141">
        <f t="shared" si="45"/>
        <v>1</v>
      </c>
      <c r="X1413" s="143"/>
      <c r="Y1413" s="145"/>
      <c r="AA1413"/>
    </row>
    <row r="1414" spans="1:27" s="115" customFormat="1" ht="40.5" customHeight="1">
      <c r="A1414" s="139">
        <v>1334</v>
      </c>
      <c r="B1414" s="140" t="s">
        <v>5791</v>
      </c>
      <c r="C1414" s="141" t="s">
        <v>2149</v>
      </c>
      <c r="D1414" s="142" t="s">
        <v>2150</v>
      </c>
      <c r="E1414" s="141" t="s">
        <v>2223</v>
      </c>
      <c r="F1414" s="142" t="s">
        <v>2152</v>
      </c>
      <c r="G1414" s="141" t="s">
        <v>2225</v>
      </c>
      <c r="H1414" s="142" t="s">
        <v>3626</v>
      </c>
      <c r="I1414" s="141" t="s">
        <v>3627</v>
      </c>
      <c r="J1414" s="142" t="s">
        <v>1163</v>
      </c>
      <c r="K1414" s="142" t="s">
        <v>1163</v>
      </c>
      <c r="L1414" s="143">
        <f t="shared" si="44"/>
        <v>1</v>
      </c>
      <c r="M1414" s="144" t="s">
        <v>3628</v>
      </c>
      <c r="N1414" s="141" t="s">
        <v>2149</v>
      </c>
      <c r="O1414" s="142" t="s">
        <v>2150</v>
      </c>
      <c r="P1414" s="141" t="s">
        <v>2151</v>
      </c>
      <c r="Q1414" s="142" t="s">
        <v>2152</v>
      </c>
      <c r="R1414" s="141" t="s">
        <v>3629</v>
      </c>
      <c r="S1414" s="142" t="s">
        <v>3626</v>
      </c>
      <c r="T1414" s="141" t="s">
        <v>3630</v>
      </c>
      <c r="U1414" s="142" t="s">
        <v>1163</v>
      </c>
      <c r="V1414" s="142" t="s">
        <v>1163</v>
      </c>
      <c r="W1414" s="141">
        <f t="shared" si="45"/>
        <v>1</v>
      </c>
      <c r="X1414" s="143"/>
      <c r="Y1414" s="145"/>
      <c r="AA1414"/>
    </row>
    <row r="1415" spans="1:27" s="115" customFormat="1" ht="40.5" customHeight="1">
      <c r="A1415" s="139">
        <v>1335</v>
      </c>
      <c r="B1415" s="140" t="s">
        <v>5792</v>
      </c>
      <c r="C1415" s="141" t="s">
        <v>2149</v>
      </c>
      <c r="D1415" s="142" t="s">
        <v>2150</v>
      </c>
      <c r="E1415" s="141" t="s">
        <v>2223</v>
      </c>
      <c r="F1415" s="142" t="s">
        <v>2152</v>
      </c>
      <c r="G1415" s="141" t="s">
        <v>2225</v>
      </c>
      <c r="H1415" s="142" t="s">
        <v>3626</v>
      </c>
      <c r="I1415" s="141" t="s">
        <v>3627</v>
      </c>
      <c r="J1415" s="142" t="s">
        <v>1164</v>
      </c>
      <c r="K1415" s="142" t="s">
        <v>1164</v>
      </c>
      <c r="L1415" s="143">
        <f t="shared" si="44"/>
        <v>1</v>
      </c>
      <c r="M1415" s="144" t="s">
        <v>3631</v>
      </c>
      <c r="N1415" s="141" t="s">
        <v>2149</v>
      </c>
      <c r="O1415" s="142" t="s">
        <v>2150</v>
      </c>
      <c r="P1415" s="141" t="s">
        <v>2151</v>
      </c>
      <c r="Q1415" s="142" t="s">
        <v>2152</v>
      </c>
      <c r="R1415" s="141" t="s">
        <v>3629</v>
      </c>
      <c r="S1415" s="142" t="s">
        <v>3626</v>
      </c>
      <c r="T1415" s="141" t="s">
        <v>3632</v>
      </c>
      <c r="U1415" s="142" t="s">
        <v>1164</v>
      </c>
      <c r="V1415" s="142" t="s">
        <v>1164</v>
      </c>
      <c r="W1415" s="141">
        <f t="shared" si="45"/>
        <v>1</v>
      </c>
      <c r="X1415" s="143"/>
      <c r="Y1415" s="145"/>
      <c r="AA1415"/>
    </row>
    <row r="1416" spans="1:27" s="115" customFormat="1" ht="40.5" customHeight="1">
      <c r="A1416" s="139">
        <v>1336</v>
      </c>
      <c r="B1416" s="140" t="s">
        <v>5793</v>
      </c>
      <c r="C1416" s="141" t="s">
        <v>2149</v>
      </c>
      <c r="D1416" s="142" t="s">
        <v>2150</v>
      </c>
      <c r="E1416" s="141" t="s">
        <v>2223</v>
      </c>
      <c r="F1416" s="142" t="s">
        <v>3633</v>
      </c>
      <c r="G1416" s="141" t="s">
        <v>2225</v>
      </c>
      <c r="H1416" s="142" t="s">
        <v>3634</v>
      </c>
      <c r="I1416" s="141" t="s">
        <v>2226</v>
      </c>
      <c r="J1416" s="142" t="s">
        <v>3635</v>
      </c>
      <c r="K1416" s="142" t="s">
        <v>1165</v>
      </c>
      <c r="L1416" s="143">
        <f t="shared" si="44"/>
        <v>1</v>
      </c>
      <c r="M1416" s="144" t="s">
        <v>3636</v>
      </c>
      <c r="N1416" s="141" t="s">
        <v>2149</v>
      </c>
      <c r="O1416" s="142" t="s">
        <v>2150</v>
      </c>
      <c r="P1416" s="141" t="s">
        <v>2223</v>
      </c>
      <c r="Q1416" s="142" t="s">
        <v>3633</v>
      </c>
      <c r="R1416" s="141" t="s">
        <v>3488</v>
      </c>
      <c r="S1416" s="142" t="s">
        <v>3634</v>
      </c>
      <c r="T1416" s="141" t="s">
        <v>3490</v>
      </c>
      <c r="U1416" s="142" t="s">
        <v>3635</v>
      </c>
      <c r="V1416" s="142" t="s">
        <v>1165</v>
      </c>
      <c r="W1416" s="141">
        <f t="shared" si="45"/>
        <v>1</v>
      </c>
      <c r="X1416" s="143"/>
      <c r="Y1416" s="145"/>
      <c r="AA1416"/>
    </row>
    <row r="1417" spans="1:27" s="115" customFormat="1" ht="40.5" customHeight="1">
      <c r="A1417" s="139">
        <v>1337</v>
      </c>
      <c r="B1417" s="140" t="s">
        <v>5795</v>
      </c>
      <c r="C1417" s="141" t="s">
        <v>2149</v>
      </c>
      <c r="D1417" s="142" t="s">
        <v>2150</v>
      </c>
      <c r="E1417" s="141" t="s">
        <v>2223</v>
      </c>
      <c r="F1417" s="142" t="s">
        <v>3633</v>
      </c>
      <c r="G1417" s="141" t="s">
        <v>2225</v>
      </c>
      <c r="H1417" s="142" t="s">
        <v>3634</v>
      </c>
      <c r="I1417" s="141" t="s">
        <v>2226</v>
      </c>
      <c r="J1417" s="142" t="s">
        <v>1166</v>
      </c>
      <c r="K1417" s="142" t="s">
        <v>1166</v>
      </c>
      <c r="L1417" s="143">
        <f t="shared" si="44"/>
        <v>1</v>
      </c>
      <c r="M1417" s="144" t="s">
        <v>3637</v>
      </c>
      <c r="N1417" s="141" t="s">
        <v>2149</v>
      </c>
      <c r="O1417" s="142" t="s">
        <v>2150</v>
      </c>
      <c r="P1417" s="141" t="s">
        <v>2223</v>
      </c>
      <c r="Q1417" s="142" t="s">
        <v>3633</v>
      </c>
      <c r="R1417" s="141" t="s">
        <v>3488</v>
      </c>
      <c r="S1417" s="142" t="s">
        <v>3634</v>
      </c>
      <c r="T1417" s="141" t="s">
        <v>3511</v>
      </c>
      <c r="U1417" s="142" t="s">
        <v>1166</v>
      </c>
      <c r="V1417" s="142" t="s">
        <v>1166</v>
      </c>
      <c r="W1417" s="141">
        <f t="shared" si="45"/>
        <v>1</v>
      </c>
      <c r="X1417" s="143"/>
      <c r="Y1417" s="145"/>
      <c r="AA1417"/>
    </row>
    <row r="1418" spans="1:27" s="115" customFormat="1" ht="40.5" customHeight="1">
      <c r="A1418" s="139">
        <v>1338</v>
      </c>
      <c r="B1418" s="140" t="s">
        <v>5796</v>
      </c>
      <c r="C1418" s="141" t="s">
        <v>2149</v>
      </c>
      <c r="D1418" s="142" t="s">
        <v>2150</v>
      </c>
      <c r="E1418" s="141" t="s">
        <v>2223</v>
      </c>
      <c r="F1418" s="142" t="s">
        <v>3633</v>
      </c>
      <c r="G1418" s="141" t="s">
        <v>2225</v>
      </c>
      <c r="H1418" s="142" t="s">
        <v>1167</v>
      </c>
      <c r="I1418" s="141" t="s">
        <v>2226</v>
      </c>
      <c r="J1418" s="142" t="s">
        <v>1167</v>
      </c>
      <c r="K1418" s="142" t="s">
        <v>1167</v>
      </c>
      <c r="L1418" s="143">
        <f t="shared" si="44"/>
        <v>1</v>
      </c>
      <c r="M1418" s="144" t="s">
        <v>3638</v>
      </c>
      <c r="N1418" s="146" t="s">
        <v>2149</v>
      </c>
      <c r="O1418" s="147" t="s">
        <v>2150</v>
      </c>
      <c r="P1418" s="146" t="s">
        <v>2223</v>
      </c>
      <c r="Q1418" s="147" t="s">
        <v>3633</v>
      </c>
      <c r="R1418" s="146" t="s">
        <v>3517</v>
      </c>
      <c r="S1418" s="147" t="s">
        <v>1167</v>
      </c>
      <c r="T1418" s="146" t="s">
        <v>3519</v>
      </c>
      <c r="U1418" s="147" t="s">
        <v>1167</v>
      </c>
      <c r="V1418" s="147" t="s">
        <v>1167</v>
      </c>
      <c r="W1418" s="141">
        <f t="shared" si="45"/>
        <v>1</v>
      </c>
      <c r="X1418" s="143"/>
      <c r="Y1418" s="145"/>
      <c r="AA1418"/>
    </row>
    <row r="1419" spans="1:27" s="115" customFormat="1" ht="40.5" customHeight="1">
      <c r="A1419" s="139">
        <v>1339</v>
      </c>
      <c r="B1419" s="140" t="s">
        <v>5801</v>
      </c>
      <c r="C1419" s="141" t="s">
        <v>2149</v>
      </c>
      <c r="D1419" s="142" t="s">
        <v>2150</v>
      </c>
      <c r="E1419" s="141" t="s">
        <v>2223</v>
      </c>
      <c r="F1419" s="142" t="s">
        <v>2152</v>
      </c>
      <c r="G1419" s="141" t="s">
        <v>2225</v>
      </c>
      <c r="H1419" s="142" t="s">
        <v>2154</v>
      </c>
      <c r="I1419" s="141" t="s">
        <v>3639</v>
      </c>
      <c r="J1419" s="142" t="s">
        <v>2148</v>
      </c>
      <c r="K1419" s="142" t="s">
        <v>289</v>
      </c>
      <c r="L1419" s="143">
        <f t="shared" si="44"/>
        <v>1</v>
      </c>
      <c r="M1419" s="144" t="s">
        <v>3640</v>
      </c>
      <c r="N1419" s="141" t="s">
        <v>2149</v>
      </c>
      <c r="O1419" s="142" t="s">
        <v>2150</v>
      </c>
      <c r="P1419" s="141" t="s">
        <v>2151</v>
      </c>
      <c r="Q1419" s="142" t="s">
        <v>2152</v>
      </c>
      <c r="R1419" s="141" t="s">
        <v>2153</v>
      </c>
      <c r="S1419" s="142" t="s">
        <v>2154</v>
      </c>
      <c r="T1419" s="141" t="s">
        <v>2155</v>
      </c>
      <c r="U1419" s="142" t="s">
        <v>2148</v>
      </c>
      <c r="V1419" s="142" t="s">
        <v>289</v>
      </c>
      <c r="W1419" s="141">
        <f t="shared" si="45"/>
        <v>2</v>
      </c>
      <c r="X1419" s="143">
        <v>1</v>
      </c>
      <c r="Y1419" s="145"/>
      <c r="AA1419"/>
    </row>
    <row r="1420" spans="1:27" s="115" customFormat="1" ht="40.5" customHeight="1">
      <c r="A1420" s="139">
        <v>1340</v>
      </c>
      <c r="B1420" s="140" t="s">
        <v>5802</v>
      </c>
      <c r="C1420" s="141" t="s">
        <v>2149</v>
      </c>
      <c r="D1420" s="142" t="s">
        <v>2150</v>
      </c>
      <c r="E1420" s="141" t="s">
        <v>2223</v>
      </c>
      <c r="F1420" s="142" t="s">
        <v>2152</v>
      </c>
      <c r="G1420" s="141" t="s">
        <v>2225</v>
      </c>
      <c r="H1420" s="142" t="s">
        <v>2154</v>
      </c>
      <c r="I1420" s="141" t="s">
        <v>3641</v>
      </c>
      <c r="J1420" s="142" t="s">
        <v>2148</v>
      </c>
      <c r="K1420" s="142" t="s">
        <v>1153</v>
      </c>
      <c r="L1420" s="143">
        <f t="shared" si="44"/>
        <v>1</v>
      </c>
      <c r="M1420" s="144" t="s">
        <v>3588</v>
      </c>
      <c r="N1420" s="141" t="s">
        <v>2149</v>
      </c>
      <c r="O1420" s="142" t="s">
        <v>2150</v>
      </c>
      <c r="P1420" s="141" t="s">
        <v>2151</v>
      </c>
      <c r="Q1420" s="142" t="s">
        <v>2152</v>
      </c>
      <c r="R1420" s="141" t="s">
        <v>2153</v>
      </c>
      <c r="S1420" s="142" t="s">
        <v>2154</v>
      </c>
      <c r="T1420" s="141" t="s">
        <v>2155</v>
      </c>
      <c r="U1420" s="142" t="s">
        <v>2148</v>
      </c>
      <c r="V1420" s="142" t="s">
        <v>1153</v>
      </c>
      <c r="W1420" s="141">
        <f t="shared" si="45"/>
        <v>7</v>
      </c>
      <c r="X1420" s="143"/>
      <c r="Y1420" s="145" t="s">
        <v>3642</v>
      </c>
      <c r="AA1420"/>
    </row>
    <row r="1421" spans="1:27" s="115" customFormat="1" ht="40.5" customHeight="1">
      <c r="A1421" s="139">
        <v>1341</v>
      </c>
      <c r="B1421" s="140" t="s">
        <v>5803</v>
      </c>
      <c r="C1421" s="141" t="s">
        <v>2149</v>
      </c>
      <c r="D1421" s="142" t="s">
        <v>2150</v>
      </c>
      <c r="E1421" s="141" t="s">
        <v>2223</v>
      </c>
      <c r="F1421" s="142" t="s">
        <v>2152</v>
      </c>
      <c r="G1421" s="141" t="s">
        <v>2225</v>
      </c>
      <c r="H1421" s="142" t="s">
        <v>2154</v>
      </c>
      <c r="I1421" s="141" t="s">
        <v>3641</v>
      </c>
      <c r="J1421" s="142" t="s">
        <v>2148</v>
      </c>
      <c r="K1421" s="142" t="s">
        <v>1153</v>
      </c>
      <c r="L1421" s="143">
        <f t="shared" si="44"/>
        <v>1</v>
      </c>
      <c r="M1421" s="144" t="s">
        <v>3588</v>
      </c>
      <c r="N1421" s="141" t="s">
        <v>2149</v>
      </c>
      <c r="O1421" s="142" t="s">
        <v>2150</v>
      </c>
      <c r="P1421" s="141" t="s">
        <v>2151</v>
      </c>
      <c r="Q1421" s="142" t="s">
        <v>2152</v>
      </c>
      <c r="R1421" s="141" t="s">
        <v>2153</v>
      </c>
      <c r="S1421" s="142" t="s">
        <v>2154</v>
      </c>
      <c r="T1421" s="141" t="s">
        <v>2155</v>
      </c>
      <c r="U1421" s="142" t="s">
        <v>2148</v>
      </c>
      <c r="V1421" s="142" t="s">
        <v>1153</v>
      </c>
      <c r="W1421" s="141">
        <f t="shared" si="45"/>
        <v>7</v>
      </c>
      <c r="X1421" s="143"/>
      <c r="Y1421" s="145" t="s">
        <v>3643</v>
      </c>
      <c r="AA1421"/>
    </row>
    <row r="1422" spans="1:27" s="115" customFormat="1" ht="40.5" customHeight="1">
      <c r="A1422" s="139">
        <v>1342</v>
      </c>
      <c r="B1422" s="140" t="s">
        <v>5804</v>
      </c>
      <c r="C1422" s="141" t="s">
        <v>2149</v>
      </c>
      <c r="D1422" s="142" t="s">
        <v>2150</v>
      </c>
      <c r="E1422" s="141" t="s">
        <v>2223</v>
      </c>
      <c r="F1422" s="142" t="s">
        <v>2152</v>
      </c>
      <c r="G1422" s="141" t="s">
        <v>2225</v>
      </c>
      <c r="H1422" s="142" t="s">
        <v>2154</v>
      </c>
      <c r="I1422" s="141" t="s">
        <v>3641</v>
      </c>
      <c r="J1422" s="142" t="s">
        <v>2148</v>
      </c>
      <c r="K1422" s="142" t="s">
        <v>1153</v>
      </c>
      <c r="L1422" s="143">
        <f t="shared" si="44"/>
        <v>1</v>
      </c>
      <c r="M1422" s="144" t="s">
        <v>3588</v>
      </c>
      <c r="N1422" s="141" t="s">
        <v>2149</v>
      </c>
      <c r="O1422" s="142" t="s">
        <v>2150</v>
      </c>
      <c r="P1422" s="141" t="s">
        <v>2151</v>
      </c>
      <c r="Q1422" s="142" t="s">
        <v>2152</v>
      </c>
      <c r="R1422" s="141" t="s">
        <v>2153</v>
      </c>
      <c r="S1422" s="142" t="s">
        <v>2154</v>
      </c>
      <c r="T1422" s="141" t="s">
        <v>2155</v>
      </c>
      <c r="U1422" s="142" t="s">
        <v>2148</v>
      </c>
      <c r="V1422" s="142" t="s">
        <v>1153</v>
      </c>
      <c r="W1422" s="141">
        <f t="shared" si="45"/>
        <v>7</v>
      </c>
      <c r="X1422" s="143"/>
      <c r="Y1422" s="145" t="s">
        <v>3644</v>
      </c>
      <c r="AA1422"/>
    </row>
    <row r="1423" spans="1:27" s="115" customFormat="1" ht="40.5" customHeight="1">
      <c r="A1423" s="139">
        <v>1343</v>
      </c>
      <c r="B1423" s="140" t="s">
        <v>5805</v>
      </c>
      <c r="C1423" s="141" t="s">
        <v>2149</v>
      </c>
      <c r="D1423" s="142" t="s">
        <v>2150</v>
      </c>
      <c r="E1423" s="141" t="s">
        <v>2223</v>
      </c>
      <c r="F1423" s="142" t="s">
        <v>2152</v>
      </c>
      <c r="G1423" s="141" t="s">
        <v>2225</v>
      </c>
      <c r="H1423" s="142" t="s">
        <v>2154</v>
      </c>
      <c r="I1423" s="141" t="s">
        <v>3641</v>
      </c>
      <c r="J1423" s="142" t="s">
        <v>2148</v>
      </c>
      <c r="K1423" s="142" t="s">
        <v>3645</v>
      </c>
      <c r="L1423" s="143">
        <f t="shared" si="44"/>
        <v>1</v>
      </c>
      <c r="M1423" s="144" t="s">
        <v>3588</v>
      </c>
      <c r="N1423" s="141" t="s">
        <v>2149</v>
      </c>
      <c r="O1423" s="142" t="s">
        <v>2150</v>
      </c>
      <c r="P1423" s="141" t="s">
        <v>2151</v>
      </c>
      <c r="Q1423" s="142" t="s">
        <v>2152</v>
      </c>
      <c r="R1423" s="141" t="s">
        <v>2153</v>
      </c>
      <c r="S1423" s="142" t="s">
        <v>2154</v>
      </c>
      <c r="T1423" s="141" t="s">
        <v>2155</v>
      </c>
      <c r="U1423" s="142" t="s">
        <v>2148</v>
      </c>
      <c r="V1423" s="142" t="s">
        <v>1153</v>
      </c>
      <c r="W1423" s="141">
        <f t="shared" si="45"/>
        <v>7</v>
      </c>
      <c r="X1423" s="143"/>
      <c r="Y1423" s="145" t="s">
        <v>3646</v>
      </c>
      <c r="AA1423"/>
    </row>
    <row r="1424" spans="1:27" s="115" customFormat="1" ht="40.5" customHeight="1">
      <c r="A1424" s="139">
        <v>1344</v>
      </c>
      <c r="B1424" s="140" t="s">
        <v>5806</v>
      </c>
      <c r="C1424" s="141" t="s">
        <v>2149</v>
      </c>
      <c r="D1424" s="142" t="s">
        <v>2150</v>
      </c>
      <c r="E1424" s="141" t="s">
        <v>2223</v>
      </c>
      <c r="F1424" s="142" t="s">
        <v>2152</v>
      </c>
      <c r="G1424" s="141" t="s">
        <v>2225</v>
      </c>
      <c r="H1424" s="142" t="s">
        <v>2154</v>
      </c>
      <c r="I1424" s="141" t="s">
        <v>3641</v>
      </c>
      <c r="J1424" s="142" t="s">
        <v>2148</v>
      </c>
      <c r="K1424" s="142" t="s">
        <v>3647</v>
      </c>
      <c r="L1424" s="143">
        <f t="shared" si="44"/>
        <v>1</v>
      </c>
      <c r="M1424" s="144" t="s">
        <v>3588</v>
      </c>
      <c r="N1424" s="141" t="s">
        <v>2149</v>
      </c>
      <c r="O1424" s="142" t="s">
        <v>2150</v>
      </c>
      <c r="P1424" s="141" t="s">
        <v>2151</v>
      </c>
      <c r="Q1424" s="142" t="s">
        <v>2152</v>
      </c>
      <c r="R1424" s="141" t="s">
        <v>2153</v>
      </c>
      <c r="S1424" s="142" t="s">
        <v>2154</v>
      </c>
      <c r="T1424" s="141" t="s">
        <v>2155</v>
      </c>
      <c r="U1424" s="142" t="s">
        <v>2148</v>
      </c>
      <c r="V1424" s="142" t="s">
        <v>1153</v>
      </c>
      <c r="W1424" s="141">
        <f t="shared" si="45"/>
        <v>7</v>
      </c>
      <c r="X1424" s="143">
        <v>1</v>
      </c>
      <c r="Y1424" s="145"/>
      <c r="AA1424"/>
    </row>
    <row r="1425" spans="1:27" s="115" customFormat="1" ht="40.5" customHeight="1">
      <c r="A1425" s="139">
        <v>1345</v>
      </c>
      <c r="B1425" s="140" t="s">
        <v>5807</v>
      </c>
      <c r="C1425" s="141" t="s">
        <v>2149</v>
      </c>
      <c r="D1425" s="142" t="s">
        <v>2150</v>
      </c>
      <c r="E1425" s="141" t="s">
        <v>2223</v>
      </c>
      <c r="F1425" s="142" t="s">
        <v>2152</v>
      </c>
      <c r="G1425" s="141" t="s">
        <v>2225</v>
      </c>
      <c r="H1425" s="142" t="s">
        <v>2154</v>
      </c>
      <c r="I1425" s="141" t="s">
        <v>2923</v>
      </c>
      <c r="J1425" s="142" t="s">
        <v>3648</v>
      </c>
      <c r="K1425" s="142" t="s">
        <v>290</v>
      </c>
      <c r="L1425" s="143">
        <f t="shared" si="44"/>
        <v>1</v>
      </c>
      <c r="M1425" s="144" t="s">
        <v>3649</v>
      </c>
      <c r="N1425" s="141" t="s">
        <v>2149</v>
      </c>
      <c r="O1425" s="142" t="s">
        <v>2150</v>
      </c>
      <c r="P1425" s="141" t="s">
        <v>2151</v>
      </c>
      <c r="Q1425" s="142" t="s">
        <v>2152</v>
      </c>
      <c r="R1425" s="141" t="s">
        <v>2153</v>
      </c>
      <c r="S1425" s="142" t="s">
        <v>2154</v>
      </c>
      <c r="T1425" s="141" t="s">
        <v>3650</v>
      </c>
      <c r="U1425" s="142" t="s">
        <v>3648</v>
      </c>
      <c r="V1425" s="142" t="s">
        <v>290</v>
      </c>
      <c r="W1425" s="141">
        <f t="shared" si="45"/>
        <v>2</v>
      </c>
      <c r="X1425" s="143"/>
      <c r="Y1425" s="145" t="s">
        <v>3651</v>
      </c>
      <c r="AA1425"/>
    </row>
    <row r="1426" spans="1:27" s="115" customFormat="1" ht="40.5" customHeight="1">
      <c r="A1426" s="139">
        <v>1346</v>
      </c>
      <c r="B1426" s="140" t="s">
        <v>5811</v>
      </c>
      <c r="C1426" s="141" t="s">
        <v>2149</v>
      </c>
      <c r="D1426" s="142" t="s">
        <v>2150</v>
      </c>
      <c r="E1426" s="141" t="s">
        <v>2223</v>
      </c>
      <c r="F1426" s="142" t="s">
        <v>2152</v>
      </c>
      <c r="G1426" s="141" t="s">
        <v>2225</v>
      </c>
      <c r="H1426" s="142" t="s">
        <v>2154</v>
      </c>
      <c r="I1426" s="141" t="s">
        <v>2923</v>
      </c>
      <c r="J1426" s="142" t="s">
        <v>3648</v>
      </c>
      <c r="K1426" s="142" t="s">
        <v>290</v>
      </c>
      <c r="L1426" s="143">
        <f t="shared" si="44"/>
        <v>1</v>
      </c>
      <c r="M1426" s="144" t="s">
        <v>3649</v>
      </c>
      <c r="N1426" s="141" t="s">
        <v>2149</v>
      </c>
      <c r="O1426" s="142" t="s">
        <v>2150</v>
      </c>
      <c r="P1426" s="141" t="s">
        <v>2151</v>
      </c>
      <c r="Q1426" s="142" t="s">
        <v>2152</v>
      </c>
      <c r="R1426" s="141" t="s">
        <v>2153</v>
      </c>
      <c r="S1426" s="142" t="s">
        <v>2154</v>
      </c>
      <c r="T1426" s="141" t="s">
        <v>3650</v>
      </c>
      <c r="U1426" s="142" t="s">
        <v>3648</v>
      </c>
      <c r="V1426" s="142" t="s">
        <v>290</v>
      </c>
      <c r="W1426" s="141">
        <f t="shared" si="45"/>
        <v>2</v>
      </c>
      <c r="X1426" s="143">
        <v>1</v>
      </c>
      <c r="Y1426" s="145"/>
      <c r="AA1426"/>
    </row>
    <row r="1427" spans="1:27" s="115" customFormat="1" ht="40.5" customHeight="1">
      <c r="A1427" s="139">
        <v>1347</v>
      </c>
      <c r="B1427" s="140" t="s">
        <v>5813</v>
      </c>
      <c r="C1427" s="141" t="s">
        <v>2149</v>
      </c>
      <c r="D1427" s="142" t="s">
        <v>2150</v>
      </c>
      <c r="E1427" s="141" t="s">
        <v>2223</v>
      </c>
      <c r="F1427" s="142" t="s">
        <v>2152</v>
      </c>
      <c r="G1427" s="141" t="s">
        <v>2225</v>
      </c>
      <c r="H1427" s="142" t="s">
        <v>2154</v>
      </c>
      <c r="I1427" s="141" t="s">
        <v>2923</v>
      </c>
      <c r="J1427" s="142" t="s">
        <v>2148</v>
      </c>
      <c r="K1427" s="142" t="s">
        <v>1169</v>
      </c>
      <c r="L1427" s="143">
        <f t="shared" si="44"/>
        <v>1</v>
      </c>
      <c r="M1427" s="144" t="s">
        <v>3652</v>
      </c>
      <c r="N1427" s="141" t="s">
        <v>2149</v>
      </c>
      <c r="O1427" s="142" t="s">
        <v>2150</v>
      </c>
      <c r="P1427" s="141" t="s">
        <v>2151</v>
      </c>
      <c r="Q1427" s="142" t="s">
        <v>2152</v>
      </c>
      <c r="R1427" s="141" t="s">
        <v>2153</v>
      </c>
      <c r="S1427" s="142" t="s">
        <v>2154</v>
      </c>
      <c r="T1427" s="141" t="s">
        <v>2155</v>
      </c>
      <c r="U1427" s="142" t="s">
        <v>2148</v>
      </c>
      <c r="V1427" s="142" t="s">
        <v>1169</v>
      </c>
      <c r="W1427" s="141">
        <f t="shared" si="45"/>
        <v>1</v>
      </c>
      <c r="X1427" s="143"/>
      <c r="Y1427" s="145"/>
      <c r="AA1427"/>
    </row>
    <row r="1428" spans="1:27" s="115" customFormat="1" ht="40.5" customHeight="1">
      <c r="A1428" s="139">
        <v>1348</v>
      </c>
      <c r="B1428" s="140" t="s">
        <v>5814</v>
      </c>
      <c r="C1428" s="141" t="s">
        <v>2149</v>
      </c>
      <c r="D1428" s="142" t="s">
        <v>2150</v>
      </c>
      <c r="E1428" s="141" t="s">
        <v>2223</v>
      </c>
      <c r="F1428" s="142" t="s">
        <v>2152</v>
      </c>
      <c r="G1428" s="141" t="s">
        <v>2225</v>
      </c>
      <c r="H1428" s="142" t="s">
        <v>2154</v>
      </c>
      <c r="I1428" s="141" t="s">
        <v>2923</v>
      </c>
      <c r="J1428" s="142" t="s">
        <v>3648</v>
      </c>
      <c r="K1428" s="142" t="s">
        <v>41</v>
      </c>
      <c r="L1428" s="143">
        <f t="shared" si="44"/>
        <v>1</v>
      </c>
      <c r="M1428" s="144" t="s">
        <v>3653</v>
      </c>
      <c r="N1428" s="141" t="s">
        <v>2149</v>
      </c>
      <c r="O1428" s="142" t="s">
        <v>2150</v>
      </c>
      <c r="P1428" s="141" t="s">
        <v>2151</v>
      </c>
      <c r="Q1428" s="142" t="s">
        <v>2152</v>
      </c>
      <c r="R1428" s="141" t="s">
        <v>2153</v>
      </c>
      <c r="S1428" s="142" t="s">
        <v>2154</v>
      </c>
      <c r="T1428" s="141" t="s">
        <v>3650</v>
      </c>
      <c r="U1428" s="142" t="s">
        <v>3648</v>
      </c>
      <c r="V1428" s="142" t="s">
        <v>41</v>
      </c>
      <c r="W1428" s="141">
        <f t="shared" si="45"/>
        <v>1</v>
      </c>
      <c r="X1428" s="143"/>
      <c r="Y1428" s="145"/>
      <c r="AA1428"/>
    </row>
    <row r="1429" spans="1:27" s="115" customFormat="1" ht="40.5" customHeight="1">
      <c r="A1429" s="139">
        <v>1349</v>
      </c>
      <c r="B1429" s="140" t="s">
        <v>5818</v>
      </c>
      <c r="C1429" s="141" t="s">
        <v>2149</v>
      </c>
      <c r="D1429" s="142" t="s">
        <v>2150</v>
      </c>
      <c r="E1429" s="141" t="s">
        <v>2223</v>
      </c>
      <c r="F1429" s="142" t="s">
        <v>2152</v>
      </c>
      <c r="G1429" s="141" t="s">
        <v>2225</v>
      </c>
      <c r="H1429" s="142" t="s">
        <v>2154</v>
      </c>
      <c r="I1429" s="141" t="s">
        <v>2923</v>
      </c>
      <c r="J1429" s="142" t="s">
        <v>2148</v>
      </c>
      <c r="K1429" s="142" t="s">
        <v>1170</v>
      </c>
      <c r="L1429" s="143">
        <f t="shared" si="44"/>
        <v>1</v>
      </c>
      <c r="M1429" s="144" t="s">
        <v>3654</v>
      </c>
      <c r="N1429" s="141" t="s">
        <v>2149</v>
      </c>
      <c r="O1429" s="142" t="s">
        <v>2150</v>
      </c>
      <c r="P1429" s="141" t="s">
        <v>2151</v>
      </c>
      <c r="Q1429" s="142" t="s">
        <v>2152</v>
      </c>
      <c r="R1429" s="141" t="s">
        <v>2153</v>
      </c>
      <c r="S1429" s="142" t="s">
        <v>2154</v>
      </c>
      <c r="T1429" s="141" t="s">
        <v>2155</v>
      </c>
      <c r="U1429" s="142" t="s">
        <v>2148</v>
      </c>
      <c r="V1429" s="142" t="s">
        <v>1170</v>
      </c>
      <c r="W1429" s="141">
        <f t="shared" si="45"/>
        <v>1</v>
      </c>
      <c r="X1429" s="143"/>
      <c r="Y1429" s="145"/>
      <c r="AA1429"/>
    </row>
    <row r="1430" spans="1:27" s="115" customFormat="1" ht="40.5" customHeight="1">
      <c r="A1430" s="139">
        <v>1350</v>
      </c>
      <c r="B1430" s="140" t="s">
        <v>5822</v>
      </c>
      <c r="C1430" s="141" t="s">
        <v>2149</v>
      </c>
      <c r="D1430" s="142" t="s">
        <v>2150</v>
      </c>
      <c r="E1430" s="141" t="s">
        <v>2223</v>
      </c>
      <c r="F1430" s="142" t="s">
        <v>2152</v>
      </c>
      <c r="G1430" s="141" t="s">
        <v>2225</v>
      </c>
      <c r="H1430" s="142" t="s">
        <v>2154</v>
      </c>
      <c r="I1430" s="141" t="s">
        <v>2923</v>
      </c>
      <c r="J1430" s="142" t="s">
        <v>2148</v>
      </c>
      <c r="K1430" s="142" t="s">
        <v>1153</v>
      </c>
      <c r="L1430" s="143">
        <f t="shared" si="44"/>
        <v>1</v>
      </c>
      <c r="M1430" s="144" t="s">
        <v>3588</v>
      </c>
      <c r="N1430" s="141" t="s">
        <v>2149</v>
      </c>
      <c r="O1430" s="142" t="s">
        <v>2150</v>
      </c>
      <c r="P1430" s="141" t="s">
        <v>2151</v>
      </c>
      <c r="Q1430" s="142" t="s">
        <v>2152</v>
      </c>
      <c r="R1430" s="141" t="s">
        <v>2153</v>
      </c>
      <c r="S1430" s="142" t="s">
        <v>2154</v>
      </c>
      <c r="T1430" s="141" t="s">
        <v>2155</v>
      </c>
      <c r="U1430" s="142" t="s">
        <v>2148</v>
      </c>
      <c r="V1430" s="142" t="s">
        <v>1153</v>
      </c>
      <c r="W1430" s="141">
        <f t="shared" si="45"/>
        <v>7</v>
      </c>
      <c r="X1430" s="143"/>
      <c r="Y1430" s="145" t="s">
        <v>3655</v>
      </c>
      <c r="AA1430"/>
    </row>
    <row r="1431" spans="1:27" s="115" customFormat="1" ht="40.5" customHeight="1">
      <c r="A1431" s="139">
        <v>1351</v>
      </c>
      <c r="B1431" s="140" t="s">
        <v>5825</v>
      </c>
      <c r="C1431" s="141" t="s">
        <v>2149</v>
      </c>
      <c r="D1431" s="142" t="s">
        <v>2150</v>
      </c>
      <c r="E1431" s="141" t="s">
        <v>2223</v>
      </c>
      <c r="F1431" s="142" t="s">
        <v>3567</v>
      </c>
      <c r="G1431" s="141" t="s">
        <v>2225</v>
      </c>
      <c r="H1431" s="142" t="s">
        <v>1150</v>
      </c>
      <c r="I1431" s="141" t="s">
        <v>2923</v>
      </c>
      <c r="J1431" s="142" t="s">
        <v>1150</v>
      </c>
      <c r="K1431" s="142" t="s">
        <v>1150</v>
      </c>
      <c r="L1431" s="143">
        <f t="shared" si="44"/>
        <v>1</v>
      </c>
      <c r="M1431" s="144" t="s">
        <v>3569</v>
      </c>
      <c r="N1431" s="146" t="s">
        <v>2149</v>
      </c>
      <c r="O1431" s="147" t="s">
        <v>2150</v>
      </c>
      <c r="P1431" s="146" t="s">
        <v>3570</v>
      </c>
      <c r="Q1431" s="147" t="s">
        <v>3567</v>
      </c>
      <c r="R1431" s="146" t="s">
        <v>3571</v>
      </c>
      <c r="S1431" s="147" t="s">
        <v>1150</v>
      </c>
      <c r="T1431" s="146" t="s">
        <v>3572</v>
      </c>
      <c r="U1431" s="147" t="s">
        <v>1150</v>
      </c>
      <c r="V1431" s="147" t="s">
        <v>1150</v>
      </c>
      <c r="W1431" s="141">
        <f t="shared" si="45"/>
        <v>3</v>
      </c>
      <c r="X1431" s="143">
        <v>1</v>
      </c>
      <c r="Y1431" s="145"/>
      <c r="AA1431"/>
    </row>
    <row r="1432" spans="1:27" s="115" customFormat="1" ht="40.5" customHeight="1">
      <c r="A1432" s="139">
        <v>1352</v>
      </c>
      <c r="B1432" s="140" t="s">
        <v>5826</v>
      </c>
      <c r="C1432" s="141" t="s">
        <v>2149</v>
      </c>
      <c r="D1432" s="142" t="s">
        <v>2150</v>
      </c>
      <c r="E1432" s="141" t="s">
        <v>2223</v>
      </c>
      <c r="F1432" s="142" t="s">
        <v>3633</v>
      </c>
      <c r="G1432" s="141" t="s">
        <v>2225</v>
      </c>
      <c r="H1432" s="142" t="s">
        <v>3656</v>
      </c>
      <c r="I1432" s="141" t="s">
        <v>2923</v>
      </c>
      <c r="J1432" s="142" t="s">
        <v>3656</v>
      </c>
      <c r="K1432" s="142" t="s">
        <v>3656</v>
      </c>
      <c r="L1432" s="143">
        <f t="shared" si="44"/>
        <v>1</v>
      </c>
      <c r="M1432" s="144" t="s">
        <v>3657</v>
      </c>
      <c r="N1432" s="141" t="s">
        <v>2149</v>
      </c>
      <c r="O1432" s="142" t="s">
        <v>2150</v>
      </c>
      <c r="P1432" s="141" t="s">
        <v>2223</v>
      </c>
      <c r="Q1432" s="142" t="s">
        <v>3633</v>
      </c>
      <c r="R1432" s="141" t="s">
        <v>3443</v>
      </c>
      <c r="S1432" s="142" t="s">
        <v>3656</v>
      </c>
      <c r="T1432" s="141" t="s">
        <v>3658</v>
      </c>
      <c r="U1432" s="142" t="s">
        <v>3656</v>
      </c>
      <c r="V1432" s="142" t="s">
        <v>3656</v>
      </c>
      <c r="W1432" s="141">
        <f t="shared" si="45"/>
        <v>1</v>
      </c>
      <c r="X1432" s="143"/>
      <c r="Y1432" s="145"/>
      <c r="AA1432"/>
    </row>
    <row r="1433" spans="1:27" s="115" customFormat="1" ht="40.5" customHeight="1">
      <c r="A1433" s="139">
        <v>1353</v>
      </c>
      <c r="B1433" s="140" t="s">
        <v>5827</v>
      </c>
      <c r="C1433" s="141" t="s">
        <v>2149</v>
      </c>
      <c r="D1433" s="142" t="s">
        <v>2150</v>
      </c>
      <c r="E1433" s="141" t="s">
        <v>2223</v>
      </c>
      <c r="F1433" s="142" t="s">
        <v>2152</v>
      </c>
      <c r="G1433" s="141" t="s">
        <v>2225</v>
      </c>
      <c r="H1433" s="142" t="s">
        <v>2154</v>
      </c>
      <c r="I1433" s="141" t="s">
        <v>2923</v>
      </c>
      <c r="J1433" s="142" t="s">
        <v>3648</v>
      </c>
      <c r="K1433" s="142" t="s">
        <v>1171</v>
      </c>
      <c r="L1433" s="143">
        <f t="shared" si="44"/>
        <v>1</v>
      </c>
      <c r="M1433" s="144" t="s">
        <v>3659</v>
      </c>
      <c r="N1433" s="146" t="s">
        <v>2149</v>
      </c>
      <c r="O1433" s="147" t="s">
        <v>2150</v>
      </c>
      <c r="P1433" s="146" t="s">
        <v>2151</v>
      </c>
      <c r="Q1433" s="147" t="s">
        <v>2152</v>
      </c>
      <c r="R1433" s="146" t="s">
        <v>2153</v>
      </c>
      <c r="S1433" s="147" t="s">
        <v>2154</v>
      </c>
      <c r="T1433" s="146" t="s">
        <v>3650</v>
      </c>
      <c r="U1433" s="147" t="s">
        <v>3648</v>
      </c>
      <c r="V1433" s="147" t="s">
        <v>1171</v>
      </c>
      <c r="W1433" s="141">
        <f t="shared" si="45"/>
        <v>1</v>
      </c>
      <c r="X1433" s="143"/>
      <c r="Y1433" s="145"/>
      <c r="AA1433"/>
    </row>
    <row r="1434" spans="1:27" s="115" customFormat="1" ht="40.5" customHeight="1">
      <c r="A1434" s="139">
        <v>1354</v>
      </c>
      <c r="B1434" s="140" t="s">
        <v>5828</v>
      </c>
      <c r="C1434" s="141" t="s">
        <v>2149</v>
      </c>
      <c r="D1434" s="142" t="s">
        <v>2150</v>
      </c>
      <c r="E1434" s="141" t="s">
        <v>2223</v>
      </c>
      <c r="F1434" s="142" t="s">
        <v>2152</v>
      </c>
      <c r="G1434" s="141" t="s">
        <v>2225</v>
      </c>
      <c r="H1434" s="142" t="s">
        <v>2154</v>
      </c>
      <c r="I1434" s="141" t="s">
        <v>2923</v>
      </c>
      <c r="J1434" s="142" t="s">
        <v>2148</v>
      </c>
      <c r="K1434" s="142" t="s">
        <v>1172</v>
      </c>
      <c r="L1434" s="143">
        <f t="shared" si="44"/>
        <v>1</v>
      </c>
      <c r="M1434" s="144" t="s">
        <v>3660</v>
      </c>
      <c r="N1434" s="146" t="s">
        <v>2149</v>
      </c>
      <c r="O1434" s="147" t="s">
        <v>2150</v>
      </c>
      <c r="P1434" s="146" t="s">
        <v>2151</v>
      </c>
      <c r="Q1434" s="147" t="s">
        <v>2152</v>
      </c>
      <c r="R1434" s="146" t="s">
        <v>2153</v>
      </c>
      <c r="S1434" s="147" t="s">
        <v>2154</v>
      </c>
      <c r="T1434" s="146" t="s">
        <v>2155</v>
      </c>
      <c r="U1434" s="147" t="s">
        <v>2148</v>
      </c>
      <c r="V1434" s="147" t="s">
        <v>1172</v>
      </c>
      <c r="W1434" s="141">
        <f t="shared" si="45"/>
        <v>2</v>
      </c>
      <c r="X1434" s="162">
        <v>1</v>
      </c>
      <c r="Y1434" s="145"/>
      <c r="AA1434"/>
    </row>
    <row r="1435" spans="1:27" s="115" customFormat="1" ht="27" customHeight="1">
      <c r="A1435" s="139">
        <v>1355</v>
      </c>
      <c r="B1435" s="140" t="s">
        <v>5896</v>
      </c>
      <c r="C1435" s="141" t="s">
        <v>2149</v>
      </c>
      <c r="D1435" s="142" t="s">
        <v>2150</v>
      </c>
      <c r="E1435" s="141" t="s">
        <v>2232</v>
      </c>
      <c r="F1435" s="142" t="s">
        <v>3633</v>
      </c>
      <c r="G1435" s="141" t="s">
        <v>2233</v>
      </c>
      <c r="H1435" s="142" t="s">
        <v>3634</v>
      </c>
      <c r="I1435" s="141" t="s">
        <v>3661</v>
      </c>
      <c r="J1435" s="142" t="s">
        <v>3635</v>
      </c>
      <c r="K1435" s="142" t="s">
        <v>3662</v>
      </c>
      <c r="L1435" s="143">
        <f t="shared" si="44"/>
        <v>1</v>
      </c>
      <c r="M1435" s="144" t="s">
        <v>3663</v>
      </c>
      <c r="N1435" s="141" t="s">
        <v>2149</v>
      </c>
      <c r="O1435" s="142" t="s">
        <v>2150</v>
      </c>
      <c r="P1435" s="141" t="s">
        <v>2223</v>
      </c>
      <c r="Q1435" s="142" t="s">
        <v>3633</v>
      </c>
      <c r="R1435" s="141" t="s">
        <v>3488</v>
      </c>
      <c r="S1435" s="142" t="s">
        <v>3634</v>
      </c>
      <c r="T1435" s="141" t="s">
        <v>3490</v>
      </c>
      <c r="U1435" s="142" t="s">
        <v>3635</v>
      </c>
      <c r="V1435" s="142" t="s">
        <v>1173</v>
      </c>
      <c r="W1435" s="141">
        <f t="shared" si="45"/>
        <v>1</v>
      </c>
      <c r="X1435" s="143"/>
      <c r="Y1435" s="145"/>
      <c r="AA1435"/>
    </row>
    <row r="1436" spans="1:27" s="115" customFormat="1" ht="27" customHeight="1">
      <c r="A1436" s="139">
        <v>1356</v>
      </c>
      <c r="B1436" s="140" t="s">
        <v>5989</v>
      </c>
      <c r="C1436" s="141" t="s">
        <v>2149</v>
      </c>
      <c r="D1436" s="142" t="s">
        <v>2150</v>
      </c>
      <c r="E1436" s="141" t="s">
        <v>3563</v>
      </c>
      <c r="F1436" s="142" t="s">
        <v>3567</v>
      </c>
      <c r="G1436" s="141" t="s">
        <v>3564</v>
      </c>
      <c r="H1436" s="142" t="s">
        <v>3604</v>
      </c>
      <c r="I1436" s="141" t="s">
        <v>3565</v>
      </c>
      <c r="J1436" s="142" t="s">
        <v>3606</v>
      </c>
      <c r="K1436" s="142" t="s">
        <v>275</v>
      </c>
      <c r="L1436" s="143">
        <f t="shared" ref="L1436:L1499" si="46">COUNTIF($B$5:$B$1752,B1436)</f>
        <v>1</v>
      </c>
      <c r="M1436" s="144" t="s">
        <v>3616</v>
      </c>
      <c r="N1436" s="146" t="s">
        <v>2149</v>
      </c>
      <c r="O1436" s="147" t="s">
        <v>2150</v>
      </c>
      <c r="P1436" s="146" t="s">
        <v>3570</v>
      </c>
      <c r="Q1436" s="147" t="s">
        <v>3567</v>
      </c>
      <c r="R1436" s="146" t="s">
        <v>3608</v>
      </c>
      <c r="S1436" s="147" t="s">
        <v>3604</v>
      </c>
      <c r="T1436" s="146" t="s">
        <v>3609</v>
      </c>
      <c r="U1436" s="147" t="s">
        <v>3606</v>
      </c>
      <c r="V1436" s="147" t="s">
        <v>275</v>
      </c>
      <c r="W1436" s="141">
        <f t="shared" ref="W1436:W1499" si="47">COUNTIF($M$5:$M$1756,M1436)</f>
        <v>2</v>
      </c>
      <c r="X1436" s="143"/>
      <c r="Y1436" s="145" t="s">
        <v>3664</v>
      </c>
      <c r="AA1436"/>
    </row>
    <row r="1437" spans="1:27" s="115" customFormat="1" ht="27" customHeight="1">
      <c r="A1437" s="139">
        <v>1357</v>
      </c>
      <c r="B1437" s="140" t="s">
        <v>5998</v>
      </c>
      <c r="C1437" s="141" t="s">
        <v>2149</v>
      </c>
      <c r="D1437" s="142" t="s">
        <v>2150</v>
      </c>
      <c r="E1437" s="141" t="s">
        <v>3563</v>
      </c>
      <c r="F1437" s="142" t="s">
        <v>2152</v>
      </c>
      <c r="G1437" s="141" t="s">
        <v>3564</v>
      </c>
      <c r="H1437" s="142" t="s">
        <v>3626</v>
      </c>
      <c r="I1437" s="141" t="s">
        <v>3565</v>
      </c>
      <c r="J1437" s="142" t="s">
        <v>288</v>
      </c>
      <c r="K1437" s="142" t="s">
        <v>288</v>
      </c>
      <c r="L1437" s="143">
        <f t="shared" si="46"/>
        <v>1</v>
      </c>
      <c r="M1437" s="144" t="s">
        <v>3665</v>
      </c>
      <c r="N1437" s="141" t="s">
        <v>2149</v>
      </c>
      <c r="O1437" s="142" t="s">
        <v>2150</v>
      </c>
      <c r="P1437" s="141" t="s">
        <v>2151</v>
      </c>
      <c r="Q1437" s="142" t="s">
        <v>2152</v>
      </c>
      <c r="R1437" s="141" t="s">
        <v>3629</v>
      </c>
      <c r="S1437" s="142" t="s">
        <v>3626</v>
      </c>
      <c r="T1437" s="141" t="s">
        <v>3666</v>
      </c>
      <c r="U1437" s="142" t="s">
        <v>288</v>
      </c>
      <c r="V1437" s="142" t="s">
        <v>288</v>
      </c>
      <c r="W1437" s="141">
        <f t="shared" si="47"/>
        <v>1</v>
      </c>
      <c r="X1437" s="143"/>
      <c r="Y1437" s="145"/>
      <c r="AA1437"/>
    </row>
    <row r="1438" spans="1:27" s="167" customFormat="1" ht="27" customHeight="1">
      <c r="A1438" s="139">
        <v>1358</v>
      </c>
      <c r="B1438" s="163" t="s">
        <v>5999</v>
      </c>
      <c r="C1438" s="164" t="s">
        <v>3667</v>
      </c>
      <c r="D1438" s="161" t="s">
        <v>3668</v>
      </c>
      <c r="E1438" s="164" t="s">
        <v>3563</v>
      </c>
      <c r="F1438" s="161" t="s">
        <v>3669</v>
      </c>
      <c r="G1438" s="164" t="s">
        <v>3564</v>
      </c>
      <c r="H1438" s="161" t="s">
        <v>3670</v>
      </c>
      <c r="I1438" s="164" t="s">
        <v>3565</v>
      </c>
      <c r="J1438" s="161" t="s">
        <v>3671</v>
      </c>
      <c r="K1438" s="161" t="s">
        <v>3672</v>
      </c>
      <c r="L1438" s="165">
        <f t="shared" si="46"/>
        <v>1</v>
      </c>
      <c r="M1438" s="166">
        <v>75991</v>
      </c>
      <c r="N1438" s="164" t="s">
        <v>2149</v>
      </c>
      <c r="O1438" s="161" t="s">
        <v>2150</v>
      </c>
      <c r="P1438" s="164">
        <v>75</v>
      </c>
      <c r="Q1438" s="161" t="s">
        <v>3673</v>
      </c>
      <c r="R1438" s="164">
        <v>759</v>
      </c>
      <c r="S1438" s="161" t="s">
        <v>3674</v>
      </c>
      <c r="T1438" s="164">
        <v>7599</v>
      </c>
      <c r="U1438" s="161" t="s">
        <v>2148</v>
      </c>
      <c r="V1438" s="161" t="s">
        <v>1172</v>
      </c>
      <c r="W1438" s="164">
        <f t="shared" si="47"/>
        <v>2</v>
      </c>
      <c r="X1438" s="165"/>
      <c r="Y1438" s="160" t="s">
        <v>3675</v>
      </c>
      <c r="AA1438" s="168"/>
    </row>
    <row r="1439" spans="1:27" s="115" customFormat="1" ht="27" customHeight="1">
      <c r="A1439" s="139">
        <v>1359</v>
      </c>
      <c r="B1439" s="140" t="s">
        <v>6087</v>
      </c>
      <c r="C1439" s="141" t="s">
        <v>3676</v>
      </c>
      <c r="D1439" s="142" t="s">
        <v>3677</v>
      </c>
      <c r="E1439" s="141" t="s">
        <v>3678</v>
      </c>
      <c r="F1439" s="142" t="s">
        <v>3677</v>
      </c>
      <c r="G1439" s="141" t="s">
        <v>3679</v>
      </c>
      <c r="H1439" s="142" t="s">
        <v>3680</v>
      </c>
      <c r="I1439" s="141" t="s">
        <v>3681</v>
      </c>
      <c r="J1439" s="142" t="s">
        <v>3682</v>
      </c>
      <c r="K1439" s="142" t="s">
        <v>3683</v>
      </c>
      <c r="L1439" s="143">
        <f t="shared" si="46"/>
        <v>1</v>
      </c>
      <c r="M1439" s="144" t="s">
        <v>3684</v>
      </c>
      <c r="N1439" s="141" t="s">
        <v>3676</v>
      </c>
      <c r="O1439" s="142" t="s">
        <v>3677</v>
      </c>
      <c r="P1439" s="141" t="s">
        <v>3678</v>
      </c>
      <c r="Q1439" s="142" t="s">
        <v>3677</v>
      </c>
      <c r="R1439" s="141" t="s">
        <v>3679</v>
      </c>
      <c r="S1439" s="142" t="s">
        <v>3680</v>
      </c>
      <c r="T1439" s="141" t="s">
        <v>3681</v>
      </c>
      <c r="U1439" s="142" t="s">
        <v>3682</v>
      </c>
      <c r="V1439" s="142" t="s">
        <v>3683</v>
      </c>
      <c r="W1439" s="141">
        <f t="shared" si="47"/>
        <v>1</v>
      </c>
      <c r="X1439" s="143"/>
      <c r="Y1439" s="145"/>
      <c r="AA1439"/>
    </row>
    <row r="1440" spans="1:27" s="115" customFormat="1" ht="27" customHeight="1">
      <c r="A1440" s="139">
        <v>1360</v>
      </c>
      <c r="B1440" s="140" t="s">
        <v>6088</v>
      </c>
      <c r="C1440" s="141" t="s">
        <v>3676</v>
      </c>
      <c r="D1440" s="142" t="s">
        <v>3677</v>
      </c>
      <c r="E1440" s="141" t="s">
        <v>3678</v>
      </c>
      <c r="F1440" s="142" t="s">
        <v>3677</v>
      </c>
      <c r="G1440" s="141" t="s">
        <v>3679</v>
      </c>
      <c r="H1440" s="142" t="s">
        <v>3680</v>
      </c>
      <c r="I1440" s="141" t="s">
        <v>3681</v>
      </c>
      <c r="J1440" s="142" t="s">
        <v>3682</v>
      </c>
      <c r="K1440" s="142" t="s">
        <v>3685</v>
      </c>
      <c r="L1440" s="143">
        <f t="shared" si="46"/>
        <v>1</v>
      </c>
      <c r="M1440" s="144" t="s">
        <v>3686</v>
      </c>
      <c r="N1440" s="141" t="s">
        <v>3676</v>
      </c>
      <c r="O1440" s="142" t="s">
        <v>3677</v>
      </c>
      <c r="P1440" s="141" t="s">
        <v>3678</v>
      </c>
      <c r="Q1440" s="142" t="s">
        <v>3677</v>
      </c>
      <c r="R1440" s="141" t="s">
        <v>3679</v>
      </c>
      <c r="S1440" s="142" t="s">
        <v>3680</v>
      </c>
      <c r="T1440" s="141" t="s">
        <v>3681</v>
      </c>
      <c r="U1440" s="142" t="s">
        <v>3682</v>
      </c>
      <c r="V1440" s="142" t="s">
        <v>3685</v>
      </c>
      <c r="W1440" s="141">
        <f t="shared" si="47"/>
        <v>1</v>
      </c>
      <c r="X1440" s="143"/>
      <c r="Y1440" s="145"/>
      <c r="AA1440"/>
    </row>
    <row r="1441" spans="1:27" s="115" customFormat="1" ht="27" customHeight="1">
      <c r="A1441" s="139">
        <v>1361</v>
      </c>
      <c r="B1441" s="140" t="s">
        <v>6089</v>
      </c>
      <c r="C1441" s="141" t="s">
        <v>3676</v>
      </c>
      <c r="D1441" s="142" t="s">
        <v>3677</v>
      </c>
      <c r="E1441" s="141" t="s">
        <v>3678</v>
      </c>
      <c r="F1441" s="142" t="s">
        <v>3677</v>
      </c>
      <c r="G1441" s="141" t="s">
        <v>3679</v>
      </c>
      <c r="H1441" s="142" t="s">
        <v>3680</v>
      </c>
      <c r="I1441" s="141" t="s">
        <v>3681</v>
      </c>
      <c r="J1441" s="142" t="s">
        <v>3682</v>
      </c>
      <c r="K1441" s="142" t="s">
        <v>3687</v>
      </c>
      <c r="L1441" s="143">
        <f t="shared" si="46"/>
        <v>1</v>
      </c>
      <c r="M1441" s="144" t="s">
        <v>3688</v>
      </c>
      <c r="N1441" s="141" t="s">
        <v>3676</v>
      </c>
      <c r="O1441" s="142" t="s">
        <v>3677</v>
      </c>
      <c r="P1441" s="141" t="s">
        <v>3678</v>
      </c>
      <c r="Q1441" s="142" t="s">
        <v>3677</v>
      </c>
      <c r="R1441" s="141" t="s">
        <v>3679</v>
      </c>
      <c r="S1441" s="142" t="s">
        <v>3680</v>
      </c>
      <c r="T1441" s="141" t="s">
        <v>3681</v>
      </c>
      <c r="U1441" s="142" t="s">
        <v>3682</v>
      </c>
      <c r="V1441" s="142" t="s">
        <v>3687</v>
      </c>
      <c r="W1441" s="141">
        <f t="shared" si="47"/>
        <v>1</v>
      </c>
      <c r="X1441" s="143"/>
      <c r="Y1441" s="145"/>
      <c r="AA1441"/>
    </row>
    <row r="1442" spans="1:27" s="115" customFormat="1" ht="27" customHeight="1">
      <c r="A1442" s="139">
        <v>1362</v>
      </c>
      <c r="B1442" s="140" t="s">
        <v>6090</v>
      </c>
      <c r="C1442" s="141" t="s">
        <v>3676</v>
      </c>
      <c r="D1442" s="142" t="s">
        <v>3677</v>
      </c>
      <c r="E1442" s="141" t="s">
        <v>3678</v>
      </c>
      <c r="F1442" s="142" t="s">
        <v>3677</v>
      </c>
      <c r="G1442" s="141" t="s">
        <v>3679</v>
      </c>
      <c r="H1442" s="142" t="s">
        <v>3680</v>
      </c>
      <c r="I1442" s="141" t="s">
        <v>3681</v>
      </c>
      <c r="J1442" s="142" t="s">
        <v>3682</v>
      </c>
      <c r="K1442" s="142" t="s">
        <v>3689</v>
      </c>
      <c r="L1442" s="143">
        <f t="shared" si="46"/>
        <v>1</v>
      </c>
      <c r="M1442" s="144" t="s">
        <v>3690</v>
      </c>
      <c r="N1442" s="141" t="s">
        <v>3676</v>
      </c>
      <c r="O1442" s="142" t="s">
        <v>3677</v>
      </c>
      <c r="P1442" s="141" t="s">
        <v>3678</v>
      </c>
      <c r="Q1442" s="142" t="s">
        <v>3677</v>
      </c>
      <c r="R1442" s="141" t="s">
        <v>3679</v>
      </c>
      <c r="S1442" s="142" t="s">
        <v>3680</v>
      </c>
      <c r="T1442" s="141" t="s">
        <v>3681</v>
      </c>
      <c r="U1442" s="142" t="s">
        <v>3682</v>
      </c>
      <c r="V1442" s="142" t="s">
        <v>3689</v>
      </c>
      <c r="W1442" s="141">
        <f t="shared" si="47"/>
        <v>1</v>
      </c>
      <c r="X1442" s="143"/>
      <c r="Y1442" s="145"/>
      <c r="AA1442"/>
    </row>
    <row r="1443" spans="1:27" s="115" customFormat="1" ht="27" customHeight="1">
      <c r="A1443" s="139">
        <v>1363</v>
      </c>
      <c r="B1443" s="140" t="s">
        <v>6091</v>
      </c>
      <c r="C1443" s="141" t="s">
        <v>3676</v>
      </c>
      <c r="D1443" s="142" t="s">
        <v>3677</v>
      </c>
      <c r="E1443" s="141" t="s">
        <v>3678</v>
      </c>
      <c r="F1443" s="142" t="s">
        <v>3677</v>
      </c>
      <c r="G1443" s="141" t="s">
        <v>3679</v>
      </c>
      <c r="H1443" s="142" t="s">
        <v>3680</v>
      </c>
      <c r="I1443" s="141" t="s">
        <v>3681</v>
      </c>
      <c r="J1443" s="142" t="s">
        <v>3682</v>
      </c>
      <c r="K1443" s="142" t="s">
        <v>3691</v>
      </c>
      <c r="L1443" s="143">
        <f t="shared" si="46"/>
        <v>1</v>
      </c>
      <c r="M1443" s="144" t="s">
        <v>3692</v>
      </c>
      <c r="N1443" s="141" t="s">
        <v>3676</v>
      </c>
      <c r="O1443" s="142" t="s">
        <v>3677</v>
      </c>
      <c r="P1443" s="141" t="s">
        <v>3678</v>
      </c>
      <c r="Q1443" s="142" t="s">
        <v>3677</v>
      </c>
      <c r="R1443" s="141" t="s">
        <v>3679</v>
      </c>
      <c r="S1443" s="142" t="s">
        <v>3680</v>
      </c>
      <c r="T1443" s="141" t="s">
        <v>3681</v>
      </c>
      <c r="U1443" s="142" t="s">
        <v>3682</v>
      </c>
      <c r="V1443" s="142" t="s">
        <v>3691</v>
      </c>
      <c r="W1443" s="141">
        <f t="shared" si="47"/>
        <v>1</v>
      </c>
      <c r="X1443" s="143"/>
      <c r="Y1443" s="145"/>
      <c r="AA1443"/>
    </row>
    <row r="1444" spans="1:27" s="115" customFormat="1" ht="27" customHeight="1">
      <c r="A1444" s="139">
        <v>1364</v>
      </c>
      <c r="B1444" s="140" t="s">
        <v>6092</v>
      </c>
      <c r="C1444" s="141" t="s">
        <v>3676</v>
      </c>
      <c r="D1444" s="142" t="s">
        <v>3677</v>
      </c>
      <c r="E1444" s="141" t="s">
        <v>3678</v>
      </c>
      <c r="F1444" s="142" t="s">
        <v>3677</v>
      </c>
      <c r="G1444" s="141" t="s">
        <v>3679</v>
      </c>
      <c r="H1444" s="142" t="s">
        <v>3680</v>
      </c>
      <c r="I1444" s="141" t="s">
        <v>3693</v>
      </c>
      <c r="J1444" s="142" t="s">
        <v>3694</v>
      </c>
      <c r="K1444" s="142" t="s">
        <v>3694</v>
      </c>
      <c r="L1444" s="143">
        <f t="shared" si="46"/>
        <v>1</v>
      </c>
      <c r="M1444" s="144" t="s">
        <v>3695</v>
      </c>
      <c r="N1444" s="141" t="s">
        <v>3676</v>
      </c>
      <c r="O1444" s="142" t="s">
        <v>3677</v>
      </c>
      <c r="P1444" s="141" t="s">
        <v>3678</v>
      </c>
      <c r="Q1444" s="142" t="s">
        <v>3677</v>
      </c>
      <c r="R1444" s="141" t="s">
        <v>3679</v>
      </c>
      <c r="S1444" s="142" t="s">
        <v>3680</v>
      </c>
      <c r="T1444" s="141" t="s">
        <v>3693</v>
      </c>
      <c r="U1444" s="142" t="s">
        <v>3694</v>
      </c>
      <c r="V1444" s="142" t="s">
        <v>3694</v>
      </c>
      <c r="W1444" s="141">
        <f t="shared" si="47"/>
        <v>1</v>
      </c>
      <c r="X1444" s="143"/>
      <c r="Y1444" s="145"/>
      <c r="AA1444"/>
    </row>
    <row r="1445" spans="1:27" s="115" customFormat="1" ht="27" customHeight="1">
      <c r="A1445" s="139">
        <v>1365</v>
      </c>
      <c r="B1445" s="140" t="s">
        <v>6093</v>
      </c>
      <c r="C1445" s="141" t="s">
        <v>3676</v>
      </c>
      <c r="D1445" s="142" t="s">
        <v>3677</v>
      </c>
      <c r="E1445" s="141" t="s">
        <v>3678</v>
      </c>
      <c r="F1445" s="142" t="s">
        <v>3677</v>
      </c>
      <c r="G1445" s="141" t="s">
        <v>3696</v>
      </c>
      <c r="H1445" s="142" t="s">
        <v>3697</v>
      </c>
      <c r="I1445" s="141" t="s">
        <v>3698</v>
      </c>
      <c r="J1445" s="142" t="s">
        <v>3699</v>
      </c>
      <c r="K1445" s="142" t="s">
        <v>3700</v>
      </c>
      <c r="L1445" s="143">
        <f t="shared" si="46"/>
        <v>1</v>
      </c>
      <c r="M1445" s="144" t="s">
        <v>3701</v>
      </c>
      <c r="N1445" s="141" t="s">
        <v>3676</v>
      </c>
      <c r="O1445" s="142" t="s">
        <v>3677</v>
      </c>
      <c r="P1445" s="141" t="s">
        <v>3678</v>
      </c>
      <c r="Q1445" s="142" t="s">
        <v>3677</v>
      </c>
      <c r="R1445" s="141" t="s">
        <v>3696</v>
      </c>
      <c r="S1445" s="142" t="s">
        <v>3697</v>
      </c>
      <c r="T1445" s="141" t="s">
        <v>3698</v>
      </c>
      <c r="U1445" s="142" t="s">
        <v>3699</v>
      </c>
      <c r="V1445" s="142" t="s">
        <v>3700</v>
      </c>
      <c r="W1445" s="141">
        <f t="shared" si="47"/>
        <v>1</v>
      </c>
      <c r="X1445" s="143"/>
      <c r="Y1445" s="145"/>
      <c r="AA1445"/>
    </row>
    <row r="1446" spans="1:27" s="115" customFormat="1" ht="27" customHeight="1">
      <c r="A1446" s="139">
        <v>1366</v>
      </c>
      <c r="B1446" s="140" t="s">
        <v>6094</v>
      </c>
      <c r="C1446" s="141" t="s">
        <v>3676</v>
      </c>
      <c r="D1446" s="142" t="s">
        <v>3677</v>
      </c>
      <c r="E1446" s="141" t="s">
        <v>3678</v>
      </c>
      <c r="F1446" s="142" t="s">
        <v>3677</v>
      </c>
      <c r="G1446" s="141" t="s">
        <v>3696</v>
      </c>
      <c r="H1446" s="142" t="s">
        <v>3697</v>
      </c>
      <c r="I1446" s="141" t="s">
        <v>3698</v>
      </c>
      <c r="J1446" s="142" t="s">
        <v>3699</v>
      </c>
      <c r="K1446" s="142" t="s">
        <v>3702</v>
      </c>
      <c r="L1446" s="143">
        <f t="shared" si="46"/>
        <v>1</v>
      </c>
      <c r="M1446" s="144" t="s">
        <v>3703</v>
      </c>
      <c r="N1446" s="141" t="s">
        <v>3676</v>
      </c>
      <c r="O1446" s="142" t="s">
        <v>3677</v>
      </c>
      <c r="P1446" s="141" t="s">
        <v>3678</v>
      </c>
      <c r="Q1446" s="142" t="s">
        <v>3677</v>
      </c>
      <c r="R1446" s="141" t="s">
        <v>3696</v>
      </c>
      <c r="S1446" s="142" t="s">
        <v>3697</v>
      </c>
      <c r="T1446" s="141" t="s">
        <v>3698</v>
      </c>
      <c r="U1446" s="142" t="s">
        <v>3699</v>
      </c>
      <c r="V1446" s="142" t="s">
        <v>3702</v>
      </c>
      <c r="W1446" s="141">
        <f t="shared" si="47"/>
        <v>1</v>
      </c>
      <c r="X1446" s="143"/>
      <c r="Y1446" s="145"/>
      <c r="AA1446"/>
    </row>
    <row r="1447" spans="1:27" s="115" customFormat="1" ht="27" customHeight="1">
      <c r="A1447" s="139">
        <v>1367</v>
      </c>
      <c r="B1447" s="140" t="s">
        <v>6095</v>
      </c>
      <c r="C1447" s="141" t="s">
        <v>3676</v>
      </c>
      <c r="D1447" s="142" t="s">
        <v>3677</v>
      </c>
      <c r="E1447" s="141" t="s">
        <v>3678</v>
      </c>
      <c r="F1447" s="142" t="s">
        <v>3677</v>
      </c>
      <c r="G1447" s="141" t="s">
        <v>3696</v>
      </c>
      <c r="H1447" s="142" t="s">
        <v>3697</v>
      </c>
      <c r="I1447" s="141" t="s">
        <v>3698</v>
      </c>
      <c r="J1447" s="142" t="s">
        <v>3699</v>
      </c>
      <c r="K1447" s="142" t="s">
        <v>3704</v>
      </c>
      <c r="L1447" s="143">
        <f t="shared" si="46"/>
        <v>1</v>
      </c>
      <c r="M1447" s="144" t="s">
        <v>3705</v>
      </c>
      <c r="N1447" s="141" t="s">
        <v>3676</v>
      </c>
      <c r="O1447" s="142" t="s">
        <v>3677</v>
      </c>
      <c r="P1447" s="141" t="s">
        <v>3678</v>
      </c>
      <c r="Q1447" s="142" t="s">
        <v>3677</v>
      </c>
      <c r="R1447" s="141" t="s">
        <v>3696</v>
      </c>
      <c r="S1447" s="142" t="s">
        <v>3697</v>
      </c>
      <c r="T1447" s="141" t="s">
        <v>3698</v>
      </c>
      <c r="U1447" s="142" t="s">
        <v>3699</v>
      </c>
      <c r="V1447" s="142" t="s">
        <v>3704</v>
      </c>
      <c r="W1447" s="141">
        <f t="shared" si="47"/>
        <v>1</v>
      </c>
      <c r="X1447" s="143"/>
      <c r="Y1447" s="145"/>
      <c r="AA1447"/>
    </row>
    <row r="1448" spans="1:27" s="115" customFormat="1" ht="27" customHeight="1">
      <c r="A1448" s="139">
        <v>1368</v>
      </c>
      <c r="B1448" s="140" t="s">
        <v>6096</v>
      </c>
      <c r="C1448" s="141" t="s">
        <v>3676</v>
      </c>
      <c r="D1448" s="142" t="s">
        <v>3677</v>
      </c>
      <c r="E1448" s="141" t="s">
        <v>3678</v>
      </c>
      <c r="F1448" s="142" t="s">
        <v>3677</v>
      </c>
      <c r="G1448" s="141" t="s">
        <v>3696</v>
      </c>
      <c r="H1448" s="142" t="s">
        <v>3697</v>
      </c>
      <c r="I1448" s="141" t="s">
        <v>3698</v>
      </c>
      <c r="J1448" s="142" t="s">
        <v>3699</v>
      </c>
      <c r="K1448" s="142" t="s">
        <v>3706</v>
      </c>
      <c r="L1448" s="143">
        <f t="shared" si="46"/>
        <v>1</v>
      </c>
      <c r="M1448" s="144" t="s">
        <v>3707</v>
      </c>
      <c r="N1448" s="141" t="s">
        <v>3676</v>
      </c>
      <c r="O1448" s="142" t="s">
        <v>3677</v>
      </c>
      <c r="P1448" s="141" t="s">
        <v>3678</v>
      </c>
      <c r="Q1448" s="142" t="s">
        <v>3677</v>
      </c>
      <c r="R1448" s="141" t="s">
        <v>3696</v>
      </c>
      <c r="S1448" s="142" t="s">
        <v>3697</v>
      </c>
      <c r="T1448" s="141" t="s">
        <v>3698</v>
      </c>
      <c r="U1448" s="142" t="s">
        <v>3699</v>
      </c>
      <c r="V1448" s="142" t="s">
        <v>3706</v>
      </c>
      <c r="W1448" s="141">
        <f t="shared" si="47"/>
        <v>1</v>
      </c>
      <c r="X1448" s="143"/>
      <c r="Y1448" s="145"/>
      <c r="AA1448"/>
    </row>
    <row r="1449" spans="1:27" s="115" customFormat="1" ht="27" customHeight="1">
      <c r="A1449" s="139">
        <v>1369</v>
      </c>
      <c r="B1449" s="140" t="s">
        <v>6097</v>
      </c>
      <c r="C1449" s="141" t="s">
        <v>3676</v>
      </c>
      <c r="D1449" s="142" t="s">
        <v>3677</v>
      </c>
      <c r="E1449" s="141" t="s">
        <v>3678</v>
      </c>
      <c r="F1449" s="142" t="s">
        <v>3677</v>
      </c>
      <c r="G1449" s="141" t="s">
        <v>3696</v>
      </c>
      <c r="H1449" s="142" t="s">
        <v>3697</v>
      </c>
      <c r="I1449" s="141" t="s">
        <v>3698</v>
      </c>
      <c r="J1449" s="142" t="s">
        <v>3699</v>
      </c>
      <c r="K1449" s="142" t="s">
        <v>3708</v>
      </c>
      <c r="L1449" s="143">
        <f t="shared" si="46"/>
        <v>1</v>
      </c>
      <c r="M1449" s="144" t="s">
        <v>3709</v>
      </c>
      <c r="N1449" s="141" t="s">
        <v>3676</v>
      </c>
      <c r="O1449" s="142" t="s">
        <v>3677</v>
      </c>
      <c r="P1449" s="141" t="s">
        <v>3678</v>
      </c>
      <c r="Q1449" s="142" t="s">
        <v>3677</v>
      </c>
      <c r="R1449" s="141" t="s">
        <v>3696</v>
      </c>
      <c r="S1449" s="142" t="s">
        <v>3697</v>
      </c>
      <c r="T1449" s="141" t="s">
        <v>3698</v>
      </c>
      <c r="U1449" s="142" t="s">
        <v>3699</v>
      </c>
      <c r="V1449" s="142" t="s">
        <v>3708</v>
      </c>
      <c r="W1449" s="141">
        <f t="shared" si="47"/>
        <v>1</v>
      </c>
      <c r="X1449" s="143"/>
      <c r="Y1449" s="145"/>
      <c r="AA1449"/>
    </row>
    <row r="1450" spans="1:27" s="115" customFormat="1" ht="27" customHeight="1">
      <c r="A1450" s="139">
        <v>1370</v>
      </c>
      <c r="B1450" s="140" t="s">
        <v>6098</v>
      </c>
      <c r="C1450" s="141" t="s">
        <v>3676</v>
      </c>
      <c r="D1450" s="142" t="s">
        <v>3677</v>
      </c>
      <c r="E1450" s="141" t="s">
        <v>3678</v>
      </c>
      <c r="F1450" s="142" t="s">
        <v>3677</v>
      </c>
      <c r="G1450" s="141" t="s">
        <v>3696</v>
      </c>
      <c r="H1450" s="142" t="s">
        <v>3697</v>
      </c>
      <c r="I1450" s="141" t="s">
        <v>3710</v>
      </c>
      <c r="J1450" s="142" t="s">
        <v>3711</v>
      </c>
      <c r="K1450" s="142" t="s">
        <v>3712</v>
      </c>
      <c r="L1450" s="143">
        <f t="shared" si="46"/>
        <v>1</v>
      </c>
      <c r="M1450" s="144" t="s">
        <v>3713</v>
      </c>
      <c r="N1450" s="141" t="s">
        <v>3676</v>
      </c>
      <c r="O1450" s="142" t="s">
        <v>3677</v>
      </c>
      <c r="P1450" s="141" t="s">
        <v>3678</v>
      </c>
      <c r="Q1450" s="142" t="s">
        <v>3677</v>
      </c>
      <c r="R1450" s="141" t="s">
        <v>3696</v>
      </c>
      <c r="S1450" s="142" t="s">
        <v>3697</v>
      </c>
      <c r="T1450" s="141" t="s">
        <v>3710</v>
      </c>
      <c r="U1450" s="142" t="s">
        <v>3711</v>
      </c>
      <c r="V1450" s="142" t="s">
        <v>3712</v>
      </c>
      <c r="W1450" s="141">
        <f t="shared" si="47"/>
        <v>1</v>
      </c>
      <c r="X1450" s="143"/>
      <c r="Y1450" s="145"/>
      <c r="AA1450"/>
    </row>
    <row r="1451" spans="1:27" s="115" customFormat="1" ht="27" customHeight="1">
      <c r="A1451" s="139">
        <v>1371</v>
      </c>
      <c r="B1451" s="140" t="s">
        <v>6099</v>
      </c>
      <c r="C1451" s="141" t="s">
        <v>3676</v>
      </c>
      <c r="D1451" s="142" t="s">
        <v>3677</v>
      </c>
      <c r="E1451" s="141" t="s">
        <v>3678</v>
      </c>
      <c r="F1451" s="142" t="s">
        <v>3677</v>
      </c>
      <c r="G1451" s="141" t="s">
        <v>3696</v>
      </c>
      <c r="H1451" s="142" t="s">
        <v>3697</v>
      </c>
      <c r="I1451" s="141" t="s">
        <v>3710</v>
      </c>
      <c r="J1451" s="142" t="s">
        <v>3711</v>
      </c>
      <c r="K1451" s="142" t="s">
        <v>3714</v>
      </c>
      <c r="L1451" s="143">
        <f t="shared" si="46"/>
        <v>1</v>
      </c>
      <c r="M1451" s="144" t="s">
        <v>3715</v>
      </c>
      <c r="N1451" s="141" t="s">
        <v>3676</v>
      </c>
      <c r="O1451" s="142" t="s">
        <v>3677</v>
      </c>
      <c r="P1451" s="141" t="s">
        <v>3678</v>
      </c>
      <c r="Q1451" s="142" t="s">
        <v>3677</v>
      </c>
      <c r="R1451" s="141" t="s">
        <v>3696</v>
      </c>
      <c r="S1451" s="142" t="s">
        <v>3697</v>
      </c>
      <c r="T1451" s="141" t="s">
        <v>3710</v>
      </c>
      <c r="U1451" s="142" t="s">
        <v>3711</v>
      </c>
      <c r="V1451" s="142" t="s">
        <v>3714</v>
      </c>
      <c r="W1451" s="141">
        <f t="shared" si="47"/>
        <v>1</v>
      </c>
      <c r="X1451" s="143"/>
      <c r="Y1451" s="145"/>
      <c r="AA1451"/>
    </row>
    <row r="1452" spans="1:27" s="115" customFormat="1" ht="27" customHeight="1">
      <c r="A1452" s="139">
        <v>1372</v>
      </c>
      <c r="B1452" s="140" t="s">
        <v>6100</v>
      </c>
      <c r="C1452" s="141" t="s">
        <v>3676</v>
      </c>
      <c r="D1452" s="142" t="s">
        <v>3677</v>
      </c>
      <c r="E1452" s="141" t="s">
        <v>3678</v>
      </c>
      <c r="F1452" s="142" t="s">
        <v>3677</v>
      </c>
      <c r="G1452" s="141" t="s">
        <v>3696</v>
      </c>
      <c r="H1452" s="142" t="s">
        <v>3697</v>
      </c>
      <c r="I1452" s="141" t="s">
        <v>3710</v>
      </c>
      <c r="J1452" s="142" t="s">
        <v>3711</v>
      </c>
      <c r="K1452" s="142" t="s">
        <v>3716</v>
      </c>
      <c r="L1452" s="143">
        <f t="shared" si="46"/>
        <v>1</v>
      </c>
      <c r="M1452" s="144" t="s">
        <v>3717</v>
      </c>
      <c r="N1452" s="141" t="s">
        <v>3676</v>
      </c>
      <c r="O1452" s="142" t="s">
        <v>3677</v>
      </c>
      <c r="P1452" s="141" t="s">
        <v>3678</v>
      </c>
      <c r="Q1452" s="142" t="s">
        <v>3677</v>
      </c>
      <c r="R1452" s="141" t="s">
        <v>3696</v>
      </c>
      <c r="S1452" s="142" t="s">
        <v>3697</v>
      </c>
      <c r="T1452" s="141" t="s">
        <v>3710</v>
      </c>
      <c r="U1452" s="142" t="s">
        <v>3711</v>
      </c>
      <c r="V1452" s="142" t="s">
        <v>3716</v>
      </c>
      <c r="W1452" s="141">
        <f t="shared" si="47"/>
        <v>1</v>
      </c>
      <c r="X1452" s="143"/>
      <c r="Y1452" s="145"/>
      <c r="AA1452"/>
    </row>
    <row r="1453" spans="1:27" s="115" customFormat="1" ht="27" customHeight="1">
      <c r="A1453" s="139">
        <v>1373</v>
      </c>
      <c r="B1453" s="140" t="s">
        <v>6101</v>
      </c>
      <c r="C1453" s="141" t="s">
        <v>3676</v>
      </c>
      <c r="D1453" s="142" t="s">
        <v>3677</v>
      </c>
      <c r="E1453" s="141" t="s">
        <v>3678</v>
      </c>
      <c r="F1453" s="142" t="s">
        <v>3677</v>
      </c>
      <c r="G1453" s="141" t="s">
        <v>3696</v>
      </c>
      <c r="H1453" s="142" t="s">
        <v>3697</v>
      </c>
      <c r="I1453" s="141" t="s">
        <v>3710</v>
      </c>
      <c r="J1453" s="142" t="s">
        <v>3711</v>
      </c>
      <c r="K1453" s="142" t="s">
        <v>3718</v>
      </c>
      <c r="L1453" s="143">
        <f t="shared" si="46"/>
        <v>1</v>
      </c>
      <c r="M1453" s="144" t="s">
        <v>3719</v>
      </c>
      <c r="N1453" s="141" t="s">
        <v>3676</v>
      </c>
      <c r="O1453" s="142" t="s">
        <v>3677</v>
      </c>
      <c r="P1453" s="141" t="s">
        <v>3678</v>
      </c>
      <c r="Q1453" s="142" t="s">
        <v>3677</v>
      </c>
      <c r="R1453" s="141" t="s">
        <v>3696</v>
      </c>
      <c r="S1453" s="142" t="s">
        <v>3697</v>
      </c>
      <c r="T1453" s="141" t="s">
        <v>3710</v>
      </c>
      <c r="U1453" s="142" t="s">
        <v>3711</v>
      </c>
      <c r="V1453" s="142" t="s">
        <v>3718</v>
      </c>
      <c r="W1453" s="141">
        <f t="shared" si="47"/>
        <v>1</v>
      </c>
      <c r="X1453" s="143"/>
      <c r="Y1453" s="145"/>
      <c r="AA1453"/>
    </row>
    <row r="1454" spans="1:27" s="115" customFormat="1" ht="27" customHeight="1">
      <c r="A1454" s="139">
        <v>1374</v>
      </c>
      <c r="B1454" s="140" t="s">
        <v>6102</v>
      </c>
      <c r="C1454" s="141" t="s">
        <v>3676</v>
      </c>
      <c r="D1454" s="142" t="s">
        <v>3677</v>
      </c>
      <c r="E1454" s="141" t="s">
        <v>3678</v>
      </c>
      <c r="F1454" s="142" t="s">
        <v>3677</v>
      </c>
      <c r="G1454" s="141" t="s">
        <v>3696</v>
      </c>
      <c r="H1454" s="142" t="s">
        <v>3697</v>
      </c>
      <c r="I1454" s="141" t="s">
        <v>3710</v>
      </c>
      <c r="J1454" s="142" t="s">
        <v>3711</v>
      </c>
      <c r="K1454" s="142" t="s">
        <v>3720</v>
      </c>
      <c r="L1454" s="143">
        <f t="shared" si="46"/>
        <v>1</v>
      </c>
      <c r="M1454" s="144" t="s">
        <v>3721</v>
      </c>
      <c r="N1454" s="141" t="s">
        <v>3676</v>
      </c>
      <c r="O1454" s="142" t="s">
        <v>3677</v>
      </c>
      <c r="P1454" s="141" t="s">
        <v>3678</v>
      </c>
      <c r="Q1454" s="142" t="s">
        <v>3677</v>
      </c>
      <c r="R1454" s="141" t="s">
        <v>3696</v>
      </c>
      <c r="S1454" s="142" t="s">
        <v>3697</v>
      </c>
      <c r="T1454" s="141" t="s">
        <v>3710</v>
      </c>
      <c r="U1454" s="142" t="s">
        <v>3711</v>
      </c>
      <c r="V1454" s="142" t="s">
        <v>3720</v>
      </c>
      <c r="W1454" s="141">
        <f t="shared" si="47"/>
        <v>1</v>
      </c>
      <c r="X1454" s="143"/>
      <c r="Y1454" s="145"/>
      <c r="AA1454"/>
    </row>
    <row r="1455" spans="1:27" s="115" customFormat="1" ht="27" customHeight="1">
      <c r="A1455" s="139">
        <v>1375</v>
      </c>
      <c r="B1455" s="140" t="s">
        <v>6103</v>
      </c>
      <c r="C1455" s="141" t="s">
        <v>3676</v>
      </c>
      <c r="D1455" s="142" t="s">
        <v>3677</v>
      </c>
      <c r="E1455" s="141" t="s">
        <v>3678</v>
      </c>
      <c r="F1455" s="142" t="s">
        <v>3677</v>
      </c>
      <c r="G1455" s="141" t="s">
        <v>3722</v>
      </c>
      <c r="H1455" s="142" t="s">
        <v>3723</v>
      </c>
      <c r="I1455" s="141" t="s">
        <v>3724</v>
      </c>
      <c r="J1455" s="142" t="s">
        <v>3725</v>
      </c>
      <c r="K1455" s="142" t="s">
        <v>3725</v>
      </c>
      <c r="L1455" s="143">
        <f t="shared" si="46"/>
        <v>1</v>
      </c>
      <c r="M1455" s="144" t="s">
        <v>3726</v>
      </c>
      <c r="N1455" s="141" t="s">
        <v>3676</v>
      </c>
      <c r="O1455" s="142" t="s">
        <v>3677</v>
      </c>
      <c r="P1455" s="141" t="s">
        <v>3678</v>
      </c>
      <c r="Q1455" s="142" t="s">
        <v>3677</v>
      </c>
      <c r="R1455" s="141" t="s">
        <v>3722</v>
      </c>
      <c r="S1455" s="142" t="s">
        <v>3723</v>
      </c>
      <c r="T1455" s="141" t="s">
        <v>3724</v>
      </c>
      <c r="U1455" s="142" t="s">
        <v>3725</v>
      </c>
      <c r="V1455" s="142" t="s">
        <v>3725</v>
      </c>
      <c r="W1455" s="141">
        <f t="shared" si="47"/>
        <v>1</v>
      </c>
      <c r="X1455" s="143"/>
      <c r="Y1455" s="145"/>
      <c r="AA1455"/>
    </row>
    <row r="1456" spans="1:27" s="115" customFormat="1" ht="27" customHeight="1">
      <c r="A1456" s="139">
        <v>1376</v>
      </c>
      <c r="B1456" s="140" t="s">
        <v>6104</v>
      </c>
      <c r="C1456" s="141" t="s">
        <v>3676</v>
      </c>
      <c r="D1456" s="142" t="s">
        <v>3677</v>
      </c>
      <c r="E1456" s="141" t="s">
        <v>3678</v>
      </c>
      <c r="F1456" s="142" t="s">
        <v>3677</v>
      </c>
      <c r="G1456" s="141" t="s">
        <v>3722</v>
      </c>
      <c r="H1456" s="142" t="s">
        <v>3723</v>
      </c>
      <c r="I1456" s="141" t="s">
        <v>3727</v>
      </c>
      <c r="J1456" s="142" t="s">
        <v>3728</v>
      </c>
      <c r="K1456" s="142" t="s">
        <v>3728</v>
      </c>
      <c r="L1456" s="143">
        <f t="shared" si="46"/>
        <v>1</v>
      </c>
      <c r="M1456" s="144" t="s">
        <v>3729</v>
      </c>
      <c r="N1456" s="141" t="s">
        <v>3676</v>
      </c>
      <c r="O1456" s="142" t="s">
        <v>3677</v>
      </c>
      <c r="P1456" s="141" t="s">
        <v>3678</v>
      </c>
      <c r="Q1456" s="142" t="s">
        <v>3677</v>
      </c>
      <c r="R1456" s="141" t="s">
        <v>3722</v>
      </c>
      <c r="S1456" s="142" t="s">
        <v>3723</v>
      </c>
      <c r="T1456" s="141" t="s">
        <v>3727</v>
      </c>
      <c r="U1456" s="142" t="s">
        <v>3728</v>
      </c>
      <c r="V1456" s="142" t="s">
        <v>3728</v>
      </c>
      <c r="W1456" s="141">
        <f t="shared" si="47"/>
        <v>1</v>
      </c>
      <c r="X1456" s="143"/>
      <c r="Y1456" s="145"/>
      <c r="AA1456"/>
    </row>
    <row r="1457" spans="1:27" s="115" customFormat="1" ht="27" customHeight="1">
      <c r="A1457" s="139">
        <v>1377</v>
      </c>
      <c r="B1457" s="140" t="s">
        <v>6105</v>
      </c>
      <c r="C1457" s="141" t="s">
        <v>3676</v>
      </c>
      <c r="D1457" s="142" t="s">
        <v>3677</v>
      </c>
      <c r="E1457" s="141" t="s">
        <v>3678</v>
      </c>
      <c r="F1457" s="142" t="s">
        <v>3677</v>
      </c>
      <c r="G1457" s="141" t="s">
        <v>3730</v>
      </c>
      <c r="H1457" s="142" t="s">
        <v>3731</v>
      </c>
      <c r="I1457" s="141" t="s">
        <v>3732</v>
      </c>
      <c r="J1457" s="142" t="s">
        <v>3731</v>
      </c>
      <c r="K1457" s="142" t="s">
        <v>3733</v>
      </c>
      <c r="L1457" s="143">
        <f t="shared" si="46"/>
        <v>1</v>
      </c>
      <c r="M1457" s="144" t="s">
        <v>3734</v>
      </c>
      <c r="N1457" s="141" t="s">
        <v>3676</v>
      </c>
      <c r="O1457" s="142" t="s">
        <v>3677</v>
      </c>
      <c r="P1457" s="141" t="s">
        <v>3678</v>
      </c>
      <c r="Q1457" s="142" t="s">
        <v>3677</v>
      </c>
      <c r="R1457" s="141" t="s">
        <v>3730</v>
      </c>
      <c r="S1457" s="142" t="s">
        <v>3731</v>
      </c>
      <c r="T1457" s="141" t="s">
        <v>3732</v>
      </c>
      <c r="U1457" s="142" t="s">
        <v>3731</v>
      </c>
      <c r="V1457" s="142" t="s">
        <v>3733</v>
      </c>
      <c r="W1457" s="141">
        <f t="shared" si="47"/>
        <v>1</v>
      </c>
      <c r="X1457" s="143"/>
      <c r="Y1457" s="145"/>
      <c r="AA1457"/>
    </row>
    <row r="1458" spans="1:27" s="115" customFormat="1" ht="27" customHeight="1">
      <c r="A1458" s="139">
        <v>1378</v>
      </c>
      <c r="B1458" s="140" t="s">
        <v>6106</v>
      </c>
      <c r="C1458" s="141" t="s">
        <v>3676</v>
      </c>
      <c r="D1458" s="142" t="s">
        <v>3677</v>
      </c>
      <c r="E1458" s="141" t="s">
        <v>3678</v>
      </c>
      <c r="F1458" s="142" t="s">
        <v>3677</v>
      </c>
      <c r="G1458" s="141" t="s">
        <v>3730</v>
      </c>
      <c r="H1458" s="142" t="s">
        <v>3731</v>
      </c>
      <c r="I1458" s="141" t="s">
        <v>3732</v>
      </c>
      <c r="J1458" s="142" t="s">
        <v>3731</v>
      </c>
      <c r="K1458" s="142" t="s">
        <v>3735</v>
      </c>
      <c r="L1458" s="143">
        <f t="shared" si="46"/>
        <v>1</v>
      </c>
      <c r="M1458" s="144" t="s">
        <v>3736</v>
      </c>
      <c r="N1458" s="141" t="s">
        <v>3676</v>
      </c>
      <c r="O1458" s="142" t="s">
        <v>3677</v>
      </c>
      <c r="P1458" s="141" t="s">
        <v>3678</v>
      </c>
      <c r="Q1458" s="142" t="s">
        <v>3677</v>
      </c>
      <c r="R1458" s="141" t="s">
        <v>3730</v>
      </c>
      <c r="S1458" s="142" t="s">
        <v>3731</v>
      </c>
      <c r="T1458" s="141" t="s">
        <v>3732</v>
      </c>
      <c r="U1458" s="142" t="s">
        <v>3731</v>
      </c>
      <c r="V1458" s="142" t="s">
        <v>3735</v>
      </c>
      <c r="W1458" s="141">
        <f t="shared" si="47"/>
        <v>1</v>
      </c>
      <c r="X1458" s="143"/>
      <c r="Y1458" s="145"/>
      <c r="AA1458"/>
    </row>
    <row r="1459" spans="1:27" s="115" customFormat="1" ht="27" customHeight="1">
      <c r="A1459" s="139">
        <v>1379</v>
      </c>
      <c r="B1459" s="140" t="s">
        <v>6107</v>
      </c>
      <c r="C1459" s="141" t="s">
        <v>3676</v>
      </c>
      <c r="D1459" s="142" t="s">
        <v>3677</v>
      </c>
      <c r="E1459" s="141" t="s">
        <v>3678</v>
      </c>
      <c r="F1459" s="142" t="s">
        <v>3677</v>
      </c>
      <c r="G1459" s="141" t="s">
        <v>3730</v>
      </c>
      <c r="H1459" s="142" t="s">
        <v>3731</v>
      </c>
      <c r="I1459" s="141" t="s">
        <v>3732</v>
      </c>
      <c r="J1459" s="142" t="s">
        <v>3731</v>
      </c>
      <c r="K1459" s="142" t="s">
        <v>3737</v>
      </c>
      <c r="L1459" s="143">
        <f t="shared" si="46"/>
        <v>1</v>
      </c>
      <c r="M1459" s="144" t="s">
        <v>3738</v>
      </c>
      <c r="N1459" s="141" t="s">
        <v>3676</v>
      </c>
      <c r="O1459" s="142" t="s">
        <v>3677</v>
      </c>
      <c r="P1459" s="141" t="s">
        <v>3678</v>
      </c>
      <c r="Q1459" s="142" t="s">
        <v>3677</v>
      </c>
      <c r="R1459" s="141" t="s">
        <v>3730</v>
      </c>
      <c r="S1459" s="142" t="s">
        <v>3731</v>
      </c>
      <c r="T1459" s="141" t="s">
        <v>3732</v>
      </c>
      <c r="U1459" s="142" t="s">
        <v>3731</v>
      </c>
      <c r="V1459" s="142" t="s">
        <v>3737</v>
      </c>
      <c r="W1459" s="141">
        <f t="shared" si="47"/>
        <v>1</v>
      </c>
      <c r="X1459" s="143"/>
      <c r="Y1459" s="145"/>
      <c r="AA1459"/>
    </row>
    <row r="1460" spans="1:27" s="115" customFormat="1" ht="13.5" customHeight="1">
      <c r="A1460" s="139">
        <v>1380</v>
      </c>
      <c r="B1460" s="140" t="s">
        <v>6108</v>
      </c>
      <c r="C1460" s="141" t="s">
        <v>3676</v>
      </c>
      <c r="D1460" s="142" t="s">
        <v>3677</v>
      </c>
      <c r="E1460" s="141" t="s">
        <v>3678</v>
      </c>
      <c r="F1460" s="142" t="s">
        <v>3677</v>
      </c>
      <c r="G1460" s="141" t="s">
        <v>3730</v>
      </c>
      <c r="H1460" s="142" t="s">
        <v>3731</v>
      </c>
      <c r="I1460" s="141" t="s">
        <v>3732</v>
      </c>
      <c r="J1460" s="142" t="s">
        <v>3731</v>
      </c>
      <c r="K1460" s="142" t="s">
        <v>3739</v>
      </c>
      <c r="L1460" s="143">
        <f t="shared" si="46"/>
        <v>1</v>
      </c>
      <c r="M1460" s="144" t="s">
        <v>3740</v>
      </c>
      <c r="N1460" s="141" t="s">
        <v>3676</v>
      </c>
      <c r="O1460" s="142" t="s">
        <v>3677</v>
      </c>
      <c r="P1460" s="141" t="s">
        <v>3678</v>
      </c>
      <c r="Q1460" s="142" t="s">
        <v>3677</v>
      </c>
      <c r="R1460" s="141" t="s">
        <v>3730</v>
      </c>
      <c r="S1460" s="142" t="s">
        <v>3731</v>
      </c>
      <c r="T1460" s="141" t="s">
        <v>3732</v>
      </c>
      <c r="U1460" s="142" t="s">
        <v>3731</v>
      </c>
      <c r="V1460" s="142" t="s">
        <v>3739</v>
      </c>
      <c r="W1460" s="141">
        <f t="shared" si="47"/>
        <v>1</v>
      </c>
      <c r="X1460" s="143"/>
      <c r="Y1460" s="145"/>
      <c r="AA1460"/>
    </row>
    <row r="1461" spans="1:27" s="115" customFormat="1" ht="13.5" customHeight="1">
      <c r="A1461" s="139">
        <v>1381</v>
      </c>
      <c r="B1461" s="140" t="s">
        <v>6109</v>
      </c>
      <c r="C1461" s="141" t="s">
        <v>3676</v>
      </c>
      <c r="D1461" s="142" t="s">
        <v>3677</v>
      </c>
      <c r="E1461" s="141" t="s">
        <v>3678</v>
      </c>
      <c r="F1461" s="142" t="s">
        <v>3677</v>
      </c>
      <c r="G1461" s="141" t="s">
        <v>3730</v>
      </c>
      <c r="H1461" s="142" t="s">
        <v>3731</v>
      </c>
      <c r="I1461" s="141" t="s">
        <v>3732</v>
      </c>
      <c r="J1461" s="142" t="s">
        <v>3731</v>
      </c>
      <c r="K1461" s="142" t="s">
        <v>3741</v>
      </c>
      <c r="L1461" s="143">
        <f t="shared" si="46"/>
        <v>1</v>
      </c>
      <c r="M1461" s="144" t="s">
        <v>3742</v>
      </c>
      <c r="N1461" s="141" t="s">
        <v>3676</v>
      </c>
      <c r="O1461" s="142" t="s">
        <v>3677</v>
      </c>
      <c r="P1461" s="141" t="s">
        <v>3678</v>
      </c>
      <c r="Q1461" s="142" t="s">
        <v>3677</v>
      </c>
      <c r="R1461" s="141" t="s">
        <v>3730</v>
      </c>
      <c r="S1461" s="142" t="s">
        <v>3731</v>
      </c>
      <c r="T1461" s="141" t="s">
        <v>3732</v>
      </c>
      <c r="U1461" s="142" t="s">
        <v>3731</v>
      </c>
      <c r="V1461" s="142" t="s">
        <v>3741</v>
      </c>
      <c r="W1461" s="141">
        <f t="shared" si="47"/>
        <v>1</v>
      </c>
      <c r="X1461" s="143"/>
      <c r="Y1461" s="145"/>
      <c r="AA1461"/>
    </row>
    <row r="1462" spans="1:27" s="115" customFormat="1" ht="13.5" customHeight="1">
      <c r="A1462" s="139">
        <v>1382</v>
      </c>
      <c r="B1462" s="140" t="s">
        <v>6110</v>
      </c>
      <c r="C1462" s="141" t="s">
        <v>3676</v>
      </c>
      <c r="D1462" s="142" t="s">
        <v>3677</v>
      </c>
      <c r="E1462" s="141" t="s">
        <v>3678</v>
      </c>
      <c r="F1462" s="142" t="s">
        <v>3677</v>
      </c>
      <c r="G1462" s="141" t="s">
        <v>3730</v>
      </c>
      <c r="H1462" s="142" t="s">
        <v>3731</v>
      </c>
      <c r="I1462" s="141" t="s">
        <v>3732</v>
      </c>
      <c r="J1462" s="142" t="s">
        <v>3731</v>
      </c>
      <c r="K1462" s="142" t="s">
        <v>3743</v>
      </c>
      <c r="L1462" s="143">
        <f t="shared" si="46"/>
        <v>1</v>
      </c>
      <c r="M1462" s="144" t="s">
        <v>3744</v>
      </c>
      <c r="N1462" s="141" t="s">
        <v>3676</v>
      </c>
      <c r="O1462" s="142" t="s">
        <v>3677</v>
      </c>
      <c r="P1462" s="141" t="s">
        <v>3678</v>
      </c>
      <c r="Q1462" s="142" t="s">
        <v>3677</v>
      </c>
      <c r="R1462" s="141" t="s">
        <v>3730</v>
      </c>
      <c r="S1462" s="142" t="s">
        <v>3731</v>
      </c>
      <c r="T1462" s="141" t="s">
        <v>3732</v>
      </c>
      <c r="U1462" s="142" t="s">
        <v>3731</v>
      </c>
      <c r="V1462" s="142" t="s">
        <v>3743</v>
      </c>
      <c r="W1462" s="141">
        <f t="shared" si="47"/>
        <v>1</v>
      </c>
      <c r="X1462" s="143"/>
      <c r="Y1462" s="145"/>
      <c r="AA1462"/>
    </row>
    <row r="1463" spans="1:27" s="115" customFormat="1" ht="13.5" customHeight="1">
      <c r="A1463" s="139">
        <v>1383</v>
      </c>
      <c r="B1463" s="140" t="s">
        <v>6111</v>
      </c>
      <c r="C1463" s="141" t="s">
        <v>3676</v>
      </c>
      <c r="D1463" s="142" t="s">
        <v>3677</v>
      </c>
      <c r="E1463" s="141" t="s">
        <v>3678</v>
      </c>
      <c r="F1463" s="142" t="s">
        <v>3677</v>
      </c>
      <c r="G1463" s="141" t="s">
        <v>3745</v>
      </c>
      <c r="H1463" s="142" t="s">
        <v>3746</v>
      </c>
      <c r="I1463" s="141" t="s">
        <v>3747</v>
      </c>
      <c r="J1463" s="142" t="s">
        <v>3746</v>
      </c>
      <c r="K1463" s="142" t="s">
        <v>3746</v>
      </c>
      <c r="L1463" s="143">
        <f t="shared" si="46"/>
        <v>1</v>
      </c>
      <c r="M1463" s="144" t="s">
        <v>3748</v>
      </c>
      <c r="N1463" s="141" t="s">
        <v>3676</v>
      </c>
      <c r="O1463" s="142" t="s">
        <v>3677</v>
      </c>
      <c r="P1463" s="141" t="s">
        <v>3678</v>
      </c>
      <c r="Q1463" s="142" t="s">
        <v>3677</v>
      </c>
      <c r="R1463" s="141" t="s">
        <v>3745</v>
      </c>
      <c r="S1463" s="142" t="s">
        <v>3746</v>
      </c>
      <c r="T1463" s="141" t="s">
        <v>3747</v>
      </c>
      <c r="U1463" s="142" t="s">
        <v>3746</v>
      </c>
      <c r="V1463" s="142" t="s">
        <v>3746</v>
      </c>
      <c r="W1463" s="141">
        <f t="shared" si="47"/>
        <v>1</v>
      </c>
      <c r="X1463" s="143"/>
      <c r="Y1463" s="145"/>
      <c r="AA1463"/>
    </row>
    <row r="1464" spans="1:27" s="115" customFormat="1" ht="13.5" customHeight="1">
      <c r="A1464" s="139">
        <v>1384</v>
      </c>
      <c r="B1464" s="140" t="s">
        <v>5530</v>
      </c>
      <c r="C1464" s="141" t="s">
        <v>3749</v>
      </c>
      <c r="D1464" s="142" t="s">
        <v>3750</v>
      </c>
      <c r="E1464" s="141" t="s">
        <v>3080</v>
      </c>
      <c r="F1464" s="142" t="s">
        <v>3751</v>
      </c>
      <c r="G1464" s="141" t="s">
        <v>3082</v>
      </c>
      <c r="H1464" s="142" t="s">
        <v>3752</v>
      </c>
      <c r="I1464" s="141" t="s">
        <v>3084</v>
      </c>
      <c r="J1464" s="142" t="s">
        <v>3753</v>
      </c>
      <c r="K1464" s="142" t="s">
        <v>1174</v>
      </c>
      <c r="L1464" s="143">
        <f t="shared" si="46"/>
        <v>1</v>
      </c>
      <c r="M1464" s="144" t="s">
        <v>3754</v>
      </c>
      <c r="N1464" s="141" t="s">
        <v>3749</v>
      </c>
      <c r="O1464" s="142" t="s">
        <v>3751</v>
      </c>
      <c r="P1464" s="141" t="s">
        <v>3557</v>
      </c>
      <c r="Q1464" s="142" t="s">
        <v>3751</v>
      </c>
      <c r="R1464" s="141" t="s">
        <v>3755</v>
      </c>
      <c r="S1464" s="142" t="s">
        <v>3752</v>
      </c>
      <c r="T1464" s="141" t="s">
        <v>3756</v>
      </c>
      <c r="U1464" s="142" t="s">
        <v>3753</v>
      </c>
      <c r="V1464" s="142" t="s">
        <v>1174</v>
      </c>
      <c r="W1464" s="141">
        <f t="shared" si="47"/>
        <v>1</v>
      </c>
      <c r="X1464" s="143"/>
      <c r="Y1464" s="145"/>
      <c r="AA1464"/>
    </row>
    <row r="1465" spans="1:27" s="115" customFormat="1" ht="13.5" customHeight="1">
      <c r="A1465" s="139">
        <v>1385</v>
      </c>
      <c r="B1465" s="140" t="s">
        <v>5767</v>
      </c>
      <c r="C1465" s="141" t="s">
        <v>3749</v>
      </c>
      <c r="D1465" s="142" t="s">
        <v>3750</v>
      </c>
      <c r="E1465" s="141" t="s">
        <v>2223</v>
      </c>
      <c r="F1465" s="142" t="s">
        <v>3751</v>
      </c>
      <c r="G1465" s="141" t="s">
        <v>3443</v>
      </c>
      <c r="H1465" s="142" t="s">
        <v>3752</v>
      </c>
      <c r="I1465" s="141" t="s">
        <v>3478</v>
      </c>
      <c r="J1465" s="142" t="s">
        <v>1175</v>
      </c>
      <c r="K1465" s="142" t="s">
        <v>1175</v>
      </c>
      <c r="L1465" s="143">
        <f t="shared" si="46"/>
        <v>1</v>
      </c>
      <c r="M1465" s="144" t="s">
        <v>3757</v>
      </c>
      <c r="N1465" s="141" t="s">
        <v>3749</v>
      </c>
      <c r="O1465" s="142" t="s">
        <v>3751</v>
      </c>
      <c r="P1465" s="141" t="s">
        <v>3557</v>
      </c>
      <c r="Q1465" s="142" t="s">
        <v>3751</v>
      </c>
      <c r="R1465" s="141" t="s">
        <v>3755</v>
      </c>
      <c r="S1465" s="142" t="s">
        <v>3752</v>
      </c>
      <c r="T1465" s="141" t="s">
        <v>3758</v>
      </c>
      <c r="U1465" s="142" t="s">
        <v>1175</v>
      </c>
      <c r="V1465" s="142" t="s">
        <v>1175</v>
      </c>
      <c r="W1465" s="141">
        <f t="shared" si="47"/>
        <v>1</v>
      </c>
      <c r="X1465" s="143"/>
      <c r="Y1465" s="145"/>
      <c r="AA1465"/>
    </row>
    <row r="1466" spans="1:27" s="115" customFormat="1" ht="13.5" customHeight="1">
      <c r="A1466" s="139">
        <v>1386</v>
      </c>
      <c r="B1466" s="140" t="s">
        <v>5833</v>
      </c>
      <c r="C1466" s="141" t="s">
        <v>3749</v>
      </c>
      <c r="D1466" s="142" t="s">
        <v>3750</v>
      </c>
      <c r="E1466" s="141" t="s">
        <v>3759</v>
      </c>
      <c r="F1466" s="142" t="s">
        <v>3751</v>
      </c>
      <c r="G1466" s="141" t="s">
        <v>3760</v>
      </c>
      <c r="H1466" s="142" t="s">
        <v>3761</v>
      </c>
      <c r="I1466" s="141" t="s">
        <v>3762</v>
      </c>
      <c r="J1466" s="142" t="s">
        <v>291</v>
      </c>
      <c r="K1466" s="142" t="s">
        <v>291</v>
      </c>
      <c r="L1466" s="143">
        <f t="shared" si="46"/>
        <v>1</v>
      </c>
      <c r="M1466" s="144" t="s">
        <v>3763</v>
      </c>
      <c r="N1466" s="141" t="s">
        <v>3749</v>
      </c>
      <c r="O1466" s="142" t="s">
        <v>3751</v>
      </c>
      <c r="P1466" s="141" t="s">
        <v>3557</v>
      </c>
      <c r="Q1466" s="142" t="s">
        <v>3751</v>
      </c>
      <c r="R1466" s="141" t="s">
        <v>3764</v>
      </c>
      <c r="S1466" s="142" t="s">
        <v>3761</v>
      </c>
      <c r="T1466" s="141" t="s">
        <v>3765</v>
      </c>
      <c r="U1466" s="142" t="s">
        <v>291</v>
      </c>
      <c r="V1466" s="142" t="s">
        <v>291</v>
      </c>
      <c r="W1466" s="141">
        <f t="shared" si="47"/>
        <v>1</v>
      </c>
      <c r="X1466" s="143"/>
      <c r="Y1466" s="145"/>
      <c r="AA1466"/>
    </row>
    <row r="1467" spans="1:27" s="115" customFormat="1" ht="13.5" customHeight="1">
      <c r="A1467" s="139">
        <v>1387</v>
      </c>
      <c r="B1467" s="140" t="s">
        <v>5834</v>
      </c>
      <c r="C1467" s="141" t="s">
        <v>3749</v>
      </c>
      <c r="D1467" s="142" t="s">
        <v>3750</v>
      </c>
      <c r="E1467" s="141" t="s">
        <v>3759</v>
      </c>
      <c r="F1467" s="142" t="s">
        <v>3751</v>
      </c>
      <c r="G1467" s="141" t="s">
        <v>3766</v>
      </c>
      <c r="H1467" s="142" t="s">
        <v>3752</v>
      </c>
      <c r="I1467" s="141" t="s">
        <v>3767</v>
      </c>
      <c r="J1467" s="142" t="s">
        <v>3768</v>
      </c>
      <c r="K1467" s="142" t="s">
        <v>293</v>
      </c>
      <c r="L1467" s="143">
        <f t="shared" si="46"/>
        <v>1</v>
      </c>
      <c r="M1467" s="144" t="s">
        <v>3769</v>
      </c>
      <c r="N1467" s="141" t="s">
        <v>3749</v>
      </c>
      <c r="O1467" s="142" t="s">
        <v>3751</v>
      </c>
      <c r="P1467" s="141" t="s">
        <v>3557</v>
      </c>
      <c r="Q1467" s="142" t="s">
        <v>3751</v>
      </c>
      <c r="R1467" s="141" t="s">
        <v>3755</v>
      </c>
      <c r="S1467" s="142" t="s">
        <v>3752</v>
      </c>
      <c r="T1467" s="141" t="s">
        <v>3770</v>
      </c>
      <c r="U1467" s="142" t="s">
        <v>3768</v>
      </c>
      <c r="V1467" s="142" t="s">
        <v>293</v>
      </c>
      <c r="W1467" s="141">
        <f t="shared" si="47"/>
        <v>2</v>
      </c>
      <c r="X1467" s="143">
        <v>2</v>
      </c>
      <c r="Y1467" s="145" t="s">
        <v>3771</v>
      </c>
      <c r="AA1467"/>
    </row>
    <row r="1468" spans="1:27" s="115" customFormat="1" ht="13.5" customHeight="1">
      <c r="A1468" s="139">
        <v>1388</v>
      </c>
      <c r="B1468" s="140" t="s">
        <v>5835</v>
      </c>
      <c r="C1468" s="141" t="s">
        <v>3749</v>
      </c>
      <c r="D1468" s="142" t="s">
        <v>3750</v>
      </c>
      <c r="E1468" s="141" t="s">
        <v>3759</v>
      </c>
      <c r="F1468" s="142" t="s">
        <v>3751</v>
      </c>
      <c r="G1468" s="141" t="s">
        <v>3766</v>
      </c>
      <c r="H1468" s="142" t="s">
        <v>3752</v>
      </c>
      <c r="I1468" s="141" t="s">
        <v>3767</v>
      </c>
      <c r="J1468" s="142" t="s">
        <v>3768</v>
      </c>
      <c r="K1468" s="142" t="s">
        <v>1176</v>
      </c>
      <c r="L1468" s="143">
        <f t="shared" si="46"/>
        <v>1</v>
      </c>
      <c r="M1468" s="144" t="s">
        <v>3772</v>
      </c>
      <c r="N1468" s="141" t="s">
        <v>3749</v>
      </c>
      <c r="O1468" s="142" t="s">
        <v>3751</v>
      </c>
      <c r="P1468" s="141" t="s">
        <v>3557</v>
      </c>
      <c r="Q1468" s="142" t="s">
        <v>3751</v>
      </c>
      <c r="R1468" s="141" t="s">
        <v>3755</v>
      </c>
      <c r="S1468" s="142" t="s">
        <v>3752</v>
      </c>
      <c r="T1468" s="141" t="s">
        <v>3770</v>
      </c>
      <c r="U1468" s="142" t="s">
        <v>3768</v>
      </c>
      <c r="V1468" s="142" t="s">
        <v>1176</v>
      </c>
      <c r="W1468" s="141">
        <f t="shared" si="47"/>
        <v>2</v>
      </c>
      <c r="X1468" s="143">
        <v>1</v>
      </c>
      <c r="Y1468" s="145"/>
      <c r="AA1468"/>
    </row>
    <row r="1469" spans="1:27" s="115" customFormat="1" ht="13.5" customHeight="1">
      <c r="A1469" s="139">
        <v>1389</v>
      </c>
      <c r="B1469" s="140" t="s">
        <v>5836</v>
      </c>
      <c r="C1469" s="141" t="s">
        <v>3749</v>
      </c>
      <c r="D1469" s="142" t="s">
        <v>3750</v>
      </c>
      <c r="E1469" s="141" t="s">
        <v>3759</v>
      </c>
      <c r="F1469" s="142" t="s">
        <v>3751</v>
      </c>
      <c r="G1469" s="141" t="s">
        <v>3766</v>
      </c>
      <c r="H1469" s="142" t="s">
        <v>3752</v>
      </c>
      <c r="I1469" s="141" t="s">
        <v>3767</v>
      </c>
      <c r="J1469" s="142" t="s">
        <v>3753</v>
      </c>
      <c r="K1469" s="142" t="s">
        <v>1177</v>
      </c>
      <c r="L1469" s="143">
        <f t="shared" si="46"/>
        <v>1</v>
      </c>
      <c r="M1469" s="144" t="s">
        <v>3773</v>
      </c>
      <c r="N1469" s="141" t="s">
        <v>3749</v>
      </c>
      <c r="O1469" s="142" t="s">
        <v>3751</v>
      </c>
      <c r="P1469" s="141" t="s">
        <v>3557</v>
      </c>
      <c r="Q1469" s="142" t="s">
        <v>3751</v>
      </c>
      <c r="R1469" s="141" t="s">
        <v>3755</v>
      </c>
      <c r="S1469" s="142" t="s">
        <v>3752</v>
      </c>
      <c r="T1469" s="141" t="s">
        <v>3756</v>
      </c>
      <c r="U1469" s="142" t="s">
        <v>3753</v>
      </c>
      <c r="V1469" s="142" t="s">
        <v>1177</v>
      </c>
      <c r="W1469" s="141">
        <f t="shared" si="47"/>
        <v>2</v>
      </c>
      <c r="X1469" s="143">
        <v>1</v>
      </c>
      <c r="Y1469" s="145"/>
      <c r="AA1469"/>
    </row>
    <row r="1470" spans="1:27" s="115" customFormat="1" ht="27" customHeight="1">
      <c r="A1470" s="139">
        <v>1390</v>
      </c>
      <c r="B1470" s="140" t="s">
        <v>5837</v>
      </c>
      <c r="C1470" s="141" t="s">
        <v>3749</v>
      </c>
      <c r="D1470" s="142" t="s">
        <v>3750</v>
      </c>
      <c r="E1470" s="141" t="s">
        <v>3759</v>
      </c>
      <c r="F1470" s="142" t="s">
        <v>3751</v>
      </c>
      <c r="G1470" s="141" t="s">
        <v>3766</v>
      </c>
      <c r="H1470" s="142" t="s">
        <v>3774</v>
      </c>
      <c r="I1470" s="141" t="s">
        <v>3767</v>
      </c>
      <c r="J1470" s="142" t="s">
        <v>3774</v>
      </c>
      <c r="K1470" s="142" t="s">
        <v>1178</v>
      </c>
      <c r="L1470" s="143">
        <f t="shared" si="46"/>
        <v>1</v>
      </c>
      <c r="M1470" s="144" t="s">
        <v>3775</v>
      </c>
      <c r="N1470" s="141" t="s">
        <v>3749</v>
      </c>
      <c r="O1470" s="142" t="s">
        <v>3751</v>
      </c>
      <c r="P1470" s="141" t="s">
        <v>3557</v>
      </c>
      <c r="Q1470" s="142" t="s">
        <v>3751</v>
      </c>
      <c r="R1470" s="141" t="s">
        <v>3776</v>
      </c>
      <c r="S1470" s="142" t="s">
        <v>3774</v>
      </c>
      <c r="T1470" s="141" t="s">
        <v>3777</v>
      </c>
      <c r="U1470" s="142" t="s">
        <v>3774</v>
      </c>
      <c r="V1470" s="142" t="s">
        <v>1178</v>
      </c>
      <c r="W1470" s="141">
        <f t="shared" si="47"/>
        <v>4</v>
      </c>
      <c r="X1470" s="143"/>
      <c r="Y1470" s="145" t="s">
        <v>3778</v>
      </c>
      <c r="AA1470"/>
    </row>
    <row r="1471" spans="1:27" s="115" customFormat="1" ht="27" customHeight="1">
      <c r="A1471" s="139">
        <v>1391</v>
      </c>
      <c r="B1471" s="140" t="s">
        <v>5838</v>
      </c>
      <c r="C1471" s="141" t="s">
        <v>3749</v>
      </c>
      <c r="D1471" s="142" t="s">
        <v>3750</v>
      </c>
      <c r="E1471" s="141" t="s">
        <v>3759</v>
      </c>
      <c r="F1471" s="142" t="s">
        <v>3751</v>
      </c>
      <c r="G1471" s="141" t="s">
        <v>3766</v>
      </c>
      <c r="H1471" s="142" t="s">
        <v>3774</v>
      </c>
      <c r="I1471" s="141" t="s">
        <v>3767</v>
      </c>
      <c r="J1471" s="142" t="s">
        <v>3774</v>
      </c>
      <c r="K1471" s="142" t="s">
        <v>1178</v>
      </c>
      <c r="L1471" s="143">
        <f t="shared" si="46"/>
        <v>1</v>
      </c>
      <c r="M1471" s="144" t="s">
        <v>3775</v>
      </c>
      <c r="N1471" s="141" t="s">
        <v>3749</v>
      </c>
      <c r="O1471" s="142" t="s">
        <v>3751</v>
      </c>
      <c r="P1471" s="141" t="s">
        <v>3557</v>
      </c>
      <c r="Q1471" s="142" t="s">
        <v>3751</v>
      </c>
      <c r="R1471" s="141" t="s">
        <v>3776</v>
      </c>
      <c r="S1471" s="142" t="s">
        <v>3774</v>
      </c>
      <c r="T1471" s="141" t="s">
        <v>3777</v>
      </c>
      <c r="U1471" s="142" t="s">
        <v>3774</v>
      </c>
      <c r="V1471" s="142" t="s">
        <v>1178</v>
      </c>
      <c r="W1471" s="141">
        <f t="shared" si="47"/>
        <v>4</v>
      </c>
      <c r="X1471" s="143">
        <v>1</v>
      </c>
      <c r="Y1471" s="145"/>
      <c r="AA1471"/>
    </row>
    <row r="1472" spans="1:27" s="115" customFormat="1" ht="27" customHeight="1">
      <c r="A1472" s="139">
        <v>1392</v>
      </c>
      <c r="B1472" s="140" t="s">
        <v>5840</v>
      </c>
      <c r="C1472" s="141" t="s">
        <v>3749</v>
      </c>
      <c r="D1472" s="142" t="s">
        <v>3750</v>
      </c>
      <c r="E1472" s="141" t="s">
        <v>3759</v>
      </c>
      <c r="F1472" s="142" t="s">
        <v>3751</v>
      </c>
      <c r="G1472" s="141" t="s">
        <v>3766</v>
      </c>
      <c r="H1472" s="142" t="s">
        <v>3774</v>
      </c>
      <c r="I1472" s="141" t="s">
        <v>3767</v>
      </c>
      <c r="J1472" s="142" t="s">
        <v>3774</v>
      </c>
      <c r="K1472" s="142" t="s">
        <v>1178</v>
      </c>
      <c r="L1472" s="143">
        <f t="shared" si="46"/>
        <v>5</v>
      </c>
      <c r="M1472" s="144">
        <v>85501</v>
      </c>
      <c r="N1472" s="141" t="s">
        <v>3749</v>
      </c>
      <c r="O1472" s="142" t="s">
        <v>3751</v>
      </c>
      <c r="P1472" s="141" t="s">
        <v>3557</v>
      </c>
      <c r="Q1472" s="142" t="s">
        <v>3751</v>
      </c>
      <c r="R1472" s="141" t="s">
        <v>3776</v>
      </c>
      <c r="S1472" s="142" t="s">
        <v>3774</v>
      </c>
      <c r="T1472" s="141" t="s">
        <v>3777</v>
      </c>
      <c r="U1472" s="142" t="s">
        <v>3774</v>
      </c>
      <c r="V1472" s="142" t="s">
        <v>1178</v>
      </c>
      <c r="W1472" s="141">
        <f t="shared" si="47"/>
        <v>4</v>
      </c>
      <c r="X1472" s="143"/>
      <c r="Y1472" s="145" t="s">
        <v>3779</v>
      </c>
      <c r="AA1472"/>
    </row>
    <row r="1473" spans="1:27" s="115" customFormat="1" ht="13.5" customHeight="1">
      <c r="A1473" s="139">
        <v>1392</v>
      </c>
      <c r="B1473" s="140" t="s">
        <v>5840</v>
      </c>
      <c r="C1473" s="141" t="s">
        <v>3749</v>
      </c>
      <c r="D1473" s="142" t="s">
        <v>3750</v>
      </c>
      <c r="E1473" s="141" t="s">
        <v>3759</v>
      </c>
      <c r="F1473" s="142" t="s">
        <v>3751</v>
      </c>
      <c r="G1473" s="141" t="s">
        <v>3766</v>
      </c>
      <c r="H1473" s="161" t="s">
        <v>3752</v>
      </c>
      <c r="I1473" s="164" t="s">
        <v>3767</v>
      </c>
      <c r="J1473" s="161" t="s">
        <v>292</v>
      </c>
      <c r="K1473" s="161" t="s">
        <v>1179</v>
      </c>
      <c r="L1473" s="143">
        <f t="shared" si="46"/>
        <v>5</v>
      </c>
      <c r="M1473" s="144">
        <v>85621</v>
      </c>
      <c r="N1473" s="141" t="s">
        <v>3749</v>
      </c>
      <c r="O1473" s="142" t="s">
        <v>3751</v>
      </c>
      <c r="P1473" s="141" t="s">
        <v>3557</v>
      </c>
      <c r="Q1473" s="142" t="s">
        <v>3751</v>
      </c>
      <c r="R1473" s="141" t="s">
        <v>3755</v>
      </c>
      <c r="S1473" s="142" t="s">
        <v>3752</v>
      </c>
      <c r="T1473" s="141" t="s">
        <v>3780</v>
      </c>
      <c r="U1473" s="142" t="s">
        <v>292</v>
      </c>
      <c r="V1473" s="142" t="s">
        <v>1179</v>
      </c>
      <c r="W1473" s="141">
        <f t="shared" si="47"/>
        <v>2</v>
      </c>
      <c r="X1473" s="143"/>
      <c r="Y1473" s="145" t="s">
        <v>3779</v>
      </c>
      <c r="AA1473"/>
    </row>
    <row r="1474" spans="1:27" s="115" customFormat="1" ht="13.5" customHeight="1">
      <c r="A1474" s="139">
        <v>1392</v>
      </c>
      <c r="B1474" s="140" t="s">
        <v>5840</v>
      </c>
      <c r="C1474" s="141" t="s">
        <v>3749</v>
      </c>
      <c r="D1474" s="142" t="s">
        <v>3750</v>
      </c>
      <c r="E1474" s="141" t="s">
        <v>3759</v>
      </c>
      <c r="F1474" s="142" t="s">
        <v>3751</v>
      </c>
      <c r="G1474" s="141" t="s">
        <v>3766</v>
      </c>
      <c r="H1474" s="161" t="s">
        <v>3752</v>
      </c>
      <c r="I1474" s="164" t="s">
        <v>3767</v>
      </c>
      <c r="J1474" s="161" t="s">
        <v>292</v>
      </c>
      <c r="K1474" s="161" t="s">
        <v>1186</v>
      </c>
      <c r="L1474" s="143">
        <f t="shared" si="46"/>
        <v>5</v>
      </c>
      <c r="M1474" s="144">
        <v>85622</v>
      </c>
      <c r="N1474" s="141" t="s">
        <v>3749</v>
      </c>
      <c r="O1474" s="142" t="s">
        <v>3751</v>
      </c>
      <c r="P1474" s="141" t="s">
        <v>3557</v>
      </c>
      <c r="Q1474" s="142" t="s">
        <v>3751</v>
      </c>
      <c r="R1474" s="141" t="s">
        <v>3755</v>
      </c>
      <c r="S1474" s="142" t="s">
        <v>3752</v>
      </c>
      <c r="T1474" s="141" t="s">
        <v>3780</v>
      </c>
      <c r="U1474" s="142" t="s">
        <v>292</v>
      </c>
      <c r="V1474" s="142" t="s">
        <v>1186</v>
      </c>
      <c r="W1474" s="141">
        <f t="shared" si="47"/>
        <v>2</v>
      </c>
      <c r="X1474" s="143"/>
      <c r="Y1474" s="145" t="s">
        <v>3781</v>
      </c>
      <c r="AA1474"/>
    </row>
    <row r="1475" spans="1:27" s="115" customFormat="1" ht="13.5" customHeight="1">
      <c r="A1475" s="139">
        <v>1392</v>
      </c>
      <c r="B1475" s="140" t="s">
        <v>5840</v>
      </c>
      <c r="C1475" s="141" t="s">
        <v>3749</v>
      </c>
      <c r="D1475" s="142" t="s">
        <v>3750</v>
      </c>
      <c r="E1475" s="141" t="s">
        <v>3759</v>
      </c>
      <c r="F1475" s="142" t="s">
        <v>3751</v>
      </c>
      <c r="G1475" s="141" t="s">
        <v>3766</v>
      </c>
      <c r="H1475" s="161" t="s">
        <v>3752</v>
      </c>
      <c r="I1475" s="164" t="s">
        <v>3767</v>
      </c>
      <c r="J1475" s="161" t="s">
        <v>292</v>
      </c>
      <c r="K1475" s="161" t="s">
        <v>1187</v>
      </c>
      <c r="L1475" s="143">
        <f t="shared" si="46"/>
        <v>5</v>
      </c>
      <c r="M1475" s="144">
        <v>85629</v>
      </c>
      <c r="N1475" s="141" t="s">
        <v>3749</v>
      </c>
      <c r="O1475" s="142" t="s">
        <v>3751</v>
      </c>
      <c r="P1475" s="141" t="s">
        <v>3557</v>
      </c>
      <c r="Q1475" s="142" t="s">
        <v>3751</v>
      </c>
      <c r="R1475" s="141" t="s">
        <v>3755</v>
      </c>
      <c r="S1475" s="142" t="s">
        <v>3752</v>
      </c>
      <c r="T1475" s="141" t="s">
        <v>3780</v>
      </c>
      <c r="U1475" s="142" t="s">
        <v>292</v>
      </c>
      <c r="V1475" s="142" t="s">
        <v>1187</v>
      </c>
      <c r="W1475" s="141">
        <f t="shared" si="47"/>
        <v>2</v>
      </c>
      <c r="X1475" s="143"/>
      <c r="Y1475" s="145" t="s">
        <v>3779</v>
      </c>
      <c r="AA1475"/>
    </row>
    <row r="1476" spans="1:27" s="115" customFormat="1" ht="13.5" customHeight="1">
      <c r="A1476" s="139">
        <v>1392</v>
      </c>
      <c r="B1476" s="140" t="s">
        <v>5840</v>
      </c>
      <c r="C1476" s="141" t="s">
        <v>3749</v>
      </c>
      <c r="D1476" s="142" t="s">
        <v>3750</v>
      </c>
      <c r="E1476" s="141" t="s">
        <v>3759</v>
      </c>
      <c r="F1476" s="142" t="s">
        <v>3751</v>
      </c>
      <c r="G1476" s="141" t="s">
        <v>3766</v>
      </c>
      <c r="H1476" s="161" t="s">
        <v>3752</v>
      </c>
      <c r="I1476" s="164" t="s">
        <v>3767</v>
      </c>
      <c r="J1476" s="161" t="s">
        <v>3782</v>
      </c>
      <c r="K1476" s="161" t="s">
        <v>1184</v>
      </c>
      <c r="L1476" s="143">
        <f t="shared" si="46"/>
        <v>5</v>
      </c>
      <c r="M1476" s="144">
        <v>85631</v>
      </c>
      <c r="N1476" s="141" t="s">
        <v>3749</v>
      </c>
      <c r="O1476" s="142" t="s">
        <v>3751</v>
      </c>
      <c r="P1476" s="141" t="s">
        <v>3557</v>
      </c>
      <c r="Q1476" s="142" t="s">
        <v>3751</v>
      </c>
      <c r="R1476" s="141" t="s">
        <v>3755</v>
      </c>
      <c r="S1476" s="142" t="s">
        <v>3752</v>
      </c>
      <c r="T1476" s="141" t="s">
        <v>3783</v>
      </c>
      <c r="U1476" s="142" t="s">
        <v>3782</v>
      </c>
      <c r="V1476" s="142" t="s">
        <v>1184</v>
      </c>
      <c r="W1476" s="141">
        <f t="shared" si="47"/>
        <v>2</v>
      </c>
      <c r="X1476" s="143"/>
      <c r="Y1476" s="145" t="s">
        <v>3779</v>
      </c>
      <c r="AA1476"/>
    </row>
    <row r="1477" spans="1:27" s="115" customFormat="1">
      <c r="A1477" s="139">
        <v>1393</v>
      </c>
      <c r="B1477" s="140" t="s">
        <v>5841</v>
      </c>
      <c r="C1477" s="141" t="s">
        <v>3749</v>
      </c>
      <c r="D1477" s="142" t="s">
        <v>3750</v>
      </c>
      <c r="E1477" s="141" t="s">
        <v>3759</v>
      </c>
      <c r="F1477" s="142" t="s">
        <v>3751</v>
      </c>
      <c r="G1477" s="141" t="s">
        <v>3766</v>
      </c>
      <c r="H1477" s="161" t="s">
        <v>3752</v>
      </c>
      <c r="I1477" s="164" t="s">
        <v>3767</v>
      </c>
      <c r="J1477" s="161" t="s">
        <v>292</v>
      </c>
      <c r="K1477" s="161" t="s">
        <v>1179</v>
      </c>
      <c r="L1477" s="143">
        <f t="shared" si="46"/>
        <v>1</v>
      </c>
      <c r="M1477" s="144" t="s">
        <v>3784</v>
      </c>
      <c r="N1477" s="141" t="s">
        <v>3749</v>
      </c>
      <c r="O1477" s="142" t="s">
        <v>3751</v>
      </c>
      <c r="P1477" s="141" t="s">
        <v>3557</v>
      </c>
      <c r="Q1477" s="142" t="s">
        <v>3751</v>
      </c>
      <c r="R1477" s="141" t="s">
        <v>3755</v>
      </c>
      <c r="S1477" s="142" t="s">
        <v>3752</v>
      </c>
      <c r="T1477" s="141" t="s">
        <v>3780</v>
      </c>
      <c r="U1477" s="142" t="s">
        <v>292</v>
      </c>
      <c r="V1477" s="142" t="s">
        <v>1179</v>
      </c>
      <c r="W1477" s="141">
        <f t="shared" si="47"/>
        <v>2</v>
      </c>
      <c r="X1477" s="143">
        <v>1</v>
      </c>
      <c r="Y1477" s="145"/>
      <c r="AA1477"/>
    </row>
    <row r="1478" spans="1:27" s="115" customFormat="1">
      <c r="A1478" s="139">
        <v>1394</v>
      </c>
      <c r="B1478" s="140" t="s">
        <v>5842</v>
      </c>
      <c r="C1478" s="141" t="s">
        <v>3749</v>
      </c>
      <c r="D1478" s="142" t="s">
        <v>3750</v>
      </c>
      <c r="E1478" s="141" t="s">
        <v>3759</v>
      </c>
      <c r="F1478" s="142" t="s">
        <v>3751</v>
      </c>
      <c r="G1478" s="141" t="s">
        <v>3766</v>
      </c>
      <c r="H1478" s="142" t="s">
        <v>3752</v>
      </c>
      <c r="I1478" s="141" t="s">
        <v>3767</v>
      </c>
      <c r="J1478" s="142" t="s">
        <v>3768</v>
      </c>
      <c r="K1478" s="142" t="s">
        <v>1176</v>
      </c>
      <c r="L1478" s="143">
        <f t="shared" si="46"/>
        <v>1</v>
      </c>
      <c r="M1478" s="144" t="s">
        <v>3772</v>
      </c>
      <c r="N1478" s="141" t="s">
        <v>3749</v>
      </c>
      <c r="O1478" s="142" t="s">
        <v>3751</v>
      </c>
      <c r="P1478" s="141" t="s">
        <v>3557</v>
      </c>
      <c r="Q1478" s="142" t="s">
        <v>3751</v>
      </c>
      <c r="R1478" s="141" t="s">
        <v>3755</v>
      </c>
      <c r="S1478" s="142" t="s">
        <v>3752</v>
      </c>
      <c r="T1478" s="141" t="s">
        <v>3770</v>
      </c>
      <c r="U1478" s="142" t="s">
        <v>3768</v>
      </c>
      <c r="V1478" s="142" t="s">
        <v>1176</v>
      </c>
      <c r="W1478" s="141">
        <f t="shared" si="47"/>
        <v>2</v>
      </c>
      <c r="X1478" s="143"/>
      <c r="Y1478" s="145" t="s">
        <v>3785</v>
      </c>
      <c r="AA1478"/>
    </row>
    <row r="1479" spans="1:27" s="115" customFormat="1" ht="13.5" customHeight="1">
      <c r="A1479" s="139">
        <v>1395</v>
      </c>
      <c r="B1479" s="140" t="s">
        <v>5843</v>
      </c>
      <c r="C1479" s="141" t="s">
        <v>3749</v>
      </c>
      <c r="D1479" s="142" t="s">
        <v>3750</v>
      </c>
      <c r="E1479" s="141" t="s">
        <v>3759</v>
      </c>
      <c r="F1479" s="142" t="s">
        <v>3751</v>
      </c>
      <c r="G1479" s="141" t="s">
        <v>3766</v>
      </c>
      <c r="H1479" s="142" t="s">
        <v>3752</v>
      </c>
      <c r="I1479" s="141" t="s">
        <v>3767</v>
      </c>
      <c r="J1479" s="142" t="s">
        <v>3768</v>
      </c>
      <c r="K1479" s="142" t="s">
        <v>293</v>
      </c>
      <c r="L1479" s="143">
        <f t="shared" si="46"/>
        <v>1</v>
      </c>
      <c r="M1479" s="144" t="s">
        <v>3769</v>
      </c>
      <c r="N1479" s="141" t="s">
        <v>3749</v>
      </c>
      <c r="O1479" s="142" t="s">
        <v>3751</v>
      </c>
      <c r="P1479" s="141" t="s">
        <v>3557</v>
      </c>
      <c r="Q1479" s="142" t="s">
        <v>3751</v>
      </c>
      <c r="R1479" s="141" t="s">
        <v>3755</v>
      </c>
      <c r="S1479" s="142" t="s">
        <v>3752</v>
      </c>
      <c r="T1479" s="141" t="s">
        <v>3770</v>
      </c>
      <c r="U1479" s="142" t="s">
        <v>3768</v>
      </c>
      <c r="V1479" s="142" t="s">
        <v>293</v>
      </c>
      <c r="W1479" s="141">
        <f t="shared" si="47"/>
        <v>2</v>
      </c>
      <c r="X1479" s="143">
        <v>2</v>
      </c>
      <c r="Y1479" s="145" t="s">
        <v>3786</v>
      </c>
      <c r="AA1479"/>
    </row>
    <row r="1480" spans="1:27" s="115" customFormat="1">
      <c r="A1480" s="139">
        <v>1396</v>
      </c>
      <c r="B1480" s="140" t="s">
        <v>5844</v>
      </c>
      <c r="C1480" s="141" t="s">
        <v>3749</v>
      </c>
      <c r="D1480" s="142" t="s">
        <v>3750</v>
      </c>
      <c r="E1480" s="141" t="s">
        <v>3759</v>
      </c>
      <c r="F1480" s="142" t="s">
        <v>3751</v>
      </c>
      <c r="G1480" s="141" t="s">
        <v>3766</v>
      </c>
      <c r="H1480" s="142" t="s">
        <v>3774</v>
      </c>
      <c r="I1480" s="141" t="s">
        <v>3767</v>
      </c>
      <c r="J1480" s="142" t="s">
        <v>3774</v>
      </c>
      <c r="K1480" s="142" t="s">
        <v>1178</v>
      </c>
      <c r="L1480" s="143">
        <f t="shared" si="46"/>
        <v>1</v>
      </c>
      <c r="M1480" s="144" t="s">
        <v>3775</v>
      </c>
      <c r="N1480" s="141" t="s">
        <v>3749</v>
      </c>
      <c r="O1480" s="142" t="s">
        <v>3751</v>
      </c>
      <c r="P1480" s="141" t="s">
        <v>3557</v>
      </c>
      <c r="Q1480" s="142" t="s">
        <v>3751</v>
      </c>
      <c r="R1480" s="141" t="s">
        <v>3776</v>
      </c>
      <c r="S1480" s="142" t="s">
        <v>3774</v>
      </c>
      <c r="T1480" s="141" t="s">
        <v>3777</v>
      </c>
      <c r="U1480" s="142" t="s">
        <v>3774</v>
      </c>
      <c r="V1480" s="142" t="s">
        <v>1178</v>
      </c>
      <c r="W1480" s="141">
        <f t="shared" si="47"/>
        <v>4</v>
      </c>
      <c r="X1480" s="143"/>
      <c r="Y1480" s="145" t="s">
        <v>3787</v>
      </c>
      <c r="AA1480"/>
    </row>
    <row r="1481" spans="1:27" s="115" customFormat="1">
      <c r="A1481" s="139">
        <v>1397</v>
      </c>
      <c r="B1481" s="140" t="s">
        <v>5845</v>
      </c>
      <c r="C1481" s="141" t="s">
        <v>3749</v>
      </c>
      <c r="D1481" s="142" t="s">
        <v>3750</v>
      </c>
      <c r="E1481" s="141" t="s">
        <v>3759</v>
      </c>
      <c r="F1481" s="142" t="s">
        <v>3751</v>
      </c>
      <c r="G1481" s="141" t="s">
        <v>3766</v>
      </c>
      <c r="H1481" s="142" t="s">
        <v>3752</v>
      </c>
      <c r="I1481" s="141" t="s">
        <v>3767</v>
      </c>
      <c r="J1481" s="142" t="s">
        <v>3788</v>
      </c>
      <c r="K1481" s="142" t="s">
        <v>1180</v>
      </c>
      <c r="L1481" s="143">
        <f t="shared" si="46"/>
        <v>1</v>
      </c>
      <c r="M1481" s="144" t="s">
        <v>3789</v>
      </c>
      <c r="N1481" s="141" t="s">
        <v>3749</v>
      </c>
      <c r="O1481" s="142" t="s">
        <v>3751</v>
      </c>
      <c r="P1481" s="141" t="s">
        <v>3557</v>
      </c>
      <c r="Q1481" s="142" t="s">
        <v>3751</v>
      </c>
      <c r="R1481" s="141" t="s">
        <v>3755</v>
      </c>
      <c r="S1481" s="142" t="s">
        <v>3752</v>
      </c>
      <c r="T1481" s="141" t="s">
        <v>3790</v>
      </c>
      <c r="U1481" s="142" t="s">
        <v>3788</v>
      </c>
      <c r="V1481" s="142" t="s">
        <v>1180</v>
      </c>
      <c r="W1481" s="141">
        <f t="shared" si="47"/>
        <v>1</v>
      </c>
      <c r="X1481" s="143"/>
      <c r="Y1481" s="145"/>
      <c r="AA1481"/>
    </row>
    <row r="1482" spans="1:27" s="115" customFormat="1" ht="27">
      <c r="A1482" s="139">
        <v>1398</v>
      </c>
      <c r="B1482" s="140" t="s">
        <v>5846</v>
      </c>
      <c r="C1482" s="141" t="s">
        <v>3749</v>
      </c>
      <c r="D1482" s="142" t="s">
        <v>3750</v>
      </c>
      <c r="E1482" s="141" t="s">
        <v>3759</v>
      </c>
      <c r="F1482" s="142" t="s">
        <v>3751</v>
      </c>
      <c r="G1482" s="141" t="s">
        <v>3766</v>
      </c>
      <c r="H1482" s="142" t="s">
        <v>3752</v>
      </c>
      <c r="I1482" s="141" t="s">
        <v>3767</v>
      </c>
      <c r="J1482" s="142" t="s">
        <v>3753</v>
      </c>
      <c r="K1482" s="142" t="s">
        <v>1181</v>
      </c>
      <c r="L1482" s="143">
        <f t="shared" si="46"/>
        <v>1</v>
      </c>
      <c r="M1482" s="144" t="s">
        <v>3791</v>
      </c>
      <c r="N1482" s="141" t="s">
        <v>3749</v>
      </c>
      <c r="O1482" s="142" t="s">
        <v>3751</v>
      </c>
      <c r="P1482" s="141" t="s">
        <v>3557</v>
      </c>
      <c r="Q1482" s="142" t="s">
        <v>3751</v>
      </c>
      <c r="R1482" s="141" t="s">
        <v>3755</v>
      </c>
      <c r="S1482" s="142" t="s">
        <v>3752</v>
      </c>
      <c r="T1482" s="141" t="s">
        <v>3756</v>
      </c>
      <c r="U1482" s="142" t="s">
        <v>3753</v>
      </c>
      <c r="V1482" s="142" t="s">
        <v>1181</v>
      </c>
      <c r="W1482" s="141">
        <f t="shared" si="47"/>
        <v>1</v>
      </c>
      <c r="X1482" s="143"/>
      <c r="Y1482" s="145"/>
      <c r="AA1482"/>
    </row>
    <row r="1483" spans="1:27" s="115" customFormat="1" ht="27">
      <c r="A1483" s="139">
        <v>1399</v>
      </c>
      <c r="B1483" s="140" t="s">
        <v>5847</v>
      </c>
      <c r="C1483" s="141" t="s">
        <v>3749</v>
      </c>
      <c r="D1483" s="142" t="s">
        <v>3750</v>
      </c>
      <c r="E1483" s="141" t="s">
        <v>3759</v>
      </c>
      <c r="F1483" s="142" t="s">
        <v>3751</v>
      </c>
      <c r="G1483" s="141" t="s">
        <v>3766</v>
      </c>
      <c r="H1483" s="142" t="s">
        <v>3752</v>
      </c>
      <c r="I1483" s="141" t="s">
        <v>3767</v>
      </c>
      <c r="J1483" s="142" t="s">
        <v>3753</v>
      </c>
      <c r="K1483" s="142" t="s">
        <v>1182</v>
      </c>
      <c r="L1483" s="143">
        <f t="shared" si="46"/>
        <v>1</v>
      </c>
      <c r="M1483" s="144" t="s">
        <v>3792</v>
      </c>
      <c r="N1483" s="141" t="s">
        <v>3749</v>
      </c>
      <c r="O1483" s="142" t="s">
        <v>3751</v>
      </c>
      <c r="P1483" s="141" t="s">
        <v>3557</v>
      </c>
      <c r="Q1483" s="142" t="s">
        <v>3751</v>
      </c>
      <c r="R1483" s="141" t="s">
        <v>3755</v>
      </c>
      <c r="S1483" s="142" t="s">
        <v>3752</v>
      </c>
      <c r="T1483" s="141" t="s">
        <v>3756</v>
      </c>
      <c r="U1483" s="142" t="s">
        <v>3753</v>
      </c>
      <c r="V1483" s="142" t="s">
        <v>1182</v>
      </c>
      <c r="W1483" s="141">
        <f t="shared" si="47"/>
        <v>1</v>
      </c>
      <c r="X1483" s="143"/>
      <c r="Y1483" s="145"/>
      <c r="AA1483"/>
    </row>
    <row r="1484" spans="1:27" s="115" customFormat="1">
      <c r="A1484" s="139">
        <v>1400</v>
      </c>
      <c r="B1484" s="140" t="s">
        <v>5848</v>
      </c>
      <c r="C1484" s="141" t="s">
        <v>3749</v>
      </c>
      <c r="D1484" s="142" t="s">
        <v>3750</v>
      </c>
      <c r="E1484" s="141" t="s">
        <v>3759</v>
      </c>
      <c r="F1484" s="142" t="s">
        <v>3751</v>
      </c>
      <c r="G1484" s="141" t="s">
        <v>3766</v>
      </c>
      <c r="H1484" s="142" t="s">
        <v>3774</v>
      </c>
      <c r="I1484" s="141" t="s">
        <v>3767</v>
      </c>
      <c r="J1484" s="142" t="s">
        <v>3774</v>
      </c>
      <c r="K1484" s="142" t="s">
        <v>1183</v>
      </c>
      <c r="L1484" s="143">
        <f t="shared" si="46"/>
        <v>1</v>
      </c>
      <c r="M1484" s="144" t="s">
        <v>3793</v>
      </c>
      <c r="N1484" s="141" t="s">
        <v>3749</v>
      </c>
      <c r="O1484" s="142" t="s">
        <v>3751</v>
      </c>
      <c r="P1484" s="141" t="s">
        <v>3557</v>
      </c>
      <c r="Q1484" s="142" t="s">
        <v>3751</v>
      </c>
      <c r="R1484" s="141" t="s">
        <v>3776</v>
      </c>
      <c r="S1484" s="142" t="s">
        <v>3774</v>
      </c>
      <c r="T1484" s="141" t="s">
        <v>3777</v>
      </c>
      <c r="U1484" s="142" t="s">
        <v>3774</v>
      </c>
      <c r="V1484" s="142" t="s">
        <v>1183</v>
      </c>
      <c r="W1484" s="141">
        <f t="shared" si="47"/>
        <v>1</v>
      </c>
      <c r="X1484" s="143"/>
      <c r="Y1484" s="145"/>
      <c r="AA1484"/>
    </row>
    <row r="1485" spans="1:27" s="115" customFormat="1">
      <c r="A1485" s="139">
        <v>1401</v>
      </c>
      <c r="B1485" s="140" t="s">
        <v>5849</v>
      </c>
      <c r="C1485" s="141" t="s">
        <v>3749</v>
      </c>
      <c r="D1485" s="142" t="s">
        <v>3750</v>
      </c>
      <c r="E1485" s="141" t="s">
        <v>3759</v>
      </c>
      <c r="F1485" s="142" t="s">
        <v>3751</v>
      </c>
      <c r="G1485" s="141" t="s">
        <v>3766</v>
      </c>
      <c r="H1485" s="142" t="s">
        <v>3752</v>
      </c>
      <c r="I1485" s="141" t="s">
        <v>3767</v>
      </c>
      <c r="J1485" s="142" t="s">
        <v>3782</v>
      </c>
      <c r="K1485" s="142" t="s">
        <v>1184</v>
      </c>
      <c r="L1485" s="143">
        <f t="shared" si="46"/>
        <v>1</v>
      </c>
      <c r="M1485" s="144" t="s">
        <v>3794</v>
      </c>
      <c r="N1485" s="141" t="s">
        <v>3749</v>
      </c>
      <c r="O1485" s="142" t="s">
        <v>3751</v>
      </c>
      <c r="P1485" s="141" t="s">
        <v>3557</v>
      </c>
      <c r="Q1485" s="142" t="s">
        <v>3751</v>
      </c>
      <c r="R1485" s="141" t="s">
        <v>3755</v>
      </c>
      <c r="S1485" s="142" t="s">
        <v>3752</v>
      </c>
      <c r="T1485" s="141" t="s">
        <v>3783</v>
      </c>
      <c r="U1485" s="142" t="s">
        <v>3782</v>
      </c>
      <c r="V1485" s="142" t="s">
        <v>1184</v>
      </c>
      <c r="W1485" s="141">
        <f t="shared" si="47"/>
        <v>2</v>
      </c>
      <c r="X1485" s="143">
        <v>1</v>
      </c>
      <c r="Y1485" s="145"/>
      <c r="AA1485"/>
    </row>
    <row r="1486" spans="1:27" s="115" customFormat="1" ht="13.5" customHeight="1">
      <c r="A1486" s="139">
        <v>1402</v>
      </c>
      <c r="B1486" s="140" t="s">
        <v>5850</v>
      </c>
      <c r="C1486" s="141" t="s">
        <v>3749</v>
      </c>
      <c r="D1486" s="142" t="s">
        <v>3750</v>
      </c>
      <c r="E1486" s="141" t="s">
        <v>3759</v>
      </c>
      <c r="F1486" s="142" t="s">
        <v>3751</v>
      </c>
      <c r="G1486" s="141" t="s">
        <v>3766</v>
      </c>
      <c r="H1486" s="142" t="s">
        <v>3752</v>
      </c>
      <c r="I1486" s="141" t="s">
        <v>3767</v>
      </c>
      <c r="J1486" s="142" t="s">
        <v>3782</v>
      </c>
      <c r="K1486" s="142" t="s">
        <v>1185</v>
      </c>
      <c r="L1486" s="143">
        <f t="shared" si="46"/>
        <v>1</v>
      </c>
      <c r="M1486" s="144" t="s">
        <v>3795</v>
      </c>
      <c r="N1486" s="141" t="s">
        <v>3749</v>
      </c>
      <c r="O1486" s="142" t="s">
        <v>3751</v>
      </c>
      <c r="P1486" s="141" t="s">
        <v>3557</v>
      </c>
      <c r="Q1486" s="142" t="s">
        <v>3751</v>
      </c>
      <c r="R1486" s="141" t="s">
        <v>3755</v>
      </c>
      <c r="S1486" s="142" t="s">
        <v>3752</v>
      </c>
      <c r="T1486" s="141" t="s">
        <v>3783</v>
      </c>
      <c r="U1486" s="142" t="s">
        <v>3782</v>
      </c>
      <c r="V1486" s="142" t="s">
        <v>1185</v>
      </c>
      <c r="W1486" s="141">
        <f t="shared" si="47"/>
        <v>1</v>
      </c>
      <c r="X1486" s="143"/>
      <c r="Y1486" s="145"/>
      <c r="AA1486"/>
    </row>
    <row r="1487" spans="1:27" s="115" customFormat="1" ht="13.5" customHeight="1">
      <c r="A1487" s="139">
        <v>1403</v>
      </c>
      <c r="B1487" s="140" t="s">
        <v>5852</v>
      </c>
      <c r="C1487" s="141" t="s">
        <v>3749</v>
      </c>
      <c r="D1487" s="142" t="s">
        <v>3750</v>
      </c>
      <c r="E1487" s="141" t="s">
        <v>3759</v>
      </c>
      <c r="F1487" s="142" t="s">
        <v>3751</v>
      </c>
      <c r="G1487" s="141" t="s">
        <v>3766</v>
      </c>
      <c r="H1487" s="142" t="s">
        <v>3752</v>
      </c>
      <c r="I1487" s="141" t="s">
        <v>3767</v>
      </c>
      <c r="J1487" s="142" t="s">
        <v>292</v>
      </c>
      <c r="K1487" s="142" t="s">
        <v>1186</v>
      </c>
      <c r="L1487" s="143">
        <f t="shared" si="46"/>
        <v>1</v>
      </c>
      <c r="M1487" s="144" t="s">
        <v>3796</v>
      </c>
      <c r="N1487" s="141" t="s">
        <v>3749</v>
      </c>
      <c r="O1487" s="142" t="s">
        <v>3751</v>
      </c>
      <c r="P1487" s="141" t="s">
        <v>3557</v>
      </c>
      <c r="Q1487" s="142" t="s">
        <v>3751</v>
      </c>
      <c r="R1487" s="141" t="s">
        <v>3755</v>
      </c>
      <c r="S1487" s="142" t="s">
        <v>3752</v>
      </c>
      <c r="T1487" s="141" t="s">
        <v>3780</v>
      </c>
      <c r="U1487" s="142" t="s">
        <v>292</v>
      </c>
      <c r="V1487" s="142" t="s">
        <v>1186</v>
      </c>
      <c r="W1487" s="141">
        <f t="shared" si="47"/>
        <v>2</v>
      </c>
      <c r="X1487" s="143">
        <v>1</v>
      </c>
      <c r="Y1487" s="145"/>
      <c r="AA1487"/>
    </row>
    <row r="1488" spans="1:27" s="115" customFormat="1" ht="13.5" customHeight="1">
      <c r="A1488" s="139">
        <v>1404</v>
      </c>
      <c r="B1488" s="140" t="s">
        <v>5853</v>
      </c>
      <c r="C1488" s="141" t="s">
        <v>3749</v>
      </c>
      <c r="D1488" s="142" t="s">
        <v>3750</v>
      </c>
      <c r="E1488" s="141" t="s">
        <v>3759</v>
      </c>
      <c r="F1488" s="142" t="s">
        <v>3751</v>
      </c>
      <c r="G1488" s="141" t="s">
        <v>3766</v>
      </c>
      <c r="H1488" s="142" t="s">
        <v>3752</v>
      </c>
      <c r="I1488" s="141" t="s">
        <v>3767</v>
      </c>
      <c r="J1488" s="142" t="s">
        <v>292</v>
      </c>
      <c r="K1488" s="142" t="s">
        <v>1187</v>
      </c>
      <c r="L1488" s="143">
        <f t="shared" si="46"/>
        <v>1</v>
      </c>
      <c r="M1488" s="144" t="s">
        <v>3797</v>
      </c>
      <c r="N1488" s="141" t="s">
        <v>3749</v>
      </c>
      <c r="O1488" s="142" t="s">
        <v>3751</v>
      </c>
      <c r="P1488" s="141" t="s">
        <v>3557</v>
      </c>
      <c r="Q1488" s="142" t="s">
        <v>3751</v>
      </c>
      <c r="R1488" s="141" t="s">
        <v>3755</v>
      </c>
      <c r="S1488" s="142" t="s">
        <v>3752</v>
      </c>
      <c r="T1488" s="141" t="s">
        <v>3780</v>
      </c>
      <c r="U1488" s="142" t="s">
        <v>292</v>
      </c>
      <c r="V1488" s="142" t="s">
        <v>1187</v>
      </c>
      <c r="W1488" s="141">
        <f t="shared" si="47"/>
        <v>2</v>
      </c>
      <c r="X1488" s="143">
        <v>1</v>
      </c>
      <c r="Y1488" s="145"/>
      <c r="AA1488"/>
    </row>
    <row r="1489" spans="1:27" s="115" customFormat="1" ht="13.5" customHeight="1">
      <c r="A1489" s="139">
        <v>1405</v>
      </c>
      <c r="B1489" s="140" t="s">
        <v>5854</v>
      </c>
      <c r="C1489" s="141" t="s">
        <v>3749</v>
      </c>
      <c r="D1489" s="142" t="s">
        <v>3750</v>
      </c>
      <c r="E1489" s="141" t="s">
        <v>3759</v>
      </c>
      <c r="F1489" s="142" t="s">
        <v>3751</v>
      </c>
      <c r="G1489" s="141" t="s">
        <v>3766</v>
      </c>
      <c r="H1489" s="142" t="s">
        <v>3752</v>
      </c>
      <c r="I1489" s="141" t="s">
        <v>3767</v>
      </c>
      <c r="J1489" s="142" t="s">
        <v>3788</v>
      </c>
      <c r="K1489" s="142" t="s">
        <v>1188</v>
      </c>
      <c r="L1489" s="143">
        <f t="shared" si="46"/>
        <v>1</v>
      </c>
      <c r="M1489" s="144" t="s">
        <v>3798</v>
      </c>
      <c r="N1489" s="141" t="s">
        <v>3749</v>
      </c>
      <c r="O1489" s="142" t="s">
        <v>3751</v>
      </c>
      <c r="P1489" s="141" t="s">
        <v>3557</v>
      </c>
      <c r="Q1489" s="142" t="s">
        <v>3751</v>
      </c>
      <c r="R1489" s="141" t="s">
        <v>3755</v>
      </c>
      <c r="S1489" s="142" t="s">
        <v>3752</v>
      </c>
      <c r="T1489" s="141" t="s">
        <v>3790</v>
      </c>
      <c r="U1489" s="142" t="s">
        <v>3788</v>
      </c>
      <c r="V1489" s="142" t="s">
        <v>1188</v>
      </c>
      <c r="W1489" s="141">
        <f t="shared" si="47"/>
        <v>1</v>
      </c>
      <c r="X1489" s="143"/>
      <c r="Y1489" s="145"/>
      <c r="AA1489"/>
    </row>
    <row r="1490" spans="1:27" s="115" customFormat="1" ht="13.5" customHeight="1">
      <c r="A1490" s="139">
        <v>1406</v>
      </c>
      <c r="B1490" s="140" t="s">
        <v>6112</v>
      </c>
      <c r="C1490" s="141" t="s">
        <v>3749</v>
      </c>
      <c r="D1490" s="142" t="s">
        <v>3750</v>
      </c>
      <c r="E1490" s="141" t="s">
        <v>3557</v>
      </c>
      <c r="F1490" s="142" t="s">
        <v>3751</v>
      </c>
      <c r="G1490" s="141" t="s">
        <v>3799</v>
      </c>
      <c r="H1490" s="142" t="s">
        <v>3800</v>
      </c>
      <c r="I1490" s="141" t="s">
        <v>3801</v>
      </c>
      <c r="J1490" s="142" t="s">
        <v>3802</v>
      </c>
      <c r="K1490" s="142" t="s">
        <v>3802</v>
      </c>
      <c r="L1490" s="143">
        <f t="shared" si="46"/>
        <v>1</v>
      </c>
      <c r="M1490" s="144" t="s">
        <v>3803</v>
      </c>
      <c r="N1490" s="141" t="s">
        <v>3749</v>
      </c>
      <c r="O1490" s="142" t="s">
        <v>3751</v>
      </c>
      <c r="P1490" s="141" t="s">
        <v>3557</v>
      </c>
      <c r="Q1490" s="142" t="s">
        <v>3751</v>
      </c>
      <c r="R1490" s="141" t="s">
        <v>3799</v>
      </c>
      <c r="S1490" s="142" t="s">
        <v>3800</v>
      </c>
      <c r="T1490" s="141" t="s">
        <v>3801</v>
      </c>
      <c r="U1490" s="142" t="s">
        <v>3802</v>
      </c>
      <c r="V1490" s="142" t="s">
        <v>3802</v>
      </c>
      <c r="W1490" s="141">
        <f t="shared" si="47"/>
        <v>1</v>
      </c>
      <c r="X1490" s="143"/>
      <c r="Y1490" s="145"/>
      <c r="AA1490"/>
    </row>
    <row r="1491" spans="1:27" s="115" customFormat="1">
      <c r="A1491" s="139">
        <v>1407</v>
      </c>
      <c r="B1491" s="140" t="s">
        <v>6113</v>
      </c>
      <c r="C1491" s="141" t="s">
        <v>3749</v>
      </c>
      <c r="D1491" s="142" t="s">
        <v>3750</v>
      </c>
      <c r="E1491" s="141" t="s">
        <v>3557</v>
      </c>
      <c r="F1491" s="142" t="s">
        <v>3751</v>
      </c>
      <c r="G1491" s="141" t="s">
        <v>3799</v>
      </c>
      <c r="H1491" s="142" t="s">
        <v>3800</v>
      </c>
      <c r="I1491" s="141" t="s">
        <v>3804</v>
      </c>
      <c r="J1491" s="142" t="s">
        <v>3805</v>
      </c>
      <c r="K1491" s="142" t="s">
        <v>3805</v>
      </c>
      <c r="L1491" s="143">
        <f t="shared" si="46"/>
        <v>1</v>
      </c>
      <c r="M1491" s="144" t="s">
        <v>3806</v>
      </c>
      <c r="N1491" s="141" t="s">
        <v>3749</v>
      </c>
      <c r="O1491" s="142" t="s">
        <v>3751</v>
      </c>
      <c r="P1491" s="141" t="s">
        <v>3557</v>
      </c>
      <c r="Q1491" s="142" t="s">
        <v>3751</v>
      </c>
      <c r="R1491" s="141" t="s">
        <v>3799</v>
      </c>
      <c r="S1491" s="142" t="s">
        <v>3800</v>
      </c>
      <c r="T1491" s="141" t="s">
        <v>3804</v>
      </c>
      <c r="U1491" s="142" t="s">
        <v>3805</v>
      </c>
      <c r="V1491" s="142" t="s">
        <v>3805</v>
      </c>
      <c r="W1491" s="141">
        <f t="shared" si="47"/>
        <v>1</v>
      </c>
      <c r="X1491" s="143"/>
      <c r="Y1491" s="145"/>
      <c r="AA1491"/>
    </row>
    <row r="1492" spans="1:27" s="115" customFormat="1">
      <c r="A1492" s="139">
        <v>1408</v>
      </c>
      <c r="B1492" s="140" t="s">
        <v>6114</v>
      </c>
      <c r="C1492" s="141" t="s">
        <v>3749</v>
      </c>
      <c r="D1492" s="142" t="s">
        <v>3750</v>
      </c>
      <c r="E1492" s="141" t="s">
        <v>3557</v>
      </c>
      <c r="F1492" s="142" t="s">
        <v>3751</v>
      </c>
      <c r="G1492" s="141" t="s">
        <v>3558</v>
      </c>
      <c r="H1492" s="142" t="s">
        <v>3807</v>
      </c>
      <c r="I1492" s="141" t="s">
        <v>3808</v>
      </c>
      <c r="J1492" s="142" t="s">
        <v>3809</v>
      </c>
      <c r="K1492" s="142" t="s">
        <v>3810</v>
      </c>
      <c r="L1492" s="143">
        <f t="shared" si="46"/>
        <v>1</v>
      </c>
      <c r="M1492" s="144" t="s">
        <v>3811</v>
      </c>
      <c r="N1492" s="141" t="s">
        <v>3749</v>
      </c>
      <c r="O1492" s="142" t="s">
        <v>3751</v>
      </c>
      <c r="P1492" s="141" t="s">
        <v>3557</v>
      </c>
      <c r="Q1492" s="142" t="s">
        <v>3751</v>
      </c>
      <c r="R1492" s="141" t="s">
        <v>3558</v>
      </c>
      <c r="S1492" s="142" t="s">
        <v>3807</v>
      </c>
      <c r="T1492" s="141" t="s">
        <v>3808</v>
      </c>
      <c r="U1492" s="142" t="s">
        <v>3809</v>
      </c>
      <c r="V1492" s="142" t="s">
        <v>3810</v>
      </c>
      <c r="W1492" s="141">
        <f t="shared" si="47"/>
        <v>1</v>
      </c>
      <c r="X1492" s="143"/>
      <c r="Y1492" s="145"/>
      <c r="AA1492"/>
    </row>
    <row r="1493" spans="1:27" s="115" customFormat="1">
      <c r="A1493" s="139">
        <v>1409</v>
      </c>
      <c r="B1493" s="140" t="s">
        <v>6115</v>
      </c>
      <c r="C1493" s="141" t="s">
        <v>3749</v>
      </c>
      <c r="D1493" s="142" t="s">
        <v>3750</v>
      </c>
      <c r="E1493" s="141" t="s">
        <v>3557</v>
      </c>
      <c r="F1493" s="142" t="s">
        <v>3751</v>
      </c>
      <c r="G1493" s="141" t="s">
        <v>3558</v>
      </c>
      <c r="H1493" s="142" t="s">
        <v>3807</v>
      </c>
      <c r="I1493" s="141" t="s">
        <v>3808</v>
      </c>
      <c r="J1493" s="142" t="s">
        <v>3809</v>
      </c>
      <c r="K1493" s="142" t="s">
        <v>3812</v>
      </c>
      <c r="L1493" s="143">
        <f t="shared" si="46"/>
        <v>1</v>
      </c>
      <c r="M1493" s="144" t="s">
        <v>3813</v>
      </c>
      <c r="N1493" s="141" t="s">
        <v>3749</v>
      </c>
      <c r="O1493" s="142" t="s">
        <v>3751</v>
      </c>
      <c r="P1493" s="141" t="s">
        <v>3557</v>
      </c>
      <c r="Q1493" s="142" t="s">
        <v>3751</v>
      </c>
      <c r="R1493" s="141" t="s">
        <v>3558</v>
      </c>
      <c r="S1493" s="142" t="s">
        <v>3807</v>
      </c>
      <c r="T1493" s="141" t="s">
        <v>3808</v>
      </c>
      <c r="U1493" s="142" t="s">
        <v>3809</v>
      </c>
      <c r="V1493" s="142" t="s">
        <v>3812</v>
      </c>
      <c r="W1493" s="141">
        <f t="shared" si="47"/>
        <v>1</v>
      </c>
      <c r="X1493" s="143"/>
      <c r="Y1493" s="145"/>
      <c r="AA1493"/>
    </row>
    <row r="1494" spans="1:27" s="115" customFormat="1">
      <c r="A1494" s="139">
        <v>1410</v>
      </c>
      <c r="B1494" s="140" t="s">
        <v>6116</v>
      </c>
      <c r="C1494" s="141" t="s">
        <v>3749</v>
      </c>
      <c r="D1494" s="142" t="s">
        <v>3750</v>
      </c>
      <c r="E1494" s="141" t="s">
        <v>3557</v>
      </c>
      <c r="F1494" s="142" t="s">
        <v>3751</v>
      </c>
      <c r="G1494" s="141" t="s">
        <v>3558</v>
      </c>
      <c r="H1494" s="142" t="s">
        <v>3807</v>
      </c>
      <c r="I1494" s="141" t="s">
        <v>3814</v>
      </c>
      <c r="J1494" s="142" t="s">
        <v>3815</v>
      </c>
      <c r="K1494" s="142" t="s">
        <v>3816</v>
      </c>
      <c r="L1494" s="143">
        <f t="shared" si="46"/>
        <v>1</v>
      </c>
      <c r="M1494" s="144" t="s">
        <v>3817</v>
      </c>
      <c r="N1494" s="141" t="s">
        <v>3749</v>
      </c>
      <c r="O1494" s="142" t="s">
        <v>3751</v>
      </c>
      <c r="P1494" s="141" t="s">
        <v>3557</v>
      </c>
      <c r="Q1494" s="142" t="s">
        <v>3751</v>
      </c>
      <c r="R1494" s="141" t="s">
        <v>3558</v>
      </c>
      <c r="S1494" s="142" t="s">
        <v>3807</v>
      </c>
      <c r="T1494" s="141" t="s">
        <v>3814</v>
      </c>
      <c r="U1494" s="142" t="s">
        <v>3815</v>
      </c>
      <c r="V1494" s="142" t="s">
        <v>3816</v>
      </c>
      <c r="W1494" s="141">
        <f t="shared" si="47"/>
        <v>1</v>
      </c>
      <c r="X1494" s="143"/>
      <c r="Y1494" s="145"/>
      <c r="AA1494"/>
    </row>
    <row r="1495" spans="1:27" s="115" customFormat="1">
      <c r="A1495" s="139">
        <v>1411</v>
      </c>
      <c r="B1495" s="140" t="s">
        <v>6117</v>
      </c>
      <c r="C1495" s="141" t="s">
        <v>3749</v>
      </c>
      <c r="D1495" s="142" t="s">
        <v>3750</v>
      </c>
      <c r="E1495" s="141" t="s">
        <v>3557</v>
      </c>
      <c r="F1495" s="142" t="s">
        <v>3751</v>
      </c>
      <c r="G1495" s="141" t="s">
        <v>3558</v>
      </c>
      <c r="H1495" s="142" t="s">
        <v>3807</v>
      </c>
      <c r="I1495" s="141" t="s">
        <v>3814</v>
      </c>
      <c r="J1495" s="142" t="s">
        <v>3815</v>
      </c>
      <c r="K1495" s="142" t="s">
        <v>3818</v>
      </c>
      <c r="L1495" s="143">
        <f t="shared" si="46"/>
        <v>1</v>
      </c>
      <c r="M1495" s="144" t="s">
        <v>3819</v>
      </c>
      <c r="N1495" s="141" t="s">
        <v>3749</v>
      </c>
      <c r="O1495" s="142" t="s">
        <v>3751</v>
      </c>
      <c r="P1495" s="141" t="s">
        <v>3557</v>
      </c>
      <c r="Q1495" s="142" t="s">
        <v>3751</v>
      </c>
      <c r="R1495" s="141" t="s">
        <v>3558</v>
      </c>
      <c r="S1495" s="142" t="s">
        <v>3807</v>
      </c>
      <c r="T1495" s="141" t="s">
        <v>3814</v>
      </c>
      <c r="U1495" s="142" t="s">
        <v>3815</v>
      </c>
      <c r="V1495" s="142" t="s">
        <v>3818</v>
      </c>
      <c r="W1495" s="141">
        <f t="shared" si="47"/>
        <v>1</v>
      </c>
      <c r="X1495" s="143"/>
      <c r="Y1495" s="145"/>
      <c r="AA1495"/>
    </row>
    <row r="1496" spans="1:27" s="115" customFormat="1">
      <c r="A1496" s="139">
        <v>1412</v>
      </c>
      <c r="B1496" s="140" t="s">
        <v>6118</v>
      </c>
      <c r="C1496" s="141" t="s">
        <v>3749</v>
      </c>
      <c r="D1496" s="142" t="s">
        <v>3750</v>
      </c>
      <c r="E1496" s="141" t="s">
        <v>3557</v>
      </c>
      <c r="F1496" s="142" t="s">
        <v>3751</v>
      </c>
      <c r="G1496" s="141" t="s">
        <v>3558</v>
      </c>
      <c r="H1496" s="142" t="s">
        <v>3807</v>
      </c>
      <c r="I1496" s="141" t="s">
        <v>3814</v>
      </c>
      <c r="J1496" s="142" t="s">
        <v>3815</v>
      </c>
      <c r="K1496" s="142" t="s">
        <v>3820</v>
      </c>
      <c r="L1496" s="143">
        <f t="shared" si="46"/>
        <v>1</v>
      </c>
      <c r="M1496" s="144" t="s">
        <v>3821</v>
      </c>
      <c r="N1496" s="141" t="s">
        <v>3749</v>
      </c>
      <c r="O1496" s="142" t="s">
        <v>3751</v>
      </c>
      <c r="P1496" s="141" t="s">
        <v>3557</v>
      </c>
      <c r="Q1496" s="142" t="s">
        <v>3751</v>
      </c>
      <c r="R1496" s="141" t="s">
        <v>3558</v>
      </c>
      <c r="S1496" s="142" t="s">
        <v>3807</v>
      </c>
      <c r="T1496" s="141" t="s">
        <v>3814</v>
      </c>
      <c r="U1496" s="142" t="s">
        <v>3815</v>
      </c>
      <c r="V1496" s="142" t="s">
        <v>3820</v>
      </c>
      <c r="W1496" s="141">
        <f t="shared" si="47"/>
        <v>1</v>
      </c>
      <c r="X1496" s="143"/>
      <c r="Y1496" s="145"/>
      <c r="AA1496"/>
    </row>
    <row r="1497" spans="1:27" s="115" customFormat="1">
      <c r="A1497" s="139">
        <v>1413</v>
      </c>
      <c r="B1497" s="140" t="s">
        <v>6119</v>
      </c>
      <c r="C1497" s="141" t="s">
        <v>3749</v>
      </c>
      <c r="D1497" s="142" t="s">
        <v>3750</v>
      </c>
      <c r="E1497" s="141" t="s">
        <v>3557</v>
      </c>
      <c r="F1497" s="142" t="s">
        <v>3751</v>
      </c>
      <c r="G1497" s="141" t="s">
        <v>3822</v>
      </c>
      <c r="H1497" s="142" t="s">
        <v>3823</v>
      </c>
      <c r="I1497" s="141" t="s">
        <v>3824</v>
      </c>
      <c r="J1497" s="142" t="s">
        <v>3823</v>
      </c>
      <c r="K1497" s="142" t="s">
        <v>3825</v>
      </c>
      <c r="L1497" s="143">
        <f t="shared" si="46"/>
        <v>1</v>
      </c>
      <c r="M1497" s="144" t="s">
        <v>3826</v>
      </c>
      <c r="N1497" s="141" t="s">
        <v>3749</v>
      </c>
      <c r="O1497" s="142" t="s">
        <v>3751</v>
      </c>
      <c r="P1497" s="141" t="s">
        <v>3557</v>
      </c>
      <c r="Q1497" s="142" t="s">
        <v>3751</v>
      </c>
      <c r="R1497" s="141" t="s">
        <v>3822</v>
      </c>
      <c r="S1497" s="142" t="s">
        <v>3823</v>
      </c>
      <c r="T1497" s="141" t="s">
        <v>3824</v>
      </c>
      <c r="U1497" s="142" t="s">
        <v>3823</v>
      </c>
      <c r="V1497" s="142" t="s">
        <v>3825</v>
      </c>
      <c r="W1497" s="141">
        <f t="shared" si="47"/>
        <v>1</v>
      </c>
      <c r="X1497" s="143"/>
      <c r="Y1497" s="145"/>
      <c r="AA1497"/>
    </row>
    <row r="1498" spans="1:27" s="115" customFormat="1">
      <c r="A1498" s="139">
        <v>1414</v>
      </c>
      <c r="B1498" s="140" t="s">
        <v>6120</v>
      </c>
      <c r="C1498" s="141" t="s">
        <v>3749</v>
      </c>
      <c r="D1498" s="142" t="s">
        <v>3750</v>
      </c>
      <c r="E1498" s="141" t="s">
        <v>3557</v>
      </c>
      <c r="F1498" s="142" t="s">
        <v>3751</v>
      </c>
      <c r="G1498" s="141" t="s">
        <v>3822</v>
      </c>
      <c r="H1498" s="142" t="s">
        <v>3823</v>
      </c>
      <c r="I1498" s="141" t="s">
        <v>3824</v>
      </c>
      <c r="J1498" s="142" t="s">
        <v>3823</v>
      </c>
      <c r="K1498" s="142" t="s">
        <v>3827</v>
      </c>
      <c r="L1498" s="143">
        <f t="shared" si="46"/>
        <v>1</v>
      </c>
      <c r="M1498" s="144" t="s">
        <v>3828</v>
      </c>
      <c r="N1498" s="141" t="s">
        <v>3749</v>
      </c>
      <c r="O1498" s="142" t="s">
        <v>3751</v>
      </c>
      <c r="P1498" s="141" t="s">
        <v>3557</v>
      </c>
      <c r="Q1498" s="142" t="s">
        <v>3751</v>
      </c>
      <c r="R1498" s="141" t="s">
        <v>3822</v>
      </c>
      <c r="S1498" s="142" t="s">
        <v>3823</v>
      </c>
      <c r="T1498" s="141" t="s">
        <v>3824</v>
      </c>
      <c r="U1498" s="142" t="s">
        <v>3823</v>
      </c>
      <c r="V1498" s="142" t="s">
        <v>3827</v>
      </c>
      <c r="W1498" s="141">
        <f t="shared" si="47"/>
        <v>1</v>
      </c>
      <c r="X1498" s="143"/>
      <c r="Y1498" s="145"/>
      <c r="AA1498"/>
    </row>
    <row r="1499" spans="1:27" s="115" customFormat="1">
      <c r="A1499" s="139">
        <v>1415</v>
      </c>
      <c r="B1499" s="140" t="s">
        <v>6121</v>
      </c>
      <c r="C1499" s="141" t="s">
        <v>3749</v>
      </c>
      <c r="D1499" s="142" t="s">
        <v>3750</v>
      </c>
      <c r="E1499" s="141" t="s">
        <v>3557</v>
      </c>
      <c r="F1499" s="142" t="s">
        <v>3751</v>
      </c>
      <c r="G1499" s="141" t="s">
        <v>3822</v>
      </c>
      <c r="H1499" s="142" t="s">
        <v>3823</v>
      </c>
      <c r="I1499" s="141" t="s">
        <v>3824</v>
      </c>
      <c r="J1499" s="142" t="s">
        <v>3823</v>
      </c>
      <c r="K1499" s="142" t="s">
        <v>3829</v>
      </c>
      <c r="L1499" s="143">
        <f t="shared" si="46"/>
        <v>1</v>
      </c>
      <c r="M1499" s="144" t="s">
        <v>3830</v>
      </c>
      <c r="N1499" s="141" t="s">
        <v>3749</v>
      </c>
      <c r="O1499" s="142" t="s">
        <v>3751</v>
      </c>
      <c r="P1499" s="141" t="s">
        <v>3557</v>
      </c>
      <c r="Q1499" s="142" t="s">
        <v>3751</v>
      </c>
      <c r="R1499" s="141" t="s">
        <v>3822</v>
      </c>
      <c r="S1499" s="142" t="s">
        <v>3823</v>
      </c>
      <c r="T1499" s="141" t="s">
        <v>3824</v>
      </c>
      <c r="U1499" s="142" t="s">
        <v>3823</v>
      </c>
      <c r="V1499" s="142" t="s">
        <v>3829</v>
      </c>
      <c r="W1499" s="141">
        <f t="shared" si="47"/>
        <v>1</v>
      </c>
      <c r="X1499" s="143"/>
      <c r="Y1499" s="145"/>
      <c r="AA1499"/>
    </row>
    <row r="1500" spans="1:27" s="115" customFormat="1" ht="13.5" customHeight="1">
      <c r="A1500" s="139">
        <v>1416</v>
      </c>
      <c r="B1500" s="140" t="s">
        <v>6122</v>
      </c>
      <c r="C1500" s="141" t="s">
        <v>3749</v>
      </c>
      <c r="D1500" s="142" t="s">
        <v>3750</v>
      </c>
      <c r="E1500" s="141" t="s">
        <v>3557</v>
      </c>
      <c r="F1500" s="142" t="s">
        <v>3751</v>
      </c>
      <c r="G1500" s="141" t="s">
        <v>3764</v>
      </c>
      <c r="H1500" s="142" t="s">
        <v>3761</v>
      </c>
      <c r="I1500" s="141" t="s">
        <v>3831</v>
      </c>
      <c r="J1500" s="142" t="s">
        <v>3832</v>
      </c>
      <c r="K1500" s="142" t="s">
        <v>3832</v>
      </c>
      <c r="L1500" s="143">
        <f t="shared" ref="L1500:L1532" si="48">COUNTIF($B$5:$B$1752,B1500)</f>
        <v>1</v>
      </c>
      <c r="M1500" s="144" t="s">
        <v>3833</v>
      </c>
      <c r="N1500" s="141" t="s">
        <v>3749</v>
      </c>
      <c r="O1500" s="142" t="s">
        <v>3751</v>
      </c>
      <c r="P1500" s="141" t="s">
        <v>3557</v>
      </c>
      <c r="Q1500" s="142" t="s">
        <v>3751</v>
      </c>
      <c r="R1500" s="141" t="s">
        <v>3764</v>
      </c>
      <c r="S1500" s="142" t="s">
        <v>3761</v>
      </c>
      <c r="T1500" s="141" t="s">
        <v>3831</v>
      </c>
      <c r="U1500" s="142" t="s">
        <v>3832</v>
      </c>
      <c r="V1500" s="142" t="s">
        <v>3832</v>
      </c>
      <c r="W1500" s="141">
        <f t="shared" ref="W1500:W1532" si="49">COUNTIF($M$5:$M$1756,M1500)</f>
        <v>1</v>
      </c>
      <c r="X1500" s="143"/>
      <c r="Y1500" s="145"/>
      <c r="AA1500"/>
    </row>
    <row r="1501" spans="1:27" s="115" customFormat="1" ht="13.5" customHeight="1">
      <c r="A1501" s="139">
        <v>1417</v>
      </c>
      <c r="B1501" s="140" t="s">
        <v>6123</v>
      </c>
      <c r="C1501" s="141" t="s">
        <v>3749</v>
      </c>
      <c r="D1501" s="142" t="s">
        <v>3750</v>
      </c>
      <c r="E1501" s="141" t="s">
        <v>3557</v>
      </c>
      <c r="F1501" s="142" t="s">
        <v>3751</v>
      </c>
      <c r="G1501" s="141" t="s">
        <v>3764</v>
      </c>
      <c r="H1501" s="142" t="s">
        <v>3761</v>
      </c>
      <c r="I1501" s="141" t="s">
        <v>3834</v>
      </c>
      <c r="J1501" s="142" t="s">
        <v>3835</v>
      </c>
      <c r="K1501" s="142" t="s">
        <v>3835</v>
      </c>
      <c r="L1501" s="143">
        <f t="shared" si="48"/>
        <v>1</v>
      </c>
      <c r="M1501" s="144" t="s">
        <v>3836</v>
      </c>
      <c r="N1501" s="141" t="s">
        <v>3749</v>
      </c>
      <c r="O1501" s="142" t="s">
        <v>3751</v>
      </c>
      <c r="P1501" s="141" t="s">
        <v>3557</v>
      </c>
      <c r="Q1501" s="142" t="s">
        <v>3751</v>
      </c>
      <c r="R1501" s="141" t="s">
        <v>3764</v>
      </c>
      <c r="S1501" s="142" t="s">
        <v>3761</v>
      </c>
      <c r="T1501" s="141" t="s">
        <v>3834</v>
      </c>
      <c r="U1501" s="142" t="s">
        <v>3835</v>
      </c>
      <c r="V1501" s="142" t="s">
        <v>3835</v>
      </c>
      <c r="W1501" s="141">
        <f t="shared" si="49"/>
        <v>1</v>
      </c>
      <c r="X1501" s="143"/>
      <c r="Y1501" s="145"/>
      <c r="AA1501"/>
    </row>
    <row r="1502" spans="1:27" s="115" customFormat="1" ht="27" customHeight="1">
      <c r="A1502" s="139">
        <v>1418</v>
      </c>
      <c r="B1502" s="140" t="s">
        <v>6124</v>
      </c>
      <c r="C1502" s="141" t="s">
        <v>3749</v>
      </c>
      <c r="D1502" s="142" t="s">
        <v>3750</v>
      </c>
      <c r="E1502" s="141" t="s">
        <v>3557</v>
      </c>
      <c r="F1502" s="142" t="s">
        <v>3751</v>
      </c>
      <c r="G1502" s="141" t="s">
        <v>3755</v>
      </c>
      <c r="H1502" s="142" t="s">
        <v>3761</v>
      </c>
      <c r="I1502" s="141" t="s">
        <v>3837</v>
      </c>
      <c r="J1502" s="142" t="s">
        <v>3838</v>
      </c>
      <c r="K1502" s="142" t="s">
        <v>3838</v>
      </c>
      <c r="L1502" s="143">
        <f t="shared" si="48"/>
        <v>1</v>
      </c>
      <c r="M1502" s="144" t="s">
        <v>3839</v>
      </c>
      <c r="N1502" s="146" t="s">
        <v>3749</v>
      </c>
      <c r="O1502" s="147" t="s">
        <v>3751</v>
      </c>
      <c r="P1502" s="146" t="s">
        <v>3557</v>
      </c>
      <c r="Q1502" s="147" t="s">
        <v>3751</v>
      </c>
      <c r="R1502" s="146" t="s">
        <v>3755</v>
      </c>
      <c r="S1502" s="147" t="s">
        <v>3761</v>
      </c>
      <c r="T1502" s="146" t="s">
        <v>3837</v>
      </c>
      <c r="U1502" s="147" t="s">
        <v>3838</v>
      </c>
      <c r="V1502" s="147" t="s">
        <v>3838</v>
      </c>
      <c r="W1502" s="141">
        <f t="shared" si="49"/>
        <v>1</v>
      </c>
      <c r="X1502" s="143"/>
      <c r="Y1502" s="145"/>
      <c r="AA1502"/>
    </row>
    <row r="1503" spans="1:27" s="115" customFormat="1" ht="27" customHeight="1">
      <c r="A1503" s="139">
        <v>1419</v>
      </c>
      <c r="B1503" s="140" t="s">
        <v>5917</v>
      </c>
      <c r="C1503" s="141" t="s">
        <v>3749</v>
      </c>
      <c r="D1503" s="142" t="s">
        <v>3750</v>
      </c>
      <c r="E1503" s="141" t="s">
        <v>2157</v>
      </c>
      <c r="F1503" s="142" t="s">
        <v>3751</v>
      </c>
      <c r="G1503" s="141" t="s">
        <v>3241</v>
      </c>
      <c r="H1503" s="142" t="s">
        <v>3752</v>
      </c>
      <c r="I1503" s="141" t="s">
        <v>3840</v>
      </c>
      <c r="J1503" s="142" t="s">
        <v>3753</v>
      </c>
      <c r="K1503" s="142" t="s">
        <v>1177</v>
      </c>
      <c r="L1503" s="143">
        <f t="shared" si="48"/>
        <v>1</v>
      </c>
      <c r="M1503" s="144">
        <v>85613</v>
      </c>
      <c r="N1503" s="141" t="s">
        <v>3749</v>
      </c>
      <c r="O1503" s="142" t="s">
        <v>3751</v>
      </c>
      <c r="P1503" s="141" t="s">
        <v>3557</v>
      </c>
      <c r="Q1503" s="142" t="s">
        <v>3751</v>
      </c>
      <c r="R1503" s="141" t="s">
        <v>3755</v>
      </c>
      <c r="S1503" s="142" t="s">
        <v>3752</v>
      </c>
      <c r="T1503" s="141" t="s">
        <v>3756</v>
      </c>
      <c r="U1503" s="142" t="s">
        <v>3753</v>
      </c>
      <c r="V1503" s="142" t="s">
        <v>1177</v>
      </c>
      <c r="W1503" s="141">
        <f t="shared" si="49"/>
        <v>2</v>
      </c>
      <c r="X1503" s="143"/>
      <c r="Y1503" s="145" t="s">
        <v>3841</v>
      </c>
      <c r="AA1503"/>
    </row>
    <row r="1504" spans="1:27" s="115" customFormat="1" ht="27" customHeight="1">
      <c r="A1504" s="139">
        <v>1420</v>
      </c>
      <c r="B1504" s="140" t="s">
        <v>5997</v>
      </c>
      <c r="C1504" s="141" t="s">
        <v>3749</v>
      </c>
      <c r="D1504" s="142" t="s">
        <v>3750</v>
      </c>
      <c r="E1504" s="141" t="s">
        <v>3563</v>
      </c>
      <c r="F1504" s="142" t="s">
        <v>3751</v>
      </c>
      <c r="G1504" s="141" t="s">
        <v>3564</v>
      </c>
      <c r="H1504" s="142" t="s">
        <v>3842</v>
      </c>
      <c r="I1504" s="141" t="s">
        <v>3565</v>
      </c>
      <c r="J1504" s="142" t="s">
        <v>3842</v>
      </c>
      <c r="K1504" s="142" t="s">
        <v>294</v>
      </c>
      <c r="L1504" s="143">
        <f t="shared" si="48"/>
        <v>1</v>
      </c>
      <c r="M1504" s="144" t="s">
        <v>3843</v>
      </c>
      <c r="N1504" s="141" t="s">
        <v>3749</v>
      </c>
      <c r="O1504" s="142" t="s">
        <v>3751</v>
      </c>
      <c r="P1504" s="141" t="s">
        <v>3557</v>
      </c>
      <c r="Q1504" s="142" t="s">
        <v>3751</v>
      </c>
      <c r="R1504" s="141" t="s">
        <v>3844</v>
      </c>
      <c r="S1504" s="142" t="s">
        <v>3842</v>
      </c>
      <c r="T1504" s="141" t="s">
        <v>3845</v>
      </c>
      <c r="U1504" s="142" t="s">
        <v>3842</v>
      </c>
      <c r="V1504" s="142" t="s">
        <v>294</v>
      </c>
      <c r="W1504" s="141">
        <f t="shared" si="49"/>
        <v>1</v>
      </c>
      <c r="X1504" s="143"/>
      <c r="Y1504" s="145"/>
      <c r="AA1504"/>
    </row>
    <row r="1505" spans="1:27" s="115" customFormat="1" ht="27" customHeight="1">
      <c r="A1505" s="139">
        <v>1421</v>
      </c>
      <c r="B1505" s="140" t="s">
        <v>6001</v>
      </c>
      <c r="C1505" s="141" t="s">
        <v>3749</v>
      </c>
      <c r="D1505" s="142" t="s">
        <v>3750</v>
      </c>
      <c r="E1505" s="141" t="s">
        <v>3563</v>
      </c>
      <c r="F1505" s="142" t="s">
        <v>3751</v>
      </c>
      <c r="G1505" s="141" t="s">
        <v>3564</v>
      </c>
      <c r="H1505" s="142" t="s">
        <v>3842</v>
      </c>
      <c r="I1505" s="141" t="s">
        <v>3565</v>
      </c>
      <c r="J1505" s="142" t="s">
        <v>3842</v>
      </c>
      <c r="K1505" s="142" t="s">
        <v>295</v>
      </c>
      <c r="L1505" s="143">
        <f t="shared" si="48"/>
        <v>1</v>
      </c>
      <c r="M1505" s="144" t="s">
        <v>3846</v>
      </c>
      <c r="N1505" s="141" t="s">
        <v>3749</v>
      </c>
      <c r="O1505" s="142" t="s">
        <v>3751</v>
      </c>
      <c r="P1505" s="141" t="s">
        <v>3557</v>
      </c>
      <c r="Q1505" s="142" t="s">
        <v>3751</v>
      </c>
      <c r="R1505" s="141" t="s">
        <v>3844</v>
      </c>
      <c r="S1505" s="142" t="s">
        <v>3842</v>
      </c>
      <c r="T1505" s="141" t="s">
        <v>3845</v>
      </c>
      <c r="U1505" s="142" t="s">
        <v>3842</v>
      </c>
      <c r="V1505" s="142" t="s">
        <v>295</v>
      </c>
      <c r="W1505" s="141">
        <f t="shared" si="49"/>
        <v>1</v>
      </c>
      <c r="X1505" s="143"/>
      <c r="Y1505" s="145"/>
      <c r="AA1505"/>
    </row>
    <row r="1506" spans="1:27" s="115" customFormat="1" ht="27" customHeight="1">
      <c r="A1506" s="139">
        <v>1422</v>
      </c>
      <c r="B1506" s="140" t="s">
        <v>5855</v>
      </c>
      <c r="C1506" s="141" t="s">
        <v>3847</v>
      </c>
      <c r="D1506" s="142" t="s">
        <v>3848</v>
      </c>
      <c r="E1506" s="141" t="s">
        <v>3557</v>
      </c>
      <c r="F1506" s="142" t="s">
        <v>3849</v>
      </c>
      <c r="G1506" s="141" t="s">
        <v>3799</v>
      </c>
      <c r="H1506" s="142" t="s">
        <v>3850</v>
      </c>
      <c r="I1506" s="141" t="s">
        <v>3801</v>
      </c>
      <c r="J1506" s="142" t="s">
        <v>3850</v>
      </c>
      <c r="K1506" s="142" t="s">
        <v>1189</v>
      </c>
      <c r="L1506" s="143">
        <f t="shared" si="48"/>
        <v>1</v>
      </c>
      <c r="M1506" s="144" t="s">
        <v>3851</v>
      </c>
      <c r="N1506" s="146" t="s">
        <v>3847</v>
      </c>
      <c r="O1506" s="147" t="s">
        <v>3848</v>
      </c>
      <c r="P1506" s="146" t="s">
        <v>3852</v>
      </c>
      <c r="Q1506" s="147" t="s">
        <v>3849</v>
      </c>
      <c r="R1506" s="146" t="s">
        <v>3853</v>
      </c>
      <c r="S1506" s="147" t="s">
        <v>3850</v>
      </c>
      <c r="T1506" s="146" t="s">
        <v>3854</v>
      </c>
      <c r="U1506" s="147" t="s">
        <v>3850</v>
      </c>
      <c r="V1506" s="147" t="s">
        <v>1189</v>
      </c>
      <c r="W1506" s="141">
        <f t="shared" si="49"/>
        <v>1</v>
      </c>
      <c r="X1506" s="143"/>
      <c r="Y1506" s="145"/>
      <c r="AA1506"/>
    </row>
    <row r="1507" spans="1:27" s="115" customFormat="1" ht="27" customHeight="1">
      <c r="A1507" s="139">
        <v>1423</v>
      </c>
      <c r="B1507" s="140" t="s">
        <v>5856</v>
      </c>
      <c r="C1507" s="141" t="s">
        <v>3847</v>
      </c>
      <c r="D1507" s="142" t="s">
        <v>3848</v>
      </c>
      <c r="E1507" s="141" t="s">
        <v>3557</v>
      </c>
      <c r="F1507" s="142" t="s">
        <v>3849</v>
      </c>
      <c r="G1507" s="141" t="s">
        <v>3799</v>
      </c>
      <c r="H1507" s="142" t="s">
        <v>3850</v>
      </c>
      <c r="I1507" s="141" t="s">
        <v>3801</v>
      </c>
      <c r="J1507" s="142" t="s">
        <v>3850</v>
      </c>
      <c r="K1507" s="142" t="s">
        <v>42</v>
      </c>
      <c r="L1507" s="143">
        <f t="shared" si="48"/>
        <v>1</v>
      </c>
      <c r="M1507" s="144" t="s">
        <v>3855</v>
      </c>
      <c r="N1507" s="141" t="s">
        <v>3847</v>
      </c>
      <c r="O1507" s="142" t="s">
        <v>3848</v>
      </c>
      <c r="P1507" s="141" t="s">
        <v>3852</v>
      </c>
      <c r="Q1507" s="142" t="s">
        <v>3849</v>
      </c>
      <c r="R1507" s="141" t="s">
        <v>3853</v>
      </c>
      <c r="S1507" s="142" t="s">
        <v>3850</v>
      </c>
      <c r="T1507" s="141" t="s">
        <v>3854</v>
      </c>
      <c r="U1507" s="142" t="s">
        <v>3850</v>
      </c>
      <c r="V1507" s="142" t="s">
        <v>42</v>
      </c>
      <c r="W1507" s="141">
        <f t="shared" si="49"/>
        <v>1</v>
      </c>
      <c r="X1507" s="143"/>
      <c r="Y1507" s="145"/>
      <c r="AA1507"/>
    </row>
    <row r="1508" spans="1:27" s="115" customFormat="1" ht="27" customHeight="1">
      <c r="A1508" s="139">
        <v>1424</v>
      </c>
      <c r="B1508" s="140" t="s">
        <v>5857</v>
      </c>
      <c r="C1508" s="141" t="s">
        <v>3847</v>
      </c>
      <c r="D1508" s="142" t="s">
        <v>3848</v>
      </c>
      <c r="E1508" s="141" t="s">
        <v>3557</v>
      </c>
      <c r="F1508" s="142" t="s">
        <v>3849</v>
      </c>
      <c r="G1508" s="141" t="s">
        <v>3799</v>
      </c>
      <c r="H1508" s="142" t="s">
        <v>3850</v>
      </c>
      <c r="I1508" s="141" t="s">
        <v>3801</v>
      </c>
      <c r="J1508" s="142" t="s">
        <v>3850</v>
      </c>
      <c r="K1508" s="142" t="s">
        <v>43</v>
      </c>
      <c r="L1508" s="143">
        <f t="shared" si="48"/>
        <v>1</v>
      </c>
      <c r="M1508" s="144" t="s">
        <v>3856</v>
      </c>
      <c r="N1508" s="141" t="s">
        <v>3847</v>
      </c>
      <c r="O1508" s="142" t="s">
        <v>3848</v>
      </c>
      <c r="P1508" s="141" t="s">
        <v>3852</v>
      </c>
      <c r="Q1508" s="142" t="s">
        <v>3849</v>
      </c>
      <c r="R1508" s="141" t="s">
        <v>3853</v>
      </c>
      <c r="S1508" s="142" t="s">
        <v>3850</v>
      </c>
      <c r="T1508" s="141" t="s">
        <v>3854</v>
      </c>
      <c r="U1508" s="142" t="s">
        <v>3850</v>
      </c>
      <c r="V1508" s="142" t="s">
        <v>43</v>
      </c>
      <c r="W1508" s="141">
        <f t="shared" si="49"/>
        <v>1</v>
      </c>
      <c r="X1508" s="143"/>
      <c r="Y1508" s="145"/>
      <c r="AA1508"/>
    </row>
    <row r="1509" spans="1:27" s="115" customFormat="1" ht="27" customHeight="1">
      <c r="A1509" s="139">
        <v>1425</v>
      </c>
      <c r="B1509" s="140" t="s">
        <v>5858</v>
      </c>
      <c r="C1509" s="141" t="s">
        <v>3847</v>
      </c>
      <c r="D1509" s="142" t="s">
        <v>3848</v>
      </c>
      <c r="E1509" s="141" t="s">
        <v>3557</v>
      </c>
      <c r="F1509" s="142" t="s">
        <v>3849</v>
      </c>
      <c r="G1509" s="141" t="s">
        <v>3799</v>
      </c>
      <c r="H1509" s="142" t="s">
        <v>3850</v>
      </c>
      <c r="I1509" s="141" t="s">
        <v>3801</v>
      </c>
      <c r="J1509" s="142" t="s">
        <v>3850</v>
      </c>
      <c r="K1509" s="142" t="s">
        <v>1190</v>
      </c>
      <c r="L1509" s="143">
        <f t="shared" si="48"/>
        <v>1</v>
      </c>
      <c r="M1509" s="144" t="s">
        <v>3857</v>
      </c>
      <c r="N1509" s="141" t="s">
        <v>3847</v>
      </c>
      <c r="O1509" s="142" t="s">
        <v>3848</v>
      </c>
      <c r="P1509" s="141" t="s">
        <v>3852</v>
      </c>
      <c r="Q1509" s="142" t="s">
        <v>3849</v>
      </c>
      <c r="R1509" s="141" t="s">
        <v>3853</v>
      </c>
      <c r="S1509" s="142" t="s">
        <v>3850</v>
      </c>
      <c r="T1509" s="141" t="s">
        <v>3854</v>
      </c>
      <c r="U1509" s="142" t="s">
        <v>3850</v>
      </c>
      <c r="V1509" s="142" t="s">
        <v>1190</v>
      </c>
      <c r="W1509" s="141">
        <f t="shared" si="49"/>
        <v>1</v>
      </c>
      <c r="X1509" s="143"/>
      <c r="Y1509" s="145"/>
      <c r="AA1509"/>
    </row>
    <row r="1510" spans="1:27" s="115" customFormat="1" ht="27" customHeight="1">
      <c r="A1510" s="139">
        <v>1426</v>
      </c>
      <c r="B1510" s="140" t="s">
        <v>5859</v>
      </c>
      <c r="C1510" s="141" t="s">
        <v>3847</v>
      </c>
      <c r="D1510" s="142" t="s">
        <v>3848</v>
      </c>
      <c r="E1510" s="141" t="s">
        <v>3557</v>
      </c>
      <c r="F1510" s="142" t="s">
        <v>3849</v>
      </c>
      <c r="G1510" s="141" t="s">
        <v>3799</v>
      </c>
      <c r="H1510" s="142" t="s">
        <v>3850</v>
      </c>
      <c r="I1510" s="141" t="s">
        <v>3801</v>
      </c>
      <c r="J1510" s="142" t="s">
        <v>3850</v>
      </c>
      <c r="K1510" s="142" t="s">
        <v>1191</v>
      </c>
      <c r="L1510" s="143">
        <f t="shared" si="48"/>
        <v>1</v>
      </c>
      <c r="M1510" s="144" t="s">
        <v>3858</v>
      </c>
      <c r="N1510" s="141" t="s">
        <v>3847</v>
      </c>
      <c r="O1510" s="142" t="s">
        <v>3848</v>
      </c>
      <c r="P1510" s="141" t="s">
        <v>3852</v>
      </c>
      <c r="Q1510" s="142" t="s">
        <v>3849</v>
      </c>
      <c r="R1510" s="141" t="s">
        <v>3853</v>
      </c>
      <c r="S1510" s="142" t="s">
        <v>3850</v>
      </c>
      <c r="T1510" s="141" t="s">
        <v>3854</v>
      </c>
      <c r="U1510" s="142" t="s">
        <v>3850</v>
      </c>
      <c r="V1510" s="142" t="s">
        <v>1191</v>
      </c>
      <c r="W1510" s="141">
        <f t="shared" si="49"/>
        <v>1</v>
      </c>
      <c r="X1510" s="143"/>
      <c r="Y1510" s="145"/>
      <c r="AA1510"/>
    </row>
    <row r="1511" spans="1:27" s="115" customFormat="1" ht="27" customHeight="1">
      <c r="A1511" s="139">
        <v>1427</v>
      </c>
      <c r="B1511" s="140" t="s">
        <v>5860</v>
      </c>
      <c r="C1511" s="141" t="s">
        <v>3847</v>
      </c>
      <c r="D1511" s="142" t="s">
        <v>3848</v>
      </c>
      <c r="E1511" s="141" t="s">
        <v>3557</v>
      </c>
      <c r="F1511" s="142" t="s">
        <v>3849</v>
      </c>
      <c r="G1511" s="141" t="s">
        <v>3799</v>
      </c>
      <c r="H1511" s="142" t="s">
        <v>3859</v>
      </c>
      <c r="I1511" s="141" t="s">
        <v>3804</v>
      </c>
      <c r="J1511" s="142" t="s">
        <v>3859</v>
      </c>
      <c r="K1511" s="142" t="s">
        <v>296</v>
      </c>
      <c r="L1511" s="143">
        <f t="shared" si="48"/>
        <v>1</v>
      </c>
      <c r="M1511" s="144" t="s">
        <v>3860</v>
      </c>
      <c r="N1511" s="141" t="s">
        <v>3847</v>
      </c>
      <c r="O1511" s="142" t="s">
        <v>3848</v>
      </c>
      <c r="P1511" s="141" t="s">
        <v>3852</v>
      </c>
      <c r="Q1511" s="142" t="s">
        <v>3849</v>
      </c>
      <c r="R1511" s="141" t="s">
        <v>3861</v>
      </c>
      <c r="S1511" s="142" t="s">
        <v>3859</v>
      </c>
      <c r="T1511" s="141" t="s">
        <v>3862</v>
      </c>
      <c r="U1511" s="142" t="s">
        <v>3859</v>
      </c>
      <c r="V1511" s="142" t="s">
        <v>296</v>
      </c>
      <c r="W1511" s="141">
        <f t="shared" si="49"/>
        <v>9</v>
      </c>
      <c r="X1511" s="143">
        <v>2</v>
      </c>
      <c r="Y1511" s="145" t="s">
        <v>3863</v>
      </c>
      <c r="AA1511"/>
    </row>
    <row r="1512" spans="1:27" s="115" customFormat="1" ht="27" customHeight="1">
      <c r="A1512" s="139">
        <v>1428</v>
      </c>
      <c r="B1512" s="140" t="s">
        <v>5861</v>
      </c>
      <c r="C1512" s="141" t="s">
        <v>3847</v>
      </c>
      <c r="D1512" s="142" t="s">
        <v>3848</v>
      </c>
      <c r="E1512" s="141" t="s">
        <v>3557</v>
      </c>
      <c r="F1512" s="142" t="s">
        <v>3849</v>
      </c>
      <c r="G1512" s="141" t="s">
        <v>3799</v>
      </c>
      <c r="H1512" s="142" t="s">
        <v>3859</v>
      </c>
      <c r="I1512" s="141" t="s">
        <v>3804</v>
      </c>
      <c r="J1512" s="142" t="s">
        <v>3859</v>
      </c>
      <c r="K1512" s="142" t="s">
        <v>296</v>
      </c>
      <c r="L1512" s="143">
        <f t="shared" si="48"/>
        <v>1</v>
      </c>
      <c r="M1512" s="144" t="s">
        <v>3860</v>
      </c>
      <c r="N1512" s="141" t="s">
        <v>3847</v>
      </c>
      <c r="O1512" s="142" t="s">
        <v>3848</v>
      </c>
      <c r="P1512" s="141" t="s">
        <v>3852</v>
      </c>
      <c r="Q1512" s="142" t="s">
        <v>3849</v>
      </c>
      <c r="R1512" s="141" t="s">
        <v>3861</v>
      </c>
      <c r="S1512" s="142" t="s">
        <v>3859</v>
      </c>
      <c r="T1512" s="141" t="s">
        <v>3862</v>
      </c>
      <c r="U1512" s="142" t="s">
        <v>3859</v>
      </c>
      <c r="V1512" s="142" t="s">
        <v>296</v>
      </c>
      <c r="W1512" s="141">
        <f t="shared" si="49"/>
        <v>9</v>
      </c>
      <c r="X1512" s="143">
        <v>2</v>
      </c>
      <c r="Y1512" s="145" t="s">
        <v>3864</v>
      </c>
      <c r="AA1512"/>
    </row>
    <row r="1513" spans="1:27" s="115" customFormat="1" ht="27" customHeight="1">
      <c r="A1513" s="139">
        <v>1429</v>
      </c>
      <c r="B1513" s="140" t="s">
        <v>5862</v>
      </c>
      <c r="C1513" s="141" t="s">
        <v>3847</v>
      </c>
      <c r="D1513" s="142" t="s">
        <v>3848</v>
      </c>
      <c r="E1513" s="141" t="s">
        <v>3557</v>
      </c>
      <c r="F1513" s="142" t="s">
        <v>3849</v>
      </c>
      <c r="G1513" s="141" t="s">
        <v>3799</v>
      </c>
      <c r="H1513" s="142" t="s">
        <v>3859</v>
      </c>
      <c r="I1513" s="141" t="s">
        <v>3804</v>
      </c>
      <c r="J1513" s="142" t="s">
        <v>3859</v>
      </c>
      <c r="K1513" s="142" t="s">
        <v>296</v>
      </c>
      <c r="L1513" s="143">
        <f t="shared" si="48"/>
        <v>1</v>
      </c>
      <c r="M1513" s="144" t="s">
        <v>3860</v>
      </c>
      <c r="N1513" s="141" t="s">
        <v>3847</v>
      </c>
      <c r="O1513" s="142" t="s">
        <v>3848</v>
      </c>
      <c r="P1513" s="141" t="s">
        <v>3852</v>
      </c>
      <c r="Q1513" s="142" t="s">
        <v>3849</v>
      </c>
      <c r="R1513" s="141" t="s">
        <v>3861</v>
      </c>
      <c r="S1513" s="142" t="s">
        <v>3859</v>
      </c>
      <c r="T1513" s="141" t="s">
        <v>3862</v>
      </c>
      <c r="U1513" s="142" t="s">
        <v>3859</v>
      </c>
      <c r="V1513" s="142" t="s">
        <v>296</v>
      </c>
      <c r="W1513" s="141">
        <f t="shared" si="49"/>
        <v>9</v>
      </c>
      <c r="X1513" s="143">
        <v>2</v>
      </c>
      <c r="Y1513" s="145" t="s">
        <v>3865</v>
      </c>
      <c r="AA1513"/>
    </row>
    <row r="1514" spans="1:27" s="115" customFormat="1" ht="27" customHeight="1">
      <c r="A1514" s="139">
        <v>1430</v>
      </c>
      <c r="B1514" s="140" t="s">
        <v>5863</v>
      </c>
      <c r="C1514" s="141" t="s">
        <v>3847</v>
      </c>
      <c r="D1514" s="142" t="s">
        <v>3848</v>
      </c>
      <c r="E1514" s="141" t="s">
        <v>3557</v>
      </c>
      <c r="F1514" s="142" t="s">
        <v>3849</v>
      </c>
      <c r="G1514" s="141" t="s">
        <v>3799</v>
      </c>
      <c r="H1514" s="142" t="s">
        <v>3859</v>
      </c>
      <c r="I1514" s="141" t="s">
        <v>3804</v>
      </c>
      <c r="J1514" s="142" t="s">
        <v>3859</v>
      </c>
      <c r="K1514" s="142" t="s">
        <v>296</v>
      </c>
      <c r="L1514" s="143">
        <f t="shared" si="48"/>
        <v>1</v>
      </c>
      <c r="M1514" s="144" t="s">
        <v>3860</v>
      </c>
      <c r="N1514" s="141" t="s">
        <v>3847</v>
      </c>
      <c r="O1514" s="142" t="s">
        <v>3848</v>
      </c>
      <c r="P1514" s="141" t="s">
        <v>3852</v>
      </c>
      <c r="Q1514" s="142" t="s">
        <v>3849</v>
      </c>
      <c r="R1514" s="141" t="s">
        <v>3861</v>
      </c>
      <c r="S1514" s="142" t="s">
        <v>3859</v>
      </c>
      <c r="T1514" s="141" t="s">
        <v>3862</v>
      </c>
      <c r="U1514" s="142" t="s">
        <v>3859</v>
      </c>
      <c r="V1514" s="142" t="s">
        <v>296</v>
      </c>
      <c r="W1514" s="141">
        <f t="shared" si="49"/>
        <v>9</v>
      </c>
      <c r="X1514" s="143">
        <v>2</v>
      </c>
      <c r="Y1514" s="145" t="s">
        <v>3866</v>
      </c>
      <c r="AA1514"/>
    </row>
    <row r="1515" spans="1:27" s="115" customFormat="1" ht="27" customHeight="1">
      <c r="A1515" s="139">
        <v>1431</v>
      </c>
      <c r="B1515" s="140" t="s">
        <v>5864</v>
      </c>
      <c r="C1515" s="141" t="s">
        <v>3847</v>
      </c>
      <c r="D1515" s="142" t="s">
        <v>3848</v>
      </c>
      <c r="E1515" s="141" t="s">
        <v>3557</v>
      </c>
      <c r="F1515" s="142" t="s">
        <v>3849</v>
      </c>
      <c r="G1515" s="141" t="s">
        <v>3799</v>
      </c>
      <c r="H1515" s="142" t="s">
        <v>3859</v>
      </c>
      <c r="I1515" s="141" t="s">
        <v>3804</v>
      </c>
      <c r="J1515" s="142" t="s">
        <v>3859</v>
      </c>
      <c r="K1515" s="142" t="s">
        <v>296</v>
      </c>
      <c r="L1515" s="143">
        <f t="shared" si="48"/>
        <v>1</v>
      </c>
      <c r="M1515" s="144" t="s">
        <v>3860</v>
      </c>
      <c r="N1515" s="141" t="s">
        <v>3847</v>
      </c>
      <c r="O1515" s="142" t="s">
        <v>3848</v>
      </c>
      <c r="P1515" s="141" t="s">
        <v>3852</v>
      </c>
      <c r="Q1515" s="142" t="s">
        <v>3849</v>
      </c>
      <c r="R1515" s="141" t="s">
        <v>3861</v>
      </c>
      <c r="S1515" s="142" t="s">
        <v>3859</v>
      </c>
      <c r="T1515" s="141" t="s">
        <v>3862</v>
      </c>
      <c r="U1515" s="142" t="s">
        <v>3859</v>
      </c>
      <c r="V1515" s="142" t="s">
        <v>296</v>
      </c>
      <c r="W1515" s="141">
        <f t="shared" si="49"/>
        <v>9</v>
      </c>
      <c r="X1515" s="143">
        <v>2</v>
      </c>
      <c r="Y1515" s="145" t="s">
        <v>3867</v>
      </c>
      <c r="AA1515"/>
    </row>
    <row r="1516" spans="1:27" s="115" customFormat="1" ht="27" customHeight="1">
      <c r="A1516" s="139">
        <v>1432</v>
      </c>
      <c r="B1516" s="140" t="s">
        <v>5865</v>
      </c>
      <c r="C1516" s="141" t="s">
        <v>3847</v>
      </c>
      <c r="D1516" s="142" t="s">
        <v>3848</v>
      </c>
      <c r="E1516" s="141" t="s">
        <v>3557</v>
      </c>
      <c r="F1516" s="142" t="s">
        <v>3849</v>
      </c>
      <c r="G1516" s="141" t="s">
        <v>3799</v>
      </c>
      <c r="H1516" s="142" t="s">
        <v>3859</v>
      </c>
      <c r="I1516" s="141" t="s">
        <v>3804</v>
      </c>
      <c r="J1516" s="142" t="s">
        <v>3859</v>
      </c>
      <c r="K1516" s="142" t="s">
        <v>296</v>
      </c>
      <c r="L1516" s="143">
        <f t="shared" si="48"/>
        <v>1</v>
      </c>
      <c r="M1516" s="144" t="s">
        <v>3860</v>
      </c>
      <c r="N1516" s="141" t="s">
        <v>3847</v>
      </c>
      <c r="O1516" s="142" t="s">
        <v>3848</v>
      </c>
      <c r="P1516" s="141" t="s">
        <v>3852</v>
      </c>
      <c r="Q1516" s="142" t="s">
        <v>3849</v>
      </c>
      <c r="R1516" s="141" t="s">
        <v>3861</v>
      </c>
      <c r="S1516" s="142" t="s">
        <v>3859</v>
      </c>
      <c r="T1516" s="141" t="s">
        <v>3862</v>
      </c>
      <c r="U1516" s="142" t="s">
        <v>3859</v>
      </c>
      <c r="V1516" s="142" t="s">
        <v>296</v>
      </c>
      <c r="W1516" s="141">
        <f t="shared" si="49"/>
        <v>9</v>
      </c>
      <c r="X1516" s="143">
        <v>2</v>
      </c>
      <c r="Y1516" s="145" t="s">
        <v>3868</v>
      </c>
      <c r="AA1516"/>
    </row>
    <row r="1517" spans="1:27" s="115" customFormat="1" ht="27" customHeight="1">
      <c r="A1517" s="139">
        <v>1433</v>
      </c>
      <c r="B1517" s="140" t="s">
        <v>5866</v>
      </c>
      <c r="C1517" s="141" t="s">
        <v>3847</v>
      </c>
      <c r="D1517" s="142" t="s">
        <v>3848</v>
      </c>
      <c r="E1517" s="141" t="s">
        <v>3557</v>
      </c>
      <c r="F1517" s="142" t="s">
        <v>3849</v>
      </c>
      <c r="G1517" s="141" t="s">
        <v>3799</v>
      </c>
      <c r="H1517" s="142" t="s">
        <v>3859</v>
      </c>
      <c r="I1517" s="141" t="s">
        <v>3804</v>
      </c>
      <c r="J1517" s="142" t="s">
        <v>3859</v>
      </c>
      <c r="K1517" s="142" t="s">
        <v>296</v>
      </c>
      <c r="L1517" s="143">
        <f t="shared" si="48"/>
        <v>1</v>
      </c>
      <c r="M1517" s="144" t="s">
        <v>3860</v>
      </c>
      <c r="N1517" s="141" t="s">
        <v>3847</v>
      </c>
      <c r="O1517" s="142" t="s">
        <v>3848</v>
      </c>
      <c r="P1517" s="141" t="s">
        <v>3852</v>
      </c>
      <c r="Q1517" s="142" t="s">
        <v>3849</v>
      </c>
      <c r="R1517" s="141" t="s">
        <v>3861</v>
      </c>
      <c r="S1517" s="142" t="s">
        <v>3859</v>
      </c>
      <c r="T1517" s="141" t="s">
        <v>3862</v>
      </c>
      <c r="U1517" s="142" t="s">
        <v>3859</v>
      </c>
      <c r="V1517" s="142" t="s">
        <v>296</v>
      </c>
      <c r="W1517" s="141">
        <f t="shared" si="49"/>
        <v>9</v>
      </c>
      <c r="X1517" s="143">
        <v>2</v>
      </c>
      <c r="Y1517" s="145" t="s">
        <v>3869</v>
      </c>
      <c r="AA1517"/>
    </row>
    <row r="1518" spans="1:27" s="115" customFormat="1" ht="27" customHeight="1">
      <c r="A1518" s="139">
        <v>1434</v>
      </c>
      <c r="B1518" s="140" t="s">
        <v>5867</v>
      </c>
      <c r="C1518" s="141" t="s">
        <v>3847</v>
      </c>
      <c r="D1518" s="142" t="s">
        <v>3848</v>
      </c>
      <c r="E1518" s="141" t="s">
        <v>3557</v>
      </c>
      <c r="F1518" s="142" t="s">
        <v>3849</v>
      </c>
      <c r="G1518" s="141" t="s">
        <v>3799</v>
      </c>
      <c r="H1518" s="142" t="s">
        <v>3859</v>
      </c>
      <c r="I1518" s="141" t="s">
        <v>3804</v>
      </c>
      <c r="J1518" s="142" t="s">
        <v>3859</v>
      </c>
      <c r="K1518" s="142" t="s">
        <v>1192</v>
      </c>
      <c r="L1518" s="143">
        <f t="shared" si="48"/>
        <v>1</v>
      </c>
      <c r="M1518" s="144" t="s">
        <v>3870</v>
      </c>
      <c r="N1518" s="141" t="s">
        <v>3847</v>
      </c>
      <c r="O1518" s="142" t="s">
        <v>3848</v>
      </c>
      <c r="P1518" s="141" t="s">
        <v>3852</v>
      </c>
      <c r="Q1518" s="142" t="s">
        <v>3849</v>
      </c>
      <c r="R1518" s="141" t="s">
        <v>3861</v>
      </c>
      <c r="S1518" s="142" t="s">
        <v>3859</v>
      </c>
      <c r="T1518" s="141" t="s">
        <v>3862</v>
      </c>
      <c r="U1518" s="142" t="s">
        <v>3859</v>
      </c>
      <c r="V1518" s="142" t="s">
        <v>1192</v>
      </c>
      <c r="W1518" s="141">
        <f t="shared" si="49"/>
        <v>3</v>
      </c>
      <c r="X1518" s="143">
        <v>1</v>
      </c>
      <c r="Y1518" s="145"/>
      <c r="AA1518"/>
    </row>
    <row r="1519" spans="1:27" s="115" customFormat="1" ht="27" customHeight="1">
      <c r="A1519" s="139">
        <v>1435</v>
      </c>
      <c r="B1519" s="140" t="s">
        <v>5868</v>
      </c>
      <c r="C1519" s="141" t="s">
        <v>3847</v>
      </c>
      <c r="D1519" s="142" t="s">
        <v>3848</v>
      </c>
      <c r="E1519" s="141" t="s">
        <v>3557</v>
      </c>
      <c r="F1519" s="142" t="s">
        <v>3849</v>
      </c>
      <c r="G1519" s="141" t="s">
        <v>3799</v>
      </c>
      <c r="H1519" s="142" t="s">
        <v>3859</v>
      </c>
      <c r="I1519" s="141" t="s">
        <v>3804</v>
      </c>
      <c r="J1519" s="142" t="s">
        <v>3859</v>
      </c>
      <c r="K1519" s="142" t="s">
        <v>296</v>
      </c>
      <c r="L1519" s="143">
        <f t="shared" si="48"/>
        <v>1</v>
      </c>
      <c r="M1519" s="144" t="s">
        <v>3860</v>
      </c>
      <c r="N1519" s="141" t="s">
        <v>3847</v>
      </c>
      <c r="O1519" s="142" t="s">
        <v>3848</v>
      </c>
      <c r="P1519" s="141" t="s">
        <v>3852</v>
      </c>
      <c r="Q1519" s="142" t="s">
        <v>3849</v>
      </c>
      <c r="R1519" s="141" t="s">
        <v>3861</v>
      </c>
      <c r="S1519" s="142" t="s">
        <v>3859</v>
      </c>
      <c r="T1519" s="141" t="s">
        <v>3862</v>
      </c>
      <c r="U1519" s="142" t="s">
        <v>3859</v>
      </c>
      <c r="V1519" s="142" t="s">
        <v>296</v>
      </c>
      <c r="W1519" s="141">
        <f t="shared" si="49"/>
        <v>9</v>
      </c>
      <c r="X1519" s="143">
        <v>2</v>
      </c>
      <c r="Y1519" s="145" t="s">
        <v>3871</v>
      </c>
      <c r="AA1519"/>
    </row>
    <row r="1520" spans="1:27" s="115" customFormat="1" ht="27" customHeight="1">
      <c r="A1520" s="139">
        <v>1436</v>
      </c>
      <c r="B1520" s="140" t="s">
        <v>5869</v>
      </c>
      <c r="C1520" s="141" t="s">
        <v>3847</v>
      </c>
      <c r="D1520" s="142" t="s">
        <v>3848</v>
      </c>
      <c r="E1520" s="141" t="s">
        <v>3557</v>
      </c>
      <c r="F1520" s="142" t="s">
        <v>3849</v>
      </c>
      <c r="G1520" s="141" t="s">
        <v>3799</v>
      </c>
      <c r="H1520" s="142" t="s">
        <v>3859</v>
      </c>
      <c r="I1520" s="141" t="s">
        <v>3804</v>
      </c>
      <c r="J1520" s="142" t="s">
        <v>3859</v>
      </c>
      <c r="K1520" s="142" t="s">
        <v>44</v>
      </c>
      <c r="L1520" s="143">
        <f t="shared" si="48"/>
        <v>1</v>
      </c>
      <c r="M1520" s="144" t="s">
        <v>3872</v>
      </c>
      <c r="N1520" s="141" t="s">
        <v>3847</v>
      </c>
      <c r="O1520" s="142" t="s">
        <v>3848</v>
      </c>
      <c r="P1520" s="141" t="s">
        <v>3852</v>
      </c>
      <c r="Q1520" s="142" t="s">
        <v>3849</v>
      </c>
      <c r="R1520" s="141" t="s">
        <v>3861</v>
      </c>
      <c r="S1520" s="142" t="s">
        <v>3859</v>
      </c>
      <c r="T1520" s="141" t="s">
        <v>3862</v>
      </c>
      <c r="U1520" s="142" t="s">
        <v>3859</v>
      </c>
      <c r="V1520" s="142" t="s">
        <v>44</v>
      </c>
      <c r="W1520" s="141">
        <f t="shared" si="49"/>
        <v>1</v>
      </c>
      <c r="X1520" s="143"/>
      <c r="Y1520" s="145"/>
      <c r="AA1520"/>
    </row>
    <row r="1521" spans="1:27" s="115" customFormat="1" ht="27" customHeight="1">
      <c r="A1521" s="139">
        <v>1437</v>
      </c>
      <c r="B1521" s="140" t="s">
        <v>5870</v>
      </c>
      <c r="C1521" s="141" t="s">
        <v>3847</v>
      </c>
      <c r="D1521" s="142" t="s">
        <v>3848</v>
      </c>
      <c r="E1521" s="141" t="s">
        <v>3557</v>
      </c>
      <c r="F1521" s="142" t="s">
        <v>3849</v>
      </c>
      <c r="G1521" s="141" t="s">
        <v>3799</v>
      </c>
      <c r="H1521" s="142" t="s">
        <v>3859</v>
      </c>
      <c r="I1521" s="141" t="s">
        <v>3804</v>
      </c>
      <c r="J1521" s="142" t="s">
        <v>3859</v>
      </c>
      <c r="K1521" s="142" t="s">
        <v>45</v>
      </c>
      <c r="L1521" s="143">
        <f t="shared" si="48"/>
        <v>1</v>
      </c>
      <c r="M1521" s="144" t="s">
        <v>3873</v>
      </c>
      <c r="N1521" s="141" t="s">
        <v>3847</v>
      </c>
      <c r="O1521" s="142" t="s">
        <v>3848</v>
      </c>
      <c r="P1521" s="141" t="s">
        <v>3852</v>
      </c>
      <c r="Q1521" s="142" t="s">
        <v>3849</v>
      </c>
      <c r="R1521" s="141" t="s">
        <v>3861</v>
      </c>
      <c r="S1521" s="142" t="s">
        <v>3859</v>
      </c>
      <c r="T1521" s="141" t="s">
        <v>3862</v>
      </c>
      <c r="U1521" s="142" t="s">
        <v>3859</v>
      </c>
      <c r="V1521" s="142" t="s">
        <v>45</v>
      </c>
      <c r="W1521" s="141">
        <f t="shared" si="49"/>
        <v>1</v>
      </c>
      <c r="X1521" s="143"/>
      <c r="Y1521" s="145"/>
      <c r="AA1521"/>
    </row>
    <row r="1522" spans="1:27" s="115" customFormat="1" ht="27" customHeight="1">
      <c r="A1522" s="139">
        <v>1438</v>
      </c>
      <c r="B1522" s="140" t="s">
        <v>5871</v>
      </c>
      <c r="C1522" s="141" t="s">
        <v>3847</v>
      </c>
      <c r="D1522" s="142" t="s">
        <v>3848</v>
      </c>
      <c r="E1522" s="141" t="s">
        <v>3557</v>
      </c>
      <c r="F1522" s="142" t="s">
        <v>3849</v>
      </c>
      <c r="G1522" s="141" t="s">
        <v>3799</v>
      </c>
      <c r="H1522" s="142" t="s">
        <v>3859</v>
      </c>
      <c r="I1522" s="141" t="s">
        <v>3804</v>
      </c>
      <c r="J1522" s="142" t="s">
        <v>3859</v>
      </c>
      <c r="K1522" s="142" t="s">
        <v>296</v>
      </c>
      <c r="L1522" s="143">
        <f t="shared" si="48"/>
        <v>1</v>
      </c>
      <c r="M1522" s="144" t="s">
        <v>3860</v>
      </c>
      <c r="N1522" s="141" t="s">
        <v>3847</v>
      </c>
      <c r="O1522" s="142" t="s">
        <v>3848</v>
      </c>
      <c r="P1522" s="141" t="s">
        <v>3852</v>
      </c>
      <c r="Q1522" s="142" t="s">
        <v>3849</v>
      </c>
      <c r="R1522" s="141" t="s">
        <v>3861</v>
      </c>
      <c r="S1522" s="142" t="s">
        <v>3859</v>
      </c>
      <c r="T1522" s="141" t="s">
        <v>3862</v>
      </c>
      <c r="U1522" s="142" t="s">
        <v>3859</v>
      </c>
      <c r="V1522" s="142" t="s">
        <v>296</v>
      </c>
      <c r="W1522" s="141">
        <f t="shared" si="49"/>
        <v>9</v>
      </c>
      <c r="X1522" s="143">
        <v>2</v>
      </c>
      <c r="Y1522" s="145" t="s">
        <v>3874</v>
      </c>
      <c r="AA1522"/>
    </row>
    <row r="1523" spans="1:27" s="115" customFormat="1" ht="27" customHeight="1">
      <c r="A1523" s="139">
        <v>1439</v>
      </c>
      <c r="B1523" s="140" t="s">
        <v>5872</v>
      </c>
      <c r="C1523" s="141" t="s">
        <v>3847</v>
      </c>
      <c r="D1523" s="142" t="s">
        <v>3848</v>
      </c>
      <c r="E1523" s="141" t="s">
        <v>3557</v>
      </c>
      <c r="F1523" s="142" t="s">
        <v>3849</v>
      </c>
      <c r="G1523" s="141" t="s">
        <v>3799</v>
      </c>
      <c r="H1523" s="142" t="s">
        <v>3875</v>
      </c>
      <c r="I1523" s="141" t="s">
        <v>3876</v>
      </c>
      <c r="J1523" s="142" t="s">
        <v>3875</v>
      </c>
      <c r="K1523" s="142" t="s">
        <v>1193</v>
      </c>
      <c r="L1523" s="143">
        <f t="shared" si="48"/>
        <v>1</v>
      </c>
      <c r="M1523" s="144" t="s">
        <v>3877</v>
      </c>
      <c r="N1523" s="141" t="s">
        <v>3847</v>
      </c>
      <c r="O1523" s="142" t="s">
        <v>3848</v>
      </c>
      <c r="P1523" s="141" t="s">
        <v>3852</v>
      </c>
      <c r="Q1523" s="142" t="s">
        <v>3849</v>
      </c>
      <c r="R1523" s="141" t="s">
        <v>3878</v>
      </c>
      <c r="S1523" s="142" t="s">
        <v>3875</v>
      </c>
      <c r="T1523" s="141" t="s">
        <v>3879</v>
      </c>
      <c r="U1523" s="142" t="s">
        <v>3875</v>
      </c>
      <c r="V1523" s="142" t="s">
        <v>1193</v>
      </c>
      <c r="W1523" s="141">
        <f t="shared" si="49"/>
        <v>3</v>
      </c>
      <c r="X1523" s="143"/>
      <c r="Y1523" s="145" t="s">
        <v>3880</v>
      </c>
      <c r="AA1523"/>
    </row>
    <row r="1524" spans="1:27" s="115" customFormat="1" ht="27" customHeight="1">
      <c r="A1524" s="139">
        <v>1440</v>
      </c>
      <c r="B1524" s="140" t="s">
        <v>5873</v>
      </c>
      <c r="C1524" s="141" t="s">
        <v>3847</v>
      </c>
      <c r="D1524" s="142" t="s">
        <v>3848</v>
      </c>
      <c r="E1524" s="141" t="s">
        <v>3557</v>
      </c>
      <c r="F1524" s="142" t="s">
        <v>3849</v>
      </c>
      <c r="G1524" s="141" t="s">
        <v>3799</v>
      </c>
      <c r="H1524" s="142" t="s">
        <v>3875</v>
      </c>
      <c r="I1524" s="141" t="s">
        <v>3876</v>
      </c>
      <c r="J1524" s="142" t="s">
        <v>3875</v>
      </c>
      <c r="K1524" s="142" t="s">
        <v>297</v>
      </c>
      <c r="L1524" s="143">
        <f t="shared" si="48"/>
        <v>1</v>
      </c>
      <c r="M1524" s="144" t="s">
        <v>3881</v>
      </c>
      <c r="N1524" s="141" t="s">
        <v>3847</v>
      </c>
      <c r="O1524" s="142" t="s">
        <v>3848</v>
      </c>
      <c r="P1524" s="141" t="s">
        <v>3852</v>
      </c>
      <c r="Q1524" s="142" t="s">
        <v>3849</v>
      </c>
      <c r="R1524" s="141" t="s">
        <v>3878</v>
      </c>
      <c r="S1524" s="142" t="s">
        <v>3875</v>
      </c>
      <c r="T1524" s="141" t="s">
        <v>3879</v>
      </c>
      <c r="U1524" s="142" t="s">
        <v>3875</v>
      </c>
      <c r="V1524" s="142" t="s">
        <v>297</v>
      </c>
      <c r="W1524" s="141">
        <f t="shared" si="49"/>
        <v>5</v>
      </c>
      <c r="X1524" s="143">
        <v>2</v>
      </c>
      <c r="Y1524" s="145" t="s">
        <v>3882</v>
      </c>
      <c r="AA1524"/>
    </row>
    <row r="1525" spans="1:27" s="115" customFormat="1" ht="27" customHeight="1">
      <c r="A1525" s="139">
        <v>1441</v>
      </c>
      <c r="B1525" s="140" t="s">
        <v>5874</v>
      </c>
      <c r="C1525" s="141" t="s">
        <v>3847</v>
      </c>
      <c r="D1525" s="142" t="s">
        <v>3848</v>
      </c>
      <c r="E1525" s="141" t="s">
        <v>3557</v>
      </c>
      <c r="F1525" s="142" t="s">
        <v>3849</v>
      </c>
      <c r="G1525" s="141" t="s">
        <v>3799</v>
      </c>
      <c r="H1525" s="142" t="s">
        <v>3875</v>
      </c>
      <c r="I1525" s="141" t="s">
        <v>3876</v>
      </c>
      <c r="J1525" s="142" t="s">
        <v>3875</v>
      </c>
      <c r="K1525" s="142" t="s">
        <v>297</v>
      </c>
      <c r="L1525" s="143">
        <f t="shared" si="48"/>
        <v>1</v>
      </c>
      <c r="M1525" s="144" t="s">
        <v>3881</v>
      </c>
      <c r="N1525" s="141" t="s">
        <v>3847</v>
      </c>
      <c r="O1525" s="142" t="s">
        <v>3848</v>
      </c>
      <c r="P1525" s="141" t="s">
        <v>3852</v>
      </c>
      <c r="Q1525" s="142" t="s">
        <v>3849</v>
      </c>
      <c r="R1525" s="141" t="s">
        <v>3878</v>
      </c>
      <c r="S1525" s="142" t="s">
        <v>3875</v>
      </c>
      <c r="T1525" s="141" t="s">
        <v>3879</v>
      </c>
      <c r="U1525" s="142" t="s">
        <v>3875</v>
      </c>
      <c r="V1525" s="142" t="s">
        <v>297</v>
      </c>
      <c r="W1525" s="141">
        <f t="shared" si="49"/>
        <v>5</v>
      </c>
      <c r="X1525" s="143"/>
      <c r="Y1525" s="145" t="s">
        <v>3883</v>
      </c>
      <c r="AA1525"/>
    </row>
    <row r="1526" spans="1:27" s="115" customFormat="1" ht="27" customHeight="1">
      <c r="A1526" s="139">
        <v>1442</v>
      </c>
      <c r="B1526" s="140" t="s">
        <v>5875</v>
      </c>
      <c r="C1526" s="141" t="s">
        <v>3847</v>
      </c>
      <c r="D1526" s="142" t="s">
        <v>3848</v>
      </c>
      <c r="E1526" s="141" t="s">
        <v>3557</v>
      </c>
      <c r="F1526" s="142" t="s">
        <v>3849</v>
      </c>
      <c r="G1526" s="141" t="s">
        <v>3799</v>
      </c>
      <c r="H1526" s="142" t="s">
        <v>3875</v>
      </c>
      <c r="I1526" s="141" t="s">
        <v>3876</v>
      </c>
      <c r="J1526" s="142" t="s">
        <v>3875</v>
      </c>
      <c r="K1526" s="142" t="s">
        <v>297</v>
      </c>
      <c r="L1526" s="143">
        <f t="shared" si="48"/>
        <v>1</v>
      </c>
      <c r="M1526" s="144" t="s">
        <v>3881</v>
      </c>
      <c r="N1526" s="141" t="s">
        <v>3847</v>
      </c>
      <c r="O1526" s="142" t="s">
        <v>3848</v>
      </c>
      <c r="P1526" s="141" t="s">
        <v>3852</v>
      </c>
      <c r="Q1526" s="142" t="s">
        <v>3849</v>
      </c>
      <c r="R1526" s="141" t="s">
        <v>3878</v>
      </c>
      <c r="S1526" s="142" t="s">
        <v>3875</v>
      </c>
      <c r="T1526" s="141" t="s">
        <v>3879</v>
      </c>
      <c r="U1526" s="142" t="s">
        <v>3875</v>
      </c>
      <c r="V1526" s="142" t="s">
        <v>297</v>
      </c>
      <c r="W1526" s="141">
        <f t="shared" si="49"/>
        <v>5</v>
      </c>
      <c r="X1526" s="143">
        <v>2</v>
      </c>
      <c r="Y1526" s="145" t="s">
        <v>3884</v>
      </c>
      <c r="AA1526"/>
    </row>
    <row r="1527" spans="1:27" s="115" customFormat="1" ht="27" customHeight="1">
      <c r="A1527" s="139">
        <v>1443</v>
      </c>
      <c r="B1527" s="140" t="s">
        <v>5876</v>
      </c>
      <c r="C1527" s="141" t="s">
        <v>3847</v>
      </c>
      <c r="D1527" s="142" t="s">
        <v>3848</v>
      </c>
      <c r="E1527" s="141" t="s">
        <v>3557</v>
      </c>
      <c r="F1527" s="142" t="s">
        <v>3849</v>
      </c>
      <c r="G1527" s="141" t="s">
        <v>3799</v>
      </c>
      <c r="H1527" s="142" t="s">
        <v>3859</v>
      </c>
      <c r="I1527" s="141" t="s">
        <v>3876</v>
      </c>
      <c r="J1527" s="142" t="s">
        <v>3859</v>
      </c>
      <c r="K1527" s="142" t="s">
        <v>1192</v>
      </c>
      <c r="L1527" s="143">
        <f t="shared" si="48"/>
        <v>1</v>
      </c>
      <c r="M1527" s="144" t="s">
        <v>3870</v>
      </c>
      <c r="N1527" s="141" t="s">
        <v>3847</v>
      </c>
      <c r="O1527" s="142" t="s">
        <v>3848</v>
      </c>
      <c r="P1527" s="141" t="s">
        <v>3852</v>
      </c>
      <c r="Q1527" s="142" t="s">
        <v>3849</v>
      </c>
      <c r="R1527" s="141" t="s">
        <v>3861</v>
      </c>
      <c r="S1527" s="142" t="s">
        <v>3859</v>
      </c>
      <c r="T1527" s="141" t="s">
        <v>3862</v>
      </c>
      <c r="U1527" s="142" t="s">
        <v>3859</v>
      </c>
      <c r="V1527" s="142" t="s">
        <v>1192</v>
      </c>
      <c r="W1527" s="141">
        <f t="shared" si="49"/>
        <v>3</v>
      </c>
      <c r="X1527" s="143"/>
      <c r="Y1527" s="145" t="s">
        <v>3885</v>
      </c>
      <c r="AA1527"/>
    </row>
    <row r="1528" spans="1:27" s="115" customFormat="1" ht="27" customHeight="1">
      <c r="A1528" s="139">
        <v>1444</v>
      </c>
      <c r="B1528" s="140" t="s">
        <v>5877</v>
      </c>
      <c r="C1528" s="141" t="s">
        <v>3847</v>
      </c>
      <c r="D1528" s="142" t="s">
        <v>3848</v>
      </c>
      <c r="E1528" s="141" t="s">
        <v>3557</v>
      </c>
      <c r="F1528" s="142" t="s">
        <v>3849</v>
      </c>
      <c r="G1528" s="141" t="s">
        <v>3799</v>
      </c>
      <c r="H1528" s="142" t="s">
        <v>3875</v>
      </c>
      <c r="I1528" s="141" t="s">
        <v>3876</v>
      </c>
      <c r="J1528" s="142" t="s">
        <v>3875</v>
      </c>
      <c r="K1528" s="142" t="s">
        <v>1193</v>
      </c>
      <c r="L1528" s="143">
        <f t="shared" si="48"/>
        <v>1</v>
      </c>
      <c r="M1528" s="144" t="s">
        <v>3877</v>
      </c>
      <c r="N1528" s="141" t="s">
        <v>3847</v>
      </c>
      <c r="O1528" s="142" t="s">
        <v>3848</v>
      </c>
      <c r="P1528" s="141" t="s">
        <v>3852</v>
      </c>
      <c r="Q1528" s="142" t="s">
        <v>3849</v>
      </c>
      <c r="R1528" s="141" t="s">
        <v>3878</v>
      </c>
      <c r="S1528" s="142" t="s">
        <v>3875</v>
      </c>
      <c r="T1528" s="141" t="s">
        <v>3879</v>
      </c>
      <c r="U1528" s="142" t="s">
        <v>3875</v>
      </c>
      <c r="V1528" s="142" t="s">
        <v>1193</v>
      </c>
      <c r="W1528" s="141">
        <f t="shared" si="49"/>
        <v>3</v>
      </c>
      <c r="X1528" s="143"/>
      <c r="Y1528" s="145" t="s">
        <v>3886</v>
      </c>
      <c r="AA1528"/>
    </row>
    <row r="1529" spans="1:27" s="115" customFormat="1" ht="27" customHeight="1">
      <c r="A1529" s="139">
        <v>1445</v>
      </c>
      <c r="B1529" s="140" t="s">
        <v>5878</v>
      </c>
      <c r="C1529" s="141" t="s">
        <v>3847</v>
      </c>
      <c r="D1529" s="142" t="s">
        <v>3848</v>
      </c>
      <c r="E1529" s="141" t="s">
        <v>3557</v>
      </c>
      <c r="F1529" s="142" t="s">
        <v>3849</v>
      </c>
      <c r="G1529" s="141" t="s">
        <v>3799</v>
      </c>
      <c r="H1529" s="142" t="s">
        <v>3875</v>
      </c>
      <c r="I1529" s="141" t="s">
        <v>3876</v>
      </c>
      <c r="J1529" s="142" t="s">
        <v>3875</v>
      </c>
      <c r="K1529" s="142" t="s">
        <v>1193</v>
      </c>
      <c r="L1529" s="143">
        <f t="shared" si="48"/>
        <v>1</v>
      </c>
      <c r="M1529" s="144" t="s">
        <v>3877</v>
      </c>
      <c r="N1529" s="141" t="s">
        <v>3847</v>
      </c>
      <c r="O1529" s="142" t="s">
        <v>3848</v>
      </c>
      <c r="P1529" s="141" t="s">
        <v>3852</v>
      </c>
      <c r="Q1529" s="142" t="s">
        <v>3849</v>
      </c>
      <c r="R1529" s="141" t="s">
        <v>3878</v>
      </c>
      <c r="S1529" s="142" t="s">
        <v>3875</v>
      </c>
      <c r="T1529" s="141" t="s">
        <v>3879</v>
      </c>
      <c r="U1529" s="142" t="s">
        <v>3875</v>
      </c>
      <c r="V1529" s="142" t="s">
        <v>1193</v>
      </c>
      <c r="W1529" s="141">
        <f t="shared" si="49"/>
        <v>3</v>
      </c>
      <c r="X1529" s="143">
        <v>1</v>
      </c>
      <c r="Y1529" s="145"/>
      <c r="AA1529"/>
    </row>
    <row r="1530" spans="1:27" s="115" customFormat="1" ht="27" customHeight="1">
      <c r="A1530" s="139">
        <v>1446</v>
      </c>
      <c r="B1530" s="140" t="s">
        <v>5879</v>
      </c>
      <c r="C1530" s="141" t="s">
        <v>3847</v>
      </c>
      <c r="D1530" s="142" t="s">
        <v>3848</v>
      </c>
      <c r="E1530" s="141" t="s">
        <v>3557</v>
      </c>
      <c r="F1530" s="142" t="s">
        <v>3849</v>
      </c>
      <c r="G1530" s="141" t="s">
        <v>3799</v>
      </c>
      <c r="H1530" s="142" t="s">
        <v>3875</v>
      </c>
      <c r="I1530" s="141" t="s">
        <v>3876</v>
      </c>
      <c r="J1530" s="142" t="s">
        <v>3875</v>
      </c>
      <c r="K1530" s="142" t="s">
        <v>297</v>
      </c>
      <c r="L1530" s="143">
        <f t="shared" si="48"/>
        <v>1</v>
      </c>
      <c r="M1530" s="144" t="s">
        <v>3881</v>
      </c>
      <c r="N1530" s="141" t="s">
        <v>3847</v>
      </c>
      <c r="O1530" s="142" t="s">
        <v>3848</v>
      </c>
      <c r="P1530" s="141" t="s">
        <v>3852</v>
      </c>
      <c r="Q1530" s="142" t="s">
        <v>3849</v>
      </c>
      <c r="R1530" s="141" t="s">
        <v>3878</v>
      </c>
      <c r="S1530" s="142" t="s">
        <v>3875</v>
      </c>
      <c r="T1530" s="141" t="s">
        <v>3879</v>
      </c>
      <c r="U1530" s="142" t="s">
        <v>3875</v>
      </c>
      <c r="V1530" s="142" t="s">
        <v>297</v>
      </c>
      <c r="W1530" s="141">
        <f t="shared" si="49"/>
        <v>5</v>
      </c>
      <c r="X1530" s="143"/>
      <c r="Y1530" s="138" t="s">
        <v>3887</v>
      </c>
      <c r="AA1530"/>
    </row>
    <row r="1531" spans="1:27" s="115" customFormat="1" ht="27" customHeight="1">
      <c r="A1531" s="139">
        <v>1447</v>
      </c>
      <c r="B1531" s="140" t="s">
        <v>5880</v>
      </c>
      <c r="C1531" s="141" t="s">
        <v>3847</v>
      </c>
      <c r="D1531" s="142" t="s">
        <v>3848</v>
      </c>
      <c r="E1531" s="141" t="s">
        <v>3557</v>
      </c>
      <c r="F1531" s="142" t="s">
        <v>3849</v>
      </c>
      <c r="G1531" s="141" t="s">
        <v>3799</v>
      </c>
      <c r="H1531" s="142" t="s">
        <v>3859</v>
      </c>
      <c r="I1531" s="141" t="s">
        <v>3876</v>
      </c>
      <c r="J1531" s="142" t="s">
        <v>3859</v>
      </c>
      <c r="K1531" s="142" t="s">
        <v>1192</v>
      </c>
      <c r="L1531" s="143">
        <f t="shared" si="48"/>
        <v>1</v>
      </c>
      <c r="M1531" s="144" t="s">
        <v>3870</v>
      </c>
      <c r="N1531" s="141" t="s">
        <v>3847</v>
      </c>
      <c r="O1531" s="142" t="s">
        <v>3848</v>
      </c>
      <c r="P1531" s="141" t="s">
        <v>3852</v>
      </c>
      <c r="Q1531" s="142" t="s">
        <v>3849</v>
      </c>
      <c r="R1531" s="141" t="s">
        <v>3861</v>
      </c>
      <c r="S1531" s="142" t="s">
        <v>3859</v>
      </c>
      <c r="T1531" s="141" t="s">
        <v>3862</v>
      </c>
      <c r="U1531" s="142" t="s">
        <v>3859</v>
      </c>
      <c r="V1531" s="142" t="s">
        <v>1192</v>
      </c>
      <c r="W1531" s="141">
        <f t="shared" si="49"/>
        <v>3</v>
      </c>
      <c r="X1531" s="143"/>
      <c r="Y1531" s="145" t="s">
        <v>3888</v>
      </c>
      <c r="AA1531"/>
    </row>
    <row r="1532" spans="1:27" s="115" customFormat="1" ht="27" customHeight="1">
      <c r="A1532" s="139">
        <v>1448</v>
      </c>
      <c r="B1532" s="140" t="s">
        <v>5881</v>
      </c>
      <c r="C1532" s="141" t="s">
        <v>3847</v>
      </c>
      <c r="D1532" s="142" t="s">
        <v>3848</v>
      </c>
      <c r="E1532" s="141" t="s">
        <v>3557</v>
      </c>
      <c r="F1532" s="142" t="s">
        <v>3849</v>
      </c>
      <c r="G1532" s="141" t="s">
        <v>3799</v>
      </c>
      <c r="H1532" s="142" t="s">
        <v>3875</v>
      </c>
      <c r="I1532" s="141" t="s">
        <v>3876</v>
      </c>
      <c r="J1532" s="142" t="s">
        <v>3875</v>
      </c>
      <c r="K1532" s="142" t="s">
        <v>1194</v>
      </c>
      <c r="L1532" s="143">
        <f t="shared" si="48"/>
        <v>1</v>
      </c>
      <c r="M1532" s="144" t="s">
        <v>3889</v>
      </c>
      <c r="N1532" s="146" t="s">
        <v>3847</v>
      </c>
      <c r="O1532" s="147" t="s">
        <v>3848</v>
      </c>
      <c r="P1532" s="146" t="s">
        <v>3852</v>
      </c>
      <c r="Q1532" s="147" t="s">
        <v>3849</v>
      </c>
      <c r="R1532" s="146" t="s">
        <v>3878</v>
      </c>
      <c r="S1532" s="147" t="s">
        <v>3875</v>
      </c>
      <c r="T1532" s="146" t="s">
        <v>3879</v>
      </c>
      <c r="U1532" s="147" t="s">
        <v>3875</v>
      </c>
      <c r="V1532" s="147" t="s">
        <v>1194</v>
      </c>
      <c r="W1532" s="141">
        <f t="shared" si="49"/>
        <v>1</v>
      </c>
      <c r="X1532" s="143"/>
      <c r="Y1532" s="145"/>
      <c r="AA1532"/>
    </row>
    <row r="1533" spans="1:27" s="115" customFormat="1" ht="27" customHeight="1">
      <c r="A1533" s="139">
        <v>1449</v>
      </c>
      <c r="B1533" s="140" t="s">
        <v>5882</v>
      </c>
      <c r="C1533" s="141" t="s">
        <v>3847</v>
      </c>
      <c r="D1533" s="142" t="s">
        <v>3848</v>
      </c>
      <c r="E1533" s="141" t="s">
        <v>3557</v>
      </c>
      <c r="F1533" s="142" t="s">
        <v>3849</v>
      </c>
      <c r="G1533" s="141" t="s">
        <v>3799</v>
      </c>
      <c r="H1533" s="142" t="s">
        <v>3875</v>
      </c>
      <c r="I1533" s="141" t="s">
        <v>3876</v>
      </c>
      <c r="J1533" s="142" t="s">
        <v>3875</v>
      </c>
      <c r="K1533" s="142" t="s">
        <v>297</v>
      </c>
      <c r="L1533" s="143">
        <v>1</v>
      </c>
      <c r="M1533" s="158" t="s">
        <v>3881</v>
      </c>
      <c r="N1533" s="141" t="s">
        <v>3847</v>
      </c>
      <c r="O1533" s="142" t="s">
        <v>3848</v>
      </c>
      <c r="P1533" s="141" t="s">
        <v>3852</v>
      </c>
      <c r="Q1533" s="142" t="s">
        <v>3849</v>
      </c>
      <c r="R1533" s="141" t="s">
        <v>3878</v>
      </c>
      <c r="S1533" s="142" t="s">
        <v>3875</v>
      </c>
      <c r="T1533" s="141" t="s">
        <v>3879</v>
      </c>
      <c r="U1533" s="142" t="s">
        <v>3875</v>
      </c>
      <c r="V1533" s="142" t="s">
        <v>297</v>
      </c>
      <c r="W1533" s="141">
        <v>5</v>
      </c>
      <c r="X1533" s="143"/>
      <c r="Y1533" s="138" t="s">
        <v>3890</v>
      </c>
      <c r="AA1533"/>
    </row>
    <row r="1534" spans="1:27" s="115" customFormat="1" ht="27" customHeight="1">
      <c r="A1534" s="139">
        <v>1450</v>
      </c>
      <c r="B1534" s="140" t="s">
        <v>6125</v>
      </c>
      <c r="C1534" s="141" t="s">
        <v>3847</v>
      </c>
      <c r="D1534" s="142" t="s">
        <v>3848</v>
      </c>
      <c r="E1534" s="141" t="s">
        <v>3852</v>
      </c>
      <c r="F1534" s="142" t="s">
        <v>3849</v>
      </c>
      <c r="G1534" s="141" t="s">
        <v>3891</v>
      </c>
      <c r="H1534" s="142" t="s">
        <v>3892</v>
      </c>
      <c r="I1534" s="141" t="s">
        <v>3893</v>
      </c>
      <c r="J1534" s="142" t="s">
        <v>3892</v>
      </c>
      <c r="K1534" s="142" t="s">
        <v>3892</v>
      </c>
      <c r="L1534" s="143">
        <f t="shared" ref="L1534:L1597" si="50">COUNTIF($B$5:$B$1752,B1534)</f>
        <v>1</v>
      </c>
      <c r="M1534" s="144" t="s">
        <v>3894</v>
      </c>
      <c r="N1534" s="141" t="s">
        <v>3847</v>
      </c>
      <c r="O1534" s="142" t="s">
        <v>3848</v>
      </c>
      <c r="P1534" s="141" t="s">
        <v>3852</v>
      </c>
      <c r="Q1534" s="142" t="s">
        <v>3849</v>
      </c>
      <c r="R1534" s="141" t="s">
        <v>3891</v>
      </c>
      <c r="S1534" s="142" t="s">
        <v>3892</v>
      </c>
      <c r="T1534" s="141" t="s">
        <v>3893</v>
      </c>
      <c r="U1534" s="142" t="s">
        <v>3892</v>
      </c>
      <c r="V1534" s="142" t="s">
        <v>3892</v>
      </c>
      <c r="W1534" s="141">
        <f t="shared" ref="W1534:W1597" si="51">COUNTIF($M$5:$M$1756,M1534)</f>
        <v>1</v>
      </c>
      <c r="X1534" s="143"/>
      <c r="Y1534" s="145"/>
      <c r="AA1534"/>
    </row>
    <row r="1535" spans="1:27" s="115" customFormat="1" ht="27" customHeight="1">
      <c r="A1535" s="139">
        <v>1451</v>
      </c>
      <c r="B1535" s="140" t="s">
        <v>6126</v>
      </c>
      <c r="C1535" s="141" t="s">
        <v>3847</v>
      </c>
      <c r="D1535" s="142" t="s">
        <v>3848</v>
      </c>
      <c r="E1535" s="141" t="s">
        <v>3895</v>
      </c>
      <c r="F1535" s="142" t="s">
        <v>3896</v>
      </c>
      <c r="G1535" s="141" t="s">
        <v>3897</v>
      </c>
      <c r="H1535" s="142" t="s">
        <v>3898</v>
      </c>
      <c r="I1535" s="141" t="s">
        <v>3899</v>
      </c>
      <c r="J1535" s="142" t="s">
        <v>3900</v>
      </c>
      <c r="K1535" s="142" t="s">
        <v>3901</v>
      </c>
      <c r="L1535" s="143">
        <f t="shared" si="50"/>
        <v>1</v>
      </c>
      <c r="M1535" s="144" t="s">
        <v>3902</v>
      </c>
      <c r="N1535" s="141" t="s">
        <v>3847</v>
      </c>
      <c r="O1535" s="142" t="s">
        <v>3848</v>
      </c>
      <c r="P1535" s="141" t="s">
        <v>3895</v>
      </c>
      <c r="Q1535" s="142" t="s">
        <v>3896</v>
      </c>
      <c r="R1535" s="141" t="s">
        <v>3897</v>
      </c>
      <c r="S1535" s="142" t="s">
        <v>3898</v>
      </c>
      <c r="T1535" s="141" t="s">
        <v>3899</v>
      </c>
      <c r="U1535" s="142" t="s">
        <v>3900</v>
      </c>
      <c r="V1535" s="142" t="s">
        <v>3901</v>
      </c>
      <c r="W1535" s="141">
        <f t="shared" si="51"/>
        <v>1</v>
      </c>
      <c r="X1535" s="143"/>
      <c r="Y1535" s="145"/>
      <c r="AA1535"/>
    </row>
    <row r="1536" spans="1:27" s="115" customFormat="1" ht="27" customHeight="1">
      <c r="A1536" s="139">
        <v>1452</v>
      </c>
      <c r="B1536" s="140" t="s">
        <v>6127</v>
      </c>
      <c r="C1536" s="141" t="s">
        <v>3847</v>
      </c>
      <c r="D1536" s="142" t="s">
        <v>3848</v>
      </c>
      <c r="E1536" s="141" t="s">
        <v>3895</v>
      </c>
      <c r="F1536" s="142" t="s">
        <v>3896</v>
      </c>
      <c r="G1536" s="141" t="s">
        <v>3897</v>
      </c>
      <c r="H1536" s="142" t="s">
        <v>3898</v>
      </c>
      <c r="I1536" s="141" t="s">
        <v>3903</v>
      </c>
      <c r="J1536" s="142" t="s">
        <v>3904</v>
      </c>
      <c r="K1536" s="142" t="s">
        <v>3905</v>
      </c>
      <c r="L1536" s="143">
        <f t="shared" si="50"/>
        <v>1</v>
      </c>
      <c r="M1536" s="144" t="s">
        <v>3906</v>
      </c>
      <c r="N1536" s="141" t="s">
        <v>3847</v>
      </c>
      <c r="O1536" s="142" t="s">
        <v>3848</v>
      </c>
      <c r="P1536" s="141" t="s">
        <v>3895</v>
      </c>
      <c r="Q1536" s="142" t="s">
        <v>3896</v>
      </c>
      <c r="R1536" s="141" t="s">
        <v>3897</v>
      </c>
      <c r="S1536" s="142" t="s">
        <v>3898</v>
      </c>
      <c r="T1536" s="141" t="s">
        <v>3903</v>
      </c>
      <c r="U1536" s="142" t="s">
        <v>3904</v>
      </c>
      <c r="V1536" s="142" t="s">
        <v>3905</v>
      </c>
      <c r="W1536" s="141">
        <f t="shared" si="51"/>
        <v>1</v>
      </c>
      <c r="X1536" s="143"/>
      <c r="Y1536" s="145"/>
      <c r="AA1536"/>
    </row>
    <row r="1537" spans="1:27" s="115" customFormat="1" ht="27" customHeight="1">
      <c r="A1537" s="139">
        <v>1453</v>
      </c>
      <c r="B1537" s="140" t="s">
        <v>6128</v>
      </c>
      <c r="C1537" s="141" t="s">
        <v>3847</v>
      </c>
      <c r="D1537" s="142" t="s">
        <v>3848</v>
      </c>
      <c r="E1537" s="141" t="s">
        <v>3895</v>
      </c>
      <c r="F1537" s="142" t="s">
        <v>3896</v>
      </c>
      <c r="G1537" s="141" t="s">
        <v>3897</v>
      </c>
      <c r="H1537" s="142" t="s">
        <v>3898</v>
      </c>
      <c r="I1537" s="141" t="s">
        <v>3903</v>
      </c>
      <c r="J1537" s="142" t="s">
        <v>3904</v>
      </c>
      <c r="K1537" s="142" t="s">
        <v>3907</v>
      </c>
      <c r="L1537" s="143">
        <f t="shared" si="50"/>
        <v>1</v>
      </c>
      <c r="M1537" s="144" t="s">
        <v>3908</v>
      </c>
      <c r="N1537" s="141" t="s">
        <v>3847</v>
      </c>
      <c r="O1537" s="142" t="s">
        <v>3848</v>
      </c>
      <c r="P1537" s="141" t="s">
        <v>3895</v>
      </c>
      <c r="Q1537" s="142" t="s">
        <v>3896</v>
      </c>
      <c r="R1537" s="141" t="s">
        <v>3897</v>
      </c>
      <c r="S1537" s="142" t="s">
        <v>3898</v>
      </c>
      <c r="T1537" s="141" t="s">
        <v>3903</v>
      </c>
      <c r="U1537" s="142" t="s">
        <v>3904</v>
      </c>
      <c r="V1537" s="142" t="s">
        <v>3907</v>
      </c>
      <c r="W1537" s="141">
        <f t="shared" si="51"/>
        <v>1</v>
      </c>
      <c r="X1537" s="143"/>
      <c r="Y1537" s="145"/>
      <c r="AA1537"/>
    </row>
    <row r="1538" spans="1:27" s="115" customFormat="1" ht="27" customHeight="1">
      <c r="A1538" s="139">
        <v>1454</v>
      </c>
      <c r="B1538" s="140" t="s">
        <v>6129</v>
      </c>
      <c r="C1538" s="141" t="s">
        <v>3847</v>
      </c>
      <c r="D1538" s="142" t="s">
        <v>3848</v>
      </c>
      <c r="E1538" s="141" t="s">
        <v>3895</v>
      </c>
      <c r="F1538" s="142" t="s">
        <v>3896</v>
      </c>
      <c r="G1538" s="141" t="s">
        <v>3897</v>
      </c>
      <c r="H1538" s="142" t="s">
        <v>3898</v>
      </c>
      <c r="I1538" s="141" t="s">
        <v>3909</v>
      </c>
      <c r="J1538" s="142" t="s">
        <v>3910</v>
      </c>
      <c r="K1538" s="142" t="s">
        <v>3911</v>
      </c>
      <c r="L1538" s="143">
        <f t="shared" si="50"/>
        <v>1</v>
      </c>
      <c r="M1538" s="144" t="s">
        <v>3912</v>
      </c>
      <c r="N1538" s="141" t="s">
        <v>3847</v>
      </c>
      <c r="O1538" s="142" t="s">
        <v>3848</v>
      </c>
      <c r="P1538" s="141" t="s">
        <v>3895</v>
      </c>
      <c r="Q1538" s="142" t="s">
        <v>3896</v>
      </c>
      <c r="R1538" s="141" t="s">
        <v>3897</v>
      </c>
      <c r="S1538" s="142" t="s">
        <v>3898</v>
      </c>
      <c r="T1538" s="141" t="s">
        <v>3909</v>
      </c>
      <c r="U1538" s="142" t="s">
        <v>3910</v>
      </c>
      <c r="V1538" s="142" t="s">
        <v>3911</v>
      </c>
      <c r="W1538" s="141">
        <f t="shared" si="51"/>
        <v>1</v>
      </c>
      <c r="X1538" s="143"/>
      <c r="Y1538" s="145"/>
      <c r="AA1538"/>
    </row>
    <row r="1539" spans="1:27" s="115" customFormat="1" ht="27" customHeight="1">
      <c r="A1539" s="139">
        <v>1455</v>
      </c>
      <c r="B1539" s="140" t="s">
        <v>6130</v>
      </c>
      <c r="C1539" s="141" t="s">
        <v>3847</v>
      </c>
      <c r="D1539" s="142" t="s">
        <v>3848</v>
      </c>
      <c r="E1539" s="141" t="s">
        <v>3895</v>
      </c>
      <c r="F1539" s="142" t="s">
        <v>3896</v>
      </c>
      <c r="G1539" s="141" t="s">
        <v>3897</v>
      </c>
      <c r="H1539" s="142" t="s">
        <v>3898</v>
      </c>
      <c r="I1539" s="141" t="s">
        <v>3909</v>
      </c>
      <c r="J1539" s="142" t="s">
        <v>3910</v>
      </c>
      <c r="K1539" s="142" t="s">
        <v>3913</v>
      </c>
      <c r="L1539" s="143">
        <f t="shared" si="50"/>
        <v>1</v>
      </c>
      <c r="M1539" s="144" t="s">
        <v>3914</v>
      </c>
      <c r="N1539" s="141" t="s">
        <v>3847</v>
      </c>
      <c r="O1539" s="142" t="s">
        <v>3848</v>
      </c>
      <c r="P1539" s="141" t="s">
        <v>3895</v>
      </c>
      <c r="Q1539" s="142" t="s">
        <v>3896</v>
      </c>
      <c r="R1539" s="141" t="s">
        <v>3897</v>
      </c>
      <c r="S1539" s="142" t="s">
        <v>3898</v>
      </c>
      <c r="T1539" s="141" t="s">
        <v>3909</v>
      </c>
      <c r="U1539" s="142" t="s">
        <v>3910</v>
      </c>
      <c r="V1539" s="142" t="s">
        <v>3913</v>
      </c>
      <c r="W1539" s="141">
        <f t="shared" si="51"/>
        <v>1</v>
      </c>
      <c r="X1539" s="143"/>
      <c r="Y1539" s="145"/>
      <c r="AA1539"/>
    </row>
    <row r="1540" spans="1:27" s="115" customFormat="1" ht="27" customHeight="1">
      <c r="A1540" s="139">
        <v>1456</v>
      </c>
      <c r="B1540" s="140" t="s">
        <v>6131</v>
      </c>
      <c r="C1540" s="141" t="s">
        <v>3847</v>
      </c>
      <c r="D1540" s="142" t="s">
        <v>3848</v>
      </c>
      <c r="E1540" s="141">
        <v>87</v>
      </c>
      <c r="F1540" s="142" t="s">
        <v>3896</v>
      </c>
      <c r="G1540" s="141">
        <v>872</v>
      </c>
      <c r="H1540" s="142" t="s">
        <v>3915</v>
      </c>
      <c r="I1540" s="141">
        <v>8721</v>
      </c>
      <c r="J1540" s="142" t="s">
        <v>299</v>
      </c>
      <c r="K1540" s="142" t="s">
        <v>299</v>
      </c>
      <c r="L1540" s="143">
        <f t="shared" si="50"/>
        <v>1</v>
      </c>
      <c r="M1540" s="144" t="s">
        <v>3916</v>
      </c>
      <c r="N1540" s="141" t="s">
        <v>3847</v>
      </c>
      <c r="O1540" s="142" t="s">
        <v>3848</v>
      </c>
      <c r="P1540" s="141" t="s">
        <v>3895</v>
      </c>
      <c r="Q1540" s="142" t="s">
        <v>3896</v>
      </c>
      <c r="R1540" s="141" t="s">
        <v>3917</v>
      </c>
      <c r="S1540" s="142" t="s">
        <v>3915</v>
      </c>
      <c r="T1540" s="141" t="s">
        <v>3918</v>
      </c>
      <c r="U1540" s="142" t="s">
        <v>299</v>
      </c>
      <c r="V1540" s="142" t="s">
        <v>299</v>
      </c>
      <c r="W1540" s="141">
        <f t="shared" si="51"/>
        <v>2</v>
      </c>
      <c r="X1540" s="143">
        <v>2</v>
      </c>
      <c r="Y1540" s="145" t="s">
        <v>3919</v>
      </c>
      <c r="AA1540"/>
    </row>
    <row r="1541" spans="1:27" s="115" customFormat="1" ht="27" customHeight="1">
      <c r="A1541" s="139">
        <v>1457</v>
      </c>
      <c r="B1541" s="140" t="s">
        <v>6132</v>
      </c>
      <c r="C1541" s="141" t="s">
        <v>3847</v>
      </c>
      <c r="D1541" s="142" t="s">
        <v>3848</v>
      </c>
      <c r="E1541" s="141" t="s">
        <v>3895</v>
      </c>
      <c r="F1541" s="142" t="s">
        <v>3896</v>
      </c>
      <c r="G1541" s="141" t="s">
        <v>3917</v>
      </c>
      <c r="H1541" s="142" t="s">
        <v>3915</v>
      </c>
      <c r="I1541" s="141" t="s">
        <v>3920</v>
      </c>
      <c r="J1541" s="142" t="s">
        <v>3921</v>
      </c>
      <c r="K1541" s="142" t="s">
        <v>3922</v>
      </c>
      <c r="L1541" s="143">
        <f t="shared" si="50"/>
        <v>1</v>
      </c>
      <c r="M1541" s="144" t="s">
        <v>3923</v>
      </c>
      <c r="N1541" s="141" t="s">
        <v>3847</v>
      </c>
      <c r="O1541" s="142" t="s">
        <v>3848</v>
      </c>
      <c r="P1541" s="141" t="s">
        <v>3895</v>
      </c>
      <c r="Q1541" s="142" t="s">
        <v>3896</v>
      </c>
      <c r="R1541" s="141" t="s">
        <v>3917</v>
      </c>
      <c r="S1541" s="142" t="s">
        <v>3915</v>
      </c>
      <c r="T1541" s="141" t="s">
        <v>3920</v>
      </c>
      <c r="U1541" s="142" t="s">
        <v>3921</v>
      </c>
      <c r="V1541" s="142" t="s">
        <v>3922</v>
      </c>
      <c r="W1541" s="141">
        <f t="shared" si="51"/>
        <v>1</v>
      </c>
      <c r="X1541" s="143"/>
      <c r="Y1541" s="145"/>
      <c r="AA1541"/>
    </row>
    <row r="1542" spans="1:27" s="115" customFormat="1" ht="27" customHeight="1">
      <c r="A1542" s="139">
        <v>1458</v>
      </c>
      <c r="B1542" s="140" t="s">
        <v>6133</v>
      </c>
      <c r="C1542" s="141" t="s">
        <v>3847</v>
      </c>
      <c r="D1542" s="142" t="s">
        <v>3848</v>
      </c>
      <c r="E1542" s="141" t="s">
        <v>3895</v>
      </c>
      <c r="F1542" s="142" t="s">
        <v>3896</v>
      </c>
      <c r="G1542" s="141" t="s">
        <v>3917</v>
      </c>
      <c r="H1542" s="142" t="s">
        <v>3915</v>
      </c>
      <c r="I1542" s="141" t="s">
        <v>3920</v>
      </c>
      <c r="J1542" s="142" t="s">
        <v>3921</v>
      </c>
      <c r="K1542" s="142" t="s">
        <v>3924</v>
      </c>
      <c r="L1542" s="143">
        <f t="shared" si="50"/>
        <v>1</v>
      </c>
      <c r="M1542" s="144" t="s">
        <v>3925</v>
      </c>
      <c r="N1542" s="141" t="s">
        <v>3847</v>
      </c>
      <c r="O1542" s="142" t="s">
        <v>3848</v>
      </c>
      <c r="P1542" s="141" t="s">
        <v>3895</v>
      </c>
      <c r="Q1542" s="142" t="s">
        <v>3896</v>
      </c>
      <c r="R1542" s="141" t="s">
        <v>3917</v>
      </c>
      <c r="S1542" s="142" t="s">
        <v>3915</v>
      </c>
      <c r="T1542" s="141" t="s">
        <v>3920</v>
      </c>
      <c r="U1542" s="142" t="s">
        <v>3921</v>
      </c>
      <c r="V1542" s="142" t="s">
        <v>3924</v>
      </c>
      <c r="W1542" s="141">
        <f t="shared" si="51"/>
        <v>1</v>
      </c>
      <c r="X1542" s="143"/>
      <c r="Y1542" s="145"/>
      <c r="AA1542"/>
    </row>
    <row r="1543" spans="1:27" s="115" customFormat="1" ht="27" customHeight="1">
      <c r="A1543" s="139">
        <v>1459</v>
      </c>
      <c r="B1543" s="140" t="s">
        <v>6134</v>
      </c>
      <c r="C1543" s="141" t="s">
        <v>3847</v>
      </c>
      <c r="D1543" s="142" t="s">
        <v>3848</v>
      </c>
      <c r="E1543" s="141" t="s">
        <v>3895</v>
      </c>
      <c r="F1543" s="142" t="s">
        <v>3896</v>
      </c>
      <c r="G1543" s="141" t="s">
        <v>3917</v>
      </c>
      <c r="H1543" s="142" t="s">
        <v>3915</v>
      </c>
      <c r="I1543" s="141" t="s">
        <v>3920</v>
      </c>
      <c r="J1543" s="142" t="s">
        <v>3921</v>
      </c>
      <c r="K1543" s="142" t="s">
        <v>3926</v>
      </c>
      <c r="L1543" s="143">
        <f t="shared" si="50"/>
        <v>1</v>
      </c>
      <c r="M1543" s="144" t="s">
        <v>3927</v>
      </c>
      <c r="N1543" s="146" t="s">
        <v>3847</v>
      </c>
      <c r="O1543" s="147" t="s">
        <v>3848</v>
      </c>
      <c r="P1543" s="146" t="s">
        <v>3895</v>
      </c>
      <c r="Q1543" s="147" t="s">
        <v>3896</v>
      </c>
      <c r="R1543" s="146" t="s">
        <v>3917</v>
      </c>
      <c r="S1543" s="147" t="s">
        <v>3915</v>
      </c>
      <c r="T1543" s="146" t="s">
        <v>3920</v>
      </c>
      <c r="U1543" s="142" t="s">
        <v>3921</v>
      </c>
      <c r="V1543" s="147" t="s">
        <v>3926</v>
      </c>
      <c r="W1543" s="141">
        <f t="shared" si="51"/>
        <v>1</v>
      </c>
      <c r="X1543" s="143"/>
      <c r="Y1543" s="145"/>
      <c r="AA1543"/>
    </row>
    <row r="1544" spans="1:27" s="115" customFormat="1" ht="27" customHeight="1">
      <c r="A1544" s="139">
        <v>1460</v>
      </c>
      <c r="B1544" s="140" t="s">
        <v>6135</v>
      </c>
      <c r="C1544" s="141" t="s">
        <v>3847</v>
      </c>
      <c r="D1544" s="142" t="s">
        <v>3848</v>
      </c>
      <c r="E1544" s="141" t="s">
        <v>3895</v>
      </c>
      <c r="F1544" s="142" t="s">
        <v>3896</v>
      </c>
      <c r="G1544" s="141" t="s">
        <v>3917</v>
      </c>
      <c r="H1544" s="142" t="s">
        <v>3915</v>
      </c>
      <c r="I1544" s="141" t="s">
        <v>3920</v>
      </c>
      <c r="J1544" s="142" t="s">
        <v>3921</v>
      </c>
      <c r="K1544" s="142" t="s">
        <v>3928</v>
      </c>
      <c r="L1544" s="143">
        <f t="shared" si="50"/>
        <v>1</v>
      </c>
      <c r="M1544" s="144" t="s">
        <v>3929</v>
      </c>
      <c r="N1544" s="146" t="s">
        <v>3847</v>
      </c>
      <c r="O1544" s="147" t="s">
        <v>3848</v>
      </c>
      <c r="P1544" s="146" t="s">
        <v>3895</v>
      </c>
      <c r="Q1544" s="147" t="s">
        <v>3896</v>
      </c>
      <c r="R1544" s="146" t="s">
        <v>3917</v>
      </c>
      <c r="S1544" s="147" t="s">
        <v>3915</v>
      </c>
      <c r="T1544" s="146" t="s">
        <v>3920</v>
      </c>
      <c r="U1544" s="142" t="s">
        <v>3921</v>
      </c>
      <c r="V1544" s="147" t="s">
        <v>3928</v>
      </c>
      <c r="W1544" s="141">
        <f t="shared" si="51"/>
        <v>1</v>
      </c>
      <c r="X1544" s="143"/>
      <c r="Y1544" s="145"/>
      <c r="AA1544"/>
    </row>
    <row r="1545" spans="1:27" s="115" customFormat="1" ht="27" customHeight="1">
      <c r="A1545" s="139">
        <v>1461</v>
      </c>
      <c r="B1545" s="140" t="s">
        <v>6136</v>
      </c>
      <c r="C1545" s="141" t="s">
        <v>3847</v>
      </c>
      <c r="D1545" s="142" t="s">
        <v>3848</v>
      </c>
      <c r="E1545" s="141" t="s">
        <v>3895</v>
      </c>
      <c r="F1545" s="142" t="s">
        <v>3896</v>
      </c>
      <c r="G1545" s="141" t="s">
        <v>3917</v>
      </c>
      <c r="H1545" s="142" t="s">
        <v>3915</v>
      </c>
      <c r="I1545" s="141" t="s">
        <v>3920</v>
      </c>
      <c r="J1545" s="142" t="s">
        <v>3921</v>
      </c>
      <c r="K1545" s="142" t="s">
        <v>3930</v>
      </c>
      <c r="L1545" s="143">
        <f t="shared" si="50"/>
        <v>1</v>
      </c>
      <c r="M1545" s="144" t="s">
        <v>3931</v>
      </c>
      <c r="N1545" s="141" t="s">
        <v>3847</v>
      </c>
      <c r="O1545" s="142" t="s">
        <v>3848</v>
      </c>
      <c r="P1545" s="141" t="s">
        <v>3895</v>
      </c>
      <c r="Q1545" s="142" t="s">
        <v>3896</v>
      </c>
      <c r="R1545" s="141" t="s">
        <v>3917</v>
      </c>
      <c r="S1545" s="142" t="s">
        <v>3915</v>
      </c>
      <c r="T1545" s="141" t="s">
        <v>3920</v>
      </c>
      <c r="U1545" s="142" t="s">
        <v>3921</v>
      </c>
      <c r="V1545" s="142" t="s">
        <v>3930</v>
      </c>
      <c r="W1545" s="141">
        <f t="shared" si="51"/>
        <v>1</v>
      </c>
      <c r="X1545" s="143"/>
      <c r="Y1545" s="145"/>
      <c r="AA1545"/>
    </row>
    <row r="1546" spans="1:27" s="115" customFormat="1" ht="27" customHeight="1">
      <c r="A1546" s="139">
        <v>1462</v>
      </c>
      <c r="B1546" s="140" t="s">
        <v>5996</v>
      </c>
      <c r="C1546" s="141" t="s">
        <v>3847</v>
      </c>
      <c r="D1546" s="142" t="s">
        <v>3848</v>
      </c>
      <c r="E1546" s="141" t="s">
        <v>3563</v>
      </c>
      <c r="F1546" s="142" t="s">
        <v>3896</v>
      </c>
      <c r="G1546" s="141" t="s">
        <v>3564</v>
      </c>
      <c r="H1546" s="142" t="s">
        <v>3898</v>
      </c>
      <c r="I1546" s="141" t="s">
        <v>3565</v>
      </c>
      <c r="J1546" s="142" t="s">
        <v>3900</v>
      </c>
      <c r="K1546" s="142" t="s">
        <v>298</v>
      </c>
      <c r="L1546" s="143">
        <f t="shared" si="50"/>
        <v>1</v>
      </c>
      <c r="M1546" s="144" t="s">
        <v>3932</v>
      </c>
      <c r="N1546" s="141" t="s">
        <v>3847</v>
      </c>
      <c r="O1546" s="142" t="s">
        <v>3848</v>
      </c>
      <c r="P1546" s="141" t="s">
        <v>3895</v>
      </c>
      <c r="Q1546" s="142" t="s">
        <v>3896</v>
      </c>
      <c r="R1546" s="141" t="s">
        <v>3897</v>
      </c>
      <c r="S1546" s="142" t="s">
        <v>3898</v>
      </c>
      <c r="T1546" s="141" t="s">
        <v>3899</v>
      </c>
      <c r="U1546" s="142" t="s">
        <v>3900</v>
      </c>
      <c r="V1546" s="142" t="s">
        <v>298</v>
      </c>
      <c r="W1546" s="141">
        <f t="shared" si="51"/>
        <v>1</v>
      </c>
      <c r="X1546" s="143"/>
      <c r="Y1546" s="145"/>
      <c r="AA1546"/>
    </row>
    <row r="1547" spans="1:27" s="115" customFormat="1" ht="27" customHeight="1">
      <c r="A1547" s="139">
        <v>1463</v>
      </c>
      <c r="B1547" s="140" t="s">
        <v>6043</v>
      </c>
      <c r="C1547" s="141" t="s">
        <v>3847</v>
      </c>
      <c r="D1547" s="142" t="s">
        <v>3848</v>
      </c>
      <c r="E1547" s="141" t="s">
        <v>3933</v>
      </c>
      <c r="F1547" s="142" t="s">
        <v>3896</v>
      </c>
      <c r="G1547" s="141" t="s">
        <v>3934</v>
      </c>
      <c r="H1547" s="142" t="s">
        <v>3915</v>
      </c>
      <c r="I1547" s="141" t="s">
        <v>3935</v>
      </c>
      <c r="J1547" s="142" t="s">
        <v>299</v>
      </c>
      <c r="K1547" s="142" t="s">
        <v>299</v>
      </c>
      <c r="L1547" s="143">
        <f t="shared" si="50"/>
        <v>1</v>
      </c>
      <c r="M1547" s="144" t="s">
        <v>3916</v>
      </c>
      <c r="N1547" s="141" t="s">
        <v>3847</v>
      </c>
      <c r="O1547" s="142" t="s">
        <v>3848</v>
      </c>
      <c r="P1547" s="141" t="s">
        <v>3895</v>
      </c>
      <c r="Q1547" s="142" t="s">
        <v>3896</v>
      </c>
      <c r="R1547" s="141" t="s">
        <v>3917</v>
      </c>
      <c r="S1547" s="142" t="s">
        <v>3915</v>
      </c>
      <c r="T1547" s="141" t="s">
        <v>3918</v>
      </c>
      <c r="U1547" s="142" t="s">
        <v>299</v>
      </c>
      <c r="V1547" s="142" t="s">
        <v>299</v>
      </c>
      <c r="W1547" s="141">
        <f t="shared" si="51"/>
        <v>2</v>
      </c>
      <c r="X1547" s="143">
        <v>2</v>
      </c>
      <c r="Y1547" s="145" t="s">
        <v>3936</v>
      </c>
      <c r="AA1547"/>
    </row>
    <row r="1548" spans="1:27" s="115" customFormat="1" ht="27" customHeight="1">
      <c r="A1548" s="139">
        <v>1464</v>
      </c>
      <c r="B1548" s="140" t="s">
        <v>5285</v>
      </c>
      <c r="C1548" s="141" t="s">
        <v>3937</v>
      </c>
      <c r="D1548" s="142" t="s">
        <v>3938</v>
      </c>
      <c r="E1548" s="141" t="s">
        <v>2412</v>
      </c>
      <c r="F1548" s="142" t="s">
        <v>3939</v>
      </c>
      <c r="G1548" s="141" t="s">
        <v>2441</v>
      </c>
      <c r="H1548" s="142" t="s">
        <v>3940</v>
      </c>
      <c r="I1548" s="141" t="s">
        <v>2467</v>
      </c>
      <c r="J1548" s="142" t="s">
        <v>3941</v>
      </c>
      <c r="K1548" s="142" t="s">
        <v>1195</v>
      </c>
      <c r="L1548" s="143">
        <f t="shared" si="50"/>
        <v>1</v>
      </c>
      <c r="M1548" s="144" t="s">
        <v>3942</v>
      </c>
      <c r="N1548" s="141" t="s">
        <v>3937</v>
      </c>
      <c r="O1548" s="142" t="s">
        <v>3938</v>
      </c>
      <c r="P1548" s="141" t="s">
        <v>3943</v>
      </c>
      <c r="Q1548" s="142" t="s">
        <v>3939</v>
      </c>
      <c r="R1548" s="141" t="s">
        <v>3944</v>
      </c>
      <c r="S1548" s="142" t="s">
        <v>3940</v>
      </c>
      <c r="T1548" s="141" t="s">
        <v>3945</v>
      </c>
      <c r="U1548" s="142" t="s">
        <v>3941</v>
      </c>
      <c r="V1548" s="142" t="s">
        <v>1195</v>
      </c>
      <c r="W1548" s="141">
        <f t="shared" si="51"/>
        <v>3</v>
      </c>
      <c r="X1548" s="143">
        <v>2</v>
      </c>
      <c r="Y1548" s="145" t="s">
        <v>3946</v>
      </c>
      <c r="AA1548"/>
    </row>
    <row r="1549" spans="1:27" s="115" customFormat="1" ht="27" customHeight="1">
      <c r="A1549" s="139">
        <v>1465</v>
      </c>
      <c r="B1549" s="140" t="s">
        <v>5413</v>
      </c>
      <c r="C1549" s="141" t="s">
        <v>3937</v>
      </c>
      <c r="D1549" s="142" t="s">
        <v>3938</v>
      </c>
      <c r="E1549" s="141" t="s">
        <v>2696</v>
      </c>
      <c r="F1549" s="142" t="s">
        <v>3939</v>
      </c>
      <c r="G1549" s="141" t="s">
        <v>2715</v>
      </c>
      <c r="H1549" s="142" t="s">
        <v>3940</v>
      </c>
      <c r="I1549" s="141" t="s">
        <v>2717</v>
      </c>
      <c r="J1549" s="142" t="s">
        <v>3941</v>
      </c>
      <c r="K1549" s="142" t="s">
        <v>1195</v>
      </c>
      <c r="L1549" s="143">
        <f t="shared" si="50"/>
        <v>1</v>
      </c>
      <c r="M1549" s="144" t="s">
        <v>3942</v>
      </c>
      <c r="N1549" s="141" t="s">
        <v>3937</v>
      </c>
      <c r="O1549" s="142" t="s">
        <v>3938</v>
      </c>
      <c r="P1549" s="141" t="s">
        <v>3943</v>
      </c>
      <c r="Q1549" s="142" t="s">
        <v>3939</v>
      </c>
      <c r="R1549" s="141" t="s">
        <v>3944</v>
      </c>
      <c r="S1549" s="142" t="s">
        <v>3940</v>
      </c>
      <c r="T1549" s="141" t="s">
        <v>3945</v>
      </c>
      <c r="U1549" s="142" t="s">
        <v>3941</v>
      </c>
      <c r="V1549" s="142" t="s">
        <v>1195</v>
      </c>
      <c r="W1549" s="141">
        <f t="shared" si="51"/>
        <v>3</v>
      </c>
      <c r="X1549" s="143">
        <v>2</v>
      </c>
      <c r="Y1549" s="145" t="s">
        <v>3947</v>
      </c>
      <c r="AA1549"/>
    </row>
    <row r="1550" spans="1:27" s="115" customFormat="1" ht="27" customHeight="1">
      <c r="A1550" s="139">
        <v>1466</v>
      </c>
      <c r="B1550" s="140" t="s">
        <v>5839</v>
      </c>
      <c r="C1550" s="141" t="s">
        <v>3937</v>
      </c>
      <c r="D1550" s="142" t="s">
        <v>3938</v>
      </c>
      <c r="E1550" s="141" t="s">
        <v>3759</v>
      </c>
      <c r="F1550" s="142" t="s">
        <v>3939</v>
      </c>
      <c r="G1550" s="141" t="s">
        <v>3766</v>
      </c>
      <c r="H1550" s="142" t="s">
        <v>3948</v>
      </c>
      <c r="I1550" s="141" t="s">
        <v>3767</v>
      </c>
      <c r="J1550" s="142" t="s">
        <v>3949</v>
      </c>
      <c r="K1550" s="142" t="s">
        <v>1196</v>
      </c>
      <c r="L1550" s="143">
        <f t="shared" si="50"/>
        <v>1</v>
      </c>
      <c r="M1550" s="144" t="s">
        <v>3950</v>
      </c>
      <c r="N1550" s="141" t="s">
        <v>3937</v>
      </c>
      <c r="O1550" s="142" t="s">
        <v>3938</v>
      </c>
      <c r="P1550" s="141" t="s">
        <v>3943</v>
      </c>
      <c r="Q1550" s="142" t="s">
        <v>3939</v>
      </c>
      <c r="R1550" s="141" t="s">
        <v>3951</v>
      </c>
      <c r="S1550" s="142" t="s">
        <v>3948</v>
      </c>
      <c r="T1550" s="141" t="s">
        <v>3952</v>
      </c>
      <c r="U1550" s="142" t="s">
        <v>3949</v>
      </c>
      <c r="V1550" s="142" t="s">
        <v>1196</v>
      </c>
      <c r="W1550" s="141">
        <f t="shared" si="51"/>
        <v>5</v>
      </c>
      <c r="X1550" s="143"/>
      <c r="Y1550" s="145" t="s">
        <v>3953</v>
      </c>
      <c r="AA1550"/>
    </row>
    <row r="1551" spans="1:27" s="115" customFormat="1" ht="27" customHeight="1">
      <c r="A1551" s="139">
        <v>1467</v>
      </c>
      <c r="B1551" s="140" t="s">
        <v>5851</v>
      </c>
      <c r="C1551" s="141" t="s">
        <v>3937</v>
      </c>
      <c r="D1551" s="142" t="s">
        <v>3938</v>
      </c>
      <c r="E1551" s="141" t="s">
        <v>3759</v>
      </c>
      <c r="F1551" s="142" t="s">
        <v>3939</v>
      </c>
      <c r="G1551" s="141" t="s">
        <v>3766</v>
      </c>
      <c r="H1551" s="142" t="s">
        <v>3940</v>
      </c>
      <c r="I1551" s="141" t="s">
        <v>3767</v>
      </c>
      <c r="J1551" s="142" t="s">
        <v>3954</v>
      </c>
      <c r="K1551" s="142" t="s">
        <v>1197</v>
      </c>
      <c r="L1551" s="143">
        <f t="shared" si="50"/>
        <v>1</v>
      </c>
      <c r="M1551" s="144" t="s">
        <v>3955</v>
      </c>
      <c r="N1551" s="141" t="s">
        <v>3937</v>
      </c>
      <c r="O1551" s="142" t="s">
        <v>3938</v>
      </c>
      <c r="P1551" s="141" t="s">
        <v>3943</v>
      </c>
      <c r="Q1551" s="142" t="s">
        <v>3939</v>
      </c>
      <c r="R1551" s="141" t="s">
        <v>3944</v>
      </c>
      <c r="S1551" s="142" t="s">
        <v>3940</v>
      </c>
      <c r="T1551" s="141" t="s">
        <v>3956</v>
      </c>
      <c r="U1551" s="142" t="s">
        <v>3954</v>
      </c>
      <c r="V1551" s="142" t="s">
        <v>1197</v>
      </c>
      <c r="W1551" s="141">
        <f t="shared" si="51"/>
        <v>1</v>
      </c>
      <c r="X1551" s="143"/>
      <c r="Y1551" s="145"/>
      <c r="AA1551"/>
    </row>
    <row r="1552" spans="1:27" s="115" customFormat="1" ht="27" customHeight="1">
      <c r="A1552" s="139">
        <v>1468</v>
      </c>
      <c r="B1552" s="140" t="s">
        <v>5905</v>
      </c>
      <c r="C1552" s="141" t="s">
        <v>3937</v>
      </c>
      <c r="D1552" s="142" t="s">
        <v>3938</v>
      </c>
      <c r="E1552" s="141" t="s">
        <v>2157</v>
      </c>
      <c r="F1552" s="142" t="s">
        <v>3957</v>
      </c>
      <c r="G1552" s="141" t="s">
        <v>3241</v>
      </c>
      <c r="H1552" s="142" t="s">
        <v>3958</v>
      </c>
      <c r="I1552" s="141" t="s">
        <v>3419</v>
      </c>
      <c r="J1552" s="142" t="s">
        <v>3959</v>
      </c>
      <c r="K1552" s="142" t="s">
        <v>1198</v>
      </c>
      <c r="L1552" s="143">
        <f t="shared" si="50"/>
        <v>1</v>
      </c>
      <c r="M1552" s="144" t="s">
        <v>3960</v>
      </c>
      <c r="N1552" s="141" t="s">
        <v>3937</v>
      </c>
      <c r="O1552" s="142" t="s">
        <v>3938</v>
      </c>
      <c r="P1552" s="141" t="s">
        <v>2232</v>
      </c>
      <c r="Q1552" s="142" t="s">
        <v>3957</v>
      </c>
      <c r="R1552" s="141" t="s">
        <v>3961</v>
      </c>
      <c r="S1552" s="142" t="s">
        <v>3958</v>
      </c>
      <c r="T1552" s="141" t="s">
        <v>3962</v>
      </c>
      <c r="U1552" s="142" t="s">
        <v>3959</v>
      </c>
      <c r="V1552" s="142" t="s">
        <v>1198</v>
      </c>
      <c r="W1552" s="141">
        <f t="shared" si="51"/>
        <v>1</v>
      </c>
      <c r="X1552" s="143"/>
      <c r="Y1552" s="145"/>
      <c r="AA1552"/>
    </row>
    <row r="1553" spans="1:27" s="115" customFormat="1" ht="27" customHeight="1">
      <c r="A1553" s="139">
        <v>1469</v>
      </c>
      <c r="B1553" s="140" t="s">
        <v>5906</v>
      </c>
      <c r="C1553" s="141" t="s">
        <v>3937</v>
      </c>
      <c r="D1553" s="142" t="s">
        <v>3938</v>
      </c>
      <c r="E1553" s="141" t="s">
        <v>2157</v>
      </c>
      <c r="F1553" s="142" t="s">
        <v>3957</v>
      </c>
      <c r="G1553" s="141" t="s">
        <v>3241</v>
      </c>
      <c r="H1553" s="142" t="s">
        <v>3958</v>
      </c>
      <c r="I1553" s="141" t="s">
        <v>3419</v>
      </c>
      <c r="J1553" s="142" t="s">
        <v>3963</v>
      </c>
      <c r="K1553" s="142" t="s">
        <v>1199</v>
      </c>
      <c r="L1553" s="143">
        <f t="shared" si="50"/>
        <v>1</v>
      </c>
      <c r="M1553" s="144" t="s">
        <v>3964</v>
      </c>
      <c r="N1553" s="141" t="s">
        <v>3937</v>
      </c>
      <c r="O1553" s="142" t="s">
        <v>3938</v>
      </c>
      <c r="P1553" s="141" t="s">
        <v>2232</v>
      </c>
      <c r="Q1553" s="142" t="s">
        <v>3957</v>
      </c>
      <c r="R1553" s="141" t="s">
        <v>3961</v>
      </c>
      <c r="S1553" s="142" t="s">
        <v>3958</v>
      </c>
      <c r="T1553" s="141" t="s">
        <v>3965</v>
      </c>
      <c r="U1553" s="142" t="s">
        <v>3963</v>
      </c>
      <c r="V1553" s="142" t="s">
        <v>1199</v>
      </c>
      <c r="W1553" s="141">
        <f t="shared" si="51"/>
        <v>1</v>
      </c>
      <c r="X1553" s="143"/>
      <c r="Y1553" s="145"/>
      <c r="AA1553"/>
    </row>
    <row r="1554" spans="1:27" s="115" customFormat="1" ht="27" customHeight="1">
      <c r="A1554" s="139">
        <v>1470</v>
      </c>
      <c r="B1554" s="140" t="s">
        <v>5907</v>
      </c>
      <c r="C1554" s="141" t="s">
        <v>3937</v>
      </c>
      <c r="D1554" s="142" t="s">
        <v>3938</v>
      </c>
      <c r="E1554" s="141" t="s">
        <v>2157</v>
      </c>
      <c r="F1554" s="142" t="s">
        <v>3957</v>
      </c>
      <c r="G1554" s="141" t="s">
        <v>3241</v>
      </c>
      <c r="H1554" s="142" t="s">
        <v>3958</v>
      </c>
      <c r="I1554" s="141" t="s">
        <v>3419</v>
      </c>
      <c r="J1554" s="142" t="s">
        <v>3963</v>
      </c>
      <c r="K1554" s="142" t="s">
        <v>300</v>
      </c>
      <c r="L1554" s="143">
        <f t="shared" si="50"/>
        <v>1</v>
      </c>
      <c r="M1554" s="144" t="s">
        <v>3966</v>
      </c>
      <c r="N1554" s="141" t="s">
        <v>3937</v>
      </c>
      <c r="O1554" s="142" t="s">
        <v>3938</v>
      </c>
      <c r="P1554" s="141" t="s">
        <v>2232</v>
      </c>
      <c r="Q1554" s="142" t="s">
        <v>3957</v>
      </c>
      <c r="R1554" s="141" t="s">
        <v>3961</v>
      </c>
      <c r="S1554" s="142" t="s">
        <v>3958</v>
      </c>
      <c r="T1554" s="141" t="s">
        <v>3965</v>
      </c>
      <c r="U1554" s="142" t="s">
        <v>3963</v>
      </c>
      <c r="V1554" s="142" t="s">
        <v>300</v>
      </c>
      <c r="W1554" s="141">
        <f t="shared" si="51"/>
        <v>1</v>
      </c>
      <c r="X1554" s="143"/>
      <c r="Y1554" s="145"/>
      <c r="AA1554"/>
    </row>
    <row r="1555" spans="1:27" s="115" customFormat="1" ht="27" customHeight="1">
      <c r="A1555" s="139">
        <v>1471</v>
      </c>
      <c r="B1555" s="140" t="s">
        <v>5909</v>
      </c>
      <c r="C1555" s="141" t="s">
        <v>3937</v>
      </c>
      <c r="D1555" s="142" t="s">
        <v>3938</v>
      </c>
      <c r="E1555" s="141" t="s">
        <v>2157</v>
      </c>
      <c r="F1555" s="142" t="s">
        <v>3957</v>
      </c>
      <c r="G1555" s="141" t="s">
        <v>3241</v>
      </c>
      <c r="H1555" s="142" t="s">
        <v>3958</v>
      </c>
      <c r="I1555" s="141" t="s">
        <v>3419</v>
      </c>
      <c r="J1555" s="142" t="s">
        <v>3959</v>
      </c>
      <c r="K1555" s="142" t="s">
        <v>1200</v>
      </c>
      <c r="L1555" s="143">
        <f t="shared" si="50"/>
        <v>1</v>
      </c>
      <c r="M1555" s="144" t="s">
        <v>3967</v>
      </c>
      <c r="N1555" s="146" t="s">
        <v>3937</v>
      </c>
      <c r="O1555" s="147" t="s">
        <v>3938</v>
      </c>
      <c r="P1555" s="146" t="s">
        <v>2232</v>
      </c>
      <c r="Q1555" s="147" t="s">
        <v>3957</v>
      </c>
      <c r="R1555" s="146" t="s">
        <v>3961</v>
      </c>
      <c r="S1555" s="147" t="s">
        <v>3958</v>
      </c>
      <c r="T1555" s="146" t="s">
        <v>3962</v>
      </c>
      <c r="U1555" s="147" t="s">
        <v>3959</v>
      </c>
      <c r="V1555" s="147" t="s">
        <v>1200</v>
      </c>
      <c r="W1555" s="141">
        <f t="shared" si="51"/>
        <v>1</v>
      </c>
      <c r="X1555" s="143"/>
      <c r="Y1555" s="145"/>
      <c r="AA1555"/>
    </row>
    <row r="1556" spans="1:27" s="115" customFormat="1" ht="27" customHeight="1">
      <c r="A1556" s="139">
        <v>1472</v>
      </c>
      <c r="B1556" s="140" t="s">
        <v>5910</v>
      </c>
      <c r="C1556" s="141" t="s">
        <v>3937</v>
      </c>
      <c r="D1556" s="142" t="s">
        <v>3938</v>
      </c>
      <c r="E1556" s="141" t="s">
        <v>2157</v>
      </c>
      <c r="F1556" s="142" t="s">
        <v>3957</v>
      </c>
      <c r="G1556" s="141" t="s">
        <v>3241</v>
      </c>
      <c r="H1556" s="142" t="s">
        <v>3958</v>
      </c>
      <c r="I1556" s="141" t="s">
        <v>3419</v>
      </c>
      <c r="J1556" s="142" t="s">
        <v>3959</v>
      </c>
      <c r="K1556" s="142" t="s">
        <v>1201</v>
      </c>
      <c r="L1556" s="143">
        <f t="shared" si="50"/>
        <v>1</v>
      </c>
      <c r="M1556" s="144" t="s">
        <v>3968</v>
      </c>
      <c r="N1556" s="141" t="s">
        <v>3937</v>
      </c>
      <c r="O1556" s="142" t="s">
        <v>3938</v>
      </c>
      <c r="P1556" s="141" t="s">
        <v>2232</v>
      </c>
      <c r="Q1556" s="142" t="s">
        <v>3957</v>
      </c>
      <c r="R1556" s="141" t="s">
        <v>3961</v>
      </c>
      <c r="S1556" s="142" t="s">
        <v>3958</v>
      </c>
      <c r="T1556" s="141" t="s">
        <v>3962</v>
      </c>
      <c r="U1556" s="142" t="s">
        <v>3959</v>
      </c>
      <c r="V1556" s="142" t="s">
        <v>1201</v>
      </c>
      <c r="W1556" s="141">
        <f t="shared" si="51"/>
        <v>1</v>
      </c>
      <c r="X1556" s="143"/>
      <c r="Y1556" s="145"/>
      <c r="AA1556"/>
    </row>
    <row r="1557" spans="1:27" s="115" customFormat="1" ht="27" customHeight="1">
      <c r="A1557" s="139">
        <v>1473</v>
      </c>
      <c r="B1557" s="140" t="s">
        <v>5911</v>
      </c>
      <c r="C1557" s="141" t="s">
        <v>3937</v>
      </c>
      <c r="D1557" s="142" t="s">
        <v>3938</v>
      </c>
      <c r="E1557" s="141" t="s">
        <v>2157</v>
      </c>
      <c r="F1557" s="142" t="s">
        <v>3957</v>
      </c>
      <c r="G1557" s="141" t="s">
        <v>3241</v>
      </c>
      <c r="H1557" s="142" t="s">
        <v>3958</v>
      </c>
      <c r="I1557" s="141" t="s">
        <v>3419</v>
      </c>
      <c r="J1557" s="142" t="s">
        <v>3963</v>
      </c>
      <c r="K1557" s="142" t="s">
        <v>1202</v>
      </c>
      <c r="L1557" s="143">
        <f t="shared" si="50"/>
        <v>1</v>
      </c>
      <c r="M1557" s="144" t="s">
        <v>3969</v>
      </c>
      <c r="N1557" s="146" t="s">
        <v>3937</v>
      </c>
      <c r="O1557" s="147" t="s">
        <v>3938</v>
      </c>
      <c r="P1557" s="146" t="s">
        <v>2232</v>
      </c>
      <c r="Q1557" s="147" t="s">
        <v>3957</v>
      </c>
      <c r="R1557" s="146" t="s">
        <v>3961</v>
      </c>
      <c r="S1557" s="147" t="s">
        <v>3958</v>
      </c>
      <c r="T1557" s="146" t="s">
        <v>3965</v>
      </c>
      <c r="U1557" s="147" t="s">
        <v>3963</v>
      </c>
      <c r="V1557" s="147" t="s">
        <v>1202</v>
      </c>
      <c r="W1557" s="141">
        <f t="shared" si="51"/>
        <v>1</v>
      </c>
      <c r="X1557" s="143"/>
      <c r="Y1557" s="145"/>
      <c r="AA1557"/>
    </row>
    <row r="1558" spans="1:27" s="115" customFormat="1" ht="27" customHeight="1">
      <c r="A1558" s="139">
        <v>1474</v>
      </c>
      <c r="B1558" s="140" t="s">
        <v>5916</v>
      </c>
      <c r="C1558" s="141" t="s">
        <v>3937</v>
      </c>
      <c r="D1558" s="142" t="s">
        <v>3938</v>
      </c>
      <c r="E1558" s="141" t="s">
        <v>2157</v>
      </c>
      <c r="F1558" s="142" t="s">
        <v>3957</v>
      </c>
      <c r="G1558" s="141" t="s">
        <v>3241</v>
      </c>
      <c r="H1558" s="142" t="s">
        <v>3958</v>
      </c>
      <c r="I1558" s="141" t="s">
        <v>3840</v>
      </c>
      <c r="J1558" s="142" t="s">
        <v>301</v>
      </c>
      <c r="K1558" s="142" t="s">
        <v>301</v>
      </c>
      <c r="L1558" s="143">
        <f t="shared" si="50"/>
        <v>1</v>
      </c>
      <c r="M1558" s="144" t="s">
        <v>3970</v>
      </c>
      <c r="N1558" s="141" t="s">
        <v>3937</v>
      </c>
      <c r="O1558" s="142" t="s">
        <v>3938</v>
      </c>
      <c r="P1558" s="141" t="s">
        <v>2232</v>
      </c>
      <c r="Q1558" s="142" t="s">
        <v>3957</v>
      </c>
      <c r="R1558" s="141" t="s">
        <v>3961</v>
      </c>
      <c r="S1558" s="142" t="s">
        <v>3958</v>
      </c>
      <c r="T1558" s="141" t="s">
        <v>3971</v>
      </c>
      <c r="U1558" s="142" t="s">
        <v>301</v>
      </c>
      <c r="V1558" s="142" t="s">
        <v>301</v>
      </c>
      <c r="W1558" s="141">
        <f t="shared" si="51"/>
        <v>1</v>
      </c>
      <c r="X1558" s="143"/>
      <c r="Y1558" s="145"/>
      <c r="AA1558"/>
    </row>
    <row r="1559" spans="1:27" s="115" customFormat="1" ht="27" customHeight="1">
      <c r="A1559" s="139">
        <v>1475</v>
      </c>
      <c r="B1559" s="140" t="s">
        <v>5918</v>
      </c>
      <c r="C1559" s="141" t="s">
        <v>3937</v>
      </c>
      <c r="D1559" s="142" t="s">
        <v>3938</v>
      </c>
      <c r="E1559" s="141" t="s">
        <v>2157</v>
      </c>
      <c r="F1559" s="142" t="s">
        <v>3939</v>
      </c>
      <c r="G1559" s="141" t="s">
        <v>3241</v>
      </c>
      <c r="H1559" s="142" t="s">
        <v>3940</v>
      </c>
      <c r="I1559" s="141" t="s">
        <v>3840</v>
      </c>
      <c r="J1559" s="142" t="s">
        <v>1203</v>
      </c>
      <c r="K1559" s="142" t="s">
        <v>1203</v>
      </c>
      <c r="L1559" s="143">
        <f t="shared" si="50"/>
        <v>1</v>
      </c>
      <c r="M1559" s="144" t="s">
        <v>3972</v>
      </c>
      <c r="N1559" s="141" t="s">
        <v>3937</v>
      </c>
      <c r="O1559" s="142" t="s">
        <v>3938</v>
      </c>
      <c r="P1559" s="141" t="s">
        <v>3943</v>
      </c>
      <c r="Q1559" s="142" t="s">
        <v>3939</v>
      </c>
      <c r="R1559" s="141" t="s">
        <v>3944</v>
      </c>
      <c r="S1559" s="142" t="s">
        <v>3940</v>
      </c>
      <c r="T1559" s="141" t="s">
        <v>3973</v>
      </c>
      <c r="U1559" s="142" t="s">
        <v>1203</v>
      </c>
      <c r="V1559" s="142" t="s">
        <v>1203</v>
      </c>
      <c r="W1559" s="141">
        <f t="shared" si="51"/>
        <v>1</v>
      </c>
      <c r="X1559" s="143"/>
      <c r="Y1559" s="145"/>
      <c r="AA1559"/>
    </row>
    <row r="1560" spans="1:27" s="115" customFormat="1" ht="27" customHeight="1">
      <c r="A1560" s="139">
        <v>1476</v>
      </c>
      <c r="B1560" s="140" t="s">
        <v>5919</v>
      </c>
      <c r="C1560" s="141" t="s">
        <v>3937</v>
      </c>
      <c r="D1560" s="142" t="s">
        <v>3938</v>
      </c>
      <c r="E1560" s="141" t="s">
        <v>2157</v>
      </c>
      <c r="F1560" s="142" t="s">
        <v>3939</v>
      </c>
      <c r="G1560" s="141" t="s">
        <v>3241</v>
      </c>
      <c r="H1560" s="142" t="s">
        <v>3940</v>
      </c>
      <c r="I1560" s="141" t="s">
        <v>3840</v>
      </c>
      <c r="J1560" s="142" t="s">
        <v>3954</v>
      </c>
      <c r="K1560" s="142" t="s">
        <v>302</v>
      </c>
      <c r="L1560" s="143">
        <f t="shared" si="50"/>
        <v>1</v>
      </c>
      <c r="M1560" s="144" t="s">
        <v>3974</v>
      </c>
      <c r="N1560" s="141" t="s">
        <v>3937</v>
      </c>
      <c r="O1560" s="142" t="s">
        <v>3938</v>
      </c>
      <c r="P1560" s="141" t="s">
        <v>3943</v>
      </c>
      <c r="Q1560" s="142" t="s">
        <v>3939</v>
      </c>
      <c r="R1560" s="141" t="s">
        <v>3944</v>
      </c>
      <c r="S1560" s="142" t="s">
        <v>3940</v>
      </c>
      <c r="T1560" s="141" t="s">
        <v>3956</v>
      </c>
      <c r="U1560" s="142" t="s">
        <v>3954</v>
      </c>
      <c r="V1560" s="142" t="s">
        <v>302</v>
      </c>
      <c r="W1560" s="141">
        <f t="shared" si="51"/>
        <v>1</v>
      </c>
      <c r="X1560" s="143"/>
      <c r="Y1560" s="145"/>
      <c r="AA1560"/>
    </row>
    <row r="1561" spans="1:27" s="115" customFormat="1" ht="27" customHeight="1">
      <c r="A1561" s="139">
        <v>1477</v>
      </c>
      <c r="B1561" s="140" t="s">
        <v>5933</v>
      </c>
      <c r="C1561" s="141" t="s">
        <v>3937</v>
      </c>
      <c r="D1561" s="142" t="s">
        <v>3938</v>
      </c>
      <c r="E1561" s="141" t="s">
        <v>2157</v>
      </c>
      <c r="F1561" s="142" t="s">
        <v>3957</v>
      </c>
      <c r="G1561" s="141" t="s">
        <v>3975</v>
      </c>
      <c r="H1561" s="142" t="s">
        <v>3976</v>
      </c>
      <c r="I1561" s="141" t="s">
        <v>3977</v>
      </c>
      <c r="J1561" s="142" t="s">
        <v>3978</v>
      </c>
      <c r="K1561" s="142" t="s">
        <v>1204</v>
      </c>
      <c r="L1561" s="143">
        <f t="shared" si="50"/>
        <v>1</v>
      </c>
      <c r="M1561" s="144" t="s">
        <v>3979</v>
      </c>
      <c r="N1561" s="141" t="s">
        <v>3937</v>
      </c>
      <c r="O1561" s="142" t="s">
        <v>3938</v>
      </c>
      <c r="P1561" s="141" t="s">
        <v>2232</v>
      </c>
      <c r="Q1561" s="142" t="s">
        <v>3957</v>
      </c>
      <c r="R1561" s="141" t="s">
        <v>3980</v>
      </c>
      <c r="S1561" s="142" t="s">
        <v>3976</v>
      </c>
      <c r="T1561" s="141" t="s">
        <v>3981</v>
      </c>
      <c r="U1561" s="142" t="s">
        <v>3978</v>
      </c>
      <c r="V1561" s="142" t="s">
        <v>1204</v>
      </c>
      <c r="W1561" s="141">
        <f t="shared" si="51"/>
        <v>2</v>
      </c>
      <c r="X1561" s="143"/>
      <c r="Y1561" s="145"/>
      <c r="AA1561"/>
    </row>
    <row r="1562" spans="1:27" s="115" customFormat="1" ht="27" customHeight="1">
      <c r="A1562" s="139">
        <v>1478</v>
      </c>
      <c r="B1562" s="140" t="s">
        <v>5934</v>
      </c>
      <c r="C1562" s="141" t="s">
        <v>3937</v>
      </c>
      <c r="D1562" s="142" t="s">
        <v>3938</v>
      </c>
      <c r="E1562" s="141" t="s">
        <v>2157</v>
      </c>
      <c r="F1562" s="142" t="s">
        <v>3957</v>
      </c>
      <c r="G1562" s="141" t="s">
        <v>3975</v>
      </c>
      <c r="H1562" s="142" t="s">
        <v>3976</v>
      </c>
      <c r="I1562" s="141" t="s">
        <v>3977</v>
      </c>
      <c r="J1562" s="142" t="s">
        <v>3978</v>
      </c>
      <c r="K1562" s="142" t="s">
        <v>1205</v>
      </c>
      <c r="L1562" s="143">
        <f t="shared" si="50"/>
        <v>1</v>
      </c>
      <c r="M1562" s="144" t="s">
        <v>3982</v>
      </c>
      <c r="N1562" s="141" t="s">
        <v>3937</v>
      </c>
      <c r="O1562" s="142" t="s">
        <v>3938</v>
      </c>
      <c r="P1562" s="141" t="s">
        <v>2232</v>
      </c>
      <c r="Q1562" s="142" t="s">
        <v>3957</v>
      </c>
      <c r="R1562" s="141" t="s">
        <v>3980</v>
      </c>
      <c r="S1562" s="142" t="s">
        <v>3976</v>
      </c>
      <c r="T1562" s="141" t="s">
        <v>3981</v>
      </c>
      <c r="U1562" s="142" t="s">
        <v>3978</v>
      </c>
      <c r="V1562" s="142" t="s">
        <v>1205</v>
      </c>
      <c r="W1562" s="141">
        <f t="shared" si="51"/>
        <v>1</v>
      </c>
      <c r="X1562" s="143"/>
      <c r="Y1562" s="145"/>
      <c r="AA1562"/>
    </row>
    <row r="1563" spans="1:27" s="115" customFormat="1" ht="27" customHeight="1">
      <c r="A1563" s="139">
        <v>1479</v>
      </c>
      <c r="B1563" s="140" t="s">
        <v>5935</v>
      </c>
      <c r="C1563" s="141" t="s">
        <v>4421</v>
      </c>
      <c r="D1563" s="142" t="s">
        <v>4422</v>
      </c>
      <c r="E1563" s="141">
        <v>92</v>
      </c>
      <c r="F1563" s="142" t="s">
        <v>4423</v>
      </c>
      <c r="G1563" s="141">
        <v>923</v>
      </c>
      <c r="H1563" s="142" t="s">
        <v>4424</v>
      </c>
      <c r="I1563" s="141">
        <v>9231</v>
      </c>
      <c r="J1563" s="142" t="s">
        <v>4425</v>
      </c>
      <c r="K1563" s="142" t="s">
        <v>4426</v>
      </c>
      <c r="L1563" s="143">
        <f t="shared" si="50"/>
        <v>1</v>
      </c>
      <c r="M1563" s="144" t="s">
        <v>4427</v>
      </c>
      <c r="N1563" s="141" t="s">
        <v>3937</v>
      </c>
      <c r="O1563" s="142" t="s">
        <v>3938</v>
      </c>
      <c r="P1563" s="141" t="s">
        <v>2232</v>
      </c>
      <c r="Q1563" s="142" t="s">
        <v>3957</v>
      </c>
      <c r="R1563" s="141" t="s">
        <v>3980</v>
      </c>
      <c r="S1563" s="142" t="s">
        <v>3976</v>
      </c>
      <c r="T1563" s="141" t="s">
        <v>3981</v>
      </c>
      <c r="U1563" s="142" t="s">
        <v>3978</v>
      </c>
      <c r="V1563" s="142" t="s">
        <v>1204</v>
      </c>
      <c r="W1563" s="141">
        <f t="shared" si="51"/>
        <v>2</v>
      </c>
      <c r="X1563" s="143"/>
      <c r="Y1563" s="145" t="s">
        <v>4428</v>
      </c>
      <c r="AA1563"/>
    </row>
    <row r="1564" spans="1:27" s="115" customFormat="1" ht="27" customHeight="1">
      <c r="A1564" s="139">
        <v>1480</v>
      </c>
      <c r="B1564" s="140" t="s">
        <v>5936</v>
      </c>
      <c r="C1564" s="141" t="s">
        <v>3937</v>
      </c>
      <c r="D1564" s="142" t="s">
        <v>3938</v>
      </c>
      <c r="E1564" s="141" t="s">
        <v>2157</v>
      </c>
      <c r="F1564" s="142" t="s">
        <v>3957</v>
      </c>
      <c r="G1564" s="141" t="s">
        <v>3975</v>
      </c>
      <c r="H1564" s="142" t="s">
        <v>3976</v>
      </c>
      <c r="I1564" s="141" t="s">
        <v>3983</v>
      </c>
      <c r="J1564" s="142" t="s">
        <v>3984</v>
      </c>
      <c r="K1564" s="142" t="s">
        <v>1206</v>
      </c>
      <c r="L1564" s="143">
        <f t="shared" si="50"/>
        <v>1</v>
      </c>
      <c r="M1564" s="144" t="s">
        <v>3985</v>
      </c>
      <c r="N1564" s="141" t="s">
        <v>3937</v>
      </c>
      <c r="O1564" s="142" t="s">
        <v>3938</v>
      </c>
      <c r="P1564" s="141" t="s">
        <v>2232</v>
      </c>
      <c r="Q1564" s="142" t="s">
        <v>3957</v>
      </c>
      <c r="R1564" s="141" t="s">
        <v>3980</v>
      </c>
      <c r="S1564" s="142" t="s">
        <v>3976</v>
      </c>
      <c r="T1564" s="141" t="s">
        <v>3986</v>
      </c>
      <c r="U1564" s="142" t="s">
        <v>3984</v>
      </c>
      <c r="V1564" s="142" t="s">
        <v>1206</v>
      </c>
      <c r="W1564" s="141">
        <f t="shared" si="51"/>
        <v>1</v>
      </c>
      <c r="X1564" s="143"/>
      <c r="Y1564" s="145"/>
      <c r="AA1564"/>
    </row>
    <row r="1565" spans="1:27" s="115" customFormat="1" ht="27" customHeight="1">
      <c r="A1565" s="139">
        <v>1481</v>
      </c>
      <c r="B1565" s="140" t="s">
        <v>5937</v>
      </c>
      <c r="C1565" s="141" t="s">
        <v>3937</v>
      </c>
      <c r="D1565" s="142" t="s">
        <v>3938</v>
      </c>
      <c r="E1565" s="141" t="s">
        <v>2157</v>
      </c>
      <c r="F1565" s="142" t="s">
        <v>3957</v>
      </c>
      <c r="G1565" s="141" t="s">
        <v>3975</v>
      </c>
      <c r="H1565" s="142" t="s">
        <v>3976</v>
      </c>
      <c r="I1565" s="141" t="s">
        <v>3983</v>
      </c>
      <c r="J1565" s="142" t="s">
        <v>3984</v>
      </c>
      <c r="K1565" s="142" t="s">
        <v>1207</v>
      </c>
      <c r="L1565" s="143">
        <f t="shared" si="50"/>
        <v>1</v>
      </c>
      <c r="M1565" s="144" t="s">
        <v>3987</v>
      </c>
      <c r="N1565" s="141" t="s">
        <v>3937</v>
      </c>
      <c r="O1565" s="142" t="s">
        <v>3938</v>
      </c>
      <c r="P1565" s="141" t="s">
        <v>2232</v>
      </c>
      <c r="Q1565" s="142" t="s">
        <v>3957</v>
      </c>
      <c r="R1565" s="141" t="s">
        <v>3980</v>
      </c>
      <c r="S1565" s="142" t="s">
        <v>3976</v>
      </c>
      <c r="T1565" s="141" t="s">
        <v>3986</v>
      </c>
      <c r="U1565" s="142" t="s">
        <v>3984</v>
      </c>
      <c r="V1565" s="142" t="s">
        <v>1207</v>
      </c>
      <c r="W1565" s="141">
        <f t="shared" si="51"/>
        <v>1</v>
      </c>
      <c r="X1565" s="143"/>
      <c r="Y1565" s="145"/>
      <c r="AA1565"/>
    </row>
    <row r="1566" spans="1:27" s="115" customFormat="1" ht="27" customHeight="1">
      <c r="A1566" s="139">
        <v>1482</v>
      </c>
      <c r="B1566" s="140" t="s">
        <v>5938</v>
      </c>
      <c r="C1566" s="141" t="s">
        <v>3937</v>
      </c>
      <c r="D1566" s="142" t="s">
        <v>3938</v>
      </c>
      <c r="E1566" s="141" t="s">
        <v>2157</v>
      </c>
      <c r="F1566" s="142" t="s">
        <v>3957</v>
      </c>
      <c r="G1566" s="141" t="s">
        <v>3975</v>
      </c>
      <c r="H1566" s="142" t="s">
        <v>3976</v>
      </c>
      <c r="I1566" s="141" t="s">
        <v>3988</v>
      </c>
      <c r="J1566" s="142" t="s">
        <v>3989</v>
      </c>
      <c r="K1566" s="142" t="s">
        <v>1208</v>
      </c>
      <c r="L1566" s="143">
        <f t="shared" si="50"/>
        <v>1</v>
      </c>
      <c r="M1566" s="144" t="s">
        <v>3990</v>
      </c>
      <c r="N1566" s="141" t="s">
        <v>3937</v>
      </c>
      <c r="O1566" s="142" t="s">
        <v>3938</v>
      </c>
      <c r="P1566" s="141" t="s">
        <v>2232</v>
      </c>
      <c r="Q1566" s="142" t="s">
        <v>3957</v>
      </c>
      <c r="R1566" s="141" t="s">
        <v>3980</v>
      </c>
      <c r="S1566" s="142" t="s">
        <v>3976</v>
      </c>
      <c r="T1566" s="141" t="s">
        <v>3991</v>
      </c>
      <c r="U1566" s="142" t="s">
        <v>3989</v>
      </c>
      <c r="V1566" s="142" t="s">
        <v>1208</v>
      </c>
      <c r="W1566" s="141">
        <f t="shared" si="51"/>
        <v>1</v>
      </c>
      <c r="X1566" s="143"/>
      <c r="Y1566" s="145"/>
      <c r="AA1566"/>
    </row>
    <row r="1567" spans="1:27" s="115" customFormat="1" ht="27" customHeight="1">
      <c r="A1567" s="139">
        <v>1483</v>
      </c>
      <c r="B1567" s="140" t="s">
        <v>5939</v>
      </c>
      <c r="C1567" s="141" t="s">
        <v>3937</v>
      </c>
      <c r="D1567" s="142" t="s">
        <v>3938</v>
      </c>
      <c r="E1567" s="141" t="s">
        <v>2157</v>
      </c>
      <c r="F1567" s="142" t="s">
        <v>3957</v>
      </c>
      <c r="G1567" s="141" t="s">
        <v>3975</v>
      </c>
      <c r="H1567" s="142" t="s">
        <v>3976</v>
      </c>
      <c r="I1567" s="141" t="s">
        <v>3988</v>
      </c>
      <c r="J1567" s="142" t="s">
        <v>1209</v>
      </c>
      <c r="K1567" s="142" t="s">
        <v>1209</v>
      </c>
      <c r="L1567" s="143">
        <f t="shared" si="50"/>
        <v>1</v>
      </c>
      <c r="M1567" s="144" t="s">
        <v>3992</v>
      </c>
      <c r="N1567" s="141" t="s">
        <v>3937</v>
      </c>
      <c r="O1567" s="142" t="s">
        <v>3938</v>
      </c>
      <c r="P1567" s="141" t="s">
        <v>2232</v>
      </c>
      <c r="Q1567" s="142" t="s">
        <v>3957</v>
      </c>
      <c r="R1567" s="141" t="s">
        <v>3980</v>
      </c>
      <c r="S1567" s="142" t="s">
        <v>3976</v>
      </c>
      <c r="T1567" s="141" t="s">
        <v>3993</v>
      </c>
      <c r="U1567" s="142" t="s">
        <v>1209</v>
      </c>
      <c r="V1567" s="142" t="s">
        <v>1209</v>
      </c>
      <c r="W1567" s="141">
        <f t="shared" si="51"/>
        <v>1</v>
      </c>
      <c r="X1567" s="143"/>
      <c r="Y1567" s="145"/>
      <c r="AA1567"/>
    </row>
    <row r="1568" spans="1:27" s="115" customFormat="1" ht="27" customHeight="1">
      <c r="A1568" s="139">
        <v>1484</v>
      </c>
      <c r="B1568" s="140" t="s">
        <v>5940</v>
      </c>
      <c r="C1568" s="141" t="s">
        <v>3937</v>
      </c>
      <c r="D1568" s="142" t="s">
        <v>3938</v>
      </c>
      <c r="E1568" s="141" t="s">
        <v>2157</v>
      </c>
      <c r="F1568" s="142" t="s">
        <v>3939</v>
      </c>
      <c r="G1568" s="141" t="s">
        <v>3269</v>
      </c>
      <c r="H1568" s="142" t="s">
        <v>3948</v>
      </c>
      <c r="I1568" s="141" t="s">
        <v>3994</v>
      </c>
      <c r="J1568" s="142" t="s">
        <v>3995</v>
      </c>
      <c r="K1568" s="142" t="s">
        <v>1210</v>
      </c>
      <c r="L1568" s="143">
        <f t="shared" si="50"/>
        <v>1</v>
      </c>
      <c r="M1568" s="144" t="s">
        <v>3996</v>
      </c>
      <c r="N1568" s="141" t="s">
        <v>3937</v>
      </c>
      <c r="O1568" s="142" t="s">
        <v>3938</v>
      </c>
      <c r="P1568" s="141" t="s">
        <v>3943</v>
      </c>
      <c r="Q1568" s="142" t="s">
        <v>3939</v>
      </c>
      <c r="R1568" s="141" t="s">
        <v>3951</v>
      </c>
      <c r="S1568" s="142" t="s">
        <v>3948</v>
      </c>
      <c r="T1568" s="141" t="s">
        <v>3997</v>
      </c>
      <c r="U1568" s="142" t="s">
        <v>3995</v>
      </c>
      <c r="V1568" s="142" t="s">
        <v>1210</v>
      </c>
      <c r="W1568" s="141">
        <f t="shared" si="51"/>
        <v>2</v>
      </c>
      <c r="X1568" s="143">
        <v>1</v>
      </c>
      <c r="Y1568" s="145"/>
      <c r="AA1568"/>
    </row>
    <row r="1569" spans="1:27" s="115" customFormat="1" ht="27" customHeight="1">
      <c r="A1569" s="139">
        <v>1485</v>
      </c>
      <c r="B1569" s="140" t="s">
        <v>5941</v>
      </c>
      <c r="C1569" s="141" t="s">
        <v>3937</v>
      </c>
      <c r="D1569" s="142" t="s">
        <v>3938</v>
      </c>
      <c r="E1569" s="141" t="s">
        <v>2157</v>
      </c>
      <c r="F1569" s="142" t="s">
        <v>3939</v>
      </c>
      <c r="G1569" s="141" t="s">
        <v>3269</v>
      </c>
      <c r="H1569" s="142" t="s">
        <v>3948</v>
      </c>
      <c r="I1569" s="141" t="s">
        <v>3994</v>
      </c>
      <c r="J1569" s="142" t="s">
        <v>3995</v>
      </c>
      <c r="K1569" s="142" t="s">
        <v>1210</v>
      </c>
      <c r="L1569" s="143">
        <f t="shared" si="50"/>
        <v>1</v>
      </c>
      <c r="M1569" s="144" t="s">
        <v>3996</v>
      </c>
      <c r="N1569" s="141" t="s">
        <v>3937</v>
      </c>
      <c r="O1569" s="142" t="s">
        <v>3938</v>
      </c>
      <c r="P1569" s="141" t="s">
        <v>3943</v>
      </c>
      <c r="Q1569" s="142" t="s">
        <v>3939</v>
      </c>
      <c r="R1569" s="141" t="s">
        <v>3951</v>
      </c>
      <c r="S1569" s="142" t="s">
        <v>3948</v>
      </c>
      <c r="T1569" s="141" t="s">
        <v>3997</v>
      </c>
      <c r="U1569" s="142" t="s">
        <v>3995</v>
      </c>
      <c r="V1569" s="142" t="s">
        <v>1210</v>
      </c>
      <c r="W1569" s="141">
        <f t="shared" si="51"/>
        <v>2</v>
      </c>
      <c r="X1569" s="143"/>
      <c r="Y1569" s="145" t="s">
        <v>3998</v>
      </c>
      <c r="AA1569"/>
    </row>
    <row r="1570" spans="1:27" s="115" customFormat="1" ht="27" customHeight="1">
      <c r="A1570" s="139">
        <v>1486</v>
      </c>
      <c r="B1570" s="140" t="s">
        <v>5942</v>
      </c>
      <c r="C1570" s="141" t="s">
        <v>3937</v>
      </c>
      <c r="D1570" s="142" t="s">
        <v>3938</v>
      </c>
      <c r="E1570" s="141" t="s">
        <v>2157</v>
      </c>
      <c r="F1570" s="142" t="s">
        <v>3939</v>
      </c>
      <c r="G1570" s="141" t="s">
        <v>3269</v>
      </c>
      <c r="H1570" s="142" t="s">
        <v>3948</v>
      </c>
      <c r="I1570" s="141" t="s">
        <v>3994</v>
      </c>
      <c r="J1570" s="142" t="s">
        <v>3995</v>
      </c>
      <c r="K1570" s="142" t="s">
        <v>1211</v>
      </c>
      <c r="L1570" s="143">
        <f t="shared" si="50"/>
        <v>1</v>
      </c>
      <c r="M1570" s="144" t="s">
        <v>3999</v>
      </c>
      <c r="N1570" s="141" t="s">
        <v>3937</v>
      </c>
      <c r="O1570" s="142" t="s">
        <v>3938</v>
      </c>
      <c r="P1570" s="141" t="s">
        <v>3943</v>
      </c>
      <c r="Q1570" s="142" t="s">
        <v>3939</v>
      </c>
      <c r="R1570" s="141" t="s">
        <v>3951</v>
      </c>
      <c r="S1570" s="142" t="s">
        <v>3948</v>
      </c>
      <c r="T1570" s="141" t="s">
        <v>3997</v>
      </c>
      <c r="U1570" s="142" t="s">
        <v>3995</v>
      </c>
      <c r="V1570" s="142" t="s">
        <v>1211</v>
      </c>
      <c r="W1570" s="141">
        <f t="shared" si="51"/>
        <v>1</v>
      </c>
      <c r="X1570" s="143"/>
      <c r="Y1570" s="145"/>
      <c r="AA1570"/>
    </row>
    <row r="1571" spans="1:27" s="115" customFormat="1" ht="27" customHeight="1">
      <c r="A1571" s="139">
        <v>1487</v>
      </c>
      <c r="B1571" s="140" t="s">
        <v>5943</v>
      </c>
      <c r="C1571" s="141" t="s">
        <v>3937</v>
      </c>
      <c r="D1571" s="142" t="s">
        <v>3938</v>
      </c>
      <c r="E1571" s="141" t="s">
        <v>2157</v>
      </c>
      <c r="F1571" s="142" t="s">
        <v>3939</v>
      </c>
      <c r="G1571" s="141" t="s">
        <v>3269</v>
      </c>
      <c r="H1571" s="142" t="s">
        <v>3948</v>
      </c>
      <c r="I1571" s="141" t="s">
        <v>4000</v>
      </c>
      <c r="J1571" s="142" t="s">
        <v>4001</v>
      </c>
      <c r="K1571" s="142" t="s">
        <v>1212</v>
      </c>
      <c r="L1571" s="143">
        <f t="shared" si="50"/>
        <v>1</v>
      </c>
      <c r="M1571" s="144" t="s">
        <v>4002</v>
      </c>
      <c r="N1571" s="141" t="s">
        <v>3937</v>
      </c>
      <c r="O1571" s="142" t="s">
        <v>3938</v>
      </c>
      <c r="P1571" s="141" t="s">
        <v>3943</v>
      </c>
      <c r="Q1571" s="142" t="s">
        <v>3939</v>
      </c>
      <c r="R1571" s="141" t="s">
        <v>3951</v>
      </c>
      <c r="S1571" s="142" t="s">
        <v>3948</v>
      </c>
      <c r="T1571" s="141" t="s">
        <v>4003</v>
      </c>
      <c r="U1571" s="142" t="s">
        <v>4001</v>
      </c>
      <c r="V1571" s="142" t="s">
        <v>1212</v>
      </c>
      <c r="W1571" s="141">
        <f t="shared" si="51"/>
        <v>1</v>
      </c>
      <c r="X1571" s="143"/>
      <c r="Y1571" s="145"/>
      <c r="AA1571"/>
    </row>
    <row r="1572" spans="1:27" s="115" customFormat="1" ht="27" customHeight="1">
      <c r="A1572" s="139">
        <v>1488</v>
      </c>
      <c r="B1572" s="140" t="s">
        <v>5944</v>
      </c>
      <c r="C1572" s="141" t="s">
        <v>3937</v>
      </c>
      <c r="D1572" s="142" t="s">
        <v>3938</v>
      </c>
      <c r="E1572" s="141" t="s">
        <v>2157</v>
      </c>
      <c r="F1572" s="142" t="s">
        <v>3939</v>
      </c>
      <c r="G1572" s="141" t="s">
        <v>3269</v>
      </c>
      <c r="H1572" s="142" t="s">
        <v>3948</v>
      </c>
      <c r="I1572" s="141" t="s">
        <v>4000</v>
      </c>
      <c r="J1572" s="142" t="s">
        <v>4001</v>
      </c>
      <c r="K1572" s="142" t="s">
        <v>1213</v>
      </c>
      <c r="L1572" s="143">
        <f t="shared" si="50"/>
        <v>1</v>
      </c>
      <c r="M1572" s="144" t="s">
        <v>4004</v>
      </c>
      <c r="N1572" s="141" t="s">
        <v>3937</v>
      </c>
      <c r="O1572" s="142" t="s">
        <v>3938</v>
      </c>
      <c r="P1572" s="141" t="s">
        <v>3943</v>
      </c>
      <c r="Q1572" s="142" t="s">
        <v>3939</v>
      </c>
      <c r="R1572" s="141" t="s">
        <v>3951</v>
      </c>
      <c r="S1572" s="142" t="s">
        <v>3948</v>
      </c>
      <c r="T1572" s="141" t="s">
        <v>4003</v>
      </c>
      <c r="U1572" s="142" t="s">
        <v>4001</v>
      </c>
      <c r="V1572" s="142" t="s">
        <v>1213</v>
      </c>
      <c r="W1572" s="141">
        <f t="shared" si="51"/>
        <v>1</v>
      </c>
      <c r="X1572" s="143"/>
      <c r="Y1572" s="145"/>
      <c r="AA1572"/>
    </row>
    <row r="1573" spans="1:27" s="115" customFormat="1" ht="27" customHeight="1">
      <c r="A1573" s="139">
        <v>1489</v>
      </c>
      <c r="B1573" s="140" t="s">
        <v>5945</v>
      </c>
      <c r="C1573" s="141" t="s">
        <v>3937</v>
      </c>
      <c r="D1573" s="142" t="s">
        <v>3938</v>
      </c>
      <c r="E1573" s="141" t="s">
        <v>2157</v>
      </c>
      <c r="F1573" s="142" t="s">
        <v>3939</v>
      </c>
      <c r="G1573" s="141" t="s">
        <v>3269</v>
      </c>
      <c r="H1573" s="142" t="s">
        <v>3948</v>
      </c>
      <c r="I1573" s="141" t="s">
        <v>4000</v>
      </c>
      <c r="J1573" s="142" t="s">
        <v>4001</v>
      </c>
      <c r="K1573" s="142" t="s">
        <v>1214</v>
      </c>
      <c r="L1573" s="143">
        <f t="shared" si="50"/>
        <v>1</v>
      </c>
      <c r="M1573" s="144" t="s">
        <v>4005</v>
      </c>
      <c r="N1573" s="141" t="s">
        <v>3937</v>
      </c>
      <c r="O1573" s="142" t="s">
        <v>3938</v>
      </c>
      <c r="P1573" s="141" t="s">
        <v>3943</v>
      </c>
      <c r="Q1573" s="142" t="s">
        <v>3939</v>
      </c>
      <c r="R1573" s="141" t="s">
        <v>3951</v>
      </c>
      <c r="S1573" s="142" t="s">
        <v>3948</v>
      </c>
      <c r="T1573" s="141" t="s">
        <v>4003</v>
      </c>
      <c r="U1573" s="142" t="s">
        <v>4001</v>
      </c>
      <c r="V1573" s="142" t="s">
        <v>1214</v>
      </c>
      <c r="W1573" s="141">
        <f t="shared" si="51"/>
        <v>1</v>
      </c>
      <c r="X1573" s="143"/>
      <c r="Y1573" s="145"/>
      <c r="AA1573"/>
    </row>
    <row r="1574" spans="1:27" s="115" customFormat="1" ht="27" customHeight="1">
      <c r="A1574" s="139">
        <v>1490</v>
      </c>
      <c r="B1574" s="140" t="s">
        <v>5946</v>
      </c>
      <c r="C1574" s="141" t="s">
        <v>3937</v>
      </c>
      <c r="D1574" s="142" t="s">
        <v>3938</v>
      </c>
      <c r="E1574" s="141" t="s">
        <v>2157</v>
      </c>
      <c r="F1574" s="142" t="s">
        <v>3939</v>
      </c>
      <c r="G1574" s="141" t="s">
        <v>3269</v>
      </c>
      <c r="H1574" s="142" t="s">
        <v>3948</v>
      </c>
      <c r="I1574" s="141" t="s">
        <v>4006</v>
      </c>
      <c r="J1574" s="142" t="s">
        <v>3949</v>
      </c>
      <c r="K1574" s="142" t="s">
        <v>1215</v>
      </c>
      <c r="L1574" s="143">
        <f t="shared" si="50"/>
        <v>1</v>
      </c>
      <c r="M1574" s="144" t="s">
        <v>4007</v>
      </c>
      <c r="N1574" s="141" t="s">
        <v>3937</v>
      </c>
      <c r="O1574" s="142" t="s">
        <v>3938</v>
      </c>
      <c r="P1574" s="141" t="s">
        <v>3943</v>
      </c>
      <c r="Q1574" s="142" t="s">
        <v>3939</v>
      </c>
      <c r="R1574" s="141" t="s">
        <v>3951</v>
      </c>
      <c r="S1574" s="142" t="s">
        <v>3948</v>
      </c>
      <c r="T1574" s="141" t="s">
        <v>3952</v>
      </c>
      <c r="U1574" s="142" t="s">
        <v>3949</v>
      </c>
      <c r="V1574" s="142" t="s">
        <v>1215</v>
      </c>
      <c r="W1574" s="141">
        <f t="shared" si="51"/>
        <v>1</v>
      </c>
      <c r="X1574" s="143"/>
      <c r="Y1574" s="145"/>
      <c r="AA1574"/>
    </row>
    <row r="1575" spans="1:27" s="115" customFormat="1" ht="27" customHeight="1">
      <c r="A1575" s="139">
        <v>1491</v>
      </c>
      <c r="B1575" s="140" t="s">
        <v>5947</v>
      </c>
      <c r="C1575" s="141" t="s">
        <v>3937</v>
      </c>
      <c r="D1575" s="142" t="s">
        <v>3938</v>
      </c>
      <c r="E1575" s="141" t="s">
        <v>2157</v>
      </c>
      <c r="F1575" s="142" t="s">
        <v>3939</v>
      </c>
      <c r="G1575" s="141" t="s">
        <v>3269</v>
      </c>
      <c r="H1575" s="142" t="s">
        <v>3948</v>
      </c>
      <c r="I1575" s="141" t="s">
        <v>4006</v>
      </c>
      <c r="J1575" s="142" t="s">
        <v>4008</v>
      </c>
      <c r="K1575" s="142" t="s">
        <v>303</v>
      </c>
      <c r="L1575" s="143">
        <f t="shared" si="50"/>
        <v>1</v>
      </c>
      <c r="M1575" s="144" t="s">
        <v>4009</v>
      </c>
      <c r="N1575" s="141" t="s">
        <v>3937</v>
      </c>
      <c r="O1575" s="142" t="s">
        <v>3938</v>
      </c>
      <c r="P1575" s="141" t="s">
        <v>3943</v>
      </c>
      <c r="Q1575" s="142" t="s">
        <v>3939</v>
      </c>
      <c r="R1575" s="141" t="s">
        <v>3951</v>
      </c>
      <c r="S1575" s="142" t="s">
        <v>3948</v>
      </c>
      <c r="T1575" s="141" t="s">
        <v>4010</v>
      </c>
      <c r="U1575" s="142" t="s">
        <v>4008</v>
      </c>
      <c r="V1575" s="142" t="s">
        <v>303</v>
      </c>
      <c r="W1575" s="141">
        <f t="shared" si="51"/>
        <v>1</v>
      </c>
      <c r="X1575" s="143"/>
      <c r="Y1575" s="145"/>
      <c r="AA1575"/>
    </row>
    <row r="1576" spans="1:27" s="115" customFormat="1" ht="27" customHeight="1">
      <c r="A1576" s="139">
        <v>1492</v>
      </c>
      <c r="B1576" s="140" t="s">
        <v>5948</v>
      </c>
      <c r="C1576" s="141" t="s">
        <v>3937</v>
      </c>
      <c r="D1576" s="142" t="s">
        <v>3938</v>
      </c>
      <c r="E1576" s="141" t="s">
        <v>2157</v>
      </c>
      <c r="F1576" s="142" t="s">
        <v>3939</v>
      </c>
      <c r="G1576" s="141" t="s">
        <v>3269</v>
      </c>
      <c r="H1576" s="142" t="s">
        <v>3948</v>
      </c>
      <c r="I1576" s="141" t="s">
        <v>4006</v>
      </c>
      <c r="J1576" s="142" t="s">
        <v>4008</v>
      </c>
      <c r="K1576" s="142" t="s">
        <v>304</v>
      </c>
      <c r="L1576" s="143">
        <f t="shared" si="50"/>
        <v>1</v>
      </c>
      <c r="M1576" s="144" t="s">
        <v>4011</v>
      </c>
      <c r="N1576" s="141" t="s">
        <v>3937</v>
      </c>
      <c r="O1576" s="142" t="s">
        <v>3938</v>
      </c>
      <c r="P1576" s="141" t="s">
        <v>3943</v>
      </c>
      <c r="Q1576" s="142" t="s">
        <v>3939</v>
      </c>
      <c r="R1576" s="141" t="s">
        <v>3951</v>
      </c>
      <c r="S1576" s="142" t="s">
        <v>3948</v>
      </c>
      <c r="T1576" s="141" t="s">
        <v>4010</v>
      </c>
      <c r="U1576" s="142" t="s">
        <v>4008</v>
      </c>
      <c r="V1576" s="142" t="s">
        <v>304</v>
      </c>
      <c r="W1576" s="141">
        <f t="shared" si="51"/>
        <v>1</v>
      </c>
      <c r="X1576" s="143"/>
      <c r="Y1576" s="145"/>
      <c r="AA1576"/>
    </row>
    <row r="1577" spans="1:27" s="115" customFormat="1" ht="27" customHeight="1">
      <c r="A1577" s="139">
        <v>1493</v>
      </c>
      <c r="B1577" s="140" t="s">
        <v>5949</v>
      </c>
      <c r="C1577" s="141" t="s">
        <v>3937</v>
      </c>
      <c r="D1577" s="142" t="s">
        <v>3938</v>
      </c>
      <c r="E1577" s="141" t="s">
        <v>2157</v>
      </c>
      <c r="F1577" s="142" t="s">
        <v>3939</v>
      </c>
      <c r="G1577" s="141" t="s">
        <v>3269</v>
      </c>
      <c r="H1577" s="142" t="s">
        <v>3948</v>
      </c>
      <c r="I1577" s="141" t="s">
        <v>4006</v>
      </c>
      <c r="J1577" s="142" t="s">
        <v>3949</v>
      </c>
      <c r="K1577" s="142" t="s">
        <v>1216</v>
      </c>
      <c r="L1577" s="143">
        <f t="shared" si="50"/>
        <v>1</v>
      </c>
      <c r="M1577" s="144" t="s">
        <v>4012</v>
      </c>
      <c r="N1577" s="141" t="s">
        <v>3937</v>
      </c>
      <c r="O1577" s="142" t="s">
        <v>3938</v>
      </c>
      <c r="P1577" s="141" t="s">
        <v>3943</v>
      </c>
      <c r="Q1577" s="142" t="s">
        <v>3939</v>
      </c>
      <c r="R1577" s="141" t="s">
        <v>3951</v>
      </c>
      <c r="S1577" s="142" t="s">
        <v>3948</v>
      </c>
      <c r="T1577" s="141" t="s">
        <v>3952</v>
      </c>
      <c r="U1577" s="142" t="s">
        <v>3949</v>
      </c>
      <c r="V1577" s="142" t="s">
        <v>1216</v>
      </c>
      <c r="W1577" s="141">
        <f t="shared" si="51"/>
        <v>1</v>
      </c>
      <c r="X1577" s="143"/>
      <c r="Y1577" s="145"/>
      <c r="AA1577"/>
    </row>
    <row r="1578" spans="1:27" s="115" customFormat="1" ht="27" customHeight="1">
      <c r="A1578" s="139">
        <v>1494</v>
      </c>
      <c r="B1578" s="140" t="s">
        <v>5950</v>
      </c>
      <c r="C1578" s="141" t="s">
        <v>3937</v>
      </c>
      <c r="D1578" s="142" t="s">
        <v>3938</v>
      </c>
      <c r="E1578" s="141" t="s">
        <v>2157</v>
      </c>
      <c r="F1578" s="142" t="s">
        <v>3939</v>
      </c>
      <c r="G1578" s="141" t="s">
        <v>3269</v>
      </c>
      <c r="H1578" s="142" t="s">
        <v>3948</v>
      </c>
      <c r="I1578" s="141" t="s">
        <v>4006</v>
      </c>
      <c r="J1578" s="142" t="s">
        <v>3949</v>
      </c>
      <c r="K1578" s="142" t="s">
        <v>1196</v>
      </c>
      <c r="L1578" s="143">
        <f t="shared" si="50"/>
        <v>1</v>
      </c>
      <c r="M1578" s="144" t="s">
        <v>3950</v>
      </c>
      <c r="N1578" s="141" t="s">
        <v>3937</v>
      </c>
      <c r="O1578" s="142" t="s">
        <v>3938</v>
      </c>
      <c r="P1578" s="141" t="s">
        <v>3943</v>
      </c>
      <c r="Q1578" s="142" t="s">
        <v>3939</v>
      </c>
      <c r="R1578" s="141" t="s">
        <v>3951</v>
      </c>
      <c r="S1578" s="142" t="s">
        <v>3948</v>
      </c>
      <c r="T1578" s="141" t="s">
        <v>3952</v>
      </c>
      <c r="U1578" s="142" t="s">
        <v>3949</v>
      </c>
      <c r="V1578" s="142" t="s">
        <v>1196</v>
      </c>
      <c r="W1578" s="141">
        <f t="shared" si="51"/>
        <v>5</v>
      </c>
      <c r="X1578" s="143"/>
      <c r="Y1578" s="145" t="s">
        <v>4013</v>
      </c>
      <c r="AA1578"/>
    </row>
    <row r="1579" spans="1:27" s="115" customFormat="1" ht="27" customHeight="1">
      <c r="A1579" s="139">
        <v>1495</v>
      </c>
      <c r="B1579" s="140" t="s">
        <v>5951</v>
      </c>
      <c r="C1579" s="141" t="s">
        <v>3937</v>
      </c>
      <c r="D1579" s="142" t="s">
        <v>3938</v>
      </c>
      <c r="E1579" s="141" t="s">
        <v>2157</v>
      </c>
      <c r="F1579" s="142" t="s">
        <v>3939</v>
      </c>
      <c r="G1579" s="141" t="s">
        <v>3269</v>
      </c>
      <c r="H1579" s="142" t="s">
        <v>3948</v>
      </c>
      <c r="I1579" s="141" t="s">
        <v>4006</v>
      </c>
      <c r="J1579" s="142" t="s">
        <v>3949</v>
      </c>
      <c r="K1579" s="142" t="s">
        <v>1217</v>
      </c>
      <c r="L1579" s="143">
        <f t="shared" si="50"/>
        <v>1</v>
      </c>
      <c r="M1579" s="144" t="s">
        <v>4014</v>
      </c>
      <c r="N1579" s="141" t="s">
        <v>3937</v>
      </c>
      <c r="O1579" s="142" t="s">
        <v>3938</v>
      </c>
      <c r="P1579" s="141" t="s">
        <v>3943</v>
      </c>
      <c r="Q1579" s="142" t="s">
        <v>3939</v>
      </c>
      <c r="R1579" s="141" t="s">
        <v>3951</v>
      </c>
      <c r="S1579" s="142" t="s">
        <v>3948</v>
      </c>
      <c r="T1579" s="141" t="s">
        <v>3952</v>
      </c>
      <c r="U1579" s="142" t="s">
        <v>3949</v>
      </c>
      <c r="V1579" s="142" t="s">
        <v>1217</v>
      </c>
      <c r="W1579" s="141">
        <f t="shared" si="51"/>
        <v>2</v>
      </c>
      <c r="X1579" s="143">
        <v>2</v>
      </c>
      <c r="Y1579" s="145" t="s">
        <v>4015</v>
      </c>
      <c r="AA1579"/>
    </row>
    <row r="1580" spans="1:27" s="115" customFormat="1" ht="27" customHeight="1">
      <c r="A1580" s="139">
        <v>1496</v>
      </c>
      <c r="B1580" s="140" t="s">
        <v>5952</v>
      </c>
      <c r="C1580" s="141" t="s">
        <v>3937</v>
      </c>
      <c r="D1580" s="142" t="s">
        <v>3938</v>
      </c>
      <c r="E1580" s="141" t="s">
        <v>2157</v>
      </c>
      <c r="F1580" s="142" t="s">
        <v>3939</v>
      </c>
      <c r="G1580" s="141" t="s">
        <v>3269</v>
      </c>
      <c r="H1580" s="142" t="s">
        <v>3948</v>
      </c>
      <c r="I1580" s="141" t="s">
        <v>4006</v>
      </c>
      <c r="J1580" s="142" t="s">
        <v>3949</v>
      </c>
      <c r="K1580" s="142" t="s">
        <v>1217</v>
      </c>
      <c r="L1580" s="143">
        <f t="shared" si="50"/>
        <v>1</v>
      </c>
      <c r="M1580" s="144" t="s">
        <v>4014</v>
      </c>
      <c r="N1580" s="141" t="s">
        <v>3937</v>
      </c>
      <c r="O1580" s="142" t="s">
        <v>3938</v>
      </c>
      <c r="P1580" s="141" t="s">
        <v>3943</v>
      </c>
      <c r="Q1580" s="142" t="s">
        <v>3939</v>
      </c>
      <c r="R1580" s="141" t="s">
        <v>3951</v>
      </c>
      <c r="S1580" s="142" t="s">
        <v>3948</v>
      </c>
      <c r="T1580" s="141" t="s">
        <v>3952</v>
      </c>
      <c r="U1580" s="142" t="s">
        <v>3949</v>
      </c>
      <c r="V1580" s="142" t="s">
        <v>1217</v>
      </c>
      <c r="W1580" s="141">
        <f t="shared" si="51"/>
        <v>2</v>
      </c>
      <c r="X1580" s="143">
        <v>2</v>
      </c>
      <c r="Y1580" s="145" t="s">
        <v>4016</v>
      </c>
      <c r="AA1580"/>
    </row>
    <row r="1581" spans="1:27" s="115" customFormat="1" ht="27" customHeight="1">
      <c r="A1581" s="139">
        <v>1497</v>
      </c>
      <c r="B1581" s="140" t="s">
        <v>5953</v>
      </c>
      <c r="C1581" s="141" t="s">
        <v>3937</v>
      </c>
      <c r="D1581" s="142" t="s">
        <v>3938</v>
      </c>
      <c r="E1581" s="141" t="s">
        <v>2157</v>
      </c>
      <c r="F1581" s="142" t="s">
        <v>3939</v>
      </c>
      <c r="G1581" s="141" t="s">
        <v>3269</v>
      </c>
      <c r="H1581" s="142" t="s">
        <v>3948</v>
      </c>
      <c r="I1581" s="141" t="s">
        <v>4006</v>
      </c>
      <c r="J1581" s="142" t="s">
        <v>3949</v>
      </c>
      <c r="K1581" s="142" t="s">
        <v>1218</v>
      </c>
      <c r="L1581" s="143">
        <f t="shared" si="50"/>
        <v>1</v>
      </c>
      <c r="M1581" s="144" t="s">
        <v>4017</v>
      </c>
      <c r="N1581" s="141" t="s">
        <v>3937</v>
      </c>
      <c r="O1581" s="142" t="s">
        <v>3938</v>
      </c>
      <c r="P1581" s="141" t="s">
        <v>3943</v>
      </c>
      <c r="Q1581" s="142" t="s">
        <v>3939</v>
      </c>
      <c r="R1581" s="141" t="s">
        <v>3951</v>
      </c>
      <c r="S1581" s="142" t="s">
        <v>3948</v>
      </c>
      <c r="T1581" s="141" t="s">
        <v>3952</v>
      </c>
      <c r="U1581" s="142" t="s">
        <v>3949</v>
      </c>
      <c r="V1581" s="142" t="s">
        <v>1218</v>
      </c>
      <c r="W1581" s="141">
        <f t="shared" si="51"/>
        <v>1</v>
      </c>
      <c r="X1581" s="143"/>
      <c r="Y1581" s="145"/>
      <c r="AA1581"/>
    </row>
    <row r="1582" spans="1:27" s="115" customFormat="1" ht="27" customHeight="1">
      <c r="A1582" s="139">
        <v>1498</v>
      </c>
      <c r="B1582" s="140" t="s">
        <v>5954</v>
      </c>
      <c r="C1582" s="141" t="s">
        <v>3937</v>
      </c>
      <c r="D1582" s="142" t="s">
        <v>3938</v>
      </c>
      <c r="E1582" s="141" t="s">
        <v>2157</v>
      </c>
      <c r="F1582" s="142" t="s">
        <v>3939</v>
      </c>
      <c r="G1582" s="141" t="s">
        <v>3269</v>
      </c>
      <c r="H1582" s="142" t="s">
        <v>3948</v>
      </c>
      <c r="I1582" s="141" t="s">
        <v>4006</v>
      </c>
      <c r="J1582" s="142" t="s">
        <v>3949</v>
      </c>
      <c r="K1582" s="142" t="s">
        <v>1196</v>
      </c>
      <c r="L1582" s="143">
        <f t="shared" si="50"/>
        <v>1</v>
      </c>
      <c r="M1582" s="144" t="s">
        <v>3950</v>
      </c>
      <c r="N1582" s="141" t="s">
        <v>3937</v>
      </c>
      <c r="O1582" s="142" t="s">
        <v>3938</v>
      </c>
      <c r="P1582" s="141" t="s">
        <v>3943</v>
      </c>
      <c r="Q1582" s="142" t="s">
        <v>3939</v>
      </c>
      <c r="R1582" s="141" t="s">
        <v>3951</v>
      </c>
      <c r="S1582" s="142" t="s">
        <v>3948</v>
      </c>
      <c r="T1582" s="141" t="s">
        <v>3952</v>
      </c>
      <c r="U1582" s="142" t="s">
        <v>3949</v>
      </c>
      <c r="V1582" s="142" t="s">
        <v>1196</v>
      </c>
      <c r="W1582" s="141">
        <f t="shared" si="51"/>
        <v>5</v>
      </c>
      <c r="X1582" s="143"/>
      <c r="Y1582" s="145" t="s">
        <v>4018</v>
      </c>
      <c r="AA1582"/>
    </row>
    <row r="1583" spans="1:27" s="115" customFormat="1" ht="27" customHeight="1">
      <c r="A1583" s="139">
        <v>1499</v>
      </c>
      <c r="B1583" s="140" t="s">
        <v>5955</v>
      </c>
      <c r="C1583" s="141" t="s">
        <v>3937</v>
      </c>
      <c r="D1583" s="142" t="s">
        <v>3938</v>
      </c>
      <c r="E1583" s="141" t="s">
        <v>2157</v>
      </c>
      <c r="F1583" s="142" t="s">
        <v>3939</v>
      </c>
      <c r="G1583" s="141" t="s">
        <v>3269</v>
      </c>
      <c r="H1583" s="142" t="s">
        <v>3948</v>
      </c>
      <c r="I1583" s="141" t="s">
        <v>4006</v>
      </c>
      <c r="J1583" s="142" t="s">
        <v>3949</v>
      </c>
      <c r="K1583" s="142" t="s">
        <v>1219</v>
      </c>
      <c r="L1583" s="143">
        <f t="shared" si="50"/>
        <v>1</v>
      </c>
      <c r="M1583" s="144" t="s">
        <v>4019</v>
      </c>
      <c r="N1583" s="141" t="s">
        <v>3937</v>
      </c>
      <c r="O1583" s="142" t="s">
        <v>3938</v>
      </c>
      <c r="P1583" s="141" t="s">
        <v>3943</v>
      </c>
      <c r="Q1583" s="142" t="s">
        <v>3939</v>
      </c>
      <c r="R1583" s="141" t="s">
        <v>3951</v>
      </c>
      <c r="S1583" s="142" t="s">
        <v>3948</v>
      </c>
      <c r="T1583" s="141" t="s">
        <v>3952</v>
      </c>
      <c r="U1583" s="142" t="s">
        <v>3949</v>
      </c>
      <c r="V1583" s="142" t="s">
        <v>1219</v>
      </c>
      <c r="W1583" s="141">
        <f t="shared" si="51"/>
        <v>1</v>
      </c>
      <c r="X1583" s="143"/>
      <c r="Y1583" s="145"/>
      <c r="AA1583"/>
    </row>
    <row r="1584" spans="1:27" s="115" customFormat="1" ht="27" customHeight="1">
      <c r="A1584" s="139">
        <v>1500</v>
      </c>
      <c r="B1584" s="140" t="s">
        <v>5956</v>
      </c>
      <c r="C1584" s="141" t="s">
        <v>3937</v>
      </c>
      <c r="D1584" s="142" t="s">
        <v>3938</v>
      </c>
      <c r="E1584" s="141" t="s">
        <v>2157</v>
      </c>
      <c r="F1584" s="142" t="s">
        <v>3939</v>
      </c>
      <c r="G1584" s="141" t="s">
        <v>3269</v>
      </c>
      <c r="H1584" s="142" t="s">
        <v>3948</v>
      </c>
      <c r="I1584" s="141" t="s">
        <v>4006</v>
      </c>
      <c r="J1584" s="142" t="s">
        <v>3949</v>
      </c>
      <c r="K1584" s="142" t="s">
        <v>1196</v>
      </c>
      <c r="L1584" s="143">
        <f t="shared" si="50"/>
        <v>1</v>
      </c>
      <c r="M1584" s="144" t="s">
        <v>3950</v>
      </c>
      <c r="N1584" s="141" t="s">
        <v>3937</v>
      </c>
      <c r="O1584" s="142" t="s">
        <v>3938</v>
      </c>
      <c r="P1584" s="141" t="s">
        <v>3943</v>
      </c>
      <c r="Q1584" s="142" t="s">
        <v>3939</v>
      </c>
      <c r="R1584" s="141" t="s">
        <v>3951</v>
      </c>
      <c r="S1584" s="142" t="s">
        <v>3948</v>
      </c>
      <c r="T1584" s="141" t="s">
        <v>3952</v>
      </c>
      <c r="U1584" s="142" t="s">
        <v>3949</v>
      </c>
      <c r="V1584" s="142" t="s">
        <v>1196</v>
      </c>
      <c r="W1584" s="141">
        <f t="shared" si="51"/>
        <v>5</v>
      </c>
      <c r="X1584" s="143"/>
      <c r="Y1584" s="145" t="s">
        <v>4020</v>
      </c>
      <c r="AA1584"/>
    </row>
    <row r="1585" spans="1:27" s="115" customFormat="1" ht="27" customHeight="1">
      <c r="A1585" s="139">
        <v>1501</v>
      </c>
      <c r="B1585" s="140" t="s">
        <v>5957</v>
      </c>
      <c r="C1585" s="141" t="s">
        <v>3937</v>
      </c>
      <c r="D1585" s="142" t="s">
        <v>3938</v>
      </c>
      <c r="E1585" s="141" t="s">
        <v>2157</v>
      </c>
      <c r="F1585" s="142" t="s">
        <v>3939</v>
      </c>
      <c r="G1585" s="141" t="s">
        <v>3269</v>
      </c>
      <c r="H1585" s="142" t="s">
        <v>3948</v>
      </c>
      <c r="I1585" s="141" t="s">
        <v>4006</v>
      </c>
      <c r="J1585" s="142" t="s">
        <v>3949</v>
      </c>
      <c r="K1585" s="142" t="s">
        <v>1220</v>
      </c>
      <c r="L1585" s="143">
        <f t="shared" si="50"/>
        <v>1</v>
      </c>
      <c r="M1585" s="144" t="s">
        <v>4021</v>
      </c>
      <c r="N1585" s="141" t="s">
        <v>3937</v>
      </c>
      <c r="O1585" s="142" t="s">
        <v>3938</v>
      </c>
      <c r="P1585" s="141" t="s">
        <v>3943</v>
      </c>
      <c r="Q1585" s="142" t="s">
        <v>3939</v>
      </c>
      <c r="R1585" s="141" t="s">
        <v>3951</v>
      </c>
      <c r="S1585" s="142" t="s">
        <v>3948</v>
      </c>
      <c r="T1585" s="141" t="s">
        <v>3952</v>
      </c>
      <c r="U1585" s="142" t="s">
        <v>3949</v>
      </c>
      <c r="V1585" s="142" t="s">
        <v>1220</v>
      </c>
      <c r="W1585" s="141">
        <f t="shared" si="51"/>
        <v>1</v>
      </c>
      <c r="X1585" s="143"/>
      <c r="Y1585" s="145"/>
      <c r="AA1585"/>
    </row>
    <row r="1586" spans="1:27" s="115" customFormat="1" ht="27" customHeight="1">
      <c r="A1586" s="139">
        <v>1502</v>
      </c>
      <c r="B1586" s="140" t="s">
        <v>5958</v>
      </c>
      <c r="C1586" s="141" t="s">
        <v>3937</v>
      </c>
      <c r="D1586" s="142" t="s">
        <v>3938</v>
      </c>
      <c r="E1586" s="141" t="s">
        <v>2157</v>
      </c>
      <c r="F1586" s="142" t="s">
        <v>3939</v>
      </c>
      <c r="G1586" s="141" t="s">
        <v>3269</v>
      </c>
      <c r="H1586" s="142" t="s">
        <v>3948</v>
      </c>
      <c r="I1586" s="141" t="s">
        <v>4006</v>
      </c>
      <c r="J1586" s="142" t="s">
        <v>3949</v>
      </c>
      <c r="K1586" s="142" t="s">
        <v>1196</v>
      </c>
      <c r="L1586" s="143">
        <f t="shared" si="50"/>
        <v>1</v>
      </c>
      <c r="M1586" s="144" t="s">
        <v>3950</v>
      </c>
      <c r="N1586" s="141" t="s">
        <v>3937</v>
      </c>
      <c r="O1586" s="142" t="s">
        <v>3938</v>
      </c>
      <c r="P1586" s="141" t="s">
        <v>3943</v>
      </c>
      <c r="Q1586" s="142" t="s">
        <v>3939</v>
      </c>
      <c r="R1586" s="141" t="s">
        <v>3951</v>
      </c>
      <c r="S1586" s="142" t="s">
        <v>3948</v>
      </c>
      <c r="T1586" s="141" t="s">
        <v>3952</v>
      </c>
      <c r="U1586" s="142" t="s">
        <v>3949</v>
      </c>
      <c r="V1586" s="142" t="s">
        <v>1196</v>
      </c>
      <c r="W1586" s="141">
        <f t="shared" si="51"/>
        <v>5</v>
      </c>
      <c r="X1586" s="143">
        <v>1</v>
      </c>
      <c r="Y1586" s="145"/>
      <c r="AA1586"/>
    </row>
    <row r="1587" spans="1:27" s="115" customFormat="1" ht="27" customHeight="1">
      <c r="A1587" s="139">
        <v>1503</v>
      </c>
      <c r="B1587" s="140" t="s">
        <v>5960</v>
      </c>
      <c r="C1587" s="141" t="s">
        <v>3937</v>
      </c>
      <c r="D1587" s="142" t="s">
        <v>3938</v>
      </c>
      <c r="E1587" s="141" t="s">
        <v>2157</v>
      </c>
      <c r="F1587" s="142" t="s">
        <v>3939</v>
      </c>
      <c r="G1587" s="141" t="s">
        <v>3269</v>
      </c>
      <c r="H1587" s="142" t="s">
        <v>3940</v>
      </c>
      <c r="I1587" s="141" t="s">
        <v>3270</v>
      </c>
      <c r="J1587" s="142" t="s">
        <v>4022</v>
      </c>
      <c r="K1587" s="142" t="s">
        <v>305</v>
      </c>
      <c r="L1587" s="143">
        <f t="shared" si="50"/>
        <v>1</v>
      </c>
      <c r="M1587" s="144" t="s">
        <v>4023</v>
      </c>
      <c r="N1587" s="141" t="s">
        <v>3937</v>
      </c>
      <c r="O1587" s="142" t="s">
        <v>3938</v>
      </c>
      <c r="P1587" s="141" t="s">
        <v>3943</v>
      </c>
      <c r="Q1587" s="142" t="s">
        <v>3939</v>
      </c>
      <c r="R1587" s="141" t="s">
        <v>3944</v>
      </c>
      <c r="S1587" s="142" t="s">
        <v>3940</v>
      </c>
      <c r="T1587" s="141" t="s">
        <v>4024</v>
      </c>
      <c r="U1587" s="142" t="s">
        <v>4022</v>
      </c>
      <c r="V1587" s="142" t="s">
        <v>305</v>
      </c>
      <c r="W1587" s="141">
        <f t="shared" si="51"/>
        <v>3</v>
      </c>
      <c r="X1587" s="143">
        <v>1</v>
      </c>
      <c r="Y1587" s="145"/>
      <c r="AA1587"/>
    </row>
    <row r="1588" spans="1:27" s="115" customFormat="1" ht="27" customHeight="1">
      <c r="A1588" s="139">
        <v>1504</v>
      </c>
      <c r="B1588" s="140" t="s">
        <v>5961</v>
      </c>
      <c r="C1588" s="141" t="s">
        <v>3937</v>
      </c>
      <c r="D1588" s="142" t="s">
        <v>3938</v>
      </c>
      <c r="E1588" s="141" t="s">
        <v>2157</v>
      </c>
      <c r="F1588" s="142" t="s">
        <v>3939</v>
      </c>
      <c r="G1588" s="141" t="s">
        <v>3269</v>
      </c>
      <c r="H1588" s="142" t="s">
        <v>3940</v>
      </c>
      <c r="I1588" s="141" t="s">
        <v>3270</v>
      </c>
      <c r="J1588" s="142" t="s">
        <v>4022</v>
      </c>
      <c r="K1588" s="142" t="s">
        <v>1221</v>
      </c>
      <c r="L1588" s="143">
        <f t="shared" si="50"/>
        <v>1</v>
      </c>
      <c r="M1588" s="144" t="s">
        <v>4025</v>
      </c>
      <c r="N1588" s="141" t="s">
        <v>3937</v>
      </c>
      <c r="O1588" s="142" t="s">
        <v>3938</v>
      </c>
      <c r="P1588" s="141" t="s">
        <v>3943</v>
      </c>
      <c r="Q1588" s="142" t="s">
        <v>3939</v>
      </c>
      <c r="R1588" s="141" t="s">
        <v>3944</v>
      </c>
      <c r="S1588" s="142" t="s">
        <v>3940</v>
      </c>
      <c r="T1588" s="141" t="s">
        <v>4024</v>
      </c>
      <c r="U1588" s="142" t="s">
        <v>4022</v>
      </c>
      <c r="V1588" s="142" t="s">
        <v>1221</v>
      </c>
      <c r="W1588" s="141">
        <f t="shared" si="51"/>
        <v>1</v>
      </c>
      <c r="X1588" s="143"/>
      <c r="Y1588" s="145"/>
      <c r="AA1588"/>
    </row>
    <row r="1589" spans="1:27" s="115" customFormat="1" ht="27" customHeight="1">
      <c r="A1589" s="139">
        <v>1505</v>
      </c>
      <c r="B1589" s="140" t="s">
        <v>5962</v>
      </c>
      <c r="C1589" s="141" t="s">
        <v>3937</v>
      </c>
      <c r="D1589" s="142" t="s">
        <v>3938</v>
      </c>
      <c r="E1589" s="141" t="s">
        <v>2157</v>
      </c>
      <c r="F1589" s="142" t="s">
        <v>3939</v>
      </c>
      <c r="G1589" s="141" t="s">
        <v>3269</v>
      </c>
      <c r="H1589" s="142" t="s">
        <v>3940</v>
      </c>
      <c r="I1589" s="141" t="s">
        <v>3270</v>
      </c>
      <c r="J1589" s="142" t="s">
        <v>4022</v>
      </c>
      <c r="K1589" s="142" t="s">
        <v>305</v>
      </c>
      <c r="L1589" s="143">
        <f t="shared" si="50"/>
        <v>1</v>
      </c>
      <c r="M1589" s="144" t="s">
        <v>4023</v>
      </c>
      <c r="N1589" s="141" t="s">
        <v>3937</v>
      </c>
      <c r="O1589" s="142" t="s">
        <v>3938</v>
      </c>
      <c r="P1589" s="141" t="s">
        <v>3943</v>
      </c>
      <c r="Q1589" s="142" t="s">
        <v>3939</v>
      </c>
      <c r="R1589" s="141" t="s">
        <v>3944</v>
      </c>
      <c r="S1589" s="142" t="s">
        <v>3940</v>
      </c>
      <c r="T1589" s="141" t="s">
        <v>4024</v>
      </c>
      <c r="U1589" s="142" t="s">
        <v>4022</v>
      </c>
      <c r="V1589" s="142" t="s">
        <v>305</v>
      </c>
      <c r="W1589" s="141">
        <f t="shared" si="51"/>
        <v>3</v>
      </c>
      <c r="X1589" s="143"/>
      <c r="Y1589" s="145" t="s">
        <v>4026</v>
      </c>
      <c r="AA1589"/>
    </row>
    <row r="1590" spans="1:27" s="115" customFormat="1" ht="27" customHeight="1">
      <c r="A1590" s="139">
        <v>1506</v>
      </c>
      <c r="B1590" s="140" t="s">
        <v>5963</v>
      </c>
      <c r="C1590" s="141" t="s">
        <v>3937</v>
      </c>
      <c r="D1590" s="142" t="s">
        <v>3938</v>
      </c>
      <c r="E1590" s="141" t="s">
        <v>2157</v>
      </c>
      <c r="F1590" s="142" t="s">
        <v>3957</v>
      </c>
      <c r="G1590" s="141" t="s">
        <v>3269</v>
      </c>
      <c r="H1590" s="142" t="s">
        <v>3976</v>
      </c>
      <c r="I1590" s="141" t="s">
        <v>3270</v>
      </c>
      <c r="J1590" s="142" t="s">
        <v>3989</v>
      </c>
      <c r="K1590" s="142" t="s">
        <v>306</v>
      </c>
      <c r="L1590" s="143">
        <f t="shared" si="50"/>
        <v>1</v>
      </c>
      <c r="M1590" s="144" t="s">
        <v>4027</v>
      </c>
      <c r="N1590" s="141" t="s">
        <v>3937</v>
      </c>
      <c r="O1590" s="142" t="s">
        <v>3938</v>
      </c>
      <c r="P1590" s="141" t="s">
        <v>2232</v>
      </c>
      <c r="Q1590" s="142" t="s">
        <v>3957</v>
      </c>
      <c r="R1590" s="141" t="s">
        <v>3980</v>
      </c>
      <c r="S1590" s="142" t="s">
        <v>3976</v>
      </c>
      <c r="T1590" s="141" t="s">
        <v>3991</v>
      </c>
      <c r="U1590" s="142" t="s">
        <v>3989</v>
      </c>
      <c r="V1590" s="142" t="s">
        <v>306</v>
      </c>
      <c r="W1590" s="141">
        <f t="shared" si="51"/>
        <v>1</v>
      </c>
      <c r="X1590" s="143"/>
      <c r="Y1590" s="145"/>
      <c r="AA1590"/>
    </row>
    <row r="1591" spans="1:27" s="115" customFormat="1" ht="27" customHeight="1">
      <c r="A1591" s="139">
        <v>1507</v>
      </c>
      <c r="B1591" s="140" t="s">
        <v>5964</v>
      </c>
      <c r="C1591" s="141" t="s">
        <v>3937</v>
      </c>
      <c r="D1591" s="142" t="s">
        <v>3938</v>
      </c>
      <c r="E1591" s="141" t="s">
        <v>2157</v>
      </c>
      <c r="F1591" s="142" t="s">
        <v>3939</v>
      </c>
      <c r="G1591" s="141" t="s">
        <v>3269</v>
      </c>
      <c r="H1591" s="142" t="s">
        <v>3940</v>
      </c>
      <c r="I1591" s="141" t="s">
        <v>3270</v>
      </c>
      <c r="J1591" s="142" t="s">
        <v>3941</v>
      </c>
      <c r="K1591" s="142" t="s">
        <v>1195</v>
      </c>
      <c r="L1591" s="143">
        <f t="shared" si="50"/>
        <v>1</v>
      </c>
      <c r="M1591" s="144" t="s">
        <v>3942</v>
      </c>
      <c r="N1591" s="141" t="s">
        <v>3937</v>
      </c>
      <c r="O1591" s="142" t="s">
        <v>3938</v>
      </c>
      <c r="P1591" s="141" t="s">
        <v>3943</v>
      </c>
      <c r="Q1591" s="142" t="s">
        <v>3939</v>
      </c>
      <c r="R1591" s="141" t="s">
        <v>3944</v>
      </c>
      <c r="S1591" s="142" t="s">
        <v>3940</v>
      </c>
      <c r="T1591" s="141" t="s">
        <v>3945</v>
      </c>
      <c r="U1591" s="142" t="s">
        <v>3941</v>
      </c>
      <c r="V1591" s="142" t="s">
        <v>1195</v>
      </c>
      <c r="W1591" s="141">
        <f t="shared" si="51"/>
        <v>3</v>
      </c>
      <c r="X1591" s="143">
        <v>2</v>
      </c>
      <c r="Y1591" s="145" t="s">
        <v>4028</v>
      </c>
      <c r="AA1591"/>
    </row>
    <row r="1592" spans="1:27" s="115" customFormat="1" ht="27" customHeight="1">
      <c r="A1592" s="139">
        <v>1508</v>
      </c>
      <c r="B1592" s="140" t="s">
        <v>5965</v>
      </c>
      <c r="C1592" s="141" t="s">
        <v>3937</v>
      </c>
      <c r="D1592" s="142" t="s">
        <v>3938</v>
      </c>
      <c r="E1592" s="141" t="s">
        <v>2157</v>
      </c>
      <c r="F1592" s="142" t="s">
        <v>3939</v>
      </c>
      <c r="G1592" s="141" t="s">
        <v>3269</v>
      </c>
      <c r="H1592" s="142" t="s">
        <v>3940</v>
      </c>
      <c r="I1592" s="141" t="s">
        <v>3270</v>
      </c>
      <c r="J1592" s="142" t="s">
        <v>4022</v>
      </c>
      <c r="K1592" s="142" t="s">
        <v>307</v>
      </c>
      <c r="L1592" s="143">
        <f t="shared" si="50"/>
        <v>1</v>
      </c>
      <c r="M1592" s="144" t="s">
        <v>4029</v>
      </c>
      <c r="N1592" s="141" t="s">
        <v>3937</v>
      </c>
      <c r="O1592" s="142" t="s">
        <v>3938</v>
      </c>
      <c r="P1592" s="141" t="s">
        <v>3943</v>
      </c>
      <c r="Q1592" s="142" t="s">
        <v>3939</v>
      </c>
      <c r="R1592" s="141" t="s">
        <v>3944</v>
      </c>
      <c r="S1592" s="142" t="s">
        <v>3940</v>
      </c>
      <c r="T1592" s="141" t="s">
        <v>4024</v>
      </c>
      <c r="U1592" s="142" t="s">
        <v>4022</v>
      </c>
      <c r="V1592" s="142" t="s">
        <v>307</v>
      </c>
      <c r="W1592" s="141">
        <f t="shared" si="51"/>
        <v>3</v>
      </c>
      <c r="X1592" s="143">
        <v>1</v>
      </c>
      <c r="Y1592" s="145"/>
      <c r="AA1592"/>
    </row>
    <row r="1593" spans="1:27" s="115" customFormat="1" ht="27" customHeight="1">
      <c r="A1593" s="139">
        <v>1509</v>
      </c>
      <c r="B1593" s="140" t="s">
        <v>5966</v>
      </c>
      <c r="C1593" s="141" t="s">
        <v>3937</v>
      </c>
      <c r="D1593" s="142" t="s">
        <v>3938</v>
      </c>
      <c r="E1593" s="141" t="s">
        <v>2157</v>
      </c>
      <c r="F1593" s="142" t="s">
        <v>3939</v>
      </c>
      <c r="G1593" s="141" t="s">
        <v>3269</v>
      </c>
      <c r="H1593" s="142" t="s">
        <v>3940</v>
      </c>
      <c r="I1593" s="141" t="s">
        <v>3270</v>
      </c>
      <c r="J1593" s="142" t="s">
        <v>4022</v>
      </c>
      <c r="K1593" s="142" t="s">
        <v>307</v>
      </c>
      <c r="L1593" s="143">
        <f t="shared" si="50"/>
        <v>1</v>
      </c>
      <c r="M1593" s="144" t="s">
        <v>4029</v>
      </c>
      <c r="N1593" s="141" t="s">
        <v>3937</v>
      </c>
      <c r="O1593" s="142" t="s">
        <v>3938</v>
      </c>
      <c r="P1593" s="141" t="s">
        <v>3943</v>
      </c>
      <c r="Q1593" s="142" t="s">
        <v>3939</v>
      </c>
      <c r="R1593" s="141" t="s">
        <v>3944</v>
      </c>
      <c r="S1593" s="142" t="s">
        <v>3940</v>
      </c>
      <c r="T1593" s="141" t="s">
        <v>4024</v>
      </c>
      <c r="U1593" s="142" t="s">
        <v>4022</v>
      </c>
      <c r="V1593" s="142" t="s">
        <v>307</v>
      </c>
      <c r="W1593" s="141">
        <f t="shared" si="51"/>
        <v>3</v>
      </c>
      <c r="X1593" s="143"/>
      <c r="Y1593" s="145" t="s">
        <v>4030</v>
      </c>
      <c r="AA1593"/>
    </row>
    <row r="1594" spans="1:27" s="115" customFormat="1" ht="27" customHeight="1">
      <c r="A1594" s="139">
        <v>1510</v>
      </c>
      <c r="B1594" s="140" t="s">
        <v>5967</v>
      </c>
      <c r="C1594" s="141" t="s">
        <v>3937</v>
      </c>
      <c r="D1594" s="142" t="s">
        <v>3938</v>
      </c>
      <c r="E1594" s="141" t="s">
        <v>2157</v>
      </c>
      <c r="F1594" s="142" t="s">
        <v>3939</v>
      </c>
      <c r="G1594" s="141" t="s">
        <v>3269</v>
      </c>
      <c r="H1594" s="142" t="s">
        <v>3940</v>
      </c>
      <c r="I1594" s="141" t="s">
        <v>3270</v>
      </c>
      <c r="J1594" s="142" t="s">
        <v>4022</v>
      </c>
      <c r="K1594" s="142" t="s">
        <v>308</v>
      </c>
      <c r="L1594" s="143">
        <f t="shared" si="50"/>
        <v>1</v>
      </c>
      <c r="M1594" s="144" t="s">
        <v>4031</v>
      </c>
      <c r="N1594" s="141" t="s">
        <v>3937</v>
      </c>
      <c r="O1594" s="142" t="s">
        <v>3938</v>
      </c>
      <c r="P1594" s="141" t="s">
        <v>3943</v>
      </c>
      <c r="Q1594" s="142" t="s">
        <v>3939</v>
      </c>
      <c r="R1594" s="141" t="s">
        <v>3944</v>
      </c>
      <c r="S1594" s="142" t="s">
        <v>3940</v>
      </c>
      <c r="T1594" s="141" t="s">
        <v>4024</v>
      </c>
      <c r="U1594" s="142" t="s">
        <v>4022</v>
      </c>
      <c r="V1594" s="142" t="s">
        <v>308</v>
      </c>
      <c r="W1594" s="141">
        <f t="shared" si="51"/>
        <v>1</v>
      </c>
      <c r="X1594" s="143"/>
      <c r="Y1594" s="145"/>
      <c r="AA1594"/>
    </row>
    <row r="1595" spans="1:27" s="115" customFormat="1" ht="27" customHeight="1">
      <c r="A1595" s="139">
        <v>1511</v>
      </c>
      <c r="B1595" s="140" t="s">
        <v>5969</v>
      </c>
      <c r="C1595" s="141" t="s">
        <v>3937</v>
      </c>
      <c r="D1595" s="142" t="s">
        <v>3938</v>
      </c>
      <c r="E1595" s="141" t="s">
        <v>2157</v>
      </c>
      <c r="F1595" s="142" t="s">
        <v>3939</v>
      </c>
      <c r="G1595" s="141" t="s">
        <v>3269</v>
      </c>
      <c r="H1595" s="142" t="s">
        <v>3940</v>
      </c>
      <c r="I1595" s="141" t="s">
        <v>3270</v>
      </c>
      <c r="J1595" s="142" t="s">
        <v>3954</v>
      </c>
      <c r="K1595" s="142" t="s">
        <v>1222</v>
      </c>
      <c r="L1595" s="143">
        <f t="shared" si="50"/>
        <v>1</v>
      </c>
      <c r="M1595" s="144" t="s">
        <v>4032</v>
      </c>
      <c r="N1595" s="141" t="s">
        <v>3937</v>
      </c>
      <c r="O1595" s="142" t="s">
        <v>3938</v>
      </c>
      <c r="P1595" s="141" t="s">
        <v>3943</v>
      </c>
      <c r="Q1595" s="142" t="s">
        <v>3939</v>
      </c>
      <c r="R1595" s="141" t="s">
        <v>3944</v>
      </c>
      <c r="S1595" s="142" t="s">
        <v>3940</v>
      </c>
      <c r="T1595" s="141" t="s">
        <v>3956</v>
      </c>
      <c r="U1595" s="142" t="s">
        <v>3954</v>
      </c>
      <c r="V1595" s="142" t="s">
        <v>1222</v>
      </c>
      <c r="W1595" s="141">
        <f t="shared" si="51"/>
        <v>1</v>
      </c>
      <c r="X1595" s="143"/>
      <c r="Y1595" s="145"/>
      <c r="AA1595"/>
    </row>
    <row r="1596" spans="1:27" s="115" customFormat="1" ht="27" customHeight="1">
      <c r="A1596" s="139">
        <v>1512</v>
      </c>
      <c r="B1596" s="140" t="s">
        <v>5970</v>
      </c>
      <c r="C1596" s="141" t="s">
        <v>3937</v>
      </c>
      <c r="D1596" s="142" t="s">
        <v>3938</v>
      </c>
      <c r="E1596" s="141" t="s">
        <v>2157</v>
      </c>
      <c r="F1596" s="142" t="s">
        <v>3939</v>
      </c>
      <c r="G1596" s="141" t="s">
        <v>3269</v>
      </c>
      <c r="H1596" s="142" t="s">
        <v>3940</v>
      </c>
      <c r="I1596" s="141" t="s">
        <v>3270</v>
      </c>
      <c r="J1596" s="142" t="s">
        <v>4022</v>
      </c>
      <c r="K1596" s="142" t="s">
        <v>307</v>
      </c>
      <c r="L1596" s="143">
        <f t="shared" si="50"/>
        <v>1</v>
      </c>
      <c r="M1596" s="144" t="s">
        <v>4029</v>
      </c>
      <c r="N1596" s="141" t="s">
        <v>3937</v>
      </c>
      <c r="O1596" s="142" t="s">
        <v>3938</v>
      </c>
      <c r="P1596" s="141" t="s">
        <v>3943</v>
      </c>
      <c r="Q1596" s="142" t="s">
        <v>3939</v>
      </c>
      <c r="R1596" s="141" t="s">
        <v>3944</v>
      </c>
      <c r="S1596" s="142" t="s">
        <v>3940</v>
      </c>
      <c r="T1596" s="141" t="s">
        <v>4024</v>
      </c>
      <c r="U1596" s="142" t="s">
        <v>4022</v>
      </c>
      <c r="V1596" s="142" t="s">
        <v>307</v>
      </c>
      <c r="W1596" s="141">
        <f t="shared" si="51"/>
        <v>3</v>
      </c>
      <c r="X1596" s="143"/>
      <c r="Y1596" s="145" t="s">
        <v>4033</v>
      </c>
      <c r="AA1596"/>
    </row>
    <row r="1597" spans="1:27" s="115" customFormat="1" ht="27" customHeight="1">
      <c r="A1597" s="139">
        <v>1513</v>
      </c>
      <c r="B1597" s="140" t="s">
        <v>5971</v>
      </c>
      <c r="C1597" s="141" t="s">
        <v>3937</v>
      </c>
      <c r="D1597" s="142" t="s">
        <v>3938</v>
      </c>
      <c r="E1597" s="141" t="s">
        <v>2157</v>
      </c>
      <c r="F1597" s="142" t="s">
        <v>3939</v>
      </c>
      <c r="G1597" s="141" t="s">
        <v>3269</v>
      </c>
      <c r="H1597" s="142" t="s">
        <v>3940</v>
      </c>
      <c r="I1597" s="141" t="s">
        <v>3270</v>
      </c>
      <c r="J1597" s="142" t="s">
        <v>4022</v>
      </c>
      <c r="K1597" s="142" t="s">
        <v>305</v>
      </c>
      <c r="L1597" s="143">
        <f t="shared" si="50"/>
        <v>1</v>
      </c>
      <c r="M1597" s="144" t="s">
        <v>4023</v>
      </c>
      <c r="N1597" s="141" t="s">
        <v>3937</v>
      </c>
      <c r="O1597" s="142" t="s">
        <v>3938</v>
      </c>
      <c r="P1597" s="141" t="s">
        <v>3943</v>
      </c>
      <c r="Q1597" s="142" t="s">
        <v>3939</v>
      </c>
      <c r="R1597" s="141" t="s">
        <v>3944</v>
      </c>
      <c r="S1597" s="142" t="s">
        <v>3940</v>
      </c>
      <c r="T1597" s="141" t="s">
        <v>4024</v>
      </c>
      <c r="U1597" s="142" t="s">
        <v>4022</v>
      </c>
      <c r="V1597" s="142" t="s">
        <v>305</v>
      </c>
      <c r="W1597" s="141">
        <f t="shared" si="51"/>
        <v>3</v>
      </c>
      <c r="X1597" s="143"/>
      <c r="Y1597" s="145" t="s">
        <v>4034</v>
      </c>
      <c r="AA1597"/>
    </row>
    <row r="1598" spans="1:27" s="115" customFormat="1" ht="40.5" customHeight="1">
      <c r="A1598" s="139">
        <v>1514</v>
      </c>
      <c r="B1598" s="140" t="s">
        <v>5972</v>
      </c>
      <c r="C1598" s="141" t="s">
        <v>3937</v>
      </c>
      <c r="D1598" s="142" t="s">
        <v>3938</v>
      </c>
      <c r="E1598" s="141" t="s">
        <v>2157</v>
      </c>
      <c r="F1598" s="142" t="s">
        <v>3939</v>
      </c>
      <c r="G1598" s="141" t="s">
        <v>3269</v>
      </c>
      <c r="H1598" s="142" t="s">
        <v>3940</v>
      </c>
      <c r="I1598" s="141" t="s">
        <v>3270</v>
      </c>
      <c r="J1598" s="142" t="s">
        <v>4035</v>
      </c>
      <c r="K1598" s="142" t="s">
        <v>1223</v>
      </c>
      <c r="L1598" s="143">
        <f t="shared" ref="L1598:L1662" si="52">COUNTIF($B$5:$B$1752,B1598)</f>
        <v>1</v>
      </c>
      <c r="M1598" s="144" t="s">
        <v>4036</v>
      </c>
      <c r="N1598" s="141" t="s">
        <v>3937</v>
      </c>
      <c r="O1598" s="142" t="s">
        <v>3938</v>
      </c>
      <c r="P1598" s="141" t="s">
        <v>3943</v>
      </c>
      <c r="Q1598" s="142" t="s">
        <v>3939</v>
      </c>
      <c r="R1598" s="141" t="s">
        <v>3944</v>
      </c>
      <c r="S1598" s="142" t="s">
        <v>3940</v>
      </c>
      <c r="T1598" s="141" t="s">
        <v>4037</v>
      </c>
      <c r="U1598" s="142" t="s">
        <v>4035</v>
      </c>
      <c r="V1598" s="142" t="s">
        <v>1223</v>
      </c>
      <c r="W1598" s="141">
        <f t="shared" ref="W1598:W1662" si="53">COUNTIF($M$5:$M$1756,M1598)</f>
        <v>1</v>
      </c>
      <c r="X1598" s="143"/>
      <c r="Y1598" s="145"/>
      <c r="AA1598"/>
    </row>
    <row r="1599" spans="1:27" s="115" customFormat="1" ht="40.5" customHeight="1">
      <c r="A1599" s="139">
        <v>1515</v>
      </c>
      <c r="B1599" s="140" t="s">
        <v>5973</v>
      </c>
      <c r="C1599" s="141" t="s">
        <v>3937</v>
      </c>
      <c r="D1599" s="142" t="s">
        <v>3938</v>
      </c>
      <c r="E1599" s="141" t="s">
        <v>2157</v>
      </c>
      <c r="F1599" s="142" t="s">
        <v>3939</v>
      </c>
      <c r="G1599" s="141" t="s">
        <v>3269</v>
      </c>
      <c r="H1599" s="142" t="s">
        <v>3940</v>
      </c>
      <c r="I1599" s="141" t="s">
        <v>3270</v>
      </c>
      <c r="J1599" s="142" t="s">
        <v>4035</v>
      </c>
      <c r="K1599" s="142" t="s">
        <v>1224</v>
      </c>
      <c r="L1599" s="143">
        <f t="shared" si="52"/>
        <v>1</v>
      </c>
      <c r="M1599" s="144" t="s">
        <v>4038</v>
      </c>
      <c r="N1599" s="141" t="s">
        <v>3937</v>
      </c>
      <c r="O1599" s="142" t="s">
        <v>3938</v>
      </c>
      <c r="P1599" s="141" t="s">
        <v>3943</v>
      </c>
      <c r="Q1599" s="142" t="s">
        <v>3939</v>
      </c>
      <c r="R1599" s="141" t="s">
        <v>3944</v>
      </c>
      <c r="S1599" s="142" t="s">
        <v>3940</v>
      </c>
      <c r="T1599" s="141" t="s">
        <v>4037</v>
      </c>
      <c r="U1599" s="142" t="s">
        <v>4035</v>
      </c>
      <c r="V1599" s="142" t="s">
        <v>1224</v>
      </c>
      <c r="W1599" s="141">
        <f t="shared" si="53"/>
        <v>1</v>
      </c>
      <c r="X1599" s="143"/>
      <c r="Y1599" s="145"/>
      <c r="AA1599"/>
    </row>
    <row r="1600" spans="1:27" s="115" customFormat="1" ht="40.5" customHeight="1">
      <c r="A1600" s="139">
        <v>1516</v>
      </c>
      <c r="B1600" s="140" t="s">
        <v>5974</v>
      </c>
      <c r="C1600" s="141" t="s">
        <v>3937</v>
      </c>
      <c r="D1600" s="142" t="s">
        <v>3938</v>
      </c>
      <c r="E1600" s="141" t="s">
        <v>2157</v>
      </c>
      <c r="F1600" s="142" t="s">
        <v>3939</v>
      </c>
      <c r="G1600" s="141" t="s">
        <v>3269</v>
      </c>
      <c r="H1600" s="142" t="s">
        <v>3940</v>
      </c>
      <c r="I1600" s="141" t="s">
        <v>3270</v>
      </c>
      <c r="J1600" s="142" t="s">
        <v>3954</v>
      </c>
      <c r="K1600" s="142" t="s">
        <v>1225</v>
      </c>
      <c r="L1600" s="143">
        <f t="shared" si="52"/>
        <v>1</v>
      </c>
      <c r="M1600" s="144" t="s">
        <v>4039</v>
      </c>
      <c r="N1600" s="141" t="s">
        <v>3937</v>
      </c>
      <c r="O1600" s="142" t="s">
        <v>3938</v>
      </c>
      <c r="P1600" s="141" t="s">
        <v>3943</v>
      </c>
      <c r="Q1600" s="142" t="s">
        <v>3939</v>
      </c>
      <c r="R1600" s="141" t="s">
        <v>3944</v>
      </c>
      <c r="S1600" s="142" t="s">
        <v>3940</v>
      </c>
      <c r="T1600" s="141" t="s">
        <v>3956</v>
      </c>
      <c r="U1600" s="142" t="s">
        <v>3954</v>
      </c>
      <c r="V1600" s="142" t="s">
        <v>1225</v>
      </c>
      <c r="W1600" s="141">
        <f t="shared" si="53"/>
        <v>1</v>
      </c>
      <c r="X1600" s="143"/>
      <c r="Y1600" s="145"/>
      <c r="AA1600"/>
    </row>
    <row r="1601" spans="1:27" s="115" customFormat="1" ht="40.5" customHeight="1">
      <c r="A1601" s="139">
        <v>1517</v>
      </c>
      <c r="B1601" s="140" t="s">
        <v>5975</v>
      </c>
      <c r="C1601" s="141" t="s">
        <v>3937</v>
      </c>
      <c r="D1601" s="142" t="s">
        <v>3938</v>
      </c>
      <c r="E1601" s="141" t="s">
        <v>2157</v>
      </c>
      <c r="F1601" s="142" t="s">
        <v>3939</v>
      </c>
      <c r="G1601" s="141" t="s">
        <v>3269</v>
      </c>
      <c r="H1601" s="142" t="s">
        <v>3940</v>
      </c>
      <c r="I1601" s="141" t="s">
        <v>3270</v>
      </c>
      <c r="J1601" s="142" t="s">
        <v>3941</v>
      </c>
      <c r="K1601" s="142" t="s">
        <v>1226</v>
      </c>
      <c r="L1601" s="143">
        <f t="shared" si="52"/>
        <v>1</v>
      </c>
      <c r="M1601" s="144" t="s">
        <v>4040</v>
      </c>
      <c r="N1601" s="141" t="s">
        <v>3937</v>
      </c>
      <c r="O1601" s="142" t="s">
        <v>3938</v>
      </c>
      <c r="P1601" s="141" t="s">
        <v>3943</v>
      </c>
      <c r="Q1601" s="142" t="s">
        <v>3939</v>
      </c>
      <c r="R1601" s="141" t="s">
        <v>3944</v>
      </c>
      <c r="S1601" s="142" t="s">
        <v>3940</v>
      </c>
      <c r="T1601" s="141" t="s">
        <v>3945</v>
      </c>
      <c r="U1601" s="142" t="s">
        <v>3941</v>
      </c>
      <c r="V1601" s="142" t="s">
        <v>1226</v>
      </c>
      <c r="W1601" s="141">
        <f t="shared" si="53"/>
        <v>1</v>
      </c>
      <c r="X1601" s="143"/>
      <c r="Y1601" s="145"/>
      <c r="AA1601"/>
    </row>
    <row r="1602" spans="1:27" s="115" customFormat="1" ht="40.5" customHeight="1">
      <c r="A1602" s="139">
        <v>1518</v>
      </c>
      <c r="B1602" s="140" t="s">
        <v>5701</v>
      </c>
      <c r="C1602" s="141" t="s">
        <v>4041</v>
      </c>
      <c r="D1602" s="142" t="s">
        <v>4042</v>
      </c>
      <c r="E1602" s="141" t="s">
        <v>3365</v>
      </c>
      <c r="F1602" s="142" t="s">
        <v>4043</v>
      </c>
      <c r="G1602" s="141" t="s">
        <v>3366</v>
      </c>
      <c r="H1602" s="142" t="s">
        <v>4044</v>
      </c>
      <c r="I1602" s="141" t="s">
        <v>4045</v>
      </c>
      <c r="J1602" s="142" t="s">
        <v>4046</v>
      </c>
      <c r="K1602" s="142" t="s">
        <v>1227</v>
      </c>
      <c r="L1602" s="143">
        <f t="shared" si="52"/>
        <v>1</v>
      </c>
      <c r="M1602" s="144" t="s">
        <v>4047</v>
      </c>
      <c r="N1602" s="141" t="s">
        <v>4041</v>
      </c>
      <c r="O1602" s="142" t="s">
        <v>4042</v>
      </c>
      <c r="P1602" s="141" t="s">
        <v>4048</v>
      </c>
      <c r="Q1602" s="142" t="s">
        <v>4043</v>
      </c>
      <c r="R1602" s="141" t="s">
        <v>4049</v>
      </c>
      <c r="S1602" s="142" t="s">
        <v>4044</v>
      </c>
      <c r="T1602" s="141" t="s">
        <v>4050</v>
      </c>
      <c r="U1602" s="142" t="s">
        <v>4046</v>
      </c>
      <c r="V1602" s="142" t="s">
        <v>1227</v>
      </c>
      <c r="W1602" s="141">
        <f t="shared" si="53"/>
        <v>2</v>
      </c>
      <c r="X1602" s="143"/>
      <c r="Y1602" s="145" t="s">
        <v>4051</v>
      </c>
      <c r="AA1602"/>
    </row>
    <row r="1603" spans="1:27" s="115" customFormat="1" ht="40.5" customHeight="1">
      <c r="A1603" s="139">
        <v>1519</v>
      </c>
      <c r="B1603" s="140" t="s">
        <v>5741</v>
      </c>
      <c r="C1603" s="141" t="s">
        <v>4041</v>
      </c>
      <c r="D1603" s="142" t="s">
        <v>4042</v>
      </c>
      <c r="E1603" s="141" t="s">
        <v>3198</v>
      </c>
      <c r="F1603" s="142" t="s">
        <v>4052</v>
      </c>
      <c r="G1603" s="141" t="s">
        <v>4053</v>
      </c>
      <c r="H1603" s="142" t="s">
        <v>4054</v>
      </c>
      <c r="I1603" s="141" t="s">
        <v>4055</v>
      </c>
      <c r="J1603" s="142" t="s">
        <v>1228</v>
      </c>
      <c r="K1603" s="142" t="s">
        <v>1228</v>
      </c>
      <c r="L1603" s="143">
        <f t="shared" si="52"/>
        <v>1</v>
      </c>
      <c r="M1603" s="144" t="s">
        <v>4056</v>
      </c>
      <c r="N1603" s="141" t="s">
        <v>4041</v>
      </c>
      <c r="O1603" s="142" t="s">
        <v>4042</v>
      </c>
      <c r="P1603" s="141" t="s">
        <v>3933</v>
      </c>
      <c r="Q1603" s="142" t="s">
        <v>4052</v>
      </c>
      <c r="R1603" s="141" t="s">
        <v>4057</v>
      </c>
      <c r="S1603" s="142" t="s">
        <v>4054</v>
      </c>
      <c r="T1603" s="141" t="s">
        <v>4058</v>
      </c>
      <c r="U1603" s="142" t="s">
        <v>1228</v>
      </c>
      <c r="V1603" s="142" t="s">
        <v>1228</v>
      </c>
      <c r="W1603" s="141">
        <f t="shared" si="53"/>
        <v>1</v>
      </c>
      <c r="X1603" s="143"/>
      <c r="Y1603" s="145"/>
      <c r="AA1603"/>
    </row>
    <row r="1604" spans="1:27" s="115" customFormat="1" ht="40.5" customHeight="1">
      <c r="A1604" s="139">
        <v>1520</v>
      </c>
      <c r="B1604" s="140" t="s">
        <v>5798</v>
      </c>
      <c r="C1604" s="141" t="s">
        <v>4041</v>
      </c>
      <c r="D1604" s="142" t="s">
        <v>4042</v>
      </c>
      <c r="E1604" s="141" t="s">
        <v>2223</v>
      </c>
      <c r="F1604" s="142" t="s">
        <v>4043</v>
      </c>
      <c r="G1604" s="141" t="s">
        <v>2225</v>
      </c>
      <c r="H1604" s="142" t="s">
        <v>4044</v>
      </c>
      <c r="I1604" s="141" t="s">
        <v>3531</v>
      </c>
      <c r="J1604" s="142" t="s">
        <v>4059</v>
      </c>
      <c r="K1604" s="142" t="s">
        <v>1229</v>
      </c>
      <c r="L1604" s="143">
        <f t="shared" si="52"/>
        <v>1</v>
      </c>
      <c r="M1604" s="144" t="s">
        <v>4060</v>
      </c>
      <c r="N1604" s="141" t="s">
        <v>4041</v>
      </c>
      <c r="O1604" s="142" t="s">
        <v>4042</v>
      </c>
      <c r="P1604" s="141" t="s">
        <v>4048</v>
      </c>
      <c r="Q1604" s="142" t="s">
        <v>4043</v>
      </c>
      <c r="R1604" s="141" t="s">
        <v>4049</v>
      </c>
      <c r="S1604" s="142" t="s">
        <v>4044</v>
      </c>
      <c r="T1604" s="141" t="s">
        <v>4061</v>
      </c>
      <c r="U1604" s="142" t="s">
        <v>4059</v>
      </c>
      <c r="V1604" s="142" t="s">
        <v>1229</v>
      </c>
      <c r="W1604" s="141">
        <f t="shared" si="53"/>
        <v>5</v>
      </c>
      <c r="X1604" s="143"/>
      <c r="Y1604" s="145" t="s">
        <v>4062</v>
      </c>
      <c r="AA1604"/>
    </row>
    <row r="1605" spans="1:27" s="115" customFormat="1" ht="40.5" customHeight="1">
      <c r="A1605" s="139">
        <v>1521</v>
      </c>
      <c r="B1605" s="140" t="s">
        <v>5920</v>
      </c>
      <c r="C1605" s="141" t="s">
        <v>4041</v>
      </c>
      <c r="D1605" s="142" t="s">
        <v>4042</v>
      </c>
      <c r="E1605" s="141" t="s">
        <v>2157</v>
      </c>
      <c r="F1605" s="142" t="s">
        <v>4052</v>
      </c>
      <c r="G1605" s="141" t="s">
        <v>2159</v>
      </c>
      <c r="H1605" s="142" t="s">
        <v>4063</v>
      </c>
      <c r="I1605" s="141" t="s">
        <v>2160</v>
      </c>
      <c r="J1605" s="142" t="s">
        <v>4064</v>
      </c>
      <c r="K1605" s="142" t="s">
        <v>1230</v>
      </c>
      <c r="L1605" s="143">
        <f t="shared" si="52"/>
        <v>1</v>
      </c>
      <c r="M1605" s="144" t="s">
        <v>4065</v>
      </c>
      <c r="N1605" s="141" t="s">
        <v>4041</v>
      </c>
      <c r="O1605" s="142" t="s">
        <v>4042</v>
      </c>
      <c r="P1605" s="141" t="s">
        <v>3933</v>
      </c>
      <c r="Q1605" s="142" t="s">
        <v>4052</v>
      </c>
      <c r="R1605" s="141" t="s">
        <v>4066</v>
      </c>
      <c r="S1605" s="142" t="s">
        <v>4063</v>
      </c>
      <c r="T1605" s="141" t="s">
        <v>4067</v>
      </c>
      <c r="U1605" s="142" t="s">
        <v>4064</v>
      </c>
      <c r="V1605" s="142" t="s">
        <v>1230</v>
      </c>
      <c r="W1605" s="141">
        <f t="shared" si="53"/>
        <v>1</v>
      </c>
      <c r="X1605" s="143"/>
      <c r="Y1605" s="145"/>
      <c r="AA1605"/>
    </row>
    <row r="1606" spans="1:27" s="115" customFormat="1" ht="40.5" customHeight="1">
      <c r="A1606" s="139">
        <v>1522</v>
      </c>
      <c r="B1606" s="140" t="s">
        <v>5923</v>
      </c>
      <c r="C1606" s="141" t="s">
        <v>4041</v>
      </c>
      <c r="D1606" s="142" t="s">
        <v>4042</v>
      </c>
      <c r="E1606" s="141" t="s">
        <v>2157</v>
      </c>
      <c r="F1606" s="142" t="s">
        <v>4052</v>
      </c>
      <c r="G1606" s="141" t="s">
        <v>2159</v>
      </c>
      <c r="H1606" s="142" t="s">
        <v>4063</v>
      </c>
      <c r="I1606" s="141" t="s">
        <v>2160</v>
      </c>
      <c r="J1606" s="142" t="s">
        <v>309</v>
      </c>
      <c r="K1606" s="142" t="s">
        <v>309</v>
      </c>
      <c r="L1606" s="143">
        <f t="shared" si="52"/>
        <v>1</v>
      </c>
      <c r="M1606" s="144" t="s">
        <v>4068</v>
      </c>
      <c r="N1606" s="141" t="s">
        <v>4041</v>
      </c>
      <c r="O1606" s="142" t="s">
        <v>4042</v>
      </c>
      <c r="P1606" s="141" t="s">
        <v>3933</v>
      </c>
      <c r="Q1606" s="142" t="s">
        <v>4052</v>
      </c>
      <c r="R1606" s="141" t="s">
        <v>4066</v>
      </c>
      <c r="S1606" s="142" t="s">
        <v>4063</v>
      </c>
      <c r="T1606" s="141" t="s">
        <v>4069</v>
      </c>
      <c r="U1606" s="142" t="s">
        <v>309</v>
      </c>
      <c r="V1606" s="142" t="s">
        <v>309</v>
      </c>
      <c r="W1606" s="141">
        <f t="shared" si="53"/>
        <v>1</v>
      </c>
      <c r="X1606" s="143"/>
      <c r="Y1606" s="145"/>
      <c r="AA1606"/>
    </row>
    <row r="1607" spans="1:27" s="115" customFormat="1" ht="40.5" customHeight="1">
      <c r="A1607" s="139">
        <v>1523</v>
      </c>
      <c r="B1607" s="140" t="s">
        <v>5924</v>
      </c>
      <c r="C1607" s="141" t="s">
        <v>4041</v>
      </c>
      <c r="D1607" s="142" t="s">
        <v>4042</v>
      </c>
      <c r="E1607" s="141" t="s">
        <v>2157</v>
      </c>
      <c r="F1607" s="142" t="s">
        <v>4052</v>
      </c>
      <c r="G1607" s="141" t="s">
        <v>2159</v>
      </c>
      <c r="H1607" s="142" t="s">
        <v>4063</v>
      </c>
      <c r="I1607" s="141" t="s">
        <v>2160</v>
      </c>
      <c r="J1607" s="142" t="s">
        <v>4064</v>
      </c>
      <c r="K1607" s="142" t="s">
        <v>1231</v>
      </c>
      <c r="L1607" s="143">
        <f t="shared" si="52"/>
        <v>1</v>
      </c>
      <c r="M1607" s="144" t="s">
        <v>4070</v>
      </c>
      <c r="N1607" s="141" t="s">
        <v>4041</v>
      </c>
      <c r="O1607" s="142" t="s">
        <v>4042</v>
      </c>
      <c r="P1607" s="141" t="s">
        <v>3933</v>
      </c>
      <c r="Q1607" s="142" t="s">
        <v>4052</v>
      </c>
      <c r="R1607" s="141" t="s">
        <v>4066</v>
      </c>
      <c r="S1607" s="142" t="s">
        <v>4063</v>
      </c>
      <c r="T1607" s="141" t="s">
        <v>4067</v>
      </c>
      <c r="U1607" s="142" t="s">
        <v>4064</v>
      </c>
      <c r="V1607" s="142" t="s">
        <v>1231</v>
      </c>
      <c r="W1607" s="141">
        <f t="shared" si="53"/>
        <v>1</v>
      </c>
      <c r="X1607" s="143"/>
      <c r="Y1607" s="145"/>
      <c r="AA1607"/>
    </row>
    <row r="1608" spans="1:27" s="115" customFormat="1" ht="40.5" customHeight="1">
      <c r="A1608" s="139">
        <v>1524</v>
      </c>
      <c r="B1608" s="140" t="s">
        <v>5926</v>
      </c>
      <c r="C1608" s="141" t="s">
        <v>4041</v>
      </c>
      <c r="D1608" s="142" t="s">
        <v>4042</v>
      </c>
      <c r="E1608" s="141" t="s">
        <v>2157</v>
      </c>
      <c r="F1608" s="142" t="s">
        <v>4052</v>
      </c>
      <c r="G1608" s="141" t="s">
        <v>2159</v>
      </c>
      <c r="H1608" s="142" t="s">
        <v>4054</v>
      </c>
      <c r="I1608" s="141" t="s">
        <v>2160</v>
      </c>
      <c r="J1608" s="142" t="s">
        <v>1232</v>
      </c>
      <c r="K1608" s="142" t="s">
        <v>1232</v>
      </c>
      <c r="L1608" s="143">
        <f t="shared" si="52"/>
        <v>1</v>
      </c>
      <c r="M1608" s="144" t="s">
        <v>4071</v>
      </c>
      <c r="N1608" s="141" t="s">
        <v>4041</v>
      </c>
      <c r="O1608" s="142" t="s">
        <v>4042</v>
      </c>
      <c r="P1608" s="141" t="s">
        <v>3933</v>
      </c>
      <c r="Q1608" s="142" t="s">
        <v>4052</v>
      </c>
      <c r="R1608" s="141" t="s">
        <v>4057</v>
      </c>
      <c r="S1608" s="142" t="s">
        <v>4054</v>
      </c>
      <c r="T1608" s="141" t="s">
        <v>4072</v>
      </c>
      <c r="U1608" s="142" t="s">
        <v>1232</v>
      </c>
      <c r="V1608" s="142" t="s">
        <v>1232</v>
      </c>
      <c r="W1608" s="141">
        <f t="shared" si="53"/>
        <v>1</v>
      </c>
      <c r="X1608" s="143"/>
      <c r="Y1608" s="145"/>
      <c r="AA1608"/>
    </row>
    <row r="1609" spans="1:27" s="115" customFormat="1" ht="40.5" customHeight="1">
      <c r="A1609" s="139">
        <v>1525</v>
      </c>
      <c r="B1609" s="140" t="s">
        <v>5927</v>
      </c>
      <c r="C1609" s="141" t="s">
        <v>4041</v>
      </c>
      <c r="D1609" s="142" t="s">
        <v>4042</v>
      </c>
      <c r="E1609" s="141" t="s">
        <v>2157</v>
      </c>
      <c r="F1609" s="142" t="s">
        <v>4052</v>
      </c>
      <c r="G1609" s="141" t="s">
        <v>2159</v>
      </c>
      <c r="H1609" s="142" t="s">
        <v>4063</v>
      </c>
      <c r="I1609" s="141" t="s">
        <v>2160</v>
      </c>
      <c r="J1609" s="142" t="s">
        <v>4064</v>
      </c>
      <c r="K1609" s="142" t="s">
        <v>1233</v>
      </c>
      <c r="L1609" s="143">
        <f t="shared" si="52"/>
        <v>1</v>
      </c>
      <c r="M1609" s="144" t="s">
        <v>4073</v>
      </c>
      <c r="N1609" s="141" t="s">
        <v>4041</v>
      </c>
      <c r="O1609" s="142" t="s">
        <v>4042</v>
      </c>
      <c r="P1609" s="141" t="s">
        <v>3933</v>
      </c>
      <c r="Q1609" s="142" t="s">
        <v>4052</v>
      </c>
      <c r="R1609" s="141" t="s">
        <v>4066</v>
      </c>
      <c r="S1609" s="142" t="s">
        <v>4063</v>
      </c>
      <c r="T1609" s="141" t="s">
        <v>4067</v>
      </c>
      <c r="U1609" s="142" t="s">
        <v>4064</v>
      </c>
      <c r="V1609" s="142" t="s">
        <v>1233</v>
      </c>
      <c r="W1609" s="141">
        <f t="shared" si="53"/>
        <v>1</v>
      </c>
      <c r="X1609" s="143"/>
      <c r="Y1609" s="145"/>
      <c r="AA1609"/>
    </row>
    <row r="1610" spans="1:27" s="115" customFormat="1" ht="40.5" customHeight="1">
      <c r="A1610" s="139">
        <v>1526</v>
      </c>
      <c r="B1610" s="140" t="s">
        <v>5928</v>
      </c>
      <c r="C1610" s="141" t="s">
        <v>4041</v>
      </c>
      <c r="D1610" s="142" t="s">
        <v>4042</v>
      </c>
      <c r="E1610" s="141" t="s">
        <v>2157</v>
      </c>
      <c r="F1610" s="142" t="s">
        <v>4052</v>
      </c>
      <c r="G1610" s="141" t="s">
        <v>2159</v>
      </c>
      <c r="H1610" s="142" t="s">
        <v>4063</v>
      </c>
      <c r="I1610" s="141" t="s">
        <v>2160</v>
      </c>
      <c r="J1610" s="142" t="s">
        <v>4064</v>
      </c>
      <c r="K1610" s="142" t="s">
        <v>1234</v>
      </c>
      <c r="L1610" s="143">
        <f t="shared" si="52"/>
        <v>1</v>
      </c>
      <c r="M1610" s="144" t="s">
        <v>4074</v>
      </c>
      <c r="N1610" s="146" t="s">
        <v>4041</v>
      </c>
      <c r="O1610" s="147" t="s">
        <v>4042</v>
      </c>
      <c r="P1610" s="146" t="s">
        <v>3933</v>
      </c>
      <c r="Q1610" s="147" t="s">
        <v>4052</v>
      </c>
      <c r="R1610" s="146" t="s">
        <v>4066</v>
      </c>
      <c r="S1610" s="147" t="s">
        <v>4063</v>
      </c>
      <c r="T1610" s="146" t="s">
        <v>4067</v>
      </c>
      <c r="U1610" s="147" t="s">
        <v>4064</v>
      </c>
      <c r="V1610" s="147" t="s">
        <v>1234</v>
      </c>
      <c r="W1610" s="141">
        <f t="shared" si="53"/>
        <v>1</v>
      </c>
      <c r="X1610" s="143"/>
      <c r="Y1610" s="145"/>
      <c r="AA1610"/>
    </row>
    <row r="1611" spans="1:27" s="115" customFormat="1" ht="40.5" customHeight="1">
      <c r="A1611" s="139">
        <v>1527</v>
      </c>
      <c r="B1611" s="140" t="s">
        <v>5929</v>
      </c>
      <c r="C1611" s="141" t="s">
        <v>4041</v>
      </c>
      <c r="D1611" s="142" t="s">
        <v>4042</v>
      </c>
      <c r="E1611" s="141" t="s">
        <v>2157</v>
      </c>
      <c r="F1611" s="142" t="s">
        <v>4052</v>
      </c>
      <c r="G1611" s="141" t="s">
        <v>2159</v>
      </c>
      <c r="H1611" s="142" t="s">
        <v>4075</v>
      </c>
      <c r="I1611" s="141" t="s">
        <v>4076</v>
      </c>
      <c r="J1611" s="142" t="s">
        <v>4077</v>
      </c>
      <c r="K1611" s="142" t="s">
        <v>310</v>
      </c>
      <c r="L1611" s="143">
        <f t="shared" si="52"/>
        <v>1</v>
      </c>
      <c r="M1611" s="144" t="s">
        <v>4078</v>
      </c>
      <c r="N1611" s="141" t="s">
        <v>4041</v>
      </c>
      <c r="O1611" s="142" t="s">
        <v>4042</v>
      </c>
      <c r="P1611" s="141" t="s">
        <v>3933</v>
      </c>
      <c r="Q1611" s="142" t="s">
        <v>4052</v>
      </c>
      <c r="R1611" s="141" t="s">
        <v>4079</v>
      </c>
      <c r="S1611" s="142" t="s">
        <v>4075</v>
      </c>
      <c r="T1611" s="141" t="s">
        <v>4080</v>
      </c>
      <c r="U1611" s="142" t="s">
        <v>4077</v>
      </c>
      <c r="V1611" s="142" t="s">
        <v>310</v>
      </c>
      <c r="W1611" s="141">
        <f t="shared" si="53"/>
        <v>1</v>
      </c>
      <c r="X1611" s="143"/>
      <c r="Y1611" s="145"/>
      <c r="AA1611"/>
    </row>
    <row r="1612" spans="1:27" s="115" customFormat="1" ht="40.5" customHeight="1">
      <c r="A1612" s="139">
        <v>1528</v>
      </c>
      <c r="B1612" s="140" t="s">
        <v>5930</v>
      </c>
      <c r="C1612" s="141" t="s">
        <v>4041</v>
      </c>
      <c r="D1612" s="142" t="s">
        <v>4042</v>
      </c>
      <c r="E1612" s="141" t="s">
        <v>2157</v>
      </c>
      <c r="F1612" s="142" t="s">
        <v>4052</v>
      </c>
      <c r="G1612" s="141" t="s">
        <v>2159</v>
      </c>
      <c r="H1612" s="142" t="s">
        <v>4075</v>
      </c>
      <c r="I1612" s="141" t="s">
        <v>4076</v>
      </c>
      <c r="J1612" s="142" t="s">
        <v>4077</v>
      </c>
      <c r="K1612" s="142" t="s">
        <v>1235</v>
      </c>
      <c r="L1612" s="143">
        <f t="shared" si="52"/>
        <v>1</v>
      </c>
      <c r="M1612" s="144" t="s">
        <v>4081</v>
      </c>
      <c r="N1612" s="141" t="s">
        <v>4041</v>
      </c>
      <c r="O1612" s="142" t="s">
        <v>4042</v>
      </c>
      <c r="P1612" s="141" t="s">
        <v>3933</v>
      </c>
      <c r="Q1612" s="142" t="s">
        <v>4052</v>
      </c>
      <c r="R1612" s="141" t="s">
        <v>4079</v>
      </c>
      <c r="S1612" s="142" t="s">
        <v>4075</v>
      </c>
      <c r="T1612" s="141" t="s">
        <v>4080</v>
      </c>
      <c r="U1612" s="142" t="s">
        <v>4077</v>
      </c>
      <c r="V1612" s="142" t="s">
        <v>1235</v>
      </c>
      <c r="W1612" s="141">
        <f t="shared" si="53"/>
        <v>1</v>
      </c>
      <c r="X1612" s="143"/>
      <c r="Y1612" s="145"/>
      <c r="AA1612"/>
    </row>
    <row r="1613" spans="1:27" s="115" customFormat="1" ht="40.5" customHeight="1">
      <c r="A1613" s="139">
        <v>1529</v>
      </c>
      <c r="B1613" s="140" t="s">
        <v>5931</v>
      </c>
      <c r="C1613" s="141" t="s">
        <v>4041</v>
      </c>
      <c r="D1613" s="142" t="s">
        <v>4042</v>
      </c>
      <c r="E1613" s="141" t="s">
        <v>2157</v>
      </c>
      <c r="F1613" s="142" t="s">
        <v>4052</v>
      </c>
      <c r="G1613" s="141" t="s">
        <v>2159</v>
      </c>
      <c r="H1613" s="142" t="s">
        <v>4075</v>
      </c>
      <c r="I1613" s="141" t="s">
        <v>4076</v>
      </c>
      <c r="J1613" s="142" t="s">
        <v>4077</v>
      </c>
      <c r="K1613" s="142" t="s">
        <v>311</v>
      </c>
      <c r="L1613" s="143">
        <f t="shared" si="52"/>
        <v>1</v>
      </c>
      <c r="M1613" s="144" t="s">
        <v>4082</v>
      </c>
      <c r="N1613" s="141" t="s">
        <v>4041</v>
      </c>
      <c r="O1613" s="142" t="s">
        <v>4042</v>
      </c>
      <c r="P1613" s="141" t="s">
        <v>3933</v>
      </c>
      <c r="Q1613" s="142" t="s">
        <v>4052</v>
      </c>
      <c r="R1613" s="141" t="s">
        <v>4079</v>
      </c>
      <c r="S1613" s="142" t="s">
        <v>4075</v>
      </c>
      <c r="T1613" s="141" t="s">
        <v>4080</v>
      </c>
      <c r="U1613" s="142" t="s">
        <v>4077</v>
      </c>
      <c r="V1613" s="142" t="s">
        <v>311</v>
      </c>
      <c r="W1613" s="141">
        <f t="shared" si="53"/>
        <v>1</v>
      </c>
      <c r="X1613" s="143"/>
      <c r="Y1613" s="145"/>
      <c r="AA1613"/>
    </row>
    <row r="1614" spans="1:27" s="115" customFormat="1" ht="40.5" customHeight="1">
      <c r="A1614" s="139">
        <v>1530</v>
      </c>
      <c r="B1614" s="140" t="s">
        <v>5932</v>
      </c>
      <c r="C1614" s="141" t="s">
        <v>4041</v>
      </c>
      <c r="D1614" s="142" t="s">
        <v>4042</v>
      </c>
      <c r="E1614" s="141" t="s">
        <v>2157</v>
      </c>
      <c r="F1614" s="142" t="s">
        <v>4052</v>
      </c>
      <c r="G1614" s="141" t="s">
        <v>2159</v>
      </c>
      <c r="H1614" s="142" t="s">
        <v>4075</v>
      </c>
      <c r="I1614" s="141" t="s">
        <v>4076</v>
      </c>
      <c r="J1614" s="142" t="s">
        <v>1236</v>
      </c>
      <c r="K1614" s="142" t="s">
        <v>1236</v>
      </c>
      <c r="L1614" s="143">
        <f t="shared" si="52"/>
        <v>1</v>
      </c>
      <c r="M1614" s="144" t="s">
        <v>4083</v>
      </c>
      <c r="N1614" s="141" t="s">
        <v>4041</v>
      </c>
      <c r="O1614" s="142" t="s">
        <v>4042</v>
      </c>
      <c r="P1614" s="141" t="s">
        <v>3933</v>
      </c>
      <c r="Q1614" s="142" t="s">
        <v>4052</v>
      </c>
      <c r="R1614" s="141" t="s">
        <v>4079</v>
      </c>
      <c r="S1614" s="142" t="s">
        <v>4075</v>
      </c>
      <c r="T1614" s="141" t="s">
        <v>4084</v>
      </c>
      <c r="U1614" s="142" t="s">
        <v>1236</v>
      </c>
      <c r="V1614" s="142" t="s">
        <v>1236</v>
      </c>
      <c r="W1614" s="141">
        <f t="shared" si="53"/>
        <v>1</v>
      </c>
      <c r="X1614" s="143"/>
      <c r="Y1614" s="145"/>
      <c r="AA1614"/>
    </row>
    <row r="1615" spans="1:27" s="115" customFormat="1" ht="40.5" customHeight="1">
      <c r="A1615" s="139">
        <v>1531</v>
      </c>
      <c r="B1615" s="140" t="s">
        <v>5976</v>
      </c>
      <c r="C1615" s="141" t="s">
        <v>4041</v>
      </c>
      <c r="D1615" s="142" t="s">
        <v>4042</v>
      </c>
      <c r="E1615" s="141" t="s">
        <v>3563</v>
      </c>
      <c r="F1615" s="142" t="s">
        <v>4043</v>
      </c>
      <c r="G1615" s="141" t="s">
        <v>3564</v>
      </c>
      <c r="H1615" s="142" t="s">
        <v>4044</v>
      </c>
      <c r="I1615" s="141" t="s">
        <v>4085</v>
      </c>
      <c r="J1615" s="142" t="s">
        <v>4086</v>
      </c>
      <c r="K1615" s="142" t="s">
        <v>1237</v>
      </c>
      <c r="L1615" s="143">
        <f t="shared" si="52"/>
        <v>1</v>
      </c>
      <c r="M1615" s="144" t="s">
        <v>4087</v>
      </c>
      <c r="N1615" s="141" t="s">
        <v>4041</v>
      </c>
      <c r="O1615" s="142" t="s">
        <v>4042</v>
      </c>
      <c r="P1615" s="141" t="s">
        <v>4048</v>
      </c>
      <c r="Q1615" s="142" t="s">
        <v>4043</v>
      </c>
      <c r="R1615" s="141" t="s">
        <v>4049</v>
      </c>
      <c r="S1615" s="142" t="s">
        <v>4044</v>
      </c>
      <c r="T1615" s="141" t="s">
        <v>4088</v>
      </c>
      <c r="U1615" s="142" t="s">
        <v>4086</v>
      </c>
      <c r="V1615" s="142" t="s">
        <v>1237</v>
      </c>
      <c r="W1615" s="141">
        <f t="shared" si="53"/>
        <v>1</v>
      </c>
      <c r="X1615" s="143"/>
      <c r="Y1615" s="145"/>
      <c r="AA1615"/>
    </row>
    <row r="1616" spans="1:27" s="115" customFormat="1" ht="40.5" customHeight="1">
      <c r="A1616" s="139">
        <v>1532</v>
      </c>
      <c r="B1616" s="140" t="s">
        <v>5977</v>
      </c>
      <c r="C1616" s="141" t="s">
        <v>4041</v>
      </c>
      <c r="D1616" s="142" t="s">
        <v>4042</v>
      </c>
      <c r="E1616" s="141" t="s">
        <v>3563</v>
      </c>
      <c r="F1616" s="142" t="s">
        <v>4043</v>
      </c>
      <c r="G1616" s="141" t="s">
        <v>3564</v>
      </c>
      <c r="H1616" s="142" t="s">
        <v>4044</v>
      </c>
      <c r="I1616" s="141" t="s">
        <v>4085</v>
      </c>
      <c r="J1616" s="142" t="s">
        <v>4086</v>
      </c>
      <c r="K1616" s="142" t="s">
        <v>1238</v>
      </c>
      <c r="L1616" s="143">
        <f t="shared" si="52"/>
        <v>1</v>
      </c>
      <c r="M1616" s="144" t="s">
        <v>4089</v>
      </c>
      <c r="N1616" s="141" t="s">
        <v>4041</v>
      </c>
      <c r="O1616" s="142" t="s">
        <v>4042</v>
      </c>
      <c r="P1616" s="141" t="s">
        <v>4048</v>
      </c>
      <c r="Q1616" s="142" t="s">
        <v>4043</v>
      </c>
      <c r="R1616" s="141" t="s">
        <v>4049</v>
      </c>
      <c r="S1616" s="142" t="s">
        <v>4044</v>
      </c>
      <c r="T1616" s="141" t="s">
        <v>4088</v>
      </c>
      <c r="U1616" s="142" t="s">
        <v>4086</v>
      </c>
      <c r="V1616" s="142" t="s">
        <v>1238</v>
      </c>
      <c r="W1616" s="141">
        <f t="shared" si="53"/>
        <v>1</v>
      </c>
      <c r="X1616" s="143"/>
      <c r="Y1616" s="145"/>
      <c r="AA1616"/>
    </row>
    <row r="1617" spans="1:27" s="115" customFormat="1" ht="40.5" customHeight="1">
      <c r="A1617" s="139">
        <v>1533</v>
      </c>
      <c r="B1617" s="140" t="s">
        <v>5978</v>
      </c>
      <c r="C1617" s="141" t="s">
        <v>4041</v>
      </c>
      <c r="D1617" s="142" t="s">
        <v>4042</v>
      </c>
      <c r="E1617" s="141" t="s">
        <v>3563</v>
      </c>
      <c r="F1617" s="142" t="s">
        <v>4043</v>
      </c>
      <c r="G1617" s="141" t="s">
        <v>3564</v>
      </c>
      <c r="H1617" s="142" t="s">
        <v>4044</v>
      </c>
      <c r="I1617" s="141" t="s">
        <v>4085</v>
      </c>
      <c r="J1617" s="142" t="s">
        <v>4086</v>
      </c>
      <c r="K1617" s="142" t="s">
        <v>1239</v>
      </c>
      <c r="L1617" s="143">
        <f t="shared" si="52"/>
        <v>1</v>
      </c>
      <c r="M1617" s="144" t="s">
        <v>4090</v>
      </c>
      <c r="N1617" s="141" t="s">
        <v>4041</v>
      </c>
      <c r="O1617" s="142" t="s">
        <v>4042</v>
      </c>
      <c r="P1617" s="141" t="s">
        <v>4048</v>
      </c>
      <c r="Q1617" s="142" t="s">
        <v>4043</v>
      </c>
      <c r="R1617" s="141" t="s">
        <v>4049</v>
      </c>
      <c r="S1617" s="142" t="s">
        <v>4044</v>
      </c>
      <c r="T1617" s="141" t="s">
        <v>4088</v>
      </c>
      <c r="U1617" s="142" t="s">
        <v>4086</v>
      </c>
      <c r="V1617" s="142" t="s">
        <v>1239</v>
      </c>
      <c r="W1617" s="141">
        <f t="shared" si="53"/>
        <v>1</v>
      </c>
      <c r="X1617" s="143"/>
      <c r="Y1617" s="145"/>
      <c r="AA1617"/>
    </row>
    <row r="1618" spans="1:27" s="115" customFormat="1" ht="40.5" customHeight="1">
      <c r="A1618" s="139">
        <v>1534</v>
      </c>
      <c r="B1618" s="140" t="s">
        <v>5979</v>
      </c>
      <c r="C1618" s="141" t="s">
        <v>4041</v>
      </c>
      <c r="D1618" s="142" t="s">
        <v>4042</v>
      </c>
      <c r="E1618" s="141" t="s">
        <v>3563</v>
      </c>
      <c r="F1618" s="142" t="s">
        <v>4043</v>
      </c>
      <c r="G1618" s="141" t="s">
        <v>3564</v>
      </c>
      <c r="H1618" s="142" t="s">
        <v>4091</v>
      </c>
      <c r="I1618" s="141" t="s">
        <v>4092</v>
      </c>
      <c r="J1618" s="142" t="s">
        <v>4093</v>
      </c>
      <c r="K1618" s="142" t="s">
        <v>312</v>
      </c>
      <c r="L1618" s="143">
        <f t="shared" si="52"/>
        <v>1</v>
      </c>
      <c r="M1618" s="144" t="s">
        <v>4094</v>
      </c>
      <c r="N1618" s="141" t="s">
        <v>4041</v>
      </c>
      <c r="O1618" s="142" t="s">
        <v>4042</v>
      </c>
      <c r="P1618" s="141" t="s">
        <v>4048</v>
      </c>
      <c r="Q1618" s="142" t="s">
        <v>4043</v>
      </c>
      <c r="R1618" s="141" t="s">
        <v>4095</v>
      </c>
      <c r="S1618" s="142" t="s">
        <v>4091</v>
      </c>
      <c r="T1618" s="141" t="s">
        <v>4096</v>
      </c>
      <c r="U1618" s="142" t="s">
        <v>4093</v>
      </c>
      <c r="V1618" s="142" t="s">
        <v>312</v>
      </c>
      <c r="W1618" s="141">
        <f t="shared" si="53"/>
        <v>1</v>
      </c>
      <c r="X1618" s="143"/>
      <c r="Y1618" s="145"/>
      <c r="AA1618"/>
    </row>
    <row r="1619" spans="1:27" s="115" customFormat="1" ht="40.5" customHeight="1">
      <c r="A1619" s="139">
        <v>1535</v>
      </c>
      <c r="B1619" s="140" t="s">
        <v>5980</v>
      </c>
      <c r="C1619" s="141" t="s">
        <v>4041</v>
      </c>
      <c r="D1619" s="142" t="s">
        <v>4042</v>
      </c>
      <c r="E1619" s="141" t="s">
        <v>3563</v>
      </c>
      <c r="F1619" s="142" t="s">
        <v>4043</v>
      </c>
      <c r="G1619" s="141" t="s">
        <v>3564</v>
      </c>
      <c r="H1619" s="142" t="s">
        <v>4091</v>
      </c>
      <c r="I1619" s="141" t="s">
        <v>4092</v>
      </c>
      <c r="J1619" s="142" t="s">
        <v>4093</v>
      </c>
      <c r="K1619" s="142" t="s">
        <v>1240</v>
      </c>
      <c r="L1619" s="143">
        <f t="shared" si="52"/>
        <v>1</v>
      </c>
      <c r="M1619" s="144" t="s">
        <v>4097</v>
      </c>
      <c r="N1619" s="141" t="s">
        <v>4041</v>
      </c>
      <c r="O1619" s="142" t="s">
        <v>4042</v>
      </c>
      <c r="P1619" s="141" t="s">
        <v>4048</v>
      </c>
      <c r="Q1619" s="142" t="s">
        <v>4043</v>
      </c>
      <c r="R1619" s="141" t="s">
        <v>4095</v>
      </c>
      <c r="S1619" s="142" t="s">
        <v>4091</v>
      </c>
      <c r="T1619" s="141" t="s">
        <v>4096</v>
      </c>
      <c r="U1619" s="142" t="s">
        <v>4093</v>
      </c>
      <c r="V1619" s="142" t="s">
        <v>1240</v>
      </c>
      <c r="W1619" s="141">
        <f t="shared" si="53"/>
        <v>1</v>
      </c>
      <c r="X1619" s="143"/>
      <c r="Y1619" s="145"/>
      <c r="AA1619"/>
    </row>
    <row r="1620" spans="1:27" s="115" customFormat="1" ht="40.5" customHeight="1">
      <c r="A1620" s="139">
        <v>1536</v>
      </c>
      <c r="B1620" s="140" t="s">
        <v>5981</v>
      </c>
      <c r="C1620" s="141" t="s">
        <v>4041</v>
      </c>
      <c r="D1620" s="142" t="s">
        <v>4042</v>
      </c>
      <c r="E1620" s="141" t="s">
        <v>3563</v>
      </c>
      <c r="F1620" s="142" t="s">
        <v>4043</v>
      </c>
      <c r="G1620" s="141" t="s">
        <v>3564</v>
      </c>
      <c r="H1620" s="142" t="s">
        <v>4091</v>
      </c>
      <c r="I1620" s="141" t="s">
        <v>4092</v>
      </c>
      <c r="J1620" s="142" t="s">
        <v>4093</v>
      </c>
      <c r="K1620" s="142" t="s">
        <v>1241</v>
      </c>
      <c r="L1620" s="143">
        <f t="shared" si="52"/>
        <v>1</v>
      </c>
      <c r="M1620" s="144" t="s">
        <v>4098</v>
      </c>
      <c r="N1620" s="141" t="s">
        <v>4041</v>
      </c>
      <c r="O1620" s="142" t="s">
        <v>4042</v>
      </c>
      <c r="P1620" s="141" t="s">
        <v>4048</v>
      </c>
      <c r="Q1620" s="142" t="s">
        <v>4043</v>
      </c>
      <c r="R1620" s="141" t="s">
        <v>4095</v>
      </c>
      <c r="S1620" s="142" t="s">
        <v>4091</v>
      </c>
      <c r="T1620" s="141" t="s">
        <v>4096</v>
      </c>
      <c r="U1620" s="142" t="s">
        <v>4093</v>
      </c>
      <c r="V1620" s="142" t="s">
        <v>1241</v>
      </c>
      <c r="W1620" s="141">
        <f t="shared" si="53"/>
        <v>1</v>
      </c>
      <c r="X1620" s="143"/>
      <c r="Y1620" s="145"/>
      <c r="AA1620"/>
    </row>
    <row r="1621" spans="1:27" s="115" customFormat="1" ht="40.5" customHeight="1">
      <c r="A1621" s="139">
        <v>1537</v>
      </c>
      <c r="B1621" s="140" t="s">
        <v>5982</v>
      </c>
      <c r="C1621" s="141" t="s">
        <v>4041</v>
      </c>
      <c r="D1621" s="142" t="s">
        <v>4042</v>
      </c>
      <c r="E1621" s="141" t="s">
        <v>3563</v>
      </c>
      <c r="F1621" s="142" t="s">
        <v>4043</v>
      </c>
      <c r="G1621" s="141" t="s">
        <v>3564</v>
      </c>
      <c r="H1621" s="142" t="s">
        <v>4091</v>
      </c>
      <c r="I1621" s="141" t="s">
        <v>4092</v>
      </c>
      <c r="J1621" s="142" t="s">
        <v>4093</v>
      </c>
      <c r="K1621" s="142" t="s">
        <v>1242</v>
      </c>
      <c r="L1621" s="143">
        <f t="shared" si="52"/>
        <v>1</v>
      </c>
      <c r="M1621" s="144" t="s">
        <v>4099</v>
      </c>
      <c r="N1621" s="141" t="s">
        <v>4041</v>
      </c>
      <c r="O1621" s="142" t="s">
        <v>4042</v>
      </c>
      <c r="P1621" s="141" t="s">
        <v>4048</v>
      </c>
      <c r="Q1621" s="142" t="s">
        <v>4043</v>
      </c>
      <c r="R1621" s="141" t="s">
        <v>4095</v>
      </c>
      <c r="S1621" s="142" t="s">
        <v>4091</v>
      </c>
      <c r="T1621" s="141" t="s">
        <v>4096</v>
      </c>
      <c r="U1621" s="142" t="s">
        <v>4093</v>
      </c>
      <c r="V1621" s="142" t="s">
        <v>1242</v>
      </c>
      <c r="W1621" s="141">
        <f t="shared" si="53"/>
        <v>1</v>
      </c>
      <c r="X1621" s="143"/>
      <c r="Y1621" s="145"/>
      <c r="AA1621"/>
    </row>
    <row r="1622" spans="1:27" s="115" customFormat="1" ht="40.5" customHeight="1">
      <c r="A1622" s="139">
        <v>1538</v>
      </c>
      <c r="B1622" s="140" t="s">
        <v>5983</v>
      </c>
      <c r="C1622" s="141" t="s">
        <v>4041</v>
      </c>
      <c r="D1622" s="142" t="s">
        <v>4042</v>
      </c>
      <c r="E1622" s="141" t="s">
        <v>3563</v>
      </c>
      <c r="F1622" s="142" t="s">
        <v>4043</v>
      </c>
      <c r="G1622" s="141" t="s">
        <v>3564</v>
      </c>
      <c r="H1622" s="142" t="s">
        <v>4091</v>
      </c>
      <c r="I1622" s="141" t="s">
        <v>4092</v>
      </c>
      <c r="J1622" s="142" t="s">
        <v>4100</v>
      </c>
      <c r="K1622" s="142" t="s">
        <v>1243</v>
      </c>
      <c r="L1622" s="143">
        <f t="shared" si="52"/>
        <v>1</v>
      </c>
      <c r="M1622" s="144" t="s">
        <v>4101</v>
      </c>
      <c r="N1622" s="141" t="s">
        <v>4041</v>
      </c>
      <c r="O1622" s="142" t="s">
        <v>4042</v>
      </c>
      <c r="P1622" s="141" t="s">
        <v>4048</v>
      </c>
      <c r="Q1622" s="142" t="s">
        <v>4043</v>
      </c>
      <c r="R1622" s="141" t="s">
        <v>4095</v>
      </c>
      <c r="S1622" s="142" t="s">
        <v>4091</v>
      </c>
      <c r="T1622" s="141" t="s">
        <v>4102</v>
      </c>
      <c r="U1622" s="142" t="s">
        <v>4100</v>
      </c>
      <c r="V1622" s="142" t="s">
        <v>1243</v>
      </c>
      <c r="W1622" s="141">
        <f t="shared" si="53"/>
        <v>1</v>
      </c>
      <c r="X1622" s="143"/>
      <c r="Y1622" s="145"/>
      <c r="AA1622"/>
    </row>
    <row r="1623" spans="1:27" s="115" customFormat="1" ht="40.5" customHeight="1">
      <c r="A1623" s="139">
        <v>1539</v>
      </c>
      <c r="B1623" s="140" t="s">
        <v>5984</v>
      </c>
      <c r="C1623" s="141" t="s">
        <v>4041</v>
      </c>
      <c r="D1623" s="142" t="s">
        <v>4042</v>
      </c>
      <c r="E1623" s="141" t="s">
        <v>3563</v>
      </c>
      <c r="F1623" s="142" t="s">
        <v>4043</v>
      </c>
      <c r="G1623" s="141" t="s">
        <v>3564</v>
      </c>
      <c r="H1623" s="142" t="s">
        <v>4091</v>
      </c>
      <c r="I1623" s="141" t="s">
        <v>4092</v>
      </c>
      <c r="J1623" s="142" t="s">
        <v>4100</v>
      </c>
      <c r="K1623" s="142" t="s">
        <v>1244</v>
      </c>
      <c r="L1623" s="143">
        <f t="shared" si="52"/>
        <v>1</v>
      </c>
      <c r="M1623" s="144" t="s">
        <v>4103</v>
      </c>
      <c r="N1623" s="141" t="s">
        <v>4041</v>
      </c>
      <c r="O1623" s="142" t="s">
        <v>4042</v>
      </c>
      <c r="P1623" s="141" t="s">
        <v>4048</v>
      </c>
      <c r="Q1623" s="142" t="s">
        <v>4043</v>
      </c>
      <c r="R1623" s="141" t="s">
        <v>4095</v>
      </c>
      <c r="S1623" s="142" t="s">
        <v>4091</v>
      </c>
      <c r="T1623" s="141" t="s">
        <v>4102</v>
      </c>
      <c r="U1623" s="142" t="s">
        <v>4100</v>
      </c>
      <c r="V1623" s="142" t="s">
        <v>1244</v>
      </c>
      <c r="W1623" s="141">
        <f t="shared" si="53"/>
        <v>1</v>
      </c>
      <c r="X1623" s="143"/>
      <c r="Y1623" s="145"/>
      <c r="AA1623"/>
    </row>
    <row r="1624" spans="1:27" s="115" customFormat="1" ht="40.5" customHeight="1">
      <c r="A1624" s="139">
        <v>1540</v>
      </c>
      <c r="B1624" s="140" t="s">
        <v>5985</v>
      </c>
      <c r="C1624" s="141" t="s">
        <v>4041</v>
      </c>
      <c r="D1624" s="142" t="s">
        <v>4042</v>
      </c>
      <c r="E1624" s="141" t="s">
        <v>3563</v>
      </c>
      <c r="F1624" s="142" t="s">
        <v>4043</v>
      </c>
      <c r="G1624" s="141" t="s">
        <v>3564</v>
      </c>
      <c r="H1624" s="142" t="s">
        <v>4044</v>
      </c>
      <c r="I1624" s="141" t="s">
        <v>4104</v>
      </c>
      <c r="J1624" s="142" t="s">
        <v>4046</v>
      </c>
      <c r="K1624" s="142" t="s">
        <v>313</v>
      </c>
      <c r="L1624" s="143">
        <f t="shared" si="52"/>
        <v>1</v>
      </c>
      <c r="M1624" s="144" t="s">
        <v>4105</v>
      </c>
      <c r="N1624" s="141" t="s">
        <v>4041</v>
      </c>
      <c r="O1624" s="142" t="s">
        <v>4042</v>
      </c>
      <c r="P1624" s="141" t="s">
        <v>4048</v>
      </c>
      <c r="Q1624" s="142" t="s">
        <v>4043</v>
      </c>
      <c r="R1624" s="141" t="s">
        <v>4049</v>
      </c>
      <c r="S1624" s="142" t="s">
        <v>4044</v>
      </c>
      <c r="T1624" s="141" t="s">
        <v>4050</v>
      </c>
      <c r="U1624" s="142" t="s">
        <v>4046</v>
      </c>
      <c r="V1624" s="142" t="s">
        <v>313</v>
      </c>
      <c r="W1624" s="141">
        <f t="shared" si="53"/>
        <v>1</v>
      </c>
      <c r="X1624" s="143"/>
      <c r="Y1624" s="145"/>
      <c r="AA1624"/>
    </row>
    <row r="1625" spans="1:27" s="115" customFormat="1" ht="40.5" customHeight="1">
      <c r="A1625" s="139">
        <v>1541</v>
      </c>
      <c r="B1625" s="140" t="s">
        <v>5986</v>
      </c>
      <c r="C1625" s="141" t="s">
        <v>4041</v>
      </c>
      <c r="D1625" s="142" t="s">
        <v>4042</v>
      </c>
      <c r="E1625" s="141" t="s">
        <v>3563</v>
      </c>
      <c r="F1625" s="142" t="s">
        <v>4043</v>
      </c>
      <c r="G1625" s="141" t="s">
        <v>3564</v>
      </c>
      <c r="H1625" s="142" t="s">
        <v>4044</v>
      </c>
      <c r="I1625" s="141" t="s">
        <v>4104</v>
      </c>
      <c r="J1625" s="142" t="s">
        <v>4046</v>
      </c>
      <c r="K1625" s="142" t="s">
        <v>1227</v>
      </c>
      <c r="L1625" s="143">
        <f t="shared" si="52"/>
        <v>1</v>
      </c>
      <c r="M1625" s="144" t="s">
        <v>4047</v>
      </c>
      <c r="N1625" s="141" t="s">
        <v>4041</v>
      </c>
      <c r="O1625" s="142" t="s">
        <v>4042</v>
      </c>
      <c r="P1625" s="141" t="s">
        <v>4048</v>
      </c>
      <c r="Q1625" s="142" t="s">
        <v>4043</v>
      </c>
      <c r="R1625" s="141" t="s">
        <v>4049</v>
      </c>
      <c r="S1625" s="142" t="s">
        <v>4044</v>
      </c>
      <c r="T1625" s="141" t="s">
        <v>4050</v>
      </c>
      <c r="U1625" s="142" t="s">
        <v>4046</v>
      </c>
      <c r="V1625" s="142" t="s">
        <v>1227</v>
      </c>
      <c r="W1625" s="141">
        <f t="shared" si="53"/>
        <v>2</v>
      </c>
      <c r="X1625" s="143">
        <v>1</v>
      </c>
      <c r="Y1625" s="145"/>
      <c r="AA1625"/>
    </row>
    <row r="1626" spans="1:27" s="115" customFormat="1" ht="40.5" customHeight="1">
      <c r="A1626" s="139">
        <v>1542</v>
      </c>
      <c r="B1626" s="140" t="s">
        <v>5987</v>
      </c>
      <c r="C1626" s="141" t="s">
        <v>4041</v>
      </c>
      <c r="D1626" s="142" t="s">
        <v>4042</v>
      </c>
      <c r="E1626" s="141" t="s">
        <v>3563</v>
      </c>
      <c r="F1626" s="142" t="s">
        <v>4043</v>
      </c>
      <c r="G1626" s="141" t="s">
        <v>3564</v>
      </c>
      <c r="H1626" s="142" t="s">
        <v>4044</v>
      </c>
      <c r="I1626" s="141" t="s">
        <v>3565</v>
      </c>
      <c r="J1626" s="142" t="s">
        <v>4059</v>
      </c>
      <c r="K1626" s="142" t="s">
        <v>314</v>
      </c>
      <c r="L1626" s="143">
        <f t="shared" si="52"/>
        <v>1</v>
      </c>
      <c r="M1626" s="144" t="s">
        <v>4106</v>
      </c>
      <c r="N1626" s="141" t="s">
        <v>4041</v>
      </c>
      <c r="O1626" s="142" t="s">
        <v>4042</v>
      </c>
      <c r="P1626" s="141" t="s">
        <v>4048</v>
      </c>
      <c r="Q1626" s="142" t="s">
        <v>4043</v>
      </c>
      <c r="R1626" s="141" t="s">
        <v>4049</v>
      </c>
      <c r="S1626" s="142" t="s">
        <v>4044</v>
      </c>
      <c r="T1626" s="141" t="s">
        <v>4061</v>
      </c>
      <c r="U1626" s="142" t="s">
        <v>4059</v>
      </c>
      <c r="V1626" s="142" t="s">
        <v>314</v>
      </c>
      <c r="W1626" s="141">
        <f t="shared" si="53"/>
        <v>1</v>
      </c>
      <c r="X1626" s="143"/>
      <c r="Y1626" s="145"/>
      <c r="AA1626"/>
    </row>
    <row r="1627" spans="1:27" s="115" customFormat="1" ht="40.5" customHeight="1">
      <c r="A1627" s="139">
        <v>1543</v>
      </c>
      <c r="B1627" s="140" t="s">
        <v>5988</v>
      </c>
      <c r="C1627" s="141" t="s">
        <v>4041</v>
      </c>
      <c r="D1627" s="142" t="s">
        <v>4042</v>
      </c>
      <c r="E1627" s="141" t="s">
        <v>3563</v>
      </c>
      <c r="F1627" s="142" t="s">
        <v>4043</v>
      </c>
      <c r="G1627" s="141" t="s">
        <v>3564</v>
      </c>
      <c r="H1627" s="142" t="s">
        <v>4091</v>
      </c>
      <c r="I1627" s="141" t="s">
        <v>3565</v>
      </c>
      <c r="J1627" s="142" t="s">
        <v>4100</v>
      </c>
      <c r="K1627" s="142" t="s">
        <v>47</v>
      </c>
      <c r="L1627" s="143">
        <f t="shared" si="52"/>
        <v>1</v>
      </c>
      <c r="M1627" s="144" t="s">
        <v>4107</v>
      </c>
      <c r="N1627" s="141" t="s">
        <v>4041</v>
      </c>
      <c r="O1627" s="142" t="s">
        <v>4042</v>
      </c>
      <c r="P1627" s="141" t="s">
        <v>4048</v>
      </c>
      <c r="Q1627" s="142" t="s">
        <v>4043</v>
      </c>
      <c r="R1627" s="141" t="s">
        <v>4095</v>
      </c>
      <c r="S1627" s="142" t="s">
        <v>4091</v>
      </c>
      <c r="T1627" s="141" t="s">
        <v>4102</v>
      </c>
      <c r="U1627" s="142" t="s">
        <v>4100</v>
      </c>
      <c r="V1627" s="142" t="s">
        <v>47</v>
      </c>
      <c r="W1627" s="141">
        <f t="shared" si="53"/>
        <v>1</v>
      </c>
      <c r="X1627" s="143"/>
      <c r="Y1627" s="145"/>
      <c r="AA1627"/>
    </row>
    <row r="1628" spans="1:27" s="115" customFormat="1" ht="40.5" customHeight="1">
      <c r="A1628" s="139">
        <v>1544</v>
      </c>
      <c r="B1628" s="140" t="s">
        <v>5991</v>
      </c>
      <c r="C1628" s="141" t="s">
        <v>4041</v>
      </c>
      <c r="D1628" s="142" t="s">
        <v>4042</v>
      </c>
      <c r="E1628" s="141" t="s">
        <v>3563</v>
      </c>
      <c r="F1628" s="142" t="s">
        <v>4043</v>
      </c>
      <c r="G1628" s="141" t="s">
        <v>3564</v>
      </c>
      <c r="H1628" s="142" t="s">
        <v>4044</v>
      </c>
      <c r="I1628" s="141" t="s">
        <v>3565</v>
      </c>
      <c r="J1628" s="142" t="s">
        <v>4059</v>
      </c>
      <c r="K1628" s="142" t="s">
        <v>1229</v>
      </c>
      <c r="L1628" s="143">
        <f t="shared" si="52"/>
        <v>1</v>
      </c>
      <c r="M1628" s="144" t="s">
        <v>4060</v>
      </c>
      <c r="N1628" s="141" t="s">
        <v>4041</v>
      </c>
      <c r="O1628" s="142" t="s">
        <v>4042</v>
      </c>
      <c r="P1628" s="141" t="s">
        <v>4048</v>
      </c>
      <c r="Q1628" s="142" t="s">
        <v>4043</v>
      </c>
      <c r="R1628" s="141" t="s">
        <v>4049</v>
      </c>
      <c r="S1628" s="142" t="s">
        <v>4044</v>
      </c>
      <c r="T1628" s="141" t="s">
        <v>4061</v>
      </c>
      <c r="U1628" s="142" t="s">
        <v>4059</v>
      </c>
      <c r="V1628" s="142" t="s">
        <v>1229</v>
      </c>
      <c r="W1628" s="141">
        <f t="shared" si="53"/>
        <v>5</v>
      </c>
      <c r="X1628" s="143"/>
      <c r="Y1628" s="145" t="s">
        <v>4108</v>
      </c>
      <c r="AA1628"/>
    </row>
    <row r="1629" spans="1:27" s="115" customFormat="1" ht="40.5" customHeight="1">
      <c r="A1629" s="139">
        <v>1545</v>
      </c>
      <c r="B1629" s="140" t="s">
        <v>5992</v>
      </c>
      <c r="C1629" s="141" t="s">
        <v>4041</v>
      </c>
      <c r="D1629" s="142" t="s">
        <v>4042</v>
      </c>
      <c r="E1629" s="141" t="s">
        <v>3563</v>
      </c>
      <c r="F1629" s="142" t="s">
        <v>4043</v>
      </c>
      <c r="G1629" s="141" t="s">
        <v>3564</v>
      </c>
      <c r="H1629" s="142" t="s">
        <v>4044</v>
      </c>
      <c r="I1629" s="141" t="s">
        <v>3565</v>
      </c>
      <c r="J1629" s="142" t="s">
        <v>4059</v>
      </c>
      <c r="K1629" s="142" t="s">
        <v>315</v>
      </c>
      <c r="L1629" s="143">
        <f t="shared" si="52"/>
        <v>1</v>
      </c>
      <c r="M1629" s="144" t="s">
        <v>4109</v>
      </c>
      <c r="N1629" s="141" t="s">
        <v>4041</v>
      </c>
      <c r="O1629" s="142" t="s">
        <v>4042</v>
      </c>
      <c r="P1629" s="141" t="s">
        <v>4048</v>
      </c>
      <c r="Q1629" s="142" t="s">
        <v>4043</v>
      </c>
      <c r="R1629" s="141" t="s">
        <v>4049</v>
      </c>
      <c r="S1629" s="142" t="s">
        <v>4044</v>
      </c>
      <c r="T1629" s="141" t="s">
        <v>4061</v>
      </c>
      <c r="U1629" s="142" t="s">
        <v>4059</v>
      </c>
      <c r="V1629" s="142" t="s">
        <v>315</v>
      </c>
      <c r="W1629" s="141">
        <f t="shared" si="53"/>
        <v>1</v>
      </c>
      <c r="X1629" s="143"/>
      <c r="Y1629" s="145"/>
      <c r="AA1629"/>
    </row>
    <row r="1630" spans="1:27" s="115" customFormat="1" ht="40.5" customHeight="1">
      <c r="A1630" s="139">
        <v>1546</v>
      </c>
      <c r="B1630" s="140" t="s">
        <v>5993</v>
      </c>
      <c r="C1630" s="141" t="s">
        <v>4041</v>
      </c>
      <c r="D1630" s="142" t="s">
        <v>4042</v>
      </c>
      <c r="E1630" s="141" t="s">
        <v>3563</v>
      </c>
      <c r="F1630" s="142" t="s">
        <v>4043</v>
      </c>
      <c r="G1630" s="141" t="s">
        <v>3564</v>
      </c>
      <c r="H1630" s="142" t="s">
        <v>4044</v>
      </c>
      <c r="I1630" s="141" t="s">
        <v>3565</v>
      </c>
      <c r="J1630" s="142" t="s">
        <v>4059</v>
      </c>
      <c r="K1630" s="142" t="s">
        <v>1229</v>
      </c>
      <c r="L1630" s="143">
        <f t="shared" si="52"/>
        <v>1</v>
      </c>
      <c r="M1630" s="144" t="s">
        <v>4060</v>
      </c>
      <c r="N1630" s="141" t="s">
        <v>4041</v>
      </c>
      <c r="O1630" s="142" t="s">
        <v>4042</v>
      </c>
      <c r="P1630" s="141" t="s">
        <v>4048</v>
      </c>
      <c r="Q1630" s="142" t="s">
        <v>4043</v>
      </c>
      <c r="R1630" s="141" t="s">
        <v>4049</v>
      </c>
      <c r="S1630" s="142" t="s">
        <v>4044</v>
      </c>
      <c r="T1630" s="141" t="s">
        <v>4061</v>
      </c>
      <c r="U1630" s="142" t="s">
        <v>4059</v>
      </c>
      <c r="V1630" s="142" t="s">
        <v>1229</v>
      </c>
      <c r="W1630" s="141">
        <f t="shared" si="53"/>
        <v>5</v>
      </c>
      <c r="X1630" s="143"/>
      <c r="Y1630" s="145" t="s">
        <v>4110</v>
      </c>
      <c r="AA1630"/>
    </row>
    <row r="1631" spans="1:27" s="115" customFormat="1" ht="40.5" customHeight="1">
      <c r="A1631" s="139">
        <v>1547</v>
      </c>
      <c r="B1631" s="140" t="s">
        <v>5994</v>
      </c>
      <c r="C1631" s="141" t="s">
        <v>4041</v>
      </c>
      <c r="D1631" s="142" t="s">
        <v>4042</v>
      </c>
      <c r="E1631" s="141" t="s">
        <v>3563</v>
      </c>
      <c r="F1631" s="142" t="s">
        <v>4043</v>
      </c>
      <c r="G1631" s="141" t="s">
        <v>3564</v>
      </c>
      <c r="H1631" s="142" t="s">
        <v>4044</v>
      </c>
      <c r="I1631" s="141" t="s">
        <v>3565</v>
      </c>
      <c r="J1631" s="142" t="s">
        <v>4059</v>
      </c>
      <c r="K1631" s="142" t="s">
        <v>1245</v>
      </c>
      <c r="L1631" s="143">
        <f t="shared" si="52"/>
        <v>1</v>
      </c>
      <c r="M1631" s="144" t="s">
        <v>4111</v>
      </c>
      <c r="N1631" s="141" t="s">
        <v>4041</v>
      </c>
      <c r="O1631" s="142" t="s">
        <v>4042</v>
      </c>
      <c r="P1631" s="141" t="s">
        <v>4048</v>
      </c>
      <c r="Q1631" s="142" t="s">
        <v>4043</v>
      </c>
      <c r="R1631" s="141" t="s">
        <v>4049</v>
      </c>
      <c r="S1631" s="142" t="s">
        <v>4044</v>
      </c>
      <c r="T1631" s="141" t="s">
        <v>4061</v>
      </c>
      <c r="U1631" s="142" t="s">
        <v>4059</v>
      </c>
      <c r="V1631" s="142" t="s">
        <v>1245</v>
      </c>
      <c r="W1631" s="141">
        <f t="shared" si="53"/>
        <v>1</v>
      </c>
      <c r="X1631" s="143"/>
      <c r="Y1631" s="145"/>
      <c r="AA1631"/>
    </row>
    <row r="1632" spans="1:27" s="115" customFormat="1" ht="40.5" customHeight="1">
      <c r="A1632" s="139">
        <v>1548</v>
      </c>
      <c r="B1632" s="140" t="s">
        <v>5995</v>
      </c>
      <c r="C1632" s="141" t="s">
        <v>4041</v>
      </c>
      <c r="D1632" s="142" t="s">
        <v>4042</v>
      </c>
      <c r="E1632" s="141" t="s">
        <v>3563</v>
      </c>
      <c r="F1632" s="142" t="s">
        <v>4043</v>
      </c>
      <c r="G1632" s="141" t="s">
        <v>3564</v>
      </c>
      <c r="H1632" s="142" t="s">
        <v>4044</v>
      </c>
      <c r="I1632" s="141" t="s">
        <v>3565</v>
      </c>
      <c r="J1632" s="142" t="s">
        <v>4059</v>
      </c>
      <c r="K1632" s="142" t="s">
        <v>1246</v>
      </c>
      <c r="L1632" s="143">
        <f t="shared" si="52"/>
        <v>1</v>
      </c>
      <c r="M1632" s="144" t="s">
        <v>4112</v>
      </c>
      <c r="N1632" s="141" t="s">
        <v>4041</v>
      </c>
      <c r="O1632" s="142" t="s">
        <v>4042</v>
      </c>
      <c r="P1632" s="141" t="s">
        <v>4048</v>
      </c>
      <c r="Q1632" s="142" t="s">
        <v>4043</v>
      </c>
      <c r="R1632" s="141" t="s">
        <v>4049</v>
      </c>
      <c r="S1632" s="142" t="s">
        <v>4044</v>
      </c>
      <c r="T1632" s="141" t="s">
        <v>4061</v>
      </c>
      <c r="U1632" s="142" t="s">
        <v>4059</v>
      </c>
      <c r="V1632" s="142" t="s">
        <v>1246</v>
      </c>
      <c r="W1632" s="141">
        <f t="shared" si="53"/>
        <v>1</v>
      </c>
      <c r="X1632" s="143"/>
      <c r="Y1632" s="145"/>
      <c r="AA1632"/>
    </row>
    <row r="1633" spans="1:27" s="115" customFormat="1" ht="40.5" customHeight="1">
      <c r="A1633" s="139">
        <v>1549</v>
      </c>
      <c r="B1633" s="140" t="s">
        <v>6000</v>
      </c>
      <c r="C1633" s="141" t="s">
        <v>4041</v>
      </c>
      <c r="D1633" s="142" t="s">
        <v>4042</v>
      </c>
      <c r="E1633" s="141" t="s">
        <v>3563</v>
      </c>
      <c r="F1633" s="142" t="s">
        <v>4043</v>
      </c>
      <c r="G1633" s="141" t="s">
        <v>3564</v>
      </c>
      <c r="H1633" s="142" t="s">
        <v>4044</v>
      </c>
      <c r="I1633" s="141" t="s">
        <v>3565</v>
      </c>
      <c r="J1633" s="142" t="s">
        <v>4059</v>
      </c>
      <c r="K1633" s="142" t="s">
        <v>1247</v>
      </c>
      <c r="L1633" s="143">
        <f t="shared" si="52"/>
        <v>1</v>
      </c>
      <c r="M1633" s="144" t="s">
        <v>4113</v>
      </c>
      <c r="N1633" s="141" t="s">
        <v>4041</v>
      </c>
      <c r="O1633" s="142" t="s">
        <v>4042</v>
      </c>
      <c r="P1633" s="141" t="s">
        <v>4048</v>
      </c>
      <c r="Q1633" s="142" t="s">
        <v>4043</v>
      </c>
      <c r="R1633" s="141" t="s">
        <v>4049</v>
      </c>
      <c r="S1633" s="142" t="s">
        <v>4044</v>
      </c>
      <c r="T1633" s="141" t="s">
        <v>4061</v>
      </c>
      <c r="U1633" s="142" t="s">
        <v>4059</v>
      </c>
      <c r="V1633" s="142" t="s">
        <v>1247</v>
      </c>
      <c r="W1633" s="141">
        <f t="shared" si="53"/>
        <v>1</v>
      </c>
      <c r="X1633" s="143"/>
      <c r="Y1633" s="145"/>
      <c r="AA1633"/>
    </row>
    <row r="1634" spans="1:27" s="115" customFormat="1" ht="40.5" customHeight="1">
      <c r="A1634" s="139">
        <v>1550</v>
      </c>
      <c r="B1634" s="140" t="s">
        <v>6002</v>
      </c>
      <c r="C1634" s="141" t="s">
        <v>4041</v>
      </c>
      <c r="D1634" s="142" t="s">
        <v>4042</v>
      </c>
      <c r="E1634" s="141" t="s">
        <v>3563</v>
      </c>
      <c r="F1634" s="142" t="s">
        <v>4043</v>
      </c>
      <c r="G1634" s="141" t="s">
        <v>3564</v>
      </c>
      <c r="H1634" s="142" t="s">
        <v>4044</v>
      </c>
      <c r="I1634" s="141" t="s">
        <v>3565</v>
      </c>
      <c r="J1634" s="142" t="s">
        <v>4059</v>
      </c>
      <c r="K1634" s="142" t="s">
        <v>1229</v>
      </c>
      <c r="L1634" s="143">
        <f t="shared" si="52"/>
        <v>1</v>
      </c>
      <c r="M1634" s="144" t="s">
        <v>4060</v>
      </c>
      <c r="N1634" s="141" t="s">
        <v>4041</v>
      </c>
      <c r="O1634" s="142" t="s">
        <v>4042</v>
      </c>
      <c r="P1634" s="141" t="s">
        <v>4048</v>
      </c>
      <c r="Q1634" s="142" t="s">
        <v>4043</v>
      </c>
      <c r="R1634" s="141" t="s">
        <v>4049</v>
      </c>
      <c r="S1634" s="142" t="s">
        <v>4044</v>
      </c>
      <c r="T1634" s="141" t="s">
        <v>4061</v>
      </c>
      <c r="U1634" s="142" t="s">
        <v>4059</v>
      </c>
      <c r="V1634" s="142" t="s">
        <v>1229</v>
      </c>
      <c r="W1634" s="141">
        <f t="shared" si="53"/>
        <v>5</v>
      </c>
      <c r="X1634" s="143">
        <v>1</v>
      </c>
      <c r="Y1634" s="145"/>
      <c r="AA1634"/>
    </row>
    <row r="1635" spans="1:27" s="115" customFormat="1" ht="40.5" customHeight="1">
      <c r="A1635" s="139">
        <v>1551</v>
      </c>
      <c r="B1635" s="140" t="s">
        <v>6003</v>
      </c>
      <c r="C1635" s="141" t="s">
        <v>4041</v>
      </c>
      <c r="D1635" s="142" t="s">
        <v>4114</v>
      </c>
      <c r="E1635" s="141" t="s">
        <v>4115</v>
      </c>
      <c r="F1635" s="142" t="s">
        <v>4116</v>
      </c>
      <c r="G1635" s="141" t="s">
        <v>4117</v>
      </c>
      <c r="H1635" s="142" t="s">
        <v>4116</v>
      </c>
      <c r="I1635" s="141" t="s">
        <v>4118</v>
      </c>
      <c r="J1635" s="142" t="s">
        <v>4119</v>
      </c>
      <c r="K1635" s="142" t="s">
        <v>48</v>
      </c>
      <c r="L1635" s="143">
        <f t="shared" si="52"/>
        <v>2</v>
      </c>
      <c r="M1635" s="144" t="s">
        <v>4120</v>
      </c>
      <c r="N1635" s="141" t="s">
        <v>3421</v>
      </c>
      <c r="O1635" s="142" t="s">
        <v>3422</v>
      </c>
      <c r="P1635" s="141" t="s">
        <v>3423</v>
      </c>
      <c r="Q1635" s="142" t="s">
        <v>3529</v>
      </c>
      <c r="R1635" s="141" t="s">
        <v>3539</v>
      </c>
      <c r="S1635" s="142" t="s">
        <v>3537</v>
      </c>
      <c r="T1635" s="141" t="s">
        <v>3540</v>
      </c>
      <c r="U1635" s="142" t="s">
        <v>3537</v>
      </c>
      <c r="V1635" s="142" t="s">
        <v>1142</v>
      </c>
      <c r="W1635" s="141">
        <f t="shared" si="53"/>
        <v>2</v>
      </c>
      <c r="X1635" s="143"/>
      <c r="Y1635" s="145" t="s">
        <v>4121</v>
      </c>
      <c r="AA1635"/>
    </row>
    <row r="1636" spans="1:27" s="115" customFormat="1" ht="40.5" customHeight="1">
      <c r="A1636" s="139">
        <v>1551</v>
      </c>
      <c r="B1636" s="140" t="s">
        <v>6003</v>
      </c>
      <c r="C1636" s="141" t="s">
        <v>4041</v>
      </c>
      <c r="D1636" s="142" t="s">
        <v>4114</v>
      </c>
      <c r="E1636" s="141" t="s">
        <v>4115</v>
      </c>
      <c r="F1636" s="142" t="s">
        <v>4116</v>
      </c>
      <c r="G1636" s="141" t="s">
        <v>4117</v>
      </c>
      <c r="H1636" s="142" t="s">
        <v>4116</v>
      </c>
      <c r="I1636" s="141" t="s">
        <v>4118</v>
      </c>
      <c r="J1636" s="142" t="s">
        <v>4119</v>
      </c>
      <c r="K1636" s="142" t="s">
        <v>48</v>
      </c>
      <c r="L1636" s="143">
        <f t="shared" si="52"/>
        <v>2</v>
      </c>
      <c r="M1636" s="144" t="s">
        <v>4122</v>
      </c>
      <c r="N1636" s="141" t="s">
        <v>3937</v>
      </c>
      <c r="O1636" s="142" t="s">
        <v>3938</v>
      </c>
      <c r="P1636" s="141" t="s">
        <v>2232</v>
      </c>
      <c r="Q1636" s="142" t="s">
        <v>3957</v>
      </c>
      <c r="R1636" s="141" t="s">
        <v>3961</v>
      </c>
      <c r="S1636" s="142" t="s">
        <v>3958</v>
      </c>
      <c r="T1636" s="141" t="s">
        <v>4123</v>
      </c>
      <c r="U1636" s="142" t="s">
        <v>4124</v>
      </c>
      <c r="V1636" s="142" t="s">
        <v>4125</v>
      </c>
      <c r="W1636" s="141">
        <f t="shared" si="53"/>
        <v>4</v>
      </c>
      <c r="X1636" s="143"/>
      <c r="Y1636" s="145" t="s">
        <v>4121</v>
      </c>
      <c r="AA1636"/>
    </row>
    <row r="1637" spans="1:27" s="115" customFormat="1" ht="40.5" customHeight="1">
      <c r="A1637" s="139">
        <v>1552</v>
      </c>
      <c r="B1637" s="140" t="s">
        <v>6004</v>
      </c>
      <c r="C1637" s="141" t="s">
        <v>4041</v>
      </c>
      <c r="D1637" s="142" t="s">
        <v>4114</v>
      </c>
      <c r="E1637" s="141" t="s">
        <v>4115</v>
      </c>
      <c r="F1637" s="142" t="s">
        <v>4116</v>
      </c>
      <c r="G1637" s="141" t="s">
        <v>4117</v>
      </c>
      <c r="H1637" s="142" t="s">
        <v>4116</v>
      </c>
      <c r="I1637" s="141" t="s">
        <v>4126</v>
      </c>
      <c r="J1637" s="142" t="s">
        <v>4127</v>
      </c>
      <c r="K1637" s="142" t="s">
        <v>1248</v>
      </c>
      <c r="L1637" s="143">
        <f t="shared" si="52"/>
        <v>1</v>
      </c>
      <c r="M1637" s="144" t="s">
        <v>4122</v>
      </c>
      <c r="N1637" s="141" t="s">
        <v>3937</v>
      </c>
      <c r="O1637" s="142" t="s">
        <v>3938</v>
      </c>
      <c r="P1637" s="141" t="s">
        <v>2232</v>
      </c>
      <c r="Q1637" s="142" t="s">
        <v>3957</v>
      </c>
      <c r="R1637" s="141" t="s">
        <v>3961</v>
      </c>
      <c r="S1637" s="142" t="s">
        <v>3958</v>
      </c>
      <c r="T1637" s="141" t="s">
        <v>4123</v>
      </c>
      <c r="U1637" s="142" t="s">
        <v>4124</v>
      </c>
      <c r="V1637" s="142" t="s">
        <v>4125</v>
      </c>
      <c r="W1637" s="141">
        <f t="shared" si="53"/>
        <v>4</v>
      </c>
      <c r="X1637" s="143"/>
      <c r="Y1637" s="145" t="s">
        <v>4128</v>
      </c>
      <c r="AA1637"/>
    </row>
    <row r="1638" spans="1:27" s="115" customFormat="1" ht="40.5" customHeight="1">
      <c r="A1638" s="139">
        <v>1553</v>
      </c>
      <c r="B1638" s="140" t="s">
        <v>6005</v>
      </c>
      <c r="C1638" s="141" t="s">
        <v>4041</v>
      </c>
      <c r="D1638" s="142" t="s">
        <v>4114</v>
      </c>
      <c r="E1638" s="141" t="s">
        <v>4115</v>
      </c>
      <c r="F1638" s="142" t="s">
        <v>4116</v>
      </c>
      <c r="G1638" s="141" t="s">
        <v>4117</v>
      </c>
      <c r="H1638" s="142" t="s">
        <v>4116</v>
      </c>
      <c r="I1638" s="141" t="s">
        <v>4129</v>
      </c>
      <c r="J1638" s="142" t="s">
        <v>4130</v>
      </c>
      <c r="K1638" s="142" t="s">
        <v>49</v>
      </c>
      <c r="L1638" s="143">
        <f t="shared" si="52"/>
        <v>1</v>
      </c>
      <c r="M1638" s="144" t="s">
        <v>4122</v>
      </c>
      <c r="N1638" s="141" t="s">
        <v>3937</v>
      </c>
      <c r="O1638" s="142" t="s">
        <v>3938</v>
      </c>
      <c r="P1638" s="141" t="s">
        <v>2232</v>
      </c>
      <c r="Q1638" s="142" t="s">
        <v>3957</v>
      </c>
      <c r="R1638" s="141" t="s">
        <v>3961</v>
      </c>
      <c r="S1638" s="142" t="s">
        <v>3958</v>
      </c>
      <c r="T1638" s="141" t="s">
        <v>4123</v>
      </c>
      <c r="U1638" s="142" t="s">
        <v>4124</v>
      </c>
      <c r="V1638" s="142" t="s">
        <v>4125</v>
      </c>
      <c r="W1638" s="141">
        <f t="shared" si="53"/>
        <v>4</v>
      </c>
      <c r="X1638" s="143"/>
      <c r="Y1638" s="145" t="s">
        <v>4131</v>
      </c>
      <c r="AA1638"/>
    </row>
    <row r="1639" spans="1:27" s="115" customFormat="1" ht="40.5" customHeight="1">
      <c r="A1639" s="139">
        <v>1554</v>
      </c>
      <c r="B1639" s="140" t="s">
        <v>6006</v>
      </c>
      <c r="C1639" s="141" t="s">
        <v>4041</v>
      </c>
      <c r="D1639" s="142" t="s">
        <v>4114</v>
      </c>
      <c r="E1639" s="141" t="s">
        <v>4115</v>
      </c>
      <c r="F1639" s="142" t="s">
        <v>4116</v>
      </c>
      <c r="G1639" s="141" t="s">
        <v>4117</v>
      </c>
      <c r="H1639" s="142" t="s">
        <v>4116</v>
      </c>
      <c r="I1639" s="141" t="s">
        <v>4129</v>
      </c>
      <c r="J1639" s="142" t="s">
        <v>4130</v>
      </c>
      <c r="K1639" s="142" t="s">
        <v>316</v>
      </c>
      <c r="L1639" s="143">
        <f t="shared" si="52"/>
        <v>1</v>
      </c>
      <c r="M1639" s="144" t="s">
        <v>4132</v>
      </c>
      <c r="N1639" s="141" t="s">
        <v>3937</v>
      </c>
      <c r="O1639" s="142" t="s">
        <v>3938</v>
      </c>
      <c r="P1639" s="141" t="s">
        <v>2232</v>
      </c>
      <c r="Q1639" s="142" t="s">
        <v>3957</v>
      </c>
      <c r="R1639" s="141" t="s">
        <v>3961</v>
      </c>
      <c r="S1639" s="142" t="s">
        <v>3958</v>
      </c>
      <c r="T1639" s="141" t="s">
        <v>4123</v>
      </c>
      <c r="U1639" s="142" t="s">
        <v>4124</v>
      </c>
      <c r="V1639" s="142" t="s">
        <v>4133</v>
      </c>
      <c r="W1639" s="141">
        <f t="shared" si="53"/>
        <v>5</v>
      </c>
      <c r="X1639" s="143"/>
      <c r="Y1639" s="145" t="s">
        <v>4134</v>
      </c>
      <c r="AA1639"/>
    </row>
    <row r="1640" spans="1:27" s="115" customFormat="1" ht="40.5" customHeight="1">
      <c r="A1640" s="139">
        <v>1555</v>
      </c>
      <c r="B1640" s="140" t="s">
        <v>6007</v>
      </c>
      <c r="C1640" s="141" t="s">
        <v>4041</v>
      </c>
      <c r="D1640" s="142" t="s">
        <v>4114</v>
      </c>
      <c r="E1640" s="141" t="s">
        <v>4115</v>
      </c>
      <c r="F1640" s="142" t="s">
        <v>4116</v>
      </c>
      <c r="G1640" s="141" t="s">
        <v>4117</v>
      </c>
      <c r="H1640" s="142" t="s">
        <v>4116</v>
      </c>
      <c r="I1640" s="141" t="s">
        <v>4129</v>
      </c>
      <c r="J1640" s="142" t="s">
        <v>4130</v>
      </c>
      <c r="K1640" s="142" t="s">
        <v>50</v>
      </c>
      <c r="L1640" s="143">
        <f t="shared" si="52"/>
        <v>1</v>
      </c>
      <c r="M1640" s="144" t="s">
        <v>4132</v>
      </c>
      <c r="N1640" s="141" t="s">
        <v>3937</v>
      </c>
      <c r="O1640" s="142" t="s">
        <v>3938</v>
      </c>
      <c r="P1640" s="141" t="s">
        <v>2232</v>
      </c>
      <c r="Q1640" s="142" t="s">
        <v>3957</v>
      </c>
      <c r="R1640" s="141" t="s">
        <v>3961</v>
      </c>
      <c r="S1640" s="142" t="s">
        <v>3958</v>
      </c>
      <c r="T1640" s="141" t="s">
        <v>4123</v>
      </c>
      <c r="U1640" s="142" t="s">
        <v>4124</v>
      </c>
      <c r="V1640" s="142" t="s">
        <v>4133</v>
      </c>
      <c r="W1640" s="141">
        <f t="shared" si="53"/>
        <v>5</v>
      </c>
      <c r="X1640" s="143"/>
      <c r="Y1640" s="145" t="s">
        <v>4135</v>
      </c>
      <c r="AA1640"/>
    </row>
    <row r="1641" spans="1:27" s="115" customFormat="1" ht="40.5" customHeight="1">
      <c r="A1641" s="139">
        <v>1556</v>
      </c>
      <c r="B1641" s="140" t="s">
        <v>6008</v>
      </c>
      <c r="C1641" s="141" t="s">
        <v>4041</v>
      </c>
      <c r="D1641" s="142" t="s">
        <v>4114</v>
      </c>
      <c r="E1641" s="141" t="s">
        <v>4115</v>
      </c>
      <c r="F1641" s="142" t="s">
        <v>4116</v>
      </c>
      <c r="G1641" s="141" t="s">
        <v>4117</v>
      </c>
      <c r="H1641" s="142" t="s">
        <v>4116</v>
      </c>
      <c r="I1641" s="141" t="s">
        <v>4129</v>
      </c>
      <c r="J1641" s="142" t="s">
        <v>4130</v>
      </c>
      <c r="K1641" s="142" t="s">
        <v>51</v>
      </c>
      <c r="L1641" s="143">
        <f t="shared" si="52"/>
        <v>1</v>
      </c>
      <c r="M1641" s="144" t="s">
        <v>4132</v>
      </c>
      <c r="N1641" s="141" t="s">
        <v>3937</v>
      </c>
      <c r="O1641" s="142" t="s">
        <v>3938</v>
      </c>
      <c r="P1641" s="141" t="s">
        <v>2232</v>
      </c>
      <c r="Q1641" s="142" t="s">
        <v>3957</v>
      </c>
      <c r="R1641" s="141" t="s">
        <v>3961</v>
      </c>
      <c r="S1641" s="142" t="s">
        <v>3958</v>
      </c>
      <c r="T1641" s="141" t="s">
        <v>4123</v>
      </c>
      <c r="U1641" s="142" t="s">
        <v>4124</v>
      </c>
      <c r="V1641" s="142" t="s">
        <v>4133</v>
      </c>
      <c r="W1641" s="141">
        <f t="shared" si="53"/>
        <v>5</v>
      </c>
      <c r="X1641" s="143"/>
      <c r="Y1641" s="145" t="s">
        <v>4136</v>
      </c>
      <c r="AA1641"/>
    </row>
    <row r="1642" spans="1:27" s="115" customFormat="1" ht="40.5" customHeight="1">
      <c r="A1642" s="139">
        <v>1557</v>
      </c>
      <c r="B1642" s="140" t="s">
        <v>6009</v>
      </c>
      <c r="C1642" s="141" t="s">
        <v>4041</v>
      </c>
      <c r="D1642" s="142" t="s">
        <v>4114</v>
      </c>
      <c r="E1642" s="141" t="s">
        <v>4115</v>
      </c>
      <c r="F1642" s="142" t="s">
        <v>4116</v>
      </c>
      <c r="G1642" s="141" t="s">
        <v>4117</v>
      </c>
      <c r="H1642" s="142" t="s">
        <v>4116</v>
      </c>
      <c r="I1642" s="141" t="s">
        <v>4129</v>
      </c>
      <c r="J1642" s="142" t="s">
        <v>4130</v>
      </c>
      <c r="K1642" s="142" t="s">
        <v>1249</v>
      </c>
      <c r="L1642" s="143">
        <f t="shared" si="52"/>
        <v>2</v>
      </c>
      <c r="M1642" s="144" t="s">
        <v>4132</v>
      </c>
      <c r="N1642" s="141" t="s">
        <v>3937</v>
      </c>
      <c r="O1642" s="142" t="s">
        <v>3938</v>
      </c>
      <c r="P1642" s="141" t="s">
        <v>2232</v>
      </c>
      <c r="Q1642" s="142" t="s">
        <v>3957</v>
      </c>
      <c r="R1642" s="141" t="s">
        <v>3961</v>
      </c>
      <c r="S1642" s="142" t="s">
        <v>3958</v>
      </c>
      <c r="T1642" s="141" t="s">
        <v>4123</v>
      </c>
      <c r="U1642" s="142" t="s">
        <v>4124</v>
      </c>
      <c r="V1642" s="142" t="s">
        <v>4133</v>
      </c>
      <c r="W1642" s="141">
        <f t="shared" si="53"/>
        <v>5</v>
      </c>
      <c r="X1642" s="143"/>
      <c r="Y1642" s="145" t="s">
        <v>4137</v>
      </c>
      <c r="AA1642"/>
    </row>
    <row r="1643" spans="1:27" s="115" customFormat="1" ht="40.5" customHeight="1">
      <c r="A1643" s="139">
        <v>1557</v>
      </c>
      <c r="B1643" s="140" t="s">
        <v>6009</v>
      </c>
      <c r="C1643" s="141" t="s">
        <v>4041</v>
      </c>
      <c r="D1643" s="142" t="s">
        <v>4114</v>
      </c>
      <c r="E1643" s="141" t="s">
        <v>4115</v>
      </c>
      <c r="F1643" s="142" t="s">
        <v>4116</v>
      </c>
      <c r="G1643" s="141" t="s">
        <v>4117</v>
      </c>
      <c r="H1643" s="142" t="s">
        <v>4116</v>
      </c>
      <c r="I1643" s="141" t="s">
        <v>4129</v>
      </c>
      <c r="J1643" s="142" t="s">
        <v>4130</v>
      </c>
      <c r="K1643" s="142" t="s">
        <v>1249</v>
      </c>
      <c r="L1643" s="143">
        <f t="shared" si="52"/>
        <v>2</v>
      </c>
      <c r="M1643" s="144" t="s">
        <v>4122</v>
      </c>
      <c r="N1643" s="141" t="s">
        <v>3937</v>
      </c>
      <c r="O1643" s="142" t="s">
        <v>3938</v>
      </c>
      <c r="P1643" s="141" t="s">
        <v>2232</v>
      </c>
      <c r="Q1643" s="142" t="s">
        <v>3957</v>
      </c>
      <c r="R1643" s="141" t="s">
        <v>3961</v>
      </c>
      <c r="S1643" s="142" t="s">
        <v>3958</v>
      </c>
      <c r="T1643" s="141" t="s">
        <v>4123</v>
      </c>
      <c r="U1643" s="142" t="s">
        <v>4124</v>
      </c>
      <c r="V1643" s="142" t="s">
        <v>4125</v>
      </c>
      <c r="W1643" s="141">
        <f t="shared" si="53"/>
        <v>4</v>
      </c>
      <c r="X1643" s="143"/>
      <c r="Y1643" s="145" t="s">
        <v>4138</v>
      </c>
      <c r="AA1643"/>
    </row>
    <row r="1644" spans="1:27" s="115" customFormat="1" ht="40.5" customHeight="1">
      <c r="A1644" s="139">
        <v>1558</v>
      </c>
      <c r="B1644" s="140" t="s">
        <v>6137</v>
      </c>
      <c r="C1644" s="141" t="s">
        <v>4041</v>
      </c>
      <c r="D1644" s="142" t="s">
        <v>4114</v>
      </c>
      <c r="E1644" s="141" t="s">
        <v>4115</v>
      </c>
      <c r="F1644" s="142" t="s">
        <v>4116</v>
      </c>
      <c r="G1644" s="141" t="s">
        <v>4117</v>
      </c>
      <c r="H1644" s="142" t="s">
        <v>4116</v>
      </c>
      <c r="I1644" s="141" t="s">
        <v>4139</v>
      </c>
      <c r="J1644" s="142" t="s">
        <v>1254</v>
      </c>
      <c r="K1644" s="142" t="s">
        <v>1250</v>
      </c>
      <c r="L1644" s="143">
        <f t="shared" si="52"/>
        <v>2</v>
      </c>
      <c r="M1644" s="144" t="s">
        <v>4429</v>
      </c>
      <c r="N1644" s="141" t="s">
        <v>3154</v>
      </c>
      <c r="O1644" s="142" t="s">
        <v>3155</v>
      </c>
      <c r="P1644" s="141" t="s">
        <v>3175</v>
      </c>
      <c r="Q1644" s="142" t="s">
        <v>3171</v>
      </c>
      <c r="R1644" s="141" t="s">
        <v>3245</v>
      </c>
      <c r="S1644" s="142" t="s">
        <v>3242</v>
      </c>
      <c r="T1644" s="141" t="s">
        <v>3260</v>
      </c>
      <c r="U1644" s="142" t="s">
        <v>3258</v>
      </c>
      <c r="V1644" s="142" t="s">
        <v>1064</v>
      </c>
      <c r="W1644" s="141">
        <f t="shared" si="53"/>
        <v>1</v>
      </c>
      <c r="X1644" s="143"/>
      <c r="Y1644" s="145" t="s">
        <v>4140</v>
      </c>
      <c r="AA1644"/>
    </row>
    <row r="1645" spans="1:27" s="115" customFormat="1" ht="40.5" customHeight="1">
      <c r="A1645" s="139">
        <v>1558</v>
      </c>
      <c r="B1645" s="140" t="s">
        <v>6137</v>
      </c>
      <c r="C1645" s="141" t="s">
        <v>4041</v>
      </c>
      <c r="D1645" s="142" t="s">
        <v>4114</v>
      </c>
      <c r="E1645" s="141" t="s">
        <v>4115</v>
      </c>
      <c r="F1645" s="142" t="s">
        <v>4116</v>
      </c>
      <c r="G1645" s="141" t="s">
        <v>4117</v>
      </c>
      <c r="H1645" s="142" t="s">
        <v>4116</v>
      </c>
      <c r="I1645" s="141" t="s">
        <v>4139</v>
      </c>
      <c r="J1645" s="142" t="s">
        <v>1254</v>
      </c>
      <c r="K1645" s="142" t="s">
        <v>1250</v>
      </c>
      <c r="L1645" s="143">
        <f t="shared" si="52"/>
        <v>2</v>
      </c>
      <c r="M1645" s="144" t="s">
        <v>4430</v>
      </c>
      <c r="N1645" s="141" t="s">
        <v>3154</v>
      </c>
      <c r="O1645" s="142" t="s">
        <v>3155</v>
      </c>
      <c r="P1645" s="141" t="s">
        <v>3175</v>
      </c>
      <c r="Q1645" s="142" t="s">
        <v>3171</v>
      </c>
      <c r="R1645" s="141" t="s">
        <v>3245</v>
      </c>
      <c r="S1645" s="142" t="s">
        <v>3242</v>
      </c>
      <c r="T1645" s="141" t="s">
        <v>3260</v>
      </c>
      <c r="U1645" s="142" t="s">
        <v>3258</v>
      </c>
      <c r="V1645" s="142" t="s">
        <v>1066</v>
      </c>
      <c r="W1645" s="141">
        <f t="shared" si="53"/>
        <v>1</v>
      </c>
      <c r="X1645" s="143"/>
      <c r="Y1645" s="145" t="s">
        <v>4140</v>
      </c>
      <c r="AA1645"/>
    </row>
    <row r="1646" spans="1:27" s="115" customFormat="1" ht="40.5" customHeight="1">
      <c r="A1646" s="139">
        <v>1559</v>
      </c>
      <c r="B1646" s="140" t="s">
        <v>6010</v>
      </c>
      <c r="C1646" s="141" t="s">
        <v>4041</v>
      </c>
      <c r="D1646" s="142" t="s">
        <v>4114</v>
      </c>
      <c r="E1646" s="141" t="s">
        <v>4115</v>
      </c>
      <c r="F1646" s="142" t="s">
        <v>4116</v>
      </c>
      <c r="G1646" s="141" t="s">
        <v>4117</v>
      </c>
      <c r="H1646" s="142" t="s">
        <v>4116</v>
      </c>
      <c r="I1646" s="141" t="s">
        <v>4141</v>
      </c>
      <c r="J1646" s="142" t="s">
        <v>52</v>
      </c>
      <c r="K1646" s="142" t="s">
        <v>52</v>
      </c>
      <c r="L1646" s="143">
        <f t="shared" si="52"/>
        <v>2</v>
      </c>
      <c r="M1646" s="144" t="s">
        <v>4132</v>
      </c>
      <c r="N1646" s="141" t="s">
        <v>3937</v>
      </c>
      <c r="O1646" s="142" t="s">
        <v>3938</v>
      </c>
      <c r="P1646" s="141" t="s">
        <v>2232</v>
      </c>
      <c r="Q1646" s="142" t="s">
        <v>3957</v>
      </c>
      <c r="R1646" s="141" t="s">
        <v>3961</v>
      </c>
      <c r="S1646" s="142" t="s">
        <v>3958</v>
      </c>
      <c r="T1646" s="141" t="s">
        <v>4123</v>
      </c>
      <c r="U1646" s="142" t="s">
        <v>4124</v>
      </c>
      <c r="V1646" s="142" t="s">
        <v>4133</v>
      </c>
      <c r="W1646" s="141">
        <f t="shared" si="53"/>
        <v>5</v>
      </c>
      <c r="X1646" s="143"/>
      <c r="Y1646" s="145" t="s">
        <v>4142</v>
      </c>
      <c r="AA1646"/>
    </row>
    <row r="1647" spans="1:27" s="115" customFormat="1" ht="40.5" customHeight="1">
      <c r="A1647" s="139">
        <v>1559</v>
      </c>
      <c r="B1647" s="140" t="s">
        <v>6010</v>
      </c>
      <c r="C1647" s="141" t="s">
        <v>4041</v>
      </c>
      <c r="D1647" s="142" t="s">
        <v>4114</v>
      </c>
      <c r="E1647" s="141" t="s">
        <v>4115</v>
      </c>
      <c r="F1647" s="142" t="s">
        <v>4116</v>
      </c>
      <c r="G1647" s="141" t="s">
        <v>4117</v>
      </c>
      <c r="H1647" s="142" t="s">
        <v>4116</v>
      </c>
      <c r="I1647" s="141" t="s">
        <v>4141</v>
      </c>
      <c r="J1647" s="142" t="s">
        <v>52</v>
      </c>
      <c r="K1647" s="142" t="s">
        <v>52</v>
      </c>
      <c r="L1647" s="143">
        <f t="shared" si="52"/>
        <v>2</v>
      </c>
      <c r="M1647" s="144" t="s">
        <v>4143</v>
      </c>
      <c r="N1647" s="141" t="s">
        <v>3937</v>
      </c>
      <c r="O1647" s="142" t="s">
        <v>3938</v>
      </c>
      <c r="P1647" s="141" t="s">
        <v>2232</v>
      </c>
      <c r="Q1647" s="142" t="s">
        <v>3957</v>
      </c>
      <c r="R1647" s="141" t="s">
        <v>3961</v>
      </c>
      <c r="S1647" s="142" t="s">
        <v>3958</v>
      </c>
      <c r="T1647" s="141" t="s">
        <v>3962</v>
      </c>
      <c r="U1647" s="142" t="s">
        <v>3959</v>
      </c>
      <c r="V1647" s="142" t="s">
        <v>1201</v>
      </c>
      <c r="W1647" s="141">
        <f t="shared" si="53"/>
        <v>1</v>
      </c>
      <c r="X1647" s="143"/>
      <c r="Y1647" s="145" t="s">
        <v>4144</v>
      </c>
      <c r="AA1647"/>
    </row>
    <row r="1648" spans="1:27" s="115" customFormat="1" ht="40.5" customHeight="1">
      <c r="A1648" s="139">
        <v>1560</v>
      </c>
      <c r="B1648" s="140" t="s">
        <v>6011</v>
      </c>
      <c r="C1648" s="141" t="s">
        <v>4041</v>
      </c>
      <c r="D1648" s="142" t="s">
        <v>4114</v>
      </c>
      <c r="E1648" s="141" t="s">
        <v>4115</v>
      </c>
      <c r="F1648" s="142" t="s">
        <v>4116</v>
      </c>
      <c r="G1648" s="141" t="s">
        <v>4117</v>
      </c>
      <c r="H1648" s="142" t="s">
        <v>4116</v>
      </c>
      <c r="I1648" s="141" t="s">
        <v>4145</v>
      </c>
      <c r="J1648" s="142" t="s">
        <v>1254</v>
      </c>
      <c r="K1648" s="142" t="s">
        <v>317</v>
      </c>
      <c r="L1648" s="143">
        <f t="shared" si="52"/>
        <v>3</v>
      </c>
      <c r="M1648" s="144" t="s">
        <v>4146</v>
      </c>
      <c r="N1648" s="141" t="s">
        <v>3154</v>
      </c>
      <c r="O1648" s="142" t="s">
        <v>3155</v>
      </c>
      <c r="P1648" s="141" t="s">
        <v>3175</v>
      </c>
      <c r="Q1648" s="142" t="s">
        <v>3171</v>
      </c>
      <c r="R1648" s="141" t="s">
        <v>3176</v>
      </c>
      <c r="S1648" s="142" t="s">
        <v>3172</v>
      </c>
      <c r="T1648" s="141" t="s">
        <v>3177</v>
      </c>
      <c r="U1648" s="142" t="s">
        <v>3172</v>
      </c>
      <c r="V1648" s="142" t="s">
        <v>261</v>
      </c>
      <c r="W1648" s="141">
        <f t="shared" si="53"/>
        <v>1</v>
      </c>
      <c r="X1648" s="143"/>
      <c r="Y1648" s="145" t="s">
        <v>4147</v>
      </c>
      <c r="AA1648"/>
    </row>
    <row r="1649" spans="1:27" s="115" customFormat="1" ht="40.5" customHeight="1">
      <c r="A1649" s="139">
        <v>1560</v>
      </c>
      <c r="B1649" s="140" t="s">
        <v>6011</v>
      </c>
      <c r="C1649" s="141" t="s">
        <v>4041</v>
      </c>
      <c r="D1649" s="142" t="s">
        <v>4114</v>
      </c>
      <c r="E1649" s="141" t="s">
        <v>4115</v>
      </c>
      <c r="F1649" s="142" t="s">
        <v>4116</v>
      </c>
      <c r="G1649" s="141" t="s">
        <v>4117</v>
      </c>
      <c r="H1649" s="142" t="s">
        <v>4116</v>
      </c>
      <c r="I1649" s="141" t="s">
        <v>4145</v>
      </c>
      <c r="J1649" s="142" t="s">
        <v>1254</v>
      </c>
      <c r="K1649" s="142" t="s">
        <v>317</v>
      </c>
      <c r="L1649" s="143">
        <f t="shared" si="52"/>
        <v>3</v>
      </c>
      <c r="M1649" s="144" t="s">
        <v>4148</v>
      </c>
      <c r="N1649" s="141" t="s">
        <v>3421</v>
      </c>
      <c r="O1649" s="142" t="s">
        <v>3422</v>
      </c>
      <c r="P1649" s="141" t="s">
        <v>3447</v>
      </c>
      <c r="Q1649" s="142" t="s">
        <v>3442</v>
      </c>
      <c r="R1649" s="141" t="s">
        <v>3481</v>
      </c>
      <c r="S1649" s="142" t="s">
        <v>3482</v>
      </c>
      <c r="T1649" s="141" t="s">
        <v>3483</v>
      </c>
      <c r="U1649" s="142" t="s">
        <v>3479</v>
      </c>
      <c r="V1649" s="142" t="s">
        <v>1119</v>
      </c>
      <c r="W1649" s="141">
        <f t="shared" si="53"/>
        <v>1</v>
      </c>
      <c r="X1649" s="169"/>
      <c r="Y1649" s="145" t="s">
        <v>4149</v>
      </c>
      <c r="AA1649"/>
    </row>
    <row r="1650" spans="1:27" s="115" customFormat="1" ht="40.5" customHeight="1">
      <c r="A1650" s="139">
        <v>1560</v>
      </c>
      <c r="B1650" s="140" t="s">
        <v>6011</v>
      </c>
      <c r="C1650" s="141" t="s">
        <v>4041</v>
      </c>
      <c r="D1650" s="142" t="s">
        <v>4114</v>
      </c>
      <c r="E1650" s="141" t="s">
        <v>4115</v>
      </c>
      <c r="F1650" s="142" t="s">
        <v>4116</v>
      </c>
      <c r="G1650" s="141" t="s">
        <v>4117</v>
      </c>
      <c r="H1650" s="142" t="s">
        <v>4116</v>
      </c>
      <c r="I1650" s="141" t="s">
        <v>4145</v>
      </c>
      <c r="J1650" s="142" t="s">
        <v>1254</v>
      </c>
      <c r="K1650" s="142" t="s">
        <v>317</v>
      </c>
      <c r="L1650" s="143">
        <f t="shared" si="52"/>
        <v>3</v>
      </c>
      <c r="M1650" s="144" t="s">
        <v>4150</v>
      </c>
      <c r="N1650" s="141" t="s">
        <v>2149</v>
      </c>
      <c r="O1650" s="142" t="s">
        <v>2150</v>
      </c>
      <c r="P1650" s="141" t="s">
        <v>2151</v>
      </c>
      <c r="Q1650" s="142" t="s">
        <v>2152</v>
      </c>
      <c r="R1650" s="141" t="s">
        <v>2153</v>
      </c>
      <c r="S1650" s="142" t="s">
        <v>2154</v>
      </c>
      <c r="T1650" s="141" t="s">
        <v>3650</v>
      </c>
      <c r="U1650" s="142" t="s">
        <v>3648</v>
      </c>
      <c r="V1650" s="142" t="s">
        <v>290</v>
      </c>
      <c r="W1650" s="141">
        <f t="shared" si="53"/>
        <v>1</v>
      </c>
      <c r="X1650" s="143"/>
      <c r="Y1650" s="145" t="s">
        <v>4151</v>
      </c>
      <c r="AA1650"/>
    </row>
    <row r="1651" spans="1:27" s="115" customFormat="1" ht="40.5" customHeight="1">
      <c r="A1651" s="139">
        <v>1561</v>
      </c>
      <c r="B1651" s="140" t="s">
        <v>6012</v>
      </c>
      <c r="C1651" s="141" t="s">
        <v>4041</v>
      </c>
      <c r="D1651" s="142" t="s">
        <v>4114</v>
      </c>
      <c r="E1651" s="141" t="s">
        <v>4115</v>
      </c>
      <c r="F1651" s="142" t="s">
        <v>4116</v>
      </c>
      <c r="G1651" s="141" t="s">
        <v>4117</v>
      </c>
      <c r="H1651" s="142" t="s">
        <v>4116</v>
      </c>
      <c r="I1651" s="141" t="s">
        <v>4139</v>
      </c>
      <c r="J1651" s="142" t="s">
        <v>1254</v>
      </c>
      <c r="K1651" s="142" t="s">
        <v>53</v>
      </c>
      <c r="L1651" s="143">
        <f t="shared" si="52"/>
        <v>1</v>
      </c>
      <c r="M1651" s="144" t="s">
        <v>4152</v>
      </c>
      <c r="N1651" s="141" t="s">
        <v>3937</v>
      </c>
      <c r="O1651" s="142" t="s">
        <v>3938</v>
      </c>
      <c r="P1651" s="141" t="s">
        <v>3943</v>
      </c>
      <c r="Q1651" s="142" t="s">
        <v>3939</v>
      </c>
      <c r="R1651" s="141" t="s">
        <v>3951</v>
      </c>
      <c r="S1651" s="142" t="s">
        <v>3948</v>
      </c>
      <c r="T1651" s="141" t="s">
        <v>3997</v>
      </c>
      <c r="U1651" s="142" t="s">
        <v>3995</v>
      </c>
      <c r="V1651" s="142" t="s">
        <v>1210</v>
      </c>
      <c r="W1651" s="141">
        <f t="shared" si="53"/>
        <v>3</v>
      </c>
      <c r="X1651" s="143"/>
      <c r="Y1651" s="145" t="s">
        <v>4153</v>
      </c>
      <c r="AA1651"/>
    </row>
    <row r="1652" spans="1:27" s="115" customFormat="1" ht="40.5" customHeight="1">
      <c r="A1652" s="139">
        <v>1562</v>
      </c>
      <c r="B1652" s="140" t="s">
        <v>6013</v>
      </c>
      <c r="C1652" s="141" t="s">
        <v>4041</v>
      </c>
      <c r="D1652" s="142" t="s">
        <v>4114</v>
      </c>
      <c r="E1652" s="141" t="s">
        <v>4115</v>
      </c>
      <c r="F1652" s="142" t="s">
        <v>4116</v>
      </c>
      <c r="G1652" s="141" t="s">
        <v>4117</v>
      </c>
      <c r="H1652" s="142" t="s">
        <v>4116</v>
      </c>
      <c r="I1652" s="141" t="s">
        <v>4139</v>
      </c>
      <c r="J1652" s="142" t="s">
        <v>1254</v>
      </c>
      <c r="K1652" s="142" t="s">
        <v>318</v>
      </c>
      <c r="L1652" s="143">
        <f t="shared" si="52"/>
        <v>5</v>
      </c>
      <c r="M1652" s="144" t="s">
        <v>4154</v>
      </c>
      <c r="N1652" s="141" t="s">
        <v>3749</v>
      </c>
      <c r="O1652" s="142" t="s">
        <v>3751</v>
      </c>
      <c r="P1652" s="141" t="s">
        <v>3557</v>
      </c>
      <c r="Q1652" s="142" t="s">
        <v>3751</v>
      </c>
      <c r="R1652" s="141" t="s">
        <v>3776</v>
      </c>
      <c r="S1652" s="142" t="s">
        <v>3774</v>
      </c>
      <c r="T1652" s="141" t="s">
        <v>3777</v>
      </c>
      <c r="U1652" s="142" t="s">
        <v>3774</v>
      </c>
      <c r="V1652" s="142" t="s">
        <v>1178</v>
      </c>
      <c r="W1652" s="141">
        <f t="shared" si="53"/>
        <v>2</v>
      </c>
      <c r="X1652" s="143"/>
      <c r="Y1652" s="145" t="s">
        <v>4155</v>
      </c>
      <c r="AA1652"/>
    </row>
    <row r="1653" spans="1:27" s="115" customFormat="1" ht="40.5" customHeight="1">
      <c r="A1653" s="139">
        <v>1562</v>
      </c>
      <c r="B1653" s="140" t="s">
        <v>6013</v>
      </c>
      <c r="C1653" s="141" t="s">
        <v>4041</v>
      </c>
      <c r="D1653" s="142" t="s">
        <v>4114</v>
      </c>
      <c r="E1653" s="141" t="s">
        <v>4115</v>
      </c>
      <c r="F1653" s="142" t="s">
        <v>4116</v>
      </c>
      <c r="G1653" s="141" t="s">
        <v>4117</v>
      </c>
      <c r="H1653" s="142" t="s">
        <v>4116</v>
      </c>
      <c r="I1653" s="141" t="s">
        <v>4139</v>
      </c>
      <c r="J1653" s="142" t="s">
        <v>1254</v>
      </c>
      <c r="K1653" s="142" t="s">
        <v>318</v>
      </c>
      <c r="L1653" s="143">
        <f t="shared" si="52"/>
        <v>5</v>
      </c>
      <c r="M1653" s="144" t="s">
        <v>4156</v>
      </c>
      <c r="N1653" s="141" t="s">
        <v>3749</v>
      </c>
      <c r="O1653" s="142" t="s">
        <v>3751</v>
      </c>
      <c r="P1653" s="141" t="s">
        <v>3557</v>
      </c>
      <c r="Q1653" s="142" t="s">
        <v>3751</v>
      </c>
      <c r="R1653" s="141" t="s">
        <v>3755</v>
      </c>
      <c r="S1653" s="142" t="s">
        <v>3752</v>
      </c>
      <c r="T1653" s="141" t="s">
        <v>3756</v>
      </c>
      <c r="U1653" s="142" t="s">
        <v>3753</v>
      </c>
      <c r="V1653" s="142" t="s">
        <v>1177</v>
      </c>
      <c r="W1653" s="141">
        <f t="shared" si="53"/>
        <v>3</v>
      </c>
      <c r="X1653" s="143"/>
      <c r="Y1653" s="145" t="s">
        <v>4157</v>
      </c>
      <c r="AA1653"/>
    </row>
    <row r="1654" spans="1:27" s="115" customFormat="1" ht="40.5" customHeight="1">
      <c r="A1654" s="139">
        <v>1562</v>
      </c>
      <c r="B1654" s="140" t="s">
        <v>6013</v>
      </c>
      <c r="C1654" s="141" t="s">
        <v>4041</v>
      </c>
      <c r="D1654" s="142" t="s">
        <v>4114</v>
      </c>
      <c r="E1654" s="141" t="s">
        <v>4115</v>
      </c>
      <c r="F1654" s="142" t="s">
        <v>4116</v>
      </c>
      <c r="G1654" s="141" t="s">
        <v>4117</v>
      </c>
      <c r="H1654" s="142" t="s">
        <v>4116</v>
      </c>
      <c r="I1654" s="141" t="s">
        <v>4139</v>
      </c>
      <c r="J1654" s="142" t="s">
        <v>1254</v>
      </c>
      <c r="K1654" s="142" t="s">
        <v>318</v>
      </c>
      <c r="L1654" s="143">
        <f t="shared" si="52"/>
        <v>5</v>
      </c>
      <c r="M1654" s="144" t="s">
        <v>4158</v>
      </c>
      <c r="N1654" s="141" t="s">
        <v>3749</v>
      </c>
      <c r="O1654" s="142" t="s">
        <v>3751</v>
      </c>
      <c r="P1654" s="141" t="s">
        <v>3557</v>
      </c>
      <c r="Q1654" s="142" t="s">
        <v>3751</v>
      </c>
      <c r="R1654" s="141" t="s">
        <v>3755</v>
      </c>
      <c r="S1654" s="142" t="s">
        <v>3752</v>
      </c>
      <c r="T1654" s="141" t="s">
        <v>3780</v>
      </c>
      <c r="U1654" s="142" t="s">
        <v>292</v>
      </c>
      <c r="V1654" s="142" t="s">
        <v>1179</v>
      </c>
      <c r="W1654" s="141">
        <f t="shared" si="53"/>
        <v>3</v>
      </c>
      <c r="X1654" s="143"/>
      <c r="Y1654" s="145" t="s">
        <v>4159</v>
      </c>
      <c r="AA1654"/>
    </row>
    <row r="1655" spans="1:27" s="115" customFormat="1" ht="40.5" customHeight="1">
      <c r="A1655" s="139">
        <v>1562</v>
      </c>
      <c r="B1655" s="140" t="s">
        <v>6013</v>
      </c>
      <c r="C1655" s="141" t="s">
        <v>4041</v>
      </c>
      <c r="D1655" s="142" t="s">
        <v>4114</v>
      </c>
      <c r="E1655" s="141" t="s">
        <v>4115</v>
      </c>
      <c r="F1655" s="142" t="s">
        <v>4116</v>
      </c>
      <c r="G1655" s="141" t="s">
        <v>4117</v>
      </c>
      <c r="H1655" s="142" t="s">
        <v>4116</v>
      </c>
      <c r="I1655" s="141" t="s">
        <v>4139</v>
      </c>
      <c r="J1655" s="142" t="s">
        <v>1254</v>
      </c>
      <c r="K1655" s="142" t="s">
        <v>318</v>
      </c>
      <c r="L1655" s="143">
        <f t="shared" si="52"/>
        <v>5</v>
      </c>
      <c r="M1655" s="144" t="s">
        <v>4160</v>
      </c>
      <c r="N1655" s="141" t="s">
        <v>3749</v>
      </c>
      <c r="O1655" s="142" t="s">
        <v>3751</v>
      </c>
      <c r="P1655" s="141" t="s">
        <v>3557</v>
      </c>
      <c r="Q1655" s="142" t="s">
        <v>3751</v>
      </c>
      <c r="R1655" s="141" t="s">
        <v>3755</v>
      </c>
      <c r="S1655" s="142" t="s">
        <v>3752</v>
      </c>
      <c r="T1655" s="141" t="s">
        <v>3780</v>
      </c>
      <c r="U1655" s="142" t="s">
        <v>292</v>
      </c>
      <c r="V1655" s="142" t="s">
        <v>1187</v>
      </c>
      <c r="W1655" s="141">
        <f t="shared" si="53"/>
        <v>3</v>
      </c>
      <c r="X1655" s="143"/>
      <c r="Y1655" s="145" t="s">
        <v>4161</v>
      </c>
      <c r="AA1655"/>
    </row>
    <row r="1656" spans="1:27" s="115" customFormat="1" ht="40.5" customHeight="1">
      <c r="A1656" s="139">
        <v>1562</v>
      </c>
      <c r="B1656" s="140" t="s">
        <v>6013</v>
      </c>
      <c r="C1656" s="141" t="s">
        <v>4041</v>
      </c>
      <c r="D1656" s="142" t="s">
        <v>4114</v>
      </c>
      <c r="E1656" s="141" t="s">
        <v>4115</v>
      </c>
      <c r="F1656" s="142" t="s">
        <v>4116</v>
      </c>
      <c r="G1656" s="141" t="s">
        <v>4117</v>
      </c>
      <c r="H1656" s="142" t="s">
        <v>4116</v>
      </c>
      <c r="I1656" s="141" t="s">
        <v>4139</v>
      </c>
      <c r="J1656" s="142" t="s">
        <v>1254</v>
      </c>
      <c r="K1656" s="142" t="s">
        <v>318</v>
      </c>
      <c r="L1656" s="143">
        <f t="shared" si="52"/>
        <v>5</v>
      </c>
      <c r="M1656" s="144" t="s">
        <v>4162</v>
      </c>
      <c r="N1656" s="141" t="s">
        <v>3749</v>
      </c>
      <c r="O1656" s="142" t="s">
        <v>3751</v>
      </c>
      <c r="P1656" s="141" t="s">
        <v>3557</v>
      </c>
      <c r="Q1656" s="142" t="s">
        <v>3751</v>
      </c>
      <c r="R1656" s="141" t="s">
        <v>3755</v>
      </c>
      <c r="S1656" s="142" t="s">
        <v>3752</v>
      </c>
      <c r="T1656" s="141" t="s">
        <v>3770</v>
      </c>
      <c r="U1656" s="142" t="s">
        <v>3768</v>
      </c>
      <c r="V1656" s="142" t="s">
        <v>1176</v>
      </c>
      <c r="W1656" s="141">
        <f t="shared" si="53"/>
        <v>3</v>
      </c>
      <c r="X1656" s="143"/>
      <c r="Y1656" s="145" t="s">
        <v>4163</v>
      </c>
      <c r="AA1656"/>
    </row>
    <row r="1657" spans="1:27" s="115" customFormat="1" ht="40.5" customHeight="1">
      <c r="A1657" s="139">
        <v>1563</v>
      </c>
      <c r="B1657" s="140" t="s">
        <v>6014</v>
      </c>
      <c r="C1657" s="141" t="s">
        <v>4041</v>
      </c>
      <c r="D1657" s="142" t="s">
        <v>4114</v>
      </c>
      <c r="E1657" s="141" t="s">
        <v>4115</v>
      </c>
      <c r="F1657" s="142" t="s">
        <v>4116</v>
      </c>
      <c r="G1657" s="141" t="s">
        <v>4117</v>
      </c>
      <c r="H1657" s="142" t="s">
        <v>4116</v>
      </c>
      <c r="I1657" s="141" t="s">
        <v>4139</v>
      </c>
      <c r="J1657" s="142" t="s">
        <v>1254</v>
      </c>
      <c r="K1657" s="142" t="s">
        <v>319</v>
      </c>
      <c r="L1657" s="143">
        <f t="shared" si="52"/>
        <v>15</v>
      </c>
      <c r="M1657" s="144" t="s">
        <v>4154</v>
      </c>
      <c r="N1657" s="141" t="s">
        <v>3749</v>
      </c>
      <c r="O1657" s="142" t="s">
        <v>3751</v>
      </c>
      <c r="P1657" s="141" t="s">
        <v>3557</v>
      </c>
      <c r="Q1657" s="142" t="s">
        <v>3751</v>
      </c>
      <c r="R1657" s="141" t="s">
        <v>3776</v>
      </c>
      <c r="S1657" s="142" t="s">
        <v>3774</v>
      </c>
      <c r="T1657" s="141" t="s">
        <v>3777</v>
      </c>
      <c r="U1657" s="142" t="s">
        <v>3774</v>
      </c>
      <c r="V1657" s="142" t="s">
        <v>1178</v>
      </c>
      <c r="W1657" s="141">
        <f t="shared" si="53"/>
        <v>2</v>
      </c>
      <c r="X1657" s="143"/>
      <c r="Y1657" s="145" t="s">
        <v>4164</v>
      </c>
      <c r="AA1657"/>
    </row>
    <row r="1658" spans="1:27" s="115" customFormat="1" ht="40.5" customHeight="1">
      <c r="A1658" s="139">
        <v>1563</v>
      </c>
      <c r="B1658" s="140" t="s">
        <v>6014</v>
      </c>
      <c r="C1658" s="141" t="s">
        <v>4041</v>
      </c>
      <c r="D1658" s="142" t="s">
        <v>4114</v>
      </c>
      <c r="E1658" s="141" t="s">
        <v>4115</v>
      </c>
      <c r="F1658" s="142" t="s">
        <v>4116</v>
      </c>
      <c r="G1658" s="141" t="s">
        <v>4117</v>
      </c>
      <c r="H1658" s="142" t="s">
        <v>4116</v>
      </c>
      <c r="I1658" s="141" t="s">
        <v>4139</v>
      </c>
      <c r="J1658" s="142" t="s">
        <v>1254</v>
      </c>
      <c r="K1658" s="142" t="s">
        <v>319</v>
      </c>
      <c r="L1658" s="143">
        <f t="shared" si="52"/>
        <v>15</v>
      </c>
      <c r="M1658" s="144" t="s">
        <v>4165</v>
      </c>
      <c r="N1658" s="141" t="s">
        <v>3749</v>
      </c>
      <c r="O1658" s="142" t="s">
        <v>3751</v>
      </c>
      <c r="P1658" s="141" t="s">
        <v>3557</v>
      </c>
      <c r="Q1658" s="142" t="s">
        <v>3751</v>
      </c>
      <c r="R1658" s="141" t="s">
        <v>3776</v>
      </c>
      <c r="S1658" s="142" t="s">
        <v>3774</v>
      </c>
      <c r="T1658" s="141" t="s">
        <v>3777</v>
      </c>
      <c r="U1658" s="142" t="s">
        <v>3774</v>
      </c>
      <c r="V1658" s="142" t="s">
        <v>4166</v>
      </c>
      <c r="W1658" s="141">
        <f t="shared" si="53"/>
        <v>3</v>
      </c>
      <c r="X1658" s="143"/>
      <c r="Y1658" s="145" t="s">
        <v>4167</v>
      </c>
      <c r="AA1658"/>
    </row>
    <row r="1659" spans="1:27" s="115" customFormat="1" ht="40.5" customHeight="1">
      <c r="A1659" s="139">
        <v>1563</v>
      </c>
      <c r="B1659" s="140" t="s">
        <v>6014</v>
      </c>
      <c r="C1659" s="141" t="s">
        <v>4041</v>
      </c>
      <c r="D1659" s="142" t="s">
        <v>4114</v>
      </c>
      <c r="E1659" s="141" t="s">
        <v>4115</v>
      </c>
      <c r="F1659" s="142" t="s">
        <v>4116</v>
      </c>
      <c r="G1659" s="141" t="s">
        <v>4117</v>
      </c>
      <c r="H1659" s="142" t="s">
        <v>4116</v>
      </c>
      <c r="I1659" s="141" t="s">
        <v>4139</v>
      </c>
      <c r="J1659" s="142" t="s">
        <v>1254</v>
      </c>
      <c r="K1659" s="142" t="s">
        <v>319</v>
      </c>
      <c r="L1659" s="143">
        <f t="shared" si="52"/>
        <v>15</v>
      </c>
      <c r="M1659" s="144" t="s">
        <v>4168</v>
      </c>
      <c r="N1659" s="141" t="s">
        <v>3749</v>
      </c>
      <c r="O1659" s="142" t="s">
        <v>3751</v>
      </c>
      <c r="P1659" s="141" t="s">
        <v>3557</v>
      </c>
      <c r="Q1659" s="142" t="s">
        <v>3751</v>
      </c>
      <c r="R1659" s="141" t="s">
        <v>3776</v>
      </c>
      <c r="S1659" s="142" t="s">
        <v>3774</v>
      </c>
      <c r="T1659" s="141" t="s">
        <v>3777</v>
      </c>
      <c r="U1659" s="142" t="s">
        <v>3774</v>
      </c>
      <c r="V1659" s="142" t="s">
        <v>1183</v>
      </c>
      <c r="W1659" s="141">
        <f t="shared" si="53"/>
        <v>1</v>
      </c>
      <c r="X1659" s="143"/>
      <c r="Y1659" s="145" t="s">
        <v>4169</v>
      </c>
      <c r="AA1659"/>
    </row>
    <row r="1660" spans="1:27" s="115" customFormat="1" ht="40.5" customHeight="1">
      <c r="A1660" s="139">
        <v>1563</v>
      </c>
      <c r="B1660" s="140" t="s">
        <v>6014</v>
      </c>
      <c r="C1660" s="141" t="s">
        <v>4041</v>
      </c>
      <c r="D1660" s="142" t="s">
        <v>4114</v>
      </c>
      <c r="E1660" s="141" t="s">
        <v>4115</v>
      </c>
      <c r="F1660" s="142" t="s">
        <v>4116</v>
      </c>
      <c r="G1660" s="141" t="s">
        <v>4117</v>
      </c>
      <c r="H1660" s="142" t="s">
        <v>4116</v>
      </c>
      <c r="I1660" s="141" t="s">
        <v>4139</v>
      </c>
      <c r="J1660" s="142" t="s">
        <v>1254</v>
      </c>
      <c r="K1660" s="142" t="s">
        <v>319</v>
      </c>
      <c r="L1660" s="143">
        <f t="shared" si="52"/>
        <v>15</v>
      </c>
      <c r="M1660" s="144" t="s">
        <v>4170</v>
      </c>
      <c r="N1660" s="141" t="s">
        <v>3749</v>
      </c>
      <c r="O1660" s="142" t="s">
        <v>3751</v>
      </c>
      <c r="P1660" s="141" t="s">
        <v>3557</v>
      </c>
      <c r="Q1660" s="142" t="s">
        <v>3751</v>
      </c>
      <c r="R1660" s="141" t="s">
        <v>3755</v>
      </c>
      <c r="S1660" s="142" t="s">
        <v>3752</v>
      </c>
      <c r="T1660" s="141" t="s">
        <v>3756</v>
      </c>
      <c r="U1660" s="142" t="s">
        <v>3753</v>
      </c>
      <c r="V1660" s="142" t="s">
        <v>1181</v>
      </c>
      <c r="W1660" s="141">
        <f t="shared" si="53"/>
        <v>2</v>
      </c>
      <c r="X1660" s="143"/>
      <c r="Y1660" s="145" t="s">
        <v>4171</v>
      </c>
      <c r="AA1660"/>
    </row>
    <row r="1661" spans="1:27" s="115" customFormat="1" ht="40.5" customHeight="1">
      <c r="A1661" s="139">
        <v>1563</v>
      </c>
      <c r="B1661" s="140" t="s">
        <v>6014</v>
      </c>
      <c r="C1661" s="141" t="s">
        <v>4041</v>
      </c>
      <c r="D1661" s="142" t="s">
        <v>4114</v>
      </c>
      <c r="E1661" s="141" t="s">
        <v>4115</v>
      </c>
      <c r="F1661" s="142" t="s">
        <v>4116</v>
      </c>
      <c r="G1661" s="141" t="s">
        <v>4117</v>
      </c>
      <c r="H1661" s="142" t="s">
        <v>4116</v>
      </c>
      <c r="I1661" s="141" t="s">
        <v>4139</v>
      </c>
      <c r="J1661" s="142" t="s">
        <v>1254</v>
      </c>
      <c r="K1661" s="142" t="s">
        <v>319</v>
      </c>
      <c r="L1661" s="143">
        <f t="shared" si="52"/>
        <v>15</v>
      </c>
      <c r="M1661" s="144" t="s">
        <v>4172</v>
      </c>
      <c r="N1661" s="141" t="s">
        <v>3749</v>
      </c>
      <c r="O1661" s="142" t="s">
        <v>3751</v>
      </c>
      <c r="P1661" s="141" t="s">
        <v>3557</v>
      </c>
      <c r="Q1661" s="142" t="s">
        <v>3751</v>
      </c>
      <c r="R1661" s="141" t="s">
        <v>3755</v>
      </c>
      <c r="S1661" s="142" t="s">
        <v>3752</v>
      </c>
      <c r="T1661" s="141" t="s">
        <v>3756</v>
      </c>
      <c r="U1661" s="142" t="s">
        <v>3753</v>
      </c>
      <c r="V1661" s="142" t="s">
        <v>1182</v>
      </c>
      <c r="W1661" s="141">
        <f t="shared" si="53"/>
        <v>2</v>
      </c>
      <c r="X1661" s="143"/>
      <c r="Y1661" s="145" t="s">
        <v>4173</v>
      </c>
      <c r="AA1661"/>
    </row>
    <row r="1662" spans="1:27" s="115" customFormat="1" ht="40.5" customHeight="1">
      <c r="A1662" s="139">
        <v>1563</v>
      </c>
      <c r="B1662" s="140" t="s">
        <v>6014</v>
      </c>
      <c r="C1662" s="141" t="s">
        <v>4041</v>
      </c>
      <c r="D1662" s="142" t="s">
        <v>4114</v>
      </c>
      <c r="E1662" s="141" t="s">
        <v>4115</v>
      </c>
      <c r="F1662" s="142" t="s">
        <v>4116</v>
      </c>
      <c r="G1662" s="141" t="s">
        <v>4117</v>
      </c>
      <c r="H1662" s="142" t="s">
        <v>4116</v>
      </c>
      <c r="I1662" s="141" t="s">
        <v>4139</v>
      </c>
      <c r="J1662" s="142" t="s">
        <v>1254</v>
      </c>
      <c r="K1662" s="142" t="s">
        <v>319</v>
      </c>
      <c r="L1662" s="143">
        <f t="shared" si="52"/>
        <v>15</v>
      </c>
      <c r="M1662" s="144" t="s">
        <v>4156</v>
      </c>
      <c r="N1662" s="141" t="s">
        <v>3749</v>
      </c>
      <c r="O1662" s="142" t="s">
        <v>3751</v>
      </c>
      <c r="P1662" s="141" t="s">
        <v>3557</v>
      </c>
      <c r="Q1662" s="142" t="s">
        <v>3751</v>
      </c>
      <c r="R1662" s="141" t="s">
        <v>3755</v>
      </c>
      <c r="S1662" s="142" t="s">
        <v>3752</v>
      </c>
      <c r="T1662" s="141" t="s">
        <v>3756</v>
      </c>
      <c r="U1662" s="142" t="s">
        <v>3753</v>
      </c>
      <c r="V1662" s="142" t="s">
        <v>1177</v>
      </c>
      <c r="W1662" s="141">
        <f t="shared" si="53"/>
        <v>3</v>
      </c>
      <c r="X1662" s="143"/>
      <c r="Y1662" s="145" t="s">
        <v>4174</v>
      </c>
      <c r="AA1662"/>
    </row>
    <row r="1663" spans="1:27" s="115" customFormat="1" ht="40.5" customHeight="1">
      <c r="A1663" s="139">
        <v>1563</v>
      </c>
      <c r="B1663" s="140" t="s">
        <v>6014</v>
      </c>
      <c r="C1663" s="141" t="s">
        <v>4041</v>
      </c>
      <c r="D1663" s="142" t="s">
        <v>4114</v>
      </c>
      <c r="E1663" s="141" t="s">
        <v>4115</v>
      </c>
      <c r="F1663" s="142" t="s">
        <v>4116</v>
      </c>
      <c r="G1663" s="141" t="s">
        <v>4117</v>
      </c>
      <c r="H1663" s="142" t="s">
        <v>4116</v>
      </c>
      <c r="I1663" s="141" t="s">
        <v>4139</v>
      </c>
      <c r="J1663" s="142" t="s">
        <v>1254</v>
      </c>
      <c r="K1663" s="142" t="s">
        <v>319</v>
      </c>
      <c r="L1663" s="143">
        <f t="shared" ref="L1663:L1726" si="54">COUNTIF($B$5:$B$1752,B1663)</f>
        <v>15</v>
      </c>
      <c r="M1663" s="144" t="s">
        <v>4158</v>
      </c>
      <c r="N1663" s="141" t="s">
        <v>3749</v>
      </c>
      <c r="O1663" s="142" t="s">
        <v>3751</v>
      </c>
      <c r="P1663" s="141" t="s">
        <v>3557</v>
      </c>
      <c r="Q1663" s="142" t="s">
        <v>3751</v>
      </c>
      <c r="R1663" s="141" t="s">
        <v>3755</v>
      </c>
      <c r="S1663" s="142" t="s">
        <v>3752</v>
      </c>
      <c r="T1663" s="141" t="s">
        <v>3780</v>
      </c>
      <c r="U1663" s="142" t="s">
        <v>292</v>
      </c>
      <c r="V1663" s="142" t="s">
        <v>1179</v>
      </c>
      <c r="W1663" s="141">
        <f t="shared" ref="W1663:W1726" si="55">COUNTIF($M$5:$M$1756,M1663)</f>
        <v>3</v>
      </c>
      <c r="X1663" s="143"/>
      <c r="Y1663" s="145" t="s">
        <v>4175</v>
      </c>
      <c r="AA1663"/>
    </row>
    <row r="1664" spans="1:27" s="115" customFormat="1" ht="40.5" customHeight="1">
      <c r="A1664" s="139">
        <v>1563</v>
      </c>
      <c r="B1664" s="140" t="s">
        <v>6014</v>
      </c>
      <c r="C1664" s="141" t="s">
        <v>4041</v>
      </c>
      <c r="D1664" s="142" t="s">
        <v>4114</v>
      </c>
      <c r="E1664" s="141" t="s">
        <v>4115</v>
      </c>
      <c r="F1664" s="142" t="s">
        <v>4116</v>
      </c>
      <c r="G1664" s="141" t="s">
        <v>4117</v>
      </c>
      <c r="H1664" s="142" t="s">
        <v>4116</v>
      </c>
      <c r="I1664" s="141" t="s">
        <v>4139</v>
      </c>
      <c r="J1664" s="142" t="s">
        <v>1254</v>
      </c>
      <c r="K1664" s="142" t="s">
        <v>319</v>
      </c>
      <c r="L1664" s="143">
        <f t="shared" si="54"/>
        <v>15</v>
      </c>
      <c r="M1664" s="144" t="s">
        <v>4176</v>
      </c>
      <c r="N1664" s="141" t="s">
        <v>3749</v>
      </c>
      <c r="O1664" s="142" t="s">
        <v>3751</v>
      </c>
      <c r="P1664" s="141" t="s">
        <v>3557</v>
      </c>
      <c r="Q1664" s="142" t="s">
        <v>3751</v>
      </c>
      <c r="R1664" s="141" t="s">
        <v>3755</v>
      </c>
      <c r="S1664" s="142" t="s">
        <v>3752</v>
      </c>
      <c r="T1664" s="141" t="s">
        <v>3780</v>
      </c>
      <c r="U1664" s="142" t="s">
        <v>292</v>
      </c>
      <c r="V1664" s="142" t="s">
        <v>1186</v>
      </c>
      <c r="W1664" s="141">
        <f t="shared" si="55"/>
        <v>2</v>
      </c>
      <c r="X1664" s="143"/>
      <c r="Y1664" s="145" t="s">
        <v>4177</v>
      </c>
      <c r="AA1664"/>
    </row>
    <row r="1665" spans="1:27" s="115" customFormat="1" ht="40.5" customHeight="1">
      <c r="A1665" s="139">
        <v>1563</v>
      </c>
      <c r="B1665" s="140" t="s">
        <v>6014</v>
      </c>
      <c r="C1665" s="141" t="s">
        <v>4041</v>
      </c>
      <c r="D1665" s="142" t="s">
        <v>4114</v>
      </c>
      <c r="E1665" s="141" t="s">
        <v>4115</v>
      </c>
      <c r="F1665" s="142" t="s">
        <v>4116</v>
      </c>
      <c r="G1665" s="141" t="s">
        <v>4117</v>
      </c>
      <c r="H1665" s="142" t="s">
        <v>4116</v>
      </c>
      <c r="I1665" s="141" t="s">
        <v>4139</v>
      </c>
      <c r="J1665" s="142" t="s">
        <v>1254</v>
      </c>
      <c r="K1665" s="142" t="s">
        <v>319</v>
      </c>
      <c r="L1665" s="143">
        <f t="shared" si="54"/>
        <v>15</v>
      </c>
      <c r="M1665" s="144" t="s">
        <v>4160</v>
      </c>
      <c r="N1665" s="141" t="s">
        <v>3749</v>
      </c>
      <c r="O1665" s="142" t="s">
        <v>3751</v>
      </c>
      <c r="P1665" s="141" t="s">
        <v>3557</v>
      </c>
      <c r="Q1665" s="142" t="s">
        <v>3751</v>
      </c>
      <c r="R1665" s="141" t="s">
        <v>3755</v>
      </c>
      <c r="S1665" s="142" t="s">
        <v>3752</v>
      </c>
      <c r="T1665" s="141" t="s">
        <v>3780</v>
      </c>
      <c r="U1665" s="142" t="s">
        <v>292</v>
      </c>
      <c r="V1665" s="142" t="s">
        <v>1187</v>
      </c>
      <c r="W1665" s="141">
        <f t="shared" si="55"/>
        <v>3</v>
      </c>
      <c r="X1665" s="143"/>
      <c r="Y1665" s="145" t="s">
        <v>4178</v>
      </c>
      <c r="AA1665"/>
    </row>
    <row r="1666" spans="1:27" s="115" customFormat="1" ht="40.5">
      <c r="A1666" s="139">
        <v>1563</v>
      </c>
      <c r="B1666" s="140" t="s">
        <v>6014</v>
      </c>
      <c r="C1666" s="141" t="s">
        <v>4041</v>
      </c>
      <c r="D1666" s="142" t="s">
        <v>4114</v>
      </c>
      <c r="E1666" s="141" t="s">
        <v>4115</v>
      </c>
      <c r="F1666" s="142" t="s">
        <v>4116</v>
      </c>
      <c r="G1666" s="141" t="s">
        <v>4117</v>
      </c>
      <c r="H1666" s="142" t="s">
        <v>4116</v>
      </c>
      <c r="I1666" s="141" t="s">
        <v>4139</v>
      </c>
      <c r="J1666" s="142" t="s">
        <v>1254</v>
      </c>
      <c r="K1666" s="142" t="s">
        <v>319</v>
      </c>
      <c r="L1666" s="143">
        <f t="shared" si="54"/>
        <v>15</v>
      </c>
      <c r="M1666" s="144" t="s">
        <v>4179</v>
      </c>
      <c r="N1666" s="141" t="s">
        <v>3749</v>
      </c>
      <c r="O1666" s="142" t="s">
        <v>3751</v>
      </c>
      <c r="P1666" s="141" t="s">
        <v>3557</v>
      </c>
      <c r="Q1666" s="142" t="s">
        <v>3751</v>
      </c>
      <c r="R1666" s="141" t="s">
        <v>3755</v>
      </c>
      <c r="S1666" s="142" t="s">
        <v>3752</v>
      </c>
      <c r="T1666" s="141" t="s">
        <v>3783</v>
      </c>
      <c r="U1666" s="142" t="s">
        <v>3782</v>
      </c>
      <c r="V1666" s="142" t="s">
        <v>1184</v>
      </c>
      <c r="W1666" s="141">
        <f t="shared" si="55"/>
        <v>2</v>
      </c>
      <c r="X1666" s="143"/>
      <c r="Y1666" s="145" t="s">
        <v>4180</v>
      </c>
      <c r="AA1666"/>
    </row>
    <row r="1667" spans="1:27" s="115" customFormat="1" ht="40.5">
      <c r="A1667" s="139">
        <v>1563</v>
      </c>
      <c r="B1667" s="140" t="s">
        <v>6014</v>
      </c>
      <c r="C1667" s="141" t="s">
        <v>4041</v>
      </c>
      <c r="D1667" s="142" t="s">
        <v>4114</v>
      </c>
      <c r="E1667" s="141" t="s">
        <v>4115</v>
      </c>
      <c r="F1667" s="142" t="s">
        <v>4116</v>
      </c>
      <c r="G1667" s="141" t="s">
        <v>4117</v>
      </c>
      <c r="H1667" s="142" t="s">
        <v>4116</v>
      </c>
      <c r="I1667" s="141" t="s">
        <v>4139</v>
      </c>
      <c r="J1667" s="142" t="s">
        <v>1254</v>
      </c>
      <c r="K1667" s="142" t="s">
        <v>319</v>
      </c>
      <c r="L1667" s="143">
        <f t="shared" si="54"/>
        <v>15</v>
      </c>
      <c r="M1667" s="144" t="s">
        <v>4181</v>
      </c>
      <c r="N1667" s="141" t="s">
        <v>3749</v>
      </c>
      <c r="O1667" s="142" t="s">
        <v>3751</v>
      </c>
      <c r="P1667" s="141" t="s">
        <v>3557</v>
      </c>
      <c r="Q1667" s="142" t="s">
        <v>3751</v>
      </c>
      <c r="R1667" s="141" t="s">
        <v>3755</v>
      </c>
      <c r="S1667" s="142" t="s">
        <v>3752</v>
      </c>
      <c r="T1667" s="141" t="s">
        <v>3783</v>
      </c>
      <c r="U1667" s="142" t="s">
        <v>3782</v>
      </c>
      <c r="V1667" s="142" t="s">
        <v>1185</v>
      </c>
      <c r="W1667" s="141">
        <f t="shared" si="55"/>
        <v>2</v>
      </c>
      <c r="X1667" s="143"/>
      <c r="Y1667" s="145" t="s">
        <v>4182</v>
      </c>
      <c r="AA1667"/>
    </row>
    <row r="1668" spans="1:27" s="115" customFormat="1" ht="40.5">
      <c r="A1668" s="139">
        <v>1563</v>
      </c>
      <c r="B1668" s="140" t="s">
        <v>6014</v>
      </c>
      <c r="C1668" s="141" t="s">
        <v>4041</v>
      </c>
      <c r="D1668" s="142" t="s">
        <v>4114</v>
      </c>
      <c r="E1668" s="141" t="s">
        <v>4115</v>
      </c>
      <c r="F1668" s="142" t="s">
        <v>4116</v>
      </c>
      <c r="G1668" s="141" t="s">
        <v>4117</v>
      </c>
      <c r="H1668" s="142" t="s">
        <v>4116</v>
      </c>
      <c r="I1668" s="141" t="s">
        <v>4139</v>
      </c>
      <c r="J1668" s="142" t="s">
        <v>1254</v>
      </c>
      <c r="K1668" s="142" t="s">
        <v>319</v>
      </c>
      <c r="L1668" s="143">
        <f t="shared" si="54"/>
        <v>15</v>
      </c>
      <c r="M1668" s="144" t="s">
        <v>4183</v>
      </c>
      <c r="N1668" s="141" t="s">
        <v>3749</v>
      </c>
      <c r="O1668" s="142" t="s">
        <v>3751</v>
      </c>
      <c r="P1668" s="141" t="s">
        <v>3557</v>
      </c>
      <c r="Q1668" s="142" t="s">
        <v>3751</v>
      </c>
      <c r="R1668" s="141" t="s">
        <v>3755</v>
      </c>
      <c r="S1668" s="142" t="s">
        <v>3752</v>
      </c>
      <c r="T1668" s="141" t="s">
        <v>3770</v>
      </c>
      <c r="U1668" s="142" t="s">
        <v>3768</v>
      </c>
      <c r="V1668" s="142" t="s">
        <v>293</v>
      </c>
      <c r="W1668" s="141">
        <f t="shared" si="55"/>
        <v>2</v>
      </c>
      <c r="X1668" s="143"/>
      <c r="Y1668" s="145" t="s">
        <v>4184</v>
      </c>
      <c r="AA1668"/>
    </row>
    <row r="1669" spans="1:27" s="115" customFormat="1" ht="40.5">
      <c r="A1669" s="139">
        <v>1563</v>
      </c>
      <c r="B1669" s="140" t="s">
        <v>6014</v>
      </c>
      <c r="C1669" s="141" t="s">
        <v>4041</v>
      </c>
      <c r="D1669" s="142" t="s">
        <v>4114</v>
      </c>
      <c r="E1669" s="141" t="s">
        <v>4115</v>
      </c>
      <c r="F1669" s="142" t="s">
        <v>4116</v>
      </c>
      <c r="G1669" s="141" t="s">
        <v>4117</v>
      </c>
      <c r="H1669" s="142" t="s">
        <v>4116</v>
      </c>
      <c r="I1669" s="141" t="s">
        <v>4139</v>
      </c>
      <c r="J1669" s="142" t="s">
        <v>1254</v>
      </c>
      <c r="K1669" s="142" t="s">
        <v>319</v>
      </c>
      <c r="L1669" s="143">
        <f t="shared" si="54"/>
        <v>15</v>
      </c>
      <c r="M1669" s="144" t="s">
        <v>4162</v>
      </c>
      <c r="N1669" s="141" t="s">
        <v>3749</v>
      </c>
      <c r="O1669" s="142" t="s">
        <v>3751</v>
      </c>
      <c r="P1669" s="141" t="s">
        <v>3557</v>
      </c>
      <c r="Q1669" s="142" t="s">
        <v>3751</v>
      </c>
      <c r="R1669" s="141" t="s">
        <v>3755</v>
      </c>
      <c r="S1669" s="142" t="s">
        <v>3752</v>
      </c>
      <c r="T1669" s="141" t="s">
        <v>3770</v>
      </c>
      <c r="U1669" s="142" t="s">
        <v>3768</v>
      </c>
      <c r="V1669" s="142" t="s">
        <v>1176</v>
      </c>
      <c r="W1669" s="141">
        <f t="shared" si="55"/>
        <v>3</v>
      </c>
      <c r="X1669" s="143"/>
      <c r="Y1669" s="145" t="s">
        <v>4185</v>
      </c>
      <c r="AA1669"/>
    </row>
    <row r="1670" spans="1:27" s="115" customFormat="1" ht="40.5" customHeight="1">
      <c r="A1670" s="139">
        <v>1563</v>
      </c>
      <c r="B1670" s="140" t="s">
        <v>6014</v>
      </c>
      <c r="C1670" s="141" t="s">
        <v>4041</v>
      </c>
      <c r="D1670" s="142" t="s">
        <v>4114</v>
      </c>
      <c r="E1670" s="141" t="s">
        <v>4115</v>
      </c>
      <c r="F1670" s="142" t="s">
        <v>4116</v>
      </c>
      <c r="G1670" s="141" t="s">
        <v>4117</v>
      </c>
      <c r="H1670" s="142" t="s">
        <v>4116</v>
      </c>
      <c r="I1670" s="141" t="s">
        <v>4139</v>
      </c>
      <c r="J1670" s="142" t="s">
        <v>1254</v>
      </c>
      <c r="K1670" s="142" t="s">
        <v>319</v>
      </c>
      <c r="L1670" s="143">
        <f t="shared" si="54"/>
        <v>15</v>
      </c>
      <c r="M1670" s="144" t="s">
        <v>4186</v>
      </c>
      <c r="N1670" s="141" t="s">
        <v>3749</v>
      </c>
      <c r="O1670" s="142" t="s">
        <v>3751</v>
      </c>
      <c r="P1670" s="141" t="s">
        <v>3557</v>
      </c>
      <c r="Q1670" s="142" t="s">
        <v>3751</v>
      </c>
      <c r="R1670" s="141" t="s">
        <v>3755</v>
      </c>
      <c r="S1670" s="142" t="s">
        <v>3752</v>
      </c>
      <c r="T1670" s="141" t="s">
        <v>3790</v>
      </c>
      <c r="U1670" s="142" t="s">
        <v>3788</v>
      </c>
      <c r="V1670" s="142" t="s">
        <v>1180</v>
      </c>
      <c r="W1670" s="141">
        <f t="shared" si="55"/>
        <v>2</v>
      </c>
      <c r="X1670" s="143"/>
      <c r="Y1670" s="145" t="s">
        <v>4187</v>
      </c>
      <c r="AA1670"/>
    </row>
    <row r="1671" spans="1:27" s="115" customFormat="1" ht="40.5" customHeight="1">
      <c r="A1671" s="139">
        <v>1563</v>
      </c>
      <c r="B1671" s="140" t="s">
        <v>6014</v>
      </c>
      <c r="C1671" s="141" t="s">
        <v>4041</v>
      </c>
      <c r="D1671" s="142" t="s">
        <v>4114</v>
      </c>
      <c r="E1671" s="141" t="s">
        <v>4115</v>
      </c>
      <c r="F1671" s="142" t="s">
        <v>4116</v>
      </c>
      <c r="G1671" s="141" t="s">
        <v>4117</v>
      </c>
      <c r="H1671" s="142" t="s">
        <v>4116</v>
      </c>
      <c r="I1671" s="141" t="s">
        <v>4139</v>
      </c>
      <c r="J1671" s="142" t="s">
        <v>1254</v>
      </c>
      <c r="K1671" s="142" t="s">
        <v>319</v>
      </c>
      <c r="L1671" s="143">
        <f t="shared" si="54"/>
        <v>15</v>
      </c>
      <c r="M1671" s="144" t="s">
        <v>4188</v>
      </c>
      <c r="N1671" s="141" t="s">
        <v>3749</v>
      </c>
      <c r="O1671" s="142" t="s">
        <v>3751</v>
      </c>
      <c r="P1671" s="141" t="s">
        <v>3557</v>
      </c>
      <c r="Q1671" s="142" t="s">
        <v>3751</v>
      </c>
      <c r="R1671" s="141" t="s">
        <v>3755</v>
      </c>
      <c r="S1671" s="142" t="s">
        <v>3752</v>
      </c>
      <c r="T1671" s="141" t="s">
        <v>3790</v>
      </c>
      <c r="U1671" s="142" t="s">
        <v>3788</v>
      </c>
      <c r="V1671" s="142" t="s">
        <v>1188</v>
      </c>
      <c r="W1671" s="141">
        <f t="shared" si="55"/>
        <v>3</v>
      </c>
      <c r="X1671" s="143"/>
      <c r="Y1671" s="145" t="s">
        <v>4189</v>
      </c>
      <c r="AA1671"/>
    </row>
    <row r="1672" spans="1:27" s="115" customFormat="1" ht="40.5" customHeight="1">
      <c r="A1672" s="139">
        <v>1564</v>
      </c>
      <c r="B1672" s="140" t="s">
        <v>6015</v>
      </c>
      <c r="C1672" s="141" t="s">
        <v>4041</v>
      </c>
      <c r="D1672" s="142" t="s">
        <v>4114</v>
      </c>
      <c r="E1672" s="141" t="s">
        <v>4115</v>
      </c>
      <c r="F1672" s="142" t="s">
        <v>4116</v>
      </c>
      <c r="G1672" s="141" t="s">
        <v>4117</v>
      </c>
      <c r="H1672" s="142" t="s">
        <v>4116</v>
      </c>
      <c r="I1672" s="141" t="s">
        <v>4139</v>
      </c>
      <c r="J1672" s="142" t="s">
        <v>1254</v>
      </c>
      <c r="K1672" s="142" t="s">
        <v>54</v>
      </c>
      <c r="L1672" s="143">
        <f t="shared" si="54"/>
        <v>1</v>
      </c>
      <c r="M1672" s="144" t="s">
        <v>4152</v>
      </c>
      <c r="N1672" s="141" t="s">
        <v>3937</v>
      </c>
      <c r="O1672" s="142" t="s">
        <v>3938</v>
      </c>
      <c r="P1672" s="141" t="s">
        <v>3943</v>
      </c>
      <c r="Q1672" s="142" t="s">
        <v>3939</v>
      </c>
      <c r="R1672" s="141" t="s">
        <v>3951</v>
      </c>
      <c r="S1672" s="142" t="s">
        <v>3948</v>
      </c>
      <c r="T1672" s="141" t="s">
        <v>3997</v>
      </c>
      <c r="U1672" s="142" t="s">
        <v>3995</v>
      </c>
      <c r="V1672" s="142" t="s">
        <v>1210</v>
      </c>
      <c r="W1672" s="141">
        <f t="shared" si="55"/>
        <v>3</v>
      </c>
      <c r="X1672" s="143"/>
      <c r="Y1672" s="145" t="s">
        <v>4190</v>
      </c>
      <c r="AA1672"/>
    </row>
    <row r="1673" spans="1:27" s="115" customFormat="1" ht="40.5">
      <c r="A1673" s="139">
        <v>1565</v>
      </c>
      <c r="B1673" s="140" t="s">
        <v>6016</v>
      </c>
      <c r="C1673" s="141" t="s">
        <v>4041</v>
      </c>
      <c r="D1673" s="142" t="s">
        <v>4114</v>
      </c>
      <c r="E1673" s="141" t="s">
        <v>4115</v>
      </c>
      <c r="F1673" s="142" t="s">
        <v>4116</v>
      </c>
      <c r="G1673" s="141" t="s">
        <v>4117</v>
      </c>
      <c r="H1673" s="142" t="s">
        <v>4116</v>
      </c>
      <c r="I1673" s="141" t="s">
        <v>4139</v>
      </c>
      <c r="J1673" s="142" t="s">
        <v>1254</v>
      </c>
      <c r="K1673" s="142" t="s">
        <v>1251</v>
      </c>
      <c r="L1673" s="143">
        <f t="shared" si="54"/>
        <v>1</v>
      </c>
      <c r="M1673" s="144" t="s">
        <v>4191</v>
      </c>
      <c r="N1673" s="141" t="s">
        <v>4041</v>
      </c>
      <c r="O1673" s="142" t="s">
        <v>4042</v>
      </c>
      <c r="P1673" s="141" t="s">
        <v>4048</v>
      </c>
      <c r="Q1673" s="142" t="s">
        <v>4043</v>
      </c>
      <c r="R1673" s="141" t="s">
        <v>4049</v>
      </c>
      <c r="S1673" s="142" t="s">
        <v>4044</v>
      </c>
      <c r="T1673" s="141" t="s">
        <v>4061</v>
      </c>
      <c r="U1673" s="142" t="s">
        <v>4059</v>
      </c>
      <c r="V1673" s="142" t="s">
        <v>1229</v>
      </c>
      <c r="W1673" s="141">
        <f t="shared" si="55"/>
        <v>3</v>
      </c>
      <c r="X1673" s="143"/>
      <c r="Y1673" s="145" t="s">
        <v>4192</v>
      </c>
      <c r="AA1673"/>
    </row>
    <row r="1674" spans="1:27" s="115" customFormat="1" ht="40.5">
      <c r="A1674" s="139">
        <v>1566</v>
      </c>
      <c r="B1674" s="140" t="s">
        <v>6017</v>
      </c>
      <c r="C1674" s="141" t="s">
        <v>4041</v>
      </c>
      <c r="D1674" s="142" t="s">
        <v>4114</v>
      </c>
      <c r="E1674" s="141" t="s">
        <v>4115</v>
      </c>
      <c r="F1674" s="142" t="s">
        <v>4116</v>
      </c>
      <c r="G1674" s="141" t="s">
        <v>4117</v>
      </c>
      <c r="H1674" s="142" t="s">
        <v>4116</v>
      </c>
      <c r="I1674" s="141" t="s">
        <v>4139</v>
      </c>
      <c r="J1674" s="142" t="s">
        <v>1254</v>
      </c>
      <c r="K1674" s="142" t="s">
        <v>1252</v>
      </c>
      <c r="L1674" s="143">
        <f t="shared" si="54"/>
        <v>1</v>
      </c>
      <c r="M1674" s="144" t="s">
        <v>4193</v>
      </c>
      <c r="N1674" s="141" t="s">
        <v>3273</v>
      </c>
      <c r="O1674" s="142" t="s">
        <v>3274</v>
      </c>
      <c r="P1674" s="141" t="s">
        <v>3310</v>
      </c>
      <c r="Q1674" s="142" t="s">
        <v>3339</v>
      </c>
      <c r="R1674" s="141" t="s">
        <v>3361</v>
      </c>
      <c r="S1674" s="142" t="s">
        <v>3358</v>
      </c>
      <c r="T1674" s="141" t="s">
        <v>3362</v>
      </c>
      <c r="U1674" s="142" t="s">
        <v>3358</v>
      </c>
      <c r="V1674" s="142" t="s">
        <v>1095</v>
      </c>
      <c r="W1674" s="141">
        <f t="shared" si="55"/>
        <v>1</v>
      </c>
      <c r="X1674" s="143"/>
      <c r="Y1674" s="145" t="s">
        <v>4194</v>
      </c>
      <c r="AA1674"/>
    </row>
    <row r="1675" spans="1:27" s="115" customFormat="1" ht="40.5">
      <c r="A1675" s="139">
        <v>1567</v>
      </c>
      <c r="B1675" s="140" t="s">
        <v>6018</v>
      </c>
      <c r="C1675" s="141" t="s">
        <v>4041</v>
      </c>
      <c r="D1675" s="142" t="s">
        <v>4114</v>
      </c>
      <c r="E1675" s="141" t="s">
        <v>4115</v>
      </c>
      <c r="F1675" s="142" t="s">
        <v>4116</v>
      </c>
      <c r="G1675" s="141" t="s">
        <v>4117</v>
      </c>
      <c r="H1675" s="142" t="s">
        <v>4116</v>
      </c>
      <c r="I1675" s="141" t="s">
        <v>4139</v>
      </c>
      <c r="J1675" s="142" t="s">
        <v>1254</v>
      </c>
      <c r="K1675" s="142" t="s">
        <v>1253</v>
      </c>
      <c r="L1675" s="143">
        <f t="shared" si="54"/>
        <v>1</v>
      </c>
      <c r="M1675" s="144" t="s">
        <v>4195</v>
      </c>
      <c r="N1675" s="141" t="s">
        <v>2373</v>
      </c>
      <c r="O1675" s="142" t="s">
        <v>2374</v>
      </c>
      <c r="P1675" s="141" t="s">
        <v>2408</v>
      </c>
      <c r="Q1675" s="142" t="s">
        <v>2402</v>
      </c>
      <c r="R1675" s="141" t="s">
        <v>2775</v>
      </c>
      <c r="S1675" s="142" t="s">
        <v>2772</v>
      </c>
      <c r="T1675" s="141" t="s">
        <v>2776</v>
      </c>
      <c r="U1675" s="142" t="s">
        <v>2773</v>
      </c>
      <c r="V1675" s="142" t="s">
        <v>232</v>
      </c>
      <c r="W1675" s="141">
        <f t="shared" si="55"/>
        <v>1</v>
      </c>
      <c r="X1675" s="143"/>
      <c r="Y1675" s="145" t="s">
        <v>4196</v>
      </c>
      <c r="AA1675"/>
    </row>
    <row r="1676" spans="1:27" s="115" customFormat="1" ht="40.5">
      <c r="A1676" s="139">
        <v>1568</v>
      </c>
      <c r="B1676" s="140" t="s">
        <v>6019</v>
      </c>
      <c r="C1676" s="141" t="s">
        <v>4041</v>
      </c>
      <c r="D1676" s="142" t="s">
        <v>4114</v>
      </c>
      <c r="E1676" s="141" t="s">
        <v>4115</v>
      </c>
      <c r="F1676" s="142" t="s">
        <v>4116</v>
      </c>
      <c r="G1676" s="141" t="s">
        <v>4117</v>
      </c>
      <c r="H1676" s="142" t="s">
        <v>4116</v>
      </c>
      <c r="I1676" s="141" t="s">
        <v>4139</v>
      </c>
      <c r="J1676" s="142" t="s">
        <v>1254</v>
      </c>
      <c r="K1676" s="142" t="s">
        <v>4197</v>
      </c>
      <c r="L1676" s="143">
        <f t="shared" si="54"/>
        <v>3</v>
      </c>
      <c r="M1676" s="144" t="s">
        <v>4198</v>
      </c>
      <c r="N1676" s="141" t="s">
        <v>2373</v>
      </c>
      <c r="O1676" s="142" t="s">
        <v>2374</v>
      </c>
      <c r="P1676" s="141" t="s">
        <v>2262</v>
      </c>
      <c r="Q1676" s="142" t="s">
        <v>2376</v>
      </c>
      <c r="R1676" s="141" t="s">
        <v>2264</v>
      </c>
      <c r="S1676" s="142" t="s">
        <v>2378</v>
      </c>
      <c r="T1676" s="141" t="s">
        <v>2266</v>
      </c>
      <c r="U1676" s="142" t="s">
        <v>174</v>
      </c>
      <c r="V1676" s="142" t="s">
        <v>174</v>
      </c>
      <c r="W1676" s="141">
        <f t="shared" si="55"/>
        <v>1</v>
      </c>
      <c r="X1676" s="143"/>
      <c r="Y1676" s="145" t="s">
        <v>4199</v>
      </c>
      <c r="AA1676"/>
    </row>
    <row r="1677" spans="1:27" s="115" customFormat="1" ht="54">
      <c r="A1677" s="139">
        <v>1568</v>
      </c>
      <c r="B1677" s="140" t="s">
        <v>6019</v>
      </c>
      <c r="C1677" s="141" t="s">
        <v>4041</v>
      </c>
      <c r="D1677" s="142" t="s">
        <v>4114</v>
      </c>
      <c r="E1677" s="141" t="s">
        <v>4115</v>
      </c>
      <c r="F1677" s="142" t="s">
        <v>4116</v>
      </c>
      <c r="G1677" s="141" t="s">
        <v>4117</v>
      </c>
      <c r="H1677" s="142" t="s">
        <v>4116</v>
      </c>
      <c r="I1677" s="141" t="s">
        <v>4139</v>
      </c>
      <c r="J1677" s="142" t="s">
        <v>1254</v>
      </c>
      <c r="K1677" s="142" t="s">
        <v>4197</v>
      </c>
      <c r="L1677" s="143">
        <f t="shared" si="54"/>
        <v>3</v>
      </c>
      <c r="M1677" s="144" t="s">
        <v>4200</v>
      </c>
      <c r="N1677" s="141" t="s">
        <v>2373</v>
      </c>
      <c r="O1677" s="142" t="s">
        <v>2374</v>
      </c>
      <c r="P1677" s="141" t="s">
        <v>2408</v>
      </c>
      <c r="Q1677" s="142" t="s">
        <v>2402</v>
      </c>
      <c r="R1677" s="141" t="s">
        <v>2775</v>
      </c>
      <c r="S1677" s="142" t="s">
        <v>2772</v>
      </c>
      <c r="T1677" s="141" t="s">
        <v>2776</v>
      </c>
      <c r="U1677" s="142" t="s">
        <v>2773</v>
      </c>
      <c r="V1677" s="142" t="s">
        <v>211</v>
      </c>
      <c r="W1677" s="141">
        <f t="shared" si="55"/>
        <v>2</v>
      </c>
      <c r="X1677" s="143"/>
      <c r="Y1677" s="145" t="s">
        <v>4201</v>
      </c>
      <c r="AA1677"/>
    </row>
    <row r="1678" spans="1:27" s="115" customFormat="1" ht="40.5">
      <c r="A1678" s="139">
        <v>1568</v>
      </c>
      <c r="B1678" s="140" t="s">
        <v>6019</v>
      </c>
      <c r="C1678" s="141" t="s">
        <v>4041</v>
      </c>
      <c r="D1678" s="142" t="s">
        <v>4114</v>
      </c>
      <c r="E1678" s="141" t="s">
        <v>4115</v>
      </c>
      <c r="F1678" s="142" t="s">
        <v>4116</v>
      </c>
      <c r="G1678" s="141" t="s">
        <v>4117</v>
      </c>
      <c r="H1678" s="142" t="s">
        <v>4116</v>
      </c>
      <c r="I1678" s="141" t="s">
        <v>4139</v>
      </c>
      <c r="J1678" s="142" t="s">
        <v>1254</v>
      </c>
      <c r="K1678" s="142" t="s">
        <v>4197</v>
      </c>
      <c r="L1678" s="143">
        <f t="shared" si="54"/>
        <v>3</v>
      </c>
      <c r="M1678" s="144" t="s">
        <v>4165</v>
      </c>
      <c r="N1678" s="141" t="s">
        <v>3749</v>
      </c>
      <c r="O1678" s="142" t="s">
        <v>3751</v>
      </c>
      <c r="P1678" s="141" t="s">
        <v>3557</v>
      </c>
      <c r="Q1678" s="142" t="s">
        <v>3751</v>
      </c>
      <c r="R1678" s="141" t="s">
        <v>3776</v>
      </c>
      <c r="S1678" s="142" t="s">
        <v>3774</v>
      </c>
      <c r="T1678" s="141" t="s">
        <v>3777</v>
      </c>
      <c r="U1678" s="142" t="s">
        <v>3774</v>
      </c>
      <c r="V1678" s="142" t="s">
        <v>4166</v>
      </c>
      <c r="W1678" s="141">
        <f t="shared" si="55"/>
        <v>3</v>
      </c>
      <c r="X1678" s="143"/>
      <c r="Y1678" s="145" t="s">
        <v>4202</v>
      </c>
      <c r="AA1678"/>
    </row>
    <row r="1679" spans="1:27" s="115" customFormat="1" ht="40.5">
      <c r="A1679" s="139">
        <v>1569</v>
      </c>
      <c r="B1679" s="140" t="s">
        <v>6020</v>
      </c>
      <c r="C1679" s="141" t="s">
        <v>4041</v>
      </c>
      <c r="D1679" s="142" t="s">
        <v>4114</v>
      </c>
      <c r="E1679" s="141" t="s">
        <v>4115</v>
      </c>
      <c r="F1679" s="142" t="s">
        <v>4116</v>
      </c>
      <c r="G1679" s="141" t="s">
        <v>4117</v>
      </c>
      <c r="H1679" s="142" t="s">
        <v>4116</v>
      </c>
      <c r="I1679" s="141" t="s">
        <v>4139</v>
      </c>
      <c r="J1679" s="142" t="s">
        <v>1254</v>
      </c>
      <c r="K1679" s="142" t="s">
        <v>1254</v>
      </c>
      <c r="L1679" s="143">
        <f t="shared" si="54"/>
        <v>6</v>
      </c>
      <c r="M1679" s="170" t="s">
        <v>4203</v>
      </c>
      <c r="N1679" s="141" t="s">
        <v>1270</v>
      </c>
      <c r="O1679" s="142" t="s">
        <v>1271</v>
      </c>
      <c r="P1679" s="141" t="s">
        <v>1347</v>
      </c>
      <c r="Q1679" s="142" t="s">
        <v>1341</v>
      </c>
      <c r="R1679" s="141" t="s">
        <v>1348</v>
      </c>
      <c r="S1679" s="142" t="s">
        <v>1343</v>
      </c>
      <c r="T1679" s="141" t="s">
        <v>1349</v>
      </c>
      <c r="U1679" s="142" t="s">
        <v>1345</v>
      </c>
      <c r="V1679" s="142" t="s">
        <v>357</v>
      </c>
      <c r="W1679" s="141">
        <f t="shared" si="55"/>
        <v>1</v>
      </c>
      <c r="X1679" s="143"/>
      <c r="Y1679" s="145" t="s">
        <v>4204</v>
      </c>
      <c r="AA1679"/>
    </row>
    <row r="1680" spans="1:27" s="115" customFormat="1" ht="40.5">
      <c r="A1680" s="139">
        <v>1569</v>
      </c>
      <c r="B1680" s="140" t="s">
        <v>6020</v>
      </c>
      <c r="C1680" s="141" t="s">
        <v>4041</v>
      </c>
      <c r="D1680" s="142" t="s">
        <v>4114</v>
      </c>
      <c r="E1680" s="141" t="s">
        <v>4115</v>
      </c>
      <c r="F1680" s="142" t="s">
        <v>4116</v>
      </c>
      <c r="G1680" s="141" t="s">
        <v>4117</v>
      </c>
      <c r="H1680" s="142" t="s">
        <v>4116</v>
      </c>
      <c r="I1680" s="141" t="s">
        <v>4139</v>
      </c>
      <c r="J1680" s="142" t="s">
        <v>1254</v>
      </c>
      <c r="K1680" s="142" t="s">
        <v>1254</v>
      </c>
      <c r="L1680" s="143">
        <f t="shared" si="54"/>
        <v>6</v>
      </c>
      <c r="M1680" s="170" t="s">
        <v>4205</v>
      </c>
      <c r="N1680" s="141" t="s">
        <v>1270</v>
      </c>
      <c r="O1680" s="142" t="s">
        <v>1271</v>
      </c>
      <c r="P1680" s="141" t="s">
        <v>1347</v>
      </c>
      <c r="Q1680" s="142" t="s">
        <v>1341</v>
      </c>
      <c r="R1680" s="141" t="s">
        <v>1348</v>
      </c>
      <c r="S1680" s="142" t="s">
        <v>1343</v>
      </c>
      <c r="T1680" s="141" t="s">
        <v>1349</v>
      </c>
      <c r="U1680" s="142" t="s">
        <v>1345</v>
      </c>
      <c r="V1680" s="142" t="s">
        <v>356</v>
      </c>
      <c r="W1680" s="141">
        <f t="shared" si="55"/>
        <v>1</v>
      </c>
      <c r="X1680" s="143"/>
      <c r="Y1680" s="145" t="s">
        <v>4204</v>
      </c>
      <c r="AA1680"/>
    </row>
    <row r="1681" spans="1:27" s="115" customFormat="1" ht="40.5">
      <c r="A1681" s="139">
        <v>1569</v>
      </c>
      <c r="B1681" s="140" t="s">
        <v>6020</v>
      </c>
      <c r="C1681" s="141" t="s">
        <v>4041</v>
      </c>
      <c r="D1681" s="142" t="s">
        <v>4114</v>
      </c>
      <c r="E1681" s="141" t="s">
        <v>4115</v>
      </c>
      <c r="F1681" s="142" t="s">
        <v>4116</v>
      </c>
      <c r="G1681" s="141" t="s">
        <v>4117</v>
      </c>
      <c r="H1681" s="142" t="s">
        <v>4116</v>
      </c>
      <c r="I1681" s="141" t="s">
        <v>4139</v>
      </c>
      <c r="J1681" s="142" t="s">
        <v>1254</v>
      </c>
      <c r="K1681" s="142" t="s">
        <v>1254</v>
      </c>
      <c r="L1681" s="143">
        <f t="shared" si="54"/>
        <v>6</v>
      </c>
      <c r="M1681" s="170" t="s">
        <v>4206</v>
      </c>
      <c r="N1681" s="141" t="s">
        <v>1270</v>
      </c>
      <c r="O1681" s="142" t="s">
        <v>1271</v>
      </c>
      <c r="P1681" s="141" t="s">
        <v>1347</v>
      </c>
      <c r="Q1681" s="142" t="s">
        <v>1341</v>
      </c>
      <c r="R1681" s="141" t="s">
        <v>1348</v>
      </c>
      <c r="S1681" s="142" t="s">
        <v>1343</v>
      </c>
      <c r="T1681" s="141" t="s">
        <v>1353</v>
      </c>
      <c r="U1681" s="142" t="s">
        <v>358</v>
      </c>
      <c r="V1681" s="142" t="s">
        <v>358</v>
      </c>
      <c r="W1681" s="141">
        <f t="shared" si="55"/>
        <v>1</v>
      </c>
      <c r="X1681" s="143"/>
      <c r="Y1681" s="145" t="s">
        <v>4204</v>
      </c>
      <c r="AA1681"/>
    </row>
    <row r="1682" spans="1:27" s="115" customFormat="1" ht="40.5">
      <c r="A1682" s="139">
        <v>1569</v>
      </c>
      <c r="B1682" s="140" t="s">
        <v>6020</v>
      </c>
      <c r="C1682" s="141" t="s">
        <v>4041</v>
      </c>
      <c r="D1682" s="142" t="s">
        <v>4114</v>
      </c>
      <c r="E1682" s="141" t="s">
        <v>4115</v>
      </c>
      <c r="F1682" s="142" t="s">
        <v>4116</v>
      </c>
      <c r="G1682" s="141" t="s">
        <v>4117</v>
      </c>
      <c r="H1682" s="142" t="s">
        <v>4116</v>
      </c>
      <c r="I1682" s="141" t="s">
        <v>4139</v>
      </c>
      <c r="J1682" s="142" t="s">
        <v>1254</v>
      </c>
      <c r="K1682" s="142" t="s">
        <v>1254</v>
      </c>
      <c r="L1682" s="143">
        <f t="shared" si="54"/>
        <v>6</v>
      </c>
      <c r="M1682" s="144" t="s">
        <v>4207</v>
      </c>
      <c r="N1682" s="141" t="s">
        <v>3154</v>
      </c>
      <c r="O1682" s="142" t="s">
        <v>3155</v>
      </c>
      <c r="P1682" s="141" t="s">
        <v>3015</v>
      </c>
      <c r="Q1682" s="142" t="s">
        <v>3199</v>
      </c>
      <c r="R1682" s="141" t="s">
        <v>3204</v>
      </c>
      <c r="S1682" s="142" t="s">
        <v>3199</v>
      </c>
      <c r="T1682" s="141" t="s">
        <v>3221</v>
      </c>
      <c r="U1682" s="142" t="s">
        <v>1052</v>
      </c>
      <c r="V1682" s="142" t="s">
        <v>1052</v>
      </c>
      <c r="W1682" s="141">
        <f t="shared" si="55"/>
        <v>2</v>
      </c>
      <c r="X1682" s="143"/>
      <c r="Y1682" s="145" t="s">
        <v>4208</v>
      </c>
      <c r="AA1682"/>
    </row>
    <row r="1683" spans="1:27" s="115" customFormat="1" ht="40.5">
      <c r="A1683" s="139">
        <v>1569</v>
      </c>
      <c r="B1683" s="140" t="s">
        <v>6020</v>
      </c>
      <c r="C1683" s="141" t="s">
        <v>4041</v>
      </c>
      <c r="D1683" s="142" t="s">
        <v>4114</v>
      </c>
      <c r="E1683" s="141" t="s">
        <v>4115</v>
      </c>
      <c r="F1683" s="142" t="s">
        <v>4116</v>
      </c>
      <c r="G1683" s="141" t="s">
        <v>4117</v>
      </c>
      <c r="H1683" s="142" t="s">
        <v>4116</v>
      </c>
      <c r="I1683" s="141" t="s">
        <v>4139</v>
      </c>
      <c r="J1683" s="142" t="s">
        <v>1254</v>
      </c>
      <c r="K1683" s="142" t="s">
        <v>1254</v>
      </c>
      <c r="L1683" s="143">
        <f t="shared" si="54"/>
        <v>6</v>
      </c>
      <c r="M1683" s="144" t="s">
        <v>4209</v>
      </c>
      <c r="N1683" s="141" t="s">
        <v>2149</v>
      </c>
      <c r="O1683" s="142" t="s">
        <v>2150</v>
      </c>
      <c r="P1683" s="141" t="s">
        <v>2151</v>
      </c>
      <c r="Q1683" s="142" t="s">
        <v>2152</v>
      </c>
      <c r="R1683" s="141" t="s">
        <v>2153</v>
      </c>
      <c r="S1683" s="142" t="s">
        <v>2154</v>
      </c>
      <c r="T1683" s="141" t="s">
        <v>2155</v>
      </c>
      <c r="U1683" s="142" t="s">
        <v>2148</v>
      </c>
      <c r="V1683" s="142" t="s">
        <v>1153</v>
      </c>
      <c r="W1683" s="141">
        <f t="shared" si="55"/>
        <v>4</v>
      </c>
      <c r="X1683" s="143"/>
      <c r="Y1683" s="145" t="s">
        <v>4210</v>
      </c>
      <c r="AA1683"/>
    </row>
    <row r="1684" spans="1:27" s="115" customFormat="1" ht="40.5">
      <c r="A1684" s="139">
        <v>1569</v>
      </c>
      <c r="B1684" s="140" t="s">
        <v>6020</v>
      </c>
      <c r="C1684" s="141" t="s">
        <v>4041</v>
      </c>
      <c r="D1684" s="142" t="s">
        <v>4114</v>
      </c>
      <c r="E1684" s="141" t="s">
        <v>4115</v>
      </c>
      <c r="F1684" s="142" t="s">
        <v>4116</v>
      </c>
      <c r="G1684" s="141" t="s">
        <v>4117</v>
      </c>
      <c r="H1684" s="142" t="s">
        <v>4116</v>
      </c>
      <c r="I1684" s="141" t="s">
        <v>4139</v>
      </c>
      <c r="J1684" s="142" t="s">
        <v>1254</v>
      </c>
      <c r="K1684" s="142" t="s">
        <v>1254</v>
      </c>
      <c r="L1684" s="143">
        <f t="shared" si="54"/>
        <v>6</v>
      </c>
      <c r="M1684" s="144" t="s">
        <v>4211</v>
      </c>
      <c r="N1684" s="146" t="s">
        <v>4041</v>
      </c>
      <c r="O1684" s="147" t="s">
        <v>4042</v>
      </c>
      <c r="P1684" s="146" t="s">
        <v>3933</v>
      </c>
      <c r="Q1684" s="147" t="s">
        <v>4052</v>
      </c>
      <c r="R1684" s="146" t="s">
        <v>4066</v>
      </c>
      <c r="S1684" s="147" t="s">
        <v>4063</v>
      </c>
      <c r="T1684" s="146" t="s">
        <v>4067</v>
      </c>
      <c r="U1684" s="147" t="s">
        <v>4064</v>
      </c>
      <c r="V1684" s="147" t="s">
        <v>1234</v>
      </c>
      <c r="W1684" s="141">
        <f t="shared" si="55"/>
        <v>1</v>
      </c>
      <c r="X1684" s="143"/>
      <c r="Y1684" s="145" t="s">
        <v>4212</v>
      </c>
      <c r="AA1684"/>
    </row>
    <row r="1685" spans="1:27" s="115" customFormat="1" ht="40.5" customHeight="1">
      <c r="A1685" s="139">
        <v>1570</v>
      </c>
      <c r="B1685" s="140" t="s">
        <v>6021</v>
      </c>
      <c r="C1685" s="141" t="s">
        <v>4041</v>
      </c>
      <c r="D1685" s="142" t="s">
        <v>4114</v>
      </c>
      <c r="E1685" s="141" t="s">
        <v>4115</v>
      </c>
      <c r="F1685" s="142" t="s">
        <v>4116</v>
      </c>
      <c r="G1685" s="141" t="s">
        <v>4117</v>
      </c>
      <c r="H1685" s="142" t="s">
        <v>4116</v>
      </c>
      <c r="I1685" s="141" t="s">
        <v>4139</v>
      </c>
      <c r="J1685" s="142" t="s">
        <v>1254</v>
      </c>
      <c r="K1685" s="142" t="s">
        <v>1255</v>
      </c>
      <c r="L1685" s="143">
        <f t="shared" si="54"/>
        <v>1</v>
      </c>
      <c r="M1685" s="144" t="s">
        <v>4200</v>
      </c>
      <c r="N1685" s="141" t="s">
        <v>2373</v>
      </c>
      <c r="O1685" s="142" t="s">
        <v>2374</v>
      </c>
      <c r="P1685" s="141" t="s">
        <v>2408</v>
      </c>
      <c r="Q1685" s="142" t="s">
        <v>2402</v>
      </c>
      <c r="R1685" s="141" t="s">
        <v>2775</v>
      </c>
      <c r="S1685" s="142" t="s">
        <v>2772</v>
      </c>
      <c r="T1685" s="141" t="s">
        <v>2776</v>
      </c>
      <c r="U1685" s="142" t="s">
        <v>2773</v>
      </c>
      <c r="V1685" s="142" t="s">
        <v>211</v>
      </c>
      <c r="W1685" s="141">
        <f t="shared" si="55"/>
        <v>2</v>
      </c>
      <c r="X1685" s="143"/>
      <c r="Y1685" s="145" t="s">
        <v>4213</v>
      </c>
      <c r="AA1685"/>
    </row>
    <row r="1686" spans="1:27" s="115" customFormat="1" ht="40.5" customHeight="1">
      <c r="A1686" s="139">
        <v>1571</v>
      </c>
      <c r="B1686" s="140" t="s">
        <v>6022</v>
      </c>
      <c r="C1686" s="141" t="s">
        <v>4041</v>
      </c>
      <c r="D1686" s="142" t="s">
        <v>4114</v>
      </c>
      <c r="E1686" s="141" t="s">
        <v>4115</v>
      </c>
      <c r="F1686" s="142" t="s">
        <v>4116</v>
      </c>
      <c r="G1686" s="141" t="s">
        <v>4117</v>
      </c>
      <c r="H1686" s="142" t="s">
        <v>4116</v>
      </c>
      <c r="I1686" s="141" t="s">
        <v>4139</v>
      </c>
      <c r="J1686" s="142" t="s">
        <v>1254</v>
      </c>
      <c r="K1686" s="142" t="s">
        <v>320</v>
      </c>
      <c r="L1686" s="143">
        <f t="shared" si="54"/>
        <v>4</v>
      </c>
      <c r="M1686" s="144" t="s">
        <v>4214</v>
      </c>
      <c r="N1686" s="141" t="s">
        <v>3273</v>
      </c>
      <c r="O1686" s="142" t="s">
        <v>3274</v>
      </c>
      <c r="P1686" s="141" t="s">
        <v>3310</v>
      </c>
      <c r="Q1686" s="142" t="s">
        <v>3339</v>
      </c>
      <c r="R1686" s="141" t="s">
        <v>3345</v>
      </c>
      <c r="S1686" s="142" t="s">
        <v>3341</v>
      </c>
      <c r="T1686" s="141" t="s">
        <v>3346</v>
      </c>
      <c r="U1686" s="142" t="s">
        <v>3343</v>
      </c>
      <c r="V1686" s="142" t="s">
        <v>1094</v>
      </c>
      <c r="W1686" s="141">
        <f t="shared" si="55"/>
        <v>1</v>
      </c>
      <c r="X1686" s="143"/>
      <c r="Y1686" s="145" t="s">
        <v>4215</v>
      </c>
      <c r="AA1686"/>
    </row>
    <row r="1687" spans="1:27" s="115" customFormat="1" ht="40.5" customHeight="1">
      <c r="A1687" s="139">
        <v>1571</v>
      </c>
      <c r="B1687" s="140" t="s">
        <v>6022</v>
      </c>
      <c r="C1687" s="141" t="s">
        <v>4041</v>
      </c>
      <c r="D1687" s="142" t="s">
        <v>4114</v>
      </c>
      <c r="E1687" s="141" t="s">
        <v>4115</v>
      </c>
      <c r="F1687" s="142" t="s">
        <v>4116</v>
      </c>
      <c r="G1687" s="141" t="s">
        <v>4117</v>
      </c>
      <c r="H1687" s="142" t="s">
        <v>4116</v>
      </c>
      <c r="I1687" s="141" t="s">
        <v>4139</v>
      </c>
      <c r="J1687" s="142" t="s">
        <v>1254</v>
      </c>
      <c r="K1687" s="142" t="s">
        <v>320</v>
      </c>
      <c r="L1687" s="143">
        <f t="shared" si="54"/>
        <v>4</v>
      </c>
      <c r="M1687" s="144" t="s">
        <v>4216</v>
      </c>
      <c r="N1687" s="141" t="s">
        <v>3273</v>
      </c>
      <c r="O1687" s="142" t="s">
        <v>3274</v>
      </c>
      <c r="P1687" s="141" t="s">
        <v>3310</v>
      </c>
      <c r="Q1687" s="142" t="s">
        <v>3339</v>
      </c>
      <c r="R1687" s="141" t="s">
        <v>3345</v>
      </c>
      <c r="S1687" s="142" t="s">
        <v>3341</v>
      </c>
      <c r="T1687" s="141" t="s">
        <v>3346</v>
      </c>
      <c r="U1687" s="142" t="s">
        <v>3343</v>
      </c>
      <c r="V1687" s="142" t="s">
        <v>1089</v>
      </c>
      <c r="W1687" s="141">
        <f t="shared" si="55"/>
        <v>3</v>
      </c>
      <c r="X1687" s="143"/>
      <c r="Y1687" s="145" t="s">
        <v>4217</v>
      </c>
      <c r="AA1687"/>
    </row>
    <row r="1688" spans="1:27" s="115" customFormat="1" ht="40.5" customHeight="1">
      <c r="A1688" s="139">
        <v>1571</v>
      </c>
      <c r="B1688" s="140" t="s">
        <v>6022</v>
      </c>
      <c r="C1688" s="141" t="s">
        <v>4041</v>
      </c>
      <c r="D1688" s="142" t="s">
        <v>4114</v>
      </c>
      <c r="E1688" s="141" t="s">
        <v>4115</v>
      </c>
      <c r="F1688" s="142" t="s">
        <v>4116</v>
      </c>
      <c r="G1688" s="141" t="s">
        <v>4117</v>
      </c>
      <c r="H1688" s="142" t="s">
        <v>4116</v>
      </c>
      <c r="I1688" s="141" t="s">
        <v>4139</v>
      </c>
      <c r="J1688" s="142" t="s">
        <v>1254</v>
      </c>
      <c r="K1688" s="142" t="s">
        <v>320</v>
      </c>
      <c r="L1688" s="143">
        <f t="shared" si="54"/>
        <v>4</v>
      </c>
      <c r="M1688" s="144" t="s">
        <v>4218</v>
      </c>
      <c r="N1688" s="141" t="s">
        <v>2149</v>
      </c>
      <c r="O1688" s="142" t="s">
        <v>2150</v>
      </c>
      <c r="P1688" s="141" t="s">
        <v>2151</v>
      </c>
      <c r="Q1688" s="142" t="s">
        <v>2152</v>
      </c>
      <c r="R1688" s="141" t="s">
        <v>2153</v>
      </c>
      <c r="S1688" s="142" t="s">
        <v>2154</v>
      </c>
      <c r="T1688" s="141" t="s">
        <v>2155</v>
      </c>
      <c r="U1688" s="142" t="s">
        <v>2148</v>
      </c>
      <c r="V1688" s="142" t="s">
        <v>1170</v>
      </c>
      <c r="W1688" s="141">
        <f t="shared" si="55"/>
        <v>1</v>
      </c>
      <c r="X1688" s="143"/>
      <c r="Y1688" s="145" t="s">
        <v>4219</v>
      </c>
      <c r="AA1688"/>
    </row>
    <row r="1689" spans="1:27" s="115" customFormat="1" ht="40.5" customHeight="1">
      <c r="A1689" s="139">
        <v>1571</v>
      </c>
      <c r="B1689" s="140" t="s">
        <v>6022</v>
      </c>
      <c r="C1689" s="141" t="s">
        <v>4041</v>
      </c>
      <c r="D1689" s="142" t="s">
        <v>4114</v>
      </c>
      <c r="E1689" s="141" t="s">
        <v>4115</v>
      </c>
      <c r="F1689" s="142" t="s">
        <v>4116</v>
      </c>
      <c r="G1689" s="141" t="s">
        <v>4117</v>
      </c>
      <c r="H1689" s="142" t="s">
        <v>4116</v>
      </c>
      <c r="I1689" s="141" t="s">
        <v>4139</v>
      </c>
      <c r="J1689" s="142" t="s">
        <v>1254</v>
      </c>
      <c r="K1689" s="142" t="s">
        <v>320</v>
      </c>
      <c r="L1689" s="143">
        <f t="shared" si="54"/>
        <v>4</v>
      </c>
      <c r="M1689" s="144" t="s">
        <v>4209</v>
      </c>
      <c r="N1689" s="141" t="s">
        <v>2149</v>
      </c>
      <c r="O1689" s="142" t="s">
        <v>2150</v>
      </c>
      <c r="P1689" s="141" t="s">
        <v>2151</v>
      </c>
      <c r="Q1689" s="142" t="s">
        <v>2152</v>
      </c>
      <c r="R1689" s="141" t="s">
        <v>2153</v>
      </c>
      <c r="S1689" s="142" t="s">
        <v>2154</v>
      </c>
      <c r="T1689" s="141" t="s">
        <v>2155</v>
      </c>
      <c r="U1689" s="142" t="s">
        <v>2148</v>
      </c>
      <c r="V1689" s="142" t="s">
        <v>1153</v>
      </c>
      <c r="W1689" s="141">
        <f t="shared" si="55"/>
        <v>4</v>
      </c>
      <c r="X1689" s="143"/>
      <c r="Y1689" s="145" t="s">
        <v>4220</v>
      </c>
      <c r="AA1689"/>
    </row>
    <row r="1690" spans="1:27" s="115" customFormat="1" ht="40.5" customHeight="1">
      <c r="A1690" s="139">
        <v>1572</v>
      </c>
      <c r="B1690" s="140" t="s">
        <v>6023</v>
      </c>
      <c r="C1690" s="141" t="s">
        <v>4041</v>
      </c>
      <c r="D1690" s="142" t="s">
        <v>4114</v>
      </c>
      <c r="E1690" s="141" t="s">
        <v>4115</v>
      </c>
      <c r="F1690" s="142" t="s">
        <v>4116</v>
      </c>
      <c r="G1690" s="141" t="s">
        <v>4117</v>
      </c>
      <c r="H1690" s="142" t="s">
        <v>4116</v>
      </c>
      <c r="I1690" s="141" t="s">
        <v>4139</v>
      </c>
      <c r="J1690" s="142" t="s">
        <v>1254</v>
      </c>
      <c r="K1690" s="142" t="s">
        <v>55</v>
      </c>
      <c r="L1690" s="143">
        <f t="shared" si="54"/>
        <v>1</v>
      </c>
      <c r="M1690" s="144" t="s">
        <v>4221</v>
      </c>
      <c r="N1690" s="141" t="s">
        <v>4041</v>
      </c>
      <c r="O1690" s="142" t="s">
        <v>4042</v>
      </c>
      <c r="P1690" s="141" t="s">
        <v>4048</v>
      </c>
      <c r="Q1690" s="142" t="s">
        <v>4043</v>
      </c>
      <c r="R1690" s="141" t="s">
        <v>4049</v>
      </c>
      <c r="S1690" s="142" t="s">
        <v>4044</v>
      </c>
      <c r="T1690" s="141" t="s">
        <v>4061</v>
      </c>
      <c r="U1690" s="142" t="s">
        <v>4059</v>
      </c>
      <c r="V1690" s="142" t="s">
        <v>1246</v>
      </c>
      <c r="W1690" s="141">
        <f t="shared" si="55"/>
        <v>1</v>
      </c>
      <c r="X1690" s="143"/>
      <c r="Y1690" s="145" t="s">
        <v>4222</v>
      </c>
      <c r="AA1690"/>
    </row>
    <row r="1691" spans="1:27" s="115" customFormat="1" ht="40.5" customHeight="1">
      <c r="A1691" s="139">
        <v>1573</v>
      </c>
      <c r="B1691" s="140" t="s">
        <v>6024</v>
      </c>
      <c r="C1691" s="141" t="s">
        <v>4041</v>
      </c>
      <c r="D1691" s="142" t="s">
        <v>4114</v>
      </c>
      <c r="E1691" s="141" t="s">
        <v>4115</v>
      </c>
      <c r="F1691" s="142" t="s">
        <v>4116</v>
      </c>
      <c r="G1691" s="141" t="s">
        <v>4117</v>
      </c>
      <c r="H1691" s="142" t="s">
        <v>4116</v>
      </c>
      <c r="I1691" s="141" t="s">
        <v>4139</v>
      </c>
      <c r="J1691" s="142" t="s">
        <v>1254</v>
      </c>
      <c r="K1691" s="142" t="s">
        <v>56</v>
      </c>
      <c r="L1691" s="143">
        <f t="shared" si="54"/>
        <v>1</v>
      </c>
      <c r="M1691" s="144" t="s">
        <v>4191</v>
      </c>
      <c r="N1691" s="141" t="s">
        <v>4041</v>
      </c>
      <c r="O1691" s="142" t="s">
        <v>4042</v>
      </c>
      <c r="P1691" s="141" t="s">
        <v>4048</v>
      </c>
      <c r="Q1691" s="142" t="s">
        <v>4043</v>
      </c>
      <c r="R1691" s="141" t="s">
        <v>4049</v>
      </c>
      <c r="S1691" s="142" t="s">
        <v>4044</v>
      </c>
      <c r="T1691" s="141" t="s">
        <v>4061</v>
      </c>
      <c r="U1691" s="142" t="s">
        <v>4059</v>
      </c>
      <c r="V1691" s="142" t="s">
        <v>1229</v>
      </c>
      <c r="W1691" s="141">
        <f t="shared" si="55"/>
        <v>3</v>
      </c>
      <c r="X1691" s="143"/>
      <c r="Y1691" s="145" t="s">
        <v>4223</v>
      </c>
      <c r="AA1691"/>
    </row>
    <row r="1692" spans="1:27" s="115" customFormat="1" ht="40.5" customHeight="1">
      <c r="A1692" s="139">
        <v>1574</v>
      </c>
      <c r="B1692" s="140" t="s">
        <v>6025</v>
      </c>
      <c r="C1692" s="141" t="s">
        <v>4041</v>
      </c>
      <c r="D1692" s="142" t="s">
        <v>4114</v>
      </c>
      <c r="E1692" s="141" t="s">
        <v>4115</v>
      </c>
      <c r="F1692" s="142" t="s">
        <v>4116</v>
      </c>
      <c r="G1692" s="141" t="s">
        <v>4117</v>
      </c>
      <c r="H1692" s="142" t="s">
        <v>4116</v>
      </c>
      <c r="I1692" s="141" t="s">
        <v>4139</v>
      </c>
      <c r="J1692" s="142" t="s">
        <v>1254</v>
      </c>
      <c r="K1692" s="142" t="s">
        <v>57</v>
      </c>
      <c r="L1692" s="143">
        <f t="shared" si="54"/>
        <v>1</v>
      </c>
      <c r="M1692" s="144" t="s">
        <v>4152</v>
      </c>
      <c r="N1692" s="141" t="s">
        <v>3937</v>
      </c>
      <c r="O1692" s="142" t="s">
        <v>3938</v>
      </c>
      <c r="P1692" s="141" t="s">
        <v>3943</v>
      </c>
      <c r="Q1692" s="142" t="s">
        <v>3939</v>
      </c>
      <c r="R1692" s="141" t="s">
        <v>3951</v>
      </c>
      <c r="S1692" s="142" t="s">
        <v>3948</v>
      </c>
      <c r="T1692" s="141" t="s">
        <v>3997</v>
      </c>
      <c r="U1692" s="142" t="s">
        <v>3995</v>
      </c>
      <c r="V1692" s="142" t="s">
        <v>1210</v>
      </c>
      <c r="W1692" s="141">
        <f t="shared" si="55"/>
        <v>3</v>
      </c>
      <c r="X1692" s="143"/>
      <c r="Y1692" s="145" t="s">
        <v>4224</v>
      </c>
      <c r="AA1692"/>
    </row>
    <row r="1693" spans="1:27" s="115" customFormat="1" ht="40.5" customHeight="1">
      <c r="A1693" s="139">
        <v>1575</v>
      </c>
      <c r="B1693" s="140" t="s">
        <v>6026</v>
      </c>
      <c r="C1693" s="141" t="s">
        <v>4041</v>
      </c>
      <c r="D1693" s="142" t="s">
        <v>4114</v>
      </c>
      <c r="E1693" s="141" t="s">
        <v>4115</v>
      </c>
      <c r="F1693" s="142" t="s">
        <v>4116</v>
      </c>
      <c r="G1693" s="141" t="s">
        <v>4117</v>
      </c>
      <c r="H1693" s="142" t="s">
        <v>4116</v>
      </c>
      <c r="I1693" s="141" t="s">
        <v>4139</v>
      </c>
      <c r="J1693" s="142" t="s">
        <v>1254</v>
      </c>
      <c r="K1693" s="142" t="s">
        <v>58</v>
      </c>
      <c r="L1693" s="143">
        <f t="shared" si="54"/>
        <v>1</v>
      </c>
      <c r="M1693" s="144" t="s">
        <v>4225</v>
      </c>
      <c r="N1693" s="141" t="s">
        <v>4041</v>
      </c>
      <c r="O1693" s="142" t="s">
        <v>4042</v>
      </c>
      <c r="P1693" s="141" t="s">
        <v>4048</v>
      </c>
      <c r="Q1693" s="142" t="s">
        <v>4043</v>
      </c>
      <c r="R1693" s="141" t="s">
        <v>4095</v>
      </c>
      <c r="S1693" s="142" t="s">
        <v>4091</v>
      </c>
      <c r="T1693" s="141" t="s">
        <v>4102</v>
      </c>
      <c r="U1693" s="142" t="s">
        <v>4100</v>
      </c>
      <c r="V1693" s="142" t="s">
        <v>1244</v>
      </c>
      <c r="W1693" s="141">
        <f t="shared" si="55"/>
        <v>1</v>
      </c>
      <c r="X1693" s="143"/>
      <c r="Y1693" s="145" t="s">
        <v>4226</v>
      </c>
      <c r="AA1693"/>
    </row>
    <row r="1694" spans="1:27" s="115" customFormat="1" ht="40.5" customHeight="1">
      <c r="A1694" s="139">
        <v>1576</v>
      </c>
      <c r="B1694" s="140" t="s">
        <v>6027</v>
      </c>
      <c r="C1694" s="141" t="s">
        <v>4041</v>
      </c>
      <c r="D1694" s="142" t="s">
        <v>4114</v>
      </c>
      <c r="E1694" s="141" t="s">
        <v>4115</v>
      </c>
      <c r="F1694" s="142" t="s">
        <v>4116</v>
      </c>
      <c r="G1694" s="141" t="s">
        <v>4117</v>
      </c>
      <c r="H1694" s="142" t="s">
        <v>4116</v>
      </c>
      <c r="I1694" s="141" t="s">
        <v>4139</v>
      </c>
      <c r="J1694" s="142" t="s">
        <v>1254</v>
      </c>
      <c r="K1694" s="142" t="s">
        <v>59</v>
      </c>
      <c r="L1694" s="143">
        <f t="shared" si="54"/>
        <v>1</v>
      </c>
      <c r="M1694" s="144" t="s">
        <v>4209</v>
      </c>
      <c r="N1694" s="141" t="s">
        <v>2149</v>
      </c>
      <c r="O1694" s="142" t="s">
        <v>2150</v>
      </c>
      <c r="P1694" s="141" t="s">
        <v>2151</v>
      </c>
      <c r="Q1694" s="142" t="s">
        <v>2152</v>
      </c>
      <c r="R1694" s="141" t="s">
        <v>2153</v>
      </c>
      <c r="S1694" s="142" t="s">
        <v>2154</v>
      </c>
      <c r="T1694" s="141" t="s">
        <v>2155</v>
      </c>
      <c r="U1694" s="142" t="s">
        <v>2148</v>
      </c>
      <c r="V1694" s="142" t="s">
        <v>1169</v>
      </c>
      <c r="W1694" s="141">
        <f t="shared" si="55"/>
        <v>4</v>
      </c>
      <c r="X1694" s="143"/>
      <c r="Y1694" s="145" t="s">
        <v>4227</v>
      </c>
      <c r="AA1694"/>
    </row>
    <row r="1695" spans="1:27" s="115" customFormat="1" ht="40.5" customHeight="1">
      <c r="A1695" s="139">
        <v>1577</v>
      </c>
      <c r="B1695" s="140" t="s">
        <v>6028</v>
      </c>
      <c r="C1695" s="141" t="s">
        <v>4041</v>
      </c>
      <c r="D1695" s="142" t="s">
        <v>4114</v>
      </c>
      <c r="E1695" s="141" t="s">
        <v>4115</v>
      </c>
      <c r="F1695" s="142" t="s">
        <v>4116</v>
      </c>
      <c r="G1695" s="141" t="s">
        <v>4117</v>
      </c>
      <c r="H1695" s="142" t="s">
        <v>4116</v>
      </c>
      <c r="I1695" s="141" t="s">
        <v>4139</v>
      </c>
      <c r="J1695" s="142" t="s">
        <v>1254</v>
      </c>
      <c r="K1695" s="142" t="s">
        <v>60</v>
      </c>
      <c r="L1695" s="143">
        <f t="shared" si="54"/>
        <v>1</v>
      </c>
      <c r="M1695" s="144" t="s">
        <v>4191</v>
      </c>
      <c r="N1695" s="141" t="s">
        <v>4041</v>
      </c>
      <c r="O1695" s="142" t="s">
        <v>4042</v>
      </c>
      <c r="P1695" s="141" t="s">
        <v>4048</v>
      </c>
      <c r="Q1695" s="142" t="s">
        <v>4043</v>
      </c>
      <c r="R1695" s="141" t="s">
        <v>4049</v>
      </c>
      <c r="S1695" s="142" t="s">
        <v>4044</v>
      </c>
      <c r="T1695" s="141" t="s">
        <v>4061</v>
      </c>
      <c r="U1695" s="142" t="s">
        <v>4059</v>
      </c>
      <c r="V1695" s="142" t="s">
        <v>1229</v>
      </c>
      <c r="W1695" s="141">
        <f t="shared" si="55"/>
        <v>3</v>
      </c>
      <c r="X1695" s="143"/>
      <c r="Y1695" s="145" t="s">
        <v>4228</v>
      </c>
      <c r="AA1695"/>
    </row>
    <row r="1696" spans="1:27" s="115" customFormat="1" ht="40.5" customHeight="1">
      <c r="A1696" s="139">
        <v>1578</v>
      </c>
      <c r="B1696" s="140" t="s">
        <v>6029</v>
      </c>
      <c r="C1696" s="141" t="s">
        <v>4041</v>
      </c>
      <c r="D1696" s="142" t="s">
        <v>4114</v>
      </c>
      <c r="E1696" s="141" t="s">
        <v>4115</v>
      </c>
      <c r="F1696" s="142" t="s">
        <v>4116</v>
      </c>
      <c r="G1696" s="141" t="s">
        <v>4117</v>
      </c>
      <c r="H1696" s="142" t="s">
        <v>4116</v>
      </c>
      <c r="I1696" s="141" t="s">
        <v>4139</v>
      </c>
      <c r="J1696" s="142" t="s">
        <v>1254</v>
      </c>
      <c r="K1696" s="142" t="s">
        <v>61</v>
      </c>
      <c r="L1696" s="143">
        <f t="shared" si="54"/>
        <v>1</v>
      </c>
      <c r="M1696" s="144" t="s">
        <v>4229</v>
      </c>
      <c r="N1696" s="141" t="s">
        <v>2926</v>
      </c>
      <c r="O1696" s="142" t="s">
        <v>2927</v>
      </c>
      <c r="P1696" s="141" t="s">
        <v>2935</v>
      </c>
      <c r="Q1696" s="142" t="s">
        <v>2929</v>
      </c>
      <c r="R1696" s="141" t="s">
        <v>3064</v>
      </c>
      <c r="S1696" s="142" t="s">
        <v>3061</v>
      </c>
      <c r="T1696" s="141" t="s">
        <v>3065</v>
      </c>
      <c r="U1696" s="142" t="s">
        <v>3061</v>
      </c>
      <c r="V1696" s="142" t="s">
        <v>1008</v>
      </c>
      <c r="W1696" s="141">
        <f t="shared" si="55"/>
        <v>2</v>
      </c>
      <c r="X1696" s="143"/>
      <c r="Y1696" s="145" t="s">
        <v>4230</v>
      </c>
      <c r="AA1696"/>
    </row>
    <row r="1697" spans="1:27" s="115" customFormat="1" ht="40.5" customHeight="1">
      <c r="A1697" s="139">
        <v>1579</v>
      </c>
      <c r="B1697" s="140" t="s">
        <v>6030</v>
      </c>
      <c r="C1697" s="141" t="s">
        <v>4041</v>
      </c>
      <c r="D1697" s="142" t="s">
        <v>4114</v>
      </c>
      <c r="E1697" s="141" t="s">
        <v>4115</v>
      </c>
      <c r="F1697" s="142" t="s">
        <v>4116</v>
      </c>
      <c r="G1697" s="141" t="s">
        <v>4117</v>
      </c>
      <c r="H1697" s="142" t="s">
        <v>4116</v>
      </c>
      <c r="I1697" s="141" t="s">
        <v>4139</v>
      </c>
      <c r="J1697" s="142" t="s">
        <v>1254</v>
      </c>
      <c r="K1697" s="142" t="s">
        <v>1256</v>
      </c>
      <c r="L1697" s="143">
        <f t="shared" si="54"/>
        <v>1</v>
      </c>
      <c r="M1697" s="144" t="s">
        <v>4229</v>
      </c>
      <c r="N1697" s="141" t="s">
        <v>2926</v>
      </c>
      <c r="O1697" s="142" t="s">
        <v>2927</v>
      </c>
      <c r="P1697" s="141" t="s">
        <v>2935</v>
      </c>
      <c r="Q1697" s="142" t="s">
        <v>2929</v>
      </c>
      <c r="R1697" s="141" t="s">
        <v>3064</v>
      </c>
      <c r="S1697" s="142" t="s">
        <v>3061</v>
      </c>
      <c r="T1697" s="141" t="s">
        <v>3065</v>
      </c>
      <c r="U1697" s="142" t="s">
        <v>3061</v>
      </c>
      <c r="V1697" s="142" t="s">
        <v>1008</v>
      </c>
      <c r="W1697" s="141">
        <f t="shared" si="55"/>
        <v>2</v>
      </c>
      <c r="X1697" s="143"/>
      <c r="Y1697" s="145" t="s">
        <v>4231</v>
      </c>
      <c r="AA1697"/>
    </row>
    <row r="1698" spans="1:27" s="115" customFormat="1" ht="40.5" customHeight="1">
      <c r="A1698" s="139">
        <v>1580</v>
      </c>
      <c r="B1698" s="140" t="s">
        <v>6031</v>
      </c>
      <c r="C1698" s="141" t="s">
        <v>4041</v>
      </c>
      <c r="D1698" s="142" t="s">
        <v>4232</v>
      </c>
      <c r="E1698" s="141" t="s">
        <v>4115</v>
      </c>
      <c r="F1698" s="142" t="s">
        <v>4116</v>
      </c>
      <c r="G1698" s="141" t="s">
        <v>4117</v>
      </c>
      <c r="H1698" s="142" t="s">
        <v>4116</v>
      </c>
      <c r="I1698" s="141" t="s">
        <v>4139</v>
      </c>
      <c r="J1698" s="142" t="s">
        <v>1254</v>
      </c>
      <c r="K1698" s="142" t="s">
        <v>4233</v>
      </c>
      <c r="L1698" s="143">
        <f t="shared" si="54"/>
        <v>1</v>
      </c>
      <c r="M1698" s="158" t="s">
        <v>4165</v>
      </c>
      <c r="N1698" s="141" t="s">
        <v>3749</v>
      </c>
      <c r="O1698" s="142" t="s">
        <v>3751</v>
      </c>
      <c r="P1698" s="141" t="s">
        <v>3557</v>
      </c>
      <c r="Q1698" s="142" t="s">
        <v>3751</v>
      </c>
      <c r="R1698" s="141" t="s">
        <v>3776</v>
      </c>
      <c r="S1698" s="142" t="s">
        <v>3774</v>
      </c>
      <c r="T1698" s="141" t="s">
        <v>3777</v>
      </c>
      <c r="U1698" s="142" t="s">
        <v>3774</v>
      </c>
      <c r="V1698" s="142" t="s">
        <v>4166</v>
      </c>
      <c r="W1698" s="141">
        <f t="shared" si="55"/>
        <v>3</v>
      </c>
      <c r="X1698" s="143"/>
      <c r="Y1698" s="138" t="s">
        <v>4234</v>
      </c>
      <c r="AA1698"/>
    </row>
    <row r="1699" spans="1:27" s="115" customFormat="1" ht="40.5" customHeight="1">
      <c r="A1699" s="139">
        <v>1581</v>
      </c>
      <c r="B1699" s="140" t="s">
        <v>6032</v>
      </c>
      <c r="C1699" s="141" t="s">
        <v>4041</v>
      </c>
      <c r="D1699" s="142" t="s">
        <v>4232</v>
      </c>
      <c r="E1699" s="141" t="s">
        <v>4115</v>
      </c>
      <c r="F1699" s="142" t="s">
        <v>4116</v>
      </c>
      <c r="G1699" s="141" t="s">
        <v>4117</v>
      </c>
      <c r="H1699" s="142" t="s">
        <v>4116</v>
      </c>
      <c r="I1699" s="141" t="s">
        <v>4139</v>
      </c>
      <c r="J1699" s="142" t="s">
        <v>1254</v>
      </c>
      <c r="K1699" s="142" t="s">
        <v>4235</v>
      </c>
      <c r="L1699" s="143">
        <f t="shared" si="54"/>
        <v>1</v>
      </c>
      <c r="M1699" s="158" t="s">
        <v>4188</v>
      </c>
      <c r="N1699" s="141" t="s">
        <v>3749</v>
      </c>
      <c r="O1699" s="142" t="s">
        <v>3751</v>
      </c>
      <c r="P1699" s="141" t="s">
        <v>3557</v>
      </c>
      <c r="Q1699" s="142" t="s">
        <v>3751</v>
      </c>
      <c r="R1699" s="141" t="s">
        <v>3755</v>
      </c>
      <c r="S1699" s="142" t="s">
        <v>3752</v>
      </c>
      <c r="T1699" s="141" t="s">
        <v>3790</v>
      </c>
      <c r="U1699" s="142" t="s">
        <v>3788</v>
      </c>
      <c r="V1699" s="142" t="s">
        <v>1188</v>
      </c>
      <c r="W1699" s="141">
        <f t="shared" si="55"/>
        <v>3</v>
      </c>
      <c r="X1699" s="143"/>
      <c r="Y1699" s="138" t="s">
        <v>4236</v>
      </c>
      <c r="AA1699"/>
    </row>
    <row r="1700" spans="1:27" s="115" customFormat="1" ht="40.5" customHeight="1">
      <c r="A1700" s="139">
        <v>1582</v>
      </c>
      <c r="B1700" s="140" t="s">
        <v>6033</v>
      </c>
      <c r="C1700" s="141" t="s">
        <v>4041</v>
      </c>
      <c r="D1700" s="142" t="s">
        <v>4232</v>
      </c>
      <c r="E1700" s="141" t="s">
        <v>4115</v>
      </c>
      <c r="F1700" s="142" t="s">
        <v>4116</v>
      </c>
      <c r="G1700" s="141" t="s">
        <v>4117</v>
      </c>
      <c r="H1700" s="142" t="s">
        <v>4116</v>
      </c>
      <c r="I1700" s="141" t="s">
        <v>4139</v>
      </c>
      <c r="J1700" s="142" t="s">
        <v>1254</v>
      </c>
      <c r="K1700" s="142" t="s">
        <v>4237</v>
      </c>
      <c r="L1700" s="143">
        <f t="shared" si="54"/>
        <v>1</v>
      </c>
      <c r="M1700" s="158" t="s">
        <v>4209</v>
      </c>
      <c r="N1700" s="141" t="s">
        <v>2149</v>
      </c>
      <c r="O1700" s="142" t="s">
        <v>2150</v>
      </c>
      <c r="P1700" s="141" t="s">
        <v>2151</v>
      </c>
      <c r="Q1700" s="142" t="s">
        <v>2152</v>
      </c>
      <c r="R1700" s="141" t="s">
        <v>2153</v>
      </c>
      <c r="S1700" s="142" t="s">
        <v>2154</v>
      </c>
      <c r="T1700" s="141" t="s">
        <v>2155</v>
      </c>
      <c r="U1700" s="142" t="s">
        <v>2148</v>
      </c>
      <c r="V1700" s="142" t="s">
        <v>1153</v>
      </c>
      <c r="W1700" s="141">
        <f t="shared" si="55"/>
        <v>4</v>
      </c>
      <c r="X1700" s="143"/>
      <c r="Y1700" s="138" t="s">
        <v>4238</v>
      </c>
      <c r="AA1700"/>
    </row>
    <row r="1701" spans="1:27" s="115" customFormat="1" ht="40.5" customHeight="1">
      <c r="A1701" s="139">
        <v>1583</v>
      </c>
      <c r="B1701" s="140" t="s">
        <v>6034</v>
      </c>
      <c r="C1701" s="141" t="s">
        <v>4041</v>
      </c>
      <c r="D1701" s="142" t="s">
        <v>4232</v>
      </c>
      <c r="E1701" s="141" t="s">
        <v>4115</v>
      </c>
      <c r="F1701" s="142" t="s">
        <v>4116</v>
      </c>
      <c r="G1701" s="141" t="s">
        <v>4117</v>
      </c>
      <c r="H1701" s="142" t="s">
        <v>4116</v>
      </c>
      <c r="I1701" s="141" t="s">
        <v>4139</v>
      </c>
      <c r="J1701" s="142" t="s">
        <v>1254</v>
      </c>
      <c r="K1701" s="142" t="s">
        <v>4239</v>
      </c>
      <c r="L1701" s="143">
        <f t="shared" si="54"/>
        <v>1</v>
      </c>
      <c r="M1701" s="158" t="s">
        <v>4216</v>
      </c>
      <c r="N1701" s="141" t="s">
        <v>3273</v>
      </c>
      <c r="O1701" s="142" t="s">
        <v>3274</v>
      </c>
      <c r="P1701" s="141" t="s">
        <v>3310</v>
      </c>
      <c r="Q1701" s="142" t="s">
        <v>3339</v>
      </c>
      <c r="R1701" s="141" t="s">
        <v>3345</v>
      </c>
      <c r="S1701" s="142" t="s">
        <v>3341</v>
      </c>
      <c r="T1701" s="141" t="s">
        <v>3346</v>
      </c>
      <c r="U1701" s="142" t="s">
        <v>3343</v>
      </c>
      <c r="V1701" s="142" t="s">
        <v>1089</v>
      </c>
      <c r="W1701" s="141">
        <f t="shared" si="55"/>
        <v>3</v>
      </c>
      <c r="X1701" s="143"/>
      <c r="Y1701" s="138" t="s">
        <v>4240</v>
      </c>
      <c r="AA1701"/>
    </row>
    <row r="1702" spans="1:27" s="115" customFormat="1" ht="40.5" customHeight="1">
      <c r="A1702" s="139">
        <v>1584</v>
      </c>
      <c r="B1702" s="140" t="s">
        <v>6035</v>
      </c>
      <c r="C1702" s="141" t="s">
        <v>4041</v>
      </c>
      <c r="D1702" s="142" t="s">
        <v>4232</v>
      </c>
      <c r="E1702" s="141" t="s">
        <v>4115</v>
      </c>
      <c r="F1702" s="142" t="s">
        <v>4116</v>
      </c>
      <c r="G1702" s="141" t="s">
        <v>4117</v>
      </c>
      <c r="H1702" s="142" t="s">
        <v>4116</v>
      </c>
      <c r="I1702" s="141" t="s">
        <v>4139</v>
      </c>
      <c r="J1702" s="142" t="s">
        <v>1254</v>
      </c>
      <c r="K1702" s="142" t="s">
        <v>4241</v>
      </c>
      <c r="L1702" s="143">
        <f t="shared" si="54"/>
        <v>1</v>
      </c>
      <c r="M1702" s="158" t="s">
        <v>4216</v>
      </c>
      <c r="N1702" s="141" t="s">
        <v>3273</v>
      </c>
      <c r="O1702" s="142" t="s">
        <v>3274</v>
      </c>
      <c r="P1702" s="141" t="s">
        <v>3310</v>
      </c>
      <c r="Q1702" s="142" t="s">
        <v>3339</v>
      </c>
      <c r="R1702" s="141" t="s">
        <v>3345</v>
      </c>
      <c r="S1702" s="142" t="s">
        <v>3341</v>
      </c>
      <c r="T1702" s="141" t="s">
        <v>3346</v>
      </c>
      <c r="U1702" s="142" t="s">
        <v>3343</v>
      </c>
      <c r="V1702" s="142" t="s">
        <v>1089</v>
      </c>
      <c r="W1702" s="141">
        <f t="shared" si="55"/>
        <v>3</v>
      </c>
      <c r="X1702" s="143"/>
      <c r="Y1702" s="138" t="s">
        <v>4242</v>
      </c>
      <c r="AA1702"/>
    </row>
    <row r="1703" spans="1:27" s="115" customFormat="1" ht="40.5" customHeight="1">
      <c r="A1703" s="139">
        <v>1585</v>
      </c>
      <c r="B1703" s="140" t="s">
        <v>6036</v>
      </c>
      <c r="C1703" s="141" t="s">
        <v>4041</v>
      </c>
      <c r="D1703" s="142" t="s">
        <v>4232</v>
      </c>
      <c r="E1703" s="141" t="s">
        <v>4115</v>
      </c>
      <c r="F1703" s="142" t="s">
        <v>4116</v>
      </c>
      <c r="G1703" s="141" t="s">
        <v>4117</v>
      </c>
      <c r="H1703" s="142" t="s">
        <v>4116</v>
      </c>
      <c r="I1703" s="141" t="s">
        <v>4139</v>
      </c>
      <c r="J1703" s="142" t="s">
        <v>1254</v>
      </c>
      <c r="K1703" s="142" t="s">
        <v>4243</v>
      </c>
      <c r="L1703" s="143">
        <f t="shared" si="54"/>
        <v>15</v>
      </c>
      <c r="M1703" s="158" t="s">
        <v>4170</v>
      </c>
      <c r="N1703" s="141" t="s">
        <v>3749</v>
      </c>
      <c r="O1703" s="142" t="s">
        <v>3751</v>
      </c>
      <c r="P1703" s="141" t="s">
        <v>3557</v>
      </c>
      <c r="Q1703" s="142" t="s">
        <v>3751</v>
      </c>
      <c r="R1703" s="141" t="s">
        <v>3755</v>
      </c>
      <c r="S1703" s="142" t="s">
        <v>3752</v>
      </c>
      <c r="T1703" s="141" t="s">
        <v>3756</v>
      </c>
      <c r="U1703" s="142" t="s">
        <v>3753</v>
      </c>
      <c r="V1703" s="142" t="s">
        <v>1181</v>
      </c>
      <c r="W1703" s="141">
        <f t="shared" si="55"/>
        <v>2</v>
      </c>
      <c r="X1703" s="143"/>
      <c r="Y1703" s="138" t="s">
        <v>4244</v>
      </c>
      <c r="AA1703"/>
    </row>
    <row r="1704" spans="1:27" s="115" customFormat="1" ht="40.5" customHeight="1">
      <c r="A1704" s="139">
        <v>1585</v>
      </c>
      <c r="B1704" s="140" t="s">
        <v>6036</v>
      </c>
      <c r="C1704" s="141" t="s">
        <v>4041</v>
      </c>
      <c r="D1704" s="142" t="s">
        <v>4232</v>
      </c>
      <c r="E1704" s="141" t="s">
        <v>4115</v>
      </c>
      <c r="F1704" s="142" t="s">
        <v>4116</v>
      </c>
      <c r="G1704" s="141" t="s">
        <v>4117</v>
      </c>
      <c r="H1704" s="142" t="s">
        <v>4116</v>
      </c>
      <c r="I1704" s="141" t="s">
        <v>4139</v>
      </c>
      <c r="J1704" s="142" t="s">
        <v>1254</v>
      </c>
      <c r="K1704" s="142" t="s">
        <v>4243</v>
      </c>
      <c r="L1704" s="143">
        <f t="shared" si="54"/>
        <v>15</v>
      </c>
      <c r="M1704" s="158" t="s">
        <v>4172</v>
      </c>
      <c r="N1704" s="141" t="s">
        <v>3749</v>
      </c>
      <c r="O1704" s="142" t="s">
        <v>3751</v>
      </c>
      <c r="P1704" s="141" t="s">
        <v>3557</v>
      </c>
      <c r="Q1704" s="142" t="s">
        <v>3751</v>
      </c>
      <c r="R1704" s="141" t="s">
        <v>3755</v>
      </c>
      <c r="S1704" s="142" t="s">
        <v>3752</v>
      </c>
      <c r="T1704" s="141" t="s">
        <v>3756</v>
      </c>
      <c r="U1704" s="142" t="s">
        <v>3753</v>
      </c>
      <c r="V1704" s="142" t="s">
        <v>1182</v>
      </c>
      <c r="W1704" s="141">
        <f t="shared" si="55"/>
        <v>2</v>
      </c>
      <c r="X1704" s="143"/>
      <c r="Y1704" s="138" t="s">
        <v>4244</v>
      </c>
      <c r="AA1704"/>
    </row>
    <row r="1705" spans="1:27" s="115" customFormat="1" ht="40.5" customHeight="1">
      <c r="A1705" s="139">
        <v>1585</v>
      </c>
      <c r="B1705" s="140" t="s">
        <v>6036</v>
      </c>
      <c r="C1705" s="141" t="s">
        <v>4041</v>
      </c>
      <c r="D1705" s="142" t="s">
        <v>4232</v>
      </c>
      <c r="E1705" s="141" t="s">
        <v>4115</v>
      </c>
      <c r="F1705" s="142" t="s">
        <v>4116</v>
      </c>
      <c r="G1705" s="141" t="s">
        <v>4117</v>
      </c>
      <c r="H1705" s="142" t="s">
        <v>4116</v>
      </c>
      <c r="I1705" s="141" t="s">
        <v>4139</v>
      </c>
      <c r="J1705" s="142" t="s">
        <v>1254</v>
      </c>
      <c r="K1705" s="142" t="s">
        <v>4243</v>
      </c>
      <c r="L1705" s="143">
        <f t="shared" si="54"/>
        <v>15</v>
      </c>
      <c r="M1705" s="158" t="s">
        <v>4156</v>
      </c>
      <c r="N1705" s="141" t="s">
        <v>3749</v>
      </c>
      <c r="O1705" s="142" t="s">
        <v>3751</v>
      </c>
      <c r="P1705" s="141" t="s">
        <v>3557</v>
      </c>
      <c r="Q1705" s="142" t="s">
        <v>3751</v>
      </c>
      <c r="R1705" s="141" t="s">
        <v>3755</v>
      </c>
      <c r="S1705" s="142" t="s">
        <v>3752</v>
      </c>
      <c r="T1705" s="141" t="s">
        <v>3756</v>
      </c>
      <c r="U1705" s="142" t="s">
        <v>3753</v>
      </c>
      <c r="V1705" s="142" t="s">
        <v>1177</v>
      </c>
      <c r="W1705" s="141">
        <f t="shared" si="55"/>
        <v>3</v>
      </c>
      <c r="X1705" s="143"/>
      <c r="Y1705" s="138" t="s">
        <v>4244</v>
      </c>
      <c r="AA1705"/>
    </row>
    <row r="1706" spans="1:27" s="115" customFormat="1" ht="40.5" customHeight="1">
      <c r="A1706" s="139">
        <v>1585</v>
      </c>
      <c r="B1706" s="140" t="s">
        <v>6036</v>
      </c>
      <c r="C1706" s="141" t="s">
        <v>4041</v>
      </c>
      <c r="D1706" s="142" t="s">
        <v>4232</v>
      </c>
      <c r="E1706" s="141" t="s">
        <v>4115</v>
      </c>
      <c r="F1706" s="142" t="s">
        <v>4116</v>
      </c>
      <c r="G1706" s="141" t="s">
        <v>4117</v>
      </c>
      <c r="H1706" s="142" t="s">
        <v>4116</v>
      </c>
      <c r="I1706" s="141" t="s">
        <v>4139</v>
      </c>
      <c r="J1706" s="142" t="s">
        <v>1254</v>
      </c>
      <c r="K1706" s="142" t="s">
        <v>4243</v>
      </c>
      <c r="L1706" s="143">
        <f t="shared" si="54"/>
        <v>15</v>
      </c>
      <c r="M1706" s="158" t="s">
        <v>4245</v>
      </c>
      <c r="N1706" s="141" t="s">
        <v>3749</v>
      </c>
      <c r="O1706" s="142" t="s">
        <v>3751</v>
      </c>
      <c r="P1706" s="141" t="s">
        <v>3557</v>
      </c>
      <c r="Q1706" s="142" t="s">
        <v>3751</v>
      </c>
      <c r="R1706" s="141" t="s">
        <v>3755</v>
      </c>
      <c r="S1706" s="142" t="s">
        <v>3752</v>
      </c>
      <c r="T1706" s="141" t="s">
        <v>3756</v>
      </c>
      <c r="U1706" s="142" t="s">
        <v>3753</v>
      </c>
      <c r="V1706" s="142" t="s">
        <v>1174</v>
      </c>
      <c r="W1706" s="141">
        <f t="shared" si="55"/>
        <v>1</v>
      </c>
      <c r="X1706" s="143"/>
      <c r="Y1706" s="138" t="s">
        <v>4244</v>
      </c>
      <c r="AA1706"/>
    </row>
    <row r="1707" spans="1:27" s="115" customFormat="1" ht="40.5" customHeight="1">
      <c r="A1707" s="139">
        <v>1585</v>
      </c>
      <c r="B1707" s="140" t="s">
        <v>6036</v>
      </c>
      <c r="C1707" s="141" t="s">
        <v>4041</v>
      </c>
      <c r="D1707" s="142" t="s">
        <v>4232</v>
      </c>
      <c r="E1707" s="141" t="s">
        <v>4115</v>
      </c>
      <c r="F1707" s="142" t="s">
        <v>4116</v>
      </c>
      <c r="G1707" s="141" t="s">
        <v>4117</v>
      </c>
      <c r="H1707" s="142" t="s">
        <v>4116</v>
      </c>
      <c r="I1707" s="141" t="s">
        <v>4139</v>
      </c>
      <c r="J1707" s="142" t="s">
        <v>1254</v>
      </c>
      <c r="K1707" s="142" t="s">
        <v>4243</v>
      </c>
      <c r="L1707" s="143">
        <f t="shared" si="54"/>
        <v>15</v>
      </c>
      <c r="M1707" s="158" t="s">
        <v>4158</v>
      </c>
      <c r="N1707" s="141" t="s">
        <v>3749</v>
      </c>
      <c r="O1707" s="142" t="s">
        <v>3751</v>
      </c>
      <c r="P1707" s="141" t="s">
        <v>3557</v>
      </c>
      <c r="Q1707" s="142" t="s">
        <v>3751</v>
      </c>
      <c r="R1707" s="141" t="s">
        <v>3755</v>
      </c>
      <c r="S1707" s="142" t="s">
        <v>3752</v>
      </c>
      <c r="T1707" s="141" t="s">
        <v>3780</v>
      </c>
      <c r="U1707" s="142" t="s">
        <v>292</v>
      </c>
      <c r="V1707" s="142" t="s">
        <v>1179</v>
      </c>
      <c r="W1707" s="141">
        <f t="shared" si="55"/>
        <v>3</v>
      </c>
      <c r="X1707" s="143"/>
      <c r="Y1707" s="138" t="s">
        <v>4244</v>
      </c>
      <c r="AA1707"/>
    </row>
    <row r="1708" spans="1:27" s="115" customFormat="1" ht="40.5" customHeight="1">
      <c r="A1708" s="139">
        <v>1585</v>
      </c>
      <c r="B1708" s="140" t="s">
        <v>6036</v>
      </c>
      <c r="C1708" s="141" t="s">
        <v>4041</v>
      </c>
      <c r="D1708" s="142" t="s">
        <v>4232</v>
      </c>
      <c r="E1708" s="141" t="s">
        <v>4115</v>
      </c>
      <c r="F1708" s="142" t="s">
        <v>4116</v>
      </c>
      <c r="G1708" s="141" t="s">
        <v>4117</v>
      </c>
      <c r="H1708" s="142" t="s">
        <v>4116</v>
      </c>
      <c r="I1708" s="141" t="s">
        <v>4139</v>
      </c>
      <c r="J1708" s="142" t="s">
        <v>1254</v>
      </c>
      <c r="K1708" s="142" t="s">
        <v>4243</v>
      </c>
      <c r="L1708" s="143">
        <f t="shared" si="54"/>
        <v>15</v>
      </c>
      <c r="M1708" s="158" t="s">
        <v>4176</v>
      </c>
      <c r="N1708" s="141" t="s">
        <v>3749</v>
      </c>
      <c r="O1708" s="142" t="s">
        <v>3751</v>
      </c>
      <c r="P1708" s="141" t="s">
        <v>3557</v>
      </c>
      <c r="Q1708" s="142" t="s">
        <v>3751</v>
      </c>
      <c r="R1708" s="141" t="s">
        <v>3755</v>
      </c>
      <c r="S1708" s="142" t="s">
        <v>3752</v>
      </c>
      <c r="T1708" s="141" t="s">
        <v>3780</v>
      </c>
      <c r="U1708" s="142" t="s">
        <v>292</v>
      </c>
      <c r="V1708" s="142" t="s">
        <v>1186</v>
      </c>
      <c r="W1708" s="141">
        <f t="shared" si="55"/>
        <v>2</v>
      </c>
      <c r="X1708" s="143"/>
      <c r="Y1708" s="138" t="s">
        <v>4244</v>
      </c>
      <c r="AA1708"/>
    </row>
    <row r="1709" spans="1:27" s="115" customFormat="1" ht="40.5" customHeight="1">
      <c r="A1709" s="139">
        <v>1585</v>
      </c>
      <c r="B1709" s="140" t="s">
        <v>6036</v>
      </c>
      <c r="C1709" s="141" t="s">
        <v>4041</v>
      </c>
      <c r="D1709" s="142" t="s">
        <v>4232</v>
      </c>
      <c r="E1709" s="141" t="s">
        <v>4115</v>
      </c>
      <c r="F1709" s="142" t="s">
        <v>4116</v>
      </c>
      <c r="G1709" s="141" t="s">
        <v>4117</v>
      </c>
      <c r="H1709" s="142" t="s">
        <v>4116</v>
      </c>
      <c r="I1709" s="141" t="s">
        <v>4139</v>
      </c>
      <c r="J1709" s="142" t="s">
        <v>1254</v>
      </c>
      <c r="K1709" s="142" t="s">
        <v>4243</v>
      </c>
      <c r="L1709" s="143">
        <f t="shared" si="54"/>
        <v>15</v>
      </c>
      <c r="M1709" s="158" t="s">
        <v>4160</v>
      </c>
      <c r="N1709" s="141" t="s">
        <v>3749</v>
      </c>
      <c r="O1709" s="142" t="s">
        <v>3751</v>
      </c>
      <c r="P1709" s="141" t="s">
        <v>3557</v>
      </c>
      <c r="Q1709" s="142" t="s">
        <v>3751</v>
      </c>
      <c r="R1709" s="141" t="s">
        <v>3755</v>
      </c>
      <c r="S1709" s="142" t="s">
        <v>3752</v>
      </c>
      <c r="T1709" s="141" t="s">
        <v>3780</v>
      </c>
      <c r="U1709" s="142" t="s">
        <v>292</v>
      </c>
      <c r="V1709" s="142" t="s">
        <v>1187</v>
      </c>
      <c r="W1709" s="141">
        <f t="shared" si="55"/>
        <v>3</v>
      </c>
      <c r="X1709" s="143"/>
      <c r="Y1709" s="138" t="s">
        <v>4244</v>
      </c>
      <c r="AA1709"/>
    </row>
    <row r="1710" spans="1:27" s="115" customFormat="1" ht="40.5" customHeight="1">
      <c r="A1710" s="139">
        <v>1585</v>
      </c>
      <c r="B1710" s="140" t="s">
        <v>6036</v>
      </c>
      <c r="C1710" s="141" t="s">
        <v>4041</v>
      </c>
      <c r="D1710" s="142" t="s">
        <v>4232</v>
      </c>
      <c r="E1710" s="141" t="s">
        <v>4115</v>
      </c>
      <c r="F1710" s="142" t="s">
        <v>4116</v>
      </c>
      <c r="G1710" s="141" t="s">
        <v>4117</v>
      </c>
      <c r="H1710" s="142" t="s">
        <v>4116</v>
      </c>
      <c r="I1710" s="141" t="s">
        <v>4139</v>
      </c>
      <c r="J1710" s="142" t="s">
        <v>1254</v>
      </c>
      <c r="K1710" s="142" t="s">
        <v>4243</v>
      </c>
      <c r="L1710" s="143">
        <f t="shared" si="54"/>
        <v>15</v>
      </c>
      <c r="M1710" s="158" t="s">
        <v>4179</v>
      </c>
      <c r="N1710" s="141" t="s">
        <v>3749</v>
      </c>
      <c r="O1710" s="142" t="s">
        <v>3751</v>
      </c>
      <c r="P1710" s="141" t="s">
        <v>3557</v>
      </c>
      <c r="Q1710" s="142" t="s">
        <v>3751</v>
      </c>
      <c r="R1710" s="141" t="s">
        <v>3755</v>
      </c>
      <c r="S1710" s="142" t="s">
        <v>3752</v>
      </c>
      <c r="T1710" s="141" t="s">
        <v>3783</v>
      </c>
      <c r="U1710" s="142" t="s">
        <v>3782</v>
      </c>
      <c r="V1710" s="142" t="s">
        <v>1184</v>
      </c>
      <c r="W1710" s="141">
        <f t="shared" si="55"/>
        <v>2</v>
      </c>
      <c r="X1710" s="143"/>
      <c r="Y1710" s="138" t="s">
        <v>4244</v>
      </c>
      <c r="AA1710"/>
    </row>
    <row r="1711" spans="1:27" s="115" customFormat="1" ht="40.5" customHeight="1">
      <c r="A1711" s="139">
        <v>1585</v>
      </c>
      <c r="B1711" s="140" t="s">
        <v>6036</v>
      </c>
      <c r="C1711" s="141" t="s">
        <v>4041</v>
      </c>
      <c r="D1711" s="142" t="s">
        <v>4232</v>
      </c>
      <c r="E1711" s="141" t="s">
        <v>4115</v>
      </c>
      <c r="F1711" s="142" t="s">
        <v>4116</v>
      </c>
      <c r="G1711" s="141" t="s">
        <v>4117</v>
      </c>
      <c r="H1711" s="142" t="s">
        <v>4116</v>
      </c>
      <c r="I1711" s="141" t="s">
        <v>4139</v>
      </c>
      <c r="J1711" s="142" t="s">
        <v>1254</v>
      </c>
      <c r="K1711" s="142" t="s">
        <v>4243</v>
      </c>
      <c r="L1711" s="143">
        <f t="shared" si="54"/>
        <v>15</v>
      </c>
      <c r="M1711" s="158" t="s">
        <v>4181</v>
      </c>
      <c r="N1711" s="141" t="s">
        <v>3749</v>
      </c>
      <c r="O1711" s="142" t="s">
        <v>3751</v>
      </c>
      <c r="P1711" s="141" t="s">
        <v>3557</v>
      </c>
      <c r="Q1711" s="142" t="s">
        <v>3751</v>
      </c>
      <c r="R1711" s="141" t="s">
        <v>3755</v>
      </c>
      <c r="S1711" s="142" t="s">
        <v>3752</v>
      </c>
      <c r="T1711" s="141" t="s">
        <v>3783</v>
      </c>
      <c r="U1711" s="142" t="s">
        <v>3782</v>
      </c>
      <c r="V1711" s="142" t="s">
        <v>1185</v>
      </c>
      <c r="W1711" s="141">
        <f t="shared" si="55"/>
        <v>2</v>
      </c>
      <c r="X1711" s="143"/>
      <c r="Y1711" s="138" t="s">
        <v>4244</v>
      </c>
      <c r="AA1711"/>
    </row>
    <row r="1712" spans="1:27" s="115" customFormat="1" ht="40.5" customHeight="1">
      <c r="A1712" s="139">
        <v>1585</v>
      </c>
      <c r="B1712" s="140" t="s">
        <v>6036</v>
      </c>
      <c r="C1712" s="141" t="s">
        <v>4041</v>
      </c>
      <c r="D1712" s="142" t="s">
        <v>4232</v>
      </c>
      <c r="E1712" s="141" t="s">
        <v>4115</v>
      </c>
      <c r="F1712" s="142" t="s">
        <v>4116</v>
      </c>
      <c r="G1712" s="141" t="s">
        <v>4117</v>
      </c>
      <c r="H1712" s="142" t="s">
        <v>4116</v>
      </c>
      <c r="I1712" s="141" t="s">
        <v>4139</v>
      </c>
      <c r="J1712" s="142" t="s">
        <v>1254</v>
      </c>
      <c r="K1712" s="142" t="s">
        <v>4243</v>
      </c>
      <c r="L1712" s="143">
        <f t="shared" si="54"/>
        <v>15</v>
      </c>
      <c r="M1712" s="158" t="s">
        <v>4246</v>
      </c>
      <c r="N1712" s="141" t="s">
        <v>3749</v>
      </c>
      <c r="O1712" s="142" t="s">
        <v>3751</v>
      </c>
      <c r="P1712" s="141" t="s">
        <v>3557</v>
      </c>
      <c r="Q1712" s="142" t="s">
        <v>3751</v>
      </c>
      <c r="R1712" s="141" t="s">
        <v>3755</v>
      </c>
      <c r="S1712" s="142" t="s">
        <v>3761</v>
      </c>
      <c r="T1712" s="141" t="s">
        <v>3837</v>
      </c>
      <c r="U1712" s="142" t="s">
        <v>3838</v>
      </c>
      <c r="V1712" s="142" t="s">
        <v>3838</v>
      </c>
      <c r="W1712" s="141">
        <f t="shared" si="55"/>
        <v>1</v>
      </c>
      <c r="X1712" s="143"/>
      <c r="Y1712" s="138" t="s">
        <v>4244</v>
      </c>
      <c r="AA1712"/>
    </row>
    <row r="1713" spans="1:27" s="115" customFormat="1" ht="40.5" customHeight="1">
      <c r="A1713" s="139">
        <v>1585</v>
      </c>
      <c r="B1713" s="140" t="s">
        <v>6036</v>
      </c>
      <c r="C1713" s="141" t="s">
        <v>4041</v>
      </c>
      <c r="D1713" s="142" t="s">
        <v>4232</v>
      </c>
      <c r="E1713" s="141" t="s">
        <v>4115</v>
      </c>
      <c r="F1713" s="142" t="s">
        <v>4116</v>
      </c>
      <c r="G1713" s="141" t="s">
        <v>4117</v>
      </c>
      <c r="H1713" s="142" t="s">
        <v>4116</v>
      </c>
      <c r="I1713" s="141" t="s">
        <v>4139</v>
      </c>
      <c r="J1713" s="142" t="s">
        <v>1254</v>
      </c>
      <c r="K1713" s="142" t="s">
        <v>4243</v>
      </c>
      <c r="L1713" s="143">
        <f t="shared" si="54"/>
        <v>15</v>
      </c>
      <c r="M1713" s="158" t="s">
        <v>4247</v>
      </c>
      <c r="N1713" s="141" t="s">
        <v>3749</v>
      </c>
      <c r="O1713" s="142" t="s">
        <v>3751</v>
      </c>
      <c r="P1713" s="141" t="s">
        <v>3557</v>
      </c>
      <c r="Q1713" s="142" t="s">
        <v>3751</v>
      </c>
      <c r="R1713" s="141" t="s">
        <v>3755</v>
      </c>
      <c r="S1713" s="142" t="s">
        <v>3752</v>
      </c>
      <c r="T1713" s="141" t="s">
        <v>3758</v>
      </c>
      <c r="U1713" s="142" t="s">
        <v>1175</v>
      </c>
      <c r="V1713" s="142" t="s">
        <v>1175</v>
      </c>
      <c r="W1713" s="141">
        <f t="shared" si="55"/>
        <v>1</v>
      </c>
      <c r="X1713" s="143"/>
      <c r="Y1713" s="138" t="s">
        <v>4244</v>
      </c>
      <c r="AA1713"/>
    </row>
    <row r="1714" spans="1:27" s="115" customFormat="1" ht="40.5" customHeight="1">
      <c r="A1714" s="139">
        <v>1585</v>
      </c>
      <c r="B1714" s="140" t="s">
        <v>6036</v>
      </c>
      <c r="C1714" s="141" t="s">
        <v>4041</v>
      </c>
      <c r="D1714" s="142" t="s">
        <v>4232</v>
      </c>
      <c r="E1714" s="141" t="s">
        <v>4115</v>
      </c>
      <c r="F1714" s="142" t="s">
        <v>4116</v>
      </c>
      <c r="G1714" s="141" t="s">
        <v>4117</v>
      </c>
      <c r="H1714" s="142" t="s">
        <v>4116</v>
      </c>
      <c r="I1714" s="141" t="s">
        <v>4139</v>
      </c>
      <c r="J1714" s="142" t="s">
        <v>1254</v>
      </c>
      <c r="K1714" s="142" t="s">
        <v>4243</v>
      </c>
      <c r="L1714" s="143">
        <f t="shared" si="54"/>
        <v>15</v>
      </c>
      <c r="M1714" s="158" t="s">
        <v>4183</v>
      </c>
      <c r="N1714" s="141" t="s">
        <v>3749</v>
      </c>
      <c r="O1714" s="142" t="s">
        <v>3751</v>
      </c>
      <c r="P1714" s="141" t="s">
        <v>3557</v>
      </c>
      <c r="Q1714" s="142" t="s">
        <v>3751</v>
      </c>
      <c r="R1714" s="141" t="s">
        <v>3755</v>
      </c>
      <c r="S1714" s="142" t="s">
        <v>3752</v>
      </c>
      <c r="T1714" s="141" t="s">
        <v>3770</v>
      </c>
      <c r="U1714" s="142" t="s">
        <v>3768</v>
      </c>
      <c r="V1714" s="142" t="s">
        <v>293</v>
      </c>
      <c r="W1714" s="141">
        <f t="shared" si="55"/>
        <v>2</v>
      </c>
      <c r="X1714" s="143"/>
      <c r="Y1714" s="138" t="s">
        <v>4244</v>
      </c>
      <c r="AA1714"/>
    </row>
    <row r="1715" spans="1:27" s="115" customFormat="1" ht="40.5" customHeight="1">
      <c r="A1715" s="139">
        <v>1585</v>
      </c>
      <c r="B1715" s="140" t="s">
        <v>6036</v>
      </c>
      <c r="C1715" s="141" t="s">
        <v>4041</v>
      </c>
      <c r="D1715" s="142" t="s">
        <v>4232</v>
      </c>
      <c r="E1715" s="141" t="s">
        <v>4115</v>
      </c>
      <c r="F1715" s="142" t="s">
        <v>4116</v>
      </c>
      <c r="G1715" s="141" t="s">
        <v>4117</v>
      </c>
      <c r="H1715" s="142" t="s">
        <v>4116</v>
      </c>
      <c r="I1715" s="141" t="s">
        <v>4139</v>
      </c>
      <c r="J1715" s="142" t="s">
        <v>1254</v>
      </c>
      <c r="K1715" s="142" t="s">
        <v>4243</v>
      </c>
      <c r="L1715" s="143">
        <f t="shared" si="54"/>
        <v>15</v>
      </c>
      <c r="M1715" s="158" t="s">
        <v>4162</v>
      </c>
      <c r="N1715" s="141" t="s">
        <v>3749</v>
      </c>
      <c r="O1715" s="142" t="s">
        <v>3751</v>
      </c>
      <c r="P1715" s="141" t="s">
        <v>3557</v>
      </c>
      <c r="Q1715" s="142" t="s">
        <v>3751</v>
      </c>
      <c r="R1715" s="141" t="s">
        <v>3755</v>
      </c>
      <c r="S1715" s="142" t="s">
        <v>3752</v>
      </c>
      <c r="T1715" s="141" t="s">
        <v>3770</v>
      </c>
      <c r="U1715" s="142" t="s">
        <v>3768</v>
      </c>
      <c r="V1715" s="142" t="s">
        <v>1176</v>
      </c>
      <c r="W1715" s="141">
        <f t="shared" si="55"/>
        <v>3</v>
      </c>
      <c r="X1715" s="143"/>
      <c r="Y1715" s="138" t="s">
        <v>4244</v>
      </c>
      <c r="AA1715"/>
    </row>
    <row r="1716" spans="1:27" s="115" customFormat="1" ht="40.5" customHeight="1">
      <c r="A1716" s="139">
        <v>1585</v>
      </c>
      <c r="B1716" s="140" t="s">
        <v>6036</v>
      </c>
      <c r="C1716" s="141" t="s">
        <v>4041</v>
      </c>
      <c r="D1716" s="142" t="s">
        <v>4232</v>
      </c>
      <c r="E1716" s="141" t="s">
        <v>4115</v>
      </c>
      <c r="F1716" s="142" t="s">
        <v>4116</v>
      </c>
      <c r="G1716" s="141" t="s">
        <v>4117</v>
      </c>
      <c r="H1716" s="142" t="s">
        <v>4116</v>
      </c>
      <c r="I1716" s="141" t="s">
        <v>4139</v>
      </c>
      <c r="J1716" s="142" t="s">
        <v>1254</v>
      </c>
      <c r="K1716" s="142" t="s">
        <v>4243</v>
      </c>
      <c r="L1716" s="143">
        <f t="shared" si="54"/>
        <v>15</v>
      </c>
      <c r="M1716" s="158" t="s">
        <v>4186</v>
      </c>
      <c r="N1716" s="141" t="s">
        <v>3749</v>
      </c>
      <c r="O1716" s="142" t="s">
        <v>3751</v>
      </c>
      <c r="P1716" s="141" t="s">
        <v>3557</v>
      </c>
      <c r="Q1716" s="142" t="s">
        <v>3751</v>
      </c>
      <c r="R1716" s="141" t="s">
        <v>3755</v>
      </c>
      <c r="S1716" s="142" t="s">
        <v>3752</v>
      </c>
      <c r="T1716" s="141" t="s">
        <v>3790</v>
      </c>
      <c r="U1716" s="142" t="s">
        <v>3788</v>
      </c>
      <c r="V1716" s="142" t="s">
        <v>1180</v>
      </c>
      <c r="W1716" s="141">
        <f t="shared" si="55"/>
        <v>2</v>
      </c>
      <c r="X1716" s="143"/>
      <c r="Y1716" s="138" t="s">
        <v>4244</v>
      </c>
      <c r="AA1716"/>
    </row>
    <row r="1717" spans="1:27" s="115" customFormat="1" ht="40.5" customHeight="1">
      <c r="A1717" s="139">
        <v>1585</v>
      </c>
      <c r="B1717" s="140" t="s">
        <v>6036</v>
      </c>
      <c r="C1717" s="141" t="s">
        <v>4041</v>
      </c>
      <c r="D1717" s="142" t="s">
        <v>4232</v>
      </c>
      <c r="E1717" s="141" t="s">
        <v>4115</v>
      </c>
      <c r="F1717" s="142" t="s">
        <v>4116</v>
      </c>
      <c r="G1717" s="141" t="s">
        <v>4117</v>
      </c>
      <c r="H1717" s="142" t="s">
        <v>4116</v>
      </c>
      <c r="I1717" s="141" t="s">
        <v>4139</v>
      </c>
      <c r="J1717" s="142" t="s">
        <v>1254</v>
      </c>
      <c r="K1717" s="142" t="s">
        <v>4243</v>
      </c>
      <c r="L1717" s="143">
        <f t="shared" si="54"/>
        <v>15</v>
      </c>
      <c r="M1717" s="158" t="s">
        <v>4188</v>
      </c>
      <c r="N1717" s="141" t="s">
        <v>3749</v>
      </c>
      <c r="O1717" s="142" t="s">
        <v>3751</v>
      </c>
      <c r="P1717" s="141" t="s">
        <v>3557</v>
      </c>
      <c r="Q1717" s="142" t="s">
        <v>3751</v>
      </c>
      <c r="R1717" s="141" t="s">
        <v>3755</v>
      </c>
      <c r="S1717" s="142" t="s">
        <v>3752</v>
      </c>
      <c r="T1717" s="141" t="s">
        <v>3790</v>
      </c>
      <c r="U1717" s="142" t="s">
        <v>3788</v>
      </c>
      <c r="V1717" s="142" t="s">
        <v>1188</v>
      </c>
      <c r="W1717" s="141">
        <f t="shared" si="55"/>
        <v>3</v>
      </c>
      <c r="X1717" s="143"/>
      <c r="Y1717" s="138" t="s">
        <v>4244</v>
      </c>
      <c r="AA1717"/>
    </row>
    <row r="1718" spans="1:27" s="115" customFormat="1" ht="40.5">
      <c r="A1718" s="139">
        <v>1586</v>
      </c>
      <c r="B1718" s="140" t="s">
        <v>6037</v>
      </c>
      <c r="C1718" s="141" t="s">
        <v>4041</v>
      </c>
      <c r="D1718" s="142" t="s">
        <v>4232</v>
      </c>
      <c r="E1718" s="141" t="s">
        <v>4115</v>
      </c>
      <c r="F1718" s="142" t="s">
        <v>4116</v>
      </c>
      <c r="G1718" s="141" t="s">
        <v>4117</v>
      </c>
      <c r="H1718" s="142" t="s">
        <v>4116</v>
      </c>
      <c r="I1718" s="141" t="s">
        <v>4139</v>
      </c>
      <c r="J1718" s="142" t="s">
        <v>1254</v>
      </c>
      <c r="K1718" s="142" t="s">
        <v>4431</v>
      </c>
      <c r="L1718" s="143">
        <f t="shared" si="54"/>
        <v>9</v>
      </c>
      <c r="M1718" s="159" t="s">
        <v>4432</v>
      </c>
      <c r="N1718" s="141" t="s">
        <v>4433</v>
      </c>
      <c r="O1718" s="142" t="s">
        <v>4434</v>
      </c>
      <c r="P1718" s="141">
        <v>58</v>
      </c>
      <c r="Q1718" s="142" t="s">
        <v>4435</v>
      </c>
      <c r="R1718" s="141">
        <v>582</v>
      </c>
      <c r="S1718" s="142" t="s">
        <v>4436</v>
      </c>
      <c r="T1718" s="141">
        <v>5821</v>
      </c>
      <c r="U1718" s="142" t="s">
        <v>4437</v>
      </c>
      <c r="V1718" s="142" t="s">
        <v>4438</v>
      </c>
      <c r="W1718" s="141">
        <f t="shared" si="55"/>
        <v>1</v>
      </c>
      <c r="X1718" s="143"/>
      <c r="Y1718" s="138"/>
      <c r="AA1718"/>
    </row>
    <row r="1719" spans="1:27" s="115" customFormat="1" ht="40.5" customHeight="1">
      <c r="A1719" s="139">
        <v>1586</v>
      </c>
      <c r="B1719" s="140" t="s">
        <v>6037</v>
      </c>
      <c r="C1719" s="141" t="s">
        <v>4041</v>
      </c>
      <c r="D1719" s="142" t="s">
        <v>4232</v>
      </c>
      <c r="E1719" s="141" t="s">
        <v>4115</v>
      </c>
      <c r="F1719" s="142" t="s">
        <v>4116</v>
      </c>
      <c r="G1719" s="141" t="s">
        <v>4117</v>
      </c>
      <c r="H1719" s="142" t="s">
        <v>4116</v>
      </c>
      <c r="I1719" s="141" t="s">
        <v>4139</v>
      </c>
      <c r="J1719" s="142" t="s">
        <v>1254</v>
      </c>
      <c r="K1719" s="142" t="s">
        <v>4431</v>
      </c>
      <c r="L1719" s="143">
        <f t="shared" si="54"/>
        <v>9</v>
      </c>
      <c r="M1719" s="159" t="s">
        <v>4439</v>
      </c>
      <c r="N1719" s="141" t="s">
        <v>4433</v>
      </c>
      <c r="O1719" s="142" t="s">
        <v>4434</v>
      </c>
      <c r="P1719" s="141">
        <v>58</v>
      </c>
      <c r="Q1719" s="142" t="s">
        <v>4435</v>
      </c>
      <c r="R1719" s="141">
        <v>582</v>
      </c>
      <c r="S1719" s="142" t="s">
        <v>4436</v>
      </c>
      <c r="T1719" s="141">
        <v>5821</v>
      </c>
      <c r="U1719" s="142" t="s">
        <v>4437</v>
      </c>
      <c r="V1719" s="142" t="s">
        <v>4440</v>
      </c>
      <c r="W1719" s="141">
        <f t="shared" si="55"/>
        <v>1</v>
      </c>
      <c r="X1719" s="143"/>
      <c r="Y1719" s="138"/>
      <c r="AA1719"/>
    </row>
    <row r="1720" spans="1:27" s="115" customFormat="1" ht="40.5" customHeight="1">
      <c r="A1720" s="139">
        <v>1586</v>
      </c>
      <c r="B1720" s="140" t="s">
        <v>6037</v>
      </c>
      <c r="C1720" s="141" t="s">
        <v>4041</v>
      </c>
      <c r="D1720" s="142" t="s">
        <v>4232</v>
      </c>
      <c r="E1720" s="141" t="s">
        <v>4115</v>
      </c>
      <c r="F1720" s="142" t="s">
        <v>4116</v>
      </c>
      <c r="G1720" s="141" t="s">
        <v>4117</v>
      </c>
      <c r="H1720" s="142" t="s">
        <v>4116</v>
      </c>
      <c r="I1720" s="141" t="s">
        <v>4139</v>
      </c>
      <c r="J1720" s="142" t="s">
        <v>1254</v>
      </c>
      <c r="K1720" s="142" t="s">
        <v>4431</v>
      </c>
      <c r="L1720" s="143">
        <f t="shared" si="54"/>
        <v>9</v>
      </c>
      <c r="M1720" s="159" t="s">
        <v>4441</v>
      </c>
      <c r="N1720" s="141" t="s">
        <v>4433</v>
      </c>
      <c r="O1720" s="142" t="s">
        <v>4434</v>
      </c>
      <c r="P1720" s="141">
        <v>58</v>
      </c>
      <c r="Q1720" s="142" t="s">
        <v>4435</v>
      </c>
      <c r="R1720" s="141">
        <v>582</v>
      </c>
      <c r="S1720" s="142" t="s">
        <v>4436</v>
      </c>
      <c r="T1720" s="141">
        <v>5821</v>
      </c>
      <c r="U1720" s="142" t="s">
        <v>4437</v>
      </c>
      <c r="V1720" s="142" t="s">
        <v>4442</v>
      </c>
      <c r="W1720" s="141">
        <f t="shared" si="55"/>
        <v>1</v>
      </c>
      <c r="X1720" s="143"/>
      <c r="Y1720" s="138"/>
      <c r="AA1720"/>
    </row>
    <row r="1721" spans="1:27" s="115" customFormat="1" ht="40.5" customHeight="1">
      <c r="A1721" s="139">
        <v>1586</v>
      </c>
      <c r="B1721" s="140" t="s">
        <v>6037</v>
      </c>
      <c r="C1721" s="141" t="s">
        <v>4041</v>
      </c>
      <c r="D1721" s="142" t="s">
        <v>4232</v>
      </c>
      <c r="E1721" s="141" t="s">
        <v>4115</v>
      </c>
      <c r="F1721" s="142" t="s">
        <v>4116</v>
      </c>
      <c r="G1721" s="141" t="s">
        <v>4117</v>
      </c>
      <c r="H1721" s="142" t="s">
        <v>4116</v>
      </c>
      <c r="I1721" s="141" t="s">
        <v>4139</v>
      </c>
      <c r="J1721" s="142" t="s">
        <v>1254</v>
      </c>
      <c r="K1721" s="142" t="s">
        <v>4431</v>
      </c>
      <c r="L1721" s="143">
        <f t="shared" si="54"/>
        <v>9</v>
      </c>
      <c r="M1721" s="159" t="s">
        <v>4443</v>
      </c>
      <c r="N1721" s="141" t="s">
        <v>4433</v>
      </c>
      <c r="O1721" s="142" t="s">
        <v>4434</v>
      </c>
      <c r="P1721" s="141">
        <v>58</v>
      </c>
      <c r="Q1721" s="142" t="s">
        <v>4435</v>
      </c>
      <c r="R1721" s="141">
        <v>582</v>
      </c>
      <c r="S1721" s="142" t="s">
        <v>4436</v>
      </c>
      <c r="T1721" s="141">
        <v>5822</v>
      </c>
      <c r="U1721" s="142" t="s">
        <v>4444</v>
      </c>
      <c r="V1721" s="142" t="s">
        <v>4445</v>
      </c>
      <c r="W1721" s="141">
        <f t="shared" si="55"/>
        <v>1</v>
      </c>
      <c r="X1721" s="143"/>
      <c r="Y1721" s="138"/>
      <c r="AA1721"/>
    </row>
    <row r="1722" spans="1:27" s="115" customFormat="1" ht="40.5" customHeight="1">
      <c r="A1722" s="139">
        <v>1586</v>
      </c>
      <c r="B1722" s="140" t="s">
        <v>6037</v>
      </c>
      <c r="C1722" s="141" t="s">
        <v>4041</v>
      </c>
      <c r="D1722" s="142" t="s">
        <v>4232</v>
      </c>
      <c r="E1722" s="141" t="s">
        <v>4115</v>
      </c>
      <c r="F1722" s="142" t="s">
        <v>4116</v>
      </c>
      <c r="G1722" s="141" t="s">
        <v>4117</v>
      </c>
      <c r="H1722" s="142" t="s">
        <v>4116</v>
      </c>
      <c r="I1722" s="141" t="s">
        <v>4139</v>
      </c>
      <c r="J1722" s="142" t="s">
        <v>1254</v>
      </c>
      <c r="K1722" s="142" t="s">
        <v>4431</v>
      </c>
      <c r="L1722" s="143">
        <f t="shared" si="54"/>
        <v>9</v>
      </c>
      <c r="M1722" s="159" t="s">
        <v>4446</v>
      </c>
      <c r="N1722" s="141" t="s">
        <v>4433</v>
      </c>
      <c r="O1722" s="142" t="s">
        <v>4434</v>
      </c>
      <c r="P1722" s="141">
        <v>58</v>
      </c>
      <c r="Q1722" s="142" t="s">
        <v>4435</v>
      </c>
      <c r="R1722" s="141">
        <v>582</v>
      </c>
      <c r="S1722" s="142" t="s">
        <v>4436</v>
      </c>
      <c r="T1722" s="141">
        <v>5822</v>
      </c>
      <c r="U1722" s="142" t="s">
        <v>4444</v>
      </c>
      <c r="V1722" s="142" t="s">
        <v>4447</v>
      </c>
      <c r="W1722" s="141">
        <f t="shared" si="55"/>
        <v>1</v>
      </c>
      <c r="X1722" s="143"/>
      <c r="Y1722" s="138"/>
      <c r="AA1722"/>
    </row>
    <row r="1723" spans="1:27" s="115" customFormat="1" ht="40.5" customHeight="1">
      <c r="A1723" s="139">
        <v>1586</v>
      </c>
      <c r="B1723" s="140" t="s">
        <v>6037</v>
      </c>
      <c r="C1723" s="141" t="s">
        <v>4041</v>
      </c>
      <c r="D1723" s="142" t="s">
        <v>4232</v>
      </c>
      <c r="E1723" s="141" t="s">
        <v>4115</v>
      </c>
      <c r="F1723" s="142" t="s">
        <v>4116</v>
      </c>
      <c r="G1723" s="141" t="s">
        <v>4117</v>
      </c>
      <c r="H1723" s="142" t="s">
        <v>4116</v>
      </c>
      <c r="I1723" s="141" t="s">
        <v>4139</v>
      </c>
      <c r="J1723" s="142" t="s">
        <v>1254</v>
      </c>
      <c r="K1723" s="142" t="s">
        <v>4431</v>
      </c>
      <c r="L1723" s="143">
        <f t="shared" si="54"/>
        <v>9</v>
      </c>
      <c r="M1723" s="159" t="s">
        <v>4207</v>
      </c>
      <c r="N1723" s="141" t="s">
        <v>4433</v>
      </c>
      <c r="O1723" s="142" t="s">
        <v>4434</v>
      </c>
      <c r="P1723" s="141">
        <v>62</v>
      </c>
      <c r="Q1723" s="142" t="s">
        <v>4448</v>
      </c>
      <c r="R1723" s="141">
        <v>620</v>
      </c>
      <c r="S1723" s="142" t="s">
        <v>4448</v>
      </c>
      <c r="T1723" s="141">
        <v>6201</v>
      </c>
      <c r="U1723" s="142" t="s">
        <v>4449</v>
      </c>
      <c r="V1723" s="142" t="s">
        <v>4449</v>
      </c>
      <c r="W1723" s="141">
        <f t="shared" si="55"/>
        <v>2</v>
      </c>
      <c r="X1723" s="143"/>
      <c r="Y1723" s="138"/>
      <c r="AA1723"/>
    </row>
    <row r="1724" spans="1:27" s="115" customFormat="1" ht="40.5" customHeight="1">
      <c r="A1724" s="139">
        <v>1586</v>
      </c>
      <c r="B1724" s="140" t="s">
        <v>6037</v>
      </c>
      <c r="C1724" s="141" t="s">
        <v>4041</v>
      </c>
      <c r="D1724" s="142" t="s">
        <v>4232</v>
      </c>
      <c r="E1724" s="141" t="s">
        <v>4115</v>
      </c>
      <c r="F1724" s="142" t="s">
        <v>4116</v>
      </c>
      <c r="G1724" s="141" t="s">
        <v>4117</v>
      </c>
      <c r="H1724" s="142" t="s">
        <v>4116</v>
      </c>
      <c r="I1724" s="141" t="s">
        <v>4139</v>
      </c>
      <c r="J1724" s="142" t="s">
        <v>1254</v>
      </c>
      <c r="K1724" s="142" t="s">
        <v>4431</v>
      </c>
      <c r="L1724" s="143">
        <f t="shared" si="54"/>
        <v>9</v>
      </c>
      <c r="M1724" s="159" t="s">
        <v>4450</v>
      </c>
      <c r="N1724" s="141" t="s">
        <v>4433</v>
      </c>
      <c r="O1724" s="142" t="s">
        <v>4434</v>
      </c>
      <c r="P1724" s="141">
        <v>62</v>
      </c>
      <c r="Q1724" s="142" t="s">
        <v>4448</v>
      </c>
      <c r="R1724" s="141">
        <v>620</v>
      </c>
      <c r="S1724" s="142" t="s">
        <v>4448</v>
      </c>
      <c r="T1724" s="141">
        <v>6202</v>
      </c>
      <c r="U1724" s="142" t="s">
        <v>4451</v>
      </c>
      <c r="V1724" s="142" t="s">
        <v>4452</v>
      </c>
      <c r="W1724" s="141">
        <f t="shared" si="55"/>
        <v>1</v>
      </c>
      <c r="X1724" s="143"/>
      <c r="Y1724" s="138"/>
      <c r="AA1724"/>
    </row>
    <row r="1725" spans="1:27" s="115" customFormat="1" ht="40.5" customHeight="1">
      <c r="A1725" s="139">
        <v>1586</v>
      </c>
      <c r="B1725" s="140" t="s">
        <v>6037</v>
      </c>
      <c r="C1725" s="141" t="s">
        <v>4041</v>
      </c>
      <c r="D1725" s="142" t="s">
        <v>4232</v>
      </c>
      <c r="E1725" s="141" t="s">
        <v>4115</v>
      </c>
      <c r="F1725" s="142" t="s">
        <v>4116</v>
      </c>
      <c r="G1725" s="141" t="s">
        <v>4117</v>
      </c>
      <c r="H1725" s="142" t="s">
        <v>4116</v>
      </c>
      <c r="I1725" s="141" t="s">
        <v>4139</v>
      </c>
      <c r="J1725" s="142" t="s">
        <v>1254</v>
      </c>
      <c r="K1725" s="142" t="s">
        <v>4431</v>
      </c>
      <c r="L1725" s="143">
        <f t="shared" si="54"/>
        <v>9</v>
      </c>
      <c r="M1725" s="159" t="s">
        <v>4453</v>
      </c>
      <c r="N1725" s="141" t="s">
        <v>4433</v>
      </c>
      <c r="O1725" s="142" t="s">
        <v>4434</v>
      </c>
      <c r="P1725" s="141">
        <v>62</v>
      </c>
      <c r="Q1725" s="142" t="s">
        <v>4448</v>
      </c>
      <c r="R1725" s="141">
        <v>620</v>
      </c>
      <c r="S1725" s="142" t="s">
        <v>4448</v>
      </c>
      <c r="T1725" s="141">
        <v>6202</v>
      </c>
      <c r="U1725" s="142" t="s">
        <v>4451</v>
      </c>
      <c r="V1725" s="142" t="s">
        <v>4454</v>
      </c>
      <c r="W1725" s="141">
        <f t="shared" si="55"/>
        <v>1</v>
      </c>
      <c r="X1725" s="143"/>
      <c r="Y1725" s="138"/>
      <c r="AA1725"/>
    </row>
    <row r="1726" spans="1:27" s="115" customFormat="1" ht="40.5" customHeight="1">
      <c r="A1726" s="139">
        <v>1586</v>
      </c>
      <c r="B1726" s="140" t="s">
        <v>6037</v>
      </c>
      <c r="C1726" s="141" t="s">
        <v>4041</v>
      </c>
      <c r="D1726" s="142" t="s">
        <v>4232</v>
      </c>
      <c r="E1726" s="141" t="s">
        <v>4115</v>
      </c>
      <c r="F1726" s="142" t="s">
        <v>4116</v>
      </c>
      <c r="G1726" s="141" t="s">
        <v>4117</v>
      </c>
      <c r="H1726" s="142" t="s">
        <v>4116</v>
      </c>
      <c r="I1726" s="141" t="s">
        <v>4139</v>
      </c>
      <c r="J1726" s="142" t="s">
        <v>1254</v>
      </c>
      <c r="K1726" s="142" t="s">
        <v>4431</v>
      </c>
      <c r="L1726" s="143">
        <f t="shared" si="54"/>
        <v>9</v>
      </c>
      <c r="M1726" s="159" t="s">
        <v>4455</v>
      </c>
      <c r="N1726" s="141" t="s">
        <v>4433</v>
      </c>
      <c r="O1726" s="142" t="s">
        <v>4434</v>
      </c>
      <c r="P1726" s="141">
        <v>62</v>
      </c>
      <c r="Q1726" s="142" t="s">
        <v>4448</v>
      </c>
      <c r="R1726" s="141">
        <v>620</v>
      </c>
      <c r="S1726" s="142" t="s">
        <v>4448</v>
      </c>
      <c r="T1726" s="141">
        <v>6209</v>
      </c>
      <c r="U1726" s="142" t="s">
        <v>4456</v>
      </c>
      <c r="V1726" s="142" t="s">
        <v>4456</v>
      </c>
      <c r="W1726" s="141">
        <f t="shared" si="55"/>
        <v>1</v>
      </c>
      <c r="X1726" s="143"/>
      <c r="Y1726" s="138"/>
      <c r="AA1726"/>
    </row>
    <row r="1727" spans="1:27" s="115" customFormat="1" ht="40.5" customHeight="1">
      <c r="A1727" s="139">
        <v>1587</v>
      </c>
      <c r="B1727" s="140" t="s">
        <v>6038</v>
      </c>
      <c r="C1727" s="141" t="s">
        <v>4041</v>
      </c>
      <c r="D1727" s="142" t="s">
        <v>4232</v>
      </c>
      <c r="E1727" s="141" t="s">
        <v>4115</v>
      </c>
      <c r="F1727" s="142" t="s">
        <v>4116</v>
      </c>
      <c r="G1727" s="141" t="s">
        <v>4117</v>
      </c>
      <c r="H1727" s="142" t="s">
        <v>4116</v>
      </c>
      <c r="I1727" s="141" t="s">
        <v>4139</v>
      </c>
      <c r="J1727" s="142" t="s">
        <v>1254</v>
      </c>
      <c r="K1727" s="142" t="s">
        <v>4457</v>
      </c>
      <c r="L1727" s="143">
        <f t="shared" ref="L1727:L1752" si="56">COUNTIF($B$5:$B$1752,B1727)</f>
        <v>3</v>
      </c>
      <c r="M1727" s="159" t="s">
        <v>4120</v>
      </c>
      <c r="N1727" s="141" t="s">
        <v>4458</v>
      </c>
      <c r="O1727" s="142" t="s">
        <v>4459</v>
      </c>
      <c r="P1727" s="141">
        <v>73</v>
      </c>
      <c r="Q1727" s="142" t="s">
        <v>4460</v>
      </c>
      <c r="R1727" s="141">
        <v>739</v>
      </c>
      <c r="S1727" s="142" t="s">
        <v>4461</v>
      </c>
      <c r="T1727" s="141">
        <v>7390</v>
      </c>
      <c r="U1727" s="142" t="s">
        <v>4461</v>
      </c>
      <c r="V1727" s="142" t="s">
        <v>4462</v>
      </c>
      <c r="W1727" s="141">
        <f t="shared" ref="W1727:W1756" si="57">COUNTIF($M$5:$M$1756,M1727)</f>
        <v>2</v>
      </c>
      <c r="X1727" s="143"/>
      <c r="Y1727" s="138"/>
      <c r="AA1727"/>
    </row>
    <row r="1728" spans="1:27" s="115" customFormat="1" ht="40.5" customHeight="1">
      <c r="A1728" s="139">
        <v>1587</v>
      </c>
      <c r="B1728" s="140" t="s">
        <v>6038</v>
      </c>
      <c r="C1728" s="141" t="s">
        <v>4041</v>
      </c>
      <c r="D1728" s="142" t="s">
        <v>4232</v>
      </c>
      <c r="E1728" s="141" t="s">
        <v>4115</v>
      </c>
      <c r="F1728" s="142" t="s">
        <v>4116</v>
      </c>
      <c r="G1728" s="141" t="s">
        <v>4117</v>
      </c>
      <c r="H1728" s="142" t="s">
        <v>4116</v>
      </c>
      <c r="I1728" s="141" t="s">
        <v>4139</v>
      </c>
      <c r="J1728" s="142" t="s">
        <v>1254</v>
      </c>
      <c r="K1728" s="142" t="s">
        <v>4457</v>
      </c>
      <c r="L1728" s="143">
        <f t="shared" si="56"/>
        <v>3</v>
      </c>
      <c r="M1728" s="159" t="s">
        <v>4463</v>
      </c>
      <c r="N1728" s="141" t="s">
        <v>3667</v>
      </c>
      <c r="O1728" s="142" t="s">
        <v>3668</v>
      </c>
      <c r="P1728" s="141">
        <v>75</v>
      </c>
      <c r="Q1728" s="142" t="s">
        <v>4464</v>
      </c>
      <c r="R1728" s="141">
        <v>752</v>
      </c>
      <c r="S1728" s="142" t="s">
        <v>4465</v>
      </c>
      <c r="T1728" s="141">
        <v>7521</v>
      </c>
      <c r="U1728" s="142" t="s">
        <v>4466</v>
      </c>
      <c r="V1728" s="142" t="s">
        <v>4466</v>
      </c>
      <c r="W1728" s="141">
        <f t="shared" si="57"/>
        <v>1</v>
      </c>
      <c r="X1728" s="143"/>
      <c r="Y1728" s="138"/>
      <c r="AA1728"/>
    </row>
    <row r="1729" spans="1:27" s="115" customFormat="1" ht="40.5" customHeight="1">
      <c r="A1729" s="139">
        <v>1587</v>
      </c>
      <c r="B1729" s="140" t="s">
        <v>6038</v>
      </c>
      <c r="C1729" s="141" t="s">
        <v>4041</v>
      </c>
      <c r="D1729" s="142" t="s">
        <v>4232</v>
      </c>
      <c r="E1729" s="141" t="s">
        <v>4115</v>
      </c>
      <c r="F1729" s="142" t="s">
        <v>4116</v>
      </c>
      <c r="G1729" s="141" t="s">
        <v>4117</v>
      </c>
      <c r="H1729" s="142" t="s">
        <v>4116</v>
      </c>
      <c r="I1729" s="141" t="s">
        <v>4139</v>
      </c>
      <c r="J1729" s="142" t="s">
        <v>1254</v>
      </c>
      <c r="K1729" s="142" t="s">
        <v>4457</v>
      </c>
      <c r="L1729" s="143">
        <f t="shared" si="56"/>
        <v>3</v>
      </c>
      <c r="M1729" s="159" t="s">
        <v>4467</v>
      </c>
      <c r="N1729" s="141" t="s">
        <v>3667</v>
      </c>
      <c r="O1729" s="142" t="s">
        <v>3668</v>
      </c>
      <c r="P1729" s="141">
        <v>75</v>
      </c>
      <c r="Q1729" s="142" t="s">
        <v>4464</v>
      </c>
      <c r="R1729" s="141">
        <v>752</v>
      </c>
      <c r="S1729" s="142" t="s">
        <v>4465</v>
      </c>
      <c r="T1729" s="141">
        <v>7529</v>
      </c>
      <c r="U1729" s="142" t="s">
        <v>4468</v>
      </c>
      <c r="V1729" s="142" t="s">
        <v>4468</v>
      </c>
      <c r="W1729" s="141">
        <f t="shared" si="57"/>
        <v>1</v>
      </c>
      <c r="X1729" s="143"/>
      <c r="Y1729" s="138"/>
      <c r="AA1729"/>
    </row>
    <row r="1730" spans="1:27" s="115" customFormat="1" ht="40.5" customHeight="1">
      <c r="A1730" s="139">
        <v>1588</v>
      </c>
      <c r="B1730" s="140" t="s">
        <v>6039</v>
      </c>
      <c r="C1730" s="141" t="s">
        <v>4041</v>
      </c>
      <c r="D1730" s="142" t="s">
        <v>4232</v>
      </c>
      <c r="E1730" s="141" t="s">
        <v>4115</v>
      </c>
      <c r="F1730" s="142" t="s">
        <v>4116</v>
      </c>
      <c r="G1730" s="141" t="s">
        <v>4117</v>
      </c>
      <c r="H1730" s="142" t="s">
        <v>4116</v>
      </c>
      <c r="I1730" s="141" t="s">
        <v>4139</v>
      </c>
      <c r="J1730" s="142" t="s">
        <v>1254</v>
      </c>
      <c r="K1730" s="142" t="s">
        <v>4469</v>
      </c>
      <c r="L1730" s="143">
        <f t="shared" si="56"/>
        <v>1</v>
      </c>
      <c r="M1730" s="159" t="s">
        <v>4470</v>
      </c>
      <c r="N1730" s="141" t="s">
        <v>4471</v>
      </c>
      <c r="O1730" s="142" t="s">
        <v>4472</v>
      </c>
      <c r="P1730" s="141">
        <v>49</v>
      </c>
      <c r="Q1730" s="142" t="s">
        <v>3071</v>
      </c>
      <c r="R1730" s="141">
        <v>492</v>
      </c>
      <c r="S1730" s="142" t="s">
        <v>4473</v>
      </c>
      <c r="T1730" s="141">
        <v>4921</v>
      </c>
      <c r="U1730" s="142" t="s">
        <v>4474</v>
      </c>
      <c r="V1730" s="142" t="s">
        <v>4415</v>
      </c>
      <c r="W1730" s="141">
        <f t="shared" si="57"/>
        <v>1</v>
      </c>
      <c r="X1730" s="143"/>
      <c r="Y1730" s="138" t="s">
        <v>4475</v>
      </c>
      <c r="AA1730"/>
    </row>
    <row r="1731" spans="1:27" s="115" customFormat="1" ht="40.5" customHeight="1">
      <c r="A1731" s="139">
        <v>1589</v>
      </c>
      <c r="B1731" s="140" t="s">
        <v>6040</v>
      </c>
      <c r="C1731" s="141" t="s">
        <v>4041</v>
      </c>
      <c r="D1731" s="142" t="s">
        <v>4232</v>
      </c>
      <c r="E1731" s="141" t="s">
        <v>4115</v>
      </c>
      <c r="F1731" s="142" t="s">
        <v>4116</v>
      </c>
      <c r="G1731" s="141" t="s">
        <v>4117</v>
      </c>
      <c r="H1731" s="142" t="s">
        <v>4116</v>
      </c>
      <c r="I1731" s="141" t="s">
        <v>4139</v>
      </c>
      <c r="J1731" s="142" t="s">
        <v>1254</v>
      </c>
      <c r="K1731" s="142" t="s">
        <v>4476</v>
      </c>
      <c r="L1731" s="143">
        <f t="shared" si="56"/>
        <v>1</v>
      </c>
      <c r="M1731" s="159" t="s">
        <v>4477</v>
      </c>
      <c r="N1731" s="141" t="s">
        <v>4478</v>
      </c>
      <c r="O1731" s="142" t="s">
        <v>4479</v>
      </c>
      <c r="P1731" s="141">
        <v>45</v>
      </c>
      <c r="Q1731" s="142" t="s">
        <v>4480</v>
      </c>
      <c r="R1731" s="141">
        <v>451</v>
      </c>
      <c r="S1731" s="142" t="s">
        <v>4481</v>
      </c>
      <c r="T1731" s="141">
        <v>4512</v>
      </c>
      <c r="U1731" s="142" t="s">
        <v>4482</v>
      </c>
      <c r="V1731" s="142" t="s">
        <v>4482</v>
      </c>
      <c r="W1731" s="141">
        <f t="shared" si="57"/>
        <v>1</v>
      </c>
      <c r="X1731" s="143"/>
      <c r="Y1731" s="138"/>
      <c r="AA1731"/>
    </row>
    <row r="1732" spans="1:27" s="115" customFormat="1" ht="40.5" customHeight="1">
      <c r="A1732" s="139">
        <v>1590</v>
      </c>
      <c r="B1732" s="140" t="s">
        <v>6138</v>
      </c>
      <c r="C1732" s="141" t="s">
        <v>4041</v>
      </c>
      <c r="D1732" s="142" t="s">
        <v>4042</v>
      </c>
      <c r="E1732" s="141" t="s">
        <v>4115</v>
      </c>
      <c r="F1732" s="142" t="s">
        <v>4248</v>
      </c>
      <c r="G1732" s="141" t="s">
        <v>4249</v>
      </c>
      <c r="H1732" s="142" t="s">
        <v>4250</v>
      </c>
      <c r="I1732" s="141" t="s">
        <v>4251</v>
      </c>
      <c r="J1732" s="142" t="s">
        <v>4252</v>
      </c>
      <c r="K1732" s="142" t="s">
        <v>4252</v>
      </c>
      <c r="L1732" s="143">
        <f t="shared" si="56"/>
        <v>1</v>
      </c>
      <c r="M1732" s="144" t="s">
        <v>4253</v>
      </c>
      <c r="N1732" s="141" t="s">
        <v>4041</v>
      </c>
      <c r="O1732" s="142" t="s">
        <v>4042</v>
      </c>
      <c r="P1732" s="141" t="s">
        <v>4115</v>
      </c>
      <c r="Q1732" s="142" t="s">
        <v>4248</v>
      </c>
      <c r="R1732" s="141" t="s">
        <v>4249</v>
      </c>
      <c r="S1732" s="142" t="s">
        <v>4250</v>
      </c>
      <c r="T1732" s="141" t="s">
        <v>4251</v>
      </c>
      <c r="U1732" s="142" t="s">
        <v>4252</v>
      </c>
      <c r="V1732" s="142" t="s">
        <v>4252</v>
      </c>
      <c r="W1732" s="141">
        <f t="shared" si="57"/>
        <v>1</v>
      </c>
      <c r="X1732" s="143"/>
      <c r="Y1732" s="145"/>
      <c r="AA1732"/>
    </row>
    <row r="1733" spans="1:27" s="115" customFormat="1" ht="40.5" customHeight="1">
      <c r="A1733" s="139">
        <v>1591</v>
      </c>
      <c r="B1733" s="140" t="s">
        <v>6139</v>
      </c>
      <c r="C1733" s="141" t="s">
        <v>4041</v>
      </c>
      <c r="D1733" s="142" t="s">
        <v>4042</v>
      </c>
      <c r="E1733" s="141" t="s">
        <v>4115</v>
      </c>
      <c r="F1733" s="142" t="s">
        <v>4248</v>
      </c>
      <c r="G1733" s="141" t="s">
        <v>4249</v>
      </c>
      <c r="H1733" s="142" t="s">
        <v>4250</v>
      </c>
      <c r="I1733" s="141" t="s">
        <v>4254</v>
      </c>
      <c r="J1733" s="142" t="s">
        <v>4255</v>
      </c>
      <c r="K1733" s="142" t="s">
        <v>4255</v>
      </c>
      <c r="L1733" s="143">
        <f t="shared" si="56"/>
        <v>1</v>
      </c>
      <c r="M1733" s="144" t="s">
        <v>4256</v>
      </c>
      <c r="N1733" s="141" t="s">
        <v>4041</v>
      </c>
      <c r="O1733" s="142" t="s">
        <v>4042</v>
      </c>
      <c r="P1733" s="141" t="s">
        <v>4115</v>
      </c>
      <c r="Q1733" s="142" t="s">
        <v>4248</v>
      </c>
      <c r="R1733" s="141" t="s">
        <v>4249</v>
      </c>
      <c r="S1733" s="142" t="s">
        <v>4250</v>
      </c>
      <c r="T1733" s="141" t="s">
        <v>4254</v>
      </c>
      <c r="U1733" s="142" t="s">
        <v>4255</v>
      </c>
      <c r="V1733" s="142" t="s">
        <v>4255</v>
      </c>
      <c r="W1733" s="141">
        <f t="shared" si="57"/>
        <v>1</v>
      </c>
      <c r="X1733" s="143"/>
      <c r="Y1733" s="145"/>
      <c r="AA1733"/>
    </row>
    <row r="1734" spans="1:27" s="115" customFormat="1" ht="40.5" customHeight="1">
      <c r="A1734" s="139">
        <v>1592</v>
      </c>
      <c r="B1734" s="140" t="s">
        <v>6140</v>
      </c>
      <c r="C1734" s="141" t="s">
        <v>4041</v>
      </c>
      <c r="D1734" s="142" t="s">
        <v>4042</v>
      </c>
      <c r="E1734" s="141" t="s">
        <v>4115</v>
      </c>
      <c r="F1734" s="142" t="s">
        <v>4248</v>
      </c>
      <c r="G1734" s="141" t="s">
        <v>4257</v>
      </c>
      <c r="H1734" s="142" t="s">
        <v>4258</v>
      </c>
      <c r="I1734" s="141" t="s">
        <v>4259</v>
      </c>
      <c r="J1734" s="142" t="s">
        <v>4258</v>
      </c>
      <c r="K1734" s="142" t="s">
        <v>4258</v>
      </c>
      <c r="L1734" s="143">
        <f t="shared" si="56"/>
        <v>1</v>
      </c>
      <c r="M1734" s="144" t="s">
        <v>4260</v>
      </c>
      <c r="N1734" s="141" t="s">
        <v>4041</v>
      </c>
      <c r="O1734" s="142" t="s">
        <v>4042</v>
      </c>
      <c r="P1734" s="141" t="s">
        <v>4115</v>
      </c>
      <c r="Q1734" s="142" t="s">
        <v>4248</v>
      </c>
      <c r="R1734" s="141" t="s">
        <v>4257</v>
      </c>
      <c r="S1734" s="142" t="s">
        <v>4258</v>
      </c>
      <c r="T1734" s="141" t="s">
        <v>4259</v>
      </c>
      <c r="U1734" s="142" t="s">
        <v>4258</v>
      </c>
      <c r="V1734" s="142" t="s">
        <v>4258</v>
      </c>
      <c r="W1734" s="141">
        <f t="shared" si="57"/>
        <v>1</v>
      </c>
      <c r="X1734" s="143"/>
      <c r="Y1734" s="145"/>
      <c r="AA1734"/>
    </row>
    <row r="1735" spans="1:27" s="115" customFormat="1" ht="40.5" customHeight="1">
      <c r="A1735" s="139">
        <v>1593</v>
      </c>
      <c r="B1735" s="140" t="s">
        <v>6141</v>
      </c>
      <c r="C1735" s="141" t="s">
        <v>4041</v>
      </c>
      <c r="D1735" s="142" t="s">
        <v>4042</v>
      </c>
      <c r="E1735" s="141" t="s">
        <v>4115</v>
      </c>
      <c r="F1735" s="142" t="s">
        <v>4248</v>
      </c>
      <c r="G1735" s="141" t="s">
        <v>4261</v>
      </c>
      <c r="H1735" s="142" t="s">
        <v>4262</v>
      </c>
      <c r="I1735" s="141" t="s">
        <v>4263</v>
      </c>
      <c r="J1735" s="142" t="s">
        <v>4264</v>
      </c>
      <c r="K1735" s="142" t="s">
        <v>4265</v>
      </c>
      <c r="L1735" s="143">
        <f t="shared" si="56"/>
        <v>1</v>
      </c>
      <c r="M1735" s="144" t="s">
        <v>4266</v>
      </c>
      <c r="N1735" s="141" t="s">
        <v>4041</v>
      </c>
      <c r="O1735" s="142" t="s">
        <v>4042</v>
      </c>
      <c r="P1735" s="141" t="s">
        <v>4115</v>
      </c>
      <c r="Q1735" s="142" t="s">
        <v>4248</v>
      </c>
      <c r="R1735" s="141" t="s">
        <v>4261</v>
      </c>
      <c r="S1735" s="142" t="s">
        <v>4262</v>
      </c>
      <c r="T1735" s="141" t="s">
        <v>4263</v>
      </c>
      <c r="U1735" s="142" t="s">
        <v>4264</v>
      </c>
      <c r="V1735" s="142" t="s">
        <v>4265</v>
      </c>
      <c r="W1735" s="141">
        <f t="shared" si="57"/>
        <v>1</v>
      </c>
      <c r="X1735" s="143"/>
      <c r="Y1735" s="145"/>
      <c r="AA1735"/>
    </row>
    <row r="1736" spans="1:27" s="115" customFormat="1" ht="40.5" customHeight="1">
      <c r="A1736" s="139">
        <v>1594</v>
      </c>
      <c r="B1736" s="140" t="s">
        <v>6142</v>
      </c>
      <c r="C1736" s="141" t="s">
        <v>4041</v>
      </c>
      <c r="D1736" s="142" t="s">
        <v>4042</v>
      </c>
      <c r="E1736" s="141" t="s">
        <v>4115</v>
      </c>
      <c r="F1736" s="142" t="s">
        <v>4248</v>
      </c>
      <c r="G1736" s="141" t="s">
        <v>4261</v>
      </c>
      <c r="H1736" s="142" t="s">
        <v>4262</v>
      </c>
      <c r="I1736" s="141" t="s">
        <v>4263</v>
      </c>
      <c r="J1736" s="142" t="s">
        <v>4264</v>
      </c>
      <c r="K1736" s="142" t="s">
        <v>4267</v>
      </c>
      <c r="L1736" s="143">
        <f t="shared" si="56"/>
        <v>1</v>
      </c>
      <c r="M1736" s="144" t="s">
        <v>4268</v>
      </c>
      <c r="N1736" s="141" t="s">
        <v>4041</v>
      </c>
      <c r="O1736" s="142" t="s">
        <v>4042</v>
      </c>
      <c r="P1736" s="141" t="s">
        <v>4115</v>
      </c>
      <c r="Q1736" s="142" t="s">
        <v>4248</v>
      </c>
      <c r="R1736" s="141" t="s">
        <v>4261</v>
      </c>
      <c r="S1736" s="142" t="s">
        <v>4262</v>
      </c>
      <c r="T1736" s="141" t="s">
        <v>4263</v>
      </c>
      <c r="U1736" s="142" t="s">
        <v>4264</v>
      </c>
      <c r="V1736" s="142" t="s">
        <v>4267</v>
      </c>
      <c r="W1736" s="141">
        <f t="shared" si="57"/>
        <v>1</v>
      </c>
      <c r="X1736" s="143"/>
      <c r="Y1736" s="145"/>
      <c r="AA1736"/>
    </row>
    <row r="1737" spans="1:27" s="115" customFormat="1" ht="40.5" customHeight="1">
      <c r="A1737" s="139">
        <v>1595</v>
      </c>
      <c r="B1737" s="140" t="s">
        <v>6143</v>
      </c>
      <c r="C1737" s="141" t="s">
        <v>4041</v>
      </c>
      <c r="D1737" s="142" t="s">
        <v>4042</v>
      </c>
      <c r="E1737" s="141" t="s">
        <v>4115</v>
      </c>
      <c r="F1737" s="142" t="s">
        <v>4248</v>
      </c>
      <c r="G1737" s="141" t="s">
        <v>4261</v>
      </c>
      <c r="H1737" s="142" t="s">
        <v>4262</v>
      </c>
      <c r="I1737" s="141" t="s">
        <v>4263</v>
      </c>
      <c r="J1737" s="142" t="s">
        <v>4264</v>
      </c>
      <c r="K1737" s="142" t="s">
        <v>4269</v>
      </c>
      <c r="L1737" s="143">
        <f t="shared" si="56"/>
        <v>1</v>
      </c>
      <c r="M1737" s="144" t="s">
        <v>4270</v>
      </c>
      <c r="N1737" s="141" t="s">
        <v>4041</v>
      </c>
      <c r="O1737" s="142" t="s">
        <v>4042</v>
      </c>
      <c r="P1737" s="141" t="s">
        <v>4115</v>
      </c>
      <c r="Q1737" s="142" t="s">
        <v>4248</v>
      </c>
      <c r="R1737" s="141" t="s">
        <v>4261</v>
      </c>
      <c r="S1737" s="142" t="s">
        <v>4262</v>
      </c>
      <c r="T1737" s="141" t="s">
        <v>4263</v>
      </c>
      <c r="U1737" s="142" t="s">
        <v>4264</v>
      </c>
      <c r="V1737" s="142" t="s">
        <v>4269</v>
      </c>
      <c r="W1737" s="141">
        <f t="shared" si="57"/>
        <v>1</v>
      </c>
      <c r="X1737" s="143"/>
      <c r="Y1737" s="145"/>
      <c r="AA1737"/>
    </row>
    <row r="1738" spans="1:27" s="115" customFormat="1" ht="40.5" customHeight="1">
      <c r="A1738" s="139">
        <v>1596</v>
      </c>
      <c r="B1738" s="140" t="s">
        <v>6144</v>
      </c>
      <c r="C1738" s="141" t="s">
        <v>4041</v>
      </c>
      <c r="D1738" s="142" t="s">
        <v>4042</v>
      </c>
      <c r="E1738" s="141" t="s">
        <v>4115</v>
      </c>
      <c r="F1738" s="142" t="s">
        <v>4248</v>
      </c>
      <c r="G1738" s="141" t="s">
        <v>4261</v>
      </c>
      <c r="H1738" s="142" t="s">
        <v>4262</v>
      </c>
      <c r="I1738" s="141" t="s">
        <v>4263</v>
      </c>
      <c r="J1738" s="142" t="s">
        <v>4264</v>
      </c>
      <c r="K1738" s="142" t="s">
        <v>4271</v>
      </c>
      <c r="L1738" s="143">
        <f t="shared" si="56"/>
        <v>1</v>
      </c>
      <c r="M1738" s="144" t="s">
        <v>4272</v>
      </c>
      <c r="N1738" s="141" t="s">
        <v>4041</v>
      </c>
      <c r="O1738" s="142" t="s">
        <v>4042</v>
      </c>
      <c r="P1738" s="141" t="s">
        <v>4115</v>
      </c>
      <c r="Q1738" s="142" t="s">
        <v>4248</v>
      </c>
      <c r="R1738" s="141" t="s">
        <v>4261</v>
      </c>
      <c r="S1738" s="142" t="s">
        <v>4262</v>
      </c>
      <c r="T1738" s="141" t="s">
        <v>4263</v>
      </c>
      <c r="U1738" s="142" t="s">
        <v>4264</v>
      </c>
      <c r="V1738" s="142" t="s">
        <v>4271</v>
      </c>
      <c r="W1738" s="141">
        <f t="shared" si="57"/>
        <v>3</v>
      </c>
      <c r="X1738" s="143">
        <v>1</v>
      </c>
      <c r="Y1738" s="145"/>
      <c r="AA1738"/>
    </row>
    <row r="1739" spans="1:27" s="115" customFormat="1" ht="40.5" customHeight="1">
      <c r="A1739" s="139">
        <v>1597</v>
      </c>
      <c r="B1739" s="140" t="s">
        <v>6145</v>
      </c>
      <c r="C1739" s="141" t="s">
        <v>4041</v>
      </c>
      <c r="D1739" s="142" t="s">
        <v>4042</v>
      </c>
      <c r="E1739" s="141" t="s">
        <v>4115</v>
      </c>
      <c r="F1739" s="142" t="s">
        <v>4248</v>
      </c>
      <c r="G1739" s="141" t="s">
        <v>4261</v>
      </c>
      <c r="H1739" s="142" t="s">
        <v>4262</v>
      </c>
      <c r="I1739" s="141" t="s">
        <v>4263</v>
      </c>
      <c r="J1739" s="142" t="s">
        <v>4264</v>
      </c>
      <c r="K1739" s="142" t="s">
        <v>4273</v>
      </c>
      <c r="L1739" s="143">
        <f t="shared" si="56"/>
        <v>1</v>
      </c>
      <c r="M1739" s="144" t="s">
        <v>4272</v>
      </c>
      <c r="N1739" s="141" t="s">
        <v>4041</v>
      </c>
      <c r="O1739" s="142" t="s">
        <v>4042</v>
      </c>
      <c r="P1739" s="141" t="s">
        <v>4115</v>
      </c>
      <c r="Q1739" s="142" t="s">
        <v>4248</v>
      </c>
      <c r="R1739" s="141" t="s">
        <v>4261</v>
      </c>
      <c r="S1739" s="142" t="s">
        <v>4262</v>
      </c>
      <c r="T1739" s="141" t="s">
        <v>4263</v>
      </c>
      <c r="U1739" s="142" t="s">
        <v>4264</v>
      </c>
      <c r="V1739" s="142" t="s">
        <v>4271</v>
      </c>
      <c r="W1739" s="141">
        <f t="shared" si="57"/>
        <v>3</v>
      </c>
      <c r="X1739" s="143"/>
      <c r="Y1739" s="145" t="s">
        <v>4274</v>
      </c>
      <c r="AA1739"/>
    </row>
    <row r="1740" spans="1:27" s="115" customFormat="1" ht="40.5" customHeight="1">
      <c r="A1740" s="139">
        <v>1598</v>
      </c>
      <c r="B1740" s="140" t="s">
        <v>6146</v>
      </c>
      <c r="C1740" s="141" t="s">
        <v>4041</v>
      </c>
      <c r="D1740" s="142" t="s">
        <v>4042</v>
      </c>
      <c r="E1740" s="141" t="s">
        <v>4115</v>
      </c>
      <c r="F1740" s="142" t="s">
        <v>4248</v>
      </c>
      <c r="G1740" s="141" t="s">
        <v>4261</v>
      </c>
      <c r="H1740" s="142" t="s">
        <v>4262</v>
      </c>
      <c r="I1740" s="141" t="s">
        <v>4263</v>
      </c>
      <c r="J1740" s="142" t="s">
        <v>4264</v>
      </c>
      <c r="K1740" s="142" t="s">
        <v>4275</v>
      </c>
      <c r="L1740" s="143">
        <f t="shared" si="56"/>
        <v>1</v>
      </c>
      <c r="M1740" s="144" t="s">
        <v>4272</v>
      </c>
      <c r="N1740" s="141" t="s">
        <v>4041</v>
      </c>
      <c r="O1740" s="142" t="s">
        <v>4042</v>
      </c>
      <c r="P1740" s="141" t="s">
        <v>4115</v>
      </c>
      <c r="Q1740" s="142" t="s">
        <v>4248</v>
      </c>
      <c r="R1740" s="141" t="s">
        <v>4261</v>
      </c>
      <c r="S1740" s="142" t="s">
        <v>4262</v>
      </c>
      <c r="T1740" s="141" t="s">
        <v>4263</v>
      </c>
      <c r="U1740" s="142" t="s">
        <v>4264</v>
      </c>
      <c r="V1740" s="142" t="s">
        <v>4271</v>
      </c>
      <c r="W1740" s="141">
        <f t="shared" si="57"/>
        <v>3</v>
      </c>
      <c r="X1740" s="143"/>
      <c r="Y1740" s="145" t="s">
        <v>4276</v>
      </c>
      <c r="AA1740"/>
    </row>
    <row r="1741" spans="1:27" s="115" customFormat="1" ht="40.5" customHeight="1">
      <c r="A1741" s="139">
        <v>1599</v>
      </c>
      <c r="B1741" s="140" t="s">
        <v>6147</v>
      </c>
      <c r="C1741" s="141" t="s">
        <v>4041</v>
      </c>
      <c r="D1741" s="142" t="s">
        <v>4042</v>
      </c>
      <c r="E1741" s="141" t="s">
        <v>4115</v>
      </c>
      <c r="F1741" s="142" t="s">
        <v>4248</v>
      </c>
      <c r="G1741" s="141" t="s">
        <v>4261</v>
      </c>
      <c r="H1741" s="142" t="s">
        <v>4262</v>
      </c>
      <c r="I1741" s="141" t="s">
        <v>4263</v>
      </c>
      <c r="J1741" s="142" t="s">
        <v>4264</v>
      </c>
      <c r="K1741" s="142" t="s">
        <v>4277</v>
      </c>
      <c r="L1741" s="143">
        <f t="shared" si="56"/>
        <v>1</v>
      </c>
      <c r="M1741" s="144" t="s">
        <v>4278</v>
      </c>
      <c r="N1741" s="141" t="s">
        <v>4041</v>
      </c>
      <c r="O1741" s="142" t="s">
        <v>4042</v>
      </c>
      <c r="P1741" s="141" t="s">
        <v>4115</v>
      </c>
      <c r="Q1741" s="142" t="s">
        <v>4248</v>
      </c>
      <c r="R1741" s="141" t="s">
        <v>4261</v>
      </c>
      <c r="S1741" s="142" t="s">
        <v>4262</v>
      </c>
      <c r="T1741" s="141" t="s">
        <v>4263</v>
      </c>
      <c r="U1741" s="142" t="s">
        <v>4264</v>
      </c>
      <c r="V1741" s="142" t="s">
        <v>4277</v>
      </c>
      <c r="W1741" s="141">
        <f t="shared" si="57"/>
        <v>2</v>
      </c>
      <c r="X1741" s="143"/>
      <c r="Y1741" s="145"/>
      <c r="AA1741"/>
    </row>
    <row r="1742" spans="1:27" s="115" customFormat="1" ht="40.5" customHeight="1">
      <c r="A1742" s="139">
        <v>1600</v>
      </c>
      <c r="B1742" s="140" t="s">
        <v>6148</v>
      </c>
      <c r="C1742" s="141" t="s">
        <v>4041</v>
      </c>
      <c r="D1742" s="142" t="s">
        <v>4042</v>
      </c>
      <c r="E1742" s="141" t="s">
        <v>4115</v>
      </c>
      <c r="F1742" s="142" t="s">
        <v>4248</v>
      </c>
      <c r="G1742" s="141" t="s">
        <v>4261</v>
      </c>
      <c r="H1742" s="142" t="s">
        <v>4262</v>
      </c>
      <c r="I1742" s="141" t="s">
        <v>4263</v>
      </c>
      <c r="J1742" s="142" t="s">
        <v>4264</v>
      </c>
      <c r="K1742" s="142" t="s">
        <v>4279</v>
      </c>
      <c r="L1742" s="143">
        <f t="shared" si="56"/>
        <v>1</v>
      </c>
      <c r="M1742" s="144">
        <v>94919</v>
      </c>
      <c r="N1742" s="141" t="s">
        <v>4041</v>
      </c>
      <c r="O1742" s="142" t="s">
        <v>4042</v>
      </c>
      <c r="P1742" s="141" t="s">
        <v>4115</v>
      </c>
      <c r="Q1742" s="142" t="s">
        <v>4248</v>
      </c>
      <c r="R1742" s="141" t="s">
        <v>4261</v>
      </c>
      <c r="S1742" s="142" t="s">
        <v>4262</v>
      </c>
      <c r="T1742" s="141" t="s">
        <v>4263</v>
      </c>
      <c r="U1742" s="142" t="s">
        <v>4264</v>
      </c>
      <c r="V1742" s="142" t="s">
        <v>4277</v>
      </c>
      <c r="W1742" s="141">
        <f t="shared" si="57"/>
        <v>2</v>
      </c>
      <c r="X1742" s="143"/>
      <c r="Y1742" s="145" t="s">
        <v>4280</v>
      </c>
      <c r="AA1742"/>
    </row>
    <row r="1743" spans="1:27" s="115" customFormat="1" ht="40.5" customHeight="1">
      <c r="A1743" s="139">
        <v>1601</v>
      </c>
      <c r="B1743" s="140" t="s">
        <v>6149</v>
      </c>
      <c r="C1743" s="141" t="s">
        <v>4041</v>
      </c>
      <c r="D1743" s="142" t="s">
        <v>4042</v>
      </c>
      <c r="E1743" s="141" t="s">
        <v>4115</v>
      </c>
      <c r="F1743" s="142" t="s">
        <v>4248</v>
      </c>
      <c r="G1743" s="141" t="s">
        <v>4261</v>
      </c>
      <c r="H1743" s="142" t="s">
        <v>4262</v>
      </c>
      <c r="I1743" s="141" t="s">
        <v>4281</v>
      </c>
      <c r="J1743" s="142" t="s">
        <v>4282</v>
      </c>
      <c r="K1743" s="142" t="s">
        <v>4282</v>
      </c>
      <c r="L1743" s="143">
        <f t="shared" si="56"/>
        <v>1</v>
      </c>
      <c r="M1743" s="144" t="s">
        <v>4283</v>
      </c>
      <c r="N1743" s="141" t="s">
        <v>4041</v>
      </c>
      <c r="O1743" s="142" t="s">
        <v>4042</v>
      </c>
      <c r="P1743" s="141" t="s">
        <v>4115</v>
      </c>
      <c r="Q1743" s="142" t="s">
        <v>4248</v>
      </c>
      <c r="R1743" s="141" t="s">
        <v>4261</v>
      </c>
      <c r="S1743" s="142" t="s">
        <v>4262</v>
      </c>
      <c r="T1743" s="141" t="s">
        <v>4281</v>
      </c>
      <c r="U1743" s="142" t="s">
        <v>4282</v>
      </c>
      <c r="V1743" s="142" t="s">
        <v>4282</v>
      </c>
      <c r="W1743" s="141">
        <f t="shared" si="57"/>
        <v>1</v>
      </c>
      <c r="X1743" s="143"/>
      <c r="Y1743" s="145"/>
      <c r="AA1743"/>
    </row>
    <row r="1744" spans="1:27" s="115" customFormat="1" ht="40.5" customHeight="1">
      <c r="A1744" s="139">
        <v>1602</v>
      </c>
      <c r="B1744" s="140" t="s">
        <v>6150</v>
      </c>
      <c r="C1744" s="141" t="s">
        <v>4041</v>
      </c>
      <c r="D1744" s="142" t="s">
        <v>4042</v>
      </c>
      <c r="E1744" s="141" t="s">
        <v>4115</v>
      </c>
      <c r="F1744" s="142" t="s">
        <v>4248</v>
      </c>
      <c r="G1744" s="141" t="s">
        <v>4261</v>
      </c>
      <c r="H1744" s="142" t="s">
        <v>4262</v>
      </c>
      <c r="I1744" s="141" t="s">
        <v>4284</v>
      </c>
      <c r="J1744" s="142" t="s">
        <v>4285</v>
      </c>
      <c r="K1744" s="142" t="s">
        <v>4286</v>
      </c>
      <c r="L1744" s="143">
        <f t="shared" si="56"/>
        <v>1</v>
      </c>
      <c r="M1744" s="144" t="s">
        <v>4287</v>
      </c>
      <c r="N1744" s="141" t="s">
        <v>4041</v>
      </c>
      <c r="O1744" s="142" t="s">
        <v>4042</v>
      </c>
      <c r="P1744" s="141" t="s">
        <v>4115</v>
      </c>
      <c r="Q1744" s="142" t="s">
        <v>4248</v>
      </c>
      <c r="R1744" s="141" t="s">
        <v>4261</v>
      </c>
      <c r="S1744" s="142" t="s">
        <v>4262</v>
      </c>
      <c r="T1744" s="141" t="s">
        <v>4284</v>
      </c>
      <c r="U1744" s="142" t="s">
        <v>4285</v>
      </c>
      <c r="V1744" s="142" t="s">
        <v>4286</v>
      </c>
      <c r="W1744" s="141">
        <f t="shared" si="57"/>
        <v>1</v>
      </c>
      <c r="X1744" s="143"/>
      <c r="Y1744" s="145"/>
      <c r="AA1744"/>
    </row>
    <row r="1745" spans="1:27" s="115" customFormat="1" ht="40.5" customHeight="1">
      <c r="A1745" s="139">
        <v>1603</v>
      </c>
      <c r="B1745" s="140" t="s">
        <v>6151</v>
      </c>
      <c r="C1745" s="141" t="s">
        <v>4041</v>
      </c>
      <c r="D1745" s="142" t="s">
        <v>4042</v>
      </c>
      <c r="E1745" s="141" t="s">
        <v>4115</v>
      </c>
      <c r="F1745" s="142" t="s">
        <v>4248</v>
      </c>
      <c r="G1745" s="141" t="s">
        <v>4261</v>
      </c>
      <c r="H1745" s="142" t="s">
        <v>4262</v>
      </c>
      <c r="I1745" s="141" t="s">
        <v>4284</v>
      </c>
      <c r="J1745" s="142" t="s">
        <v>4285</v>
      </c>
      <c r="K1745" s="142" t="s">
        <v>4288</v>
      </c>
      <c r="L1745" s="143">
        <f t="shared" si="56"/>
        <v>1</v>
      </c>
      <c r="M1745" s="144" t="s">
        <v>4289</v>
      </c>
      <c r="N1745" s="141" t="s">
        <v>4041</v>
      </c>
      <c r="O1745" s="142" t="s">
        <v>4042</v>
      </c>
      <c r="P1745" s="141" t="s">
        <v>4115</v>
      </c>
      <c r="Q1745" s="142" t="s">
        <v>4248</v>
      </c>
      <c r="R1745" s="141" t="s">
        <v>4261</v>
      </c>
      <c r="S1745" s="142" t="s">
        <v>4262</v>
      </c>
      <c r="T1745" s="141" t="s">
        <v>4284</v>
      </c>
      <c r="U1745" s="142" t="s">
        <v>4285</v>
      </c>
      <c r="V1745" s="142" t="s">
        <v>4288</v>
      </c>
      <c r="W1745" s="141">
        <f t="shared" si="57"/>
        <v>1</v>
      </c>
      <c r="X1745" s="143"/>
      <c r="Y1745" s="145"/>
      <c r="AA1745"/>
    </row>
    <row r="1746" spans="1:27" s="115" customFormat="1" ht="13.5" customHeight="1">
      <c r="A1746" s="139">
        <v>1604</v>
      </c>
      <c r="B1746" s="140" t="s">
        <v>6152</v>
      </c>
      <c r="C1746" s="141" t="s">
        <v>4041</v>
      </c>
      <c r="D1746" s="142" t="s">
        <v>4042</v>
      </c>
      <c r="E1746" s="141" t="s">
        <v>4115</v>
      </c>
      <c r="F1746" s="142" t="s">
        <v>4248</v>
      </c>
      <c r="G1746" s="141" t="s">
        <v>4261</v>
      </c>
      <c r="H1746" s="142" t="s">
        <v>4262</v>
      </c>
      <c r="I1746" s="141" t="s">
        <v>4290</v>
      </c>
      <c r="J1746" s="142" t="s">
        <v>4291</v>
      </c>
      <c r="K1746" s="142" t="s">
        <v>4291</v>
      </c>
      <c r="L1746" s="143">
        <f t="shared" si="56"/>
        <v>1</v>
      </c>
      <c r="M1746" s="144" t="s">
        <v>4292</v>
      </c>
      <c r="N1746" s="141" t="s">
        <v>4041</v>
      </c>
      <c r="O1746" s="142" t="s">
        <v>4042</v>
      </c>
      <c r="P1746" s="141" t="s">
        <v>4115</v>
      </c>
      <c r="Q1746" s="142" t="s">
        <v>4248</v>
      </c>
      <c r="R1746" s="141" t="s">
        <v>4261</v>
      </c>
      <c r="S1746" s="142" t="s">
        <v>4262</v>
      </c>
      <c r="T1746" s="141" t="s">
        <v>4290</v>
      </c>
      <c r="U1746" s="142" t="s">
        <v>4291</v>
      </c>
      <c r="V1746" s="142" t="s">
        <v>4291</v>
      </c>
      <c r="W1746" s="141">
        <f t="shared" si="57"/>
        <v>3</v>
      </c>
      <c r="X1746" s="143">
        <v>1</v>
      </c>
      <c r="Y1746" s="145"/>
      <c r="AA1746"/>
    </row>
    <row r="1747" spans="1:27" s="115" customFormat="1" ht="14.25" customHeight="1">
      <c r="A1747" s="139">
        <v>1605</v>
      </c>
      <c r="B1747" s="140" t="s">
        <v>6153</v>
      </c>
      <c r="C1747" s="141" t="s">
        <v>4041</v>
      </c>
      <c r="D1747" s="142" t="s">
        <v>4042</v>
      </c>
      <c r="E1747" s="141" t="s">
        <v>4115</v>
      </c>
      <c r="F1747" s="142" t="s">
        <v>4248</v>
      </c>
      <c r="G1747" s="141" t="s">
        <v>4261</v>
      </c>
      <c r="H1747" s="142" t="s">
        <v>4262</v>
      </c>
      <c r="I1747" s="141" t="s">
        <v>4290</v>
      </c>
      <c r="J1747" s="142" t="s">
        <v>4291</v>
      </c>
      <c r="K1747" s="142" t="s">
        <v>4291</v>
      </c>
      <c r="L1747" s="143">
        <f t="shared" si="56"/>
        <v>1</v>
      </c>
      <c r="M1747" s="144">
        <v>94990</v>
      </c>
      <c r="N1747" s="141" t="s">
        <v>4041</v>
      </c>
      <c r="O1747" s="142" t="s">
        <v>4042</v>
      </c>
      <c r="P1747" s="141" t="s">
        <v>4115</v>
      </c>
      <c r="Q1747" s="142" t="s">
        <v>4248</v>
      </c>
      <c r="R1747" s="141" t="s">
        <v>4261</v>
      </c>
      <c r="S1747" s="142" t="s">
        <v>4262</v>
      </c>
      <c r="T1747" s="141" t="s">
        <v>4290</v>
      </c>
      <c r="U1747" s="142" t="s">
        <v>4291</v>
      </c>
      <c r="V1747" s="142" t="s">
        <v>4291</v>
      </c>
      <c r="W1747" s="141">
        <f t="shared" si="57"/>
        <v>3</v>
      </c>
      <c r="X1747" s="143"/>
      <c r="Y1747" s="171" t="s">
        <v>4293</v>
      </c>
      <c r="AA1747"/>
    </row>
    <row r="1748" spans="1:27" s="115" customFormat="1" ht="40.5">
      <c r="A1748" s="139">
        <v>1606</v>
      </c>
      <c r="B1748" s="140" t="s">
        <v>6154</v>
      </c>
      <c r="C1748" s="141" t="s">
        <v>4041</v>
      </c>
      <c r="D1748" s="142" t="s">
        <v>4042</v>
      </c>
      <c r="E1748" s="141" t="s">
        <v>4115</v>
      </c>
      <c r="F1748" s="142" t="s">
        <v>4248</v>
      </c>
      <c r="G1748" s="141" t="s">
        <v>4261</v>
      </c>
      <c r="H1748" s="142" t="s">
        <v>4262</v>
      </c>
      <c r="I1748" s="141" t="s">
        <v>4290</v>
      </c>
      <c r="J1748" s="142" t="s">
        <v>4291</v>
      </c>
      <c r="K1748" s="142" t="s">
        <v>4291</v>
      </c>
      <c r="L1748" s="143">
        <f t="shared" si="56"/>
        <v>1</v>
      </c>
      <c r="M1748" s="144">
        <v>94990</v>
      </c>
      <c r="N1748" s="141" t="s">
        <v>4041</v>
      </c>
      <c r="O1748" s="142" t="s">
        <v>4042</v>
      </c>
      <c r="P1748" s="141" t="s">
        <v>4115</v>
      </c>
      <c r="Q1748" s="142" t="s">
        <v>4248</v>
      </c>
      <c r="R1748" s="141" t="s">
        <v>4261</v>
      </c>
      <c r="S1748" s="142" t="s">
        <v>4262</v>
      </c>
      <c r="T1748" s="141" t="s">
        <v>4290</v>
      </c>
      <c r="U1748" s="142" t="s">
        <v>4291</v>
      </c>
      <c r="V1748" s="142" t="s">
        <v>4291</v>
      </c>
      <c r="W1748" s="141">
        <f t="shared" si="57"/>
        <v>3</v>
      </c>
      <c r="X1748" s="143"/>
      <c r="Y1748" s="145" t="s">
        <v>4294</v>
      </c>
      <c r="AA1748"/>
    </row>
    <row r="1749" spans="1:27" s="115" customFormat="1" ht="40.5">
      <c r="A1749" s="139">
        <v>1607</v>
      </c>
      <c r="B1749" s="140" t="s">
        <v>6041</v>
      </c>
      <c r="C1749" s="141" t="s">
        <v>4041</v>
      </c>
      <c r="D1749" s="142" t="s">
        <v>4042</v>
      </c>
      <c r="E1749" s="141" t="s">
        <v>3933</v>
      </c>
      <c r="F1749" s="142" t="s">
        <v>4043</v>
      </c>
      <c r="G1749" s="141" t="s">
        <v>3934</v>
      </c>
      <c r="H1749" s="142" t="s">
        <v>4044</v>
      </c>
      <c r="I1749" s="141" t="s">
        <v>3935</v>
      </c>
      <c r="J1749" s="142" t="s">
        <v>4059</v>
      </c>
      <c r="K1749" s="142" t="s">
        <v>1229</v>
      </c>
      <c r="L1749" s="143">
        <f t="shared" si="56"/>
        <v>1</v>
      </c>
      <c r="M1749" s="144" t="s">
        <v>4060</v>
      </c>
      <c r="N1749" s="141" t="s">
        <v>4041</v>
      </c>
      <c r="O1749" s="142" t="s">
        <v>4042</v>
      </c>
      <c r="P1749" s="141" t="s">
        <v>4048</v>
      </c>
      <c r="Q1749" s="142" t="s">
        <v>4043</v>
      </c>
      <c r="R1749" s="141" t="s">
        <v>4049</v>
      </c>
      <c r="S1749" s="142" t="s">
        <v>4044</v>
      </c>
      <c r="T1749" s="141" t="s">
        <v>4061</v>
      </c>
      <c r="U1749" s="142" t="s">
        <v>4059</v>
      </c>
      <c r="V1749" s="142" t="s">
        <v>1229</v>
      </c>
      <c r="W1749" s="141">
        <f t="shared" si="57"/>
        <v>5</v>
      </c>
      <c r="X1749" s="143"/>
      <c r="Y1749" s="145" t="s">
        <v>4295</v>
      </c>
      <c r="AA1749"/>
    </row>
    <row r="1750" spans="1:27" s="115" customFormat="1" ht="54">
      <c r="A1750" s="139">
        <v>1608</v>
      </c>
      <c r="B1750" s="140" t="s">
        <v>6042</v>
      </c>
      <c r="C1750" s="141" t="s">
        <v>4296</v>
      </c>
      <c r="D1750" s="142" t="s">
        <v>4297</v>
      </c>
      <c r="E1750" s="141" t="s">
        <v>3933</v>
      </c>
      <c r="F1750" s="142" t="s">
        <v>1257</v>
      </c>
      <c r="G1750" s="141" t="s">
        <v>3934</v>
      </c>
      <c r="H1750" s="142" t="s">
        <v>1257</v>
      </c>
      <c r="I1750" s="141" t="s">
        <v>3935</v>
      </c>
      <c r="J1750" s="142" t="s">
        <v>1257</v>
      </c>
      <c r="K1750" s="142" t="s">
        <v>1257</v>
      </c>
      <c r="L1750" s="143">
        <f t="shared" si="56"/>
        <v>1</v>
      </c>
      <c r="M1750" s="144" t="s">
        <v>4298</v>
      </c>
      <c r="N1750" s="141" t="s">
        <v>4296</v>
      </c>
      <c r="O1750" s="142" t="s">
        <v>4299</v>
      </c>
      <c r="P1750" s="141" t="s">
        <v>4300</v>
      </c>
      <c r="Q1750" s="142" t="s">
        <v>1257</v>
      </c>
      <c r="R1750" s="141" t="s">
        <v>4301</v>
      </c>
      <c r="S1750" s="142" t="s">
        <v>1257</v>
      </c>
      <c r="T1750" s="141" t="s">
        <v>4302</v>
      </c>
      <c r="U1750" s="142" t="s">
        <v>1257</v>
      </c>
      <c r="V1750" s="142" t="s">
        <v>1257</v>
      </c>
      <c r="W1750" s="141">
        <f t="shared" si="57"/>
        <v>1</v>
      </c>
      <c r="X1750" s="143"/>
      <c r="Y1750" s="145"/>
      <c r="AA1750"/>
    </row>
    <row r="1751" spans="1:27" s="115" customFormat="1">
      <c r="A1751" s="139">
        <v>1609</v>
      </c>
      <c r="B1751" s="140" t="s">
        <v>6155</v>
      </c>
      <c r="C1751" s="141" t="s">
        <v>4303</v>
      </c>
      <c r="D1751" s="142" t="s">
        <v>4304</v>
      </c>
      <c r="E1751" s="141" t="s">
        <v>4305</v>
      </c>
      <c r="F1751" s="142" t="s">
        <v>4304</v>
      </c>
      <c r="G1751" s="141" t="s">
        <v>4306</v>
      </c>
      <c r="H1751" s="142" t="s">
        <v>4304</v>
      </c>
      <c r="I1751" s="141" t="s">
        <v>4307</v>
      </c>
      <c r="J1751" s="142" t="s">
        <v>4304</v>
      </c>
      <c r="K1751" s="142" t="s">
        <v>4308</v>
      </c>
      <c r="L1751" s="143">
        <f t="shared" si="56"/>
        <v>1</v>
      </c>
      <c r="M1751" s="144" t="s">
        <v>4309</v>
      </c>
      <c r="N1751" s="141" t="s">
        <v>4303</v>
      </c>
      <c r="O1751" s="142" t="s">
        <v>4304</v>
      </c>
      <c r="P1751" s="141" t="s">
        <v>4305</v>
      </c>
      <c r="Q1751" s="142" t="s">
        <v>4304</v>
      </c>
      <c r="R1751" s="141" t="s">
        <v>4306</v>
      </c>
      <c r="S1751" s="142" t="s">
        <v>4304</v>
      </c>
      <c r="T1751" s="141" t="s">
        <v>4307</v>
      </c>
      <c r="U1751" s="142" t="s">
        <v>4304</v>
      </c>
      <c r="V1751" s="142" t="s">
        <v>4308</v>
      </c>
      <c r="W1751" s="141">
        <f t="shared" si="57"/>
        <v>1</v>
      </c>
      <c r="X1751" s="143"/>
      <c r="Y1751" s="172"/>
      <c r="AA1751"/>
    </row>
    <row r="1752" spans="1:27" s="115" customFormat="1" ht="17.25" thickBot="1">
      <c r="A1752" s="173">
        <v>1610</v>
      </c>
      <c r="B1752" s="174" t="s">
        <v>6156</v>
      </c>
      <c r="C1752" s="175" t="s">
        <v>4303</v>
      </c>
      <c r="D1752" s="176" t="s">
        <v>4304</v>
      </c>
      <c r="E1752" s="175" t="s">
        <v>4305</v>
      </c>
      <c r="F1752" s="176" t="s">
        <v>4304</v>
      </c>
      <c r="G1752" s="175" t="s">
        <v>4306</v>
      </c>
      <c r="H1752" s="176" t="s">
        <v>4304</v>
      </c>
      <c r="I1752" s="175" t="s">
        <v>4307</v>
      </c>
      <c r="J1752" s="176" t="s">
        <v>4304</v>
      </c>
      <c r="K1752" s="176" t="s">
        <v>4310</v>
      </c>
      <c r="L1752" s="177">
        <f t="shared" si="56"/>
        <v>1</v>
      </c>
      <c r="M1752" s="178" t="s">
        <v>4311</v>
      </c>
      <c r="N1752" s="141" t="s">
        <v>4303</v>
      </c>
      <c r="O1752" s="142" t="s">
        <v>4304</v>
      </c>
      <c r="P1752" s="141" t="s">
        <v>4305</v>
      </c>
      <c r="Q1752" s="142" t="s">
        <v>4304</v>
      </c>
      <c r="R1752" s="141" t="s">
        <v>4306</v>
      </c>
      <c r="S1752" s="142" t="s">
        <v>4304</v>
      </c>
      <c r="T1752" s="141" t="s">
        <v>4307</v>
      </c>
      <c r="U1752" s="142" t="s">
        <v>4304</v>
      </c>
      <c r="V1752" s="142" t="s">
        <v>4310</v>
      </c>
      <c r="W1752" s="141">
        <f t="shared" si="57"/>
        <v>1</v>
      </c>
      <c r="X1752" s="143"/>
      <c r="Y1752" s="138"/>
      <c r="AA1752"/>
    </row>
    <row r="1753" spans="1:27" ht="40.5" customHeight="1">
      <c r="A1753" s="179"/>
      <c r="B1753" s="179"/>
      <c r="C1753" s="179"/>
      <c r="D1753" s="179"/>
      <c r="E1753" s="179"/>
      <c r="F1753" s="179"/>
      <c r="G1753" s="179"/>
      <c r="H1753" s="179"/>
      <c r="I1753" s="179"/>
      <c r="J1753" s="179"/>
      <c r="K1753" s="179"/>
      <c r="L1753" s="180"/>
      <c r="M1753" s="181">
        <v>71511</v>
      </c>
      <c r="N1753" s="182" t="s">
        <v>3421</v>
      </c>
      <c r="O1753" s="183" t="s">
        <v>3422</v>
      </c>
      <c r="P1753" s="182" t="s">
        <v>3447</v>
      </c>
      <c r="Q1753" s="183" t="s">
        <v>3442</v>
      </c>
      <c r="R1753" s="182" t="s">
        <v>3481</v>
      </c>
      <c r="S1753" s="183" t="s">
        <v>3482</v>
      </c>
      <c r="T1753" s="182">
        <v>7151</v>
      </c>
      <c r="U1753" s="183" t="s">
        <v>4312</v>
      </c>
      <c r="V1753" s="183" t="s">
        <v>4313</v>
      </c>
      <c r="W1753" s="182">
        <f t="shared" si="57"/>
        <v>1</v>
      </c>
      <c r="X1753" s="184"/>
      <c r="Y1753" s="185" t="s">
        <v>4314</v>
      </c>
    </row>
    <row r="1754" spans="1:27" ht="42.75" customHeight="1">
      <c r="A1754" s="179"/>
      <c r="B1754" s="179"/>
      <c r="C1754" s="179"/>
      <c r="D1754" s="179"/>
      <c r="E1754" s="179"/>
      <c r="F1754" s="179"/>
      <c r="G1754" s="179"/>
      <c r="H1754" s="179"/>
      <c r="I1754" s="179"/>
      <c r="J1754" s="179"/>
      <c r="K1754" s="179"/>
      <c r="L1754" s="180"/>
      <c r="M1754" s="181">
        <v>71519</v>
      </c>
      <c r="N1754" s="182" t="s">
        <v>3421</v>
      </c>
      <c r="O1754" s="183" t="s">
        <v>3422</v>
      </c>
      <c r="P1754" s="182" t="s">
        <v>3447</v>
      </c>
      <c r="Q1754" s="183" t="s">
        <v>3442</v>
      </c>
      <c r="R1754" s="182" t="s">
        <v>3481</v>
      </c>
      <c r="S1754" s="183" t="s">
        <v>3482</v>
      </c>
      <c r="T1754" s="182">
        <v>7151</v>
      </c>
      <c r="U1754" s="183" t="s">
        <v>4312</v>
      </c>
      <c r="V1754" s="183" t="s">
        <v>4315</v>
      </c>
      <c r="W1754" s="182">
        <f t="shared" si="57"/>
        <v>1</v>
      </c>
      <c r="X1754" s="184"/>
      <c r="Y1754" s="188" t="s">
        <v>4314</v>
      </c>
    </row>
    <row r="1755" spans="1:27" ht="54" customHeight="1">
      <c r="A1755" s="179"/>
      <c r="B1755" s="179"/>
      <c r="C1755" s="179"/>
      <c r="D1755" s="179"/>
      <c r="E1755" s="179"/>
      <c r="F1755" s="179"/>
      <c r="G1755" s="179"/>
      <c r="H1755" s="179"/>
      <c r="I1755" s="179"/>
      <c r="J1755" s="179"/>
      <c r="K1755" s="179"/>
      <c r="L1755" s="180"/>
      <c r="M1755" s="181">
        <v>98100</v>
      </c>
      <c r="N1755" s="182" t="s">
        <v>4296</v>
      </c>
      <c r="O1755" s="183" t="s">
        <v>4299</v>
      </c>
      <c r="P1755" s="182">
        <v>98</v>
      </c>
      <c r="Q1755" s="183" t="s">
        <v>4316</v>
      </c>
      <c r="R1755" s="182">
        <v>981</v>
      </c>
      <c r="S1755" s="183" t="s">
        <v>4317</v>
      </c>
      <c r="T1755" s="182">
        <v>9810</v>
      </c>
      <c r="U1755" s="183" t="s">
        <v>4317</v>
      </c>
      <c r="V1755" s="183" t="s">
        <v>4317</v>
      </c>
      <c r="W1755" s="189">
        <f t="shared" si="57"/>
        <v>1</v>
      </c>
      <c r="X1755" s="190"/>
      <c r="Y1755" s="188" t="s">
        <v>4314</v>
      </c>
    </row>
    <row r="1756" spans="1:27" ht="54.75" customHeight="1" thickBot="1">
      <c r="A1756" s="179"/>
      <c r="B1756" s="179"/>
      <c r="C1756" s="179"/>
      <c r="D1756" s="179"/>
      <c r="E1756" s="179"/>
      <c r="F1756" s="179"/>
      <c r="G1756" s="179"/>
      <c r="H1756" s="179"/>
      <c r="I1756" s="179"/>
      <c r="J1756" s="179"/>
      <c r="K1756" s="179"/>
      <c r="L1756" s="180"/>
      <c r="M1756" s="191">
        <v>98200</v>
      </c>
      <c r="N1756" s="192" t="s">
        <v>4296</v>
      </c>
      <c r="O1756" s="193" t="s">
        <v>4299</v>
      </c>
      <c r="P1756" s="192">
        <v>98</v>
      </c>
      <c r="Q1756" s="193" t="s">
        <v>4316</v>
      </c>
      <c r="R1756" s="192">
        <v>982</v>
      </c>
      <c r="S1756" s="193" t="s">
        <v>4318</v>
      </c>
      <c r="T1756" s="192">
        <v>9820</v>
      </c>
      <c r="U1756" s="193" t="s">
        <v>4318</v>
      </c>
      <c r="V1756" s="193" t="s">
        <v>4318</v>
      </c>
      <c r="W1756" s="192">
        <f t="shared" si="57"/>
        <v>1</v>
      </c>
      <c r="X1756" s="194"/>
      <c r="Y1756" s="195" t="s">
        <v>4314</v>
      </c>
    </row>
  </sheetData>
  <sheetProtection algorithmName="SHA-512" hashValue="PHqO5R7ARj1GvM7/oLYp2lrjOnZ7chaEKWmosqp89EWVeeC01AfBbXPG2/XhkDuWPafa6vqPbEdVrYAvsz38Fg==" saltValue="obfzfj4ixBLXqWdVHZKg4g==" spinCount="100000" sheet="1" objects="1" scenarios="1"/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P21"/>
  <sheetViews>
    <sheetView workbookViewId="0">
      <selection activeCell="H17" sqref="H17"/>
    </sheetView>
  </sheetViews>
  <sheetFormatPr defaultRowHeight="16.5"/>
  <cols>
    <col min="2" max="2" width="12.875" customWidth="1"/>
  </cols>
  <sheetData>
    <row r="1" spans="1:16">
      <c r="A1" t="s">
        <v>94</v>
      </c>
    </row>
    <row r="3" spans="1:16">
      <c r="E3" t="s">
        <v>4326</v>
      </c>
      <c r="F3" t="s">
        <v>4327</v>
      </c>
    </row>
    <row r="4" spans="1:16">
      <c r="E4" t="s">
        <v>4320</v>
      </c>
      <c r="H4" t="s">
        <v>4321</v>
      </c>
      <c r="K4" t="s">
        <v>4322</v>
      </c>
    </row>
    <row r="5" spans="1:16">
      <c r="E5" t="s">
        <v>4319</v>
      </c>
    </row>
    <row r="6" spans="1:16">
      <c r="B6" t="s">
        <v>4323</v>
      </c>
      <c r="C6" s="16">
        <v>0.88</v>
      </c>
      <c r="E6" t="s">
        <v>4325</v>
      </c>
    </row>
    <row r="7" spans="1:16">
      <c r="B7" t="s">
        <v>4324</v>
      </c>
      <c r="C7" s="16">
        <v>0.12</v>
      </c>
      <c r="J7" t="s">
        <v>4332</v>
      </c>
      <c r="L7" t="s">
        <v>4333</v>
      </c>
    </row>
    <row r="8" spans="1:16">
      <c r="D8" t="s">
        <v>332</v>
      </c>
      <c r="E8" t="s">
        <v>4328</v>
      </c>
      <c r="H8" t="s">
        <v>4329</v>
      </c>
    </row>
    <row r="9" spans="1:16">
      <c r="D9" t="s">
        <v>332</v>
      </c>
      <c r="E9" t="s">
        <v>4330</v>
      </c>
      <c r="H9" t="s">
        <v>4331</v>
      </c>
    </row>
    <row r="10" spans="1:16">
      <c r="E10" t="s">
        <v>4334</v>
      </c>
      <c r="M10" t="s">
        <v>4335</v>
      </c>
    </row>
    <row r="14" spans="1:16">
      <c r="E14" t="s">
        <v>4341</v>
      </c>
      <c r="G14" t="s">
        <v>4338</v>
      </c>
      <c r="K14" t="s">
        <v>4339</v>
      </c>
      <c r="P14" t="s">
        <v>4340</v>
      </c>
    </row>
    <row r="15" spans="1:16">
      <c r="E15" t="s">
        <v>4336</v>
      </c>
      <c r="P15">
        <v>300</v>
      </c>
    </row>
    <row r="16" spans="1:16">
      <c r="E16" t="s">
        <v>4337</v>
      </c>
    </row>
    <row r="17" spans="4:16">
      <c r="E17">
        <v>250</v>
      </c>
      <c r="P17">
        <f>P15*0.12</f>
        <v>36</v>
      </c>
    </row>
    <row r="18" spans="4:16">
      <c r="P18">
        <f>P17*3.4</f>
        <v>122.39999999999999</v>
      </c>
    </row>
    <row r="19" spans="4:16">
      <c r="E19" t="s">
        <v>4342</v>
      </c>
      <c r="P19" t="s">
        <v>4342</v>
      </c>
    </row>
    <row r="20" spans="4:16">
      <c r="D20" t="s">
        <v>4343</v>
      </c>
      <c r="E20" t="s">
        <v>4344</v>
      </c>
      <c r="P20">
        <v>0</v>
      </c>
    </row>
    <row r="21" spans="4:16">
      <c r="O21" t="s">
        <v>4345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262019d-e9a9-4edd-b3fe-059bc8c2cd1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054782C23E0DA4B888962E2B1B8999A" ma:contentTypeVersion="10" ma:contentTypeDescription="새 문서를 만듭니다." ma:contentTypeScope="" ma:versionID="d1db49b6e63a53f843f410b40af50544">
  <xsd:schema xmlns:xsd="http://www.w3.org/2001/XMLSchema" xmlns:xs="http://www.w3.org/2001/XMLSchema" xmlns:p="http://schemas.microsoft.com/office/2006/metadata/properties" xmlns:ns3="7262019d-e9a9-4edd-b3fe-059bc8c2cd15" targetNamespace="http://schemas.microsoft.com/office/2006/metadata/properties" ma:root="true" ma:fieldsID="d29d5246bc9c644f3886b4c09575a4c2" ns3:_="">
    <xsd:import namespace="7262019d-e9a9-4edd-b3fe-059bc8c2cd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62019d-e9a9-4edd-b3fe-059bc8c2cd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A4ECFF-CC49-41AE-AA62-B25F31417A70}">
  <ds:schemaRefs>
    <ds:schemaRef ds:uri="http://purl.org/dc/elements/1.1/"/>
    <ds:schemaRef ds:uri="http://www.w3.org/XML/1998/namespace"/>
    <ds:schemaRef ds:uri="http://schemas.microsoft.com/office/infopath/2007/PartnerControls"/>
    <ds:schemaRef ds:uri="7262019d-e9a9-4edd-b3fe-059bc8c2cd15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2AF1E02-A6D9-41DE-9636-0DFFBE6885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2B7D22-34F4-49D6-83C1-E405C8FFAF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62019d-e9a9-4edd-b3fe-059bc8c2cd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1.분개장</vt:lpstr>
      <vt:lpstr>2.피벗</vt:lpstr>
      <vt:lpstr>3. 중간결산</vt:lpstr>
      <vt:lpstr>4. 가결산</vt:lpstr>
      <vt:lpstr>검토표</vt:lpstr>
      <vt:lpstr>확인</vt:lpstr>
      <vt:lpstr>dummy</vt:lpstr>
      <vt:lpstr>시트내용숨김</vt:lpstr>
      <vt:lpstr>rate</vt:lpstr>
      <vt:lpstr>tax_rate</vt:lpstr>
      <vt:lpstr>표준산업분류표</vt:lpstr>
      <vt:lpstr>업황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</dc:creator>
  <cp:lastModifiedBy>세무사 서찬영 세무회계 사무소</cp:lastModifiedBy>
  <cp:lastPrinted>2016-08-04T04:59:41Z</cp:lastPrinted>
  <dcterms:created xsi:type="dcterms:W3CDTF">2015-04-28T09:07:07Z</dcterms:created>
  <dcterms:modified xsi:type="dcterms:W3CDTF">2025-11-13T08:07:13Z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0x010100D054782C23E0DA4B888962E2B1B8999A</vt:lpwstr>
  </property>
</Properties>
</file>